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A94417E0-3814-664F-8045-E496E59167A5}" xr6:coauthVersionLast="47" xr6:coauthVersionMax="47" xr10:uidLastSave="{00000000-0000-0000-0000-000000000000}"/>
  <bookViews>
    <workbookView xWindow="8820" yWindow="660" windowWidth="34980" windowHeight="18980" xr2:uid="{DF2F48A6-8095-E341-9254-526C6B4E2D02}"/>
  </bookViews>
  <sheets>
    <sheet name="D110C_30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K21" i="1" s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2" i="1"/>
  <c r="G3" i="1"/>
  <c r="G4" i="1"/>
  <c r="K4" i="1" s="1"/>
  <c r="G5" i="1"/>
  <c r="K5" i="1" s="1"/>
  <c r="G6" i="1"/>
  <c r="K6" i="1" s="1"/>
  <c r="G7" i="1"/>
  <c r="K7" i="1" s="1"/>
  <c r="G8" i="1"/>
  <c r="G9" i="1"/>
  <c r="G10" i="1"/>
  <c r="G11" i="1"/>
  <c r="G12" i="1"/>
  <c r="G13" i="1"/>
  <c r="G14" i="1"/>
  <c r="G15" i="1"/>
  <c r="G16" i="1"/>
  <c r="K16" i="1" s="1"/>
  <c r="G17" i="1"/>
  <c r="K17" i="1" s="1"/>
  <c r="G18" i="1"/>
  <c r="K18" i="1" s="1"/>
  <c r="G19" i="1"/>
  <c r="K19" i="1" s="1"/>
  <c r="G20" i="1"/>
  <c r="G21" i="1"/>
  <c r="G22" i="1"/>
  <c r="G23" i="1"/>
  <c r="G24" i="1"/>
  <c r="G25" i="1"/>
  <c r="G26" i="1"/>
  <c r="G27" i="1"/>
  <c r="G28" i="1"/>
  <c r="K28" i="1" s="1"/>
  <c r="G29" i="1"/>
  <c r="G30" i="1"/>
  <c r="K30" i="1" s="1"/>
  <c r="G31" i="1"/>
  <c r="K31" i="1" s="1"/>
  <c r="G32" i="1"/>
  <c r="G33" i="1"/>
  <c r="G34" i="1"/>
  <c r="G35" i="1"/>
  <c r="G36" i="1"/>
  <c r="G37" i="1"/>
  <c r="G38" i="1"/>
  <c r="G39" i="1"/>
  <c r="G40" i="1"/>
  <c r="K40" i="1" s="1"/>
  <c r="G41" i="1"/>
  <c r="K41" i="1" s="1"/>
  <c r="G42" i="1"/>
  <c r="K42" i="1" s="1"/>
  <c r="G43" i="1"/>
  <c r="G44" i="1"/>
  <c r="G45" i="1"/>
  <c r="G46" i="1"/>
  <c r="G47" i="1"/>
  <c r="G48" i="1"/>
  <c r="G49" i="1"/>
  <c r="G50" i="1"/>
  <c r="G51" i="1"/>
  <c r="G52" i="1"/>
  <c r="K52" i="1" s="1"/>
  <c r="G53" i="1"/>
  <c r="K53" i="1" s="1"/>
  <c r="G54" i="1"/>
  <c r="K54" i="1" s="1"/>
  <c r="G55" i="1"/>
  <c r="K55" i="1" s="1"/>
  <c r="G56" i="1"/>
  <c r="K56" i="1" s="1"/>
  <c r="G57" i="1"/>
  <c r="G58" i="1"/>
  <c r="G59" i="1"/>
  <c r="G60" i="1"/>
  <c r="G61" i="1"/>
  <c r="G62" i="1"/>
  <c r="G63" i="1"/>
  <c r="G64" i="1"/>
  <c r="K64" i="1" s="1"/>
  <c r="G65" i="1"/>
  <c r="K65" i="1" s="1"/>
  <c r="G66" i="1"/>
  <c r="K66" i="1" s="1"/>
  <c r="G67" i="1"/>
  <c r="K67" i="1" s="1"/>
  <c r="G68" i="1"/>
  <c r="G69" i="1"/>
  <c r="G70" i="1"/>
  <c r="G71" i="1"/>
  <c r="G72" i="1"/>
  <c r="G73" i="1"/>
  <c r="G74" i="1"/>
  <c r="K74" i="1" s="1"/>
  <c r="G75" i="1"/>
  <c r="G76" i="1"/>
  <c r="K76" i="1" s="1"/>
  <c r="G77" i="1"/>
  <c r="K77" i="1" s="1"/>
  <c r="G78" i="1"/>
  <c r="K78" i="1" s="1"/>
  <c r="G79" i="1"/>
  <c r="G80" i="1"/>
  <c r="G81" i="1"/>
  <c r="G82" i="1"/>
  <c r="G83" i="1"/>
  <c r="G84" i="1"/>
  <c r="G85" i="1"/>
  <c r="G86" i="1"/>
  <c r="G87" i="1"/>
  <c r="G88" i="1"/>
  <c r="K88" i="1" s="1"/>
  <c r="G89" i="1"/>
  <c r="K89" i="1" s="1"/>
  <c r="G90" i="1"/>
  <c r="K90" i="1" s="1"/>
  <c r="G91" i="1"/>
  <c r="G92" i="1"/>
  <c r="G93" i="1"/>
  <c r="G94" i="1"/>
  <c r="G95" i="1"/>
  <c r="G96" i="1"/>
  <c r="G97" i="1"/>
  <c r="G98" i="1"/>
  <c r="G99" i="1"/>
  <c r="G100" i="1"/>
  <c r="K100" i="1" s="1"/>
  <c r="G101" i="1"/>
  <c r="K101" i="1" s="1"/>
  <c r="G102" i="1"/>
  <c r="K102" i="1" s="1"/>
  <c r="G103" i="1"/>
  <c r="K103" i="1" s="1"/>
  <c r="G104" i="1"/>
  <c r="G105" i="1"/>
  <c r="G106" i="1"/>
  <c r="G107" i="1"/>
  <c r="G108" i="1"/>
  <c r="G109" i="1"/>
  <c r="G110" i="1"/>
  <c r="G111" i="1"/>
  <c r="G112" i="1"/>
  <c r="K112" i="1" s="1"/>
  <c r="G113" i="1"/>
  <c r="K113" i="1" s="1"/>
  <c r="G114" i="1"/>
  <c r="K114" i="1" s="1"/>
  <c r="G115" i="1"/>
  <c r="K115" i="1" s="1"/>
  <c r="G116" i="1"/>
  <c r="G117" i="1"/>
  <c r="G118" i="1"/>
  <c r="G119" i="1"/>
  <c r="G120" i="1"/>
  <c r="G121" i="1"/>
  <c r="G122" i="1"/>
  <c r="G123" i="1"/>
  <c r="G124" i="1"/>
  <c r="G125" i="1"/>
  <c r="G126" i="1"/>
  <c r="K126" i="1" s="1"/>
  <c r="G127" i="1"/>
  <c r="K127" i="1" s="1"/>
  <c r="G128" i="1"/>
  <c r="K128" i="1" s="1"/>
  <c r="G129" i="1"/>
  <c r="G130" i="1"/>
  <c r="G131" i="1"/>
  <c r="G132" i="1"/>
  <c r="G133" i="1"/>
  <c r="G134" i="1"/>
  <c r="G135" i="1"/>
  <c r="G136" i="1"/>
  <c r="K136" i="1" s="1"/>
  <c r="G137" i="1"/>
  <c r="K137" i="1" s="1"/>
  <c r="G138" i="1"/>
  <c r="K138" i="1" s="1"/>
  <c r="G139" i="1"/>
  <c r="K139" i="1" s="1"/>
  <c r="G140" i="1"/>
  <c r="G141" i="1"/>
  <c r="G142" i="1"/>
  <c r="G143" i="1"/>
  <c r="G144" i="1"/>
  <c r="G145" i="1"/>
  <c r="G146" i="1"/>
  <c r="G147" i="1"/>
  <c r="G148" i="1"/>
  <c r="G149" i="1"/>
  <c r="K149" i="1" s="1"/>
  <c r="G150" i="1"/>
  <c r="G151" i="1"/>
  <c r="K151" i="1" s="1"/>
  <c r="G152" i="1"/>
  <c r="G153" i="1"/>
  <c r="G154" i="1"/>
  <c r="G155" i="1"/>
  <c r="G156" i="1"/>
  <c r="G157" i="1"/>
  <c r="G158" i="1"/>
  <c r="G159" i="1"/>
  <c r="G160" i="1"/>
  <c r="K160" i="1" s="1"/>
  <c r="G161" i="1"/>
  <c r="K161" i="1" s="1"/>
  <c r="G162" i="1"/>
  <c r="K162" i="1" s="1"/>
  <c r="G163" i="1"/>
  <c r="K163" i="1" s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K184" i="1" s="1"/>
  <c r="G185" i="1"/>
  <c r="K185" i="1" s="1"/>
  <c r="G186" i="1"/>
  <c r="K186" i="1" s="1"/>
  <c r="G187" i="1"/>
  <c r="K187" i="1" s="1"/>
  <c r="G188" i="1"/>
  <c r="G189" i="1"/>
  <c r="G190" i="1"/>
  <c r="G191" i="1"/>
  <c r="G192" i="1"/>
  <c r="G193" i="1"/>
  <c r="G194" i="1"/>
  <c r="G195" i="1"/>
  <c r="G196" i="1"/>
  <c r="K196" i="1" s="1"/>
  <c r="G197" i="1"/>
  <c r="K197" i="1" s="1"/>
  <c r="G198" i="1"/>
  <c r="K198" i="1" s="1"/>
  <c r="G199" i="1"/>
  <c r="K199" i="1" s="1"/>
  <c r="G200" i="1"/>
  <c r="G201" i="1"/>
  <c r="G202" i="1"/>
  <c r="G203" i="1"/>
  <c r="G204" i="1"/>
  <c r="G205" i="1"/>
  <c r="G206" i="1"/>
  <c r="G207" i="1"/>
  <c r="G208" i="1"/>
  <c r="K208" i="1" s="1"/>
  <c r="G209" i="1"/>
  <c r="K209" i="1" s="1"/>
  <c r="G210" i="1"/>
  <c r="K210" i="1" s="1"/>
  <c r="G211" i="1"/>
  <c r="G212" i="1"/>
  <c r="G213" i="1"/>
  <c r="G214" i="1"/>
  <c r="G215" i="1"/>
  <c r="G216" i="1"/>
  <c r="G217" i="1"/>
  <c r="G218" i="1"/>
  <c r="G219" i="1"/>
  <c r="G220" i="1"/>
  <c r="K220" i="1" s="1"/>
  <c r="G221" i="1"/>
  <c r="K221" i="1" s="1"/>
  <c r="G222" i="1"/>
  <c r="K222" i="1" s="1"/>
  <c r="G223" i="1"/>
  <c r="G224" i="1"/>
  <c r="G225" i="1"/>
  <c r="G226" i="1"/>
  <c r="G227" i="1"/>
  <c r="G228" i="1"/>
  <c r="G229" i="1"/>
  <c r="G230" i="1"/>
  <c r="G231" i="1"/>
  <c r="G232" i="1"/>
  <c r="K232" i="1" s="1"/>
  <c r="G233" i="1"/>
  <c r="K233" i="1" s="1"/>
  <c r="G234" i="1"/>
  <c r="G235" i="1"/>
  <c r="K235" i="1" s="1"/>
  <c r="G236" i="1"/>
  <c r="K236" i="1" s="1"/>
  <c r="G237" i="1"/>
  <c r="G238" i="1"/>
  <c r="G239" i="1"/>
  <c r="G240" i="1"/>
  <c r="G241" i="1"/>
  <c r="G242" i="1"/>
  <c r="G243" i="1"/>
  <c r="G244" i="1"/>
  <c r="K244" i="1" s="1"/>
  <c r="G245" i="1"/>
  <c r="K245" i="1" s="1"/>
  <c r="G246" i="1"/>
  <c r="K246" i="1" s="1"/>
  <c r="G247" i="1"/>
  <c r="K247" i="1" s="1"/>
  <c r="G248" i="1"/>
  <c r="G249" i="1"/>
  <c r="G250" i="1"/>
  <c r="G251" i="1"/>
  <c r="G252" i="1"/>
  <c r="G253" i="1"/>
  <c r="G254" i="1"/>
  <c r="G255" i="1"/>
  <c r="G256" i="1"/>
  <c r="K256" i="1" s="1"/>
  <c r="G257" i="1"/>
  <c r="K257" i="1" s="1"/>
  <c r="G258" i="1"/>
  <c r="K258" i="1" s="1"/>
  <c r="G259" i="1"/>
  <c r="K259" i="1" s="1"/>
  <c r="G260" i="1"/>
  <c r="G261" i="1"/>
  <c r="G262" i="1"/>
  <c r="G263" i="1"/>
  <c r="G264" i="1"/>
  <c r="G265" i="1"/>
  <c r="G266" i="1"/>
  <c r="G267" i="1"/>
  <c r="G268" i="1"/>
  <c r="K268" i="1" s="1"/>
  <c r="G269" i="1"/>
  <c r="K269" i="1" s="1"/>
  <c r="G270" i="1"/>
  <c r="K270" i="1" s="1"/>
  <c r="G271" i="1"/>
  <c r="G272" i="1"/>
  <c r="G273" i="1"/>
  <c r="G274" i="1"/>
  <c r="G275" i="1"/>
  <c r="G276" i="1"/>
  <c r="G277" i="1"/>
  <c r="G278" i="1"/>
  <c r="G279" i="1"/>
  <c r="G280" i="1"/>
  <c r="K280" i="1" s="1"/>
  <c r="G281" i="1"/>
  <c r="K281" i="1" s="1"/>
  <c r="G282" i="1"/>
  <c r="K282" i="1" s="1"/>
  <c r="G283" i="1"/>
  <c r="K283" i="1" s="1"/>
  <c r="G284" i="1"/>
  <c r="G285" i="1"/>
  <c r="G286" i="1"/>
  <c r="G287" i="1"/>
  <c r="G288" i="1"/>
  <c r="G289" i="1"/>
  <c r="G290" i="1"/>
  <c r="G291" i="1"/>
  <c r="G292" i="1"/>
  <c r="K292" i="1" s="1"/>
  <c r="G293" i="1"/>
  <c r="K293" i="1" s="1"/>
  <c r="G294" i="1"/>
  <c r="K294" i="1" s="1"/>
  <c r="G295" i="1"/>
  <c r="K295" i="1" s="1"/>
  <c r="G296" i="1"/>
  <c r="G297" i="1"/>
  <c r="G298" i="1"/>
  <c r="G299" i="1"/>
  <c r="G300" i="1"/>
  <c r="G301" i="1"/>
  <c r="G302" i="1"/>
  <c r="G303" i="1"/>
  <c r="G304" i="1"/>
  <c r="K304" i="1" s="1"/>
  <c r="G305" i="1"/>
  <c r="K305" i="1" s="1"/>
  <c r="G306" i="1"/>
  <c r="K306" i="1" s="1"/>
  <c r="G307" i="1"/>
  <c r="K307" i="1" s="1"/>
  <c r="G308" i="1"/>
  <c r="G309" i="1"/>
  <c r="G310" i="1"/>
  <c r="G311" i="1"/>
  <c r="G312" i="1"/>
  <c r="G313" i="1"/>
  <c r="G314" i="1"/>
  <c r="G315" i="1"/>
  <c r="G316" i="1"/>
  <c r="K316" i="1" s="1"/>
  <c r="G317" i="1"/>
  <c r="K317" i="1" s="1"/>
  <c r="G318" i="1"/>
  <c r="K318" i="1" s="1"/>
  <c r="G319" i="1"/>
  <c r="G320" i="1"/>
  <c r="G321" i="1"/>
  <c r="G322" i="1"/>
  <c r="G323" i="1"/>
  <c r="G324" i="1"/>
  <c r="G325" i="1"/>
  <c r="G326" i="1"/>
  <c r="G327" i="1"/>
  <c r="G328" i="1"/>
  <c r="G329" i="1"/>
  <c r="G330" i="1"/>
  <c r="K330" i="1" s="1"/>
  <c r="G331" i="1"/>
  <c r="K331" i="1" s="1"/>
  <c r="G332" i="1"/>
  <c r="G333" i="1"/>
  <c r="G334" i="1"/>
  <c r="G335" i="1"/>
  <c r="G336" i="1"/>
  <c r="G337" i="1"/>
  <c r="G338" i="1"/>
  <c r="G339" i="1"/>
  <c r="G340" i="1"/>
  <c r="K340" i="1" s="1"/>
  <c r="G341" i="1"/>
  <c r="K341" i="1" s="1"/>
  <c r="G342" i="1"/>
  <c r="K342" i="1" s="1"/>
  <c r="G343" i="1"/>
  <c r="K343" i="1" s="1"/>
  <c r="G344" i="1"/>
  <c r="K344" i="1" s="1"/>
  <c r="G345" i="1"/>
  <c r="G346" i="1"/>
  <c r="G347" i="1"/>
  <c r="G348" i="1"/>
  <c r="G349" i="1"/>
  <c r="G350" i="1"/>
  <c r="G351" i="1"/>
  <c r="G352" i="1"/>
  <c r="K352" i="1" s="1"/>
  <c r="G353" i="1"/>
  <c r="K353" i="1" s="1"/>
  <c r="G354" i="1"/>
  <c r="K354" i="1" s="1"/>
  <c r="G355" i="1"/>
  <c r="K355" i="1" s="1"/>
  <c r="G356" i="1"/>
  <c r="G357" i="1"/>
  <c r="G358" i="1"/>
  <c r="G359" i="1"/>
  <c r="G360" i="1"/>
  <c r="G361" i="1"/>
  <c r="G362" i="1"/>
  <c r="G363" i="1"/>
  <c r="G364" i="1"/>
  <c r="K364" i="1" s="1"/>
  <c r="G365" i="1"/>
  <c r="K365" i="1" s="1"/>
  <c r="G366" i="1"/>
  <c r="K366" i="1" s="1"/>
  <c r="G367" i="1"/>
  <c r="K367" i="1" s="1"/>
  <c r="G368" i="1"/>
  <c r="G369" i="1"/>
  <c r="G370" i="1"/>
  <c r="G371" i="1"/>
  <c r="G372" i="1"/>
  <c r="G373" i="1"/>
  <c r="G374" i="1"/>
  <c r="G375" i="1"/>
  <c r="G376" i="1"/>
  <c r="K376" i="1" s="1"/>
  <c r="G377" i="1"/>
  <c r="K377" i="1" s="1"/>
  <c r="G378" i="1"/>
  <c r="K378" i="1" s="1"/>
  <c r="G379" i="1"/>
  <c r="K379" i="1" s="1"/>
  <c r="G380" i="1"/>
  <c r="G381" i="1"/>
  <c r="G382" i="1"/>
  <c r="G383" i="1"/>
  <c r="G384" i="1"/>
  <c r="G385" i="1"/>
  <c r="G386" i="1"/>
  <c r="G387" i="1"/>
  <c r="G388" i="1"/>
  <c r="K388" i="1" s="1"/>
  <c r="G389" i="1"/>
  <c r="K389" i="1" s="1"/>
  <c r="G390" i="1"/>
  <c r="K390" i="1" s="1"/>
  <c r="G391" i="1"/>
  <c r="K391" i="1" s="1"/>
  <c r="G392" i="1"/>
  <c r="G393" i="1"/>
  <c r="G394" i="1"/>
  <c r="G395" i="1"/>
  <c r="G396" i="1"/>
  <c r="G397" i="1"/>
  <c r="G398" i="1"/>
  <c r="G399" i="1"/>
  <c r="G400" i="1"/>
  <c r="K400" i="1" s="1"/>
  <c r="G401" i="1"/>
  <c r="K401" i="1" s="1"/>
  <c r="G402" i="1"/>
  <c r="K402" i="1" s="1"/>
  <c r="G403" i="1"/>
  <c r="K403" i="1" s="1"/>
  <c r="G404" i="1"/>
  <c r="G405" i="1"/>
  <c r="G406" i="1"/>
  <c r="G407" i="1"/>
  <c r="G408" i="1"/>
  <c r="G409" i="1"/>
  <c r="G410" i="1"/>
  <c r="G411" i="1"/>
  <c r="G412" i="1"/>
  <c r="K412" i="1" s="1"/>
  <c r="G413" i="1"/>
  <c r="K413" i="1" s="1"/>
  <c r="G414" i="1"/>
  <c r="K414" i="1" s="1"/>
  <c r="G415" i="1"/>
  <c r="K415" i="1" s="1"/>
  <c r="G416" i="1"/>
  <c r="G417" i="1"/>
  <c r="G418" i="1"/>
  <c r="G419" i="1"/>
  <c r="G420" i="1"/>
  <c r="G421" i="1"/>
  <c r="G422" i="1"/>
  <c r="G423" i="1"/>
  <c r="G424" i="1"/>
  <c r="K424" i="1" s="1"/>
  <c r="G425" i="1"/>
  <c r="K425" i="1" s="1"/>
  <c r="G426" i="1"/>
  <c r="K426" i="1" s="1"/>
  <c r="G427" i="1"/>
  <c r="K427" i="1" s="1"/>
  <c r="G428" i="1"/>
  <c r="G429" i="1"/>
  <c r="G430" i="1"/>
  <c r="G431" i="1"/>
  <c r="G432" i="1"/>
  <c r="G433" i="1"/>
  <c r="G434" i="1"/>
  <c r="G435" i="1"/>
  <c r="G436" i="1"/>
  <c r="G437" i="1"/>
  <c r="G438" i="1"/>
  <c r="K438" i="1" s="1"/>
  <c r="G439" i="1"/>
  <c r="K439" i="1" s="1"/>
  <c r="G440" i="1"/>
  <c r="G441" i="1"/>
  <c r="G442" i="1"/>
  <c r="G443" i="1"/>
  <c r="G444" i="1"/>
  <c r="G445" i="1"/>
  <c r="G446" i="1"/>
  <c r="G447" i="1"/>
  <c r="G448" i="1"/>
  <c r="K448" i="1" s="1"/>
  <c r="G449" i="1"/>
  <c r="K449" i="1" s="1"/>
  <c r="G450" i="1"/>
  <c r="K450" i="1" s="1"/>
  <c r="G451" i="1"/>
  <c r="K451" i="1" s="1"/>
  <c r="G452" i="1"/>
  <c r="G453" i="1"/>
  <c r="G454" i="1"/>
  <c r="K454" i="1" s="1"/>
  <c r="G455" i="1"/>
  <c r="K455" i="1" s="1"/>
  <c r="G456" i="1"/>
  <c r="G457" i="1"/>
  <c r="G458" i="1"/>
  <c r="G459" i="1"/>
  <c r="G460" i="1"/>
  <c r="K460" i="1" s="1"/>
  <c r="G461" i="1"/>
  <c r="K461" i="1" s="1"/>
  <c r="G462" i="1"/>
  <c r="K462" i="1" s="1"/>
  <c r="G463" i="1"/>
  <c r="K463" i="1" s="1"/>
  <c r="G464" i="1"/>
  <c r="G465" i="1"/>
  <c r="G466" i="1"/>
  <c r="G467" i="1"/>
  <c r="G468" i="1"/>
  <c r="G469" i="1"/>
  <c r="G470" i="1"/>
  <c r="G471" i="1"/>
  <c r="G472" i="1"/>
  <c r="K472" i="1" s="1"/>
  <c r="G473" i="1"/>
  <c r="K473" i="1" s="1"/>
  <c r="G474" i="1"/>
  <c r="K474" i="1" s="1"/>
  <c r="G475" i="1"/>
  <c r="K475" i="1" s="1"/>
  <c r="G476" i="1"/>
  <c r="G477" i="1"/>
  <c r="G478" i="1"/>
  <c r="G479" i="1"/>
  <c r="G480" i="1"/>
  <c r="G481" i="1"/>
  <c r="K481" i="1" s="1"/>
  <c r="G482" i="1"/>
  <c r="G483" i="1"/>
  <c r="G484" i="1"/>
  <c r="K484" i="1" s="1"/>
  <c r="G485" i="1"/>
  <c r="K485" i="1" s="1"/>
  <c r="G486" i="1"/>
  <c r="K486" i="1" s="1"/>
  <c r="G487" i="1"/>
  <c r="K487" i="1" s="1"/>
  <c r="G488" i="1"/>
  <c r="G489" i="1"/>
  <c r="G490" i="1"/>
  <c r="G491" i="1"/>
  <c r="G492" i="1"/>
  <c r="G493" i="1"/>
  <c r="G494" i="1"/>
  <c r="G495" i="1"/>
  <c r="G496" i="1"/>
  <c r="G497" i="1"/>
  <c r="G498" i="1"/>
  <c r="K498" i="1" s="1"/>
  <c r="G499" i="1"/>
  <c r="K499" i="1" s="1"/>
  <c r="G500" i="1"/>
  <c r="G501" i="1"/>
  <c r="G502" i="1"/>
  <c r="G503" i="1"/>
  <c r="G504" i="1"/>
  <c r="G505" i="1"/>
  <c r="G506" i="1"/>
  <c r="G507" i="1"/>
  <c r="G508" i="1"/>
  <c r="K508" i="1" s="1"/>
  <c r="G509" i="1"/>
  <c r="K509" i="1" s="1"/>
  <c r="G510" i="1"/>
  <c r="K510" i="1" s="1"/>
  <c r="G511" i="1"/>
  <c r="K511" i="1" s="1"/>
  <c r="G512" i="1"/>
  <c r="G513" i="1"/>
  <c r="G514" i="1"/>
  <c r="G515" i="1"/>
  <c r="G516" i="1"/>
  <c r="G517" i="1"/>
  <c r="G518" i="1"/>
  <c r="G519" i="1"/>
  <c r="G520" i="1"/>
  <c r="G521" i="1"/>
  <c r="G522" i="1"/>
  <c r="K522" i="1" s="1"/>
  <c r="G523" i="1"/>
  <c r="K523" i="1" s="1"/>
  <c r="G524" i="1"/>
  <c r="G525" i="1"/>
  <c r="G526" i="1"/>
  <c r="G527" i="1"/>
  <c r="G528" i="1"/>
  <c r="G529" i="1"/>
  <c r="G530" i="1"/>
  <c r="G531" i="1"/>
  <c r="G532" i="1"/>
  <c r="K532" i="1" s="1"/>
  <c r="G533" i="1"/>
  <c r="K533" i="1" s="1"/>
  <c r="G534" i="1"/>
  <c r="K534" i="1" s="1"/>
  <c r="G535" i="1"/>
  <c r="K535" i="1" s="1"/>
  <c r="G536" i="1"/>
  <c r="K536" i="1" s="1"/>
  <c r="G537" i="1"/>
  <c r="G538" i="1"/>
  <c r="G539" i="1"/>
  <c r="G540" i="1"/>
  <c r="G541" i="1"/>
  <c r="G542" i="1"/>
  <c r="G543" i="1"/>
  <c r="G544" i="1"/>
  <c r="K544" i="1" s="1"/>
  <c r="G545" i="1"/>
  <c r="K545" i="1" s="1"/>
  <c r="G546" i="1"/>
  <c r="K546" i="1" s="1"/>
  <c r="G547" i="1"/>
  <c r="K547" i="1" s="1"/>
  <c r="G548" i="1"/>
  <c r="G549" i="1"/>
  <c r="G550" i="1"/>
  <c r="G551" i="1"/>
  <c r="G552" i="1"/>
  <c r="G553" i="1"/>
  <c r="G554" i="1"/>
  <c r="G555" i="1"/>
  <c r="G2" i="1"/>
  <c r="K2" i="1" s="1"/>
  <c r="K150" i="1"/>
  <c r="K29" i="1"/>
  <c r="K32" i="1"/>
  <c r="K79" i="1"/>
  <c r="K124" i="1"/>
  <c r="K125" i="1"/>
  <c r="K172" i="1"/>
  <c r="K173" i="1"/>
  <c r="K174" i="1"/>
  <c r="K211" i="1"/>
  <c r="K234" i="1"/>
  <c r="K328" i="1"/>
  <c r="K329" i="1"/>
  <c r="K404" i="1"/>
  <c r="K436" i="1"/>
  <c r="K437" i="1"/>
  <c r="K442" i="1"/>
  <c r="K520" i="1"/>
  <c r="K521" i="1"/>
  <c r="K550" i="1"/>
  <c r="K63" i="1"/>
  <c r="K75" i="1"/>
  <c r="K87" i="1"/>
  <c r="K99" i="1"/>
  <c r="K111" i="1"/>
  <c r="K123" i="1"/>
  <c r="K135" i="1"/>
  <c r="K147" i="1"/>
  <c r="K148" i="1"/>
  <c r="K159" i="1"/>
  <c r="K171" i="1"/>
  <c r="K183" i="1"/>
  <c r="K195" i="1"/>
  <c r="K207" i="1"/>
  <c r="K219" i="1"/>
  <c r="K231" i="1"/>
  <c r="K243" i="1"/>
  <c r="K255" i="1"/>
  <c r="K267" i="1"/>
  <c r="K279" i="1"/>
  <c r="K291" i="1"/>
  <c r="K303" i="1"/>
  <c r="K315" i="1"/>
  <c r="K327" i="1"/>
  <c r="K339" i="1"/>
  <c r="K351" i="1"/>
  <c r="K363" i="1"/>
  <c r="K375" i="1"/>
  <c r="K387" i="1"/>
  <c r="K399" i="1"/>
  <c r="K411" i="1"/>
  <c r="K423" i="1"/>
  <c r="K435" i="1"/>
  <c r="K447" i="1"/>
  <c r="K459" i="1"/>
  <c r="K471" i="1"/>
  <c r="K483" i="1"/>
  <c r="K495" i="1"/>
  <c r="K496" i="1"/>
  <c r="K497" i="1"/>
  <c r="K507" i="1"/>
  <c r="K519" i="1"/>
  <c r="K531" i="1"/>
  <c r="K543" i="1"/>
  <c r="K3" i="1"/>
  <c r="K15" i="1"/>
  <c r="K27" i="1"/>
  <c r="K39" i="1"/>
  <c r="K51" i="1"/>
  <c r="K514" i="1" l="1"/>
  <c r="K478" i="1"/>
  <c r="K319" i="1"/>
  <c r="K271" i="1"/>
  <c r="K223" i="1"/>
  <c r="K43" i="1"/>
  <c r="K175" i="1"/>
  <c r="K91" i="1"/>
  <c r="K457" i="1"/>
  <c r="K516" i="1"/>
  <c r="K504" i="1"/>
  <c r="K468" i="1"/>
  <c r="K456" i="1"/>
  <c r="K408" i="1"/>
  <c r="K372" i="1"/>
  <c r="K360" i="1"/>
  <c r="K312" i="1"/>
  <c r="K276" i="1"/>
  <c r="K264" i="1"/>
  <c r="K216" i="1"/>
  <c r="K180" i="1"/>
  <c r="K168" i="1"/>
  <c r="K120" i="1"/>
  <c r="K84" i="1"/>
  <c r="K72" i="1"/>
  <c r="K24" i="1"/>
  <c r="K554" i="1"/>
  <c r="K506" i="1"/>
  <c r="K458" i="1"/>
  <c r="K410" i="1"/>
  <c r="K362" i="1"/>
  <c r="K314" i="1"/>
  <c r="K266" i="1"/>
  <c r="K218" i="1"/>
  <c r="K170" i="1"/>
  <c r="K122" i="1"/>
  <c r="K45" i="1"/>
  <c r="K548" i="1"/>
  <c r="K512" i="1"/>
  <c r="K500" i="1"/>
  <c r="K476" i="1"/>
  <c r="K464" i="1"/>
  <c r="K452" i="1"/>
  <c r="K440" i="1"/>
  <c r="K428" i="1"/>
  <c r="K416" i="1"/>
  <c r="K392" i="1"/>
  <c r="K380" i="1"/>
  <c r="K368" i="1"/>
  <c r="K320" i="1"/>
  <c r="K284" i="1"/>
  <c r="K260" i="1"/>
  <c r="K212" i="1"/>
  <c r="K200" i="1"/>
  <c r="K188" i="1"/>
  <c r="K176" i="1"/>
  <c r="K152" i="1"/>
  <c r="K140" i="1"/>
  <c r="K116" i="1"/>
  <c r="K104" i="1"/>
  <c r="K92" i="1"/>
  <c r="K80" i="1"/>
  <c r="K44" i="1"/>
  <c r="K20" i="1"/>
  <c r="K8" i="1"/>
  <c r="K263" i="1"/>
  <c r="K239" i="1"/>
  <c r="K71" i="1"/>
  <c r="K47" i="1"/>
  <c r="K526" i="1"/>
  <c r="K502" i="1"/>
  <c r="K490" i="1"/>
  <c r="K466" i="1"/>
  <c r="K430" i="1"/>
  <c r="K552" i="1"/>
  <c r="K420" i="1"/>
  <c r="K324" i="1"/>
  <c r="K228" i="1"/>
  <c r="K132" i="1"/>
  <c r="K36" i="1"/>
  <c r="K527" i="1"/>
  <c r="K431" i="1"/>
  <c r="K359" i="1"/>
  <c r="K335" i="1"/>
  <c r="K227" i="1"/>
  <c r="K167" i="1"/>
  <c r="K143" i="1"/>
  <c r="K131" i="1"/>
  <c r="K35" i="1"/>
  <c r="K33" i="1"/>
  <c r="K9" i="1"/>
  <c r="K26" i="1"/>
  <c r="K515" i="1"/>
  <c r="K503" i="1"/>
  <c r="K479" i="1"/>
  <c r="K467" i="1"/>
  <c r="K419" i="1"/>
  <c r="K407" i="1"/>
  <c r="K383" i="1"/>
  <c r="K371" i="1"/>
  <c r="K323" i="1"/>
  <c r="K311" i="1"/>
  <c r="K287" i="1"/>
  <c r="K275" i="1"/>
  <c r="K215" i="1"/>
  <c r="K191" i="1"/>
  <c r="K179" i="1"/>
  <c r="K119" i="1"/>
  <c r="K95" i="1"/>
  <c r="K83" i="1"/>
  <c r="K23" i="1"/>
  <c r="K541" i="1"/>
  <c r="K397" i="1"/>
  <c r="K373" i="1"/>
  <c r="K289" i="1"/>
  <c r="K265" i="1"/>
  <c r="K241" i="1"/>
  <c r="K157" i="1"/>
  <c r="K133" i="1"/>
  <c r="K109" i="1"/>
  <c r="K85" i="1"/>
  <c r="K25" i="1"/>
  <c r="K524" i="1"/>
  <c r="K488" i="1"/>
  <c r="K356" i="1"/>
  <c r="K332" i="1"/>
  <c r="K308" i="1"/>
  <c r="K296" i="1"/>
  <c r="K272" i="1"/>
  <c r="K248" i="1"/>
  <c r="K224" i="1"/>
  <c r="K164" i="1"/>
  <c r="K68" i="1"/>
  <c r="K538" i="1"/>
  <c r="K542" i="1"/>
  <c r="K530" i="1"/>
  <c r="K518" i="1"/>
  <c r="K494" i="1"/>
  <c r="K482" i="1"/>
  <c r="K470" i="1"/>
  <c r="K446" i="1"/>
  <c r="K434" i="1"/>
  <c r="K422" i="1"/>
  <c r="K398" i="1"/>
  <c r="K386" i="1"/>
  <c r="K374" i="1"/>
  <c r="K350" i="1"/>
  <c r="K338" i="1"/>
  <c r="K326" i="1"/>
  <c r="K302" i="1"/>
  <c r="K290" i="1"/>
  <c r="K278" i="1"/>
  <c r="K254" i="1"/>
  <c r="K242" i="1"/>
  <c r="K230" i="1"/>
  <c r="K206" i="1"/>
  <c r="K194" i="1"/>
  <c r="K182" i="1"/>
  <c r="K158" i="1"/>
  <c r="K146" i="1"/>
  <c r="K134" i="1"/>
  <c r="K110" i="1"/>
  <c r="K98" i="1"/>
  <c r="K86" i="1"/>
  <c r="K62" i="1"/>
  <c r="K50" i="1"/>
  <c r="K38" i="1"/>
  <c r="K14" i="1"/>
  <c r="K551" i="1"/>
  <c r="K539" i="1"/>
  <c r="K491" i="1"/>
  <c r="K443" i="1"/>
  <c r="K395" i="1"/>
  <c r="K347" i="1"/>
  <c r="K299" i="1"/>
  <c r="K251" i="1"/>
  <c r="K203" i="1"/>
  <c r="K155" i="1"/>
  <c r="K107" i="1"/>
  <c r="K59" i="1"/>
  <c r="K11" i="1"/>
  <c r="K553" i="1"/>
  <c r="K529" i="1"/>
  <c r="K517" i="1"/>
  <c r="K505" i="1"/>
  <c r="K493" i="1"/>
  <c r="K469" i="1"/>
  <c r="K445" i="1"/>
  <c r="K433" i="1"/>
  <c r="K421" i="1"/>
  <c r="K409" i="1"/>
  <c r="K385" i="1"/>
  <c r="K361" i="1"/>
  <c r="K349" i="1"/>
  <c r="K337" i="1"/>
  <c r="K325" i="1"/>
  <c r="K313" i="1"/>
  <c r="K301" i="1"/>
  <c r="K277" i="1"/>
  <c r="K253" i="1"/>
  <c r="K229" i="1"/>
  <c r="K217" i="1"/>
  <c r="K205" i="1"/>
  <c r="K193" i="1"/>
  <c r="K181" i="1"/>
  <c r="K169" i="1"/>
  <c r="K145" i="1"/>
  <c r="K121" i="1"/>
  <c r="K97" i="1"/>
  <c r="K73" i="1"/>
  <c r="K61" i="1"/>
  <c r="K49" i="1"/>
  <c r="K37" i="1"/>
  <c r="K13" i="1"/>
  <c r="K540" i="1"/>
  <c r="K528" i="1"/>
  <c r="K492" i="1"/>
  <c r="K480" i="1"/>
  <c r="K444" i="1"/>
  <c r="K432" i="1"/>
  <c r="K396" i="1"/>
  <c r="K384" i="1"/>
  <c r="K348" i="1"/>
  <c r="K336" i="1"/>
  <c r="K300" i="1"/>
  <c r="K288" i="1"/>
  <c r="K252" i="1"/>
  <c r="K240" i="1"/>
  <c r="K204" i="1"/>
  <c r="K192" i="1"/>
  <c r="K156" i="1"/>
  <c r="K144" i="1"/>
  <c r="K108" i="1"/>
  <c r="K96" i="1"/>
  <c r="K60" i="1"/>
  <c r="K48" i="1"/>
  <c r="K12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K10" i="1"/>
  <c r="K549" i="1"/>
  <c r="K537" i="1"/>
  <c r="K525" i="1"/>
  <c r="K513" i="1"/>
  <c r="K501" i="1"/>
  <c r="K489" i="1"/>
  <c r="K477" i="1"/>
  <c r="K465" i="1"/>
  <c r="K453" i="1"/>
  <c r="K441" i="1"/>
  <c r="K429" i="1"/>
  <c r="K417" i="1"/>
  <c r="K405" i="1"/>
  <c r="K393" i="1"/>
  <c r="K381" i="1"/>
  <c r="K369" i="1"/>
  <c r="K357" i="1"/>
  <c r="K345" i="1"/>
  <c r="K333" i="1"/>
  <c r="K321" i="1"/>
  <c r="K309" i="1"/>
  <c r="K297" i="1"/>
  <c r="K285" i="1"/>
  <c r="K273" i="1"/>
  <c r="K261" i="1"/>
  <c r="K249" i="1"/>
  <c r="K237" i="1"/>
  <c r="K225" i="1"/>
  <c r="K213" i="1"/>
  <c r="K201" i="1"/>
  <c r="K189" i="1"/>
  <c r="K177" i="1"/>
  <c r="K165" i="1"/>
  <c r="K153" i="1"/>
  <c r="K141" i="1"/>
  <c r="K129" i="1"/>
  <c r="K117" i="1"/>
  <c r="K105" i="1"/>
  <c r="K93" i="1"/>
  <c r="K81" i="1"/>
  <c r="K69" i="1"/>
  <c r="K57" i="1"/>
  <c r="K555" i="1"/>
</calcChain>
</file>

<file path=xl/sharedStrings.xml><?xml version="1.0" encoding="utf-8"?>
<sst xmlns="http://schemas.openxmlformats.org/spreadsheetml/2006/main" count="1121" uniqueCount="564">
  <si>
    <t>Inp</t>
  </si>
  <si>
    <t>S1</t>
  </si>
  <si>
    <t>S2</t>
  </si>
  <si>
    <t>S3</t>
  </si>
  <si>
    <t>WT</t>
  </si>
  <si>
    <t>Average</t>
  </si>
  <si>
    <t>Seq</t>
  </si>
  <si>
    <t>`</t>
  </si>
  <si>
    <t>8unh</t>
  </si>
  <si>
    <t>8uh7</t>
  </si>
  <si>
    <t>AAAAAAAAAATGAAAGAAATTGCAAAATCTGGTAAGATTCCACATATTATTCTTCATTCTCCT</t>
  </si>
  <si>
    <t>AAAAAAAAAATGAAAGAAATTGCAAATTCTGGTAAGATTCCACATATTATTCTTCATTCTCCT</t>
  </si>
  <si>
    <t>AAAAAAAAAATGAAAGAAATTGCAGCATCTGGTAAGATTCCACATATTATTCTTCATTCTCCT</t>
  </si>
  <si>
    <t>AAAAAAAAACTGAAAGAAATTGCAGCATCTGGTAAGATTCCACATATTATTCTTCATTCTCCT</t>
  </si>
  <si>
    <t>AAAAAAAAACTGAAAGAAATTGCATCTTCTGGTAAGATTCCACATATTATTCTTCATTCTCCT</t>
  </si>
  <si>
    <t>AAAAAAAAATTTAAAGAAATTGCAGCATCTGGTAAGATTCCACATATTATTCTTCATTCTCCT</t>
  </si>
  <si>
    <t>AAAAAAACTATGAAAGAAATTGCAGAATCTGGTAAGATTCCACATATTATTCTTCATTCTCCT</t>
  </si>
  <si>
    <t>AAAAAAACTATGAAAGAAATTGCAGCATCTGGTAAGATTCCACATATTATTCTTCATTCTCCT</t>
  </si>
  <si>
    <t>AAAAAAACTATGAAAGAAATTGCATCTTCTGGTAAGATTCCACATATTATTCTTCATTCTCCT</t>
  </si>
  <si>
    <t>AAAAAAACTATGCAAGAAATTGCAGCATCTGGTAAGATTCCACATATTATTCTTCATTCTCCT</t>
  </si>
  <si>
    <t>AAAAAAACTATGCGTCAAATTGCACAATCTGGTAAGATTCCACATATTATTCTTCATTCTCCT</t>
  </si>
  <si>
    <t>AAAAAAACTATGCTGGAAATTGCAGCATCTGGTAAGATTCCACATATTATTCTTCATTCTCCT</t>
  </si>
  <si>
    <t>AAAAAAACTCTGAAAGAAATTGCAAATTCTGGTAAGATTCCACATATTATTCTTCATTCTCCT</t>
  </si>
  <si>
    <t>AAAAAAACTTTTAAAGAAATTGCAGCATCTGGTAAGATTCCACATATTATTCTTCATTCTCCT</t>
  </si>
  <si>
    <t>AAAAAACGTATGAAAGAAATTGCAAAATCTGGTAAGATTCCACATATTATTCTTCATTCTCCT</t>
  </si>
  <si>
    <t>AAAAAACGTATGAAAGAAATTGCAGCATCTGGTAAGATTCCACATATTATTCTTCATTCTCCT</t>
  </si>
  <si>
    <t>AAAAAACGTATGCGTGAAATTGCAGCATCTGGTAAGATTCCACATATTATTCTTCATTCTCCT</t>
  </si>
  <si>
    <t>AAAAAACGTTTTAAAGAAATTGCAGCAGCAGGTAAGATTCCACATATTATTCTTCATTCTCCT</t>
  </si>
  <si>
    <t>AAAAAACGTTTTAAAGAAATTGCAGCATCTGGTAAGATTCCACATATTATTCTTCATTCTCCT</t>
  </si>
  <si>
    <t>AAAAAACGTTTTCGTGAAATTGCACAATCTGGTAAGATTCCACATATTATTCTTCATTCTCCT</t>
  </si>
  <si>
    <t>AAAAAACTGATGAAAAAAATTGCAGAATCTGGTAAGATTCCACATATTATTCTTCATTCTCCT</t>
  </si>
  <si>
    <t>AAAAAACTGATGAAAGAAATTGCAAAATCTGGTAAGATTCCACATATTATTCTTCATTCTCCT</t>
  </si>
  <si>
    <t>AAAAAACTGATGAAAGAAATTGCAAATTCTGGTAAGATTCCACATATTATTCTTCATTCTCCT</t>
  </si>
  <si>
    <t>AAAAAACTGATGAAAGAAATTGCAGAATCTGGTAAGATTCCACATATTATTCTTCATTCTCCT</t>
  </si>
  <si>
    <t>AAAAAACTGATGAAAGAAATTGCAGATTCTGGTAAGATTCCACATATTATTCTTCATTCTCCT</t>
  </si>
  <si>
    <t>AAAAAACTGATGAAAGAAATTGCAGCATCTGGTAAGATTCCACATATTATTCTTCATTCTCCT</t>
  </si>
  <si>
    <t>AAAAAACTGATGAAAGAAATTGCATCTTCTGGTAAGATTCCACATATTATTCTTCATTCTCCT</t>
  </si>
  <si>
    <t>AAAAAACTGATGCGTGAAATTGTTGCATCTGGTAAGATTCCACATATTATTCTTCATTCTCCT</t>
  </si>
  <si>
    <t>AAAAAACTGCTGAAAGAAATTGCAGAATCTGGTAAGATTCCACATATTATTCTTCATTCTCCT</t>
  </si>
  <si>
    <t>AAAAAACTGCTGAAAGAAATTGCAGCATCTGGTAAGATTCCACATATTATTCTTCATTCTCCT</t>
  </si>
  <si>
    <t>AAAAAACTGTTTAAAGAAATTGCAAAATCTGGTAAGATTCCACATATTATTCTTCATTCTCCT</t>
  </si>
  <si>
    <t>AAAAAACTGTTTAAAGAAATTGCAAATTCTGGTAAGATTCCACATATTATTCTTCATTCTCCT</t>
  </si>
  <si>
    <t>AAAAAACTGTTTAAAGAAATTGCAGCAGAAGGTAAGATTCCACATATTATTCTTCATTCTCCT</t>
  </si>
  <si>
    <t>AAAAAACTGTTTAAAGAAATTGCAGCAGCAGGTAAGATTCCACATATTATTCTTCATTCTCCT</t>
  </si>
  <si>
    <t>AAAAAACTGTTTAAAGAAATTGCAGCATCTGGTAAGATTCCACATATTATTCTTCATTCTCCT</t>
  </si>
  <si>
    <t>AAAAAACTGTTTAAAGAAATTGTTGAATCTGGTAAGATTCCACATATTATTCTTCATTCTCCT</t>
  </si>
  <si>
    <t>AAAAAACTGTTTAAAGAAATTGTTGCAAAAGGTAAGATTCCACATATTATTCTTCATTCTCCT</t>
  </si>
  <si>
    <t>AAAAAACTGTTTAAAGAAATTGTTGCACGTGGTAAGATTCCACATATTATTCTTCATTCTCCT</t>
  </si>
  <si>
    <t>AAAAAACTGTTTAAAGAAATTGTTGCATCTGGTAAGATTCCACATATTATTCTTCATTCTCCT</t>
  </si>
  <si>
    <t>AAAAAACTGTTTAAAGATATTGCAGCATCTGGTAAGATTCCACATATTATTCTTCATTCTCCT</t>
  </si>
  <si>
    <t>AAAAAACTGTTTAAAGATATTGTTAAATCTGGTAAGATTCCACATATTATTCTTCATTCTCCT</t>
  </si>
  <si>
    <t>AAAAAACTGTTTAAAGATATTGTTGCAAAAGGTAAGATTCCACATATTATTCTTCATTCTCCT</t>
  </si>
  <si>
    <t>AAAAAACTGTTTAAAGCAATTGCAAAATCTGGTAAGATTCCACATATTATTCTTCATTCTCCT</t>
  </si>
  <si>
    <t>AAAAAACTGTTTCAAGATATTGTTGCAAAAGGTAAGATTCCACATATTATTCTTCATTCTCCT</t>
  </si>
  <si>
    <t>AAAAAACTGTTTCGTGATATTGTTAAAAAAGGTAAGATTCCACATATTATTCTTCATTCTCCT</t>
  </si>
  <si>
    <t>AAAAAACTGTTTCGTGATATTGTTAAACGTGGTAAGATTCCACATATTATTCTTCATTCTCCT</t>
  </si>
  <si>
    <t>AAAAAACTGTTTGAAGAAATTGCAGCATCTGGTAAGATTCCACATATTATTCTTCATTCTCCT</t>
  </si>
  <si>
    <t>AAAAAAGAAATGAAAAAAATTGCAGAATCTGGTAAGATTCCACATATTATTCTTCATTCTCCT</t>
  </si>
  <si>
    <t>AAAAAAGAAATGAAAGAAATTGCAGCATCTGGTAAGATTCCACATATTATTCTTCATTCTCCT</t>
  </si>
  <si>
    <t>AAAAAAGAATTTAAATCTATTGTTGCATCTGGTAAGATTCCACATATTATTCTTCATTCTCCT</t>
  </si>
  <si>
    <t>AAAAAAGTTATGAAAGAAATTGCAAAATCTGGTAAGATTCCACATATTATTCTTCATTCTCCT</t>
  </si>
  <si>
    <t>AAAAAAGTTATGAAAGAAATTGCAGCATCTGGTAAGATTCCACATATTATTCTTCATTCTCCT</t>
  </si>
  <si>
    <t>AAAAAATATTTTAAAGATATTGTTGCAAAAGGTAAGATTCCACATATTATTCTTCATTCTCCT</t>
  </si>
  <si>
    <t>AAAAAATTTTTTAAAAATATTGTTAAATCTGGTAAGATTCCACATATTATTCTTCATTCTCCT</t>
  </si>
  <si>
    <t>AAAAAATTTTTTAAAGAAATTGTTAAAAAAGGTAAGATTCCACATATTATTCTTCATTCTCCT</t>
  </si>
  <si>
    <t>AAAAAATTTTTTAAAGAAATTGTTAAATCTGGTAAGATTCCACATATTATTCTTCATTCTCCT</t>
  </si>
  <si>
    <t>AAAAAATTTTTTAAAGAAATTGTTGCAAAAGGTAAGATTCCACATATTATTCTTCATTCTCCT</t>
  </si>
  <si>
    <t>AAAAAATTTTTTAAAGATATTGTTAAAAAAGGTAAGATTCCACATATTATTCTTCATTCTCCT</t>
  </si>
  <si>
    <t>AAAAAATTTTTTAAAGATATTGTTAAACGTGGTAAGATTCCACATATTATTCTTCATTCTCCT</t>
  </si>
  <si>
    <t>AAAAAATTTTTTAAAGATATTGTTGAAAAAGGTAAGATTCCACATATTATTCTTCATTCTCCT</t>
  </si>
  <si>
    <t>AAAAAATTTTTTAAAGATATTGTTGCAAAAGGTAAGATTCCACATATTATTCTTCATTCTCCT</t>
  </si>
  <si>
    <t>AAAAAATTTTTTAAAGATATTGTTGCACGTGGTAAGATTCCACATATTATTCTTCATTCTCCT</t>
  </si>
  <si>
    <t>AAAAAATTTTTTAAATCTATTGTTGAAAAAGGTAAGATTCCACATATTATTCTTCATTCTCCT</t>
  </si>
  <si>
    <t>AAAAAATTTTTTCAAGATATTGTTAAATCTGGTAAGATTCCACATATTATTCTTCATTCTCCT</t>
  </si>
  <si>
    <t>AAAAAATTTTTTCAAGATATTGTTGCAAAAGGTAAGATTCCACATATTATTCTTCATTCTCCT</t>
  </si>
  <si>
    <t>AAAAAATTTTTTCAAGATATTGTTGCATCTGGTAAGATTCCACATATTATTCTTCATTCTCCT</t>
  </si>
  <si>
    <t>AAAAAATTTTTTGAAGAAATTGTTGCAAAAGGTAAGATTCCACATATTATTCTTCATTCTCCT</t>
  </si>
  <si>
    <t>AAAAAATTTTTTGAAGATATTGTTGCAAAAGGTAAGATTCCACATATTATTCTTCATTCTCCT</t>
  </si>
  <si>
    <t>AAAAATCGTATGAAAGCAATTGCAGCATCTGGTAAGATTCCACATATTATTCTTCATTCTCCT</t>
  </si>
  <si>
    <t>AAAACTCTGTTTAAAGAAATTGTTAAAAAAGGTAAGATTCCACATATTATTCTTCATTCTCCT</t>
  </si>
  <si>
    <t>AAACAAAAAATGAAAGAAATTGCAGCATCTGGTAAGATTCCACATATTATTCTTCATTCTCCT</t>
  </si>
  <si>
    <t>AAACAAAAATTTAAAGAAATTGCAGCATCTGGTAAGATTCCACATATTATTCTTCATTCTCCT</t>
  </si>
  <si>
    <t>AAACAAACTATGAAAGAAATTGCAGCATCTGGTAAGATTCCACATATTATTCTTCATTCTCCT</t>
  </si>
  <si>
    <t>AAACAAACTATGCGTGAAATTGCAGCATCTGGTAAGATTCCACATATTATTCTTCATTCTCCT</t>
  </si>
  <si>
    <t>AAACAACGTATGAAAGAAATTGCAGCATCTGGTAAGATTCCACATATTATTCTTCATTCTCCT</t>
  </si>
  <si>
    <t>AAACAACGTATGCTGGAAATTGCAAATTCTGGTAAGATTCCACATATTATTCTTCATTCTCCT</t>
  </si>
  <si>
    <t>AAACAACGTCTGAAAGAAATTGCAGCATCTGGTAAGATTCCACATATTATTCTTCATTCTCCT</t>
  </si>
  <si>
    <t>AAACAACGTTTTAAAGAAATTGCAAAATCTGGTAAGATTCCACATATTATTCTTCATTCTCCT</t>
  </si>
  <si>
    <t>AAACAACGTTTTAAAGAAATTGCAGCATCTGGTAAGATTCCACATATTATTCTTCATTCTCCT</t>
  </si>
  <si>
    <t>AAACAACGTTTTCGTGAAATTGCAGCATCTGGTAAGATTCCACATATTATTCTTCATTCTCCT</t>
  </si>
  <si>
    <t>AAACAACTGATGAAAAAAATTGTTGAATCTGGTAAGATTCCACATATTATTCTTCATTCTCCT</t>
  </si>
  <si>
    <t>AAACAACTGATGAAAGAAATTGCAAATTCTGGTAAGATTCCACATATTATTCTTCATTCTCCT</t>
  </si>
  <si>
    <t>AAACAACTGATGAAAGAAATTGCAGCATCTGGTAAGATTCCACATATTATTCTTCATTCTCCT</t>
  </si>
  <si>
    <t>AAACAACTGATGAAAGAAATTGTTGCATCTGGTAAGATTCCACATATTATTCTTCATTCTCCT</t>
  </si>
  <si>
    <t>AAACAACTGCTGAAACAAATTGCAGCATCTGGTAAGATTCCACATATTATTCTTCATTCTCCT</t>
  </si>
  <si>
    <t>AAACAACTGCTGCGTGAAATTGCAGAATCTGGTAAGATTCCACATATTATTCTTCATTCTCCT</t>
  </si>
  <si>
    <t>AAACAACTGCTGCTGGAAATTGCAAAATCTGGTAAGATTCCACATATTATTCTTCATTCTCCT</t>
  </si>
  <si>
    <t>AAACAACTGTTTAAAGAAATTGCAGAATCTGGTAAGATTCCACATATTATTCTTCATTCTCCT</t>
  </si>
  <si>
    <t>AAACAACTGTTTAAAGAAATTGCAGCAGCAGGTAAGATTCCACATATTATTCTTCATTCTCCT</t>
  </si>
  <si>
    <t>AAACAACTGTTTAAAGAAATTGCAGCATCTGGTAAGATTCCACATATTATTCTTCATTCTCCT</t>
  </si>
  <si>
    <t>AAACAACTGTTTAAAGAAATTGTTAAATCTGGTAAGATTCCACATATTATTCTTCATTCTCCT</t>
  </si>
  <si>
    <t>AAACAACTGTTTAAAGAAATTGTTGCACGTGGTAAGATTCCACATATTATTCTTCATTCTCCT</t>
  </si>
  <si>
    <t>AAACAACTGTTTAAAGATATTGCAGCATCTGGTAAGATTCCACATATTATTCTTCATTCTCCT</t>
  </si>
  <si>
    <t>AAACAACTGTTTCAAGAAATTGCAGCATCTGGTAAGATTCCACATATTATTCTTCATTCTCCT</t>
  </si>
  <si>
    <t>AAACAATATTTTAAAGATATTGTTGCAAAAGGTAAGATTCCACATATTATTCTTCATTCTCCT</t>
  </si>
  <si>
    <t>AAACAATATTTTAAAGCAATTGTTGATAAAGGTAAGATTCCACATATTATTCTTCATTCTCCT</t>
  </si>
  <si>
    <t>AAACAATATTTTCTGGATATTGTTAAAAAAGGTAAGATTCCACATATTATTCTTCATTCTCCT</t>
  </si>
  <si>
    <t>AAACAATTTTTTAAAGAAATTGTTGCACGTGGTAAGATTCCACATATTATTCTTCATTCTCCT</t>
  </si>
  <si>
    <t>AAACAATTTTTTAAAGATATTGTTAAACGTGGTAAGATTCCACATATTATTCTTCATTCTCCT</t>
  </si>
  <si>
    <t>AAACAATTTTTTAAAGATATTGTTAAATCTGGTAAGATTCCACATATTATTCTTCATTCTCCT</t>
  </si>
  <si>
    <t>AAACAATTTTTTAAAGATATTGTTCAAAAAGGTAAGATTCCACATATTATTCTTCATTCTCCT</t>
  </si>
  <si>
    <t>AAACAATTTTTTAAAGATATTGTTCAATCTGGTAAGATTCCACATATTATTCTTCATTCTCCT</t>
  </si>
  <si>
    <t>AAACAATTTTTTAAAGATATTGTTGCAAAAGGTAAGATTCCACATATTATTCTTCATTCTCCT</t>
  </si>
  <si>
    <t>AAACAATTTTTTAAAGATATTGTTGCACGTGGTAAGATTCCACATATTATTCTTCATTCTCCT</t>
  </si>
  <si>
    <t>AAACAATTTTTTAAAGATATTGTTGCATCTGGTAAGATTCCACATATTATTCTTCATTCTCCT</t>
  </si>
  <si>
    <t>AAACAATTTTTTCGTGATATTGTTGCATCTGGTAAGATTCCACATATTATTCTTCATTCTCCT</t>
  </si>
  <si>
    <t>AAACGTCTGATGAAAGAAATTGCAGCATCTGGTAAGATTCCACATATTATTCTTCATTCTCCT</t>
  </si>
  <si>
    <t>AAAGAAAAAATGAAAAAAATTGCAGAATCTGGTAAGATTCCACATATTATTCTTCATTCTCCT</t>
  </si>
  <si>
    <t>AAAGAAAAAATGAAAAAAATTGCAGCATCTGGTAAGATTCCACATATTATTCTTCATTCTCCT</t>
  </si>
  <si>
    <t>AAAGAAAAAATGAAAGAAATTGCAAAATCTGGTAAGATTCCACATATTATTCTTCATTCTCCT</t>
  </si>
  <si>
    <t>AAAGAAAAAATGAAAGAAATTGCAGATTCTGGTAAGATTCCACATATTATTCTTCATTCTCCT</t>
  </si>
  <si>
    <t>AAAGAAAAAATGAAAGAAATTGCAGCATCTGGTAAGATTCCACATATTATTCTTCATTCTCCT</t>
  </si>
  <si>
    <t>AAAGAAAAAATGAAAGCAATTGCAGCATCTGGTAAGATTCCACATATTATTCTTCATTCTCCT</t>
  </si>
  <si>
    <t>AAAGAAAAAATGCTGGAAATTGCAAAATCTGGTAAGATTCCACATATTATTCTTCATTCTCCT</t>
  </si>
  <si>
    <t>AAAGAAAAACTGAAAGAAATTGCAGCATCTGGTAAGATTCCACATATTATTCTTCATTCTCCT</t>
  </si>
  <si>
    <t>AAAGAAAAATTTAAAGCAATTGCAGCATCTGGTAAGATTCCACATATTATTCTTCATTCTCCT</t>
  </si>
  <si>
    <t>AAAGAAAAATTTCGTGCAATTGTTGCAAAAGGTAAGATTCCACATATTATTCTTCATTCTCCT</t>
  </si>
  <si>
    <t>AAAGAAAATATGAAAAAAATTGTTAAATCTGGTAAGATTCCACATATTATTCTTCATTCTCCT</t>
  </si>
  <si>
    <t>AAAGAAACTATGAAAAAAATTGCAAAATCTGGTAAGATTCCACATATTATTCTTCATTCTCCT</t>
  </si>
  <si>
    <t>AAAGAAACTATGAAAAAAATTGCAGAATCTGGTAAGATTCCACATATTATTCTTCATTCTCCT</t>
  </si>
  <si>
    <t>AAAGAAACTATGAAAAAAATTGCAGCATCTGGTAAGATTCCACATATTATTCTTCATTCTCCT</t>
  </si>
  <si>
    <t>AAAGAAACTATGAAAAAAATTGTTAATTCTGGTAAGATTCCACATATTATTCTTCATTCTCCT</t>
  </si>
  <si>
    <t>AAAGAAACTATGAAAGAAATTGCAAAATCTGGTAAGATTCCACATATTATTCTTCATTCTCCT</t>
  </si>
  <si>
    <t>AAAGAAACTATGAAAGCAATTGCAAAATCTGGTAAGATTCCACATATTATTCTTCATTCTCCT</t>
  </si>
  <si>
    <t>AAAGAAACTATGAAAGCAATTGCAGATTCTGGTAAGATTCCACATATTATTCTTCATTCTCCT</t>
  </si>
  <si>
    <t>AAAGAAACTATGAAAGCAATTGCAGCATCTGGTAAGATTCCACATATTATTCTTCATTCTCCT</t>
  </si>
  <si>
    <t>AAAGAAACTATGAAATCTATTGCAAAATCTGGTAAGATTCCACATATTATTCTTCATTCTCCT</t>
  </si>
  <si>
    <t>AAAGAAACTATGAAATCTATTGCATCTTCTGGTAAGATTCCACATATTATTCTTCATTCTCCT</t>
  </si>
  <si>
    <t>AAAGAAACTATGCGTAAAATTGCAAAATCTGGTAAGATTCCACATATTATTCTTCATTCTCCT</t>
  </si>
  <si>
    <t>AAAGAAACTCTGAAAAAAATTGCAGCATCTGGTAAGATTCCACATATTATTCTTCATTCTCCT</t>
  </si>
  <si>
    <t>AAAGAAACTCTGCAAAAAATTGCAAATTCTGGTAAGATTCCACATATTATTCTTCATTCTCCT</t>
  </si>
  <si>
    <t>AAAGAAACTTTTAAAAAAATTGCAGCATCTGGTAAGATTCCACATATTATTCTTCATTCTCCT</t>
  </si>
  <si>
    <t>AAAGAAACTTTTAAAGCAATTGCAGCATCTGGTAAGATTCCACATATTATTCTTCATTCTCCT</t>
  </si>
  <si>
    <t>AAAGAAATGTTTAAAAATATTGTTGCAAAAGGTAAGATTCCACATATTATTCTTCATTCTCCT</t>
  </si>
  <si>
    <t>AAAGAAATTATGAAAAAAATTGCAGCATCTGGTAAGATTCCACATATTATTCTTCATTCTCCT</t>
  </si>
  <si>
    <t>AAAGAACAAATGAAAAAAATTGCAGCATCTGGTAAGATTCCACATATTATTCTTCATTCTCCT</t>
  </si>
  <si>
    <t>AAAGAACAAATGCGTGAAATTGCAAAATCTGGTAAGATTCCACATATTATTCTTCATTCTCCT</t>
  </si>
  <si>
    <t>AAAGAACAACTGAAAGCAATTGCAAAATCTGGTAAGATTCCACATATTATTCTTCATTCTCCT</t>
  </si>
  <si>
    <t>AAAGAACGTATGAAAAAAATTGCAGAATCTGGTAAGATTCCACATATTATTCTTCATTCTCCT</t>
  </si>
  <si>
    <t>AAAGAACGTATGAAAAAAATTGCAGCATCTGGTAAGATTCCACATATTATTCTTCATTCTCCT</t>
  </si>
  <si>
    <t>AAAGAACGTATGAAAGAAATTGCAAAATCTGGTAAGATTCCACATATTATTCTTCATTCTCCT</t>
  </si>
  <si>
    <t>AAAGAACGTATGAAAGAAATTGCAGCATCTGGTAAGATTCCACATATTATTCTTCATTCTCCT</t>
  </si>
  <si>
    <t>AAAGAACGTATGAAAGAAATTGTTGCATCTGGTAAGATTCCACATATTATTCTTCATTCTCCT</t>
  </si>
  <si>
    <t>AAAGAACGTATGAAAGCAATTGCAGCATCTGGTAAGATTCCACATATTATTCTTCATTCTCCT</t>
  </si>
  <si>
    <t>AAAGAACGTATGCGTAAAATTGCATCTTCTGGTAAGATTCCACATATTATTCTTCATTCTCCT</t>
  </si>
  <si>
    <t>AAAGAACGTATGCGTCAAATTGCAAAATCTGGTAAGATTCCACATATTATTCTTCATTCTCCT</t>
  </si>
  <si>
    <t>AAAGAACGTATGCGTGAAATTGCAGCATCTGGTAAGATTCCACATATTATTCTTCATTCTCCT</t>
  </si>
  <si>
    <t>AAAGAACGTATGCTGGAAATTGCAAAATCTGGTAAGATTCCACATATTATTCTTCATTCTCCT</t>
  </si>
  <si>
    <t>AAAGAACGTATGCTGGAAATTGTTAAATCTGGTAAGATTCCACATATTATTCTTCATTCTCCT</t>
  </si>
  <si>
    <t>AAAGAACGTCTGAAAGAAATTGCAAAATCTGGTAAGATTCCACATATTATTCTTCATTCTCCT</t>
  </si>
  <si>
    <t>AAAGAACGTCTGAAAGAAATTGCAGCATCTGGTAAGATTCCACATATTATTCTTCATTCTCCT</t>
  </si>
  <si>
    <t>AAAGAACGTCTGCGTGAAATTGCAGCATCTGGTAAGATTCCACATATTATTCTTCATTCTCCT</t>
  </si>
  <si>
    <t>AAAGAACGTTTTAAAAAAATTGCAAAATCTGGTAAGATTCCACATATTATTCTTCATTCTCCT</t>
  </si>
  <si>
    <t>AAAGAACGTTTTAAAAAAATTGCAGCAGCAGGTAAGATTCCACATATTATTCTTCATTCTCCT</t>
  </si>
  <si>
    <t>AAAGAACGTTTTAAAAAAATTGCAGCATCTGGTAAGATTCCACATATTATTCTTCATTCTCCT</t>
  </si>
  <si>
    <t>AAAGAACGTTTTAAAGAAATTGCAAAATCTGGTAAGATTCCACATATTATTCTTCATTCTCCT</t>
  </si>
  <si>
    <t>AAAGAACGTTTTAAAGAAATTGCAGCATCTGGTAAGATTCCACATATTATTCTTCATTCTCCT</t>
  </si>
  <si>
    <t>AAAGAACGTTTTAAAGAAATTGTTGCATCTGGTAAGATTCCACATATTATTCTTCATTCTCCT</t>
  </si>
  <si>
    <t>AAAGAACGTTTTAAAGCAATTGCAGCAAAAGGTAAGATTCCACATATTATTCTTCATTCTCCT</t>
  </si>
  <si>
    <t>AAAGAACGTTTTAAAGCAATTGCAGCATCTGGTAAGATTCCACATATTATTCTTCATTCTCCT</t>
  </si>
  <si>
    <t>AAAGAACGTTTTAAAGCAATTGTTGCAAAAGGTAAGATTCCACATATTATTCTTCATTCTCCT</t>
  </si>
  <si>
    <t>AAAGAACGTTTTAAATCTATTGCAGAATCTGGTAAGATTCCACATATTATTCTTCATTCTCCT</t>
  </si>
  <si>
    <t>AAAGAACTGATGAAAAAAATTGCAAAATCTGGTAAGATTCCACATATTATTCTTCATTCTCCT</t>
  </si>
  <si>
    <t>AAAGAACTGATGAAAAAAATTGCAAATTCTGGTAAGATTCCACATATTATTCTTCATTCTCCT</t>
  </si>
  <si>
    <t>AAAGAACTGATGAAAAAAATTGCAGAATCTGGTAAGATTCCACATATTATTCTTCATTCTCCT</t>
  </si>
  <si>
    <t>AAAGAACTGATGAAAAAAATTGCAGATTCTGGTAAGATTCCACATATTATTCTTCATTCTCCT</t>
  </si>
  <si>
    <t>AAAGAACTGATGAAAAAAATTGCAGCATCTGGTAAGATTCCACATATTATTCTTCATTCTCCT</t>
  </si>
  <si>
    <t>AAAGAACTGATGAAAAAAATTGCATCTTCTGGTAAGATTCCACATATTATTCTTCATTCTCCT</t>
  </si>
  <si>
    <t>AAAGAACTGATGAAAAAAATTGTTGAATCTGGTAAGATTCCACATATTATTCTTCATTCTCCT</t>
  </si>
  <si>
    <t>AAAGAACTGATGAAAAATATTGCAGCATCTGGTAAGATTCCACATATTATTCTTCATTCTCCT</t>
  </si>
  <si>
    <t>AAAGAACTGATGAAACAAATTGCAGAATCTGGTAAGATTCCACATATTATTCTTCATTCTCCT</t>
  </si>
  <si>
    <t>AAAGAACTGATGAAACAAATTGCAGCATCTGGTAAGATTCCACATATTATTCTTCATTCTCCT</t>
  </si>
  <si>
    <t>AAAGAACTGATGAAAGAAATTGCAAAATCTGGTAAGATTCCACATATTATTCTTCATTCTCCT</t>
  </si>
  <si>
    <t>AAAGAACTGATGAAAGAAATTGCAGCATCTGGTAAGATTCCACATATTATTCTTCATTCTCCT</t>
  </si>
  <si>
    <t>AAAGAACTGATGAAATCTATTGCAGCATCTGGTAAGATTCCACATATTATTCTTCATTCTCCT</t>
  </si>
  <si>
    <t>AAAGAACTGATGAAATCTATTGCATCTTCTGGTAAGATTCCACATATTATTCTTCATTCTCCT</t>
  </si>
  <si>
    <t>AAAGAACTGATGCGTAAAATTGCAGCATCTGGTAAGATTCCACATATTATTCTTCATTCTCCT</t>
  </si>
  <si>
    <t>AAAGAACTGATGCGTGAAATTGCAAAATCTGGTAAGATTCCACATATTATTCTTCATTCTCCT</t>
  </si>
  <si>
    <t>AAAGAACTGATGCGTTCTATTGCAAATTCTGGTAAGATTCCACATATTATTCTTCATTCTCCT</t>
  </si>
  <si>
    <t>AAAGAACTGCTGAAAAAAATTGCAAAATCTGGTAAGATTCCACATATTATTCTTCATTCTCCT</t>
  </si>
  <si>
    <t>AAAGAACTGCTGCGTAAAATTGCAGATTCTGGTAAGATTCCACATATTATTCTTCATTCTCCT</t>
  </si>
  <si>
    <t>AAAGAACTGTTTAAAAAAATTGCAGAATCTGGTAAGATTCCACATATTATTCTTCATTCTCCT</t>
  </si>
  <si>
    <t>AAAGAACTGTTTAAAAAAATTGCAGCAGCAGGTAAGATTCCACATATTATTCTTCATTCTCCT</t>
  </si>
  <si>
    <t>AAAGAACTGTTTAAAAAAATTGCAGCATCTGGTAAGATTCCACATATTATTCTTCATTCTCCT</t>
  </si>
  <si>
    <t>AAAGAACTGTTTAAAAAAATTGCATCTTCTGGTAAGATTCCACATATTATTCTTCATTCTCCT</t>
  </si>
  <si>
    <t>AAAGAACTGTTTAAAAAAATTGTTGCATCTGGTAAGATTCCACATATTATTCTTCATTCTCCT</t>
  </si>
  <si>
    <t>AAAGAACTGTTTAAAAATATTGTTAAAAAAGGTAAGATTCCACATATTATTCTTCATTCTCCT</t>
  </si>
  <si>
    <t>AAAGAACTGTTTAAAAATATTGTTAAACGTGGTAAGATTCCACATATTATTCTTCATTCTCCT</t>
  </si>
  <si>
    <t>AAAGAACTGTTTAAAAATATTGTTAAATCTGGTAAGATTCCACATATTATTCTTCATTCTCCT</t>
  </si>
  <si>
    <t>AAAGAACTGTTTAAAAATATTGTTGCAAAAGGTAAGATTCCACATATTATTCTTCATTCTCCT</t>
  </si>
  <si>
    <t>AAAGAACTGTTTAAAAATATTGTTGCATCTGGTAAGATTCCACATATTATTCTTCATTCTCCT</t>
  </si>
  <si>
    <t>AAAGAACTGTTTAAACAAATTGCAGCAGCAGGTAAGATTCCACATATTATTCTTCATTCTCCT</t>
  </si>
  <si>
    <t>AAAGAACTGTTTAAACAAATTGCAGCATCTGGTAAGATTCCACATATTATTCTTCATTCTCCT</t>
  </si>
  <si>
    <t>AAAGAACTGTTTAAACAAATTGTTGCATCTGGTAAGATTCCACATATTATTCTTCATTCTCCT</t>
  </si>
  <si>
    <t>AAAGAACTGTTTAAACAAATTTGTGCATCTGGTAAGATTCCACATATTATTCTTCATTCTCCT</t>
  </si>
  <si>
    <t>AAAGAACTGTTTAAACGTATTGCAGCATCTGGTAAGATTCCACATATTATTCTTCATTCTCCT</t>
  </si>
  <si>
    <t>AAAGAACTGTTTAAACGTATTGTTGCATCTGGTAAGATTCCACATATTATTCTTCATTCTCCT</t>
  </si>
  <si>
    <t>AAAGAACTGTTTAAAGAAATTGCAAAATCTGGTAAGATTCCACATATTATTCTTCATTCTCCT</t>
  </si>
  <si>
    <t>AAAGAACTGTTTAAAGAAATTGCAGCAAAAGGTAAGATTCCACATATTATTCTTCATTCTCCT</t>
  </si>
  <si>
    <t>AAAGAACTGTTTAAAGAAATTGCAGCATCTGGTAAGATTCCACATATTATTCTTCATTCTCCT</t>
  </si>
  <si>
    <t>AAAGAACTGTTTAAAGAAATTGTTAAACGTGGTAAGATTCCACATATTATTCTTCATTCTCCT</t>
  </si>
  <si>
    <t>AAAGAACTGTTTAAAGAAATTGTTGCAAAAGGTAAGATTCCACATATTATTCTTCATTCTCCT</t>
  </si>
  <si>
    <t>AAAGAACTGTTTAAAGAAATTGTTGCACGTGGTAAGATTCCACATATTATTCTTCATTCTCCT</t>
  </si>
  <si>
    <t>AAAGAACTGTTTAAAGAAATTGTTGCATCTGGTAAGATTCCACATATTATTCTTCATTCTCCT</t>
  </si>
  <si>
    <t>AAAGAACTGTTTAAAGATATTGTTAAACGTGGTAAGATTCCACATATTATTCTTCATTCTCCT</t>
  </si>
  <si>
    <t>AAAGAACTGTTTAAAGCAATTGCAGCATCTGGTAAGATTCCACATATTATTCTTCATTCTCCT</t>
  </si>
  <si>
    <t>AAAGAACTGTTTAAAGCAATTGTTAAAAAAGGTAAGATTCCACATATTATTCTTCATTCTCCT</t>
  </si>
  <si>
    <t>AAAGAACTGTTTAAAGCAATTGTTAAACGTGGTAAGATTCCACATATTATTCTTCATTCTCCT</t>
  </si>
  <si>
    <t>AAAGAACTGTTTAAAGCAATTGTTAAATCTGGTAAGATTCCACATATTATTCTTCATTCTCCT</t>
  </si>
  <si>
    <t>AAAGAACTGTTTAAAGCAATTGTTGCAAAAGGTAAGATTCCACATATTATTCTTCATTCTCCT</t>
  </si>
  <si>
    <t>AAAGAACTGTTTAAAGCAATTGTTGCACGTGGTAAGATTCCACATATTATTCTTCATTCTCCT</t>
  </si>
  <si>
    <t>AAAGAACTGTTTAAAGCAATTGTTGCATCTGGTAAGATTCCACATATTATTCTTCATTCTCCT</t>
  </si>
  <si>
    <t>AAAGAACTGTTTAAATCTATTGCAGCATCTGGTAAGATTCCACATATTATTCTTCATTCTCCT</t>
  </si>
  <si>
    <t>AAAGAACTGTTTAAATCTATTGTTAAAAAAGGTAAGATTCCACATATTATTCTTCATTCTCCT</t>
  </si>
  <si>
    <t>AAAGAACTGTTTAAATCTATTGTTAAACGTGGTAAGATTCCACATATTATTCTTCATTCTCCT</t>
  </si>
  <si>
    <t>AAAGAACTGTTTAAATCTATTGTTAAATCTGGTAAGATTCCACATATTATTCTTCATTCTCCT</t>
  </si>
  <si>
    <t>AAAGAACTGTTTAAATCTATTGTTGAAAAAGGTAAGATTCCACATATTATTCTTCATTCTCCT</t>
  </si>
  <si>
    <t>AAAGAACTGTTTAAATCTATTGTTGAATCTGGTAAGATTCCACATATTATTCTTCATTCTCCT</t>
  </si>
  <si>
    <t>AAAGAACTGTTTAAATCTATTGTTGCAAAAGGTAAGATTCCACATATTATTCTTCATTCTCCT</t>
  </si>
  <si>
    <t>AAAGAACTGTTTAAATCTATTGTTGCACGTGGTAAGATTCCACATATTATTCTTCATTCTCCT</t>
  </si>
  <si>
    <t>AAAGAACTGTTTAAATCTATTGTTGCATCTGGTAAGATTCCACATATTATTCTTCATTCTCCT</t>
  </si>
  <si>
    <t>AAAGAACTGTTTAAATCTATTGTTTCTAAAGGTAAGATTCCACATATTATTCTTCATTCTCCT</t>
  </si>
  <si>
    <t>AAAGAACTGTTTCAAGCAATTGTTGCAAAAGGTAAGATTCCACATATTATTCTTCATTCTCCT</t>
  </si>
  <si>
    <t>AAAGAACTGTTTCGTAAAATTGCAGCATCTGGTAAGATTCCACATATTATTCTTCATTCTCCT</t>
  </si>
  <si>
    <t>AAAGAACTGTTTCGTAATATTGTTAAATCTGGTAAGATTCCACATATTATTCTTCATTCTCCT</t>
  </si>
  <si>
    <t>AAAGAACTGTTTCGTCAACTGGCAGCATCTGGTAAGATTCCACATATTATTCTTCATTCTCCT</t>
  </si>
  <si>
    <t>AAAGAACTGTTTCGTGAAATTGCAAAATCTGGTAAGATTCCACATATTATTCTTCATTCTCCT</t>
  </si>
  <si>
    <t>AAAGAACTGTTTCGTGAAATTGCAGCATCTGGTAAGATTCCACATATTATTCTTCATTCTCCT</t>
  </si>
  <si>
    <t>AAAGAACTGTTTCGTGAAATTGTTGCATCTGGTAAGATTCCACATATTATTCTTCATTCTCCT</t>
  </si>
  <si>
    <t>AAAGAACTGTTTCGTGCAATTGTTAAACGTGGTAAGATTCCACATATTATTCTTCATTCTCCT</t>
  </si>
  <si>
    <t>AAAGAACTGTTTCGTGCAATTGTTGCAAAAGGTAAGATTCCACATATTATTCTTCATTCTCCT</t>
  </si>
  <si>
    <t>AAAGAACTGTTTCGTGCAATTGTTGCACGTGGTAAGATTCCACATATTATTCTTCATTCTCCT</t>
  </si>
  <si>
    <t>AAAGAACTGTTTCGTTCTATTGTTAAAAAAGGTAAGATTCCACATATTATTCTTCATTCTCCT</t>
  </si>
  <si>
    <t>AAAGAACTGTTTCTGTCTATTGTTGCACGTGGTAAGATTCCACATATTATTCTTCATTCTCCT</t>
  </si>
  <si>
    <t>AAAGAAGAAATGAAAAAAATTGCAAAATCTGGTAAGATTCCACATATTATTCTTCATTCTCCT</t>
  </si>
  <si>
    <t>AAAGAAGAAATGAAAAAAATTGCAAATTCTGGTAAGATTCCACATATTATTCTTCATTCTCCT</t>
  </si>
  <si>
    <t>AAAGAAGAAATGAAAAAAATTGCAGAATCTGGTAAGATTCCACATATTATTCTTCATTCTCCT</t>
  </si>
  <si>
    <t>AAAGAAGAAATGAAAAAAATTGCAGATTCTGGTAAGATTCCACATATTATTCTTCATTCTCCT</t>
  </si>
  <si>
    <t>AAAGAAGAAATGAAAAAAATTGCAGCATCTGGTAAGATTCCACATATTATTCTTCATTCTCCT</t>
  </si>
  <si>
    <t>AAAGAAGAAATGAAAAAAATTGTTGCATCTGGTAAGATTCCACATATTATTCTTCATTCTCCT</t>
  </si>
  <si>
    <t>AAAGAAGAAATGAAAAAAATTGTTTCTTCTGGTAAGATTCCACATATTATTCTTCATTCTCCT</t>
  </si>
  <si>
    <t>AAAGAAGAAATGAAACGTATTGCAGCATCTGGTAAGATTCCACATATTATTCTTCATTCTCCT</t>
  </si>
  <si>
    <t>AAAGAAGAAATGCGTAAAATTGCACAATCTGGTAAGATTCCACATATTATTCTTCATTCTCCT</t>
  </si>
  <si>
    <t>AAAGAAGAAATGCTGAAAATTGCAAAATCTGGTAAGATTCCACATATTATTCTTCATTCTCCT</t>
  </si>
  <si>
    <t>AAAGAAGAACTGAAAAAAATTGCAGCATCTGGTAAGATTCCACATATTATTCTTCATTCTCCT</t>
  </si>
  <si>
    <t>AAAGAAGAATTTAAAAAAATTGCAGCATCTGGTAAGATTCCACATATTATTCTTCATTCTCCT</t>
  </si>
  <si>
    <t>AAAGAAGAATTTAAAAAAATTGTTGCATCTGGTAAGATTCCACATATTATTCTTCATTCTCCT</t>
  </si>
  <si>
    <t>AAAGAAGAATTTCAAGCAATTGTTGCAAAAGGTAAGATTCCACATATTATTCTTCATTCTCCT</t>
  </si>
  <si>
    <t>AAAGAAGAATTTCGTAAAATTGCAGAATCTGGTAAGATTCCACATATTATTCTTCATTCTCCT</t>
  </si>
  <si>
    <t>AAAGAAGTTATGAAAAAAATTGCAAATTCTGGTAAGATTCCACATATTATTCTTCATTCTCCT</t>
  </si>
  <si>
    <t>AAAGAAGTTATGAAAAAAATTGCAGCATCTGGTAAGATTCCACATATTATTCTTCATTCTCCT</t>
  </si>
  <si>
    <t>AAAGAAGTTCTGCGTAAAATTGCAGCATCTGGTAAGATTCCACATATTATTCTTCATTCTCCT</t>
  </si>
  <si>
    <t>AAAGAATATTTTAAAAATATTGTTAAAAAAGGTAAGATTCCACATATTATTCTTCATTCTCCT</t>
  </si>
  <si>
    <t>AAAGAATATTTTAAAAATATTGTTAAACGTGGTAAGATTCCACATATTATTCTTCATTCTCCT</t>
  </si>
  <si>
    <t>AAAGAATATTTTAAAAATATTGTTAAATCTGGTAAGATTCCACATATTATTCTTCATTCTCCT</t>
  </si>
  <si>
    <t>AAAGAATATTTTAAAAATATTGTTGCAAAAGGTAAGATTCCACATATTATTCTTCATTCTCCT</t>
  </si>
  <si>
    <t>AAAGAATATTTTAAAAATATTGTTGCACGTGGTAAGATTCCACATATTATTCTTCATTCTCCT</t>
  </si>
  <si>
    <t>AAAGAATATTTTAAAAATATTGTTGCATCTGGTAAGATTCCACATATTATTCTTCATTCTCCT</t>
  </si>
  <si>
    <t>AAAGAATATTTTAAACAAATTGTTGCAAAAGGTAAGATTCCACATATTATTCTTCATTCTCCT</t>
  </si>
  <si>
    <t>AAAGAATATTTTAAAGAAATTGTTAAACGTGGTAAGATTCCACATATTATTCTTCATTCTCCT</t>
  </si>
  <si>
    <t>AAAGAATATTTTAAAGAAATTGTTAAATCTGGTAAGATTCCACATATTATTCTTCATTCTCCT</t>
  </si>
  <si>
    <t>AAAGAATATTTTAAAGAAATTGTTGCACGTGGTAAGATTCCACATATTATTCTTCATTCTCCT</t>
  </si>
  <si>
    <t>AAAGAATATTTTAAAGATATTGTTGCACGTGGTAAGATTCCACATATTATTCTTCATTCTCCT</t>
  </si>
  <si>
    <t>AAAGAATATTTTAAAGCAATTGTTAAAAAAGGTAAGATTCCACATATTATTCTTCATTCTCCT</t>
  </si>
  <si>
    <t>AAAGAATATTTTAAAGCAATTGTTAAACGTGGTAAGATTCCACATATTATTCTTCATTCTCCT</t>
  </si>
  <si>
    <t>AAAGAATATTTTAAAGCAATTGTTAAATCTGGTAAGATTCCACATATTATTCTTCATTCTCCT</t>
  </si>
  <si>
    <t>AAAGAATATTTTAAAGCAATTGTTCGTAAAGGTAAGATTCCACATATTATTCTTCATTCTCCT</t>
  </si>
  <si>
    <t>AAAGAATATTTTAAAGCAATTGTTGAACGTGGTAAGATTCCACATATTATTCTTCATTCTCCT</t>
  </si>
  <si>
    <t>AAAGAATATTTTAAAGCAATTGTTGCAAAAGGTAAGATTCCACATATTATTCTTCATTCTCCT</t>
  </si>
  <si>
    <t>AAAGAATATTTTAAAGCAATTGTTGCATCTGGTAAGATTCCACATATTATTCTTCATTCTCCT</t>
  </si>
  <si>
    <t>AAAGAATATTTTAAATCTATTGCAGCATCTGGTAAGATTCCACATATTATTCTTCATTCTCCT</t>
  </si>
  <si>
    <t>AAAGAATATTTTAAATCTATTGTTAAAAAAGGTAAGATTCCACATATTATTCTTCATTCTCCT</t>
  </si>
  <si>
    <t>AAAGAATATTTTAAATCTATTGTTAAACGTGGTAAGATTCCACATATTATTCTTCATTCTCCT</t>
  </si>
  <si>
    <t>AAAGAATATTTTAAATCTATTGTTAAATCTGGTAAGATTCCACATATTATTCTTCATTCTCCT</t>
  </si>
  <si>
    <t>AAAGAATATTTTAAATCTATTGTTCAACGTGGTAAGATTCCACATATTATTCTTCATTCTCCT</t>
  </si>
  <si>
    <t>AAAGAATATTTTAAATCTATTGTTCGTAAAGGTAAGATTCCACATATTATTCTTCATTCTCCT</t>
  </si>
  <si>
    <t>AAAGAATATTTTAAATCTATTGTTGAAAAAGGTAAGATTCCACATATTATTCTTCATTCTCCT</t>
  </si>
  <si>
    <t>AAAGAATATTTTAAATCTATTGTTGCAAAAGGTAAGATTCCACATATTATTCTTCATTCTCCT</t>
  </si>
  <si>
    <t>AAAGAATATTTTAAATCTATTGTTGCACGTGGTAAGATTCCACATATTATTCTTCATTCTCCT</t>
  </si>
  <si>
    <t>AAAGAATATTTTAAATCTATTGTTGCATCTGGTAAGATTCCACATATTATTCTTCATTCTCCT</t>
  </si>
  <si>
    <t>AAAGAATATTTTCAAGCAATTGTTAAACGTGGTAAGATTCCACATATTATTCTTCATTCTCCT</t>
  </si>
  <si>
    <t>AAAGAATATTTTCGTAATATTGTTAAATCTGGTAAGATTCCACATATTATTCTTCATTCTCCT</t>
  </si>
  <si>
    <t>AAAGAATATTTTCGTAATATTGTTGCACGTGGTAAGATTCCACATATTATTCTTCATTCTCCT</t>
  </si>
  <si>
    <t>AAAGAATATTTTCGTGCAATTGTTAAACGTGGTAAGATTCCACATATTATTCTTCATTCTCCT</t>
  </si>
  <si>
    <t>AAAGAATATTTTCGTGCAATTGTTGCAAAAGGTAAGATTCCACATATTATTCTTCATTCTCCT</t>
  </si>
  <si>
    <t>AAAGAATATTTTCGTTCTATTGTTGCACGTGGTAAGATTCCACATATTATTCTTCATTCTCCT</t>
  </si>
  <si>
    <t>AAAGAATTTTTTAAAAATATTGTTAAAAAAGGTAAGATTCCACATATTATTCTTCATTCTCCT</t>
  </si>
  <si>
    <t>AAAGAATTTTTTAAAAATATTGTTAAACGTGGTAAGATTCCACATATTATTCTTCATTCTCCT</t>
  </si>
  <si>
    <t>AAAGAATTTTTTAAAAATATTGTTAAAGCAGGTAAGATTCCACATATTATTCTTCATTCTCCT</t>
  </si>
  <si>
    <t>AAAGAATTTTTTAAAAATATTGTTAAATCTGGTAAGATTCCACATATTATTCTTCATTCTCCT</t>
  </si>
  <si>
    <t>AAAGAATTTTTTAAAAATATTGTTGAATCTGGTAAGATTCCACATATTATTCTTCATTCTCCT</t>
  </si>
  <si>
    <t>AAAGAATTTTTTAAAAATATTGTTGCAAAAGGTAAGATTCCACATATTATTCTTCATTCTCCT</t>
  </si>
  <si>
    <t>AAAGAATTTTTTAAAAATATTGTTGCACGTGGTAAGATTCCACATATTATTCTTCATTCTCCT</t>
  </si>
  <si>
    <t>AAAGAATTTTTTAAAAATATTGTTGCATCTGGTAAGATTCCACATATTATTCTTCATTCTCCT</t>
  </si>
  <si>
    <t>AAAGAATTTTTTAAAAATATTGTTTCTTCTGGTAAGATTCCACATATTATTCTTCATTCTCCT</t>
  </si>
  <si>
    <t>AAAGAATTTTTTAAACAAATTGTTAAAAAAGGTAAGATTCCACATATTATTCTTCATTCTCCT</t>
  </si>
  <si>
    <t>AAAGAATTTTTTAAACAAATTGTTGCACGTGGTAAGATTCCACATATTATTCTTCATTCTCCT</t>
  </si>
  <si>
    <t>AAAGAATTTTTTAAACAAATTGTTGCATCTGGTAAGATTCCACATATTATTCTTCATTCTCCT</t>
  </si>
  <si>
    <t>AAAGAATTTTTTAAAGAAATTGTTAAACGTGGTAAGATTCCACATATTATTCTTCATTCTCCT</t>
  </si>
  <si>
    <t>AAAGAATTTTTTAAAGAAATTGTTCGTCGTGGTAAGATTCCACATATTATTCTTCATTCTCCT</t>
  </si>
  <si>
    <t>AAAGAATTTTTTAAAGAAATTGTTGCAAAAGGTAAGATTCCACATATTATTCTTCATTCTCCT</t>
  </si>
  <si>
    <t>AAAGAATTTTTTAAAGAAATTGTTGCACGTGGTAAGATTCCACATATTATTCTTCATTCTCCT</t>
  </si>
  <si>
    <t>AAAGAATTTTTTAAAGAAATTGTTGCATCTGGTAAGATTCCACATATTATTCTTCATTCTCCT</t>
  </si>
  <si>
    <t>AAAGAATTTTTTAAAGATATTGTTGCACGTGGTAAGATTCCACATATTATTCTTCATTCTCCT</t>
  </si>
  <si>
    <t>AAAGAATTTTTTAAAGCAATTGTTAAAAAAGGTAAGATTCCACATATTATTCTTCATTCTCCT</t>
  </si>
  <si>
    <t>AAAGAATTTTTTAAAGCAATTGTTAAACGTGGTAAGATTCCACATATTATTCTTCATTCTCCT</t>
  </si>
  <si>
    <t>AAAGAATTTTTTAAAGCAATTGTTAAATCTGGTAAGATTCCACATATTATTCTTCATTCTCCT</t>
  </si>
  <si>
    <t>AAAGAATTTTTTAAAGCAATTGTTCAAAAAGGTAAGATTCCACATATTATTCTTCATTCTCCT</t>
  </si>
  <si>
    <t>AAAGAATTTTTTAAAGCAATTGTTCAACGTGGTAAGATTCCACATATTATTCTTCATTCTCCT</t>
  </si>
  <si>
    <t>AAAGAATTTTTTAAAGCAATTGTTGAACGTGGTAAGATTCCACATATTATTCTTCATTCTCCT</t>
  </si>
  <si>
    <t>AAAGAATTTTTTAAAGCAATTGTTGCAAAAGGTAAGATTCCACATATTATTCTTCATTCTCCT</t>
  </si>
  <si>
    <t>AAAGAATTTTTTAAAGCAATTGTTGCACGTGGTAAGATTCCACATATTATTCTTCATTCTCCT</t>
  </si>
  <si>
    <t>AAAGAATTTTTTAAAGCAATTGTTGCATCTGGTAAGATTCCACATATTATTCTTCATTCTCCT</t>
  </si>
  <si>
    <t>AAAGAATTTTTTAAATCTATTGTTAAAAAAGGTAAGATTCCACATATTATTCTTCATTCTCCT</t>
  </si>
  <si>
    <t>AAAGAATTTTTTAAATCTATTGTTAAACGTGGTAAGATTCCACATATTATTCTTCATTCTCCT</t>
  </si>
  <si>
    <t>AAAGAATTTTTTAAATCTATTGTTAAAGCAGGTAAGATTCCACATATTATTCTTCATTCTCCT</t>
  </si>
  <si>
    <t>AAAGAATTTTTTAAATCTATTGTTAAATCTGGTAAGATTCCACATATTATTCTTCATTCTCCT</t>
  </si>
  <si>
    <t>AAAGAATTTTTTAAATCTATTGTTGAATCTGGTAAGATTCCACATATTATTCTTCATTCTCCT</t>
  </si>
  <si>
    <t>AAAGAATTTTTTAAATCTATTGTTGCAAAAGGTAAGATTCCACATATTATTCTTCATTCTCCT</t>
  </si>
  <si>
    <t>AAAGAATTTTTTAAATCTATTGTTGCACGTGGTAAGATTCCACATATTATTCTTCATTCTCCT</t>
  </si>
  <si>
    <t>AAAGAATTTTTTAAATCTATTGTTGCAGCAGGTAAGATTCCACATATTATTCTTCATTCTCCT</t>
  </si>
  <si>
    <t>AAAGAATTTTTTAAATCTATTGTTGCATCTGGTAAGATTCCACATATTATTCTTCATTCTCCT</t>
  </si>
  <si>
    <t>AAAGAATTTTTTCAAAATATTGTTGCAAAAGGTAAGATTCCACATATTATTCTTCATTCTCCT</t>
  </si>
  <si>
    <t>AAAGAATTTTTTCAAGCAATTGTTAAACGTGGTAAGATTCCACATATTATTCTTCATTCTCCT</t>
  </si>
  <si>
    <t>AAAGAATTTTTTCATTCTATTGTTAAAAAAGGTAAGATTCCACATATTATTCTTCATTCTCCT</t>
  </si>
  <si>
    <t>AAAGAATTTTTTCATTCTATTGTTAAATCTGGTAAGATTCCACATATTATTCTTCATTCTCCT</t>
  </si>
  <si>
    <t>AAAGAATTTTTTCGTAATATTGTTAAAAAAGGTAAGATTCCACATATTATTCTTCATTCTCCT</t>
  </si>
  <si>
    <t>AAAGAATTTTTTCGTAATATTGTTAAATCTGGTAAGATTCCACATATTATTCTTCATTCTCCT</t>
  </si>
  <si>
    <t>AAAGAATTTTTTCGTCAAATTGTTGCAAAAGGTAAGATTCCACATATTATTCTTCATTCTCCT</t>
  </si>
  <si>
    <t>AAAGAATTTTTTCGTGAAATTGTTAAAAAAGGTAAGATTCCACATATTATTCTTCATTCTCCT</t>
  </si>
  <si>
    <t>AAAGAATTTTTTCGTGCAATTGTTGCACGTGGTAAGATTCCACATATTATTCTTCATTCTCCT</t>
  </si>
  <si>
    <t>AAAGAATTTTTTCGTGCAATTGTTGCATCTGGTAAGATTCCACATATTATTCTTCATTCTCCT</t>
  </si>
  <si>
    <t>AAAGAATTTTTTCGTTCTATTGTTGCACGTGGTAAGATTCCACATATTATTCTTCATTCTCCT</t>
  </si>
  <si>
    <t>AAAGAATTTTTTCGTTCTATTGTTGCATCTGGTAAGATTCCACATATTATTCTTCATTCTCCT</t>
  </si>
  <si>
    <t>AAAGAATTTTTTCTGTCTATTGTTAAATCTGGTAAGATTCCACATATTATTCTTCATTCTCCT</t>
  </si>
  <si>
    <t>AAAGAATTTTTTGATTCTATTGTTGCAAAAGGTAAGATTCCACATATTATTCTTCATTCTCCT</t>
  </si>
  <si>
    <t>AAAGATCTGTTTAAAGCAATTGTTGCACGTGGTAAGATTCCACATATTATTCTTCATTCTCCT</t>
  </si>
  <si>
    <t>AAAGATTTTTTTAAAGAAATTGTTGCACGTGGTAAGATTCCACATATTATTCTTCATTCTCCT</t>
  </si>
  <si>
    <t>AAAGATTTTTTTAAAGATATTGTTAAAAAAGGTAAGATTCCACATATTATTCTTCATTCTCCT</t>
  </si>
  <si>
    <t>AAAGATTTTTTTAAATCTATTGTTGCAAAAGGTAAGATTCCACATATTATTCTTCATTCTCCT</t>
  </si>
  <si>
    <t>AAAGATTTTTTTAAATCTATTGTTGCACGTGGTAAGATTCCACATATTATTCTTCATTCTCCT</t>
  </si>
  <si>
    <t>AAAGATTTTTTTCGTCAAATTGTTGCAAAAGGTAAGATTCCACATATTATTCTTCATTCTCCT</t>
  </si>
  <si>
    <t>AAAGCAAAAATGAAAGAAATTGCAAAATCTGGTAAGATTCCACATATTATTCTTCATTCTCCT</t>
  </si>
  <si>
    <t>AAAGCAAAAATGAAAGAAATTGCAGCATCTGGTAAGATTCCACATATTATTCTTCATTCTCCT</t>
  </si>
  <si>
    <t>AAAGCAAAAATGAAAGAAATTGTTGCATCTGGTAAGATTCCACATATTATTCTTCATTCTCCT</t>
  </si>
  <si>
    <t>AAAGCAAAAATGCGTGAAATTGCAGCATCTGGTAAGATTCCACATATTATTCTTCATTCTCCT</t>
  </si>
  <si>
    <t>AAAGCAAAATTTAAAGAAATTGCAGCAGCAGGTAAGATTCCACATATTATTCTTCATTCTCCT</t>
  </si>
  <si>
    <t>AAAGCAAAATTTAAAGCAATTGCAGCATCTGGTAAGATTCCACATATTATTCTTCATTCTCCT</t>
  </si>
  <si>
    <t>AAAGCAACTATGAAAGAAATTGCAAAATCTGGTAAGATTCCACATATTATTCTTCATTCTCCT</t>
  </si>
  <si>
    <t>AAAGCAACTATGAAAGAAATTGCAGCATCTGGTAAGATTCCACATATTATTCTTCATTCTCCT</t>
  </si>
  <si>
    <t>AAAGCAACTATGAAAGAAATTGCATCTTCTGGTAAGATTCCACATATTATTCTTCATTCTCCT</t>
  </si>
  <si>
    <t>AAAGCAACTATGAAAGAAATTGTTGCATCTGGTAAGATTCCACATATTATTCTTCATTCTCCT</t>
  </si>
  <si>
    <t>AAAGCAACTCTGAAACAAATTGCAGCATCTGGTAAGATTCCACATATTATTCTTCATTCTCCT</t>
  </si>
  <si>
    <t>AAAGCAACTCTGAAAGAAATTGCAGCATCTGGTAAGATTCCACATATTATTCTTCATTCTCCT</t>
  </si>
  <si>
    <t>AAAGCAACTTTTAAAGAAATTGCAGCATCTGGTAAGATTCCACATATTATTCTTCATTCTCCT</t>
  </si>
  <si>
    <t>AAAGCACAAATGAAAGAAATTGCAGATTCTGGTAAGATTCCACATATTATTCTTCATTCTCCT</t>
  </si>
  <si>
    <t>AAAGCACGTATGAAAGAAATTGCAAAATCTGGTAAGATTCCACATATTATTCTTCATTCTCCT</t>
  </si>
  <si>
    <t>AAAGCACGTATGAAAGAAATTGCAAATTCTGGTAAGATTCCACATATTATTCTTCATTCTCCT</t>
  </si>
  <si>
    <t>AAAGCACGTATGAAAGAAATTGCAGCATCTGGTAAGATTCCACATATTATTCTTCATTCTCCT</t>
  </si>
  <si>
    <t>AAAGCACGTATGAAAGAAATTGTTGCATCTGGTAAGATTCCACATATTATTCTTCATTCTCCT</t>
  </si>
  <si>
    <t>AAAGCACGTATGAAAGCAATTGTTGAATCTGGTAAGATTCCACATATTATTCTTCATTCTCCT</t>
  </si>
  <si>
    <t>AAAGCACGTATGCAAGAAATTGCAGCATCTGGTAAGATTCCACATATTATTCTTCATTCTCCT</t>
  </si>
  <si>
    <t>AAAGCACGTATGCGTGAAATTGCAAAATCTGGTAAGATTCCACATATTATTCTTCATTCTCCT</t>
  </si>
  <si>
    <t>AAAGCACGTCTGAAAGAAATTGCAGCATCTGGTAAGATTCCACATATTATTCTTCATTCTCCT</t>
  </si>
  <si>
    <t>AAAGCACGTTTTAAAGAAATTGCAGCATCTGGTAAGATTCCACATATTATTCTTCATTCTCCT</t>
  </si>
  <si>
    <t>AAAGCACGTTTTAAAGCAATTGCAGCATCTGGTAAGATTCCACATATTATTCTTCATTCTCCT</t>
  </si>
  <si>
    <t>AAAGCACTGATGAAAAAAATTGCAGATTCTGGTAAGATTCCACATATTATTCTTCATTCTCCT</t>
  </si>
  <si>
    <t>AAAGCACTGATGAAAAAAATTGCAGCATCTGGTAAGATTCCACATATTATTCTTCATTCTCCT</t>
  </si>
  <si>
    <t>AAAGCACTGATGAAAGAAATTGCAAAATCTGGTAAGATTCCACATATTATTCTTCATTCTCCT</t>
  </si>
  <si>
    <t>AAAGCACTGATGAAAGAAATTGCAAATTCTGGTAAGATTCCACATATTATTCTTCATTCTCCT</t>
  </si>
  <si>
    <t>AAAGCACTGATGAAAGAAATTGCAGAATCTGGTAAGATTCCACATATTATTCTTCATTCTCCT</t>
  </si>
  <si>
    <t>AAAGCACTGATGAAAGAAATTGCAGCATCTGGTAAGATTCCACATATTATTCTTCATTCTCCT</t>
  </si>
  <si>
    <t>AAAGCACTGATGAAAGAAATTGTTGCATCTGGTAAGATTCCACATATTATTCTTCATTCTCCT</t>
  </si>
  <si>
    <t>AAAGCACTGATGCGTGAAATTGCAAAATCTGGTAAGATTCCACATATTATTCTTCATTCTCCT</t>
  </si>
  <si>
    <t>AAAGCACTGATGCGTGAAATTGCAGAATCTGGTAAGATTCCACATATTATTCTTCATTCTCCT</t>
  </si>
  <si>
    <t>AAAGCACTGATGCGTGAAATTGCAGCATCTGGTAAGATTCCACATATTATTCTTCATTCTCCT</t>
  </si>
  <si>
    <t>AAAGCACTGATTAAACAAATTGTTGCATCTGGTAAGATTCCACATATTATTCTTCATTCTCCT</t>
  </si>
  <si>
    <t>AAAGCACTGCTGAAACAAATTGCAGCATCTGGTAAGATTCCACATATTATTCTTCATTCTCCT</t>
  </si>
  <si>
    <t>AAAGCACTGCTGAAACGTATTGCAGCATCTGGTAAGATTCCACATATTATTCTTCATTCTCCT</t>
  </si>
  <si>
    <t>AAAGCACTGCTGAAAGAAATTGCAGATTCTGGTAAGATTCCACATATTATTCTTCATTCTCCT</t>
  </si>
  <si>
    <t>AAAGCACTGCTGAAAGAAATTGCAGCATCTGGTAAGATTCCACATATTATTCTTCATTCTCCT</t>
  </si>
  <si>
    <t>AAAGCACTGCTGAAAGAAATTGTTAAATCTGGTAAGATTCCACATATTATTCTTCATTCTCCT</t>
  </si>
  <si>
    <t>AAAGCACTGTTTAAAAAAATTGCAGCATCTGGTAAGATTCCACATATTATTCTTCATTCTCCT</t>
  </si>
  <si>
    <t>AAAGCACTGTTTAAAGAAATTGCACGTTCTGGTAAGATTCCACATATTATTCTTCATTCTCCT</t>
  </si>
  <si>
    <t>AAAGCACTGTTTAAAGAAATTGCAGCAGCAGGTAAGATTCCACATATTATTCTTCATTCTCCT</t>
  </si>
  <si>
    <t>AAAGCACTGTTTAAAGAAATTGCAGCATCTGGTAAGATTCCACATATTATTCTTCATTCTCCT</t>
  </si>
  <si>
    <t>AAAGCACTGTTTAAAGAAATTGTTGCATCTGGTAAGATTCCACATATTATTCTTCATTCTCCT</t>
  </si>
  <si>
    <t>AAAGCACTGTTTAAAGAAATTTGTGCATCTGGTAAGATTCCACATATTATTCTTCATTCTCCT</t>
  </si>
  <si>
    <t>AAAGCACTGTTTAAAGCAATTGTTAAAAAAGGTAAGATTCCACATATTATTCTTCATTCTCCT</t>
  </si>
  <si>
    <t>AAAGCACTGTTTAAAGCAATTGTTAAACGTGGTAAGATTCCACATATTATTCTTCATTCTCCT</t>
  </si>
  <si>
    <t>AAAGCACTGTTTAAAGCAATTGTTGATAAAGGTAAGATTCCACATATTATTCTTCATTCTCCT</t>
  </si>
  <si>
    <t>AAAGCACTGTTTAAAGCAATTGTTGCAAAAGGTAAGATTCCACATATTATTCTTCATTCTCCT</t>
  </si>
  <si>
    <t>AAAGCACTGTTTAAAGCAATTGTTGCACGTGGTAAGATTCCACATATTATTCTTCATTCTCCT</t>
  </si>
  <si>
    <t>AAAGCACTGTTTAAATCTATTGTTAAACGTGGTAAGATTCCACATATTATTCTTCATTCTCCT</t>
  </si>
  <si>
    <t>AAAGCACTGTTTAAATCTATTGTTGAAAAAGGTAAGATTCCACATATTATTCTTCATTCTCCT</t>
  </si>
  <si>
    <t>AAAGCACTGTTTAAATCTATTGTTGCAAAAGGTAAGATTCCACATATTATTCTTCATTCTCCT</t>
  </si>
  <si>
    <t>AAAGCACTGTTTAAATCTATTGTTGCACGTGGTAAGATTCCACATATTATTCTTCATTCTCCT</t>
  </si>
  <si>
    <t>AAAGCACTGTTTCGTGCAATTGTTGCACGTGGTAAGATTCCACATATTATTCTTCATTCTCCT</t>
  </si>
  <si>
    <t>AAAGCACTGTTTCGTTCTATTGTTGCACGTGGTAAGATTCCACATATTATTCTTCATTCTCCT</t>
  </si>
  <si>
    <t>AAAGCAGAAATGAAAAAAATTGCAGAATCTGGTAAGATTCCACATATTATTCTTCATTCTCCT</t>
  </si>
  <si>
    <t>AAAGCAGAAATGAAAAAAATTGCAGCATCTGGTAAGATTCCACATATTATTCTTCATTCTCCT</t>
  </si>
  <si>
    <t>AAAGCAGAAATGAAAAAAATTGTTGCATCTGGTAAGATTCCACATATTATTCTTCATTCTCCT</t>
  </si>
  <si>
    <t>AAAGCAGAAATGAAACGTATTGCAGCATCTGGTAAGATTCCACATATTATTCTTCATTCTCCT</t>
  </si>
  <si>
    <t>AAAGCAGAAATGAAAGAAATTGCAGCATCTGGTAAGATTCCACATATTATTCTTCATTCTCCT</t>
  </si>
  <si>
    <t>AAAGCAGAAATGAAAGCAATTGCAAAATCTGGTAAGATTCCACATATTATTCTTCATTCTCCT</t>
  </si>
  <si>
    <t>AAAGCAGAAATGCGTAAAATTGCAGAATCTGGTAAGATTCCACATATTATTCTTCATTCTCCT</t>
  </si>
  <si>
    <t>AAAGCAGAAATGCGTGCAATTGCAGCATCTGGTAAGATTCCACATATTATTCTTCATTCTCCT</t>
  </si>
  <si>
    <t>AAAGCAGAACTGAAAAAAATTGCAGCATCTGGTAAGATTCCACATATTATTCTTCATTCTCCT</t>
  </si>
  <si>
    <t>AAAGCAGAACTGAAACGTATTGCAGCATCTGGTAAGATTCCACATATTATTCTTCATTCTCCT</t>
  </si>
  <si>
    <t>AAAGCAGAACTGAAAGAAATTGCAGCATCTGGTAAGATTCCACATATTATTCTTCATTCTCCT</t>
  </si>
  <si>
    <t>AAAGCAGAATTTAAAGCAATTGCAGCATCTGGTAAGATTCCACATATTATTCTTCATTCTCCT</t>
  </si>
  <si>
    <t>AAAGCATATTTTAAAGAAATTGCAAAATCTGGTAAGATTCCACATATTATTCTTCATTCTCCT</t>
  </si>
  <si>
    <t>AAAGCATATTTTAAAGAAATTGTTAAACGTGGTAAGATTCCACATATTATTCTTCATTCTCCT</t>
  </si>
  <si>
    <t>AAAGCATATTTTAAAGCAATTGTTCAACGTGGTAAGATTCCACATATTATTCTTCATTCTCCT</t>
  </si>
  <si>
    <t>AAAGCATATTTTAAAGCAATTGTTGCAAAAGGTAAGATTCCACATATTATTCTTCATTCTCCT</t>
  </si>
  <si>
    <t>AAAGCATATTTTAAAGCAATTGTTGCACGTGGTAAGATTCCACATATTATTCTTCATTCTCCT</t>
  </si>
  <si>
    <t>AAAGCATATTTTAAAGCAATTGTTGCATCTGGTAAGATTCCACATATTATTCTTCATTCTCCT</t>
  </si>
  <si>
    <t>AAAGCATATTTTAAATCTATTGTTGCACGTGGTAAGATTCCACATATTATTCTTCATTCTCCT</t>
  </si>
  <si>
    <t>AAAGCATATTTTAAATCTATTGTTGCATCTGGTAAGATTCCACATATTATTCTTCATTCTCCT</t>
  </si>
  <si>
    <t>AAAGCATATTTTCGTGCAATTGTTGCACGTGGTAAGATTCCACATATTATTCTTCATTCTCCT</t>
  </si>
  <si>
    <t>AAAGCATTTTTTAAAGATATTGTTAAAAAAGGTAAGATTCCACATATTATTCTTCATTCTCCT</t>
  </si>
  <si>
    <t>AAAGCATTTTTTAAAGATATTGTTAAATCTGGTAAGATTCCACATATTATTCTTCATTCTCCT</t>
  </si>
  <si>
    <t>AAAGCATTTTTTAAAGATATTGTTGCACGTGGTAAGATTCCACATATTATTCTTCATTCTCCT</t>
  </si>
  <si>
    <t>AAAGCATTTTTTAAAGATATTGTTGCAGCAGGTAAGATTCCACATATTATTCTTCATTCTCCT</t>
  </si>
  <si>
    <t>AAAGCATTTTTTAAAGATATTGTTGCATCTGGTAAGATTCCACATATTATTCTTCATTCTCCT</t>
  </si>
  <si>
    <t>AAAGCATTTTTTAAAGCAATTGTTAAAAAAGGTAAGATTCCACATATTATTCTTCATTCTCCT</t>
  </si>
  <si>
    <t>AAAGCATTTTTTAAAGCAATTGTTAAACGTGGTAAGATTCCACATATTATTCTTCATTCTCCT</t>
  </si>
  <si>
    <t>AAAGCATTTTTTAAAGCAATTGTTGAAAAAGGTAAGATTCCACATATTATTCTTCATTCTCCT</t>
  </si>
  <si>
    <t>AAAGCATTTTTTAAAGCAATTGTTGAACGTGGTAAGATTCCACATATTATTCTTCATTCTCCT</t>
  </si>
  <si>
    <t>AAAGCATTTTTTAAAGCAATTGTTGCAAAAGGTAAGATTCCACATATTATTCTTCATTCTCCT</t>
  </si>
  <si>
    <t>AAAGCATTTTTTAAAGCAATTGTTGCACGTGGTAAGATTCCACATATTATTCTTCATTCTCCT</t>
  </si>
  <si>
    <t>AAAGCATTTTTTAAAGCAATTGTTGCATCTGGTAAGATTCCACATATTATTCTTCATTCTCCT</t>
  </si>
  <si>
    <t>AAAGCATTTTTTAAATCTATTGTTGAAAAAGGTAAGATTCCACATATTATTCTTCATTCTCCT</t>
  </si>
  <si>
    <t>AAAGCATTTTTTAAATCTATTGTTGCAAAAGGTAAGATTCCACATATTATTCTTCATTCTCCT</t>
  </si>
  <si>
    <t>AAAGCATTTTTTAAATCTATTGTTGCACGTGGTAAGATTCCACATATTATTCTTCATTCTCCT</t>
  </si>
  <si>
    <t>AAAGCATTTTTTAAATCTATTGTTGCATCTGGTAAGATTCCACATATTATTCTTCATTCTCCT</t>
  </si>
  <si>
    <t>AAAGCATTTTTTAAATCTATTGTTTCTTCTGGTAAGATTCCACATATTATTCTTCATTCTCCT</t>
  </si>
  <si>
    <t>AAAGCATTTTTTCGTGCAATTGTTAAACGTGGTAAGATTCCACATATTATTCTTCATTCTCCT</t>
  </si>
  <si>
    <t>AAAGCATTTTTTCGTGCAATTGTTGCAAAAGGTAAGATTCCACATATTATTCTTCATTCTCCT</t>
  </si>
  <si>
    <t>AAAGCATTTTTTCGTGCAATTGTTGCATCTGGTAAGATTCCACATATTATTCTTCATTCTCCT</t>
  </si>
  <si>
    <t>AAAGCATTTTTTCGTTCTATTGTTGCACGTGGTAAGATTCCACATATTATTCTTCATTCTCCT</t>
  </si>
  <si>
    <t>AAAGCATTTTTTGAAGCAATTGTTAAACGTGGTAAGATTCCACATATTATTCTTCATTCTCCT</t>
  </si>
  <si>
    <t>AAAGGTTTTTTTAAAGCAATTGTTGCAAAAGGTAAGATTCCACATATTATTCTTCATTCTCCT</t>
  </si>
  <si>
    <t>AAATCTCTGATGAAAGAAATTGCAGCATCTGGTAAGATTCCACATATTATTCTTCATTCTCCT</t>
  </si>
  <si>
    <t>AAATCTCTGTTTAAATCTATTGTTAAAAAAGGTAAGATTCCACATATTATTCTTCATTCTCCT</t>
  </si>
  <si>
    <t>AAATCTCTGTTTAAATCTATTGTTGCAAAAGGTAAGATTCCACATATTATTCTTCATTCTCCT</t>
  </si>
  <si>
    <t>AAATCTTATTTTAAAGATATTGTTAAAAAAGGTAAGATTCCACATATTATTCTTCATTCTCCT</t>
  </si>
  <si>
    <t>AAATCTTATTTTAAAGCAATTGTTAAAAAAGGTAAGATTCCACATATTATTCTTCATTCTCCT</t>
  </si>
  <si>
    <t>AAATCTTATTTTGAATCTATTGTTAAATCTGGTAAGATTCCACATATTATTCTTCATTCTCCT</t>
  </si>
  <si>
    <t>AAATCTTTTTTTAAAGAAATTGTTGAATCTGGTAAGATTCCACATATTATTCTTCATTCTCCT</t>
  </si>
  <si>
    <t>AAATCTTTTTTTAAAGCAATTGTTGAATCTGGTAAGATTCCACATATTATTCTTCATTCTCCT</t>
  </si>
  <si>
    <t>AAATCTTTTTTTAAATCTATTGTTGCATCTGGTAAGATTCCACATATTATTCTTCATTCTCCT</t>
  </si>
  <si>
    <t>CGTAAACGTATGAAAGAAATTGCAGAATCTGGTAAGATTCCACATATTATTCTTCATTCTCCT</t>
  </si>
  <si>
    <t>CGTAAACGTTTTAAAGAAATTGCAGCATCTGGTAAGATTCCACATATTATTCTTCATTCTCCT</t>
  </si>
  <si>
    <t>CGTAAACTGATGAAAGAAATTGCAAATTCTGGTAAGATTCCACATATTATTCTTCATTCTCCT</t>
  </si>
  <si>
    <t>CGTAAACTGATGAAAGAAATTGCAGAATCTGGTAAGATTCCACATATTATTCTTCATTCTCCT</t>
  </si>
  <si>
    <t>CGTAAACTGATGAAAGAAATTGCAGATTCTGGTAAGATTCCACATATTATTCTTCATTCTCCT</t>
  </si>
  <si>
    <t>CGTAAACTGTTTAAAGAAATTGCAGCATCTGGTAAGATTCCACATATTATTCTTCATTCTCCT</t>
  </si>
  <si>
    <t>CGTCAACTGATGAAAGAAATTGTTAAATCTGGTAAGATTCCACATATTATTCTTCATTCTCCT</t>
  </si>
  <si>
    <t>CGTGAAAAAATGAAAGAAATTGTTAAATCTGGTAAGATTCCACATATTATTCTTCATTCTCCT</t>
  </si>
  <si>
    <t>CGTGAAACTATGAAAGCAATTGCAGCATCTGGTAAGATTCCACATATTATTCTTCATTCTCCT</t>
  </si>
  <si>
    <t>CGTGAAATGTTTAAAAAAATTGCAGCATCTGGTAAGATTCCACATATTATTCTTCATTCTCCT</t>
  </si>
  <si>
    <t>CGTGAACGTATGAAAGCAATTGCAGCATCTGGTAAGATTCCACATATTATTCTTCATTCTCCT</t>
  </si>
  <si>
    <t>CGTGAACGTATGCGTAAAATTGCAGCATCTGGTAAGATTCCACATATTATTCTTCATTCTCCT</t>
  </si>
  <si>
    <t>CGTGAACGTTTTCGTAAAATTGCAGCATCTGGTAAGATTCCACATATTATTCTTCATTCTCCT</t>
  </si>
  <si>
    <t>CGTGAACTGATGAAAAAAATTGCAGAATCTGGTAAGATTCCACATATTATTCTTCATTCTCCT</t>
  </si>
  <si>
    <t>CGTGAACTGATGAAAAAAATTGCAGCATCTGGTAAGATTCCACATATTATTCTTCATTCTCCT</t>
  </si>
  <si>
    <t>CGTGAACTGTTTAAAAAAATTGCAGCATCTGGTAAGATTCCACATATTATTCTTCATTCTCCT</t>
  </si>
  <si>
    <t>CGTGAACTGTTTAAATCTATTGTTAATGCAGGTAAGATTCCACATATTATTCTTCATTCTCCT</t>
  </si>
  <si>
    <t>CGTGAAGAAATGAAAAAAATTGCAGCATCTGGTAAGATTCCACATATTATTCTTCATTCTCCT</t>
  </si>
  <si>
    <t>CGTGCAAAAATGAAAGAAATTGCAGCATCTGGTAAGATTCCACATATTATTCTTCATTCTCCT</t>
  </si>
  <si>
    <t>CGTGCAACTATGAAAGAAATTGCAAATTCTGGTAAGATTCCACATATTATTCTTCATTCTCCT</t>
  </si>
  <si>
    <t>CGTGCAACTATGAAAGAAATTGCAGCATCTGGTAAGATTCCACATATTATTCTTCATTCTCCT</t>
  </si>
  <si>
    <t>CGTGCAACTATGCGTGAAATTGCAGCATCTGGTAAGATTCCACATATTATTCTTCATTCTCCT</t>
  </si>
  <si>
    <t>CGTGCACTGATGAAAGAAATTGCAGCATCTGGTAAGATTCCACATATTATTCTTCATTCTCCT</t>
  </si>
  <si>
    <t>CGTGCATATTTTAAAGAAATTGCAGCATCTGGTAAGATTCCACATATTATTCTTCATTCTCCT</t>
  </si>
  <si>
    <t>CGTGCATATTTTAAAGAACTGGCAGCATCTGGTAAGATTCCACATATTATTCTTCATTCTCCT</t>
  </si>
  <si>
    <t>CTGAAAAAAATGAAAGAAATTGCAAAATCTGGTAAGATTCCACATATTATTCTTCATTCTCCT</t>
  </si>
  <si>
    <t>CTGAAAAAAATGAAAGAAATTGCAGCATCTGGTAAGATTCCACATATTATTCTTCATTCTCCT</t>
  </si>
  <si>
    <t>CTGAAAACTATGAAAGAAATTGCAGAATCTGGTAAGATTCCACATATTATTCTTCATTCTCCT</t>
  </si>
  <si>
    <t>CTGAAACGTATGAAAGAAATTGCAGCATCTGGTAAGATTCCACATATTATTCTTCATTCTCCT</t>
  </si>
  <si>
    <t>CTGAAACGTATGCGTGAAATTGCAAAATCTGGTAAGATTCCACATATTATTCTTCATTCTCCT</t>
  </si>
  <si>
    <t>CTGAAACGTCTGAAAGAAATTGTTTCTTCTGGTAAGATTCCACATATTATTCTTCATTCTCCT</t>
  </si>
  <si>
    <t>CTGAAACGTTTTAAAGAAATTGCAGCATCTGGTAAGATTCCACATATTATTCTTCATTCTCCT</t>
  </si>
  <si>
    <t>CTGAAACTGATGAAAGAAATTGCAGCATCTGGTAAGATTCCACATATTATTCTTCATTCTCCT</t>
  </si>
  <si>
    <t>CTGAAACTGATGCGTGAAATTGCAGCATCTGGTAAGATTCCACATATTATTCTTCATTCTCCT</t>
  </si>
  <si>
    <t>CTGAAACTGTTTAAAGAAATTGCAGCATCTGGTAAGATTCCACATATTATTCTTCATTCTCCT</t>
  </si>
  <si>
    <t>CTGAAAGAAATGAAAGAAATTGTTGAATCTGGTAAGATTCCACATATTATTCTTCATTCTCCT</t>
  </si>
  <si>
    <t>CTGAAAGAAATGAAAGAAATTGTTGCATCTGGTAAGATTCCACATATTATTCTTCATTCTCCT</t>
  </si>
  <si>
    <t>CTGAAATATTTTAAAGATATTGTTAAATCTGGTAAGATTCCACATATTATTCTTCATTCTCCT</t>
  </si>
  <si>
    <t>CTGAAATTTTTTCGTGAAATTGTTGCAAAAGGTAAGATTCCACATATTATTCTTCATTCTCCT</t>
  </si>
  <si>
    <t>CTGAAATTTTTTCGTGATATTGTTGCACGTGGTAAGATTCCACATATTATTCTTCATTCTCCT</t>
  </si>
  <si>
    <t>CTGAATTATTTTAAAGAAATTGTTGCAAAAGGTAAGATTCCACATATTATTCTTCATTCTCCT</t>
  </si>
  <si>
    <t>CTGCAAAAAATGAAAGAAATTGCAGCATCTGGTAAGATTCCACATATTATTCTTCATTCTCCT</t>
  </si>
  <si>
    <t>CTGCAACGTATGAAAGAAATTGTTGCATCTGGTAAGATTCCACATATTATTCTTCATTCTCCT</t>
  </si>
  <si>
    <t>CTGCAACGTATGCGTGAAATTGCAGCATCTGGTAAGATTCCACATATTATTCTTCATTCTCCT</t>
  </si>
  <si>
    <t>CTGCAACGTTTTAAAGCAATTGTTGCATCTGGTAAGATTCCACATATTATTCTTCATTCTCCT</t>
  </si>
  <si>
    <t>CTGCAACTGATGAAAGAAATTGCAGCATCTGGTAAGATTCCACATATTATTCTTCATTCTCCT</t>
  </si>
  <si>
    <t>CTGCAACTGTTTAAAGAAATTGCAGCATCTGGTAAGATTCCACATATTATTCTTCATTCTCCT</t>
  </si>
  <si>
    <t>CTGCAACTGTTTAAAGATATTGTTAAACGTGGTAAGATTCCACATATTATTCTTCATTCTCCT</t>
  </si>
  <si>
    <t>CTGCAAGAAATGAAAGCAATTGCAGCATCTGGTAAGATTCCACATATTATTCTTCATTCTCCT</t>
  </si>
  <si>
    <t>CTGCAATATTTTAAAGATATTGTTGCATCTGGTAAGATTCCACATATTATTCTTCATTCTCCT</t>
  </si>
  <si>
    <t>CTGGAAAAATTTAAAGAAATTGCAGCATCTGGTAAGATTCCACATATTATTCTTCATTCTCCT</t>
  </si>
  <si>
    <t>CTGGAAACTATGAAAAAAATTGCAGAATCTGGTAAGATTCCACATATTATTCTTCATTCTCCT</t>
  </si>
  <si>
    <t>CTGGAAACTATGAAAAAAATTGCAGCATCTGGTAAGATTCCACATATTATTCTTCATTCTCCT</t>
  </si>
  <si>
    <t>CTGGAAACTATGCGTAAAATTGCAGCATCTGGTAAGATTCCACATATTATTCTTCATTCTCCT</t>
  </si>
  <si>
    <t>CTGGAAACTATGCGTGAAATTGCAAAATCTGGTAAGATTCCACATATTATTCTTCATTCTCCT</t>
  </si>
  <si>
    <t>CTGGAAATGTTTAAAAAAATTGCAGCATCTGGTAAGATTCCACATATTATTCTTCATTCTCCT</t>
  </si>
  <si>
    <t>CTGGAACGTATGAAAGCAATTGCAGATTCTGGTAAGATTCCACATATTATTCTTCATTCTCCT</t>
  </si>
  <si>
    <t>CTGGAACGTTTTAAAGAAATTGCAGCATCTGGTAAGATTCCACATATTATTCTTCATTCTCCT</t>
  </si>
  <si>
    <t>CTGGAACGTTTTAAATCTATTGCAAAATCTGGTAAGATTCCACATATTATTCTTCATTCTCCT</t>
  </si>
  <si>
    <t>CTGGAACTGATGAAACAAATTGCAGAATCTGGTAAGATTCCACATATTATTCTTCATTCTCCT</t>
  </si>
  <si>
    <t>CTGGAACTGCTGAAAGAAATTGCAGCATCTGGTAAGATTCCACATATTATTCTTCATTCTCCT</t>
  </si>
  <si>
    <t>CTGGAACTGTTTAAAAATATTGTTAAAAAAGGTAAGATTCCACATATTATTCTTCATTCTCCT</t>
  </si>
  <si>
    <t>CTGGAACTGTTTAAAGAAATTGCAGCATCTGGTAAGATTCCACATATTATTCTTCATTCTCCT</t>
  </si>
  <si>
    <t>CTGGAACTGTTTAAAGCAATTGTTAAACGTGGTAAGATTCCACATATTATTCTTCATTCTCCT</t>
  </si>
  <si>
    <t>CTGGAACTGTTTAAATCTATTGTTGCAAAAGGTAAGATTCCACATATTATTCTTCATTCTCCT</t>
  </si>
  <si>
    <t>CTGGAACTGTTTAAATCTATTGTTGCATCTGGTAAGATTCCACATATTATTCTTCATTCTCCT</t>
  </si>
  <si>
    <t>CTGGAAGAAATGAAAAAAATTGCAAATTCTGGTAAGATTCCACATATTATTCTTCATTCTCCT</t>
  </si>
  <si>
    <t>CTGGAAGAAATGAAAAAAATTGCACAATCTGGTAAGATTCCACATATTATTCTTCATTCTCCT</t>
  </si>
  <si>
    <t>CTGGAAGAAATGCGTAAAATTGCAAAATCTGGTAAGATTCCACATATTATTCTTCATTCTCCT</t>
  </si>
  <si>
    <t>CTGGAAGAAATGCGTAAAATTGCAGAATCTGGTAAGATTCCACATATTATTCTTCATTCTCCT</t>
  </si>
  <si>
    <t>CTGGAAGAACTGAAAAAAATTGCAGCATCTGGTAAGATTCCACATATTATTCTTCATTCTCCT</t>
  </si>
  <si>
    <t>CTGGAATATTTTAAAAATATTGTTAAAAAAGGTAAGATTCCACATATTATTCTTCATTCTCCT</t>
  </si>
  <si>
    <t>CTGGAATATTTTAAAAATATTGTTGCACGTGGTAAGATTCCACATATTATTCTTCATTCTCCT</t>
  </si>
  <si>
    <t>CTGGAATATTTTAAAGAAATTGTTGCACGTGGTAAGATTCCACATATTATTCTTCATTCTCCT</t>
  </si>
  <si>
    <t>CTGGAATATTTTAAAGCAATTGTTAAACGTGGTAAGATTCCACATATTATTCTTCATTCTCCT</t>
  </si>
  <si>
    <t>CTGGAATATTTTAAATCTATTGTTGCAAAAGGTAAGATTCCACATATTATTCTTCATTCTCCT</t>
  </si>
  <si>
    <t>CTGGAATATTTTAAATCTATTGTTGCATCTGGTAAGATTCCACATATTATTCTTCATTCTCCT</t>
  </si>
  <si>
    <t>CTGGAATATTTTCGTGCAATTGTTGCACGTGGTAAGATTCCACATATTATTCTTCATTCTCCT</t>
  </si>
  <si>
    <t>CTGGAATTTTTTAAAAATATTGTTAAAAAAGGTAAGATTCCACATATTATTCTTCATTCTCCT</t>
  </si>
  <si>
    <t>CTGGAATTTTTTAAAAATATTGTTAAATCTGGTAAGATTCCACATATTATTCTTCATTCTCCT</t>
  </si>
  <si>
    <t>CTGGAATTTTTTAAAGCAATTGTTAAATCTGGTAAGATTCCACATATTATTCTTCATTCTCCT</t>
  </si>
  <si>
    <t>CTGGAATTTTTTAAAGCAATTGTTGCACGTGGTAAGATTCCACATATTATTCTTCATTCTCCT</t>
  </si>
  <si>
    <t>CTGGAATTTTTTAAATCTATTGTTGCAAAAGGTAAGATTCCACATATTATTCTTCATTCTCCT</t>
  </si>
  <si>
    <t>CTGGAATTTTTTCGTAATATTGTTGCACGTGGTAAGATTCCACATATTATTCTTCATTCTCCT</t>
  </si>
  <si>
    <t>CTGGCAAAAATGAAAGAAATTGCAGCATCTGGTAAGATTCCACATATTATTCTTCATTCTCCT</t>
  </si>
  <si>
    <t>CTGGCAACTATGAAAGAAATTGCAGCATCTGGTAAGATTCCACATATTATTCTTCATTCTCCT</t>
  </si>
  <si>
    <t>CTGGCACAAATGAAAGAAATTGCAGCATCTGGTAAGATTCCACATATTATTCTTCATTCTCCT</t>
  </si>
  <si>
    <t>CTGGCACGTATGAAAGAAATTGTTGCATCTGGTAAGATTCCACATATTATTCTTCATTCTCCT</t>
  </si>
  <si>
    <t>CTGGCACTGATGAAACAAATTGCAGCATCTGGTAAGATTCCACATATTATTCTTCATTCTCCT</t>
  </si>
  <si>
    <t>CTGGCACTGATGAAAGAAATTGCAGCATCTGGTAAGATTCCACATATTATTCTTCATTCTCCT</t>
  </si>
  <si>
    <t>CTGGCACTGATGCGTAAAATTGCACAATCTGGTAAGATTCCACATATTATTCTTCATTCTCCT</t>
  </si>
  <si>
    <t>CTGGCACTGATGCGTGAAATTGCAGCATCTGGTAAGATTCCACATATTATTCTTCATTCTCCT</t>
  </si>
  <si>
    <t>CTGGCACTGTTTAAAGCAATTGTTGCAAAAGGTAAGATTCCACATATTATTCTTCATTCTCCT</t>
  </si>
  <si>
    <t>CTGGCACTGTTTCGTGCAATTGTTGCAAAAGGTAAGATTCCACATATTATTCTTCATTCTCCT</t>
  </si>
  <si>
    <t>CTGGCAGAAATGAAAAAAATTGCAGCATCTGGTAAGATTCCACATATTATTCTTCATTCTCCT</t>
  </si>
  <si>
    <t>CTGGCAGAAATGAAAAAAATTGTTGCATCTGGTAAGATTCCACATATTATTCTTCATTCTCCT</t>
  </si>
  <si>
    <t>CTGGCAGAAATGAAAGAAATTGCAGCATCTGGTAAGATTCCACATATTATTCTTCATTCTCCT</t>
  </si>
  <si>
    <t>CTGGCATATTTTAAAGCAATTGTTGCACGTGGTAAGATTCCACATATTATTCTTCATTCTCCT</t>
  </si>
  <si>
    <t>CTGGCATATTTTAAAGCAATTGTTGCATCTGGTAAGATTCCACATATTATTCTTCATTCTCCT</t>
  </si>
  <si>
    <t>CTGGCATTTTTTAAAGAAATTGTTGCACGTGGTAAGATTCCACATATTATTCTTCATTCTCCT</t>
  </si>
  <si>
    <t>CTGTCTTTTTTTAAAGATATTGTTGATTCTGGTAAGATTCCACATATTATTCTTCATTCTCCT</t>
  </si>
  <si>
    <t>AAAGAAACCTTTAAATCTATTACAAGTAAAGGTAAGATTCCACATATTATTCTTCATTCTCCT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</si>
</sst>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ArialMT"/>
      <family val="2"/>
    </font>
    <font>
      <sz val="20"/>
      <color rgb="FF000000"/>
      <name val="Menlo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65B4-79FB-E445-9359-669DF4F83857}">
  <dimension ref="A1:O555"/>
  <sheetViews>
    <sheetView tabSelected="1" workbookViewId="0">
      <selection activeCell="C13" sqref="C13:C14"/>
    </sheetView>
  </sheetViews>
  <sheetFormatPr baseColWidth="10" defaultRowHeight="18"/>
  <cols>
    <col min="12" max="12" width="78" bestFit="1" customWidth="1"/>
  </cols>
  <sheetData>
    <row r="1" spans="1:15">
      <c r="A1" t="s">
        <v>6</v>
      </c>
      <c r="B1" t="s">
        <v>0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5</v>
      </c>
      <c r="N1" t="s">
        <v>6</v>
      </c>
      <c r="O1" t="s">
        <v>5</v>
      </c>
    </row>
    <row r="2" spans="1:15">
      <c r="A2">
        <v>1</v>
      </c>
      <c r="B2">
        <v>337</v>
      </c>
      <c r="C2">
        <v>1</v>
      </c>
      <c r="D2">
        <v>0</v>
      </c>
      <c r="E2">
        <v>0</v>
      </c>
      <c r="G2">
        <f t="shared" ref="G2:G65" si="0">LOG10(C2/B2)-LOG10(3086/3883)</f>
        <v>-2.4278584320524206</v>
      </c>
      <c r="H2" t="e">
        <f t="shared" ref="H2:H65" si="1">LOG10(D2/B2)-LOG10(4100/3883)</f>
        <v>#NUM!</v>
      </c>
      <c r="I2" t="e">
        <f t="shared" ref="I2:I65" si="2">LOG10(E2/B2)-LOG10(1332/3883)</f>
        <v>#NUM!</v>
      </c>
      <c r="J2" s="2" t="s">
        <v>8</v>
      </c>
      <c r="K2" t="e">
        <f t="shared" ref="K2:K65" si="3">AVERAGE(G2:I2)</f>
        <v>#NUM!</v>
      </c>
      <c r="L2" s="5" t="s">
        <v>10</v>
      </c>
      <c r="N2">
        <v>1</v>
      </c>
      <c r="O2">
        <v>-3</v>
      </c>
    </row>
    <row r="3" spans="1:15">
      <c r="A3">
        <v>2</v>
      </c>
      <c r="B3">
        <v>222</v>
      </c>
      <c r="C3">
        <v>41</v>
      </c>
      <c r="D3">
        <v>0</v>
      </c>
      <c r="E3">
        <v>0</v>
      </c>
      <c r="G3">
        <f t="shared" si="0"/>
        <v>-0.63379764891198498</v>
      </c>
      <c r="H3" t="e">
        <f t="shared" si="1"/>
        <v>#NUM!</v>
      </c>
      <c r="I3" t="e">
        <f t="shared" si="2"/>
        <v>#NUM!</v>
      </c>
      <c r="J3" s="2" t="s">
        <v>8</v>
      </c>
      <c r="K3" t="e">
        <f t="shared" si="3"/>
        <v>#NUM!</v>
      </c>
      <c r="L3" s="5" t="s">
        <v>11</v>
      </c>
      <c r="N3">
        <v>2</v>
      </c>
      <c r="O3">
        <v>-3</v>
      </c>
    </row>
    <row r="4" spans="1:15">
      <c r="A4">
        <v>3</v>
      </c>
      <c r="B4">
        <v>736</v>
      </c>
      <c r="C4">
        <v>0</v>
      </c>
      <c r="D4">
        <v>1</v>
      </c>
      <c r="E4">
        <v>61</v>
      </c>
      <c r="G4" t="e">
        <f t="shared" si="0"/>
        <v>#NUM!</v>
      </c>
      <c r="H4">
        <f t="shared" si="1"/>
        <v>-2.8904942805111866</v>
      </c>
      <c r="I4">
        <f t="shared" si="2"/>
        <v>-0.61688481361496639</v>
      </c>
      <c r="J4" s="2" t="s">
        <v>8</v>
      </c>
      <c r="K4" t="e">
        <f t="shared" si="3"/>
        <v>#NUM!</v>
      </c>
      <c r="L4" s="5" t="s">
        <v>12</v>
      </c>
      <c r="N4">
        <v>3</v>
      </c>
      <c r="O4">
        <v>-3</v>
      </c>
    </row>
    <row r="5" spans="1:15">
      <c r="A5">
        <v>4</v>
      </c>
      <c r="B5">
        <v>1311</v>
      </c>
      <c r="C5">
        <v>11</v>
      </c>
      <c r="D5">
        <v>2</v>
      </c>
      <c r="E5">
        <v>8</v>
      </c>
      <c r="G5">
        <f t="shared" si="0"/>
        <v>-1.976438537712941</v>
      </c>
      <c r="H5">
        <f t="shared" si="1"/>
        <v>-2.840189162199791</v>
      </c>
      <c r="I5">
        <f t="shared" si="2"/>
        <v>-1.7498495389863753</v>
      </c>
      <c r="J5" s="2" t="s">
        <v>8</v>
      </c>
      <c r="K5">
        <f t="shared" si="3"/>
        <v>-2.1888257462997025</v>
      </c>
      <c r="L5" s="5" t="s">
        <v>13</v>
      </c>
      <c r="N5">
        <v>4</v>
      </c>
      <c r="O5">
        <v>-2.1888257462997025</v>
      </c>
    </row>
    <row r="6" spans="1:15">
      <c r="A6">
        <v>5</v>
      </c>
      <c r="B6">
        <v>587</v>
      </c>
      <c r="C6">
        <v>0</v>
      </c>
      <c r="D6">
        <v>3</v>
      </c>
      <c r="E6">
        <v>1</v>
      </c>
      <c r="G6" t="e">
        <f t="shared" si="0"/>
        <v>#NUM!</v>
      </c>
      <c r="H6">
        <f t="shared" si="1"/>
        <v>-2.31513331270164</v>
      </c>
      <c r="I6">
        <f t="shared" si="2"/>
        <v>-2.303974935535849</v>
      </c>
      <c r="J6" s="2" t="s">
        <v>8</v>
      </c>
      <c r="K6" t="e">
        <f t="shared" si="3"/>
        <v>#NUM!</v>
      </c>
      <c r="L6" s="5" t="s">
        <v>14</v>
      </c>
      <c r="N6">
        <v>5</v>
      </c>
      <c r="O6">
        <v>-3</v>
      </c>
    </row>
    <row r="7" spans="1:15">
      <c r="A7">
        <v>6</v>
      </c>
      <c r="B7">
        <v>415</v>
      </c>
      <c r="C7">
        <v>20</v>
      </c>
      <c r="D7">
        <v>0</v>
      </c>
      <c r="E7">
        <v>2</v>
      </c>
      <c r="G7">
        <f t="shared" si="0"/>
        <v>-1.2172466322291933</v>
      </c>
      <c r="H7" t="e">
        <f t="shared" si="1"/>
        <v>#NUM!</v>
      </c>
      <c r="I7">
        <f t="shared" si="2"/>
        <v>-1.8523549353363462</v>
      </c>
      <c r="J7" s="2" t="s">
        <v>8</v>
      </c>
      <c r="K7" t="e">
        <f t="shared" si="3"/>
        <v>#NUM!</v>
      </c>
      <c r="L7" s="5" t="s">
        <v>15</v>
      </c>
      <c r="N7">
        <v>6</v>
      </c>
      <c r="O7">
        <v>-3</v>
      </c>
    </row>
    <row r="8" spans="1:15">
      <c r="A8">
        <v>7</v>
      </c>
      <c r="B8">
        <v>370</v>
      </c>
      <c r="C8">
        <v>1</v>
      </c>
      <c r="D8">
        <v>0</v>
      </c>
      <c r="E8">
        <v>0</v>
      </c>
      <c r="G8">
        <f t="shared" si="0"/>
        <v>-2.468430255248077</v>
      </c>
      <c r="H8" t="e">
        <f t="shared" si="1"/>
        <v>#NUM!</v>
      </c>
      <c r="I8" t="e">
        <f t="shared" si="2"/>
        <v>#NUM!</v>
      </c>
      <c r="J8" s="2" t="s">
        <v>8</v>
      </c>
      <c r="K8" t="e">
        <f t="shared" si="3"/>
        <v>#NUM!</v>
      </c>
      <c r="L8" s="5" t="s">
        <v>16</v>
      </c>
      <c r="N8">
        <v>7</v>
      </c>
      <c r="O8">
        <v>-3</v>
      </c>
    </row>
    <row r="9" spans="1:15">
      <c r="A9">
        <v>8</v>
      </c>
      <c r="B9">
        <v>753</v>
      </c>
      <c r="C9">
        <v>12</v>
      </c>
      <c r="D9">
        <v>6</v>
      </c>
      <c r="E9">
        <v>21</v>
      </c>
      <c r="G9">
        <f t="shared" si="0"/>
        <v>-1.6978422613341575</v>
      </c>
      <c r="H9">
        <f t="shared" si="1"/>
        <v>-2.1222601919907449</v>
      </c>
      <c r="I9">
        <f t="shared" si="2"/>
        <v>-1.089912515755016</v>
      </c>
      <c r="J9" s="2" t="s">
        <v>8</v>
      </c>
      <c r="K9">
        <f t="shared" si="3"/>
        <v>-1.636671656359973</v>
      </c>
      <c r="L9" s="5" t="s">
        <v>17</v>
      </c>
      <c r="N9">
        <v>8</v>
      </c>
      <c r="O9">
        <v>-1.636671656359973</v>
      </c>
    </row>
    <row r="10" spans="1:15">
      <c r="A10">
        <v>9</v>
      </c>
      <c r="B10">
        <v>707</v>
      </c>
      <c r="C10">
        <v>1</v>
      </c>
      <c r="D10">
        <v>0</v>
      </c>
      <c r="E10">
        <v>0</v>
      </c>
      <c r="G10">
        <f t="shared" si="0"/>
        <v>-2.7496479449779816</v>
      </c>
      <c r="H10" t="e">
        <f t="shared" si="1"/>
        <v>#NUM!</v>
      </c>
      <c r="I10" t="e">
        <f t="shared" si="2"/>
        <v>#NUM!</v>
      </c>
      <c r="J10" s="2" t="s">
        <v>8</v>
      </c>
      <c r="K10" t="e">
        <f t="shared" si="3"/>
        <v>#NUM!</v>
      </c>
      <c r="L10" s="5" t="s">
        <v>18</v>
      </c>
      <c r="N10">
        <v>9</v>
      </c>
      <c r="O10">
        <v>-3</v>
      </c>
    </row>
    <row r="11" spans="1:15">
      <c r="A11">
        <v>10</v>
      </c>
      <c r="B11">
        <v>896</v>
      </c>
      <c r="C11">
        <v>0</v>
      </c>
      <c r="D11">
        <v>0</v>
      </c>
      <c r="E11">
        <v>0</v>
      </c>
      <c r="G11" t="e">
        <f t="shared" si="0"/>
        <v>#NUM!</v>
      </c>
      <c r="H11" t="e">
        <f t="shared" si="1"/>
        <v>#NUM!</v>
      </c>
      <c r="I11" t="e">
        <f t="shared" si="2"/>
        <v>#NUM!</v>
      </c>
      <c r="J11" s="2" t="s">
        <v>8</v>
      </c>
      <c r="K11" t="e">
        <f t="shared" si="3"/>
        <v>#NUM!</v>
      </c>
      <c r="L11" s="5" t="s">
        <v>19</v>
      </c>
      <c r="N11">
        <v>10</v>
      </c>
      <c r="O11">
        <v>-3</v>
      </c>
    </row>
    <row r="12" spans="1:15">
      <c r="A12">
        <v>11</v>
      </c>
      <c r="B12">
        <v>2076</v>
      </c>
      <c r="C12">
        <v>1</v>
      </c>
      <c r="D12">
        <v>2</v>
      </c>
      <c r="E12">
        <v>0</v>
      </c>
      <c r="G12">
        <f t="shared" si="0"/>
        <v>-3.2174558803575022</v>
      </c>
      <c r="H12">
        <f t="shared" si="1"/>
        <v>-3.0398138196861266</v>
      </c>
      <c r="I12" t="e">
        <f t="shared" si="2"/>
        <v>#NUM!</v>
      </c>
      <c r="J12" s="2" t="s">
        <v>8</v>
      </c>
      <c r="K12" t="e">
        <f t="shared" si="3"/>
        <v>#NUM!</v>
      </c>
      <c r="L12" s="5" t="s">
        <v>20</v>
      </c>
      <c r="N12">
        <v>11</v>
      </c>
      <c r="O12">
        <v>-3</v>
      </c>
    </row>
    <row r="13" spans="1:15">
      <c r="A13">
        <v>12</v>
      </c>
      <c r="B13">
        <v>1963</v>
      </c>
      <c r="C13">
        <v>1</v>
      </c>
      <c r="D13">
        <v>1</v>
      </c>
      <c r="E13">
        <v>0</v>
      </c>
      <c r="G13">
        <f t="shared" si="0"/>
        <v>-3.1931488307810882</v>
      </c>
      <c r="H13">
        <f t="shared" si="1"/>
        <v>-3.3165367657736939</v>
      </c>
      <c r="I13" t="e">
        <f t="shared" si="2"/>
        <v>#NUM!</v>
      </c>
      <c r="J13" s="2" t="s">
        <v>8</v>
      </c>
      <c r="K13" t="e">
        <f t="shared" si="3"/>
        <v>#NUM!</v>
      </c>
      <c r="L13" s="5" t="s">
        <v>21</v>
      </c>
      <c r="N13">
        <v>12</v>
      </c>
      <c r="O13">
        <v>-3</v>
      </c>
    </row>
    <row r="14" spans="1:15">
      <c r="A14">
        <v>13</v>
      </c>
      <c r="B14">
        <v>327</v>
      </c>
      <c r="C14">
        <v>0</v>
      </c>
      <c r="D14">
        <v>0</v>
      </c>
      <c r="E14">
        <v>0</v>
      </c>
      <c r="G14" t="e">
        <f t="shared" si="0"/>
        <v>#NUM!</v>
      </c>
      <c r="H14" t="e">
        <f t="shared" si="1"/>
        <v>#NUM!</v>
      </c>
      <c r="I14" t="e">
        <f t="shared" si="2"/>
        <v>#NUM!</v>
      </c>
      <c r="J14" s="2" t="s">
        <v>8</v>
      </c>
      <c r="K14" t="e">
        <f t="shared" si="3"/>
        <v>#NUM!</v>
      </c>
      <c r="L14" s="5" t="s">
        <v>22</v>
      </c>
      <c r="N14">
        <v>13</v>
      </c>
      <c r="O14">
        <v>-3</v>
      </c>
    </row>
    <row r="15" spans="1:15">
      <c r="A15">
        <v>14</v>
      </c>
      <c r="B15">
        <v>701</v>
      </c>
      <c r="C15">
        <v>990</v>
      </c>
      <c r="D15">
        <v>520</v>
      </c>
      <c r="E15">
        <v>669</v>
      </c>
      <c r="G15">
        <f t="shared" si="0"/>
        <v>0.24968864544980937</v>
      </c>
      <c r="H15">
        <f t="shared" si="1"/>
        <v>-0.15333114050554739</v>
      </c>
      <c r="I15">
        <f t="shared" si="2"/>
        <v>0.44437126551292983</v>
      </c>
      <c r="J15" s="2" t="s">
        <v>8</v>
      </c>
      <c r="K15">
        <f t="shared" si="3"/>
        <v>0.18024292348573059</v>
      </c>
      <c r="L15" s="5" t="s">
        <v>23</v>
      </c>
      <c r="N15">
        <v>14</v>
      </c>
      <c r="O15">
        <v>0.18024292348573059</v>
      </c>
    </row>
    <row r="16" spans="1:15">
      <c r="A16">
        <v>15</v>
      </c>
      <c r="B16">
        <v>892</v>
      </c>
      <c r="C16">
        <v>0</v>
      </c>
      <c r="D16">
        <v>0</v>
      </c>
      <c r="E16">
        <v>0</v>
      </c>
      <c r="G16" t="e">
        <f t="shared" si="0"/>
        <v>#NUM!</v>
      </c>
      <c r="H16" t="e">
        <f t="shared" si="1"/>
        <v>#NUM!</v>
      </c>
      <c r="I16" t="e">
        <f t="shared" si="2"/>
        <v>#NUM!</v>
      </c>
      <c r="J16" s="3" t="s">
        <v>9</v>
      </c>
      <c r="K16" t="e">
        <f t="shared" si="3"/>
        <v>#NUM!</v>
      </c>
      <c r="L16" s="5" t="s">
        <v>24</v>
      </c>
      <c r="N16">
        <v>15</v>
      </c>
      <c r="O16">
        <v>-3</v>
      </c>
    </row>
    <row r="17" spans="1:15">
      <c r="A17">
        <v>16</v>
      </c>
      <c r="B17">
        <v>1856</v>
      </c>
      <c r="C17">
        <v>1</v>
      </c>
      <c r="D17">
        <v>0</v>
      </c>
      <c r="E17">
        <v>0</v>
      </c>
      <c r="G17">
        <f t="shared" si="0"/>
        <v>-3.1688065030639252</v>
      </c>
      <c r="H17" t="e">
        <f t="shared" si="1"/>
        <v>#NUM!</v>
      </c>
      <c r="I17" t="e">
        <f t="shared" si="2"/>
        <v>#NUM!</v>
      </c>
      <c r="J17" s="2" t="s">
        <v>8</v>
      </c>
      <c r="K17" t="e">
        <f t="shared" si="3"/>
        <v>#NUM!</v>
      </c>
      <c r="L17" s="5" t="s">
        <v>25</v>
      </c>
      <c r="N17">
        <v>16</v>
      </c>
      <c r="O17">
        <v>-3</v>
      </c>
    </row>
    <row r="18" spans="1:15">
      <c r="A18">
        <v>17</v>
      </c>
      <c r="B18">
        <v>5399</v>
      </c>
      <c r="C18">
        <v>32</v>
      </c>
      <c r="D18">
        <v>2</v>
      </c>
      <c r="E18">
        <v>1</v>
      </c>
      <c r="G18">
        <f t="shared" si="0"/>
        <v>-2.1273918803324188</v>
      </c>
      <c r="H18">
        <f t="shared" si="1"/>
        <v>-3.454899797980949</v>
      </c>
      <c r="I18">
        <f t="shared" si="2"/>
        <v>-3.2676501617594771</v>
      </c>
      <c r="J18" s="2" t="s">
        <v>8</v>
      </c>
      <c r="K18">
        <f t="shared" si="3"/>
        <v>-2.949980613357615</v>
      </c>
      <c r="L18" s="5" t="s">
        <v>26</v>
      </c>
      <c r="N18">
        <v>17</v>
      </c>
      <c r="O18">
        <v>-2.949980613357615</v>
      </c>
    </row>
    <row r="19" spans="1:15">
      <c r="A19">
        <v>18</v>
      </c>
      <c r="B19">
        <v>931</v>
      </c>
      <c r="C19">
        <v>0</v>
      </c>
      <c r="D19">
        <v>0</v>
      </c>
      <c r="E19">
        <v>1</v>
      </c>
      <c r="G19" t="e">
        <f t="shared" si="0"/>
        <v>#NUM!</v>
      </c>
      <c r="H19" t="e">
        <f t="shared" si="1"/>
        <v>#NUM!</v>
      </c>
      <c r="I19">
        <f t="shared" si="2"/>
        <v>-2.5042865152695772</v>
      </c>
      <c r="J19" s="2" t="s">
        <v>8</v>
      </c>
      <c r="K19" t="e">
        <f t="shared" si="3"/>
        <v>#NUM!</v>
      </c>
      <c r="L19" s="5" t="s">
        <v>27</v>
      </c>
      <c r="N19">
        <v>18</v>
      </c>
      <c r="O19">
        <v>-3</v>
      </c>
    </row>
    <row r="20" spans="1:15">
      <c r="A20">
        <v>19</v>
      </c>
      <c r="B20">
        <v>1080</v>
      </c>
      <c r="C20">
        <v>4</v>
      </c>
      <c r="D20">
        <v>0</v>
      </c>
      <c r="E20">
        <v>0</v>
      </c>
      <c r="G20">
        <f t="shared" si="0"/>
        <v>-2.3315922953400694</v>
      </c>
      <c r="H20" t="e">
        <f t="shared" si="1"/>
        <v>#NUM!</v>
      </c>
      <c r="I20" t="e">
        <f t="shared" si="2"/>
        <v>#NUM!</v>
      </c>
      <c r="J20" s="2" t="s">
        <v>8</v>
      </c>
      <c r="K20" t="e">
        <f t="shared" si="3"/>
        <v>#NUM!</v>
      </c>
      <c r="L20" s="5" t="s">
        <v>28</v>
      </c>
      <c r="N20">
        <v>19</v>
      </c>
      <c r="O20">
        <v>-3</v>
      </c>
    </row>
    <row r="21" spans="1:15">
      <c r="A21">
        <v>20</v>
      </c>
      <c r="B21">
        <v>1866</v>
      </c>
      <c r="C21">
        <v>186</v>
      </c>
      <c r="D21">
        <v>0</v>
      </c>
      <c r="E21">
        <v>0</v>
      </c>
      <c r="G21">
        <f t="shared" si="0"/>
        <v>-0.90162722637364667</v>
      </c>
      <c r="H21" t="e">
        <f t="shared" si="1"/>
        <v>#NUM!</v>
      </c>
      <c r="I21" t="e">
        <f t="shared" si="2"/>
        <v>#NUM!</v>
      </c>
      <c r="J21" s="2" t="s">
        <v>8</v>
      </c>
      <c r="K21" t="e">
        <f t="shared" si="3"/>
        <v>#NUM!</v>
      </c>
      <c r="L21" s="5" t="s">
        <v>29</v>
      </c>
      <c r="N21">
        <v>20</v>
      </c>
      <c r="O21">
        <v>-3</v>
      </c>
    </row>
    <row r="22" spans="1:15">
      <c r="A22">
        <v>21</v>
      </c>
      <c r="B22">
        <v>430</v>
      </c>
      <c r="C22">
        <v>0</v>
      </c>
      <c r="D22">
        <v>63</v>
      </c>
      <c r="E22">
        <v>0</v>
      </c>
      <c r="G22" t="e">
        <f t="shared" si="0"/>
        <v>#NUM!</v>
      </c>
      <c r="H22">
        <f t="shared" si="1"/>
        <v>-0.8577443722996928</v>
      </c>
      <c r="I22" t="e">
        <f t="shared" si="2"/>
        <v>#NUM!</v>
      </c>
      <c r="J22" s="2" t="s">
        <v>8</v>
      </c>
      <c r="K22" t="e">
        <f t="shared" si="3"/>
        <v>#NUM!</v>
      </c>
      <c r="L22" s="5" t="s">
        <v>30</v>
      </c>
      <c r="N22">
        <v>21</v>
      </c>
      <c r="O22">
        <v>-3</v>
      </c>
    </row>
    <row r="23" spans="1:15">
      <c r="A23">
        <v>22</v>
      </c>
      <c r="B23">
        <v>956</v>
      </c>
      <c r="C23">
        <v>1</v>
      </c>
      <c r="D23">
        <v>0</v>
      </c>
      <c r="E23">
        <v>1</v>
      </c>
      <c r="G23">
        <f t="shared" si="0"/>
        <v>-2.8806864234571821</v>
      </c>
      <c r="H23" t="e">
        <f t="shared" si="1"/>
        <v>#NUM!</v>
      </c>
      <c r="I23">
        <f t="shared" si="2"/>
        <v>-2.5157947265643346</v>
      </c>
      <c r="J23" s="2" t="s">
        <v>8</v>
      </c>
      <c r="K23" t="e">
        <f t="shared" si="3"/>
        <v>#NUM!</v>
      </c>
      <c r="L23" s="5" t="s">
        <v>31</v>
      </c>
      <c r="N23">
        <v>22</v>
      </c>
      <c r="O23">
        <v>-3</v>
      </c>
    </row>
    <row r="24" spans="1:15">
      <c r="A24">
        <v>23</v>
      </c>
      <c r="B24">
        <v>463</v>
      </c>
      <c r="C24">
        <v>1</v>
      </c>
      <c r="D24">
        <v>0</v>
      </c>
      <c r="E24">
        <v>14</v>
      </c>
      <c r="G24">
        <f t="shared" si="0"/>
        <v>-2.5658095221990354</v>
      </c>
      <c r="H24" t="e">
        <f t="shared" si="1"/>
        <v>#NUM!</v>
      </c>
      <c r="I24">
        <f t="shared" si="2"/>
        <v>-1.0547897896279497</v>
      </c>
      <c r="J24" s="2" t="s">
        <v>8</v>
      </c>
      <c r="K24" t="e">
        <f t="shared" si="3"/>
        <v>#NUM!</v>
      </c>
      <c r="L24" s="5" t="s">
        <v>32</v>
      </c>
      <c r="N24">
        <v>23</v>
      </c>
      <c r="O24">
        <v>-3</v>
      </c>
    </row>
    <row r="25" spans="1:15">
      <c r="A25">
        <v>24</v>
      </c>
      <c r="B25">
        <v>937</v>
      </c>
      <c r="C25">
        <v>2</v>
      </c>
      <c r="D25">
        <v>0</v>
      </c>
      <c r="E25">
        <v>3</v>
      </c>
      <c r="G25">
        <f t="shared" si="0"/>
        <v>-2.570938126404879</v>
      </c>
      <c r="H25" t="e">
        <f t="shared" si="1"/>
        <v>#NUM!</v>
      </c>
      <c r="I25">
        <f t="shared" si="2"/>
        <v>-2.0299551704563505</v>
      </c>
      <c r="J25" s="2" t="s">
        <v>8</v>
      </c>
      <c r="K25" t="e">
        <f t="shared" si="3"/>
        <v>#NUM!</v>
      </c>
      <c r="L25" s="5" t="s">
        <v>33</v>
      </c>
      <c r="N25">
        <v>24</v>
      </c>
      <c r="O25">
        <v>-3</v>
      </c>
    </row>
    <row r="26" spans="1:15">
      <c r="A26">
        <v>25</v>
      </c>
      <c r="B26">
        <v>727</v>
      </c>
      <c r="C26">
        <v>0</v>
      </c>
      <c r="D26">
        <v>1</v>
      </c>
      <c r="E26">
        <v>1</v>
      </c>
      <c r="G26" t="e">
        <f t="shared" si="0"/>
        <v>#NUM!</v>
      </c>
      <c r="H26">
        <f t="shared" si="1"/>
        <v>-2.8851508770327254</v>
      </c>
      <c r="I26">
        <f t="shared" si="2"/>
        <v>-2.3968712451472722</v>
      </c>
      <c r="J26" s="2" t="s">
        <v>8</v>
      </c>
      <c r="K26" t="e">
        <f t="shared" si="3"/>
        <v>#NUM!</v>
      </c>
      <c r="L26" s="5" t="s">
        <v>34</v>
      </c>
      <c r="N26">
        <v>25</v>
      </c>
      <c r="O26">
        <v>-3</v>
      </c>
    </row>
    <row r="27" spans="1:15">
      <c r="A27">
        <v>26</v>
      </c>
      <c r="B27">
        <v>1516</v>
      </c>
      <c r="C27">
        <v>758</v>
      </c>
      <c r="D27">
        <v>1</v>
      </c>
      <c r="E27">
        <v>0</v>
      </c>
      <c r="G27">
        <f t="shared" si="0"/>
        <v>-0.20125852684506307</v>
      </c>
      <c r="H27">
        <f t="shared" si="1"/>
        <v>-3.2043156674697224</v>
      </c>
      <c r="I27" t="e">
        <f t="shared" si="2"/>
        <v>#NUM!</v>
      </c>
      <c r="J27" s="2" t="s">
        <v>8</v>
      </c>
      <c r="K27" t="e">
        <f t="shared" si="3"/>
        <v>#NUM!</v>
      </c>
      <c r="L27" s="5" t="s">
        <v>35</v>
      </c>
      <c r="N27">
        <v>26</v>
      </c>
      <c r="O27">
        <v>-3</v>
      </c>
    </row>
    <row r="28" spans="1:15">
      <c r="A28">
        <v>27</v>
      </c>
      <c r="B28">
        <v>709</v>
      </c>
      <c r="C28">
        <v>0</v>
      </c>
      <c r="D28">
        <v>0</v>
      </c>
      <c r="E28">
        <v>0</v>
      </c>
      <c r="G28" t="e">
        <f t="shared" si="0"/>
        <v>#NUM!</v>
      </c>
      <c r="H28" t="e">
        <f t="shared" si="1"/>
        <v>#NUM!</v>
      </c>
      <c r="I28" t="e">
        <f t="shared" si="2"/>
        <v>#NUM!</v>
      </c>
      <c r="J28" s="2" t="s">
        <v>8</v>
      </c>
      <c r="K28" t="e">
        <f t="shared" si="3"/>
        <v>#NUM!</v>
      </c>
      <c r="L28" s="5" t="s">
        <v>36</v>
      </c>
      <c r="N28">
        <v>27</v>
      </c>
      <c r="O28">
        <v>-3</v>
      </c>
    </row>
    <row r="29" spans="1:15">
      <c r="A29">
        <v>28</v>
      </c>
      <c r="B29">
        <v>1674</v>
      </c>
      <c r="C29">
        <v>4</v>
      </c>
      <c r="D29">
        <v>6</v>
      </c>
      <c r="E29">
        <v>0</v>
      </c>
      <c r="G29">
        <f t="shared" si="0"/>
        <v>-2.5219239935103608</v>
      </c>
      <c r="H29">
        <f t="shared" si="1"/>
        <v>-2.4692206694472851</v>
      </c>
      <c r="I29" t="e">
        <f t="shared" si="2"/>
        <v>#NUM!</v>
      </c>
      <c r="J29" s="2" t="s">
        <v>8</v>
      </c>
      <c r="K29" t="e">
        <f t="shared" si="3"/>
        <v>#NUM!</v>
      </c>
      <c r="L29" s="5" t="s">
        <v>37</v>
      </c>
      <c r="N29">
        <v>28</v>
      </c>
      <c r="O29">
        <v>-3</v>
      </c>
    </row>
    <row r="30" spans="1:15">
      <c r="A30">
        <v>29</v>
      </c>
      <c r="B30">
        <v>1216</v>
      </c>
      <c r="C30">
        <v>0</v>
      </c>
      <c r="D30">
        <v>0</v>
      </c>
      <c r="E30">
        <v>0</v>
      </c>
      <c r="G30" t="e">
        <f t="shared" si="0"/>
        <v>#NUM!</v>
      </c>
      <c r="H30" t="e">
        <f t="shared" si="1"/>
        <v>#NUM!</v>
      </c>
      <c r="I30" t="e">
        <f t="shared" si="2"/>
        <v>#NUM!</v>
      </c>
      <c r="J30" s="2" t="s">
        <v>8</v>
      </c>
      <c r="K30" t="e">
        <f t="shared" si="3"/>
        <v>#NUM!</v>
      </c>
      <c r="L30" s="5" t="s">
        <v>38</v>
      </c>
      <c r="N30">
        <v>29</v>
      </c>
      <c r="O30">
        <v>-3</v>
      </c>
    </row>
    <row r="31" spans="1:15">
      <c r="A31">
        <v>30</v>
      </c>
      <c r="B31">
        <v>1393</v>
      </c>
      <c r="C31">
        <v>0</v>
      </c>
      <c r="D31">
        <v>1</v>
      </c>
      <c r="E31">
        <v>0</v>
      </c>
      <c r="G31" t="e">
        <f t="shared" si="0"/>
        <v>#NUM!</v>
      </c>
      <c r="H31">
        <f t="shared" si="1"/>
        <v>-3.167567582597651</v>
      </c>
      <c r="I31" t="e">
        <f t="shared" si="2"/>
        <v>#NUM!</v>
      </c>
      <c r="J31" s="2" t="s">
        <v>8</v>
      </c>
      <c r="K31" t="e">
        <f t="shared" si="3"/>
        <v>#NUM!</v>
      </c>
      <c r="L31" s="5" t="s">
        <v>39</v>
      </c>
      <c r="N31">
        <v>30</v>
      </c>
      <c r="O31">
        <v>-3</v>
      </c>
    </row>
    <row r="32" spans="1:15">
      <c r="A32">
        <v>31</v>
      </c>
      <c r="B32">
        <v>510</v>
      </c>
      <c r="C32">
        <v>0</v>
      </c>
      <c r="D32">
        <v>0</v>
      </c>
      <c r="E32">
        <v>1</v>
      </c>
      <c r="G32" t="e">
        <f t="shared" si="0"/>
        <v>#NUM!</v>
      </c>
      <c r="H32" t="e">
        <f t="shared" si="1"/>
        <v>#NUM!</v>
      </c>
      <c r="I32">
        <f t="shared" si="2"/>
        <v>-2.2429070103861708</v>
      </c>
      <c r="J32" s="2" t="s">
        <v>8</v>
      </c>
      <c r="K32" t="e">
        <f t="shared" si="3"/>
        <v>#NUM!</v>
      </c>
      <c r="L32" s="5" t="s">
        <v>40</v>
      </c>
      <c r="N32">
        <v>31</v>
      </c>
      <c r="O32">
        <v>-3</v>
      </c>
    </row>
    <row r="33" spans="1:15">
      <c r="A33">
        <v>32</v>
      </c>
      <c r="B33">
        <v>506</v>
      </c>
      <c r="C33">
        <v>0</v>
      </c>
      <c r="D33">
        <v>0</v>
      </c>
      <c r="E33">
        <v>0</v>
      </c>
      <c r="G33" t="e">
        <f t="shared" si="0"/>
        <v>#NUM!</v>
      </c>
      <c r="H33" t="e">
        <f t="shared" si="1"/>
        <v>#NUM!</v>
      </c>
      <c r="I33" t="e">
        <f t="shared" si="2"/>
        <v>#NUM!</v>
      </c>
      <c r="J33" s="2" t="s">
        <v>8</v>
      </c>
      <c r="K33" t="e">
        <f t="shared" si="3"/>
        <v>#NUM!</v>
      </c>
      <c r="L33" s="5" t="s">
        <v>41</v>
      </c>
      <c r="N33">
        <v>32</v>
      </c>
      <c r="O33">
        <v>-3</v>
      </c>
    </row>
    <row r="34" spans="1:15">
      <c r="A34">
        <v>33</v>
      </c>
      <c r="B34">
        <v>1306</v>
      </c>
      <c r="C34">
        <v>2</v>
      </c>
      <c r="D34">
        <v>2</v>
      </c>
      <c r="E34">
        <v>1</v>
      </c>
      <c r="G34">
        <f t="shared" si="0"/>
        <v>-2.7151417124561559</v>
      </c>
      <c r="H34">
        <f t="shared" si="1"/>
        <v>-2.8385296474487616</v>
      </c>
      <c r="I34">
        <f t="shared" si="2"/>
        <v>-2.6512800112272896</v>
      </c>
      <c r="J34" s="2" t="s">
        <v>8</v>
      </c>
      <c r="K34">
        <f t="shared" si="3"/>
        <v>-2.7349837903774024</v>
      </c>
      <c r="L34" s="5" t="s">
        <v>42</v>
      </c>
      <c r="N34">
        <v>33</v>
      </c>
      <c r="O34">
        <v>-2.7349837903774024</v>
      </c>
    </row>
    <row r="35" spans="1:15">
      <c r="A35">
        <v>34</v>
      </c>
      <c r="B35">
        <v>560</v>
      </c>
      <c r="C35">
        <v>0</v>
      </c>
      <c r="D35">
        <v>1</v>
      </c>
      <c r="E35">
        <v>0</v>
      </c>
      <c r="F35" t="s">
        <v>7</v>
      </c>
      <c r="G35" t="e">
        <f t="shared" si="0"/>
        <v>#NUM!</v>
      </c>
      <c r="H35">
        <f t="shared" si="1"/>
        <v>-2.771804493179888</v>
      </c>
      <c r="I35" t="e">
        <f t="shared" si="2"/>
        <v>#NUM!</v>
      </c>
      <c r="J35" s="2" t="s">
        <v>8</v>
      </c>
      <c r="K35" t="e">
        <f t="shared" si="3"/>
        <v>#NUM!</v>
      </c>
      <c r="L35" s="5" t="s">
        <v>43</v>
      </c>
      <c r="N35">
        <v>34</v>
      </c>
      <c r="O35">
        <v>-3</v>
      </c>
    </row>
    <row r="36" spans="1:15">
      <c r="A36">
        <v>35</v>
      </c>
      <c r="B36">
        <v>1491</v>
      </c>
      <c r="C36">
        <v>2</v>
      </c>
      <c r="D36">
        <v>3</v>
      </c>
      <c r="E36">
        <v>0</v>
      </c>
      <c r="G36">
        <f t="shared" si="0"/>
        <v>-2.7726761789700953</v>
      </c>
      <c r="H36">
        <f t="shared" si="1"/>
        <v>-2.7199728549070197</v>
      </c>
      <c r="I36" t="e">
        <f t="shared" si="2"/>
        <v>#NUM!</v>
      </c>
      <c r="J36" s="2" t="s">
        <v>8</v>
      </c>
      <c r="K36" t="e">
        <f t="shared" si="3"/>
        <v>#NUM!</v>
      </c>
      <c r="L36" s="5" t="s">
        <v>44</v>
      </c>
      <c r="N36">
        <v>35</v>
      </c>
      <c r="O36">
        <v>-3</v>
      </c>
    </row>
    <row r="37" spans="1:15">
      <c r="A37">
        <v>36</v>
      </c>
      <c r="B37">
        <v>395</v>
      </c>
      <c r="C37">
        <v>0</v>
      </c>
      <c r="D37">
        <v>0</v>
      </c>
      <c r="E37">
        <v>33</v>
      </c>
      <c r="G37" t="e">
        <f t="shared" si="0"/>
        <v>#NUM!</v>
      </c>
      <c r="H37" t="e">
        <f t="shared" si="1"/>
        <v>#NUM!</v>
      </c>
      <c r="I37">
        <f t="shared" si="2"/>
        <v>-0.61341999003680747</v>
      </c>
      <c r="J37" s="2" t="s">
        <v>8</v>
      </c>
      <c r="K37" t="e">
        <f t="shared" si="3"/>
        <v>#NUM!</v>
      </c>
      <c r="L37" s="5" t="s">
        <v>45</v>
      </c>
      <c r="N37">
        <v>36</v>
      </c>
      <c r="O37">
        <v>-3</v>
      </c>
    </row>
    <row r="38" spans="1:15">
      <c r="A38">
        <v>37</v>
      </c>
      <c r="B38">
        <v>772</v>
      </c>
      <c r="C38">
        <v>370</v>
      </c>
      <c r="D38">
        <v>34</v>
      </c>
      <c r="E38">
        <v>11</v>
      </c>
      <c r="G38">
        <f t="shared" si="0"/>
        <v>-0.21964410744982305</v>
      </c>
      <c r="H38">
        <f t="shared" si="1"/>
        <v>-1.379754849467169</v>
      </c>
      <c r="I38">
        <f t="shared" si="2"/>
        <v>-1.3815614494657456</v>
      </c>
      <c r="J38" s="2" t="s">
        <v>8</v>
      </c>
      <c r="K38">
        <f t="shared" si="3"/>
        <v>-0.99365346879424588</v>
      </c>
      <c r="L38" s="5" t="s">
        <v>46</v>
      </c>
      <c r="N38">
        <v>37</v>
      </c>
      <c r="O38">
        <v>-0.99365346879424588</v>
      </c>
    </row>
    <row r="39" spans="1:15">
      <c r="A39">
        <v>38</v>
      </c>
      <c r="B39">
        <v>1968</v>
      </c>
      <c r="C39">
        <v>970</v>
      </c>
      <c r="D39">
        <v>597</v>
      </c>
      <c r="E39">
        <v>443</v>
      </c>
      <c r="G39">
        <f t="shared" si="0"/>
        <v>-0.20748189101015974</v>
      </c>
      <c r="H39">
        <f t="shared" si="1"/>
        <v>-0.5416672291396416</v>
      </c>
      <c r="I39">
        <f t="shared" si="2"/>
        <v>-0.18295820216048775</v>
      </c>
      <c r="J39" s="3" t="s">
        <v>9</v>
      </c>
      <c r="K39">
        <f t="shared" si="3"/>
        <v>-0.31070244077009634</v>
      </c>
      <c r="L39" s="5" t="s">
        <v>47</v>
      </c>
      <c r="N39">
        <v>38</v>
      </c>
      <c r="O39">
        <v>-0.31070244077009634</v>
      </c>
    </row>
    <row r="40" spans="1:15">
      <c r="A40">
        <v>39</v>
      </c>
      <c r="B40">
        <v>1669</v>
      </c>
      <c r="C40">
        <v>22</v>
      </c>
      <c r="D40">
        <v>130</v>
      </c>
      <c r="E40">
        <v>5</v>
      </c>
      <c r="G40">
        <f t="shared" si="0"/>
        <v>-1.7802621870381223</v>
      </c>
      <c r="H40">
        <f t="shared" si="1"/>
        <v>-1.1321294505460979</v>
      </c>
      <c r="I40">
        <f t="shared" si="2"/>
        <v>-2.0588231666314623</v>
      </c>
      <c r="J40" s="4" t="s">
        <v>8</v>
      </c>
      <c r="K40">
        <f t="shared" si="3"/>
        <v>-1.6570716014052274</v>
      </c>
      <c r="L40" s="5" t="s">
        <v>48</v>
      </c>
      <c r="N40">
        <v>39</v>
      </c>
      <c r="O40">
        <v>-1.6570716014052274</v>
      </c>
    </row>
    <row r="41" spans="1:15">
      <c r="A41">
        <v>40</v>
      </c>
      <c r="B41">
        <v>1168</v>
      </c>
      <c r="C41">
        <v>0</v>
      </c>
      <c r="D41">
        <v>17</v>
      </c>
      <c r="E41">
        <v>1</v>
      </c>
      <c r="G41" t="e">
        <f t="shared" si="0"/>
        <v>#NUM!</v>
      </c>
      <c r="H41">
        <f t="shared" si="1"/>
        <v>-1.8606103875717948</v>
      </c>
      <c r="I41">
        <f t="shared" si="2"/>
        <v>-2.6027796770646154</v>
      </c>
      <c r="J41" s="4" t="s">
        <v>8</v>
      </c>
      <c r="K41" t="e">
        <f t="shared" si="3"/>
        <v>#NUM!</v>
      </c>
      <c r="L41" s="5" t="s">
        <v>49</v>
      </c>
      <c r="N41">
        <v>40</v>
      </c>
      <c r="O41">
        <v>-3</v>
      </c>
    </row>
    <row r="42" spans="1:15">
      <c r="A42">
        <v>41</v>
      </c>
      <c r="B42">
        <v>563</v>
      </c>
      <c r="C42">
        <v>1</v>
      </c>
      <c r="D42">
        <v>6</v>
      </c>
      <c r="E42">
        <v>2</v>
      </c>
      <c r="G42">
        <f t="shared" si="0"/>
        <v>-2.6507369260324283</v>
      </c>
      <c r="H42">
        <f t="shared" si="1"/>
        <v>-1.9959736106413906</v>
      </c>
      <c r="I42">
        <f t="shared" si="2"/>
        <v>-1.9848152334755995</v>
      </c>
      <c r="J42" s="3" t="s">
        <v>9</v>
      </c>
      <c r="K42">
        <f t="shared" si="3"/>
        <v>-2.2105085900498058</v>
      </c>
      <c r="L42" s="5" t="s">
        <v>50</v>
      </c>
      <c r="N42">
        <v>41</v>
      </c>
      <c r="O42">
        <v>-2.2105085900498058</v>
      </c>
    </row>
    <row r="43" spans="1:15">
      <c r="A43">
        <v>42</v>
      </c>
      <c r="B43">
        <v>905</v>
      </c>
      <c r="C43">
        <v>91</v>
      </c>
      <c r="D43">
        <v>222</v>
      </c>
      <c r="E43">
        <v>55</v>
      </c>
      <c r="G43">
        <f t="shared" si="0"/>
        <v>-0.89783571806519169</v>
      </c>
      <c r="H43">
        <f t="shared" si="1"/>
        <v>-0.63391207092825264</v>
      </c>
      <c r="I43">
        <f t="shared" si="2"/>
        <v>-0.75162272399919405</v>
      </c>
      <c r="J43" s="3" t="s">
        <v>9</v>
      </c>
      <c r="K43">
        <f t="shared" si="3"/>
        <v>-0.76112350433087939</v>
      </c>
      <c r="L43" s="5" t="s">
        <v>51</v>
      </c>
      <c r="N43">
        <v>42</v>
      </c>
      <c r="O43">
        <v>-0.76112350433087939</v>
      </c>
    </row>
    <row r="44" spans="1:15">
      <c r="A44">
        <v>43</v>
      </c>
      <c r="B44">
        <v>659</v>
      </c>
      <c r="C44">
        <v>2</v>
      </c>
      <c r="D44">
        <v>8</v>
      </c>
      <c r="E44">
        <v>3</v>
      </c>
      <c r="G44">
        <f t="shared" si="0"/>
        <v>-2.4180839501111109</v>
      </c>
      <c r="H44">
        <f t="shared" si="1"/>
        <v>-1.9394118937757543</v>
      </c>
      <c r="I44">
        <f t="shared" si="2"/>
        <v>-1.877100994162582</v>
      </c>
      <c r="J44" s="4" t="s">
        <v>8</v>
      </c>
      <c r="K44">
        <f t="shared" si="3"/>
        <v>-2.0781989460164825</v>
      </c>
      <c r="L44" s="5" t="s">
        <v>52</v>
      </c>
      <c r="N44">
        <v>43</v>
      </c>
      <c r="O44">
        <v>-2.0781989460164825</v>
      </c>
    </row>
    <row r="45" spans="1:15">
      <c r="A45">
        <v>44</v>
      </c>
      <c r="B45">
        <v>1491</v>
      </c>
      <c r="C45">
        <v>174</v>
      </c>
      <c r="D45">
        <v>460</v>
      </c>
      <c r="E45">
        <v>779</v>
      </c>
      <c r="G45">
        <f t="shared" si="0"/>
        <v>-0.83315692635147665</v>
      </c>
      <c r="H45">
        <f t="shared" si="1"/>
        <v>-0.53433627794510841</v>
      </c>
      <c r="I45">
        <f t="shared" si="2"/>
        <v>0.18272297993133529</v>
      </c>
      <c r="J45" s="3" t="s">
        <v>9</v>
      </c>
      <c r="K45">
        <f t="shared" si="3"/>
        <v>-0.39492340812174992</v>
      </c>
      <c r="L45" s="5" t="s">
        <v>53</v>
      </c>
      <c r="N45">
        <v>44</v>
      </c>
      <c r="O45">
        <v>-0.39492340812174992</v>
      </c>
    </row>
    <row r="46" spans="1:15">
      <c r="A46">
        <v>45</v>
      </c>
      <c r="B46">
        <v>985</v>
      </c>
      <c r="C46">
        <v>2583</v>
      </c>
      <c r="D46">
        <v>461</v>
      </c>
      <c r="E46">
        <v>1680</v>
      </c>
      <c r="G46">
        <f t="shared" si="0"/>
        <v>0.51845964449462356</v>
      </c>
      <c r="H46">
        <f t="shared" si="1"/>
        <v>-0.35335177128165146</v>
      </c>
      <c r="I46">
        <f t="shared" si="2"/>
        <v>0.69653621694001644</v>
      </c>
      <c r="J46" s="3" t="s">
        <v>9</v>
      </c>
      <c r="K46">
        <f t="shared" si="3"/>
        <v>0.28721469671766281</v>
      </c>
      <c r="L46" s="5" t="s">
        <v>54</v>
      </c>
      <c r="N46">
        <v>45</v>
      </c>
      <c r="O46">
        <v>0.28721469671766281</v>
      </c>
    </row>
    <row r="47" spans="1:15">
      <c r="A47">
        <v>46</v>
      </c>
      <c r="B47">
        <v>2768</v>
      </c>
      <c r="C47">
        <v>4218</v>
      </c>
      <c r="D47">
        <v>232865</v>
      </c>
      <c r="E47">
        <v>9346</v>
      </c>
      <c r="G47">
        <f t="shared" si="0"/>
        <v>0.28271195843766556</v>
      </c>
      <c r="H47">
        <f t="shared" si="1"/>
        <v>1.9013216662923516</v>
      </c>
      <c r="I47">
        <f t="shared" si="2"/>
        <v>0.99312285661533972</v>
      </c>
      <c r="J47" s="3" t="s">
        <v>9</v>
      </c>
      <c r="K47">
        <f t="shared" si="3"/>
        <v>1.0590521604484522</v>
      </c>
      <c r="L47" s="5" t="s">
        <v>55</v>
      </c>
      <c r="N47">
        <v>46</v>
      </c>
      <c r="O47">
        <v>1.0590521604484522</v>
      </c>
    </row>
    <row r="48" spans="1:15">
      <c r="A48">
        <v>47</v>
      </c>
      <c r="B48">
        <v>712</v>
      </c>
      <c r="C48">
        <v>1</v>
      </c>
      <c r="D48">
        <v>1</v>
      </c>
      <c r="E48">
        <v>1</v>
      </c>
      <c r="G48">
        <f t="shared" si="0"/>
        <v>-2.7527085248179386</v>
      </c>
      <c r="H48">
        <f t="shared" si="1"/>
        <v>-2.8760964598105443</v>
      </c>
      <c r="I48">
        <f t="shared" si="2"/>
        <v>-2.3878168279250911</v>
      </c>
      <c r="J48" s="4" t="s">
        <v>8</v>
      </c>
      <c r="K48">
        <f t="shared" si="3"/>
        <v>-2.672207270851191</v>
      </c>
      <c r="L48" s="5" t="s">
        <v>56</v>
      </c>
      <c r="N48">
        <v>47</v>
      </c>
      <c r="O48">
        <v>-2.672207270851191</v>
      </c>
    </row>
    <row r="49" spans="1:15">
      <c r="A49">
        <v>48</v>
      </c>
      <c r="B49">
        <v>662</v>
      </c>
      <c r="C49">
        <v>0</v>
      </c>
      <c r="D49">
        <v>0</v>
      </c>
      <c r="E49">
        <v>0</v>
      </c>
      <c r="G49" t="e">
        <f t="shared" si="0"/>
        <v>#NUM!</v>
      </c>
      <c r="H49" t="e">
        <f t="shared" si="1"/>
        <v>#NUM!</v>
      </c>
      <c r="I49" t="e">
        <f t="shared" si="2"/>
        <v>#NUM!</v>
      </c>
      <c r="J49" s="4" t="s">
        <v>8</v>
      </c>
      <c r="K49" t="e">
        <f t="shared" si="3"/>
        <v>#NUM!</v>
      </c>
      <c r="L49" s="5" t="s">
        <v>57</v>
      </c>
      <c r="N49">
        <v>48</v>
      </c>
      <c r="O49">
        <v>-3</v>
      </c>
    </row>
    <row r="50" spans="1:15">
      <c r="A50">
        <v>49</v>
      </c>
      <c r="B50">
        <v>1893</v>
      </c>
      <c r="C50">
        <v>0</v>
      </c>
      <c r="D50">
        <v>2</v>
      </c>
      <c r="E50">
        <v>0</v>
      </c>
      <c r="G50" t="e">
        <f t="shared" si="0"/>
        <v>#NUM!</v>
      </c>
      <c r="H50">
        <f t="shared" si="1"/>
        <v>-2.9997370844735034</v>
      </c>
      <c r="I50" t="e">
        <f t="shared" si="2"/>
        <v>#NUM!</v>
      </c>
      <c r="J50" s="4" t="s">
        <v>8</v>
      </c>
      <c r="K50" t="e">
        <f t="shared" si="3"/>
        <v>#NUM!</v>
      </c>
      <c r="L50" s="5" t="s">
        <v>58</v>
      </c>
      <c r="N50">
        <v>49</v>
      </c>
      <c r="O50">
        <v>-3</v>
      </c>
    </row>
    <row r="51" spans="1:15">
      <c r="A51">
        <v>50</v>
      </c>
      <c r="B51">
        <v>609</v>
      </c>
      <c r="C51">
        <v>0</v>
      </c>
      <c r="D51">
        <v>0</v>
      </c>
      <c r="E51">
        <v>0</v>
      </c>
      <c r="G51" t="e">
        <f t="shared" si="0"/>
        <v>#NUM!</v>
      </c>
      <c r="H51" t="e">
        <f t="shared" si="1"/>
        <v>#NUM!</v>
      </c>
      <c r="I51" t="e">
        <f t="shared" si="2"/>
        <v>#NUM!</v>
      </c>
      <c r="J51" s="4" t="s">
        <v>8</v>
      </c>
      <c r="K51" t="e">
        <f t="shared" si="3"/>
        <v>#NUM!</v>
      </c>
      <c r="L51" s="5" t="s">
        <v>59</v>
      </c>
      <c r="N51">
        <v>50</v>
      </c>
      <c r="O51">
        <v>-3</v>
      </c>
    </row>
    <row r="52" spans="1:15">
      <c r="A52">
        <v>51</v>
      </c>
      <c r="B52">
        <v>345</v>
      </c>
      <c r="C52">
        <v>1</v>
      </c>
      <c r="D52">
        <v>0</v>
      </c>
      <c r="E52">
        <v>0</v>
      </c>
      <c r="G52">
        <f t="shared" si="0"/>
        <v>-2.438047626254356</v>
      </c>
      <c r="H52" t="e">
        <f t="shared" si="1"/>
        <v>#NUM!</v>
      </c>
      <c r="I52" t="e">
        <f t="shared" si="2"/>
        <v>#NUM!</v>
      </c>
      <c r="J52" s="4" t="s">
        <v>8</v>
      </c>
      <c r="K52" t="e">
        <f t="shared" si="3"/>
        <v>#NUM!</v>
      </c>
      <c r="L52" s="5" t="s">
        <v>60</v>
      </c>
      <c r="N52">
        <v>51</v>
      </c>
      <c r="O52">
        <v>-3</v>
      </c>
    </row>
    <row r="53" spans="1:15">
      <c r="A53">
        <v>52</v>
      </c>
      <c r="B53">
        <v>829</v>
      </c>
      <c r="C53">
        <v>0</v>
      </c>
      <c r="D53">
        <v>0</v>
      </c>
      <c r="E53">
        <v>0</v>
      </c>
      <c r="G53" t="e">
        <f t="shared" si="0"/>
        <v>#NUM!</v>
      </c>
      <c r="H53" t="e">
        <f t="shared" si="1"/>
        <v>#NUM!</v>
      </c>
      <c r="I53" t="e">
        <f t="shared" si="2"/>
        <v>#NUM!</v>
      </c>
      <c r="J53" s="4" t="s">
        <v>8</v>
      </c>
      <c r="K53" t="e">
        <f t="shared" si="3"/>
        <v>#NUM!</v>
      </c>
      <c r="L53" s="5" t="s">
        <v>61</v>
      </c>
      <c r="N53">
        <v>52</v>
      </c>
      <c r="O53">
        <v>-3</v>
      </c>
    </row>
    <row r="54" spans="1:15">
      <c r="A54">
        <v>53</v>
      </c>
      <c r="B54">
        <v>186</v>
      </c>
      <c r="C54">
        <v>23</v>
      </c>
      <c r="D54">
        <v>20</v>
      </c>
      <c r="E54">
        <v>6</v>
      </c>
      <c r="G54">
        <f t="shared" si="0"/>
        <v>-0.80801363938140525</v>
      </c>
      <c r="H54">
        <f t="shared" si="1"/>
        <v>-0.99209941472762309</v>
      </c>
      <c r="I54">
        <f t="shared" si="2"/>
        <v>-1.0266985281225072</v>
      </c>
      <c r="J54" s="3" t="s">
        <v>9</v>
      </c>
      <c r="K54">
        <f t="shared" si="3"/>
        <v>-0.94227052741051187</v>
      </c>
      <c r="L54" s="5" t="s">
        <v>62</v>
      </c>
      <c r="N54">
        <v>53</v>
      </c>
      <c r="O54">
        <v>-0.94227052741051187</v>
      </c>
    </row>
    <row r="55" spans="1:15">
      <c r="A55">
        <v>54</v>
      </c>
      <c r="B55">
        <v>64</v>
      </c>
      <c r="C55">
        <v>175</v>
      </c>
      <c r="D55">
        <v>6</v>
      </c>
      <c r="E55">
        <v>3</v>
      </c>
      <c r="G55">
        <f t="shared" si="0"/>
        <v>0.53662954352132541</v>
      </c>
      <c r="H55">
        <f t="shared" si="1"/>
        <v>-1.0516451897739314</v>
      </c>
      <c r="I55">
        <f t="shared" si="2"/>
        <v>-0.86439555355245934</v>
      </c>
      <c r="J55" s="3" t="s">
        <v>9</v>
      </c>
      <c r="K55">
        <f t="shared" si="3"/>
        <v>-0.45980373326835511</v>
      </c>
      <c r="L55" s="5" t="s">
        <v>63</v>
      </c>
      <c r="N55">
        <v>54</v>
      </c>
      <c r="O55">
        <v>-0.45980373326835511</v>
      </c>
    </row>
    <row r="56" spans="1:15">
      <c r="A56">
        <v>55</v>
      </c>
      <c r="B56">
        <v>61</v>
      </c>
      <c r="C56">
        <v>0</v>
      </c>
      <c r="D56">
        <v>0</v>
      </c>
      <c r="E56">
        <v>0</v>
      </c>
      <c r="G56" t="e">
        <f t="shared" si="0"/>
        <v>#NUM!</v>
      </c>
      <c r="H56" t="e">
        <f t="shared" si="1"/>
        <v>#NUM!</v>
      </c>
      <c r="I56" t="e">
        <f t="shared" si="2"/>
        <v>#NUM!</v>
      </c>
      <c r="J56" s="3" t="s">
        <v>9</v>
      </c>
      <c r="K56" t="e">
        <f t="shared" si="3"/>
        <v>#NUM!</v>
      </c>
      <c r="L56" s="5" t="s">
        <v>64</v>
      </c>
      <c r="N56">
        <v>55</v>
      </c>
      <c r="O56">
        <v>-3</v>
      </c>
    </row>
    <row r="57" spans="1:15">
      <c r="A57">
        <v>56</v>
      </c>
      <c r="B57">
        <v>94</v>
      </c>
      <c r="C57">
        <v>99</v>
      </c>
      <c r="D57">
        <v>7</v>
      </c>
      <c r="E57">
        <v>210</v>
      </c>
      <c r="G57">
        <f t="shared" si="0"/>
        <v>0.12227880981676935</v>
      </c>
      <c r="H57">
        <f t="shared" si="1"/>
        <v>-1.1516462797591298</v>
      </c>
      <c r="I57">
        <f t="shared" si="2"/>
        <v>0.81375460684598599</v>
      </c>
      <c r="J57" s="3" t="s">
        <v>9</v>
      </c>
      <c r="K57">
        <f t="shared" si="3"/>
        <v>-7.1870954365458165E-2</v>
      </c>
      <c r="L57" s="5" t="s">
        <v>65</v>
      </c>
      <c r="N57">
        <v>56</v>
      </c>
      <c r="O57">
        <v>-7.1870954365458165E-2</v>
      </c>
    </row>
    <row r="58" spans="1:15">
      <c r="A58">
        <v>57</v>
      </c>
      <c r="B58">
        <v>231</v>
      </c>
      <c r="C58">
        <v>99</v>
      </c>
      <c r="D58">
        <v>1</v>
      </c>
      <c r="E58">
        <v>8</v>
      </c>
      <c r="G58">
        <f t="shared" si="0"/>
        <v>-0.2682053164756763</v>
      </c>
      <c r="H58">
        <f t="shared" si="1"/>
        <v>-2.3872284460658322</v>
      </c>
      <c r="I58">
        <f t="shared" si="2"/>
        <v>-0.99585882718843532</v>
      </c>
      <c r="J58" s="3" t="s">
        <v>9</v>
      </c>
      <c r="K58">
        <f t="shared" si="3"/>
        <v>-1.2170975299099813</v>
      </c>
      <c r="L58" s="5" t="s">
        <v>66</v>
      </c>
      <c r="N58">
        <v>57</v>
      </c>
      <c r="O58">
        <v>-1.2170975299099813</v>
      </c>
    </row>
    <row r="59" spans="1:15">
      <c r="A59">
        <v>58</v>
      </c>
      <c r="B59">
        <v>86</v>
      </c>
      <c r="C59">
        <v>0</v>
      </c>
      <c r="D59">
        <v>9</v>
      </c>
      <c r="E59">
        <v>12</v>
      </c>
      <c r="G59" t="e">
        <f t="shared" si="0"/>
        <v>#NUM!</v>
      </c>
      <c r="H59">
        <f t="shared" si="1"/>
        <v>-1.0038724079779306</v>
      </c>
      <c r="I59">
        <f t="shared" si="2"/>
        <v>-0.39065403948417754</v>
      </c>
      <c r="J59" s="3" t="s">
        <v>9</v>
      </c>
      <c r="K59" t="e">
        <f t="shared" si="3"/>
        <v>#NUM!</v>
      </c>
      <c r="L59" s="5" t="s">
        <v>67</v>
      </c>
      <c r="N59">
        <v>58</v>
      </c>
      <c r="O59">
        <v>-3</v>
      </c>
    </row>
    <row r="60" spans="1:15">
      <c r="A60">
        <v>59</v>
      </c>
      <c r="B60">
        <v>217</v>
      </c>
      <c r="C60">
        <v>1</v>
      </c>
      <c r="D60">
        <v>19</v>
      </c>
      <c r="E60">
        <v>3</v>
      </c>
      <c r="G60">
        <f t="shared" si="0"/>
        <v>-2.2366882650296116</v>
      </c>
      <c r="H60">
        <f t="shared" si="1"/>
        <v>-1.0813225990693884</v>
      </c>
      <c r="I60">
        <f t="shared" si="2"/>
        <v>-1.3946753134171015</v>
      </c>
      <c r="J60" s="3" t="s">
        <v>9</v>
      </c>
      <c r="K60">
        <f t="shared" si="3"/>
        <v>-1.570895392505367</v>
      </c>
      <c r="L60" s="5" t="s">
        <v>68</v>
      </c>
      <c r="N60">
        <v>59</v>
      </c>
      <c r="O60">
        <v>-1.570895392505367</v>
      </c>
    </row>
    <row r="61" spans="1:15">
      <c r="A61">
        <v>60</v>
      </c>
      <c r="B61">
        <v>102</v>
      </c>
      <c r="C61">
        <v>2</v>
      </c>
      <c r="D61">
        <v>5</v>
      </c>
      <c r="E61">
        <v>0</v>
      </c>
      <c r="G61">
        <f t="shared" si="0"/>
        <v>-1.6077987072790181</v>
      </c>
      <c r="H61">
        <f t="shared" si="1"/>
        <v>-1.3332466335995867</v>
      </c>
      <c r="I61" t="e">
        <f t="shared" si="2"/>
        <v>#NUM!</v>
      </c>
      <c r="J61" s="3" t="s">
        <v>9</v>
      </c>
      <c r="K61" t="e">
        <f t="shared" si="3"/>
        <v>#NUM!</v>
      </c>
      <c r="L61" s="5" t="s">
        <v>69</v>
      </c>
      <c r="N61">
        <v>60</v>
      </c>
      <c r="O61">
        <v>-3</v>
      </c>
    </row>
    <row r="62" spans="1:15">
      <c r="A62">
        <v>61</v>
      </c>
      <c r="B62">
        <v>141</v>
      </c>
      <c r="C62">
        <v>36</v>
      </c>
      <c r="D62">
        <v>3</v>
      </c>
      <c r="E62">
        <v>9</v>
      </c>
      <c r="G62">
        <f t="shared" si="0"/>
        <v>-0.49314514306917451</v>
      </c>
      <c r="H62">
        <f t="shared" si="1"/>
        <v>-1.6957143241094055</v>
      </c>
      <c r="I62">
        <f t="shared" si="2"/>
        <v>-0.73031343750428979</v>
      </c>
      <c r="J62" s="3" t="s">
        <v>9</v>
      </c>
      <c r="K62">
        <f t="shared" si="3"/>
        <v>-0.97305763489428998</v>
      </c>
      <c r="L62" s="5" t="s">
        <v>70</v>
      </c>
      <c r="N62">
        <v>61</v>
      </c>
      <c r="O62">
        <v>-0.97305763489428998</v>
      </c>
    </row>
    <row r="63" spans="1:15">
      <c r="A63">
        <v>62</v>
      </c>
      <c r="B63">
        <v>161</v>
      </c>
      <c r="C63">
        <v>16</v>
      </c>
      <c r="D63">
        <v>8</v>
      </c>
      <c r="E63">
        <v>9</v>
      </c>
      <c r="G63">
        <f t="shared" si="0"/>
        <v>-0.90293442455700679</v>
      </c>
      <c r="H63">
        <f t="shared" si="1"/>
        <v>-1.3273523552135942</v>
      </c>
      <c r="I63">
        <f t="shared" si="2"/>
        <v>-0.78792020088075942</v>
      </c>
      <c r="J63" s="3" t="s">
        <v>9</v>
      </c>
      <c r="K63">
        <f t="shared" si="3"/>
        <v>-1.0060689935504534</v>
      </c>
      <c r="L63" s="5" t="s">
        <v>71</v>
      </c>
      <c r="N63">
        <v>62</v>
      </c>
      <c r="O63">
        <v>-1.0060689935504534</v>
      </c>
    </row>
    <row r="64" spans="1:15">
      <c r="A64">
        <v>63</v>
      </c>
      <c r="B64">
        <v>114</v>
      </c>
      <c r="C64">
        <v>0</v>
      </c>
      <c r="D64">
        <v>0</v>
      </c>
      <c r="E64">
        <v>0</v>
      </c>
      <c r="G64" t="e">
        <f t="shared" si="0"/>
        <v>#NUM!</v>
      </c>
      <c r="H64" t="e">
        <f t="shared" si="1"/>
        <v>#NUM!</v>
      </c>
      <c r="I64" t="e">
        <f t="shared" si="2"/>
        <v>#NUM!</v>
      </c>
      <c r="J64" s="3" t="s">
        <v>9</v>
      </c>
      <c r="K64" t="e">
        <f t="shared" si="3"/>
        <v>#NUM!</v>
      </c>
      <c r="L64" s="5" t="s">
        <v>72</v>
      </c>
      <c r="N64">
        <v>63</v>
      </c>
      <c r="O64">
        <v>-3</v>
      </c>
    </row>
    <row r="65" spans="1:15">
      <c r="A65">
        <v>64</v>
      </c>
      <c r="B65">
        <v>212</v>
      </c>
      <c r="C65">
        <v>81</v>
      </c>
      <c r="D65">
        <v>2</v>
      </c>
      <c r="E65">
        <v>369</v>
      </c>
      <c r="G65">
        <f t="shared" si="0"/>
        <v>-0.31807937323118352</v>
      </c>
      <c r="H65">
        <f t="shared" si="1"/>
        <v>-2.0489223314384581</v>
      </c>
      <c r="I65">
        <f t="shared" si="2"/>
        <v>0.70535367094207424</v>
      </c>
      <c r="J65" s="3" t="s">
        <v>9</v>
      </c>
      <c r="K65">
        <f t="shared" si="3"/>
        <v>-0.55388267790918921</v>
      </c>
      <c r="L65" s="5" t="s">
        <v>73</v>
      </c>
      <c r="N65">
        <v>64</v>
      </c>
      <c r="O65">
        <v>-0.55388267790918921</v>
      </c>
    </row>
    <row r="66" spans="1:15">
      <c r="A66">
        <v>65</v>
      </c>
      <c r="B66">
        <v>185</v>
      </c>
      <c r="C66">
        <v>4</v>
      </c>
      <c r="D66">
        <v>3</v>
      </c>
      <c r="E66">
        <v>7</v>
      </c>
      <c r="G66">
        <f t="shared" ref="G66:G129" si="4">LOG10(C66/B66)-LOG10(3086/3883)</f>
        <v>-1.5653402682561333</v>
      </c>
      <c r="H66">
        <f t="shared" ref="H66:H129" si="5">LOG10(D66/B66)-LOG10(4100/3883)</f>
        <v>-1.8136669398570393</v>
      </c>
      <c r="I66">
        <f t="shared" ref="I66:I129" si="6">LOG10(E66/B66)-LOG10(1332/3883)</f>
        <v>-0.95741052267699167</v>
      </c>
      <c r="J66" s="3" t="s">
        <v>9</v>
      </c>
      <c r="K66">
        <f t="shared" ref="K66:K129" si="7">AVERAGE(G66:I66)</f>
        <v>-1.4454725769300547</v>
      </c>
      <c r="L66" s="5" t="s">
        <v>74</v>
      </c>
      <c r="N66">
        <v>65</v>
      </c>
      <c r="O66">
        <v>-1.4454725769300547</v>
      </c>
    </row>
    <row r="67" spans="1:15">
      <c r="A67">
        <v>66</v>
      </c>
      <c r="B67">
        <v>717</v>
      </c>
      <c r="C67">
        <v>499</v>
      </c>
      <c r="D67">
        <v>338</v>
      </c>
      <c r="E67">
        <v>3643</v>
      </c>
      <c r="G67">
        <f t="shared" si="4"/>
        <v>-5.7647141225492082E-2</v>
      </c>
      <c r="H67">
        <f t="shared" si="5"/>
        <v>-0.35021892156383327</v>
      </c>
      <c r="I67">
        <f t="shared" si="6"/>
        <v>1.1706031812858813</v>
      </c>
      <c r="J67" s="3" t="s">
        <v>9</v>
      </c>
      <c r="K67">
        <f t="shared" si="7"/>
        <v>0.25424570616551861</v>
      </c>
      <c r="L67" s="5" t="s">
        <v>75</v>
      </c>
      <c r="N67">
        <v>66</v>
      </c>
      <c r="O67">
        <v>0.25424570616551861</v>
      </c>
    </row>
    <row r="68" spans="1:15">
      <c r="A68">
        <v>67</v>
      </c>
      <c r="B68">
        <v>216</v>
      </c>
      <c r="C68">
        <v>0</v>
      </c>
      <c r="D68">
        <v>0</v>
      </c>
      <c r="E68">
        <v>0</v>
      </c>
      <c r="G68" t="e">
        <f t="shared" si="4"/>
        <v>#NUM!</v>
      </c>
      <c r="H68" t="e">
        <f t="shared" si="5"/>
        <v>#NUM!</v>
      </c>
      <c r="I68" t="e">
        <f t="shared" si="6"/>
        <v>#NUM!</v>
      </c>
      <c r="J68" s="3" t="s">
        <v>9</v>
      </c>
      <c r="K68" t="e">
        <f t="shared" si="7"/>
        <v>#NUM!</v>
      </c>
      <c r="L68" s="5" t="s">
        <v>76</v>
      </c>
      <c r="N68">
        <v>67</v>
      </c>
      <c r="O68">
        <v>-3</v>
      </c>
    </row>
    <row r="69" spans="1:15">
      <c r="A69">
        <v>68</v>
      </c>
      <c r="B69">
        <v>241</v>
      </c>
      <c r="C69">
        <v>0</v>
      </c>
      <c r="D69">
        <v>0</v>
      </c>
      <c r="E69">
        <v>0</v>
      </c>
      <c r="G69" t="e">
        <f t="shared" si="4"/>
        <v>#NUM!</v>
      </c>
      <c r="H69" t="e">
        <f t="shared" si="5"/>
        <v>#NUM!</v>
      </c>
      <c r="I69" t="e">
        <f t="shared" si="6"/>
        <v>#NUM!</v>
      </c>
      <c r="J69" s="3" t="s">
        <v>9</v>
      </c>
      <c r="K69" t="e">
        <f t="shared" si="7"/>
        <v>#NUM!</v>
      </c>
      <c r="L69" s="5" t="s">
        <v>77</v>
      </c>
      <c r="N69">
        <v>68</v>
      </c>
      <c r="O69">
        <v>-3</v>
      </c>
    </row>
    <row r="70" spans="1:15">
      <c r="A70">
        <v>69</v>
      </c>
      <c r="B70">
        <v>5102</v>
      </c>
      <c r="C70">
        <v>2</v>
      </c>
      <c r="D70">
        <v>1</v>
      </c>
      <c r="E70">
        <v>12</v>
      </c>
      <c r="G70">
        <f t="shared" si="4"/>
        <v>-3.3069389897908721</v>
      </c>
      <c r="H70">
        <f t="shared" si="5"/>
        <v>-3.731356920447459</v>
      </c>
      <c r="I70">
        <f t="shared" si="6"/>
        <v>-2.1638960425143812</v>
      </c>
      <c r="J70" s="2" t="s">
        <v>8</v>
      </c>
      <c r="K70">
        <f t="shared" si="7"/>
        <v>-3.0673973175842373</v>
      </c>
      <c r="L70" s="5" t="s">
        <v>78</v>
      </c>
      <c r="N70">
        <v>69</v>
      </c>
      <c r="O70">
        <v>-3.0673973175842373</v>
      </c>
    </row>
    <row r="71" spans="1:15">
      <c r="A71">
        <v>70</v>
      </c>
      <c r="B71">
        <v>276</v>
      </c>
      <c r="C71">
        <v>48</v>
      </c>
      <c r="D71">
        <v>2112</v>
      </c>
      <c r="E71">
        <v>30</v>
      </c>
      <c r="G71">
        <f t="shared" si="4"/>
        <v>-0.65989637587071237</v>
      </c>
      <c r="H71">
        <f t="shared" si="5"/>
        <v>0.86016836562286902</v>
      </c>
      <c r="I71">
        <f t="shared" si="6"/>
        <v>-0.49912466163378988</v>
      </c>
      <c r="J71" s="3" t="s">
        <v>9</v>
      </c>
      <c r="K71">
        <f t="shared" si="7"/>
        <v>-9.9617557293877737E-2</v>
      </c>
      <c r="L71" s="5" t="s">
        <v>79</v>
      </c>
      <c r="N71">
        <v>70</v>
      </c>
      <c r="O71">
        <v>-9.9617557293877737E-2</v>
      </c>
    </row>
    <row r="72" spans="1:15">
      <c r="A72">
        <v>71</v>
      </c>
      <c r="B72">
        <v>1826</v>
      </c>
      <c r="C72">
        <v>1</v>
      </c>
      <c r="D72">
        <v>2</v>
      </c>
      <c r="E72">
        <v>0</v>
      </c>
      <c r="G72">
        <f t="shared" si="4"/>
        <v>-3.1617293043793624</v>
      </c>
      <c r="H72">
        <f t="shared" si="5"/>
        <v>-2.9840872437079868</v>
      </c>
      <c r="I72" t="e">
        <f t="shared" si="6"/>
        <v>#NUM!</v>
      </c>
      <c r="J72" s="2" t="s">
        <v>8</v>
      </c>
      <c r="K72" t="e">
        <f t="shared" si="7"/>
        <v>#NUM!</v>
      </c>
      <c r="L72" s="5" t="s">
        <v>80</v>
      </c>
      <c r="N72">
        <v>71</v>
      </c>
      <c r="O72">
        <v>-3</v>
      </c>
    </row>
    <row r="73" spans="1:15">
      <c r="A73">
        <v>72</v>
      </c>
      <c r="B73">
        <v>1697</v>
      </c>
      <c r="C73">
        <v>194</v>
      </c>
      <c r="D73">
        <v>158</v>
      </c>
      <c r="E73">
        <v>50</v>
      </c>
      <c r="G73">
        <f t="shared" si="4"/>
        <v>-0.84210864356853166</v>
      </c>
      <c r="H73">
        <f t="shared" si="5"/>
        <v>-1.0546412215369412</v>
      </c>
      <c r="I73">
        <f t="shared" si="6"/>
        <v>-1.0660486722698916</v>
      </c>
      <c r="J73" s="2" t="s">
        <v>8</v>
      </c>
      <c r="K73">
        <f t="shared" si="7"/>
        <v>-0.98759951245845479</v>
      </c>
      <c r="L73" s="5" t="s">
        <v>81</v>
      </c>
      <c r="N73">
        <v>72</v>
      </c>
      <c r="O73">
        <v>-0.98759951245845479</v>
      </c>
    </row>
    <row r="74" spans="1:15">
      <c r="A74">
        <v>73</v>
      </c>
      <c r="B74">
        <v>3344</v>
      </c>
      <c r="C74">
        <v>0</v>
      </c>
      <c r="D74">
        <v>1</v>
      </c>
      <c r="E74">
        <v>1</v>
      </c>
      <c r="G74" t="e">
        <f t="shared" si="4"/>
        <v>#NUM!</v>
      </c>
      <c r="H74">
        <f t="shared" si="5"/>
        <v>-3.5478827349406665</v>
      </c>
      <c r="I74">
        <f t="shared" si="6"/>
        <v>-3.0596031030552133</v>
      </c>
      <c r="J74" s="2" t="s">
        <v>8</v>
      </c>
      <c r="K74" t="e">
        <f t="shared" si="7"/>
        <v>#NUM!</v>
      </c>
      <c r="L74" s="5" t="s">
        <v>82</v>
      </c>
      <c r="N74">
        <v>73</v>
      </c>
      <c r="O74">
        <v>-3</v>
      </c>
    </row>
    <row r="75" spans="1:15">
      <c r="A75">
        <v>74</v>
      </c>
      <c r="B75">
        <v>6090</v>
      </c>
      <c r="C75">
        <v>10</v>
      </c>
      <c r="D75">
        <v>1</v>
      </c>
      <c r="E75">
        <v>1</v>
      </c>
      <c r="G75">
        <f t="shared" si="4"/>
        <v>-2.6848458238139572</v>
      </c>
      <c r="H75">
        <f t="shared" si="5"/>
        <v>-3.8082337588065629</v>
      </c>
      <c r="I75">
        <f t="shared" si="6"/>
        <v>-3.3199541269211097</v>
      </c>
      <c r="J75" s="2" t="s">
        <v>8</v>
      </c>
      <c r="K75">
        <f t="shared" si="7"/>
        <v>-3.2710112365138766</v>
      </c>
      <c r="L75" s="5" t="s">
        <v>83</v>
      </c>
      <c r="N75">
        <v>74</v>
      </c>
      <c r="O75">
        <v>-3.2710112365138766</v>
      </c>
    </row>
    <row r="76" spans="1:15">
      <c r="A76">
        <v>75</v>
      </c>
      <c r="B76">
        <v>2743</v>
      </c>
      <c r="C76">
        <v>0</v>
      </c>
      <c r="D76">
        <v>0</v>
      </c>
      <c r="E76">
        <v>68</v>
      </c>
      <c r="G76" t="e">
        <f t="shared" si="4"/>
        <v>#NUM!</v>
      </c>
      <c r="H76" t="e">
        <f t="shared" si="5"/>
        <v>#NUM!</v>
      </c>
      <c r="I76">
        <f t="shared" si="6"/>
        <v>-1.1410537291865279</v>
      </c>
      <c r="J76" s="2" t="s">
        <v>8</v>
      </c>
      <c r="K76" t="e">
        <f t="shared" si="7"/>
        <v>#NUM!</v>
      </c>
      <c r="L76" s="5" t="s">
        <v>84</v>
      </c>
      <c r="N76">
        <v>75</v>
      </c>
      <c r="O76">
        <v>-3</v>
      </c>
    </row>
    <row r="77" spans="1:15">
      <c r="A77">
        <v>76</v>
      </c>
      <c r="B77">
        <v>2699</v>
      </c>
      <c r="C77">
        <v>1</v>
      </c>
      <c r="D77">
        <v>8</v>
      </c>
      <c r="E77">
        <v>5</v>
      </c>
      <c r="G77">
        <f t="shared" si="4"/>
        <v>-3.3314314157375988</v>
      </c>
      <c r="H77">
        <f t="shared" si="5"/>
        <v>-2.5517293637382608</v>
      </c>
      <c r="I77">
        <f t="shared" si="6"/>
        <v>-2.2675697145087326</v>
      </c>
      <c r="J77" s="2" t="s">
        <v>8</v>
      </c>
      <c r="K77">
        <f t="shared" si="7"/>
        <v>-2.716910164661531</v>
      </c>
      <c r="L77" s="5" t="s">
        <v>85</v>
      </c>
      <c r="N77">
        <v>76</v>
      </c>
      <c r="O77">
        <v>-2.716910164661531</v>
      </c>
    </row>
    <row r="78" spans="1:15">
      <c r="A78">
        <v>77</v>
      </c>
      <c r="B78">
        <v>2623</v>
      </c>
      <c r="C78">
        <v>0</v>
      </c>
      <c r="D78">
        <v>3</v>
      </c>
      <c r="E78">
        <v>1</v>
      </c>
      <c r="G78" t="e">
        <f t="shared" si="4"/>
        <v>#NUM!</v>
      </c>
      <c r="H78">
        <f t="shared" si="5"/>
        <v>-2.9652935020443789</v>
      </c>
      <c r="I78">
        <f t="shared" si="6"/>
        <v>-2.9541351248785879</v>
      </c>
      <c r="J78" s="2" t="s">
        <v>8</v>
      </c>
      <c r="K78" t="e">
        <f t="shared" si="7"/>
        <v>#NUM!</v>
      </c>
      <c r="L78" s="5" t="s">
        <v>86</v>
      </c>
      <c r="N78">
        <v>77</v>
      </c>
      <c r="O78">
        <v>-3</v>
      </c>
    </row>
    <row r="79" spans="1:15">
      <c r="A79">
        <v>78</v>
      </c>
      <c r="B79">
        <v>1297</v>
      </c>
      <c r="C79">
        <v>17</v>
      </c>
      <c r="D79">
        <v>35</v>
      </c>
      <c r="E79">
        <v>1</v>
      </c>
      <c r="G79">
        <f t="shared" si="4"/>
        <v>-1.7827195858868881</v>
      </c>
      <c r="H79">
        <f t="shared" si="5"/>
        <v>-1.5924883979074924</v>
      </c>
      <c r="I79">
        <f t="shared" si="6"/>
        <v>-2.6482768103723147</v>
      </c>
      <c r="J79" s="2" t="s">
        <v>8</v>
      </c>
      <c r="K79">
        <f t="shared" si="7"/>
        <v>-2.0078282647222316</v>
      </c>
      <c r="L79" s="5" t="s">
        <v>87</v>
      </c>
      <c r="N79">
        <v>78</v>
      </c>
      <c r="O79">
        <v>-2.0078282647222316</v>
      </c>
    </row>
    <row r="80" spans="1:15">
      <c r="A80">
        <v>79</v>
      </c>
      <c r="B80">
        <v>4158</v>
      </c>
      <c r="C80">
        <v>12</v>
      </c>
      <c r="D80">
        <v>1</v>
      </c>
      <c r="E80">
        <v>3</v>
      </c>
      <c r="G80">
        <f t="shared" si="4"/>
        <v>-2.4399317701289074</v>
      </c>
      <c r="H80">
        <f t="shared" si="5"/>
        <v>-3.6425009511691382</v>
      </c>
      <c r="I80">
        <f t="shared" si="6"/>
        <v>-2.6771000645640224</v>
      </c>
      <c r="J80" s="2" t="s">
        <v>8</v>
      </c>
      <c r="K80">
        <f t="shared" si="7"/>
        <v>-2.9198442619540228</v>
      </c>
      <c r="L80" s="5" t="s">
        <v>88</v>
      </c>
      <c r="N80">
        <v>79</v>
      </c>
      <c r="O80">
        <v>-2.9198442619540228</v>
      </c>
    </row>
    <row r="81" spans="1:15">
      <c r="A81">
        <v>80</v>
      </c>
      <c r="B81">
        <v>4931</v>
      </c>
      <c r="C81">
        <v>292</v>
      </c>
      <c r="D81">
        <v>1</v>
      </c>
      <c r="E81">
        <v>3</v>
      </c>
      <c r="G81">
        <f t="shared" si="4"/>
        <v>-1.1277806822638012</v>
      </c>
      <c r="H81">
        <f t="shared" si="5"/>
        <v>-3.7165514687048256</v>
      </c>
      <c r="I81">
        <f t="shared" si="6"/>
        <v>-2.7511505820997098</v>
      </c>
      <c r="J81" s="2" t="s">
        <v>8</v>
      </c>
      <c r="K81">
        <f t="shared" si="7"/>
        <v>-2.5318275776894454</v>
      </c>
      <c r="L81" s="5" t="s">
        <v>89</v>
      </c>
      <c r="N81">
        <v>80</v>
      </c>
      <c r="O81">
        <v>-2.5318275776894454</v>
      </c>
    </row>
    <row r="82" spans="1:15">
      <c r="A82">
        <v>81</v>
      </c>
      <c r="B82">
        <v>712</v>
      </c>
      <c r="C82">
        <v>84</v>
      </c>
      <c r="D82">
        <v>438</v>
      </c>
      <c r="E82">
        <v>21</v>
      </c>
      <c r="G82">
        <f t="shared" si="4"/>
        <v>-0.82842923875605656</v>
      </c>
      <c r="H82">
        <f t="shared" si="5"/>
        <v>-0.23462234930644474</v>
      </c>
      <c r="I82">
        <f t="shared" si="6"/>
        <v>-1.0655975331911716</v>
      </c>
      <c r="J82" s="2" t="s">
        <v>8</v>
      </c>
      <c r="K82">
        <f t="shared" si="7"/>
        <v>-0.70954970708455767</v>
      </c>
      <c r="L82" s="5" t="s">
        <v>90</v>
      </c>
      <c r="N82">
        <v>81</v>
      </c>
      <c r="O82">
        <v>-0.70954970708455767</v>
      </c>
    </row>
    <row r="83" spans="1:15">
      <c r="A83">
        <v>82</v>
      </c>
      <c r="B83">
        <v>773</v>
      </c>
      <c r="C83">
        <v>1</v>
      </c>
      <c r="D83">
        <v>1</v>
      </c>
      <c r="E83">
        <v>2</v>
      </c>
      <c r="G83">
        <f t="shared" si="4"/>
        <v>-2.788408025099407</v>
      </c>
      <c r="H83">
        <f t="shared" si="5"/>
        <v>-2.9117959600920127</v>
      </c>
      <c r="I83">
        <f t="shared" si="6"/>
        <v>-2.1224863325425782</v>
      </c>
      <c r="J83" s="2" t="s">
        <v>8</v>
      </c>
      <c r="K83">
        <f t="shared" si="7"/>
        <v>-2.6075634392446663</v>
      </c>
      <c r="L83" s="5" t="s">
        <v>91</v>
      </c>
      <c r="N83">
        <v>82</v>
      </c>
      <c r="O83">
        <v>-2.6075634392446663</v>
      </c>
    </row>
    <row r="84" spans="1:15">
      <c r="A84">
        <v>83</v>
      </c>
      <c r="B84">
        <v>2088</v>
      </c>
      <c r="C84">
        <v>4</v>
      </c>
      <c r="D84">
        <v>0</v>
      </c>
      <c r="E84">
        <v>0</v>
      </c>
      <c r="G84">
        <f t="shared" si="4"/>
        <v>-2.6178990341833441</v>
      </c>
      <c r="H84" t="e">
        <f t="shared" si="5"/>
        <v>#NUM!</v>
      </c>
      <c r="I84" t="e">
        <f t="shared" si="6"/>
        <v>#NUM!</v>
      </c>
      <c r="J84" s="2" t="s">
        <v>8</v>
      </c>
      <c r="K84" t="e">
        <f t="shared" si="7"/>
        <v>#NUM!</v>
      </c>
      <c r="L84" s="5" t="s">
        <v>92</v>
      </c>
      <c r="N84">
        <v>83</v>
      </c>
      <c r="O84">
        <v>-3</v>
      </c>
    </row>
    <row r="85" spans="1:15">
      <c r="A85">
        <v>84</v>
      </c>
      <c r="B85">
        <v>1130</v>
      </c>
      <c r="C85">
        <v>0</v>
      </c>
      <c r="D85">
        <v>0</v>
      </c>
      <c r="E85">
        <v>0</v>
      </c>
      <c r="G85" t="e">
        <f t="shared" si="4"/>
        <v>#NUM!</v>
      </c>
      <c r="H85" t="e">
        <f t="shared" si="5"/>
        <v>#NUM!</v>
      </c>
      <c r="I85" t="e">
        <f t="shared" si="6"/>
        <v>#NUM!</v>
      </c>
      <c r="J85" s="2" t="s">
        <v>8</v>
      </c>
      <c r="K85" t="e">
        <f t="shared" si="7"/>
        <v>#NUM!</v>
      </c>
      <c r="L85" s="5" t="s">
        <v>93</v>
      </c>
      <c r="N85">
        <v>84</v>
      </c>
      <c r="O85">
        <v>-3</v>
      </c>
    </row>
    <row r="86" spans="1:15">
      <c r="A86">
        <v>85</v>
      </c>
      <c r="B86">
        <v>2967</v>
      </c>
      <c r="C86">
        <v>72</v>
      </c>
      <c r="D86">
        <v>4</v>
      </c>
      <c r="E86">
        <v>13</v>
      </c>
      <c r="G86">
        <f t="shared" si="4"/>
        <v>-1.5152135810666552</v>
      </c>
      <c r="H86">
        <f t="shared" si="5"/>
        <v>-2.8938740211625671</v>
      </c>
      <c r="I86">
        <f t="shared" si="6"/>
        <v>-1.8937110282982395</v>
      </c>
      <c r="J86" s="2" t="s">
        <v>8</v>
      </c>
      <c r="K86">
        <f t="shared" si="7"/>
        <v>-2.1009328768424873</v>
      </c>
      <c r="L86" s="5" t="s">
        <v>94</v>
      </c>
      <c r="N86">
        <v>85</v>
      </c>
      <c r="O86">
        <v>-2.1009328768424873</v>
      </c>
    </row>
    <row r="87" spans="1:15">
      <c r="A87">
        <v>86</v>
      </c>
      <c r="B87">
        <v>2327</v>
      </c>
      <c r="C87">
        <v>0</v>
      </c>
      <c r="D87">
        <v>1</v>
      </c>
      <c r="E87">
        <v>0</v>
      </c>
      <c r="G87" t="e">
        <f t="shared" si="4"/>
        <v>#NUM!</v>
      </c>
      <c r="H87">
        <f t="shared" si="5"/>
        <v>-3.3904128494604175</v>
      </c>
      <c r="I87" t="e">
        <f t="shared" si="6"/>
        <v>#NUM!</v>
      </c>
      <c r="J87" s="2" t="s">
        <v>8</v>
      </c>
      <c r="K87" t="e">
        <f t="shared" si="7"/>
        <v>#NUM!</v>
      </c>
      <c r="L87" s="5" t="s">
        <v>95</v>
      </c>
      <c r="N87">
        <v>86</v>
      </c>
      <c r="O87">
        <v>-3</v>
      </c>
    </row>
    <row r="88" spans="1:15">
      <c r="A88">
        <v>87</v>
      </c>
      <c r="B88">
        <v>2141</v>
      </c>
      <c r="C88">
        <v>16</v>
      </c>
      <c r="D88">
        <v>96</v>
      </c>
      <c r="E88">
        <v>33</v>
      </c>
      <c r="G88">
        <f t="shared" si="4"/>
        <v>-2.0267252158195954</v>
      </c>
      <c r="H88">
        <f t="shared" si="5"/>
        <v>-1.3719619004285579</v>
      </c>
      <c r="I88">
        <f t="shared" si="6"/>
        <v>-1.3474395617047854</v>
      </c>
      <c r="J88" s="2" t="s">
        <v>8</v>
      </c>
      <c r="K88">
        <f t="shared" si="7"/>
        <v>-1.5820422259843128</v>
      </c>
      <c r="L88" s="5" t="s">
        <v>96</v>
      </c>
      <c r="N88">
        <v>87</v>
      </c>
      <c r="O88">
        <v>-1.5820422259843128</v>
      </c>
    </row>
    <row r="89" spans="1:15">
      <c r="A89">
        <v>88</v>
      </c>
      <c r="B89">
        <v>1028</v>
      </c>
      <c r="C89">
        <v>0</v>
      </c>
      <c r="D89">
        <v>2</v>
      </c>
      <c r="E89">
        <v>1</v>
      </c>
      <c r="G89" t="e">
        <f t="shared" si="4"/>
        <v>#NUM!</v>
      </c>
      <c r="H89">
        <f t="shared" si="5"/>
        <v>-2.7345795851689636</v>
      </c>
      <c r="I89">
        <f t="shared" si="6"/>
        <v>-2.5473299489474917</v>
      </c>
      <c r="J89" s="2" t="s">
        <v>8</v>
      </c>
      <c r="K89" t="e">
        <f t="shared" si="7"/>
        <v>#NUM!</v>
      </c>
      <c r="L89" s="5" t="s">
        <v>97</v>
      </c>
      <c r="N89">
        <v>88</v>
      </c>
      <c r="O89">
        <v>-3</v>
      </c>
    </row>
    <row r="90" spans="1:15">
      <c r="A90">
        <v>89</v>
      </c>
      <c r="B90">
        <v>2296</v>
      </c>
      <c r="C90">
        <v>0</v>
      </c>
      <c r="D90">
        <v>5</v>
      </c>
      <c r="E90">
        <v>1</v>
      </c>
      <c r="G90" t="e">
        <f t="shared" si="4"/>
        <v>#NUM!</v>
      </c>
      <c r="H90">
        <f t="shared" si="5"/>
        <v>-2.6856183455636047</v>
      </c>
      <c r="I90">
        <f t="shared" si="6"/>
        <v>-2.8963087180141702</v>
      </c>
      <c r="J90" s="2" t="s">
        <v>8</v>
      </c>
      <c r="K90" t="e">
        <f t="shared" si="7"/>
        <v>#NUM!</v>
      </c>
      <c r="L90" s="5" t="s">
        <v>98</v>
      </c>
      <c r="N90">
        <v>89</v>
      </c>
      <c r="O90">
        <v>-3</v>
      </c>
    </row>
    <row r="91" spans="1:15">
      <c r="A91">
        <v>90</v>
      </c>
      <c r="B91">
        <v>3066</v>
      </c>
      <c r="C91">
        <v>15</v>
      </c>
      <c r="D91">
        <v>18</v>
      </c>
      <c r="E91">
        <v>1</v>
      </c>
      <c r="G91">
        <f t="shared" si="4"/>
        <v>-2.2107094226437574</v>
      </c>
      <c r="H91">
        <f t="shared" si="5"/>
        <v>-2.2549161115887379</v>
      </c>
      <c r="I91">
        <f t="shared" si="6"/>
        <v>-3.0219089848065908</v>
      </c>
      <c r="J91" s="2" t="s">
        <v>8</v>
      </c>
      <c r="K91">
        <f t="shared" si="7"/>
        <v>-2.4958448396796955</v>
      </c>
      <c r="L91" s="5" t="s">
        <v>99</v>
      </c>
      <c r="N91">
        <v>90</v>
      </c>
      <c r="O91">
        <v>-2.4958448396796955</v>
      </c>
    </row>
    <row r="92" spans="1:15">
      <c r="A92">
        <v>91</v>
      </c>
      <c r="B92">
        <v>993</v>
      </c>
      <c r="C92">
        <v>7</v>
      </c>
      <c r="D92">
        <v>0</v>
      </c>
      <c r="E92">
        <v>0</v>
      </c>
      <c r="G92">
        <f t="shared" si="4"/>
        <v>-2.0520797396622066</v>
      </c>
      <c r="H92" t="e">
        <f t="shared" si="5"/>
        <v>#NUM!</v>
      </c>
      <c r="I92" t="e">
        <f t="shared" si="6"/>
        <v>#NUM!</v>
      </c>
      <c r="J92" s="2" t="s">
        <v>8</v>
      </c>
      <c r="K92" t="e">
        <f t="shared" si="7"/>
        <v>#NUM!</v>
      </c>
      <c r="L92" s="5" t="s">
        <v>100</v>
      </c>
      <c r="N92">
        <v>91</v>
      </c>
      <c r="O92">
        <v>-3</v>
      </c>
    </row>
    <row r="93" spans="1:15">
      <c r="A93">
        <v>92</v>
      </c>
      <c r="B93">
        <v>914</v>
      </c>
      <c r="C93">
        <v>12555</v>
      </c>
      <c r="D93">
        <v>25</v>
      </c>
      <c r="E93">
        <v>220</v>
      </c>
      <c r="G93">
        <f t="shared" si="4"/>
        <v>1.2376419901340281</v>
      </c>
      <c r="H93">
        <f t="shared" si="5"/>
        <v>-1.5866226532354817</v>
      </c>
      <c r="I93">
        <f t="shared" si="6"/>
        <v>-0.1538603491998598</v>
      </c>
      <c r="J93" s="3" t="s">
        <v>9</v>
      </c>
      <c r="K93">
        <f t="shared" si="7"/>
        <v>-0.16761367076710446</v>
      </c>
      <c r="L93" s="5" t="s">
        <v>101</v>
      </c>
      <c r="N93">
        <v>92</v>
      </c>
      <c r="O93">
        <v>-0.16761367076710446</v>
      </c>
    </row>
    <row r="94" spans="1:15">
      <c r="A94">
        <v>93</v>
      </c>
      <c r="B94">
        <v>2498</v>
      </c>
      <c r="C94">
        <v>0</v>
      </c>
      <c r="D94">
        <v>1</v>
      </c>
      <c r="E94">
        <v>0</v>
      </c>
      <c r="G94" t="e">
        <f t="shared" si="4"/>
        <v>#NUM!</v>
      </c>
      <c r="H94">
        <f t="shared" si="5"/>
        <v>-3.4212089002118047</v>
      </c>
      <c r="I94" t="e">
        <f t="shared" si="6"/>
        <v>#NUM!</v>
      </c>
      <c r="J94" s="2" t="s">
        <v>8</v>
      </c>
      <c r="K94" t="e">
        <f t="shared" si="7"/>
        <v>#NUM!</v>
      </c>
      <c r="L94" s="5" t="s">
        <v>102</v>
      </c>
      <c r="N94">
        <v>93</v>
      </c>
      <c r="O94">
        <v>-3</v>
      </c>
    </row>
    <row r="95" spans="1:15">
      <c r="A95">
        <v>94</v>
      </c>
      <c r="B95">
        <v>3004</v>
      </c>
      <c r="C95">
        <v>0</v>
      </c>
      <c r="D95">
        <v>1</v>
      </c>
      <c r="E95">
        <v>3</v>
      </c>
      <c r="G95" t="e">
        <f t="shared" si="4"/>
        <v>#NUM!</v>
      </c>
      <c r="H95">
        <f t="shared" si="5"/>
        <v>-3.5013163945058183</v>
      </c>
      <c r="I95">
        <f t="shared" si="6"/>
        <v>-2.535915507900703</v>
      </c>
      <c r="J95" s="2" t="s">
        <v>8</v>
      </c>
      <c r="K95" t="e">
        <f t="shared" si="7"/>
        <v>#NUM!</v>
      </c>
      <c r="L95" s="5" t="s">
        <v>103</v>
      </c>
      <c r="N95">
        <v>94</v>
      </c>
      <c r="O95">
        <v>-3</v>
      </c>
    </row>
    <row r="96" spans="1:15">
      <c r="A96">
        <v>95</v>
      </c>
      <c r="B96">
        <v>471</v>
      </c>
      <c r="C96">
        <v>11</v>
      </c>
      <c r="D96">
        <v>0</v>
      </c>
      <c r="E96">
        <v>5</v>
      </c>
      <c r="G96">
        <f t="shared" si="4"/>
        <v>-1.5318567531517531</v>
      </c>
      <c r="H96" t="e">
        <f t="shared" si="5"/>
        <v>#NUM!</v>
      </c>
      <c r="I96">
        <f t="shared" si="6"/>
        <v>-1.509387737081112</v>
      </c>
      <c r="J96" s="3" t="s">
        <v>9</v>
      </c>
      <c r="K96" t="e">
        <f t="shared" si="7"/>
        <v>#NUM!</v>
      </c>
      <c r="L96" s="5" t="s">
        <v>104</v>
      </c>
      <c r="N96">
        <v>95</v>
      </c>
      <c r="O96">
        <v>-3</v>
      </c>
    </row>
    <row r="97" spans="1:15">
      <c r="A97">
        <v>96</v>
      </c>
      <c r="B97">
        <v>867</v>
      </c>
      <c r="C97">
        <v>1</v>
      </c>
      <c r="D97">
        <v>1</v>
      </c>
      <c r="E97">
        <v>2</v>
      </c>
      <c r="G97">
        <f t="shared" si="4"/>
        <v>-2.8382476286572924</v>
      </c>
      <c r="H97">
        <f t="shared" si="5"/>
        <v>-2.9616355636498981</v>
      </c>
      <c r="I97">
        <f t="shared" si="6"/>
        <v>-2.1723259361004637</v>
      </c>
      <c r="J97" s="3" t="s">
        <v>9</v>
      </c>
      <c r="K97">
        <f t="shared" si="7"/>
        <v>-2.6574030428025512</v>
      </c>
      <c r="L97" s="5" t="s">
        <v>105</v>
      </c>
      <c r="N97">
        <v>96</v>
      </c>
      <c r="O97">
        <v>-2.6574030428025512</v>
      </c>
    </row>
    <row r="98" spans="1:15">
      <c r="A98">
        <v>97</v>
      </c>
      <c r="B98">
        <v>473</v>
      </c>
      <c r="C98">
        <v>0</v>
      </c>
      <c r="D98">
        <v>0</v>
      </c>
      <c r="E98">
        <v>0</v>
      </c>
      <c r="G98" t="e">
        <f t="shared" si="4"/>
        <v>#NUM!</v>
      </c>
      <c r="H98" t="e">
        <f t="shared" si="5"/>
        <v>#NUM!</v>
      </c>
      <c r="I98" t="e">
        <f t="shared" si="6"/>
        <v>#NUM!</v>
      </c>
      <c r="J98" s="3" t="s">
        <v>9</v>
      </c>
      <c r="K98" t="e">
        <f t="shared" si="7"/>
        <v>#NUM!</v>
      </c>
      <c r="L98" s="5" t="s">
        <v>106</v>
      </c>
      <c r="N98">
        <v>97</v>
      </c>
      <c r="O98">
        <v>-3</v>
      </c>
    </row>
    <row r="99" spans="1:15">
      <c r="A99">
        <v>98</v>
      </c>
      <c r="B99">
        <v>716</v>
      </c>
      <c r="C99">
        <v>4</v>
      </c>
      <c r="D99">
        <v>5</v>
      </c>
      <c r="E99">
        <v>2</v>
      </c>
      <c r="G99">
        <f t="shared" si="4"/>
        <v>-2.1530815621609753</v>
      </c>
      <c r="H99">
        <f t="shared" si="5"/>
        <v>-2.1795594841455244</v>
      </c>
      <c r="I99">
        <f t="shared" si="6"/>
        <v>-2.0892198609321091</v>
      </c>
      <c r="J99" s="3" t="s">
        <v>9</v>
      </c>
      <c r="K99">
        <f t="shared" si="7"/>
        <v>-2.1406203024128696</v>
      </c>
      <c r="L99" s="5" t="s">
        <v>107</v>
      </c>
      <c r="N99">
        <v>98</v>
      </c>
      <c r="O99">
        <v>-2.1406203024128696</v>
      </c>
    </row>
    <row r="100" spans="1:15">
      <c r="A100">
        <v>99</v>
      </c>
      <c r="B100">
        <v>627</v>
      </c>
      <c r="C100">
        <v>106</v>
      </c>
      <c r="D100">
        <v>67</v>
      </c>
      <c r="E100">
        <v>31</v>
      </c>
      <c r="G100">
        <f t="shared" si="4"/>
        <v>-0.67219020674702801</v>
      </c>
      <c r="H100">
        <f t="shared" si="5"/>
        <v>-0.994809204303578</v>
      </c>
      <c r="I100">
        <f t="shared" si="6"/>
        <v>-0.84124268128467838</v>
      </c>
      <c r="J100" s="3" t="s">
        <v>9</v>
      </c>
      <c r="K100">
        <f t="shared" si="7"/>
        <v>-0.83608069744509483</v>
      </c>
      <c r="L100" s="5" t="s">
        <v>108</v>
      </c>
      <c r="N100">
        <v>99</v>
      </c>
      <c r="O100">
        <v>-0.83608069744509483</v>
      </c>
    </row>
    <row r="101" spans="1:15">
      <c r="A101">
        <v>100</v>
      </c>
      <c r="B101">
        <v>873</v>
      </c>
      <c r="C101">
        <v>1193</v>
      </c>
      <c r="D101">
        <v>4439</v>
      </c>
      <c r="E101">
        <v>1233</v>
      </c>
      <c r="G101">
        <f t="shared" si="4"/>
        <v>0.23539766878369028</v>
      </c>
      <c r="H101">
        <f t="shared" si="5"/>
        <v>0.68265443514610891</v>
      </c>
      <c r="I101">
        <f t="shared" si="6"/>
        <v>0.61461199860192728</v>
      </c>
      <c r="J101" s="3" t="s">
        <v>9</v>
      </c>
      <c r="K101">
        <f t="shared" si="7"/>
        <v>0.51088803417724216</v>
      </c>
      <c r="L101" s="5" t="s">
        <v>109</v>
      </c>
      <c r="N101">
        <v>100</v>
      </c>
      <c r="O101">
        <v>0.51088803417724216</v>
      </c>
    </row>
    <row r="102" spans="1:15">
      <c r="A102">
        <v>101</v>
      </c>
      <c r="B102">
        <v>377</v>
      </c>
      <c r="C102">
        <v>1</v>
      </c>
      <c r="D102">
        <v>1</v>
      </c>
      <c r="E102">
        <v>0</v>
      </c>
      <c r="G102">
        <f t="shared" si="4"/>
        <v>-2.4765698813868751</v>
      </c>
      <c r="H102">
        <f t="shared" si="5"/>
        <v>-2.5999578163794808</v>
      </c>
      <c r="I102" t="e">
        <f t="shared" si="6"/>
        <v>#NUM!</v>
      </c>
      <c r="J102" s="3" t="s">
        <v>9</v>
      </c>
      <c r="K102" t="e">
        <f t="shared" si="7"/>
        <v>#NUM!</v>
      </c>
      <c r="L102" s="5" t="s">
        <v>110</v>
      </c>
      <c r="N102">
        <v>101</v>
      </c>
      <c r="O102">
        <v>-3</v>
      </c>
    </row>
    <row r="103" spans="1:15">
      <c r="A103">
        <v>102</v>
      </c>
      <c r="B103">
        <v>522</v>
      </c>
      <c r="C103">
        <v>100</v>
      </c>
      <c r="D103">
        <v>17</v>
      </c>
      <c r="E103">
        <v>163</v>
      </c>
      <c r="G103">
        <f t="shared" si="4"/>
        <v>-0.61789903418334391</v>
      </c>
      <c r="H103">
        <f t="shared" si="5"/>
        <v>-1.5108380477976762</v>
      </c>
      <c r="I103">
        <f t="shared" si="6"/>
        <v>-4.0819732886538951E-2</v>
      </c>
      <c r="J103" s="3" t="s">
        <v>9</v>
      </c>
      <c r="K103">
        <f t="shared" si="7"/>
        <v>-0.72318560495585305</v>
      </c>
      <c r="L103" s="5" t="s">
        <v>111</v>
      </c>
      <c r="N103">
        <v>102</v>
      </c>
      <c r="O103">
        <v>-0.72318560495585305</v>
      </c>
    </row>
    <row r="104" spans="1:15">
      <c r="A104">
        <v>103</v>
      </c>
      <c r="B104">
        <v>324</v>
      </c>
      <c r="C104">
        <v>3</v>
      </c>
      <c r="D104">
        <v>16</v>
      </c>
      <c r="E104">
        <v>6</v>
      </c>
      <c r="G104">
        <f t="shared" si="4"/>
        <v>-1.9336522866680317</v>
      </c>
      <c r="H104">
        <f t="shared" si="5"/>
        <v>-1.3300414937243754</v>
      </c>
      <c r="I104">
        <f t="shared" si="6"/>
        <v>-1.2677305941112031</v>
      </c>
      <c r="J104" s="3" t="s">
        <v>9</v>
      </c>
      <c r="K104">
        <f t="shared" si="7"/>
        <v>-1.5104747915012033</v>
      </c>
      <c r="L104" s="5" t="s">
        <v>112</v>
      </c>
      <c r="N104">
        <v>103</v>
      </c>
      <c r="O104">
        <v>-1.5104747915012033</v>
      </c>
    </row>
    <row r="105" spans="1:15">
      <c r="A105">
        <v>104</v>
      </c>
      <c r="B105">
        <v>669</v>
      </c>
      <c r="C105">
        <v>2</v>
      </c>
      <c r="D105">
        <v>55</v>
      </c>
      <c r="E105">
        <v>12</v>
      </c>
      <c r="G105">
        <f t="shared" si="4"/>
        <v>-2.424624653284924</v>
      </c>
      <c r="H105">
        <f t="shared" si="5"/>
        <v>-1.1086798944472671</v>
      </c>
      <c r="I105">
        <f t="shared" si="6"/>
        <v>-1.2815817060084331</v>
      </c>
      <c r="J105" s="3" t="s">
        <v>9</v>
      </c>
      <c r="K105">
        <f t="shared" si="7"/>
        <v>-1.6049620845802082</v>
      </c>
      <c r="L105" s="5" t="s">
        <v>113</v>
      </c>
      <c r="N105">
        <v>104</v>
      </c>
      <c r="O105">
        <v>-1.6049620845802082</v>
      </c>
    </row>
    <row r="106" spans="1:15">
      <c r="A106">
        <v>105</v>
      </c>
      <c r="B106">
        <v>559</v>
      </c>
      <c r="C106">
        <v>116</v>
      </c>
      <c r="D106">
        <v>1890</v>
      </c>
      <c r="E106">
        <v>486</v>
      </c>
      <c r="G106">
        <f t="shared" si="4"/>
        <v>-0.58318234984058659</v>
      </c>
      <c r="H106">
        <f t="shared" si="5"/>
        <v>0.50543353011313297</v>
      </c>
      <c r="I106">
        <f t="shared" si="6"/>
        <v>0.40388762708763548</v>
      </c>
      <c r="J106" s="3" t="s">
        <v>9</v>
      </c>
      <c r="K106">
        <f t="shared" si="7"/>
        <v>0.10871293578672729</v>
      </c>
      <c r="L106" s="5" t="s">
        <v>114</v>
      </c>
      <c r="N106">
        <v>105</v>
      </c>
      <c r="O106">
        <v>0.10871293578672729</v>
      </c>
    </row>
    <row r="107" spans="1:15">
      <c r="A107">
        <v>106</v>
      </c>
      <c r="B107">
        <v>6154</v>
      </c>
      <c r="C107">
        <v>41681</v>
      </c>
      <c r="D107">
        <v>14408</v>
      </c>
      <c r="E107">
        <v>5775</v>
      </c>
      <c r="G107">
        <f t="shared" si="4"/>
        <v>0.93055210680720268</v>
      </c>
      <c r="H107">
        <f t="shared" si="5"/>
        <v>0.34582974172634939</v>
      </c>
      <c r="I107">
        <f t="shared" si="6"/>
        <v>0.43705766236450766</v>
      </c>
      <c r="J107" s="3" t="s">
        <v>9</v>
      </c>
      <c r="K107">
        <f t="shared" si="7"/>
        <v>0.5711465036326866</v>
      </c>
      <c r="L107" s="5" t="s">
        <v>115</v>
      </c>
      <c r="N107">
        <v>106</v>
      </c>
      <c r="O107">
        <v>0.5711465036326866</v>
      </c>
    </row>
    <row r="108" spans="1:15">
      <c r="A108">
        <v>107</v>
      </c>
      <c r="B108">
        <v>3355</v>
      </c>
      <c r="C108">
        <v>40</v>
      </c>
      <c r="D108">
        <v>179</v>
      </c>
      <c r="E108">
        <v>125</v>
      </c>
      <c r="G108">
        <f t="shared" si="4"/>
        <v>-1.8238610643581303</v>
      </c>
      <c r="H108">
        <f t="shared" si="5"/>
        <v>-1.2964559596988057</v>
      </c>
      <c r="I108">
        <f t="shared" si="6"/>
        <v>-0.96411934578518921</v>
      </c>
      <c r="J108" s="2" t="s">
        <v>8</v>
      </c>
      <c r="K108">
        <f t="shared" si="7"/>
        <v>-1.361478789947375</v>
      </c>
      <c r="L108" s="5" t="s">
        <v>116</v>
      </c>
      <c r="N108">
        <v>107</v>
      </c>
      <c r="O108">
        <v>-1.361478789947375</v>
      </c>
    </row>
    <row r="109" spans="1:15">
      <c r="A109">
        <v>108</v>
      </c>
      <c r="B109">
        <v>329</v>
      </c>
      <c r="C109">
        <v>0</v>
      </c>
      <c r="D109">
        <v>0</v>
      </c>
      <c r="E109">
        <v>0</v>
      </c>
      <c r="G109" t="e">
        <f t="shared" si="4"/>
        <v>#NUM!</v>
      </c>
      <c r="H109" t="e">
        <f t="shared" si="5"/>
        <v>#NUM!</v>
      </c>
      <c r="I109" t="e">
        <f t="shared" si="6"/>
        <v>#NUM!</v>
      </c>
      <c r="J109" s="2" t="s">
        <v>8</v>
      </c>
      <c r="K109" t="e">
        <f t="shared" si="7"/>
        <v>#NUM!</v>
      </c>
      <c r="L109" s="5" t="s">
        <v>117</v>
      </c>
      <c r="N109">
        <v>108</v>
      </c>
      <c r="O109">
        <v>-3</v>
      </c>
    </row>
    <row r="110" spans="1:15">
      <c r="A110">
        <v>109</v>
      </c>
      <c r="B110">
        <v>857</v>
      </c>
      <c r="C110">
        <v>0</v>
      </c>
      <c r="D110">
        <v>1</v>
      </c>
      <c r="E110">
        <v>0</v>
      </c>
      <c r="G110" t="e">
        <f t="shared" si="4"/>
        <v>#NUM!</v>
      </c>
      <c r="H110">
        <f t="shared" si="5"/>
        <v>-2.9565972880968858</v>
      </c>
      <c r="I110" t="e">
        <f t="shared" si="6"/>
        <v>#NUM!</v>
      </c>
      <c r="J110" s="2" t="s">
        <v>8</v>
      </c>
      <c r="K110" t="e">
        <f t="shared" si="7"/>
        <v>#NUM!</v>
      </c>
      <c r="L110" s="5" t="s">
        <v>118</v>
      </c>
      <c r="N110">
        <v>109</v>
      </c>
      <c r="O110">
        <v>-3</v>
      </c>
    </row>
    <row r="111" spans="1:15">
      <c r="A111">
        <v>110</v>
      </c>
      <c r="B111">
        <v>938</v>
      </c>
      <c r="C111">
        <v>0</v>
      </c>
      <c r="D111">
        <v>1</v>
      </c>
      <c r="E111">
        <v>0</v>
      </c>
      <c r="G111" t="e">
        <f t="shared" si="4"/>
        <v>#NUM!</v>
      </c>
      <c r="H111">
        <f t="shared" si="5"/>
        <v>-2.9958193045527524</v>
      </c>
      <c r="I111" t="e">
        <f t="shared" si="6"/>
        <v>#NUM!</v>
      </c>
      <c r="J111" s="2" t="s">
        <v>8</v>
      </c>
      <c r="K111" t="e">
        <f t="shared" si="7"/>
        <v>#NUM!</v>
      </c>
      <c r="L111" s="5" t="s">
        <v>119</v>
      </c>
      <c r="N111">
        <v>110</v>
      </c>
      <c r="O111">
        <v>-3</v>
      </c>
    </row>
    <row r="112" spans="1:15">
      <c r="A112">
        <v>111</v>
      </c>
      <c r="B112">
        <v>602</v>
      </c>
      <c r="C112">
        <v>0</v>
      </c>
      <c r="D112">
        <v>0</v>
      </c>
      <c r="E112">
        <v>0</v>
      </c>
      <c r="G112" t="e">
        <f t="shared" si="4"/>
        <v>#NUM!</v>
      </c>
      <c r="H112" t="e">
        <f t="shared" si="5"/>
        <v>#NUM!</v>
      </c>
      <c r="I112" t="e">
        <f t="shared" si="6"/>
        <v>#NUM!</v>
      </c>
      <c r="J112" s="2" t="s">
        <v>8</v>
      </c>
      <c r="K112" t="e">
        <f t="shared" si="7"/>
        <v>#NUM!</v>
      </c>
      <c r="L112" s="5" t="s">
        <v>120</v>
      </c>
      <c r="N112">
        <v>111</v>
      </c>
      <c r="O112">
        <v>-3</v>
      </c>
    </row>
    <row r="113" spans="1:15">
      <c r="A113">
        <v>112</v>
      </c>
      <c r="B113">
        <v>1802</v>
      </c>
      <c r="C113">
        <v>1</v>
      </c>
      <c r="D113">
        <v>0</v>
      </c>
      <c r="E113">
        <v>5</v>
      </c>
      <c r="G113">
        <f t="shared" si="4"/>
        <v>-3.1559833178241261</v>
      </c>
      <c r="H113" t="e">
        <f t="shared" si="5"/>
        <v>#NUM!</v>
      </c>
      <c r="I113">
        <f t="shared" si="6"/>
        <v>-2.0921216165952599</v>
      </c>
      <c r="J113" s="2" t="s">
        <v>8</v>
      </c>
      <c r="K113" t="e">
        <f t="shared" si="7"/>
        <v>#NUM!</v>
      </c>
      <c r="L113" s="5" t="s">
        <v>121</v>
      </c>
      <c r="N113">
        <v>112</v>
      </c>
      <c r="O113">
        <v>-3</v>
      </c>
    </row>
    <row r="114" spans="1:15">
      <c r="A114">
        <v>113</v>
      </c>
      <c r="B114">
        <v>2371</v>
      </c>
      <c r="C114">
        <v>1</v>
      </c>
      <c r="D114">
        <v>3</v>
      </c>
      <c r="E114">
        <v>3</v>
      </c>
      <c r="G114">
        <f t="shared" si="4"/>
        <v>-3.2751600851592704</v>
      </c>
      <c r="H114">
        <f t="shared" si="5"/>
        <v>-2.9214267654322135</v>
      </c>
      <c r="I114">
        <f t="shared" si="6"/>
        <v>-2.4331471335467603</v>
      </c>
      <c r="J114" s="2" t="s">
        <v>8</v>
      </c>
      <c r="K114">
        <f t="shared" si="7"/>
        <v>-2.8765779947127483</v>
      </c>
      <c r="L114" s="5" t="s">
        <v>122</v>
      </c>
      <c r="N114">
        <v>113</v>
      </c>
      <c r="O114">
        <v>-2.8765779947127483</v>
      </c>
    </row>
    <row r="115" spans="1:15">
      <c r="A115">
        <v>114</v>
      </c>
      <c r="B115">
        <v>1390</v>
      </c>
      <c r="C115">
        <v>2</v>
      </c>
      <c r="D115">
        <v>76</v>
      </c>
      <c r="E115">
        <v>4</v>
      </c>
      <c r="G115">
        <f t="shared" si="4"/>
        <v>-2.7422133357711957</v>
      </c>
      <c r="H115">
        <f t="shared" si="5"/>
        <v>-1.2858176741469918</v>
      </c>
      <c r="I115">
        <f t="shared" si="6"/>
        <v>-2.0762916432143674</v>
      </c>
      <c r="J115" s="2" t="s">
        <v>8</v>
      </c>
      <c r="K115">
        <f t="shared" si="7"/>
        <v>-2.0347742177108517</v>
      </c>
      <c r="L115" s="5" t="s">
        <v>123</v>
      </c>
      <c r="N115">
        <v>114</v>
      </c>
      <c r="O115">
        <v>-2.0347742177108517</v>
      </c>
    </row>
    <row r="116" spans="1:15">
      <c r="A116">
        <v>115</v>
      </c>
      <c r="B116">
        <v>1813</v>
      </c>
      <c r="C116">
        <v>134</v>
      </c>
      <c r="D116">
        <v>166</v>
      </c>
      <c r="E116">
        <v>4392</v>
      </c>
      <c r="G116">
        <f t="shared" si="4"/>
        <v>-1.0315215369117829</v>
      </c>
      <c r="H116">
        <f t="shared" si="5"/>
        <v>-1.0619061822291416</v>
      </c>
      <c r="I116">
        <f t="shared" si="6"/>
        <v>0.84892769305829219</v>
      </c>
      <c r="J116" s="2" t="s">
        <v>8</v>
      </c>
      <c r="K116">
        <f t="shared" si="7"/>
        <v>-0.41483334202754413</v>
      </c>
      <c r="L116" s="5" t="s">
        <v>124</v>
      </c>
      <c r="N116">
        <v>115</v>
      </c>
      <c r="O116">
        <v>-0.41483334202754413</v>
      </c>
    </row>
    <row r="117" spans="1:15">
      <c r="A117">
        <v>116</v>
      </c>
      <c r="B117">
        <v>2040</v>
      </c>
      <c r="C117">
        <v>0</v>
      </c>
      <c r="D117">
        <v>3</v>
      </c>
      <c r="E117">
        <v>9</v>
      </c>
      <c r="G117" t="e">
        <f t="shared" si="4"/>
        <v>#NUM!</v>
      </c>
      <c r="H117">
        <f t="shared" si="5"/>
        <v>-2.8561253788799239</v>
      </c>
      <c r="I117">
        <f t="shared" si="6"/>
        <v>-1.8907244922748085</v>
      </c>
      <c r="J117" s="2" t="s">
        <v>8</v>
      </c>
      <c r="K117" t="e">
        <f t="shared" si="7"/>
        <v>#NUM!</v>
      </c>
      <c r="L117" s="5" t="s">
        <v>125</v>
      </c>
      <c r="N117">
        <v>116</v>
      </c>
      <c r="O117">
        <v>-3</v>
      </c>
    </row>
    <row r="118" spans="1:15">
      <c r="A118">
        <v>117</v>
      </c>
      <c r="B118">
        <v>1087</v>
      </c>
      <c r="C118">
        <v>30357</v>
      </c>
      <c r="D118">
        <v>233</v>
      </c>
      <c r="E118">
        <v>719</v>
      </c>
      <c r="G118">
        <f t="shared" si="4"/>
        <v>1.54580077536115</v>
      </c>
      <c r="H118">
        <f t="shared" si="5"/>
        <v>-0.69249008923396349</v>
      </c>
      <c r="I118">
        <f t="shared" si="6"/>
        <v>0.28516251200835346</v>
      </c>
      <c r="J118" s="3" t="s">
        <v>9</v>
      </c>
      <c r="K118">
        <f t="shared" si="7"/>
        <v>0.37949106604518001</v>
      </c>
      <c r="L118" s="5" t="s">
        <v>126</v>
      </c>
      <c r="N118">
        <v>117</v>
      </c>
      <c r="O118">
        <v>0.37949106604518001</v>
      </c>
    </row>
    <row r="119" spans="1:15">
      <c r="A119">
        <v>118</v>
      </c>
      <c r="B119">
        <v>435</v>
      </c>
      <c r="C119">
        <v>3</v>
      </c>
      <c r="D119">
        <v>0</v>
      </c>
      <c r="E119">
        <v>0</v>
      </c>
      <c r="G119">
        <f t="shared" si="4"/>
        <v>-2.0615965334160569</v>
      </c>
      <c r="H119" t="e">
        <f t="shared" si="5"/>
        <v>#NUM!</v>
      </c>
      <c r="I119" t="e">
        <f t="shared" si="6"/>
        <v>#NUM!</v>
      </c>
      <c r="J119" s="2" t="s">
        <v>8</v>
      </c>
      <c r="K119" t="e">
        <f t="shared" si="7"/>
        <v>#NUM!</v>
      </c>
      <c r="L119" s="5" t="s">
        <v>127</v>
      </c>
      <c r="N119">
        <v>118</v>
      </c>
      <c r="O119">
        <v>-3</v>
      </c>
    </row>
    <row r="120" spans="1:15">
      <c r="A120">
        <v>119</v>
      </c>
      <c r="B120">
        <v>405</v>
      </c>
      <c r="C120">
        <v>0</v>
      </c>
      <c r="D120">
        <v>0</v>
      </c>
      <c r="E120">
        <v>0</v>
      </c>
      <c r="G120" t="e">
        <f t="shared" si="4"/>
        <v>#NUM!</v>
      </c>
      <c r="H120" t="e">
        <f t="shared" si="5"/>
        <v>#NUM!</v>
      </c>
      <c r="I120" t="e">
        <f t="shared" si="6"/>
        <v>#NUM!</v>
      </c>
      <c r="J120" s="2" t="s">
        <v>8</v>
      </c>
      <c r="K120" t="e">
        <f t="shared" si="7"/>
        <v>#NUM!</v>
      </c>
      <c r="L120" s="5" t="s">
        <v>128</v>
      </c>
      <c r="N120">
        <v>119</v>
      </c>
      <c r="O120">
        <v>-3</v>
      </c>
    </row>
    <row r="121" spans="1:15">
      <c r="A121">
        <v>120</v>
      </c>
      <c r="B121">
        <v>573</v>
      </c>
      <c r="C121">
        <v>1</v>
      </c>
      <c r="D121">
        <v>0</v>
      </c>
      <c r="E121">
        <v>2</v>
      </c>
      <c r="G121">
        <f t="shared" si="4"/>
        <v>-2.6583831531484718</v>
      </c>
      <c r="H121" t="e">
        <f t="shared" si="5"/>
        <v>#NUM!</v>
      </c>
      <c r="I121">
        <f t="shared" si="6"/>
        <v>-1.9924614605916431</v>
      </c>
      <c r="J121" s="2" t="s">
        <v>8</v>
      </c>
      <c r="K121" t="e">
        <f t="shared" si="7"/>
        <v>#NUM!</v>
      </c>
      <c r="L121" s="5" t="s">
        <v>129</v>
      </c>
      <c r="N121">
        <v>120</v>
      </c>
      <c r="O121">
        <v>-3</v>
      </c>
    </row>
    <row r="122" spans="1:15">
      <c r="A122">
        <v>121</v>
      </c>
      <c r="B122">
        <v>1080</v>
      </c>
      <c r="C122">
        <v>0</v>
      </c>
      <c r="D122">
        <v>0</v>
      </c>
      <c r="E122">
        <v>63</v>
      </c>
      <c r="G122" t="e">
        <f t="shared" si="4"/>
        <v>#NUM!</v>
      </c>
      <c r="H122" t="e">
        <f t="shared" si="5"/>
        <v>#NUM!</v>
      </c>
      <c r="I122">
        <f t="shared" si="6"/>
        <v>-0.76942004032160261</v>
      </c>
      <c r="J122" s="2" t="s">
        <v>8</v>
      </c>
      <c r="K122" t="e">
        <f t="shared" si="7"/>
        <v>#NUM!</v>
      </c>
      <c r="L122" s="5" t="s">
        <v>130</v>
      </c>
      <c r="N122">
        <v>121</v>
      </c>
      <c r="O122">
        <v>-3</v>
      </c>
    </row>
    <row r="123" spans="1:15">
      <c r="A123">
        <v>122</v>
      </c>
      <c r="B123">
        <v>458</v>
      </c>
      <c r="C123">
        <v>0</v>
      </c>
      <c r="D123">
        <v>0</v>
      </c>
      <c r="E123">
        <v>0</v>
      </c>
      <c r="G123" t="e">
        <f t="shared" si="4"/>
        <v>#NUM!</v>
      </c>
      <c r="H123" t="e">
        <f t="shared" si="5"/>
        <v>#NUM!</v>
      </c>
      <c r="I123" t="e">
        <f t="shared" si="6"/>
        <v>#NUM!</v>
      </c>
      <c r="J123" s="2" t="s">
        <v>8</v>
      </c>
      <c r="K123" t="e">
        <f t="shared" si="7"/>
        <v>#NUM!</v>
      </c>
      <c r="L123" s="5" t="s">
        <v>131</v>
      </c>
      <c r="N123">
        <v>122</v>
      </c>
      <c r="O123">
        <v>-3</v>
      </c>
    </row>
    <row r="124" spans="1:15">
      <c r="A124">
        <v>123</v>
      </c>
      <c r="B124">
        <v>800</v>
      </c>
      <c r="C124">
        <v>0</v>
      </c>
      <c r="D124">
        <v>0</v>
      </c>
      <c r="E124">
        <v>0</v>
      </c>
      <c r="G124" t="e">
        <f t="shared" si="4"/>
        <v>#NUM!</v>
      </c>
      <c r="H124" t="e">
        <f t="shared" si="5"/>
        <v>#NUM!</v>
      </c>
      <c r="I124" t="e">
        <f t="shared" si="6"/>
        <v>#NUM!</v>
      </c>
      <c r="J124" s="2" t="s">
        <v>8</v>
      </c>
      <c r="K124" t="e">
        <f t="shared" si="7"/>
        <v>#NUM!</v>
      </c>
      <c r="L124" s="5" t="s">
        <v>132</v>
      </c>
      <c r="N124">
        <v>123</v>
      </c>
      <c r="O124">
        <v>-3</v>
      </c>
    </row>
    <row r="125" spans="1:15">
      <c r="A125">
        <v>124</v>
      </c>
      <c r="B125">
        <v>928</v>
      </c>
      <c r="C125">
        <v>1</v>
      </c>
      <c r="D125">
        <v>0</v>
      </c>
      <c r="E125">
        <v>1</v>
      </c>
      <c r="G125">
        <f t="shared" si="4"/>
        <v>-2.8677765073999439</v>
      </c>
      <c r="H125" t="e">
        <f t="shared" si="5"/>
        <v>#NUM!</v>
      </c>
      <c r="I125">
        <f t="shared" si="6"/>
        <v>-2.5028848105070964</v>
      </c>
      <c r="J125" s="2" t="s">
        <v>8</v>
      </c>
      <c r="K125" t="e">
        <f t="shared" si="7"/>
        <v>#NUM!</v>
      </c>
      <c r="L125" s="5" t="s">
        <v>133</v>
      </c>
      <c r="N125">
        <v>124</v>
      </c>
      <c r="O125">
        <v>-3</v>
      </c>
    </row>
    <row r="126" spans="1:15">
      <c r="A126">
        <v>125</v>
      </c>
      <c r="B126">
        <v>1341</v>
      </c>
      <c r="C126">
        <v>0</v>
      </c>
      <c r="D126">
        <v>0</v>
      </c>
      <c r="E126">
        <v>1</v>
      </c>
      <c r="G126" t="e">
        <f t="shared" si="4"/>
        <v>#NUM!</v>
      </c>
      <c r="H126" t="e">
        <f t="shared" si="5"/>
        <v>#NUM!</v>
      </c>
      <c r="I126">
        <f t="shared" si="6"/>
        <v>-2.6627656121398333</v>
      </c>
      <c r="J126" s="2" t="s">
        <v>8</v>
      </c>
      <c r="K126" t="e">
        <f t="shared" si="7"/>
        <v>#NUM!</v>
      </c>
      <c r="L126" s="5" t="s">
        <v>134</v>
      </c>
      <c r="N126">
        <v>125</v>
      </c>
      <c r="O126">
        <v>-3</v>
      </c>
    </row>
    <row r="127" spans="1:15">
      <c r="A127">
        <v>126</v>
      </c>
      <c r="B127">
        <v>3624</v>
      </c>
      <c r="C127">
        <v>0</v>
      </c>
      <c r="D127">
        <v>2</v>
      </c>
      <c r="E127">
        <v>2</v>
      </c>
      <c r="G127" t="e">
        <f t="shared" si="4"/>
        <v>#NUM!</v>
      </c>
      <c r="H127">
        <f t="shared" si="5"/>
        <v>-3.2817746595144821</v>
      </c>
      <c r="I127">
        <f t="shared" si="6"/>
        <v>-2.7934950276290289</v>
      </c>
      <c r="J127" s="2" t="s">
        <v>8</v>
      </c>
      <c r="K127" t="e">
        <f t="shared" si="7"/>
        <v>#NUM!</v>
      </c>
      <c r="L127" s="5" t="s">
        <v>135</v>
      </c>
      <c r="N127">
        <v>126</v>
      </c>
      <c r="O127">
        <v>-3</v>
      </c>
    </row>
    <row r="128" spans="1:15">
      <c r="A128">
        <v>127</v>
      </c>
      <c r="B128">
        <v>1380</v>
      </c>
      <c r="C128">
        <v>0</v>
      </c>
      <c r="D128">
        <v>0</v>
      </c>
      <c r="E128">
        <v>3</v>
      </c>
      <c r="G128" t="e">
        <f t="shared" si="4"/>
        <v>#NUM!</v>
      </c>
      <c r="H128" t="e">
        <f t="shared" si="5"/>
        <v>#NUM!</v>
      </c>
      <c r="I128">
        <f t="shared" si="6"/>
        <v>-2.1980946659698084</v>
      </c>
      <c r="J128" s="2" t="s">
        <v>8</v>
      </c>
      <c r="K128" t="e">
        <f t="shared" si="7"/>
        <v>#NUM!</v>
      </c>
      <c r="L128" s="5" t="s">
        <v>136</v>
      </c>
      <c r="N128">
        <v>127</v>
      </c>
      <c r="O128">
        <v>-3</v>
      </c>
    </row>
    <row r="129" spans="1:15">
      <c r="A129">
        <v>128</v>
      </c>
      <c r="B129">
        <v>1967</v>
      </c>
      <c r="C129">
        <v>0</v>
      </c>
      <c r="D129">
        <v>0</v>
      </c>
      <c r="E129">
        <v>2</v>
      </c>
      <c r="G129" t="e">
        <f t="shared" si="4"/>
        <v>#NUM!</v>
      </c>
      <c r="H129" t="e">
        <f t="shared" si="5"/>
        <v>#NUM!</v>
      </c>
      <c r="I129">
        <f t="shared" si="6"/>
        <v>-2.52811119854359</v>
      </c>
      <c r="J129" s="2" t="s">
        <v>8</v>
      </c>
      <c r="K129" t="e">
        <f t="shared" si="7"/>
        <v>#NUM!</v>
      </c>
      <c r="L129" s="5" t="s">
        <v>137</v>
      </c>
      <c r="N129">
        <v>128</v>
      </c>
      <c r="O129">
        <v>-3</v>
      </c>
    </row>
    <row r="130" spans="1:15">
      <c r="A130">
        <v>129</v>
      </c>
      <c r="B130">
        <v>1484</v>
      </c>
      <c r="C130">
        <v>0</v>
      </c>
      <c r="D130">
        <v>1</v>
      </c>
      <c r="E130">
        <v>1</v>
      </c>
      <c r="G130" t="e">
        <f t="shared" ref="G130:G193" si="8">LOG10(C130/B130)-LOG10(3086/3883)</f>
        <v>#NUM!</v>
      </c>
      <c r="H130">
        <f t="shared" ref="H130:H193" si="9">LOG10(D130/B130)-LOG10(4100/3883)</f>
        <v>-3.1950503671166959</v>
      </c>
      <c r="I130">
        <f t="shared" ref="I130:I193" si="10">LOG10(E130/B130)-LOG10(1332/3883)</f>
        <v>-2.7067707352312427</v>
      </c>
      <c r="J130" s="2" t="s">
        <v>8</v>
      </c>
      <c r="K130" t="e">
        <f t="shared" ref="K130:K193" si="11">AVERAGE(G130:I130)</f>
        <v>#NUM!</v>
      </c>
      <c r="L130" s="5" t="s">
        <v>138</v>
      </c>
      <c r="N130">
        <v>129</v>
      </c>
      <c r="O130">
        <v>-3</v>
      </c>
    </row>
    <row r="131" spans="1:15">
      <c r="A131">
        <v>130</v>
      </c>
      <c r="B131">
        <v>1177</v>
      </c>
      <c r="C131">
        <v>0</v>
      </c>
      <c r="D131">
        <v>21</v>
      </c>
      <c r="E131">
        <v>0</v>
      </c>
      <c r="G131" t="e">
        <f t="shared" si="8"/>
        <v>#NUM!</v>
      </c>
      <c r="H131">
        <f t="shared" si="9"/>
        <v>-1.7721736342832033</v>
      </c>
      <c r="I131" t="e">
        <f t="shared" si="10"/>
        <v>#NUM!</v>
      </c>
      <c r="J131" s="2" t="s">
        <v>8</v>
      </c>
      <c r="K131" t="e">
        <f t="shared" si="11"/>
        <v>#NUM!</v>
      </c>
      <c r="L131" s="5" t="s">
        <v>139</v>
      </c>
      <c r="N131">
        <v>130</v>
      </c>
      <c r="O131">
        <v>-3</v>
      </c>
    </row>
    <row r="132" spans="1:15">
      <c r="A132">
        <v>131</v>
      </c>
      <c r="B132">
        <v>1085</v>
      </c>
      <c r="C132">
        <v>0</v>
      </c>
      <c r="D132">
        <v>1</v>
      </c>
      <c r="E132">
        <v>3</v>
      </c>
      <c r="G132" t="e">
        <f t="shared" si="8"/>
        <v>#NUM!</v>
      </c>
      <c r="H132">
        <f t="shared" si="9"/>
        <v>-3.059046204358236</v>
      </c>
      <c r="I132">
        <f t="shared" si="10"/>
        <v>-2.0936453177531202</v>
      </c>
      <c r="J132" s="2" t="s">
        <v>8</v>
      </c>
      <c r="K132" t="e">
        <f t="shared" si="11"/>
        <v>#NUM!</v>
      </c>
      <c r="L132" s="5" t="s">
        <v>140</v>
      </c>
      <c r="N132">
        <v>131</v>
      </c>
      <c r="O132">
        <v>-3</v>
      </c>
    </row>
    <row r="133" spans="1:15">
      <c r="A133">
        <v>132</v>
      </c>
      <c r="B133">
        <v>1150</v>
      </c>
      <c r="C133">
        <v>0</v>
      </c>
      <c r="D133">
        <v>15</v>
      </c>
      <c r="E133">
        <v>0</v>
      </c>
      <c r="G133" t="e">
        <f t="shared" si="8"/>
        <v>#NUM!</v>
      </c>
      <c r="H133">
        <f t="shared" si="9"/>
        <v>-1.9082230474716184</v>
      </c>
      <c r="I133" t="e">
        <f t="shared" si="10"/>
        <v>#NUM!</v>
      </c>
      <c r="J133" s="2" t="s">
        <v>8</v>
      </c>
      <c r="K133" t="e">
        <f t="shared" si="11"/>
        <v>#NUM!</v>
      </c>
      <c r="L133" s="5" t="s">
        <v>141</v>
      </c>
      <c r="N133">
        <v>132</v>
      </c>
      <c r="O133">
        <v>-3</v>
      </c>
    </row>
    <row r="134" spans="1:15">
      <c r="A134">
        <v>133</v>
      </c>
      <c r="B134">
        <v>2165</v>
      </c>
      <c r="C134">
        <v>0</v>
      </c>
      <c r="D134">
        <v>6</v>
      </c>
      <c r="E134">
        <v>0</v>
      </c>
      <c r="G134" t="e">
        <f t="shared" si="8"/>
        <v>#NUM!</v>
      </c>
      <c r="H134">
        <f t="shared" si="9"/>
        <v>-2.5809231164794282</v>
      </c>
      <c r="I134" t="e">
        <f t="shared" si="10"/>
        <v>#NUM!</v>
      </c>
      <c r="J134" s="2" t="s">
        <v>8</v>
      </c>
      <c r="K134" t="e">
        <f t="shared" si="11"/>
        <v>#NUM!</v>
      </c>
      <c r="L134" s="5" t="s">
        <v>142</v>
      </c>
      <c r="N134">
        <v>133</v>
      </c>
      <c r="O134">
        <v>-3</v>
      </c>
    </row>
    <row r="135" spans="1:15">
      <c r="A135">
        <v>134</v>
      </c>
      <c r="B135">
        <v>411</v>
      </c>
      <c r="C135">
        <v>19841</v>
      </c>
      <c r="D135">
        <v>372</v>
      </c>
      <c r="E135">
        <v>189</v>
      </c>
      <c r="G135">
        <f t="shared" si="8"/>
        <v>1.7834932040522058</v>
      </c>
      <c r="H135">
        <f t="shared" si="9"/>
        <v>-6.6915348167859601E-2</v>
      </c>
      <c r="I135">
        <f t="shared" si="10"/>
        <v>0.12728314800894031</v>
      </c>
      <c r="J135" s="3" t="s">
        <v>9</v>
      </c>
      <c r="K135">
        <f t="shared" si="11"/>
        <v>0.61462033463109544</v>
      </c>
      <c r="L135" s="5" t="s">
        <v>143</v>
      </c>
      <c r="N135">
        <v>134</v>
      </c>
      <c r="O135">
        <v>0.61462033463109544</v>
      </c>
    </row>
    <row r="136" spans="1:15">
      <c r="A136">
        <v>135</v>
      </c>
      <c r="B136">
        <v>968</v>
      </c>
      <c r="C136">
        <v>156</v>
      </c>
      <c r="D136">
        <v>108</v>
      </c>
      <c r="E136">
        <v>149</v>
      </c>
      <c r="G136">
        <f t="shared" si="8"/>
        <v>-0.69297929013501403</v>
      </c>
      <c r="H136">
        <f t="shared" si="9"/>
        <v>-0.9760680679951319</v>
      </c>
      <c r="I136">
        <f t="shared" si="10"/>
        <v>-0.34802592318435432</v>
      </c>
      <c r="J136" s="2" t="s">
        <v>8</v>
      </c>
      <c r="K136">
        <f t="shared" si="11"/>
        <v>-0.67235776043816686</v>
      </c>
      <c r="L136" s="5" t="s">
        <v>144</v>
      </c>
      <c r="N136">
        <v>135</v>
      </c>
      <c r="O136">
        <v>-0.67235776043816686</v>
      </c>
    </row>
    <row r="137" spans="1:15">
      <c r="A137">
        <v>136</v>
      </c>
      <c r="B137">
        <v>1842</v>
      </c>
      <c r="C137">
        <v>2</v>
      </c>
      <c r="D137">
        <v>1</v>
      </c>
      <c r="E137">
        <v>2</v>
      </c>
      <c r="G137">
        <f t="shared" si="8"/>
        <v>-2.8644881613779307</v>
      </c>
      <c r="H137">
        <f t="shared" si="9"/>
        <v>-3.2889060920345177</v>
      </c>
      <c r="I137">
        <f t="shared" si="10"/>
        <v>-2.4995964644850832</v>
      </c>
      <c r="J137" s="2" t="s">
        <v>8</v>
      </c>
      <c r="K137">
        <f t="shared" si="11"/>
        <v>-2.8843302392991776</v>
      </c>
      <c r="L137" s="5" t="s">
        <v>145</v>
      </c>
      <c r="N137">
        <v>136</v>
      </c>
      <c r="O137">
        <v>-2.8843302392991776</v>
      </c>
    </row>
    <row r="138" spans="1:15">
      <c r="A138">
        <v>137</v>
      </c>
      <c r="B138">
        <v>2033</v>
      </c>
      <c r="C138">
        <v>0</v>
      </c>
      <c r="D138">
        <v>1</v>
      </c>
      <c r="E138">
        <v>2</v>
      </c>
      <c r="G138" t="e">
        <f t="shared" si="8"/>
        <v>#NUM!</v>
      </c>
      <c r="H138">
        <f t="shared" si="9"/>
        <v>-3.3317538448117263</v>
      </c>
      <c r="I138">
        <f t="shared" si="10"/>
        <v>-2.5424442172622919</v>
      </c>
      <c r="J138" s="2" t="s">
        <v>8</v>
      </c>
      <c r="K138" t="e">
        <f t="shared" si="11"/>
        <v>#NUM!</v>
      </c>
      <c r="L138" s="5" t="s">
        <v>146</v>
      </c>
      <c r="N138">
        <v>137</v>
      </c>
      <c r="O138">
        <v>-3</v>
      </c>
    </row>
    <row r="139" spans="1:15">
      <c r="A139">
        <v>138</v>
      </c>
      <c r="B139">
        <v>1331</v>
      </c>
      <c r="C139">
        <v>240</v>
      </c>
      <c r="D139">
        <v>55</v>
      </c>
      <c r="E139">
        <v>10</v>
      </c>
      <c r="G139">
        <f t="shared" si="8"/>
        <v>-0.64419534494415109</v>
      </c>
      <c r="H139">
        <f t="shared" si="9"/>
        <v>-1.4074318321541193</v>
      </c>
      <c r="I139">
        <f t="shared" si="10"/>
        <v>-1.6595148897629097</v>
      </c>
      <c r="J139" s="2" t="s">
        <v>8</v>
      </c>
      <c r="K139">
        <f t="shared" si="11"/>
        <v>-1.2370473556203934</v>
      </c>
      <c r="L139" s="5" t="s">
        <v>147</v>
      </c>
      <c r="N139">
        <v>138</v>
      </c>
      <c r="O139">
        <v>-1.2370473556203934</v>
      </c>
    </row>
    <row r="140" spans="1:15">
      <c r="A140">
        <v>139</v>
      </c>
      <c r="B140">
        <v>898</v>
      </c>
      <c r="C140">
        <v>678</v>
      </c>
      <c r="D140">
        <v>0</v>
      </c>
      <c r="E140">
        <v>112</v>
      </c>
      <c r="G140">
        <f t="shared" si="8"/>
        <v>-2.2275173981322866E-2</v>
      </c>
      <c r="H140" t="e">
        <f t="shared" si="9"/>
        <v>#NUM!</v>
      </c>
      <c r="I140">
        <f t="shared" si="10"/>
        <v>-0.43939514828535742</v>
      </c>
      <c r="J140" s="2" t="s">
        <v>8</v>
      </c>
      <c r="K140" t="e">
        <f t="shared" si="11"/>
        <v>#NUM!</v>
      </c>
      <c r="L140" s="5" t="s">
        <v>148</v>
      </c>
      <c r="N140">
        <v>139</v>
      </c>
      <c r="O140">
        <v>-3</v>
      </c>
    </row>
    <row r="141" spans="1:15">
      <c r="A141">
        <v>140</v>
      </c>
      <c r="B141">
        <v>1831</v>
      </c>
      <c r="C141">
        <v>14</v>
      </c>
      <c r="D141">
        <v>13</v>
      </c>
      <c r="E141">
        <v>9</v>
      </c>
      <c r="G141">
        <f t="shared" si="8"/>
        <v>-2.0167888398045406</v>
      </c>
      <c r="H141">
        <f t="shared" si="9"/>
        <v>-2.1723614581685475</v>
      </c>
      <c r="I141">
        <f t="shared" si="10"/>
        <v>-1.8437826691506061</v>
      </c>
      <c r="J141" s="2" t="s">
        <v>8</v>
      </c>
      <c r="K141">
        <f t="shared" si="11"/>
        <v>-2.0109776557078978</v>
      </c>
      <c r="L141" s="5" t="s">
        <v>149</v>
      </c>
      <c r="N141">
        <v>140</v>
      </c>
      <c r="O141">
        <v>-2.0109776557078978</v>
      </c>
    </row>
    <row r="142" spans="1:15">
      <c r="A142">
        <v>141</v>
      </c>
      <c r="B142">
        <v>2313</v>
      </c>
      <c r="C142">
        <v>7</v>
      </c>
      <c r="D142">
        <v>25</v>
      </c>
      <c r="E142">
        <v>5</v>
      </c>
      <c r="G142">
        <f t="shared" si="8"/>
        <v>-2.4193061239374445</v>
      </c>
      <c r="H142">
        <f t="shared" si="9"/>
        <v>-1.9898520902722698</v>
      </c>
      <c r="I142">
        <f t="shared" si="10"/>
        <v>-2.2005424627228352</v>
      </c>
      <c r="J142" s="2" t="s">
        <v>8</v>
      </c>
      <c r="K142">
        <f t="shared" si="11"/>
        <v>-2.2032335589775163</v>
      </c>
      <c r="L142" s="5" t="s">
        <v>150</v>
      </c>
      <c r="N142">
        <v>141</v>
      </c>
      <c r="O142">
        <v>-2.2032335589775163</v>
      </c>
    </row>
    <row r="143" spans="1:15">
      <c r="A143">
        <v>142</v>
      </c>
      <c r="B143">
        <v>4058</v>
      </c>
      <c r="C143">
        <v>303</v>
      </c>
      <c r="D143">
        <v>117</v>
      </c>
      <c r="E143">
        <v>97</v>
      </c>
      <c r="G143">
        <f t="shared" si="8"/>
        <v>-1.027097945376104</v>
      </c>
      <c r="H143">
        <f t="shared" si="9"/>
        <v>-1.5637426471248534</v>
      </c>
      <c r="I143">
        <f t="shared" si="10"/>
        <v>-1.156877142719317</v>
      </c>
      <c r="J143" s="2" t="s">
        <v>8</v>
      </c>
      <c r="K143">
        <f t="shared" si="11"/>
        <v>-1.2492392450734249</v>
      </c>
      <c r="L143" s="5" t="s">
        <v>151</v>
      </c>
      <c r="N143">
        <v>142</v>
      </c>
      <c r="O143">
        <v>-1.2492392450734249</v>
      </c>
    </row>
    <row r="144" spans="1:15">
      <c r="A144">
        <v>143</v>
      </c>
      <c r="B144">
        <v>2022</v>
      </c>
      <c r="C144">
        <v>4</v>
      </c>
      <c r="D144">
        <v>1</v>
      </c>
      <c r="E144">
        <v>1</v>
      </c>
      <c r="G144">
        <f t="shared" si="8"/>
        <v>-2.6039496911081019</v>
      </c>
      <c r="H144">
        <f t="shared" si="9"/>
        <v>-3.3293976174286701</v>
      </c>
      <c r="I144">
        <f t="shared" si="10"/>
        <v>-2.8411179855432169</v>
      </c>
      <c r="J144" s="2" t="s">
        <v>8</v>
      </c>
      <c r="K144">
        <f t="shared" si="11"/>
        <v>-2.9248217646933301</v>
      </c>
      <c r="L144" s="5" t="s">
        <v>152</v>
      </c>
      <c r="N144">
        <v>143</v>
      </c>
      <c r="O144">
        <v>-2.9248217646933301</v>
      </c>
    </row>
    <row r="145" spans="1:15">
      <c r="A145">
        <v>144</v>
      </c>
      <c r="B145">
        <v>5885</v>
      </c>
      <c r="C145">
        <v>391</v>
      </c>
      <c r="D145">
        <v>1</v>
      </c>
      <c r="E145">
        <v>4</v>
      </c>
      <c r="G145">
        <f t="shared" si="8"/>
        <v>-1.0777982409646685</v>
      </c>
      <c r="H145">
        <f t="shared" si="9"/>
        <v>-3.7933629333531411</v>
      </c>
      <c r="I145">
        <f t="shared" si="10"/>
        <v>-2.7030233101397259</v>
      </c>
      <c r="J145" s="2" t="s">
        <v>8</v>
      </c>
      <c r="K145">
        <f t="shared" si="11"/>
        <v>-2.5247281614858452</v>
      </c>
      <c r="L145" s="5" t="s">
        <v>153</v>
      </c>
      <c r="N145">
        <v>144</v>
      </c>
      <c r="O145">
        <v>-2.5247281614858452</v>
      </c>
    </row>
    <row r="146" spans="1:15">
      <c r="A146">
        <v>145</v>
      </c>
      <c r="B146">
        <v>8821</v>
      </c>
      <c r="C146">
        <v>71</v>
      </c>
      <c r="D146">
        <v>8</v>
      </c>
      <c r="E146">
        <v>43</v>
      </c>
      <c r="G146">
        <f t="shared" si="8"/>
        <v>-1.9944880045398461</v>
      </c>
      <c r="H146">
        <f t="shared" si="9"/>
        <v>-3.0660443012595837</v>
      </c>
      <c r="I146">
        <f t="shared" si="10"/>
        <v>-1.8473862007864876</v>
      </c>
      <c r="J146" s="2" t="s">
        <v>8</v>
      </c>
      <c r="K146">
        <f t="shared" si="11"/>
        <v>-2.3026395021953054</v>
      </c>
      <c r="L146" s="5" t="s">
        <v>154</v>
      </c>
      <c r="N146">
        <v>145</v>
      </c>
      <c r="O146">
        <v>-2.3026395021953054</v>
      </c>
    </row>
    <row r="147" spans="1:15">
      <c r="A147">
        <v>146</v>
      </c>
      <c r="B147">
        <v>4306</v>
      </c>
      <c r="C147">
        <v>0</v>
      </c>
      <c r="D147">
        <v>33</v>
      </c>
      <c r="E147">
        <v>1</v>
      </c>
      <c r="G147" t="e">
        <f t="shared" si="8"/>
        <v>#NUM!</v>
      </c>
      <c r="H147">
        <f t="shared" si="9"/>
        <v>-2.1391765517832688</v>
      </c>
      <c r="I147">
        <f t="shared" si="10"/>
        <v>-3.1694108597757027</v>
      </c>
      <c r="J147" s="2" t="s">
        <v>8</v>
      </c>
      <c r="K147" t="e">
        <f t="shared" si="11"/>
        <v>#NUM!</v>
      </c>
      <c r="L147" s="5" t="s">
        <v>155</v>
      </c>
      <c r="N147">
        <v>146</v>
      </c>
      <c r="O147">
        <v>-3</v>
      </c>
    </row>
    <row r="148" spans="1:15">
      <c r="A148">
        <v>147</v>
      </c>
      <c r="B148">
        <v>8267</v>
      </c>
      <c r="C148">
        <v>45538</v>
      </c>
      <c r="D148">
        <v>8</v>
      </c>
      <c r="E148">
        <v>14</v>
      </c>
      <c r="G148">
        <f t="shared" si="8"/>
        <v>0.84079748395166121</v>
      </c>
      <c r="H148">
        <f t="shared" si="9"/>
        <v>-3.0378744168095158</v>
      </c>
      <c r="I148">
        <f t="shared" si="10"/>
        <v>-2.3065567362377681</v>
      </c>
      <c r="J148" s="2" t="s">
        <v>8</v>
      </c>
      <c r="K148">
        <f t="shared" si="11"/>
        <v>-1.5012112230318742</v>
      </c>
      <c r="L148" s="5" t="s">
        <v>156</v>
      </c>
      <c r="N148">
        <v>147</v>
      </c>
      <c r="O148">
        <v>-1.5012112230318742</v>
      </c>
    </row>
    <row r="149" spans="1:15">
      <c r="A149">
        <v>148</v>
      </c>
      <c r="B149">
        <v>2483</v>
      </c>
      <c r="C149">
        <v>0</v>
      </c>
      <c r="D149">
        <v>1</v>
      </c>
      <c r="E149">
        <v>6</v>
      </c>
      <c r="G149" t="e">
        <f t="shared" si="8"/>
        <v>#NUM!</v>
      </c>
      <c r="H149">
        <f t="shared" si="9"/>
        <v>-3.4185931857282519</v>
      </c>
      <c r="I149">
        <f t="shared" si="10"/>
        <v>-2.1521623034591553</v>
      </c>
      <c r="J149" s="2" t="s">
        <v>8</v>
      </c>
      <c r="K149" t="e">
        <f t="shared" si="11"/>
        <v>#NUM!</v>
      </c>
      <c r="L149" s="5" t="s">
        <v>157</v>
      </c>
      <c r="N149">
        <v>148</v>
      </c>
      <c r="O149">
        <v>-3</v>
      </c>
    </row>
    <row r="150" spans="1:15">
      <c r="A150">
        <v>149</v>
      </c>
      <c r="B150">
        <v>2331</v>
      </c>
      <c r="C150">
        <v>1</v>
      </c>
      <c r="D150">
        <v>0</v>
      </c>
      <c r="E150">
        <v>8</v>
      </c>
      <c r="G150">
        <f t="shared" si="8"/>
        <v>-3.2677708047016587</v>
      </c>
      <c r="H150" t="e">
        <f t="shared" si="9"/>
        <v>#NUM!</v>
      </c>
      <c r="I150">
        <f t="shared" si="10"/>
        <v>-1.9997891208168674</v>
      </c>
      <c r="J150" s="2" t="s">
        <v>8</v>
      </c>
      <c r="K150" t="e">
        <f t="shared" si="11"/>
        <v>#NUM!</v>
      </c>
      <c r="L150" s="5" t="s">
        <v>158</v>
      </c>
      <c r="N150">
        <v>149</v>
      </c>
      <c r="O150">
        <v>-3</v>
      </c>
    </row>
    <row r="151" spans="1:15">
      <c r="A151">
        <v>150</v>
      </c>
      <c r="B151">
        <v>993</v>
      </c>
      <c r="C151">
        <v>1</v>
      </c>
      <c r="D151">
        <v>7</v>
      </c>
      <c r="E151">
        <v>3</v>
      </c>
      <c r="G151">
        <f t="shared" si="8"/>
        <v>-2.8971777796764631</v>
      </c>
      <c r="H151">
        <f t="shared" si="9"/>
        <v>-2.1754676746548123</v>
      </c>
      <c r="I151">
        <f t="shared" si="10"/>
        <v>-2.0551648280639534</v>
      </c>
      <c r="J151" s="2" t="s">
        <v>8</v>
      </c>
      <c r="K151">
        <f t="shared" si="11"/>
        <v>-2.3759367607984099</v>
      </c>
      <c r="L151" s="5" t="s">
        <v>159</v>
      </c>
      <c r="N151">
        <v>150</v>
      </c>
      <c r="O151">
        <v>-2.3759367607984099</v>
      </c>
    </row>
    <row r="152" spans="1:15">
      <c r="A152">
        <v>151</v>
      </c>
      <c r="B152">
        <v>2834</v>
      </c>
      <c r="C152">
        <v>4</v>
      </c>
      <c r="D152">
        <v>50</v>
      </c>
      <c r="E152">
        <v>6</v>
      </c>
      <c r="G152">
        <f t="shared" si="8"/>
        <v>-2.7505683857645611</v>
      </c>
      <c r="H152">
        <f t="shared" si="9"/>
        <v>-1.7770463077491108</v>
      </c>
      <c r="I152">
        <f t="shared" si="10"/>
        <v>-2.2095854298160327</v>
      </c>
      <c r="J152" s="2" t="s">
        <v>8</v>
      </c>
      <c r="K152">
        <f t="shared" si="11"/>
        <v>-2.2457333744432351</v>
      </c>
      <c r="L152" s="5" t="s">
        <v>160</v>
      </c>
      <c r="N152">
        <v>151</v>
      </c>
      <c r="O152">
        <v>-2.2457333744432351</v>
      </c>
    </row>
    <row r="153" spans="1:15">
      <c r="A153">
        <v>152</v>
      </c>
      <c r="B153">
        <v>3123</v>
      </c>
      <c r="C153">
        <v>20</v>
      </c>
      <c r="D153">
        <v>4</v>
      </c>
      <c r="E153">
        <v>7</v>
      </c>
      <c r="G153">
        <f t="shared" si="8"/>
        <v>-2.0937705197472996</v>
      </c>
      <c r="H153">
        <f t="shared" si="9"/>
        <v>-2.916128459075924</v>
      </c>
      <c r="I153">
        <f t="shared" si="10"/>
        <v>-2.1848107785041764</v>
      </c>
      <c r="J153" s="2" t="s">
        <v>8</v>
      </c>
      <c r="K153">
        <f t="shared" si="11"/>
        <v>-2.3982365857757997</v>
      </c>
      <c r="L153" s="5" t="s">
        <v>161</v>
      </c>
      <c r="N153">
        <v>152</v>
      </c>
      <c r="O153">
        <v>-2.3982365857757997</v>
      </c>
    </row>
    <row r="154" spans="1:15">
      <c r="A154">
        <v>153</v>
      </c>
      <c r="B154">
        <v>801</v>
      </c>
      <c r="C154">
        <v>199</v>
      </c>
      <c r="D154">
        <v>12</v>
      </c>
      <c r="E154">
        <v>280</v>
      </c>
      <c r="G154">
        <f t="shared" si="8"/>
        <v>-0.50500797085561278</v>
      </c>
      <c r="H154">
        <f t="shared" si="9"/>
        <v>-1.8480677362103008</v>
      </c>
      <c r="I154">
        <f t="shared" si="10"/>
        <v>8.1886809697469531E-3</v>
      </c>
      <c r="J154" s="2" t="s">
        <v>8</v>
      </c>
      <c r="K154">
        <f t="shared" si="11"/>
        <v>-0.78162900869872232</v>
      </c>
      <c r="L154" s="5" t="s">
        <v>162</v>
      </c>
      <c r="N154">
        <v>153</v>
      </c>
      <c r="O154">
        <v>-0.78162900869872232</v>
      </c>
    </row>
    <row r="155" spans="1:15">
      <c r="A155">
        <v>154</v>
      </c>
      <c r="B155">
        <v>805</v>
      </c>
      <c r="C155">
        <v>124</v>
      </c>
      <c r="D155">
        <v>3</v>
      </c>
      <c r="E155">
        <v>12</v>
      </c>
      <c r="G155">
        <f t="shared" si="8"/>
        <v>-0.7126027263867154</v>
      </c>
      <c r="H155">
        <f t="shared" si="9"/>
        <v>-2.4522910918218939</v>
      </c>
      <c r="I155">
        <f t="shared" si="10"/>
        <v>-1.3619514686084782</v>
      </c>
      <c r="J155" s="2" t="s">
        <v>8</v>
      </c>
      <c r="K155">
        <f t="shared" si="11"/>
        <v>-1.5089484289390291</v>
      </c>
      <c r="L155" s="5" t="s">
        <v>163</v>
      </c>
      <c r="N155">
        <v>154</v>
      </c>
      <c r="O155">
        <v>-1.5089484289390291</v>
      </c>
    </row>
    <row r="156" spans="1:15">
      <c r="A156">
        <v>155</v>
      </c>
      <c r="B156">
        <v>2066</v>
      </c>
      <c r="C156">
        <v>405</v>
      </c>
      <c r="D156">
        <v>2589</v>
      </c>
      <c r="E156">
        <v>62</v>
      </c>
      <c r="G156">
        <f t="shared" si="8"/>
        <v>-0.60790382515001506</v>
      </c>
      <c r="H156">
        <f t="shared" si="9"/>
        <v>7.4385267077582362E-2</v>
      </c>
      <c r="I156">
        <f t="shared" si="10"/>
        <v>-1.0580754619735826</v>
      </c>
      <c r="J156" s="2" t="s">
        <v>8</v>
      </c>
      <c r="K156">
        <f t="shared" si="11"/>
        <v>-0.53053134001533842</v>
      </c>
      <c r="L156" s="5" t="s">
        <v>164</v>
      </c>
      <c r="N156">
        <v>155</v>
      </c>
      <c r="O156">
        <v>-0.53053134001533842</v>
      </c>
    </row>
    <row r="157" spans="1:15">
      <c r="A157">
        <v>156</v>
      </c>
      <c r="B157">
        <v>1623</v>
      </c>
      <c r="C157">
        <v>2</v>
      </c>
      <c r="D157">
        <v>6</v>
      </c>
      <c r="E157">
        <v>3</v>
      </c>
      <c r="G157">
        <f t="shared" si="8"/>
        <v>-2.8095170553433326</v>
      </c>
      <c r="H157">
        <f t="shared" si="9"/>
        <v>-2.4557837356162762</v>
      </c>
      <c r="I157">
        <f t="shared" si="10"/>
        <v>-2.2685340993948038</v>
      </c>
      <c r="J157" s="2" t="s">
        <v>8</v>
      </c>
      <c r="K157">
        <f t="shared" si="11"/>
        <v>-2.5112782967848042</v>
      </c>
      <c r="L157" s="5" t="s">
        <v>165</v>
      </c>
      <c r="N157">
        <v>156</v>
      </c>
      <c r="O157">
        <v>-2.5112782967848042</v>
      </c>
    </row>
    <row r="158" spans="1:15">
      <c r="A158">
        <v>157</v>
      </c>
      <c r="B158">
        <v>3359</v>
      </c>
      <c r="C158">
        <v>3</v>
      </c>
      <c r="D158">
        <v>6</v>
      </c>
      <c r="E158">
        <v>10</v>
      </c>
      <c r="G158">
        <f t="shared" si="8"/>
        <v>-2.949317280303084</v>
      </c>
      <c r="H158">
        <f t="shared" si="9"/>
        <v>-2.7716752196317085</v>
      </c>
      <c r="I158">
        <f t="shared" si="10"/>
        <v>-2.0615468381298987</v>
      </c>
      <c r="J158" s="2" t="s">
        <v>8</v>
      </c>
      <c r="K158">
        <f t="shared" si="11"/>
        <v>-2.5941797793548971</v>
      </c>
      <c r="L158" s="5" t="s">
        <v>166</v>
      </c>
      <c r="N158">
        <v>157</v>
      </c>
      <c r="O158">
        <v>-2.5941797793548971</v>
      </c>
    </row>
    <row r="159" spans="1:15">
      <c r="A159">
        <v>158</v>
      </c>
      <c r="B159">
        <v>1909</v>
      </c>
      <c r="C159">
        <v>28</v>
      </c>
      <c r="D159">
        <v>2</v>
      </c>
      <c r="E159">
        <v>9</v>
      </c>
      <c r="G159">
        <f t="shared" si="8"/>
        <v>-1.7338764282325294</v>
      </c>
      <c r="H159">
        <f t="shared" si="9"/>
        <v>-3.0033923989033733</v>
      </c>
      <c r="I159">
        <f t="shared" si="10"/>
        <v>-1.8619002532425766</v>
      </c>
      <c r="J159" s="2" t="s">
        <v>8</v>
      </c>
      <c r="K159">
        <f t="shared" si="11"/>
        <v>-2.1997230267928267</v>
      </c>
      <c r="L159" s="5" t="s">
        <v>167</v>
      </c>
      <c r="N159">
        <v>158</v>
      </c>
      <c r="O159">
        <v>-2.1997230267928267</v>
      </c>
    </row>
    <row r="160" spans="1:15">
      <c r="A160">
        <v>159</v>
      </c>
      <c r="B160">
        <v>1499</v>
      </c>
      <c r="C160">
        <v>3666</v>
      </c>
      <c r="D160">
        <v>699</v>
      </c>
      <c r="E160">
        <v>1156</v>
      </c>
      <c r="G160">
        <f t="shared" si="8"/>
        <v>0.48816229659683652</v>
      </c>
      <c r="H160">
        <f t="shared" si="9"/>
        <v>-0.35494092327628596</v>
      </c>
      <c r="I160">
        <f t="shared" si="10"/>
        <v>0.35181936694799615</v>
      </c>
      <c r="J160" s="2" t="s">
        <v>8</v>
      </c>
      <c r="K160">
        <f t="shared" si="11"/>
        <v>0.16168024675618223</v>
      </c>
      <c r="L160" s="5" t="s">
        <v>168</v>
      </c>
      <c r="N160">
        <v>159</v>
      </c>
      <c r="O160">
        <v>0.16168024675618223</v>
      </c>
    </row>
    <row r="161" spans="1:15">
      <c r="A161">
        <v>160</v>
      </c>
      <c r="B161">
        <v>3041</v>
      </c>
      <c r="C161">
        <v>113</v>
      </c>
      <c r="D161">
        <v>18</v>
      </c>
      <c r="E161">
        <v>43</v>
      </c>
      <c r="G161">
        <f t="shared" si="8"/>
        <v>-1.3301665078417944</v>
      </c>
      <c r="H161">
        <f t="shared" si="9"/>
        <v>-2.2513603812145138</v>
      </c>
      <c r="I161">
        <f t="shared" si="10"/>
        <v>-1.3848847988527804</v>
      </c>
      <c r="J161" s="2" t="s">
        <v>8</v>
      </c>
      <c r="K161">
        <f t="shared" si="11"/>
        <v>-1.6554705626363628</v>
      </c>
      <c r="L161" s="5" t="s">
        <v>169</v>
      </c>
      <c r="N161">
        <v>160</v>
      </c>
      <c r="O161">
        <v>-1.6554705626363628</v>
      </c>
    </row>
    <row r="162" spans="1:15">
      <c r="A162">
        <v>161</v>
      </c>
      <c r="B162">
        <v>1656</v>
      </c>
      <c r="C162">
        <v>8087</v>
      </c>
      <c r="D162">
        <v>4849</v>
      </c>
      <c r="E162">
        <v>18280</v>
      </c>
      <c r="G162">
        <f t="shared" si="8"/>
        <v>0.78849857948067292</v>
      </c>
      <c r="H162">
        <f t="shared" si="9"/>
        <v>0.4429753854929751</v>
      </c>
      <c r="I162">
        <f t="shared" si="10"/>
        <v>1.5075790246607168</v>
      </c>
      <c r="J162" s="3" t="s">
        <v>9</v>
      </c>
      <c r="K162">
        <f t="shared" si="11"/>
        <v>0.91301766321145494</v>
      </c>
      <c r="L162" s="5" t="s">
        <v>170</v>
      </c>
      <c r="N162">
        <v>161</v>
      </c>
      <c r="O162">
        <v>0.91301766321145494</v>
      </c>
    </row>
    <row r="163" spans="1:15">
      <c r="A163">
        <v>162</v>
      </c>
      <c r="B163">
        <v>1297</v>
      </c>
      <c r="C163">
        <v>1145</v>
      </c>
      <c r="D163">
        <v>28</v>
      </c>
      <c r="E163">
        <v>231</v>
      </c>
      <c r="G163">
        <f t="shared" si="8"/>
        <v>4.5636979410744849E-2</v>
      </c>
      <c r="H163">
        <f t="shared" si="9"/>
        <v>-1.6893984109155489</v>
      </c>
      <c r="I163">
        <f t="shared" si="10"/>
        <v>-0.28466483048017044</v>
      </c>
      <c r="J163" s="2" t="s">
        <v>8</v>
      </c>
      <c r="K163">
        <f t="shared" si="11"/>
        <v>-0.64280875399499149</v>
      </c>
      <c r="L163" s="5" t="s">
        <v>171</v>
      </c>
      <c r="N163">
        <v>162</v>
      </c>
      <c r="O163">
        <v>-0.64280875399499149</v>
      </c>
    </row>
    <row r="164" spans="1:15">
      <c r="A164">
        <v>163</v>
      </c>
      <c r="B164">
        <v>559</v>
      </c>
      <c r="C164">
        <v>9</v>
      </c>
      <c r="D164">
        <v>1</v>
      </c>
      <c r="E164">
        <v>16</v>
      </c>
      <c r="G164">
        <f t="shared" si="8"/>
        <v>-1.6933978296281802</v>
      </c>
      <c r="H164">
        <f t="shared" si="9"/>
        <v>-2.7710282740601109</v>
      </c>
      <c r="I164">
        <f t="shared" si="10"/>
        <v>-1.0786286595187331</v>
      </c>
      <c r="J164" s="2" t="s">
        <v>8</v>
      </c>
      <c r="K164">
        <f t="shared" si="11"/>
        <v>-1.8476849210690081</v>
      </c>
      <c r="L164" s="5" t="s">
        <v>172</v>
      </c>
      <c r="N164">
        <v>163</v>
      </c>
      <c r="O164">
        <v>-1.8476849210690081</v>
      </c>
    </row>
    <row r="165" spans="1:15">
      <c r="A165">
        <v>164</v>
      </c>
      <c r="B165">
        <v>773</v>
      </c>
      <c r="C165">
        <v>12</v>
      </c>
      <c r="D165">
        <v>3</v>
      </c>
      <c r="E165">
        <v>3</v>
      </c>
      <c r="G165">
        <f t="shared" si="8"/>
        <v>-1.7092267790517819</v>
      </c>
      <c r="H165">
        <f t="shared" si="9"/>
        <v>-2.4346747053723501</v>
      </c>
      <c r="I165">
        <f t="shared" si="10"/>
        <v>-1.9463950734868969</v>
      </c>
      <c r="J165" s="2" t="s">
        <v>8</v>
      </c>
      <c r="K165">
        <f t="shared" si="11"/>
        <v>-2.0300988526370101</v>
      </c>
      <c r="L165" s="5" t="s">
        <v>173</v>
      </c>
      <c r="N165">
        <v>164</v>
      </c>
      <c r="O165">
        <v>-2.0300988526370101</v>
      </c>
    </row>
    <row r="166" spans="1:15">
      <c r="A166">
        <v>165</v>
      </c>
      <c r="B166">
        <v>874</v>
      </c>
      <c r="C166">
        <v>1</v>
      </c>
      <c r="D166">
        <v>8</v>
      </c>
      <c r="E166">
        <v>0</v>
      </c>
      <c r="G166">
        <f t="shared" si="8"/>
        <v>-2.8417399638154852</v>
      </c>
      <c r="H166">
        <f t="shared" si="9"/>
        <v>-2.0620379118161472</v>
      </c>
      <c r="I166" t="e">
        <f t="shared" si="10"/>
        <v>#NUM!</v>
      </c>
      <c r="J166" s="2" t="s">
        <v>8</v>
      </c>
      <c r="K166" t="e">
        <f t="shared" si="11"/>
        <v>#NUM!</v>
      </c>
      <c r="L166" s="5" t="s">
        <v>174</v>
      </c>
      <c r="N166">
        <v>165</v>
      </c>
      <c r="O166">
        <v>-3</v>
      </c>
    </row>
    <row r="167" spans="1:15">
      <c r="A167">
        <v>166</v>
      </c>
      <c r="B167">
        <v>572</v>
      </c>
      <c r="C167">
        <v>2</v>
      </c>
      <c r="D167">
        <v>16</v>
      </c>
      <c r="E167">
        <v>2</v>
      </c>
      <c r="G167">
        <f t="shared" si="8"/>
        <v>-2.3565945643101252</v>
      </c>
      <c r="H167">
        <f t="shared" si="9"/>
        <v>-1.5768925123107873</v>
      </c>
      <c r="I167">
        <f t="shared" si="10"/>
        <v>-1.9917028674172776</v>
      </c>
      <c r="J167" s="2" t="s">
        <v>8</v>
      </c>
      <c r="K167">
        <f t="shared" si="11"/>
        <v>-1.9750633146793968</v>
      </c>
      <c r="L167" s="5" t="s">
        <v>175</v>
      </c>
      <c r="N167">
        <v>166</v>
      </c>
      <c r="O167">
        <v>-1.9750633146793968</v>
      </c>
    </row>
    <row r="168" spans="1:15">
      <c r="A168">
        <v>167</v>
      </c>
      <c r="B168">
        <v>2148</v>
      </c>
      <c r="C168">
        <v>5</v>
      </c>
      <c r="D168">
        <v>7</v>
      </c>
      <c r="E168">
        <v>2</v>
      </c>
      <c r="G168">
        <f t="shared" si="8"/>
        <v>-2.5332928038725813</v>
      </c>
      <c r="H168">
        <f t="shared" si="9"/>
        <v>-2.5105527031869488</v>
      </c>
      <c r="I168">
        <f t="shared" si="10"/>
        <v>-2.5663411156517713</v>
      </c>
      <c r="J168" s="2" t="s">
        <v>8</v>
      </c>
      <c r="K168">
        <f t="shared" si="11"/>
        <v>-2.5367288742371001</v>
      </c>
      <c r="L168" s="5" t="s">
        <v>176</v>
      </c>
      <c r="N168">
        <v>167</v>
      </c>
      <c r="O168">
        <v>-2.5367288742371001</v>
      </c>
    </row>
    <row r="169" spans="1:15">
      <c r="A169">
        <v>168</v>
      </c>
      <c r="B169">
        <v>845</v>
      </c>
      <c r="C169">
        <v>4</v>
      </c>
      <c r="D169">
        <v>41</v>
      </c>
      <c r="E169">
        <v>2</v>
      </c>
      <c r="G169">
        <f t="shared" si="8"/>
        <v>-2.2250252488028122</v>
      </c>
      <c r="H169">
        <f t="shared" si="9"/>
        <v>-1.3376893184036447</v>
      </c>
      <c r="I169">
        <f t="shared" si="10"/>
        <v>-2.1611635475739455</v>
      </c>
      <c r="J169" s="2" t="s">
        <v>8</v>
      </c>
      <c r="K169">
        <f t="shared" si="11"/>
        <v>-1.9079593715934673</v>
      </c>
      <c r="L169" s="5" t="s">
        <v>177</v>
      </c>
      <c r="N169">
        <v>168</v>
      </c>
      <c r="O169">
        <v>-1.9079593715934673</v>
      </c>
    </row>
    <row r="170" spans="1:15">
      <c r="A170">
        <v>169</v>
      </c>
      <c r="B170">
        <v>1170</v>
      </c>
      <c r="C170">
        <v>3</v>
      </c>
      <c r="D170">
        <v>8</v>
      </c>
      <c r="E170">
        <v>2</v>
      </c>
      <c r="G170">
        <f t="shared" si="8"/>
        <v>-2.4912931382075811</v>
      </c>
      <c r="H170">
        <f t="shared" si="9"/>
        <v>-2.1887123409279057</v>
      </c>
      <c r="I170">
        <f t="shared" si="10"/>
        <v>-2.302492700370415</v>
      </c>
      <c r="J170" s="2" t="s">
        <v>8</v>
      </c>
      <c r="K170">
        <f t="shared" si="11"/>
        <v>-2.3274993931686336</v>
      </c>
      <c r="L170" s="5" t="s">
        <v>178</v>
      </c>
      <c r="N170">
        <v>169</v>
      </c>
      <c r="O170">
        <v>-2.3274993931686336</v>
      </c>
    </row>
    <row r="171" spans="1:15">
      <c r="A171">
        <v>170</v>
      </c>
      <c r="B171">
        <v>1683</v>
      </c>
      <c r="C171">
        <v>4</v>
      </c>
      <c r="D171">
        <v>0</v>
      </c>
      <c r="E171">
        <v>3</v>
      </c>
      <c r="G171">
        <f t="shared" si="8"/>
        <v>-2.5242526558289433</v>
      </c>
      <c r="H171" t="e">
        <f t="shared" si="9"/>
        <v>#NUM!</v>
      </c>
      <c r="I171">
        <f t="shared" si="10"/>
        <v>-2.2842996955443962</v>
      </c>
      <c r="J171" s="2" t="s">
        <v>8</v>
      </c>
      <c r="K171" t="e">
        <f t="shared" si="11"/>
        <v>#NUM!</v>
      </c>
      <c r="L171" s="5" t="s">
        <v>179</v>
      </c>
      <c r="N171">
        <v>170</v>
      </c>
      <c r="O171">
        <v>-3</v>
      </c>
    </row>
    <row r="172" spans="1:15">
      <c r="A172">
        <v>171</v>
      </c>
      <c r="B172">
        <v>1579</v>
      </c>
      <c r="C172">
        <v>0</v>
      </c>
      <c r="D172">
        <v>0</v>
      </c>
      <c r="E172">
        <v>0</v>
      </c>
      <c r="G172" t="e">
        <f t="shared" si="8"/>
        <v>#NUM!</v>
      </c>
      <c r="H172" t="e">
        <f t="shared" si="9"/>
        <v>#NUM!</v>
      </c>
      <c r="I172" t="e">
        <f t="shared" si="10"/>
        <v>#NUM!</v>
      </c>
      <c r="J172" s="2" t="s">
        <v>8</v>
      </c>
      <c r="K172" t="e">
        <f t="shared" si="11"/>
        <v>#NUM!</v>
      </c>
      <c r="L172" s="5" t="s">
        <v>180</v>
      </c>
      <c r="N172">
        <v>171</v>
      </c>
      <c r="O172">
        <v>-3</v>
      </c>
    </row>
    <row r="173" spans="1:15">
      <c r="A173">
        <v>172</v>
      </c>
      <c r="B173">
        <v>2418</v>
      </c>
      <c r="C173">
        <v>0</v>
      </c>
      <c r="D173">
        <v>0</v>
      </c>
      <c r="E173">
        <v>147</v>
      </c>
      <c r="G173" t="e">
        <f t="shared" si="8"/>
        <v>#NUM!</v>
      </c>
      <c r="H173" t="e">
        <f t="shared" si="9"/>
        <v>#NUM!</v>
      </c>
      <c r="I173">
        <f t="shared" si="10"/>
        <v>-0.75147579606481163</v>
      </c>
      <c r="J173" s="2" t="s">
        <v>8</v>
      </c>
      <c r="K173" t="e">
        <f t="shared" si="11"/>
        <v>#NUM!</v>
      </c>
      <c r="L173" s="5" t="s">
        <v>181</v>
      </c>
      <c r="N173">
        <v>172</v>
      </c>
      <c r="O173">
        <v>-3</v>
      </c>
    </row>
    <row r="174" spans="1:15">
      <c r="A174">
        <v>173</v>
      </c>
      <c r="B174">
        <v>952</v>
      </c>
      <c r="C174">
        <v>0</v>
      </c>
      <c r="D174">
        <v>1</v>
      </c>
      <c r="E174">
        <v>1</v>
      </c>
      <c r="G174" t="e">
        <f t="shared" si="8"/>
        <v>#NUM!</v>
      </c>
      <c r="H174">
        <f t="shared" si="9"/>
        <v>-3.0022534145581621</v>
      </c>
      <c r="I174">
        <f t="shared" si="10"/>
        <v>-2.5139737826727089</v>
      </c>
      <c r="J174" s="2" t="s">
        <v>8</v>
      </c>
      <c r="K174" t="e">
        <f t="shared" si="11"/>
        <v>#NUM!</v>
      </c>
      <c r="L174" s="5" t="s">
        <v>182</v>
      </c>
      <c r="N174">
        <v>173</v>
      </c>
      <c r="O174">
        <v>-3</v>
      </c>
    </row>
    <row r="175" spans="1:15">
      <c r="A175">
        <v>174</v>
      </c>
      <c r="B175">
        <v>1883</v>
      </c>
      <c r="C175">
        <v>20</v>
      </c>
      <c r="D175">
        <v>2</v>
      </c>
      <c r="E175">
        <v>0</v>
      </c>
      <c r="G175">
        <f t="shared" si="8"/>
        <v>-1.8740488555337653</v>
      </c>
      <c r="H175">
        <f t="shared" si="9"/>
        <v>-2.9974367905263715</v>
      </c>
      <c r="I175" t="e">
        <f t="shared" si="10"/>
        <v>#NUM!</v>
      </c>
      <c r="J175" s="2" t="s">
        <v>8</v>
      </c>
      <c r="K175" t="e">
        <f t="shared" si="11"/>
        <v>#NUM!</v>
      </c>
      <c r="L175" s="5" t="s">
        <v>183</v>
      </c>
      <c r="N175">
        <v>174</v>
      </c>
      <c r="O175">
        <v>-3</v>
      </c>
    </row>
    <row r="176" spans="1:15">
      <c r="A176">
        <v>175</v>
      </c>
      <c r="B176">
        <v>7061</v>
      </c>
      <c r="C176">
        <v>76</v>
      </c>
      <c r="D176">
        <v>6</v>
      </c>
      <c r="E176">
        <v>5</v>
      </c>
      <c r="G176">
        <f t="shared" si="8"/>
        <v>-1.8682811503950698</v>
      </c>
      <c r="H176">
        <f t="shared" si="9"/>
        <v>-3.0943314272848235</v>
      </c>
      <c r="I176">
        <f t="shared" si="10"/>
        <v>-2.6852330414469949</v>
      </c>
      <c r="J176" s="2" t="s">
        <v>8</v>
      </c>
      <c r="K176">
        <f t="shared" si="11"/>
        <v>-2.5492818730422964</v>
      </c>
      <c r="L176" s="5" t="s">
        <v>184</v>
      </c>
      <c r="N176">
        <v>175</v>
      </c>
      <c r="O176">
        <v>-2.5492818730422964</v>
      </c>
    </row>
    <row r="177" spans="1:15">
      <c r="A177">
        <v>176</v>
      </c>
      <c r="B177">
        <v>1670</v>
      </c>
      <c r="C177">
        <v>1</v>
      </c>
      <c r="D177">
        <v>4</v>
      </c>
      <c r="E177">
        <v>0</v>
      </c>
      <c r="G177">
        <f t="shared" si="8"/>
        <v>-3.1229450023286653</v>
      </c>
      <c r="H177">
        <f t="shared" si="9"/>
        <v>-2.6442729459933085</v>
      </c>
      <c r="I177" t="e">
        <f t="shared" si="10"/>
        <v>#NUM!</v>
      </c>
      <c r="J177" s="2" t="s">
        <v>8</v>
      </c>
      <c r="K177" t="e">
        <f t="shared" si="11"/>
        <v>#NUM!</v>
      </c>
      <c r="L177" s="5" t="s">
        <v>185</v>
      </c>
      <c r="N177">
        <v>176</v>
      </c>
      <c r="O177">
        <v>-3</v>
      </c>
    </row>
    <row r="178" spans="1:15">
      <c r="A178">
        <v>177</v>
      </c>
      <c r="B178">
        <v>3829</v>
      </c>
      <c r="C178">
        <v>8</v>
      </c>
      <c r="D178">
        <v>8</v>
      </c>
      <c r="E178">
        <v>6</v>
      </c>
      <c r="G178">
        <f t="shared" si="8"/>
        <v>-2.5802239105368261</v>
      </c>
      <c r="H178">
        <f t="shared" si="9"/>
        <v>-2.7036118455294318</v>
      </c>
      <c r="I178">
        <f t="shared" si="10"/>
        <v>-2.3402709502522785</v>
      </c>
      <c r="J178" s="2" t="s">
        <v>8</v>
      </c>
      <c r="K178">
        <f t="shared" si="11"/>
        <v>-2.5413689021061789</v>
      </c>
      <c r="L178" s="5" t="s">
        <v>186</v>
      </c>
      <c r="N178">
        <v>177</v>
      </c>
      <c r="O178">
        <v>-2.5413689021061789</v>
      </c>
    </row>
    <row r="179" spans="1:15">
      <c r="A179">
        <v>178</v>
      </c>
      <c r="B179">
        <v>3022</v>
      </c>
      <c r="C179">
        <v>0</v>
      </c>
      <c r="D179">
        <v>1</v>
      </c>
      <c r="E179">
        <v>102</v>
      </c>
      <c r="G179" t="e">
        <f t="shared" si="8"/>
        <v>#NUM!</v>
      </c>
      <c r="H179">
        <f t="shared" si="9"/>
        <v>-3.5039109261766943</v>
      </c>
      <c r="I179">
        <f t="shared" si="10"/>
        <v>-1.0070311225293236</v>
      </c>
      <c r="J179" s="2" t="s">
        <v>8</v>
      </c>
      <c r="K179" t="e">
        <f t="shared" si="11"/>
        <v>#NUM!</v>
      </c>
      <c r="L179" s="5" t="s">
        <v>187</v>
      </c>
      <c r="N179">
        <v>178</v>
      </c>
      <c r="O179">
        <v>-3</v>
      </c>
    </row>
    <row r="180" spans="1:15">
      <c r="A180">
        <v>179</v>
      </c>
      <c r="B180">
        <v>3723</v>
      </c>
      <c r="C180">
        <v>71</v>
      </c>
      <c r="D180">
        <v>536</v>
      </c>
      <c r="E180">
        <v>39</v>
      </c>
      <c r="G180">
        <f t="shared" si="8"/>
        <v>-1.6198632186803987</v>
      </c>
      <c r="H180">
        <f t="shared" si="9"/>
        <v>-0.86534471269931024</v>
      </c>
      <c r="I180">
        <f t="shared" si="10"/>
        <v>-1.5151652634801276</v>
      </c>
      <c r="J180" s="2" t="s">
        <v>8</v>
      </c>
      <c r="K180">
        <f t="shared" si="11"/>
        <v>-1.3334577316199454</v>
      </c>
      <c r="L180" s="5" t="s">
        <v>188</v>
      </c>
      <c r="N180">
        <v>179</v>
      </c>
      <c r="O180">
        <v>-1.3334577316199454</v>
      </c>
    </row>
    <row r="181" spans="1:15">
      <c r="A181">
        <v>180</v>
      </c>
      <c r="B181">
        <v>649</v>
      </c>
      <c r="C181">
        <v>170</v>
      </c>
      <c r="D181">
        <v>128</v>
      </c>
      <c r="E181">
        <v>64</v>
      </c>
      <c r="G181">
        <f t="shared" si="8"/>
        <v>-0.48202430660317713</v>
      </c>
      <c r="H181">
        <f t="shared" si="9"/>
        <v>-0.72865119332618877</v>
      </c>
      <c r="I181">
        <f t="shared" si="10"/>
        <v>-0.54140155710471671</v>
      </c>
      <c r="J181" s="2" t="s">
        <v>8</v>
      </c>
      <c r="K181">
        <f t="shared" si="11"/>
        <v>-0.5840256856780276</v>
      </c>
      <c r="L181" s="5" t="s">
        <v>189</v>
      </c>
      <c r="N181">
        <v>180</v>
      </c>
      <c r="O181">
        <v>-0.5840256856780276</v>
      </c>
    </row>
    <row r="182" spans="1:15">
      <c r="A182">
        <v>181</v>
      </c>
      <c r="B182">
        <v>2987</v>
      </c>
      <c r="C182">
        <v>162</v>
      </c>
      <c r="D182">
        <v>22</v>
      </c>
      <c r="E182">
        <v>1457</v>
      </c>
      <c r="G182">
        <f t="shared" si="8"/>
        <v>-1.1659487392425791</v>
      </c>
      <c r="H182">
        <f t="shared" si="9"/>
        <v>-2.1564290079556097</v>
      </c>
      <c r="I182">
        <f t="shared" si="10"/>
        <v>0.15288749487762721</v>
      </c>
      <c r="J182" s="2" t="s">
        <v>8</v>
      </c>
      <c r="K182">
        <f t="shared" si="11"/>
        <v>-1.0564967507735206</v>
      </c>
      <c r="L182" s="5" t="s">
        <v>190</v>
      </c>
      <c r="N182">
        <v>181</v>
      </c>
      <c r="O182">
        <v>-1.0564967507735206</v>
      </c>
    </row>
    <row r="183" spans="1:15">
      <c r="A183">
        <v>182</v>
      </c>
      <c r="B183">
        <v>560</v>
      </c>
      <c r="C183">
        <v>1</v>
      </c>
      <c r="D183">
        <v>1</v>
      </c>
      <c r="E183">
        <v>7</v>
      </c>
      <c r="G183">
        <f t="shared" si="8"/>
        <v>-2.6484165581872823</v>
      </c>
      <c r="H183">
        <f t="shared" si="9"/>
        <v>-2.771804493179888</v>
      </c>
      <c r="I183">
        <f t="shared" si="10"/>
        <v>-1.4384268212801783</v>
      </c>
      <c r="J183" s="2" t="s">
        <v>8</v>
      </c>
      <c r="K183">
        <f t="shared" si="11"/>
        <v>-2.2862159575491159</v>
      </c>
      <c r="L183" s="5" t="s">
        <v>191</v>
      </c>
      <c r="N183">
        <v>182</v>
      </c>
      <c r="O183">
        <v>-2.2862159575491159</v>
      </c>
    </row>
    <row r="184" spans="1:15">
      <c r="A184">
        <v>183</v>
      </c>
      <c r="B184">
        <v>825</v>
      </c>
      <c r="C184">
        <v>21</v>
      </c>
      <c r="D184">
        <v>0</v>
      </c>
      <c r="E184">
        <v>1</v>
      </c>
      <c r="G184">
        <f t="shared" si="8"/>
        <v>-1.4944631849970875</v>
      </c>
      <c r="H184" t="e">
        <f t="shared" si="9"/>
        <v>#NUM!</v>
      </c>
      <c r="I184">
        <f t="shared" si="10"/>
        <v>-2.4517907828381595</v>
      </c>
      <c r="J184" s="2" t="s">
        <v>8</v>
      </c>
      <c r="K184" t="e">
        <f t="shared" si="11"/>
        <v>#NUM!</v>
      </c>
      <c r="L184" s="5" t="s">
        <v>192</v>
      </c>
      <c r="N184">
        <v>183</v>
      </c>
      <c r="O184">
        <v>-3</v>
      </c>
    </row>
    <row r="185" spans="1:15">
      <c r="A185">
        <v>184</v>
      </c>
      <c r="B185">
        <v>2773</v>
      </c>
      <c r="C185">
        <v>315</v>
      </c>
      <c r="D185">
        <v>54</v>
      </c>
      <c r="E185">
        <v>34</v>
      </c>
      <c r="G185">
        <f t="shared" si="8"/>
        <v>-0.84486784696934314</v>
      </c>
      <c r="H185">
        <f t="shared" si="9"/>
        <v>-1.7341725759285811</v>
      </c>
      <c r="I185">
        <f t="shared" si="10"/>
        <v>-1.4468077868238414</v>
      </c>
      <c r="J185" s="2" t="s">
        <v>8</v>
      </c>
      <c r="K185">
        <f t="shared" si="11"/>
        <v>-1.3419494032405883</v>
      </c>
      <c r="L185" s="5" t="s">
        <v>193</v>
      </c>
      <c r="N185">
        <v>184</v>
      </c>
      <c r="O185">
        <v>-1.3419494032405883</v>
      </c>
    </row>
    <row r="186" spans="1:15">
      <c r="A186">
        <v>185</v>
      </c>
      <c r="B186">
        <v>1620</v>
      </c>
      <c r="C186">
        <v>15</v>
      </c>
      <c r="D186">
        <v>1022</v>
      </c>
      <c r="E186">
        <v>62</v>
      </c>
      <c r="G186">
        <f t="shared" si="8"/>
        <v>-1.9336522866680317</v>
      </c>
      <c r="H186">
        <f t="shared" si="9"/>
        <v>-0.22368058491762491</v>
      </c>
      <c r="I186">
        <f t="shared" si="10"/>
        <v>-0.95246015933261174</v>
      </c>
      <c r="J186" s="2" t="s">
        <v>8</v>
      </c>
      <c r="K186">
        <f t="shared" si="11"/>
        <v>-1.0365976769727563</v>
      </c>
      <c r="L186" s="5" t="s">
        <v>194</v>
      </c>
      <c r="N186">
        <v>185</v>
      </c>
      <c r="O186">
        <v>-1.0365976769727563</v>
      </c>
    </row>
    <row r="187" spans="1:15">
      <c r="A187">
        <v>186</v>
      </c>
      <c r="B187">
        <v>994</v>
      </c>
      <c r="C187">
        <v>5</v>
      </c>
      <c r="D187">
        <v>3</v>
      </c>
      <c r="E187">
        <v>108</v>
      </c>
      <c r="G187">
        <f t="shared" si="8"/>
        <v>-2.1986449112423765</v>
      </c>
      <c r="H187">
        <f t="shared" si="9"/>
        <v>-2.5438815958513388</v>
      </c>
      <c r="I187">
        <f t="shared" si="10"/>
        <v>-0.49929946319859819</v>
      </c>
      <c r="J187" s="2" t="s">
        <v>8</v>
      </c>
      <c r="K187">
        <f t="shared" si="11"/>
        <v>-1.7472753234307712</v>
      </c>
      <c r="L187" s="5" t="s">
        <v>195</v>
      </c>
      <c r="N187">
        <v>186</v>
      </c>
      <c r="O187">
        <v>-1.7472753234307712</v>
      </c>
    </row>
    <row r="188" spans="1:15">
      <c r="A188">
        <v>187</v>
      </c>
      <c r="B188">
        <v>199</v>
      </c>
      <c r="C188">
        <v>838</v>
      </c>
      <c r="D188">
        <v>402</v>
      </c>
      <c r="E188">
        <v>1367</v>
      </c>
      <c r="G188">
        <f t="shared" si="8"/>
        <v>0.72416241103948797</v>
      </c>
      <c r="H188">
        <f t="shared" si="9"/>
        <v>0.28175651050107553</v>
      </c>
      <c r="I188">
        <f t="shared" si="10"/>
        <v>1.3015786038698809</v>
      </c>
      <c r="J188" s="3" t="s">
        <v>9</v>
      </c>
      <c r="K188">
        <f t="shared" si="11"/>
        <v>0.76916584180348158</v>
      </c>
      <c r="L188" s="5" t="s">
        <v>196</v>
      </c>
      <c r="N188">
        <v>187</v>
      </c>
      <c r="O188">
        <v>0.76916584180348158</v>
      </c>
    </row>
    <row r="189" spans="1:15">
      <c r="A189">
        <v>188</v>
      </c>
      <c r="B189">
        <v>814</v>
      </c>
      <c r="C189">
        <v>1536</v>
      </c>
      <c r="D189">
        <v>174</v>
      </c>
      <c r="E189">
        <v>394</v>
      </c>
      <c r="G189">
        <f t="shared" si="8"/>
        <v>0.37553827962521008</v>
      </c>
      <c r="H189">
        <f t="shared" si="9"/>
        <v>-0.69369162278028951</v>
      </c>
      <c r="I189">
        <f t="shared" si="10"/>
        <v>0.14953498264813825</v>
      </c>
      <c r="J189" s="3" t="s">
        <v>9</v>
      </c>
      <c r="K189">
        <f t="shared" si="11"/>
        <v>-5.620612016898039E-2</v>
      </c>
      <c r="L189" s="5" t="s">
        <v>197</v>
      </c>
      <c r="N189">
        <v>188</v>
      </c>
      <c r="O189">
        <v>-5.620612016898039E-2</v>
      </c>
    </row>
    <row r="190" spans="1:15">
      <c r="A190">
        <v>189</v>
      </c>
      <c r="B190">
        <v>1081</v>
      </c>
      <c r="C190">
        <v>230</v>
      </c>
      <c r="D190">
        <v>21</v>
      </c>
      <c r="E190">
        <v>22</v>
      </c>
      <c r="G190">
        <f t="shared" si="8"/>
        <v>-0.57232638911679934</v>
      </c>
      <c r="H190">
        <f t="shared" si="9"/>
        <v>-1.735222865393079</v>
      </c>
      <c r="I190">
        <f t="shared" si="10"/>
        <v>-1.2267398474193389</v>
      </c>
      <c r="J190" s="3" t="s">
        <v>9</v>
      </c>
      <c r="K190">
        <f t="shared" si="11"/>
        <v>-1.1780963673097391</v>
      </c>
      <c r="L190" s="5" t="s">
        <v>198</v>
      </c>
      <c r="N190">
        <v>189</v>
      </c>
      <c r="O190">
        <v>-1.1780963673097391</v>
      </c>
    </row>
    <row r="191" spans="1:15">
      <c r="A191">
        <v>190</v>
      </c>
      <c r="B191">
        <v>659</v>
      </c>
      <c r="C191">
        <v>5657</v>
      </c>
      <c r="D191">
        <v>28</v>
      </c>
      <c r="E191">
        <v>821</v>
      </c>
      <c r="G191">
        <f t="shared" si="8"/>
        <v>1.0334722329653174</v>
      </c>
      <c r="H191">
        <f t="shared" si="9"/>
        <v>-1.3953438494254786</v>
      </c>
      <c r="I191">
        <f t="shared" si="10"/>
        <v>0.56012090823719629</v>
      </c>
      <c r="J191" s="3" t="s">
        <v>9</v>
      </c>
      <c r="K191">
        <f t="shared" si="11"/>
        <v>6.6083097259011694E-2</v>
      </c>
      <c r="L191" s="5" t="s">
        <v>199</v>
      </c>
      <c r="N191">
        <v>190</v>
      </c>
      <c r="O191">
        <v>6.6083097259011694E-2</v>
      </c>
    </row>
    <row r="192" spans="1:15">
      <c r="A192">
        <v>191</v>
      </c>
      <c r="B192">
        <v>1899</v>
      </c>
      <c r="C192">
        <v>50</v>
      </c>
      <c r="D192">
        <v>13</v>
      </c>
      <c r="E192">
        <v>15</v>
      </c>
      <c r="G192">
        <f t="shared" si="8"/>
        <v>-1.4797834915820807</v>
      </c>
      <c r="H192">
        <f t="shared" si="9"/>
        <v>-2.1881980786038686</v>
      </c>
      <c r="I192">
        <f t="shared" si="10"/>
        <v>-1.637770539969571</v>
      </c>
      <c r="J192" s="3" t="s">
        <v>9</v>
      </c>
      <c r="K192">
        <f t="shared" si="11"/>
        <v>-1.7685840367185068</v>
      </c>
      <c r="L192" s="5" t="s">
        <v>200</v>
      </c>
      <c r="N192">
        <v>191</v>
      </c>
      <c r="O192">
        <v>-1.7685840367185068</v>
      </c>
    </row>
    <row r="193" spans="1:15">
      <c r="A193">
        <v>192</v>
      </c>
      <c r="B193">
        <v>2493</v>
      </c>
      <c r="C193">
        <v>0</v>
      </c>
      <c r="D193">
        <v>1</v>
      </c>
      <c r="E193">
        <v>2</v>
      </c>
      <c r="G193" t="e">
        <f t="shared" si="8"/>
        <v>#NUM!</v>
      </c>
      <c r="H193">
        <f t="shared" si="9"/>
        <v>-3.4203387446774611</v>
      </c>
      <c r="I193">
        <f t="shared" si="10"/>
        <v>-2.6310291171280267</v>
      </c>
      <c r="J193" s="2" t="s">
        <v>8</v>
      </c>
      <c r="K193" t="e">
        <f t="shared" si="11"/>
        <v>#NUM!</v>
      </c>
      <c r="L193" s="5" t="s">
        <v>201</v>
      </c>
      <c r="N193">
        <v>192</v>
      </c>
      <c r="O193">
        <v>-3</v>
      </c>
    </row>
    <row r="194" spans="1:15">
      <c r="A194">
        <v>193</v>
      </c>
      <c r="B194">
        <v>3373</v>
      </c>
      <c r="C194">
        <v>0</v>
      </c>
      <c r="D194">
        <v>48</v>
      </c>
      <c r="E194">
        <v>1</v>
      </c>
      <c r="G194" t="e">
        <f t="shared" ref="G194:G257" si="12">LOG10(C194/B194)-LOG10(3086/3883)</f>
        <v>#NUM!</v>
      </c>
      <c r="H194">
        <f t="shared" ref="H194:H257" si="13">LOG10(D194/B194)-LOG10(4100/3883)</f>
        <v>-1.8703915699873022</v>
      </c>
      <c r="I194">
        <f t="shared" ref="I194:I257" si="14">LOG10(E194/B194)-LOG10(1332/3883)</f>
        <v>-3.0633531754774359</v>
      </c>
      <c r="J194" s="2" t="s">
        <v>8</v>
      </c>
      <c r="K194" t="e">
        <f t="shared" ref="K194:K257" si="15">AVERAGE(G194:I194)</f>
        <v>#NUM!</v>
      </c>
      <c r="L194" s="5" t="s">
        <v>202</v>
      </c>
      <c r="N194">
        <v>193</v>
      </c>
      <c r="O194">
        <v>-3</v>
      </c>
    </row>
    <row r="195" spans="1:15">
      <c r="A195">
        <v>194</v>
      </c>
      <c r="B195">
        <v>2381</v>
      </c>
      <c r="C195">
        <v>3</v>
      </c>
      <c r="D195">
        <v>46</v>
      </c>
      <c r="E195">
        <v>2</v>
      </c>
      <c r="G195">
        <f t="shared" si="12"/>
        <v>-2.7998666718662992</v>
      </c>
      <c r="H195">
        <f t="shared" si="13"/>
        <v>-1.7376180298969937</v>
      </c>
      <c r="I195">
        <f t="shared" si="14"/>
        <v>-2.6110662340291331</v>
      </c>
      <c r="J195" s="2" t="s">
        <v>8</v>
      </c>
      <c r="K195">
        <f t="shared" si="15"/>
        <v>-2.3828503119308087</v>
      </c>
      <c r="L195" s="5" t="s">
        <v>203</v>
      </c>
      <c r="N195">
        <v>194</v>
      </c>
      <c r="O195">
        <v>-2.3828503119308087</v>
      </c>
    </row>
    <row r="196" spans="1:15">
      <c r="A196">
        <v>195</v>
      </c>
      <c r="B196">
        <v>2242</v>
      </c>
      <c r="C196">
        <v>0</v>
      </c>
      <c r="D196">
        <v>0</v>
      </c>
      <c r="E196">
        <v>0</v>
      </c>
      <c r="G196" t="e">
        <f t="shared" si="12"/>
        <v>#NUM!</v>
      </c>
      <c r="H196" t="e">
        <f t="shared" si="13"/>
        <v>#NUM!</v>
      </c>
      <c r="I196" t="e">
        <f t="shared" si="14"/>
        <v>#NUM!</v>
      </c>
      <c r="J196" s="2" t="s">
        <v>8</v>
      </c>
      <c r="K196" t="e">
        <f t="shared" si="15"/>
        <v>#NUM!</v>
      </c>
      <c r="L196" s="5" t="s">
        <v>204</v>
      </c>
      <c r="N196">
        <v>195</v>
      </c>
      <c r="O196">
        <v>-3</v>
      </c>
    </row>
    <row r="197" spans="1:15">
      <c r="A197">
        <v>196</v>
      </c>
      <c r="B197">
        <v>6826</v>
      </c>
      <c r="C197">
        <v>104</v>
      </c>
      <c r="D197">
        <v>2684</v>
      </c>
      <c r="E197">
        <v>350</v>
      </c>
      <c r="G197">
        <f t="shared" si="12"/>
        <v>-1.7173614758249216</v>
      </c>
      <c r="H197">
        <f t="shared" si="13"/>
        <v>-0.42900023861935349</v>
      </c>
      <c r="I197">
        <f t="shared" si="14"/>
        <v>-0.82543507388057902</v>
      </c>
      <c r="J197" s="2" t="s">
        <v>8</v>
      </c>
      <c r="K197">
        <f t="shared" si="15"/>
        <v>-0.99059892944161809</v>
      </c>
      <c r="L197" s="5" t="s">
        <v>205</v>
      </c>
      <c r="N197">
        <v>196</v>
      </c>
      <c r="O197">
        <v>-0.99059892944161809</v>
      </c>
    </row>
    <row r="198" spans="1:15">
      <c r="A198">
        <v>197</v>
      </c>
      <c r="B198">
        <v>3889</v>
      </c>
      <c r="C198">
        <v>2598</v>
      </c>
      <c r="D198">
        <v>21870</v>
      </c>
      <c r="E198">
        <v>119</v>
      </c>
      <c r="G198">
        <f t="shared" si="12"/>
        <v>-7.5427327591532561E-2</v>
      </c>
      <c r="H198">
        <f t="shared" si="13"/>
        <v>0.72639437371648941</v>
      </c>
      <c r="I198">
        <f t="shared" si="14"/>
        <v>-1.0496278160431638</v>
      </c>
      <c r="J198" s="2" t="s">
        <v>8</v>
      </c>
      <c r="K198">
        <f t="shared" si="15"/>
        <v>-0.13288692330606899</v>
      </c>
      <c r="L198" s="5" t="s">
        <v>206</v>
      </c>
      <c r="N198">
        <v>197</v>
      </c>
      <c r="O198">
        <v>-0.13288692330606899</v>
      </c>
    </row>
    <row r="199" spans="1:15">
      <c r="A199">
        <v>198</v>
      </c>
      <c r="B199">
        <v>810</v>
      </c>
      <c r="C199">
        <v>2</v>
      </c>
      <c r="D199">
        <v>1</v>
      </c>
      <c r="E199">
        <v>0</v>
      </c>
      <c r="G199">
        <f t="shared" si="12"/>
        <v>-2.5076835543957507</v>
      </c>
      <c r="H199">
        <f t="shared" si="13"/>
        <v>-2.9321014850523377</v>
      </c>
      <c r="I199" t="e">
        <f t="shared" si="14"/>
        <v>#NUM!</v>
      </c>
      <c r="J199" s="2" t="s">
        <v>8</v>
      </c>
      <c r="K199" t="e">
        <f t="shared" si="15"/>
        <v>#NUM!</v>
      </c>
      <c r="L199" s="5" t="s">
        <v>207</v>
      </c>
      <c r="N199">
        <v>198</v>
      </c>
      <c r="O199">
        <v>-3</v>
      </c>
    </row>
    <row r="200" spans="1:15">
      <c r="A200">
        <v>199</v>
      </c>
      <c r="B200">
        <v>718</v>
      </c>
      <c r="C200">
        <v>10</v>
      </c>
      <c r="D200">
        <v>2017</v>
      </c>
      <c r="E200">
        <v>131</v>
      </c>
      <c r="G200">
        <f t="shared" si="12"/>
        <v>-1.7563529754233822</v>
      </c>
      <c r="H200">
        <f t="shared" si="13"/>
        <v>0.42496498779677722</v>
      </c>
      <c r="I200">
        <f t="shared" si="14"/>
        <v>-0.2741899828747707</v>
      </c>
      <c r="J200" s="2" t="s">
        <v>8</v>
      </c>
      <c r="K200">
        <f t="shared" si="15"/>
        <v>-0.53519265683379191</v>
      </c>
      <c r="L200" s="5" t="s">
        <v>208</v>
      </c>
      <c r="N200">
        <v>199</v>
      </c>
      <c r="O200">
        <v>-0.53519265683379191</v>
      </c>
    </row>
    <row r="201" spans="1:15">
      <c r="A201">
        <v>200</v>
      </c>
      <c r="B201">
        <v>4472</v>
      </c>
      <c r="C201">
        <v>32</v>
      </c>
      <c r="D201">
        <v>55</v>
      </c>
      <c r="E201">
        <v>24</v>
      </c>
      <c r="G201">
        <f t="shared" si="12"/>
        <v>-2.0455803477395431</v>
      </c>
      <c r="H201">
        <f t="shared" si="13"/>
        <v>-1.933755571557811</v>
      </c>
      <c r="I201">
        <f t="shared" si="14"/>
        <v>-1.8056273874549955</v>
      </c>
      <c r="J201" s="2" t="s">
        <v>8</v>
      </c>
      <c r="K201">
        <f t="shared" si="15"/>
        <v>-1.9283211022507831</v>
      </c>
      <c r="L201" s="5" t="s">
        <v>209</v>
      </c>
      <c r="N201">
        <v>200</v>
      </c>
      <c r="O201">
        <v>-1.9283211022507831</v>
      </c>
    </row>
    <row r="202" spans="1:15">
      <c r="A202">
        <v>201</v>
      </c>
      <c r="B202">
        <v>581</v>
      </c>
      <c r="C202">
        <v>2147</v>
      </c>
      <c r="D202">
        <v>2811</v>
      </c>
      <c r="E202">
        <v>4234</v>
      </c>
      <c r="G202">
        <f t="shared" si="12"/>
        <v>0.66742738086483611</v>
      </c>
      <c r="H202">
        <f t="shared" si="13"/>
        <v>0.66106824704342204</v>
      </c>
      <c r="I202">
        <f t="shared" si="14"/>
        <v>1.3272378870048278</v>
      </c>
      <c r="J202" s="2" t="s">
        <v>8</v>
      </c>
      <c r="K202">
        <f t="shared" si="15"/>
        <v>0.88524450497102869</v>
      </c>
      <c r="L202" s="5" t="s">
        <v>210</v>
      </c>
      <c r="N202">
        <v>201</v>
      </c>
      <c r="O202">
        <v>0.88524450497102869</v>
      </c>
    </row>
    <row r="203" spans="1:15">
      <c r="A203">
        <v>202</v>
      </c>
      <c r="B203">
        <v>1040</v>
      </c>
      <c r="C203">
        <v>685</v>
      </c>
      <c r="D203">
        <v>671</v>
      </c>
      <c r="E203">
        <v>390</v>
      </c>
      <c r="G203">
        <f t="shared" si="12"/>
        <v>-8.1571298987436647E-2</v>
      </c>
      <c r="H203">
        <f t="shared" si="13"/>
        <v>-0.21392728530347616</v>
      </c>
      <c r="I203">
        <f t="shared" si="14"/>
        <v>3.8694433439484199E-2</v>
      </c>
      <c r="J203" s="2" t="s">
        <v>8</v>
      </c>
      <c r="K203">
        <f t="shared" si="15"/>
        <v>-8.5601383617142868E-2</v>
      </c>
      <c r="L203" s="5" t="s">
        <v>211</v>
      </c>
      <c r="N203">
        <v>202</v>
      </c>
      <c r="O203">
        <v>-8.5601383617142868E-2</v>
      </c>
    </row>
    <row r="204" spans="1:15">
      <c r="A204">
        <v>203</v>
      </c>
      <c r="B204">
        <v>1151</v>
      </c>
      <c r="C204">
        <v>27151</v>
      </c>
      <c r="D204">
        <v>1225</v>
      </c>
      <c r="E204">
        <v>348</v>
      </c>
      <c r="G204">
        <f t="shared" si="12"/>
        <v>1.4724819749329257</v>
      </c>
      <c r="H204">
        <f t="shared" si="13"/>
        <v>3.4442988970715231E-3</v>
      </c>
      <c r="I204">
        <f t="shared" si="14"/>
        <v>-5.4832913971445518E-2</v>
      </c>
      <c r="J204" s="2" t="s">
        <v>8</v>
      </c>
      <c r="K204">
        <f t="shared" si="15"/>
        <v>0.47369778661951728</v>
      </c>
      <c r="L204" s="5" t="s">
        <v>212</v>
      </c>
      <c r="N204">
        <v>203</v>
      </c>
      <c r="O204">
        <v>0.47369778661951728</v>
      </c>
    </row>
    <row r="205" spans="1:15">
      <c r="A205">
        <v>204</v>
      </c>
      <c r="B205">
        <v>1256</v>
      </c>
      <c r="C205">
        <v>512</v>
      </c>
      <c r="D205">
        <v>75</v>
      </c>
      <c r="E205">
        <v>26</v>
      </c>
      <c r="G205">
        <f t="shared" si="12"/>
        <v>-0.28994820960642842</v>
      </c>
      <c r="H205">
        <f t="shared" si="13"/>
        <v>-1.2475448421831652</v>
      </c>
      <c r="I205">
        <f t="shared" si="14"/>
        <v>-1.2193531257185941</v>
      </c>
      <c r="J205" s="2" t="s">
        <v>8</v>
      </c>
      <c r="K205">
        <f t="shared" si="15"/>
        <v>-0.91894872583606257</v>
      </c>
      <c r="L205" s="5" t="s">
        <v>213</v>
      </c>
      <c r="N205">
        <v>204</v>
      </c>
      <c r="O205">
        <v>-0.91894872583606257</v>
      </c>
    </row>
    <row r="206" spans="1:15">
      <c r="A206">
        <v>205</v>
      </c>
      <c r="B206">
        <v>807</v>
      </c>
      <c r="C206">
        <v>8356</v>
      </c>
      <c r="D206">
        <v>364</v>
      </c>
      <c r="E206">
        <v>66349</v>
      </c>
      <c r="G206">
        <f t="shared" si="12"/>
        <v>1.1148963654051187</v>
      </c>
      <c r="H206">
        <f t="shared" si="13"/>
        <v>-0.36938861724670236</v>
      </c>
      <c r="I206">
        <f t="shared" si="14"/>
        <v>2.3796240126324295</v>
      </c>
      <c r="J206" s="2" t="s">
        <v>8</v>
      </c>
      <c r="K206">
        <f t="shared" si="15"/>
        <v>1.0417105869302821</v>
      </c>
      <c r="L206" s="5" t="s">
        <v>214</v>
      </c>
      <c r="N206">
        <v>205</v>
      </c>
      <c r="O206">
        <v>1.0417105869302821</v>
      </c>
    </row>
    <row r="207" spans="1:15">
      <c r="A207">
        <v>206</v>
      </c>
      <c r="B207">
        <v>3538</v>
      </c>
      <c r="C207">
        <v>33</v>
      </c>
      <c r="D207">
        <v>12</v>
      </c>
      <c r="E207">
        <v>24</v>
      </c>
      <c r="G207">
        <f t="shared" si="12"/>
        <v>-1.9304724198768988</v>
      </c>
      <c r="H207">
        <f t="shared" si="13"/>
        <v>-2.4931930486997671</v>
      </c>
      <c r="I207">
        <f t="shared" si="14"/>
        <v>-1.7038834211503326</v>
      </c>
      <c r="J207" s="2" t="s">
        <v>8</v>
      </c>
      <c r="K207">
        <f t="shared" si="15"/>
        <v>-2.0425162965756662</v>
      </c>
      <c r="L207" s="5" t="s">
        <v>215</v>
      </c>
      <c r="N207">
        <v>206</v>
      </c>
      <c r="O207">
        <v>-2.0425162965756662</v>
      </c>
    </row>
    <row r="208" spans="1:15">
      <c r="A208">
        <v>207</v>
      </c>
      <c r="B208">
        <v>528</v>
      </c>
      <c r="C208">
        <v>105</v>
      </c>
      <c r="D208">
        <v>234</v>
      </c>
      <c r="E208">
        <v>72</v>
      </c>
      <c r="G208">
        <f t="shared" si="12"/>
        <v>-0.60167315464495608</v>
      </c>
      <c r="H208">
        <f t="shared" si="13"/>
        <v>-0.37703453129735731</v>
      </c>
      <c r="I208">
        <f t="shared" si="14"/>
        <v>-0.40063826039077843</v>
      </c>
      <c r="J208" s="2" t="s">
        <v>8</v>
      </c>
      <c r="K208">
        <f t="shared" si="15"/>
        <v>-0.45978198211103055</v>
      </c>
      <c r="L208" s="5" t="s">
        <v>216</v>
      </c>
      <c r="N208">
        <v>207</v>
      </c>
      <c r="O208">
        <v>-0.45978198211103055</v>
      </c>
    </row>
    <row r="209" spans="1:15">
      <c r="A209">
        <v>208</v>
      </c>
      <c r="B209">
        <v>2148</v>
      </c>
      <c r="C209">
        <v>6993</v>
      </c>
      <c r="D209">
        <v>4391</v>
      </c>
      <c r="E209">
        <v>1721</v>
      </c>
      <c r="G209">
        <f t="shared" si="12"/>
        <v>0.61240072003163926</v>
      </c>
      <c r="H209">
        <f t="shared" si="13"/>
        <v>0.28691269390318186</v>
      </c>
      <c r="I209">
        <f t="shared" si="14"/>
        <v>0.36840975901180761</v>
      </c>
      <c r="J209" s="2" t="s">
        <v>8</v>
      </c>
      <c r="K209">
        <f t="shared" si="15"/>
        <v>0.42257439098220956</v>
      </c>
      <c r="L209" s="5" t="s">
        <v>217</v>
      </c>
      <c r="N209">
        <v>208</v>
      </c>
      <c r="O209">
        <v>0.42257439098220956</v>
      </c>
    </row>
    <row r="210" spans="1:15">
      <c r="A210">
        <v>209</v>
      </c>
      <c r="B210">
        <v>1234</v>
      </c>
      <c r="C210">
        <v>75</v>
      </c>
      <c r="D210">
        <v>1390</v>
      </c>
      <c r="E210">
        <v>89</v>
      </c>
      <c r="G210">
        <f t="shared" si="12"/>
        <v>-1.1164824274866045</v>
      </c>
      <c r="H210">
        <f t="shared" si="13"/>
        <v>2.8083174383184334E-2</v>
      </c>
      <c r="I210">
        <f t="shared" si="14"/>
        <v>-0.67726198734054466</v>
      </c>
      <c r="J210" s="2" t="s">
        <v>8</v>
      </c>
      <c r="K210">
        <f t="shared" si="15"/>
        <v>-0.588553746814655</v>
      </c>
      <c r="L210" s="5" t="s">
        <v>218</v>
      </c>
      <c r="N210">
        <v>209</v>
      </c>
      <c r="O210">
        <v>-0.588553746814655</v>
      </c>
    </row>
    <row r="211" spans="1:15">
      <c r="A211">
        <v>210</v>
      </c>
      <c r="B211">
        <v>2470</v>
      </c>
      <c r="C211">
        <v>23972</v>
      </c>
      <c r="D211">
        <v>99007</v>
      </c>
      <c r="E211">
        <v>95877</v>
      </c>
      <c r="G211">
        <f t="shared" si="12"/>
        <v>1.0867787845836998</v>
      </c>
      <c r="H211">
        <f t="shared" si="13"/>
        <v>1.5793524817692617</v>
      </c>
      <c r="I211">
        <f t="shared" si="14"/>
        <v>2.0536806489127022</v>
      </c>
      <c r="J211" s="2" t="s">
        <v>8</v>
      </c>
      <c r="K211">
        <f t="shared" si="15"/>
        <v>1.573270638421888</v>
      </c>
      <c r="L211" s="5" t="s">
        <v>219</v>
      </c>
      <c r="N211">
        <v>210</v>
      </c>
      <c r="O211">
        <v>1.573270638421888</v>
      </c>
    </row>
    <row r="212" spans="1:15">
      <c r="A212">
        <v>211</v>
      </c>
      <c r="B212">
        <v>2768</v>
      </c>
      <c r="C212">
        <v>27759</v>
      </c>
      <c r="D212">
        <v>32691</v>
      </c>
      <c r="E212">
        <v>19823</v>
      </c>
      <c r="G212">
        <f t="shared" si="12"/>
        <v>1.1010091999213236</v>
      </c>
      <c r="H212">
        <f t="shared" si="13"/>
        <v>1.0486456536583457</v>
      </c>
      <c r="I212">
        <f t="shared" si="14"/>
        <v>1.3196664608962798</v>
      </c>
      <c r="J212" s="2" t="s">
        <v>8</v>
      </c>
      <c r="K212">
        <f t="shared" si="15"/>
        <v>1.1564404381586497</v>
      </c>
      <c r="L212" s="5" t="s">
        <v>220</v>
      </c>
      <c r="N212">
        <v>211</v>
      </c>
      <c r="O212">
        <v>1.1564404381586497</v>
      </c>
    </row>
    <row r="213" spans="1:15">
      <c r="A213">
        <v>212</v>
      </c>
      <c r="B213">
        <v>3059</v>
      </c>
      <c r="C213">
        <v>812</v>
      </c>
      <c r="D213">
        <v>2329</v>
      </c>
      <c r="E213">
        <v>1743</v>
      </c>
      <c r="G213">
        <f t="shared" si="12"/>
        <v>-0.47625197892458532</v>
      </c>
      <c r="H213">
        <f t="shared" si="13"/>
        <v>-0.14202645462368588</v>
      </c>
      <c r="I213">
        <f t="shared" si="14"/>
        <v>0.22038107583707989</v>
      </c>
      <c r="J213" s="3" t="s">
        <v>9</v>
      </c>
      <c r="K213">
        <f t="shared" si="15"/>
        <v>-0.1326324525703971</v>
      </c>
      <c r="L213" s="5" t="s">
        <v>221</v>
      </c>
      <c r="N213">
        <v>212</v>
      </c>
      <c r="O213">
        <v>-0.1326324525703971</v>
      </c>
    </row>
    <row r="214" spans="1:15">
      <c r="A214">
        <v>213</v>
      </c>
      <c r="B214">
        <v>3478</v>
      </c>
      <c r="C214">
        <v>17</v>
      </c>
      <c r="D214">
        <v>9</v>
      </c>
      <c r="E214">
        <v>12</v>
      </c>
      <c r="G214">
        <f t="shared" si="12"/>
        <v>-2.2111091874695017</v>
      </c>
      <c r="H214">
        <f t="shared" si="13"/>
        <v>-2.6107035344010567</v>
      </c>
      <c r="I214">
        <f t="shared" si="14"/>
        <v>-1.9974851659073032</v>
      </c>
      <c r="J214" s="2" t="s">
        <v>8</v>
      </c>
      <c r="K214">
        <f t="shared" si="15"/>
        <v>-2.2730992959259537</v>
      </c>
      <c r="L214" s="5" t="s">
        <v>222</v>
      </c>
      <c r="N214">
        <v>213</v>
      </c>
      <c r="O214">
        <v>-2.2730992959259537</v>
      </c>
    </row>
    <row r="215" spans="1:15">
      <c r="A215">
        <v>214</v>
      </c>
      <c r="B215">
        <v>1270</v>
      </c>
      <c r="C215">
        <v>5685</v>
      </c>
      <c r="D215">
        <v>29646</v>
      </c>
      <c r="E215">
        <v>718</v>
      </c>
      <c r="G215">
        <f t="shared" si="12"/>
        <v>0.7506982168867149</v>
      </c>
      <c r="H215">
        <f t="shared" si="13"/>
        <v>1.3445459171434155</v>
      </c>
      <c r="I215">
        <f t="shared" si="14"/>
        <v>0.2169838889981088</v>
      </c>
      <c r="J215" s="3" t="s">
        <v>9</v>
      </c>
      <c r="K215">
        <f t="shared" si="15"/>
        <v>0.77074267434274635</v>
      </c>
      <c r="L215" s="5" t="s">
        <v>223</v>
      </c>
      <c r="N215">
        <v>214</v>
      </c>
      <c r="O215">
        <v>0.77074267434274635</v>
      </c>
    </row>
    <row r="216" spans="1:15">
      <c r="A216">
        <v>215</v>
      </c>
      <c r="B216">
        <v>2242</v>
      </c>
      <c r="C216">
        <v>91007</v>
      </c>
      <c r="D216">
        <v>25877</v>
      </c>
      <c r="E216">
        <v>2726</v>
      </c>
      <c r="G216">
        <f t="shared" si="12"/>
        <v>1.7082106588640671</v>
      </c>
      <c r="H216">
        <f t="shared" si="13"/>
        <v>1.0386618513906654</v>
      </c>
      <c r="I216">
        <f t="shared" si="14"/>
        <v>0.54955340895146576</v>
      </c>
      <c r="J216" s="3" t="s">
        <v>9</v>
      </c>
      <c r="K216">
        <f t="shared" si="15"/>
        <v>1.0988086397353996</v>
      </c>
      <c r="L216" s="5" t="s">
        <v>224</v>
      </c>
      <c r="N216">
        <v>215</v>
      </c>
      <c r="O216">
        <v>1.0988086397353996</v>
      </c>
    </row>
    <row r="217" spans="1:15">
      <c r="A217">
        <v>216</v>
      </c>
      <c r="B217">
        <v>1179</v>
      </c>
      <c r="C217">
        <v>302</v>
      </c>
      <c r="D217">
        <v>107</v>
      </c>
      <c r="E217">
        <v>8</v>
      </c>
      <c r="G217">
        <f t="shared" si="12"/>
        <v>-0.49173539331902033</v>
      </c>
      <c r="H217">
        <f t="shared" si="13"/>
        <v>-1.0657464935835674</v>
      </c>
      <c r="I217">
        <f t="shared" si="14"/>
        <v>-1.70376065239138</v>
      </c>
      <c r="J217" s="3" t="s">
        <v>9</v>
      </c>
      <c r="K217">
        <f t="shared" si="15"/>
        <v>-1.0870808464313226</v>
      </c>
      <c r="L217" s="5" t="s">
        <v>225</v>
      </c>
      <c r="N217">
        <v>216</v>
      </c>
      <c r="O217">
        <v>-1.0870808464313226</v>
      </c>
    </row>
    <row r="218" spans="1:15">
      <c r="A218">
        <v>217</v>
      </c>
      <c r="B218">
        <v>1150</v>
      </c>
      <c r="C218">
        <v>2544</v>
      </c>
      <c r="D218">
        <v>3423</v>
      </c>
      <c r="E218">
        <v>1723</v>
      </c>
      <c r="G218">
        <f t="shared" si="12"/>
        <v>0.44459073544168271</v>
      </c>
      <c r="H218">
        <f t="shared" si="13"/>
        <v>0.45009259261057749</v>
      </c>
      <c r="I218">
        <f t="shared" si="14"/>
        <v>0.64025060280618218</v>
      </c>
      <c r="J218" s="3" t="s">
        <v>9</v>
      </c>
      <c r="K218">
        <f t="shared" si="15"/>
        <v>0.51164464361948081</v>
      </c>
      <c r="L218" s="5" t="s">
        <v>226</v>
      </c>
      <c r="N218">
        <v>217</v>
      </c>
      <c r="O218">
        <v>0.51164464361948081</v>
      </c>
    </row>
    <row r="219" spans="1:15">
      <c r="A219">
        <v>218</v>
      </c>
      <c r="B219">
        <v>1827</v>
      </c>
      <c r="C219">
        <v>9</v>
      </c>
      <c r="D219">
        <v>190</v>
      </c>
      <c r="E219">
        <v>3</v>
      </c>
      <c r="G219">
        <f t="shared" si="12"/>
        <v>-2.207724569094295</v>
      </c>
      <c r="H219">
        <f t="shared" si="13"/>
        <v>-1.0066014125733969</v>
      </c>
      <c r="I219">
        <f t="shared" si="14"/>
        <v>-2.3199541269211097</v>
      </c>
      <c r="J219" s="3" t="s">
        <v>9</v>
      </c>
      <c r="K219">
        <f t="shared" si="15"/>
        <v>-1.8447600361962671</v>
      </c>
      <c r="L219" s="5" t="s">
        <v>227</v>
      </c>
      <c r="N219">
        <v>218</v>
      </c>
      <c r="O219">
        <v>-1.8447600361962671</v>
      </c>
    </row>
    <row r="220" spans="1:15">
      <c r="A220">
        <v>219</v>
      </c>
      <c r="B220">
        <v>2699</v>
      </c>
      <c r="C220">
        <v>14579</v>
      </c>
      <c r="D220">
        <v>12963</v>
      </c>
      <c r="E220">
        <v>2545</v>
      </c>
      <c r="G220">
        <f t="shared" si="12"/>
        <v>0.83229632022130628</v>
      </c>
      <c r="H220">
        <f t="shared" si="13"/>
        <v>0.65788617030068797</v>
      </c>
      <c r="I220">
        <f t="shared" si="14"/>
        <v>0.43914806782802629</v>
      </c>
      <c r="J220" s="3" t="s">
        <v>9</v>
      </c>
      <c r="K220">
        <f t="shared" si="15"/>
        <v>0.64311018611667359</v>
      </c>
      <c r="L220" s="5" t="s">
        <v>228</v>
      </c>
      <c r="N220">
        <v>219</v>
      </c>
      <c r="O220">
        <v>0.64311018611667359</v>
      </c>
    </row>
    <row r="221" spans="1:15">
      <c r="A221">
        <v>220</v>
      </c>
      <c r="B221">
        <v>1675</v>
      </c>
      <c r="C221">
        <v>4126</v>
      </c>
      <c r="D221">
        <v>24923</v>
      </c>
      <c r="E221">
        <v>4226</v>
      </c>
      <c r="G221">
        <f t="shared" si="12"/>
        <v>0.49128588108318683</v>
      </c>
      <c r="H221">
        <f t="shared" si="13"/>
        <v>1.1489690399360872</v>
      </c>
      <c r="I221">
        <f t="shared" si="14"/>
        <v>0.86657784705519592</v>
      </c>
      <c r="J221" s="3" t="s">
        <v>9</v>
      </c>
      <c r="K221">
        <f t="shared" si="15"/>
        <v>0.83561092269148995</v>
      </c>
      <c r="L221" s="5" t="s">
        <v>229</v>
      </c>
      <c r="N221">
        <v>220</v>
      </c>
      <c r="O221">
        <v>0.83561092269148995</v>
      </c>
    </row>
    <row r="222" spans="1:15">
      <c r="A222">
        <v>221</v>
      </c>
      <c r="B222">
        <v>4208</v>
      </c>
      <c r="C222">
        <v>298</v>
      </c>
      <c r="D222">
        <v>819</v>
      </c>
      <c r="E222">
        <v>108</v>
      </c>
      <c r="G222">
        <f t="shared" si="12"/>
        <v>-1.0500879982505094</v>
      </c>
      <c r="H222">
        <f t="shared" si="13"/>
        <v>-0.73440829555895215</v>
      </c>
      <c r="I222">
        <f t="shared" si="14"/>
        <v>-1.1259888099469677</v>
      </c>
      <c r="J222" s="3" t="s">
        <v>9</v>
      </c>
      <c r="K222">
        <f t="shared" si="15"/>
        <v>-0.97016170125214307</v>
      </c>
      <c r="L222" s="5" t="s">
        <v>230</v>
      </c>
      <c r="N222">
        <v>221</v>
      </c>
      <c r="O222">
        <v>-0.97016170125214307</v>
      </c>
    </row>
    <row r="223" spans="1:15">
      <c r="A223">
        <v>222</v>
      </c>
      <c r="B223">
        <v>751</v>
      </c>
      <c r="C223">
        <v>1117</v>
      </c>
      <c r="D223">
        <v>510</v>
      </c>
      <c r="E223">
        <v>1177</v>
      </c>
      <c r="G223">
        <f t="shared" si="12"/>
        <v>0.27218470493035879</v>
      </c>
      <c r="H223">
        <f t="shared" si="13"/>
        <v>-0.19168622707991995</v>
      </c>
      <c r="I223">
        <f t="shared" si="14"/>
        <v>0.65979969155103169</v>
      </c>
      <c r="J223" s="3" t="s">
        <v>9</v>
      </c>
      <c r="K223">
        <f t="shared" si="15"/>
        <v>0.24676605646715685</v>
      </c>
      <c r="L223" s="5" t="s">
        <v>231</v>
      </c>
      <c r="N223">
        <v>222</v>
      </c>
      <c r="O223">
        <v>0.24676605646715685</v>
      </c>
    </row>
    <row r="224" spans="1:15">
      <c r="A224">
        <v>223</v>
      </c>
      <c r="B224">
        <v>2488</v>
      </c>
      <c r="C224">
        <v>853</v>
      </c>
      <c r="D224">
        <v>4758</v>
      </c>
      <c r="E224">
        <v>15296</v>
      </c>
      <c r="G224">
        <f t="shared" si="12"/>
        <v>-0.36512987603233993</v>
      </c>
      <c r="H224">
        <f t="shared" si="13"/>
        <v>0.25795759550877845</v>
      </c>
      <c r="I224">
        <f t="shared" si="14"/>
        <v>1.2533906646250093</v>
      </c>
      <c r="J224" s="3" t="s">
        <v>9</v>
      </c>
      <c r="K224">
        <f t="shared" si="15"/>
        <v>0.38207279470048255</v>
      </c>
      <c r="L224" s="5" t="s">
        <v>232</v>
      </c>
      <c r="N224">
        <v>223</v>
      </c>
      <c r="O224">
        <v>0.38207279470048255</v>
      </c>
    </row>
    <row r="225" spans="1:15">
      <c r="A225">
        <v>224</v>
      </c>
      <c r="B225">
        <v>2612</v>
      </c>
      <c r="C225">
        <v>49</v>
      </c>
      <c r="D225">
        <v>2</v>
      </c>
      <c r="E225">
        <v>11</v>
      </c>
      <c r="G225">
        <f t="shared" si="12"/>
        <v>-1.6270056237556045</v>
      </c>
      <c r="H225">
        <f t="shared" si="13"/>
        <v>-3.1395596431127428</v>
      </c>
      <c r="I225">
        <f t="shared" si="14"/>
        <v>-1.910917321733046</v>
      </c>
      <c r="J225" s="2" t="s">
        <v>8</v>
      </c>
      <c r="K225">
        <f t="shared" si="15"/>
        <v>-2.2258275295337979</v>
      </c>
      <c r="L225" s="5" t="s">
        <v>233</v>
      </c>
      <c r="N225">
        <v>224</v>
      </c>
      <c r="O225">
        <v>-2.2258275295337979</v>
      </c>
    </row>
    <row r="226" spans="1:15">
      <c r="A226">
        <v>225</v>
      </c>
      <c r="B226">
        <v>1526</v>
      </c>
      <c r="C226">
        <v>164</v>
      </c>
      <c r="D226">
        <v>3</v>
      </c>
      <c r="E226">
        <v>16</v>
      </c>
      <c r="G226">
        <f t="shared" si="12"/>
        <v>-0.86893921675224561</v>
      </c>
      <c r="H226">
        <f t="shared" si="13"/>
        <v>-2.7300497450728871</v>
      </c>
      <c r="I226">
        <f t="shared" si="14"/>
        <v>-1.5147713852511715</v>
      </c>
      <c r="J226" s="3" t="s">
        <v>9</v>
      </c>
      <c r="K226">
        <f t="shared" si="15"/>
        <v>-1.7045867823587681</v>
      </c>
      <c r="L226" s="5" t="s">
        <v>234</v>
      </c>
      <c r="N226">
        <v>225</v>
      </c>
      <c r="O226">
        <v>-1.7045867823587681</v>
      </c>
    </row>
    <row r="227" spans="1:15">
      <c r="A227">
        <v>226</v>
      </c>
      <c r="B227">
        <v>5815</v>
      </c>
      <c r="C227">
        <v>0</v>
      </c>
      <c r="D227">
        <v>5</v>
      </c>
      <c r="E227">
        <v>3</v>
      </c>
      <c r="G227" t="e">
        <f t="shared" si="12"/>
        <v>#NUM!</v>
      </c>
      <c r="H227">
        <f t="shared" si="13"/>
        <v>-3.0891961809021362</v>
      </c>
      <c r="I227">
        <f t="shared" si="14"/>
        <v>-2.8227652986330392</v>
      </c>
      <c r="J227" s="2" t="s">
        <v>8</v>
      </c>
      <c r="K227" t="e">
        <f t="shared" si="15"/>
        <v>#NUM!</v>
      </c>
      <c r="L227" s="5" t="s">
        <v>235</v>
      </c>
      <c r="N227">
        <v>226</v>
      </c>
      <c r="O227">
        <v>-3</v>
      </c>
    </row>
    <row r="228" spans="1:15">
      <c r="A228">
        <v>227</v>
      </c>
      <c r="B228">
        <v>1555</v>
      </c>
      <c r="C228">
        <v>2</v>
      </c>
      <c r="D228">
        <v>307</v>
      </c>
      <c r="E228">
        <v>2</v>
      </c>
      <c r="G228">
        <f t="shared" si="12"/>
        <v>-2.790928928879957</v>
      </c>
      <c r="H228">
        <f t="shared" si="13"/>
        <v>-0.72820848405935779</v>
      </c>
      <c r="I228">
        <f t="shared" si="14"/>
        <v>-2.4260372319871095</v>
      </c>
      <c r="J228" s="2" t="s">
        <v>8</v>
      </c>
      <c r="K228">
        <f t="shared" si="15"/>
        <v>-1.9817248816421416</v>
      </c>
      <c r="L228" s="5" t="s">
        <v>236</v>
      </c>
      <c r="N228">
        <v>227</v>
      </c>
      <c r="O228">
        <v>-1.9817248816421416</v>
      </c>
    </row>
    <row r="229" spans="1:15">
      <c r="A229">
        <v>228</v>
      </c>
      <c r="B229">
        <v>5583</v>
      </c>
      <c r="C229">
        <v>9</v>
      </c>
      <c r="D229">
        <v>4</v>
      </c>
      <c r="E229">
        <v>1</v>
      </c>
      <c r="G229">
        <f t="shared" si="12"/>
        <v>-2.6928536495921866</v>
      </c>
      <c r="H229">
        <f t="shared" si="13"/>
        <v>-3.1684241026961546</v>
      </c>
      <c r="I229">
        <f t="shared" si="14"/>
        <v>-3.2822044621386639</v>
      </c>
      <c r="J229" s="2" t="s">
        <v>8</v>
      </c>
      <c r="K229">
        <f t="shared" si="15"/>
        <v>-3.0478274048090017</v>
      </c>
      <c r="L229" s="5" t="s">
        <v>237</v>
      </c>
      <c r="N229">
        <v>228</v>
      </c>
      <c r="O229">
        <v>-3.0478274048090017</v>
      </c>
    </row>
    <row r="230" spans="1:15">
      <c r="A230">
        <v>229</v>
      </c>
      <c r="B230">
        <v>2225</v>
      </c>
      <c r="C230">
        <v>3</v>
      </c>
      <c r="D230">
        <v>3</v>
      </c>
      <c r="E230">
        <v>3</v>
      </c>
      <c r="G230">
        <f t="shared" si="12"/>
        <v>-2.7704372917783702</v>
      </c>
      <c r="H230">
        <f t="shared" si="13"/>
        <v>-2.8938252267709759</v>
      </c>
      <c r="I230">
        <f t="shared" si="14"/>
        <v>-2.4055455948855227</v>
      </c>
      <c r="J230" s="2" t="s">
        <v>8</v>
      </c>
      <c r="K230">
        <f t="shared" si="15"/>
        <v>-2.689936037811623</v>
      </c>
      <c r="L230" s="5" t="s">
        <v>238</v>
      </c>
      <c r="N230">
        <v>229</v>
      </c>
      <c r="O230">
        <v>-2.689936037811623</v>
      </c>
    </row>
    <row r="231" spans="1:15">
      <c r="A231">
        <v>230</v>
      </c>
      <c r="B231">
        <v>3099</v>
      </c>
      <c r="C231">
        <v>10077</v>
      </c>
      <c r="D231">
        <v>3389</v>
      </c>
      <c r="E231">
        <v>9897</v>
      </c>
      <c r="G231">
        <f t="shared" si="12"/>
        <v>0.61188115114096187</v>
      </c>
      <c r="H231">
        <f t="shared" si="13"/>
        <v>1.5233526424407347E-2</v>
      </c>
      <c r="I231">
        <f t="shared" si="14"/>
        <v>0.96894515973748863</v>
      </c>
      <c r="J231" s="3" t="s">
        <v>9</v>
      </c>
      <c r="K231">
        <f t="shared" si="15"/>
        <v>0.53201994576761924</v>
      </c>
      <c r="L231" s="5" t="s">
        <v>239</v>
      </c>
      <c r="N231">
        <v>230</v>
      </c>
      <c r="O231">
        <v>0.53201994576761924</v>
      </c>
    </row>
    <row r="232" spans="1:15">
      <c r="A232">
        <v>231</v>
      </c>
      <c r="B232">
        <v>3340</v>
      </c>
      <c r="C232">
        <v>18395</v>
      </c>
      <c r="D232">
        <v>26898</v>
      </c>
      <c r="E232">
        <v>4779</v>
      </c>
      <c r="G232">
        <f t="shared" si="12"/>
        <v>0.84072479417449952</v>
      </c>
      <c r="H232">
        <f t="shared" si="13"/>
        <v>0.88235705626418315</v>
      </c>
      <c r="I232">
        <f t="shared" si="14"/>
        <v>0.62025372942099477</v>
      </c>
      <c r="J232" s="3" t="s">
        <v>9</v>
      </c>
      <c r="K232">
        <f t="shared" si="15"/>
        <v>0.78111185995322574</v>
      </c>
      <c r="L232" s="5" t="s">
        <v>240</v>
      </c>
      <c r="N232">
        <v>231</v>
      </c>
      <c r="O232">
        <v>0.78111185995322574</v>
      </c>
    </row>
    <row r="233" spans="1:15">
      <c r="A233">
        <v>232</v>
      </c>
      <c r="B233">
        <v>5423</v>
      </c>
      <c r="C233">
        <v>24554</v>
      </c>
      <c r="D233">
        <v>15235</v>
      </c>
      <c r="E233">
        <v>71776</v>
      </c>
      <c r="G233">
        <f t="shared" si="12"/>
        <v>0.75565411589016374</v>
      </c>
      <c r="H233">
        <f t="shared" si="13"/>
        <v>0.42498638794954946</v>
      </c>
      <c r="I233">
        <f t="shared" si="14"/>
        <v>1.5864028131791841</v>
      </c>
      <c r="J233" s="3" t="s">
        <v>9</v>
      </c>
      <c r="K233">
        <f t="shared" si="15"/>
        <v>0.9223477723396325</v>
      </c>
      <c r="L233" s="5" t="s">
        <v>241</v>
      </c>
      <c r="N233">
        <v>232</v>
      </c>
      <c r="O233">
        <v>0.9223477723396325</v>
      </c>
    </row>
    <row r="234" spans="1:15">
      <c r="A234">
        <v>233</v>
      </c>
      <c r="B234">
        <v>738</v>
      </c>
      <c r="C234">
        <v>956</v>
      </c>
      <c r="D234">
        <v>412</v>
      </c>
      <c r="E234">
        <v>268</v>
      </c>
      <c r="G234">
        <f t="shared" si="12"/>
        <v>0.21217299927197664</v>
      </c>
      <c r="H234">
        <f t="shared" si="13"/>
        <v>-0.27677561196359485</v>
      </c>
      <c r="I234">
        <f t="shared" si="14"/>
        <v>2.474159791751257E-2</v>
      </c>
      <c r="J234" s="3" t="s">
        <v>9</v>
      </c>
      <c r="K234">
        <f t="shared" si="15"/>
        <v>-1.3287004924701881E-2</v>
      </c>
      <c r="L234" s="5" t="s">
        <v>242</v>
      </c>
      <c r="N234">
        <v>233</v>
      </c>
      <c r="O234">
        <v>-1.3287004924701881E-2</v>
      </c>
    </row>
    <row r="235" spans="1:15">
      <c r="A235">
        <v>234</v>
      </c>
      <c r="B235">
        <v>4318</v>
      </c>
      <c r="C235">
        <v>11277</v>
      </c>
      <c r="D235">
        <v>173850</v>
      </c>
      <c r="E235">
        <v>970394</v>
      </c>
      <c r="G235">
        <f t="shared" si="12"/>
        <v>0.51668241125418102</v>
      </c>
      <c r="H235">
        <f t="shared" si="13"/>
        <v>1.5812755908473772</v>
      </c>
      <c r="I235">
        <f t="shared" si="14"/>
        <v>2.816328630313468</v>
      </c>
      <c r="J235" s="3" t="s">
        <v>9</v>
      </c>
      <c r="K235">
        <f t="shared" si="15"/>
        <v>1.638095544138342</v>
      </c>
      <c r="L235" s="5" t="s">
        <v>243</v>
      </c>
      <c r="N235">
        <v>234</v>
      </c>
      <c r="O235">
        <v>1.638095544138342</v>
      </c>
    </row>
    <row r="236" spans="1:15">
      <c r="A236">
        <v>235</v>
      </c>
      <c r="B236">
        <v>454</v>
      </c>
      <c r="C236">
        <v>0</v>
      </c>
      <c r="D236">
        <v>0</v>
      </c>
      <c r="E236">
        <v>0</v>
      </c>
      <c r="G236" t="e">
        <f t="shared" si="12"/>
        <v>#NUM!</v>
      </c>
      <c r="H236" t="e">
        <f t="shared" si="13"/>
        <v>#NUM!</v>
      </c>
      <c r="I236" t="e">
        <f t="shared" si="14"/>
        <v>#NUM!</v>
      </c>
      <c r="J236" s="2" t="s">
        <v>8</v>
      </c>
      <c r="K236" t="e">
        <f t="shared" si="15"/>
        <v>#NUM!</v>
      </c>
      <c r="L236" s="5" t="s">
        <v>244</v>
      </c>
      <c r="N236">
        <v>235</v>
      </c>
      <c r="O236">
        <v>-3</v>
      </c>
    </row>
    <row r="237" spans="1:15">
      <c r="A237">
        <v>236</v>
      </c>
      <c r="B237">
        <v>519</v>
      </c>
      <c r="C237">
        <v>0</v>
      </c>
      <c r="D237">
        <v>0</v>
      </c>
      <c r="E237">
        <v>0</v>
      </c>
      <c r="G237" t="e">
        <f t="shared" si="12"/>
        <v>#NUM!</v>
      </c>
      <c r="H237" t="e">
        <f t="shared" si="13"/>
        <v>#NUM!</v>
      </c>
      <c r="I237" t="e">
        <f t="shared" si="14"/>
        <v>#NUM!</v>
      </c>
      <c r="J237" s="2" t="s">
        <v>8</v>
      </c>
      <c r="K237" t="e">
        <f t="shared" si="15"/>
        <v>#NUM!</v>
      </c>
      <c r="L237" s="5" t="s">
        <v>245</v>
      </c>
      <c r="N237">
        <v>236</v>
      </c>
      <c r="O237">
        <v>-3</v>
      </c>
    </row>
    <row r="238" spans="1:15">
      <c r="A238">
        <v>237</v>
      </c>
      <c r="B238">
        <v>1279</v>
      </c>
      <c r="C238">
        <v>2</v>
      </c>
      <c r="D238">
        <v>1</v>
      </c>
      <c r="E238">
        <v>11</v>
      </c>
      <c r="G238">
        <f t="shared" si="12"/>
        <v>-2.7060690799957547</v>
      </c>
      <c r="H238">
        <f t="shared" si="13"/>
        <v>-3.1304870106523417</v>
      </c>
      <c r="I238">
        <f t="shared" si="14"/>
        <v>-1.6008146936086636</v>
      </c>
      <c r="J238" s="2" t="s">
        <v>8</v>
      </c>
      <c r="K238">
        <f t="shared" si="15"/>
        <v>-2.4791235947522536</v>
      </c>
      <c r="L238" s="5" t="s">
        <v>246</v>
      </c>
      <c r="N238">
        <v>237</v>
      </c>
      <c r="O238">
        <v>-2.4791235947522536</v>
      </c>
    </row>
    <row r="239" spans="1:15">
      <c r="A239">
        <v>238</v>
      </c>
      <c r="B239">
        <v>1298</v>
      </c>
      <c r="C239">
        <v>37</v>
      </c>
      <c r="D239">
        <v>0</v>
      </c>
      <c r="E239">
        <v>1</v>
      </c>
      <c r="G239">
        <f t="shared" si="12"/>
        <v>-1.4453014995784372</v>
      </c>
      <c r="H239" t="e">
        <f t="shared" si="13"/>
        <v>#NUM!</v>
      </c>
      <c r="I239">
        <f t="shared" si="14"/>
        <v>-2.6486115267525849</v>
      </c>
      <c r="J239" s="2" t="s">
        <v>8</v>
      </c>
      <c r="K239" t="e">
        <f t="shared" si="15"/>
        <v>#NUM!</v>
      </c>
      <c r="L239" s="5" t="s">
        <v>247</v>
      </c>
      <c r="N239">
        <v>238</v>
      </c>
      <c r="O239">
        <v>-3</v>
      </c>
    </row>
    <row r="240" spans="1:15">
      <c r="A240">
        <v>239</v>
      </c>
      <c r="B240">
        <v>1477</v>
      </c>
      <c r="C240">
        <v>1</v>
      </c>
      <c r="D240">
        <v>1</v>
      </c>
      <c r="E240">
        <v>1</v>
      </c>
      <c r="G240">
        <f t="shared" si="12"/>
        <v>-3.0696090264930316</v>
      </c>
      <c r="H240">
        <f t="shared" si="13"/>
        <v>-3.1929969614856373</v>
      </c>
      <c r="I240">
        <f t="shared" si="14"/>
        <v>-2.7047173296001841</v>
      </c>
      <c r="J240" s="2" t="s">
        <v>8</v>
      </c>
      <c r="K240">
        <f t="shared" si="15"/>
        <v>-2.989107772526284</v>
      </c>
      <c r="L240" s="5" t="s">
        <v>248</v>
      </c>
      <c r="N240">
        <v>239</v>
      </c>
      <c r="O240">
        <v>-2.989107772526284</v>
      </c>
    </row>
    <row r="241" spans="1:15">
      <c r="A241">
        <v>240</v>
      </c>
      <c r="B241">
        <v>548</v>
      </c>
      <c r="C241">
        <v>0</v>
      </c>
      <c r="D241">
        <v>0</v>
      </c>
      <c r="E241">
        <v>0</v>
      </c>
      <c r="G241" t="e">
        <f t="shared" si="12"/>
        <v>#NUM!</v>
      </c>
      <c r="H241" t="e">
        <f t="shared" si="13"/>
        <v>#NUM!</v>
      </c>
      <c r="I241" t="e">
        <f t="shared" si="14"/>
        <v>#NUM!</v>
      </c>
      <c r="J241" s="2" t="s">
        <v>8</v>
      </c>
      <c r="K241" t="e">
        <f t="shared" si="15"/>
        <v>#NUM!</v>
      </c>
      <c r="L241" s="5" t="s">
        <v>249</v>
      </c>
      <c r="N241">
        <v>240</v>
      </c>
      <c r="O241">
        <v>-3</v>
      </c>
    </row>
    <row r="242" spans="1:15">
      <c r="A242">
        <v>241</v>
      </c>
      <c r="B242">
        <v>746</v>
      </c>
      <c r="C242">
        <v>4</v>
      </c>
      <c r="D242">
        <v>17</v>
      </c>
      <c r="E242">
        <v>17</v>
      </c>
      <c r="G242">
        <f t="shared" si="12"/>
        <v>-2.1709073673257886</v>
      </c>
      <c r="H242">
        <f t="shared" si="13"/>
        <v>-1.6659063722680829</v>
      </c>
      <c r="I242">
        <f t="shared" si="14"/>
        <v>-1.1776267403826295</v>
      </c>
      <c r="J242" s="2" t="s">
        <v>8</v>
      </c>
      <c r="K242">
        <f t="shared" si="15"/>
        <v>-1.6714801599921671</v>
      </c>
      <c r="L242" s="5" t="s">
        <v>250</v>
      </c>
      <c r="N242">
        <v>241</v>
      </c>
      <c r="O242">
        <v>-1.6714801599921671</v>
      </c>
    </row>
    <row r="243" spans="1:15">
      <c r="A243">
        <v>242</v>
      </c>
      <c r="B243">
        <v>5686</v>
      </c>
      <c r="C243">
        <v>0</v>
      </c>
      <c r="D243">
        <v>175</v>
      </c>
      <c r="E243">
        <v>0</v>
      </c>
      <c r="G243" t="e">
        <f t="shared" si="12"/>
        <v>#NUM!</v>
      </c>
      <c r="H243">
        <f t="shared" si="13"/>
        <v>-1.5353852728418169</v>
      </c>
      <c r="I243" t="e">
        <f t="shared" si="14"/>
        <v>#NUM!</v>
      </c>
      <c r="J243" s="2" t="s">
        <v>8</v>
      </c>
      <c r="K243" t="e">
        <f t="shared" si="15"/>
        <v>#NUM!</v>
      </c>
      <c r="L243" s="5" t="s">
        <v>251</v>
      </c>
      <c r="N243">
        <v>242</v>
      </c>
      <c r="O243">
        <v>-3</v>
      </c>
    </row>
    <row r="244" spans="1:15">
      <c r="A244">
        <v>243</v>
      </c>
      <c r="B244">
        <v>2603</v>
      </c>
      <c r="C244">
        <v>0</v>
      </c>
      <c r="D244">
        <v>0</v>
      </c>
      <c r="E244">
        <v>2</v>
      </c>
      <c r="G244" t="e">
        <f t="shared" si="12"/>
        <v>#NUM!</v>
      </c>
      <c r="H244" t="e">
        <f t="shared" si="13"/>
        <v>#NUM!</v>
      </c>
      <c r="I244">
        <f t="shared" si="14"/>
        <v>-2.6497810067334893</v>
      </c>
      <c r="J244" s="2" t="s">
        <v>8</v>
      </c>
      <c r="K244" t="e">
        <f t="shared" si="15"/>
        <v>#NUM!</v>
      </c>
      <c r="L244" s="5" t="s">
        <v>252</v>
      </c>
      <c r="N244">
        <v>243</v>
      </c>
      <c r="O244">
        <v>-3</v>
      </c>
    </row>
    <row r="245" spans="1:15">
      <c r="A245">
        <v>244</v>
      </c>
      <c r="B245">
        <v>1862</v>
      </c>
      <c r="C245">
        <v>0</v>
      </c>
      <c r="D245">
        <v>0</v>
      </c>
      <c r="E245">
        <v>68</v>
      </c>
      <c r="G245" t="e">
        <f t="shared" si="12"/>
        <v>#NUM!</v>
      </c>
      <c r="H245" t="e">
        <f t="shared" si="13"/>
        <v>#NUM!</v>
      </c>
      <c r="I245">
        <f t="shared" si="14"/>
        <v>-0.97280759822732221</v>
      </c>
      <c r="J245" s="2" t="s">
        <v>8</v>
      </c>
      <c r="K245" t="e">
        <f t="shared" si="15"/>
        <v>#NUM!</v>
      </c>
      <c r="L245" s="5" t="s">
        <v>253</v>
      </c>
      <c r="N245">
        <v>244</v>
      </c>
      <c r="O245">
        <v>-3</v>
      </c>
    </row>
    <row r="246" spans="1:15">
      <c r="A246">
        <v>245</v>
      </c>
      <c r="B246">
        <v>2184</v>
      </c>
      <c r="C246">
        <v>5</v>
      </c>
      <c r="D246">
        <v>0</v>
      </c>
      <c r="E246">
        <v>2</v>
      </c>
      <c r="G246">
        <f t="shared" si="12"/>
        <v>-2.5405111608777626</v>
      </c>
      <c r="H246" t="e">
        <f t="shared" si="13"/>
        <v>#NUM!</v>
      </c>
      <c r="I246">
        <f t="shared" si="14"/>
        <v>-2.5735594726569531</v>
      </c>
      <c r="J246" s="2" t="s">
        <v>8</v>
      </c>
      <c r="K246" t="e">
        <f t="shared" si="15"/>
        <v>#NUM!</v>
      </c>
      <c r="L246" s="5" t="s">
        <v>254</v>
      </c>
      <c r="N246">
        <v>245</v>
      </c>
      <c r="O246">
        <v>-3</v>
      </c>
    </row>
    <row r="247" spans="1:15">
      <c r="A247">
        <v>246</v>
      </c>
      <c r="B247">
        <v>2568</v>
      </c>
      <c r="C247">
        <v>0</v>
      </c>
      <c r="D247">
        <v>1</v>
      </c>
      <c r="E247">
        <v>1</v>
      </c>
      <c r="G247" t="e">
        <f t="shared" si="12"/>
        <v>#NUM!</v>
      </c>
      <c r="H247">
        <f t="shared" si="13"/>
        <v>-3.4332114855705034</v>
      </c>
      <c r="I247">
        <f t="shared" si="14"/>
        <v>-2.9449318536850502</v>
      </c>
      <c r="J247" s="2" t="s">
        <v>8</v>
      </c>
      <c r="K247" t="e">
        <f t="shared" si="15"/>
        <v>#NUM!</v>
      </c>
      <c r="L247" s="5" t="s">
        <v>255</v>
      </c>
      <c r="N247">
        <v>246</v>
      </c>
      <c r="O247">
        <v>-3</v>
      </c>
    </row>
    <row r="248" spans="1:15">
      <c r="A248">
        <v>247</v>
      </c>
      <c r="B248">
        <v>1434</v>
      </c>
      <c r="C248">
        <v>2</v>
      </c>
      <c r="D248">
        <v>0</v>
      </c>
      <c r="E248">
        <v>1</v>
      </c>
      <c r="G248">
        <f t="shared" si="12"/>
        <v>-2.7557476868488822</v>
      </c>
      <c r="H248" t="e">
        <f t="shared" si="13"/>
        <v>#NUM!</v>
      </c>
      <c r="I248">
        <f t="shared" si="14"/>
        <v>-2.6918859856200159</v>
      </c>
      <c r="J248" s="2" t="s">
        <v>8</v>
      </c>
      <c r="K248" t="e">
        <f t="shared" si="15"/>
        <v>#NUM!</v>
      </c>
      <c r="L248" s="5" t="s">
        <v>256</v>
      </c>
      <c r="N248">
        <v>247</v>
      </c>
      <c r="O248">
        <v>-3</v>
      </c>
    </row>
    <row r="249" spans="1:15">
      <c r="A249">
        <v>248</v>
      </c>
      <c r="B249">
        <v>1804</v>
      </c>
      <c r="C249">
        <v>85</v>
      </c>
      <c r="D249">
        <v>30</v>
      </c>
      <c r="E249">
        <v>15</v>
      </c>
      <c r="G249">
        <f t="shared" si="12"/>
        <v>-1.2270461386727121</v>
      </c>
      <c r="H249">
        <f t="shared" si="13"/>
        <v>-1.8027317446599485</v>
      </c>
      <c r="I249">
        <f t="shared" si="14"/>
        <v>-1.6154821084384761</v>
      </c>
      <c r="J249" s="2" t="s">
        <v>9</v>
      </c>
      <c r="K249">
        <f t="shared" si="15"/>
        <v>-1.5484199972570456</v>
      </c>
      <c r="L249" s="5" t="s">
        <v>257</v>
      </c>
      <c r="N249">
        <v>248</v>
      </c>
      <c r="O249">
        <v>-1.5484199972570456</v>
      </c>
    </row>
    <row r="250" spans="1:15">
      <c r="A250">
        <v>249</v>
      </c>
      <c r="B250">
        <v>1087</v>
      </c>
      <c r="C250">
        <v>0</v>
      </c>
      <c r="D250">
        <v>0</v>
      </c>
      <c r="E250">
        <v>1</v>
      </c>
      <c r="G250" t="e">
        <f t="shared" si="12"/>
        <v>#NUM!</v>
      </c>
      <c r="H250" t="e">
        <f t="shared" si="13"/>
        <v>#NUM!</v>
      </c>
      <c r="I250">
        <f t="shared" si="14"/>
        <v>-2.5715663783745293</v>
      </c>
      <c r="J250" s="2" t="s">
        <v>8</v>
      </c>
      <c r="K250" t="e">
        <f t="shared" si="15"/>
        <v>#NUM!</v>
      </c>
      <c r="L250" s="5" t="s">
        <v>258</v>
      </c>
      <c r="N250">
        <v>249</v>
      </c>
      <c r="O250">
        <v>-3</v>
      </c>
    </row>
    <row r="251" spans="1:15">
      <c r="A251">
        <v>250</v>
      </c>
      <c r="B251">
        <v>535</v>
      </c>
      <c r="C251">
        <v>0</v>
      </c>
      <c r="D251">
        <v>14</v>
      </c>
      <c r="E251">
        <v>1</v>
      </c>
      <c r="G251" t="e">
        <f t="shared" si="12"/>
        <v>#NUM!</v>
      </c>
      <c r="H251">
        <f t="shared" si="13"/>
        <v>-1.6058422125166782</v>
      </c>
      <c r="I251">
        <f t="shared" si="14"/>
        <v>-2.263690616309463</v>
      </c>
      <c r="J251" s="2" t="s">
        <v>8</v>
      </c>
      <c r="K251" t="e">
        <f t="shared" si="15"/>
        <v>#NUM!</v>
      </c>
      <c r="L251" s="5" t="s">
        <v>259</v>
      </c>
      <c r="N251">
        <v>250</v>
      </c>
      <c r="O251">
        <v>-3</v>
      </c>
    </row>
    <row r="252" spans="1:15">
      <c r="A252">
        <v>251</v>
      </c>
      <c r="B252">
        <v>1800</v>
      </c>
      <c r="C252">
        <v>2</v>
      </c>
      <c r="D252">
        <v>2</v>
      </c>
      <c r="E252">
        <v>1</v>
      </c>
      <c r="G252">
        <f t="shared" si="12"/>
        <v>-2.8544710406204068</v>
      </c>
      <c r="H252">
        <f t="shared" si="13"/>
        <v>-2.9778589756130125</v>
      </c>
      <c r="I252">
        <f t="shared" si="14"/>
        <v>-2.7906093393915405</v>
      </c>
      <c r="J252" s="2" t="s">
        <v>8</v>
      </c>
      <c r="K252">
        <f t="shared" si="15"/>
        <v>-2.8743131185416533</v>
      </c>
      <c r="L252" s="5" t="s">
        <v>260</v>
      </c>
      <c r="N252">
        <v>251</v>
      </c>
      <c r="O252">
        <v>-2.8743131185416533</v>
      </c>
    </row>
    <row r="253" spans="1:15">
      <c r="A253">
        <v>252</v>
      </c>
      <c r="B253">
        <v>4677</v>
      </c>
      <c r="C253">
        <v>324</v>
      </c>
      <c r="D253">
        <v>132</v>
      </c>
      <c r="E253">
        <v>340</v>
      </c>
      <c r="G253">
        <f t="shared" si="12"/>
        <v>-1.0596508908829738</v>
      </c>
      <c r="H253">
        <f t="shared" si="13"/>
        <v>-1.5730099048763422</v>
      </c>
      <c r="I253">
        <f t="shared" si="14"/>
        <v>-0.67382528715448375</v>
      </c>
      <c r="J253" s="2" t="s">
        <v>8</v>
      </c>
      <c r="K253">
        <f t="shared" si="15"/>
        <v>-1.1021620276379331</v>
      </c>
      <c r="L253" s="5" t="s">
        <v>261</v>
      </c>
      <c r="N253">
        <v>252</v>
      </c>
      <c r="O253">
        <v>-1.1021620276379331</v>
      </c>
    </row>
    <row r="254" spans="1:15">
      <c r="A254">
        <v>253</v>
      </c>
      <c r="B254">
        <v>68</v>
      </c>
      <c r="C254">
        <v>0</v>
      </c>
      <c r="D254">
        <v>0</v>
      </c>
      <c r="E254">
        <v>0</v>
      </c>
      <c r="G254" t="e">
        <f t="shared" si="12"/>
        <v>#NUM!</v>
      </c>
      <c r="H254" t="e">
        <f t="shared" si="13"/>
        <v>#NUM!</v>
      </c>
      <c r="I254" t="e">
        <f t="shared" si="14"/>
        <v>#NUM!</v>
      </c>
      <c r="J254" s="3" t="s">
        <v>9</v>
      </c>
      <c r="K254" t="e">
        <f t="shared" si="15"/>
        <v>#NUM!</v>
      </c>
      <c r="L254" s="5" t="s">
        <v>262</v>
      </c>
      <c r="N254">
        <v>253</v>
      </c>
      <c r="O254">
        <v>-3</v>
      </c>
    </row>
    <row r="255" spans="1:15">
      <c r="A255">
        <v>254</v>
      </c>
      <c r="B255">
        <v>132</v>
      </c>
      <c r="C255">
        <v>0</v>
      </c>
      <c r="D255">
        <v>0</v>
      </c>
      <c r="E255">
        <v>0</v>
      </c>
      <c r="G255" t="e">
        <f t="shared" si="12"/>
        <v>#NUM!</v>
      </c>
      <c r="H255" t="e">
        <f t="shared" si="13"/>
        <v>#NUM!</v>
      </c>
      <c r="I255" t="e">
        <f t="shared" si="14"/>
        <v>#NUM!</v>
      </c>
      <c r="J255" s="3" t="s">
        <v>9</v>
      </c>
      <c r="K255" t="e">
        <f t="shared" si="15"/>
        <v>#NUM!</v>
      </c>
      <c r="L255" s="5" t="s">
        <v>263</v>
      </c>
      <c r="N255">
        <v>254</v>
      </c>
      <c r="O255">
        <v>-3</v>
      </c>
    </row>
    <row r="256" spans="1:15">
      <c r="A256">
        <v>255</v>
      </c>
      <c r="B256">
        <v>101</v>
      </c>
      <c r="C256">
        <v>5</v>
      </c>
      <c r="D256">
        <v>91</v>
      </c>
      <c r="E256">
        <v>17</v>
      </c>
      <c r="G256">
        <f t="shared" si="12"/>
        <v>-1.2055799006277055</v>
      </c>
      <c r="H256">
        <f t="shared" si="13"/>
        <v>-6.8896447635236863E-2</v>
      </c>
      <c r="I256">
        <f t="shared" si="14"/>
        <v>-0.30920928669260328</v>
      </c>
      <c r="J256" s="3" t="s">
        <v>9</v>
      </c>
      <c r="K256">
        <f t="shared" si="15"/>
        <v>-0.52789521165184861</v>
      </c>
      <c r="L256" s="5" t="s">
        <v>264</v>
      </c>
      <c r="N256">
        <v>255</v>
      </c>
      <c r="O256">
        <v>-0.52789521165184861</v>
      </c>
    </row>
    <row r="257" spans="1:15">
      <c r="A257">
        <v>256</v>
      </c>
      <c r="B257">
        <v>218</v>
      </c>
      <c r="C257">
        <v>5</v>
      </c>
      <c r="D257">
        <v>1</v>
      </c>
      <c r="E257">
        <v>0</v>
      </c>
      <c r="G257">
        <f t="shared" si="12"/>
        <v>-1.5397150204496679</v>
      </c>
      <c r="H257">
        <f t="shared" si="13"/>
        <v>-2.3620729597782923</v>
      </c>
      <c r="I257" t="e">
        <f t="shared" si="14"/>
        <v>#NUM!</v>
      </c>
      <c r="J257" s="3" t="s">
        <v>9</v>
      </c>
      <c r="K257" t="e">
        <f t="shared" si="15"/>
        <v>#NUM!</v>
      </c>
      <c r="L257" s="5" t="s">
        <v>265</v>
      </c>
      <c r="N257">
        <v>256</v>
      </c>
      <c r="O257">
        <v>-3</v>
      </c>
    </row>
    <row r="258" spans="1:15">
      <c r="A258">
        <v>257</v>
      </c>
      <c r="B258">
        <v>371</v>
      </c>
      <c r="C258">
        <v>0</v>
      </c>
      <c r="D258">
        <v>1</v>
      </c>
      <c r="E258">
        <v>1</v>
      </c>
      <c r="G258" t="e">
        <f t="shared" ref="G258:G321" si="16">LOG10(C258/B258)-LOG10(3086/3883)</f>
        <v>#NUM!</v>
      </c>
      <c r="H258">
        <f t="shared" ref="H258:H321" si="17">LOG10(D258/B258)-LOG10(4100/3883)</f>
        <v>-2.5929903757887334</v>
      </c>
      <c r="I258">
        <f t="shared" ref="I258:I321" si="18">LOG10(E258/B258)-LOG10(1332/3883)</f>
        <v>-2.1047107439032802</v>
      </c>
      <c r="J258" s="3" t="s">
        <v>9</v>
      </c>
      <c r="K258" t="e">
        <f t="shared" ref="K258:K321" si="19">AVERAGE(G258:I258)</f>
        <v>#NUM!</v>
      </c>
      <c r="L258" s="5" t="s">
        <v>266</v>
      </c>
      <c r="N258">
        <v>257</v>
      </c>
      <c r="O258">
        <v>-3</v>
      </c>
    </row>
    <row r="259" spans="1:15">
      <c r="A259">
        <v>258</v>
      </c>
      <c r="B259">
        <v>232</v>
      </c>
      <c r="C259">
        <v>351</v>
      </c>
      <c r="D259">
        <v>68</v>
      </c>
      <c r="E259">
        <v>159</v>
      </c>
      <c r="G259">
        <f t="shared" si="16"/>
        <v>0.27959060039384254</v>
      </c>
      <c r="H259">
        <f t="shared" si="17"/>
        <v>-0.55659553835835129</v>
      </c>
      <c r="I259">
        <f t="shared" si="18"/>
        <v>0.30057230514131716</v>
      </c>
      <c r="J259" s="3" t="s">
        <v>9</v>
      </c>
      <c r="K259">
        <f t="shared" si="19"/>
        <v>7.8557890589361357E-3</v>
      </c>
      <c r="L259" s="5" t="s">
        <v>267</v>
      </c>
      <c r="N259">
        <v>258</v>
      </c>
      <c r="O259">
        <v>7.8557890589361357E-3</v>
      </c>
    </row>
    <row r="260" spans="1:15">
      <c r="A260">
        <v>259</v>
      </c>
      <c r="B260">
        <v>270</v>
      </c>
      <c r="C260">
        <v>1</v>
      </c>
      <c r="D260">
        <v>1</v>
      </c>
      <c r="E260">
        <v>2</v>
      </c>
      <c r="G260">
        <f t="shared" si="16"/>
        <v>-2.3315922953400694</v>
      </c>
      <c r="H260">
        <f t="shared" si="17"/>
        <v>-2.4549802303326751</v>
      </c>
      <c r="I260">
        <f t="shared" si="18"/>
        <v>-1.6656706027832406</v>
      </c>
      <c r="J260" s="3" t="s">
        <v>9</v>
      </c>
      <c r="K260">
        <f t="shared" si="19"/>
        <v>-2.1507477094853282</v>
      </c>
      <c r="L260" s="5" t="s">
        <v>268</v>
      </c>
      <c r="N260">
        <v>259</v>
      </c>
      <c r="O260">
        <v>-2.1507477094853282</v>
      </c>
    </row>
    <row r="261" spans="1:15">
      <c r="A261">
        <v>260</v>
      </c>
      <c r="B261">
        <v>216</v>
      </c>
      <c r="C261">
        <v>0</v>
      </c>
      <c r="D261">
        <v>0</v>
      </c>
      <c r="E261">
        <v>1</v>
      </c>
      <c r="G261" t="e">
        <f t="shared" si="16"/>
        <v>#NUM!</v>
      </c>
      <c r="H261" t="e">
        <f t="shared" si="17"/>
        <v>#NUM!</v>
      </c>
      <c r="I261">
        <f t="shared" si="18"/>
        <v>-1.8697905854391657</v>
      </c>
      <c r="J261" s="3" t="s">
        <v>9</v>
      </c>
      <c r="K261" t="e">
        <f t="shared" si="19"/>
        <v>#NUM!</v>
      </c>
      <c r="L261" s="5" t="s">
        <v>269</v>
      </c>
      <c r="N261">
        <v>260</v>
      </c>
      <c r="O261">
        <v>-3</v>
      </c>
    </row>
    <row r="262" spans="1:15">
      <c r="A262">
        <v>261</v>
      </c>
      <c r="B262">
        <v>226</v>
      </c>
      <c r="C262">
        <v>78</v>
      </c>
      <c r="D262">
        <v>0</v>
      </c>
      <c r="E262">
        <v>120</v>
      </c>
      <c r="G262">
        <f t="shared" si="16"/>
        <v>-0.36224236763800238</v>
      </c>
      <c r="H262" t="e">
        <f t="shared" si="17"/>
        <v>#NUM!</v>
      </c>
      <c r="I262">
        <f t="shared" si="18"/>
        <v>0.18973597261198932</v>
      </c>
      <c r="J262" s="3" t="s">
        <v>9</v>
      </c>
      <c r="K262" t="e">
        <f t="shared" si="19"/>
        <v>#NUM!</v>
      </c>
      <c r="L262" s="5" t="s">
        <v>270</v>
      </c>
      <c r="N262">
        <v>261</v>
      </c>
      <c r="O262">
        <v>-3</v>
      </c>
    </row>
    <row r="263" spans="1:15">
      <c r="A263">
        <v>262</v>
      </c>
      <c r="B263">
        <v>650</v>
      </c>
      <c r="C263">
        <v>17</v>
      </c>
      <c r="D263">
        <v>5</v>
      </c>
      <c r="E263">
        <v>6</v>
      </c>
      <c r="G263">
        <f t="shared" si="16"/>
        <v>-1.4826929664456634</v>
      </c>
      <c r="H263">
        <f t="shared" si="17"/>
        <v>-2.1375598184805247</v>
      </c>
      <c r="I263">
        <f t="shared" si="18"/>
        <v>-1.5700989405474464</v>
      </c>
      <c r="J263" s="3" t="s">
        <v>9</v>
      </c>
      <c r="K263">
        <f t="shared" si="19"/>
        <v>-1.730117241824545</v>
      </c>
      <c r="L263" s="5" t="s">
        <v>271</v>
      </c>
      <c r="N263">
        <v>262</v>
      </c>
      <c r="O263">
        <v>-1.730117241824545</v>
      </c>
    </row>
    <row r="264" spans="1:15">
      <c r="A264">
        <v>263</v>
      </c>
      <c r="B264">
        <v>437</v>
      </c>
      <c r="C264">
        <v>0</v>
      </c>
      <c r="D264">
        <v>1</v>
      </c>
      <c r="E264">
        <v>2</v>
      </c>
      <c r="G264" t="e">
        <f t="shared" si="16"/>
        <v>#NUM!</v>
      </c>
      <c r="H264">
        <f t="shared" si="17"/>
        <v>-2.6640979031441097</v>
      </c>
      <c r="I264">
        <f t="shared" si="18"/>
        <v>-1.8747882755946752</v>
      </c>
      <c r="J264" s="3" t="s">
        <v>9</v>
      </c>
      <c r="K264" t="e">
        <f t="shared" si="19"/>
        <v>#NUM!</v>
      </c>
      <c r="L264" s="5" t="s">
        <v>272</v>
      </c>
      <c r="N264">
        <v>263</v>
      </c>
      <c r="O264">
        <v>-3</v>
      </c>
    </row>
    <row r="265" spans="1:15">
      <c r="A265">
        <v>264</v>
      </c>
      <c r="B265">
        <v>298</v>
      </c>
      <c r="C265">
        <v>0</v>
      </c>
      <c r="D265">
        <v>2</v>
      </c>
      <c r="E265">
        <v>1</v>
      </c>
      <c r="G265" t="e">
        <f t="shared" si="16"/>
        <v>#NUM!</v>
      </c>
      <c r="H265">
        <f t="shared" si="17"/>
        <v>-2.1968027345859618</v>
      </c>
      <c r="I265">
        <f t="shared" si="18"/>
        <v>-2.0095530983644898</v>
      </c>
      <c r="J265" s="3" t="s">
        <v>9</v>
      </c>
      <c r="K265" t="e">
        <f t="shared" si="19"/>
        <v>#NUM!</v>
      </c>
      <c r="L265" s="5" t="s">
        <v>273</v>
      </c>
      <c r="N265">
        <v>264</v>
      </c>
      <c r="O265">
        <v>-3</v>
      </c>
    </row>
    <row r="266" spans="1:15">
      <c r="A266">
        <v>265</v>
      </c>
      <c r="B266">
        <v>815</v>
      </c>
      <c r="C266">
        <v>57</v>
      </c>
      <c r="D266">
        <v>10</v>
      </c>
      <c r="E266">
        <v>5</v>
      </c>
      <c r="G266">
        <f t="shared" si="16"/>
        <v>-1.055511284248567</v>
      </c>
      <c r="H266">
        <f t="shared" si="17"/>
        <v>-1.9347740749136646</v>
      </c>
      <c r="I266">
        <f t="shared" si="18"/>
        <v>-1.7475244386921922</v>
      </c>
      <c r="J266" s="3" t="s">
        <v>9</v>
      </c>
      <c r="K266">
        <f t="shared" si="19"/>
        <v>-1.5792699326181412</v>
      </c>
      <c r="L266" s="5" t="s">
        <v>274</v>
      </c>
      <c r="N266">
        <v>265</v>
      </c>
      <c r="O266">
        <v>-1.5792699326181412</v>
      </c>
    </row>
    <row r="267" spans="1:15">
      <c r="A267">
        <v>266</v>
      </c>
      <c r="B267">
        <v>426</v>
      </c>
      <c r="C267">
        <v>83</v>
      </c>
      <c r="D267">
        <v>7</v>
      </c>
      <c r="E267">
        <v>6</v>
      </c>
      <c r="G267">
        <f t="shared" si="16"/>
        <v>-0.61056003790772695</v>
      </c>
      <c r="H267">
        <f t="shared" si="17"/>
        <v>-1.8079280252621499</v>
      </c>
      <c r="I267">
        <f t="shared" si="18"/>
        <v>-1.38659518300731</v>
      </c>
      <c r="J267" s="3" t="s">
        <v>9</v>
      </c>
      <c r="K267">
        <f t="shared" si="19"/>
        <v>-1.2683610820590623</v>
      </c>
      <c r="L267" s="5" t="s">
        <v>275</v>
      </c>
      <c r="N267">
        <v>266</v>
      </c>
      <c r="O267">
        <v>-1.2683610820590623</v>
      </c>
    </row>
    <row r="268" spans="1:15">
      <c r="A268">
        <v>267</v>
      </c>
      <c r="B268">
        <v>644</v>
      </c>
      <c r="C268">
        <v>29</v>
      </c>
      <c r="D268">
        <v>1</v>
      </c>
      <c r="E268">
        <v>0</v>
      </c>
      <c r="G268">
        <f t="shared" si="16"/>
        <v>-1.2467164006419378</v>
      </c>
      <c r="H268">
        <f t="shared" si="17"/>
        <v>-2.8325023335334998</v>
      </c>
      <c r="I268" t="e">
        <f t="shared" si="18"/>
        <v>#NUM!</v>
      </c>
      <c r="J268" s="3" t="s">
        <v>9</v>
      </c>
      <c r="K268" t="e">
        <f t="shared" si="19"/>
        <v>#NUM!</v>
      </c>
      <c r="L268" s="5" t="s">
        <v>276</v>
      </c>
      <c r="N268">
        <v>267</v>
      </c>
      <c r="O268">
        <v>-3</v>
      </c>
    </row>
    <row r="269" spans="1:15">
      <c r="A269">
        <v>268</v>
      </c>
      <c r="B269">
        <v>488</v>
      </c>
      <c r="C269">
        <v>0</v>
      </c>
      <c r="D269">
        <v>0</v>
      </c>
      <c r="E269">
        <v>0</v>
      </c>
      <c r="G269" t="e">
        <f t="shared" si="16"/>
        <v>#NUM!</v>
      </c>
      <c r="H269" t="e">
        <f t="shared" si="17"/>
        <v>#NUM!</v>
      </c>
      <c r="I269" t="e">
        <f t="shared" si="18"/>
        <v>#NUM!</v>
      </c>
      <c r="J269" s="3" t="s">
        <v>9</v>
      </c>
      <c r="K269" t="e">
        <f t="shared" si="19"/>
        <v>#NUM!</v>
      </c>
      <c r="L269" s="5" t="s">
        <v>277</v>
      </c>
      <c r="N269">
        <v>268</v>
      </c>
      <c r="O269">
        <v>-3</v>
      </c>
    </row>
    <row r="270" spans="1:15">
      <c r="A270">
        <v>269</v>
      </c>
      <c r="B270">
        <v>1197</v>
      </c>
      <c r="C270">
        <v>172</v>
      </c>
      <c r="D270">
        <v>356</v>
      </c>
      <c r="E270">
        <v>212</v>
      </c>
      <c r="G270">
        <f t="shared" si="16"/>
        <v>-0.74279423467994365</v>
      </c>
      <c r="H270">
        <f t="shared" si="17"/>
        <v>-0.55026061860722342</v>
      </c>
      <c r="I270">
        <f t="shared" si="18"/>
        <v>-0.28709512376589386</v>
      </c>
      <c r="J270" s="3" t="s">
        <v>9</v>
      </c>
      <c r="K270">
        <f t="shared" si="19"/>
        <v>-0.52671665901768694</v>
      </c>
      <c r="L270" s="5" t="s">
        <v>278</v>
      </c>
      <c r="N270">
        <v>269</v>
      </c>
      <c r="O270">
        <v>-0.52671665901768694</v>
      </c>
    </row>
    <row r="271" spans="1:15">
      <c r="A271">
        <v>270</v>
      </c>
      <c r="B271">
        <v>823</v>
      </c>
      <c r="C271">
        <v>3083</v>
      </c>
      <c r="D271">
        <v>2656</v>
      </c>
      <c r="E271">
        <v>1328</v>
      </c>
      <c r="G271">
        <f t="shared" si="16"/>
        <v>0.67334515833315645</v>
      </c>
      <c r="H271">
        <f t="shared" si="17"/>
        <v>0.48521176931002213</v>
      </c>
      <c r="I271">
        <f t="shared" si="18"/>
        <v>0.67246140553149425</v>
      </c>
      <c r="J271" s="3" t="s">
        <v>9</v>
      </c>
      <c r="K271">
        <f t="shared" si="19"/>
        <v>0.61033944439155763</v>
      </c>
      <c r="L271" s="5" t="s">
        <v>279</v>
      </c>
      <c r="N271">
        <v>270</v>
      </c>
      <c r="O271">
        <v>0.61033944439155763</v>
      </c>
    </row>
    <row r="272" spans="1:15">
      <c r="A272">
        <v>271</v>
      </c>
      <c r="B272">
        <v>584</v>
      </c>
      <c r="C272">
        <v>166</v>
      </c>
      <c r="D272">
        <v>142</v>
      </c>
      <c r="E272">
        <v>363</v>
      </c>
      <c r="G272">
        <f t="shared" si="16"/>
        <v>-0.4465332902534262</v>
      </c>
      <c r="H272">
        <f t="shared" si="17"/>
        <v>-0.637740968903031</v>
      </c>
      <c r="I272">
        <f t="shared" si="18"/>
        <v>0.25815694363547836</v>
      </c>
      <c r="J272" s="2" t="s">
        <v>8</v>
      </c>
      <c r="K272">
        <f t="shared" si="19"/>
        <v>-0.27537243850699294</v>
      </c>
      <c r="L272" s="5" t="s">
        <v>280</v>
      </c>
      <c r="N272">
        <v>271</v>
      </c>
      <c r="O272">
        <v>-0.27537243850699294</v>
      </c>
    </row>
    <row r="273" spans="1:15">
      <c r="A273">
        <v>272</v>
      </c>
      <c r="B273">
        <v>172</v>
      </c>
      <c r="C273">
        <v>1</v>
      </c>
      <c r="D273">
        <v>3</v>
      </c>
      <c r="E273">
        <v>0</v>
      </c>
      <c r="G273">
        <f t="shared" si="16"/>
        <v>-2.1357569780886307</v>
      </c>
      <c r="H273">
        <f t="shared" si="17"/>
        <v>-1.7820236583615745</v>
      </c>
      <c r="I273" t="e">
        <f t="shared" si="18"/>
        <v>#NUM!</v>
      </c>
      <c r="J273" s="3" t="s">
        <v>9</v>
      </c>
      <c r="K273" t="e">
        <f t="shared" si="19"/>
        <v>#NUM!</v>
      </c>
      <c r="L273" s="5" t="s">
        <v>281</v>
      </c>
      <c r="N273">
        <v>272</v>
      </c>
      <c r="O273">
        <v>-3</v>
      </c>
    </row>
    <row r="274" spans="1:15">
      <c r="A274">
        <v>273</v>
      </c>
      <c r="B274">
        <v>328</v>
      </c>
      <c r="C274">
        <v>19</v>
      </c>
      <c r="D274">
        <v>22</v>
      </c>
      <c r="E274">
        <v>5</v>
      </c>
      <c r="G274">
        <f t="shared" si="16"/>
        <v>-1.1373487739399319</v>
      </c>
      <c r="H274">
        <f t="shared" si="17"/>
        <v>-1.1970676290631608</v>
      </c>
      <c r="I274">
        <f t="shared" si="18"/>
        <v>-1.352240673663895</v>
      </c>
      <c r="J274" s="3" t="s">
        <v>9</v>
      </c>
      <c r="K274">
        <f t="shared" si="19"/>
        <v>-1.2288856922223292</v>
      </c>
      <c r="L274" s="5" t="s">
        <v>282</v>
      </c>
      <c r="N274">
        <v>273</v>
      </c>
      <c r="O274">
        <v>-1.2288856922223292</v>
      </c>
    </row>
    <row r="275" spans="1:15">
      <c r="A275">
        <v>274</v>
      </c>
      <c r="B275">
        <v>151</v>
      </c>
      <c r="C275">
        <v>67</v>
      </c>
      <c r="D275">
        <v>0</v>
      </c>
      <c r="E275">
        <v>82</v>
      </c>
      <c r="G275">
        <f t="shared" si="16"/>
        <v>-0.25313067577342491</v>
      </c>
      <c r="H275" t="e">
        <f t="shared" si="17"/>
        <v>#NUM!</v>
      </c>
      <c r="I275">
        <f t="shared" si="18"/>
        <v>0.19950007080231263</v>
      </c>
      <c r="J275" s="3" t="s">
        <v>9</v>
      </c>
      <c r="K275" t="e">
        <f t="shared" si="19"/>
        <v>#NUM!</v>
      </c>
      <c r="L275" s="5" t="s">
        <v>283</v>
      </c>
      <c r="N275">
        <v>274</v>
      </c>
      <c r="O275">
        <v>-3</v>
      </c>
    </row>
    <row r="276" spans="1:15">
      <c r="A276">
        <v>275</v>
      </c>
      <c r="B276">
        <v>979</v>
      </c>
      <c r="C276">
        <v>0</v>
      </c>
      <c r="D276">
        <v>4</v>
      </c>
      <c r="E276">
        <v>1</v>
      </c>
      <c r="G276" t="e">
        <f t="shared" si="16"/>
        <v>#NUM!</v>
      </c>
      <c r="H276">
        <f t="shared" si="17"/>
        <v>-2.4123391666488629</v>
      </c>
      <c r="I276">
        <f t="shared" si="18"/>
        <v>-2.5261195260913722</v>
      </c>
      <c r="J276" s="3" t="s">
        <v>9</v>
      </c>
      <c r="K276" t="e">
        <f t="shared" si="19"/>
        <v>#NUM!</v>
      </c>
      <c r="L276" s="5" t="s">
        <v>284</v>
      </c>
      <c r="N276">
        <v>275</v>
      </c>
      <c r="O276">
        <v>-3</v>
      </c>
    </row>
    <row r="277" spans="1:15">
      <c r="A277">
        <v>276</v>
      </c>
      <c r="B277">
        <v>527</v>
      </c>
      <c r="C277">
        <v>0</v>
      </c>
      <c r="D277">
        <v>0</v>
      </c>
      <c r="E277">
        <v>0</v>
      </c>
      <c r="G277" t="e">
        <f t="shared" si="16"/>
        <v>#NUM!</v>
      </c>
      <c r="H277" t="e">
        <f t="shared" si="17"/>
        <v>#NUM!</v>
      </c>
      <c r="I277" t="e">
        <f t="shared" si="18"/>
        <v>#NUM!</v>
      </c>
      <c r="J277" s="3" t="s">
        <v>9</v>
      </c>
      <c r="K277" t="e">
        <f t="shared" si="19"/>
        <v>#NUM!</v>
      </c>
      <c r="L277" s="5" t="s">
        <v>285</v>
      </c>
      <c r="N277">
        <v>276</v>
      </c>
      <c r="O277">
        <v>-3</v>
      </c>
    </row>
    <row r="278" spans="1:15">
      <c r="A278">
        <v>277</v>
      </c>
      <c r="B278">
        <v>267</v>
      </c>
      <c r="C278">
        <v>5</v>
      </c>
      <c r="D278">
        <v>1</v>
      </c>
      <c r="E278">
        <v>3</v>
      </c>
      <c r="G278">
        <f t="shared" si="16"/>
        <v>-1.6277697882096382</v>
      </c>
      <c r="H278">
        <f t="shared" si="17"/>
        <v>-2.4501277275382631</v>
      </c>
      <c r="I278">
        <f t="shared" si="18"/>
        <v>-1.4847268409331473</v>
      </c>
      <c r="J278" s="3" t="s">
        <v>9</v>
      </c>
      <c r="K278">
        <f t="shared" si="19"/>
        <v>-1.854208118893683</v>
      </c>
      <c r="L278" s="5" t="s">
        <v>286</v>
      </c>
      <c r="N278">
        <v>277</v>
      </c>
      <c r="O278">
        <v>-1.854208118893683</v>
      </c>
    </row>
    <row r="279" spans="1:15">
      <c r="A279">
        <v>278</v>
      </c>
      <c r="B279">
        <v>543</v>
      </c>
      <c r="C279">
        <v>6</v>
      </c>
      <c r="D279">
        <v>27</v>
      </c>
      <c r="E279">
        <v>8</v>
      </c>
      <c r="G279">
        <f t="shared" si="16"/>
        <v>-1.8568771103862851</v>
      </c>
      <c r="H279">
        <f t="shared" si="17"/>
        <v>-1.3270525316035475</v>
      </c>
      <c r="I279">
        <f t="shared" si="18"/>
        <v>-1.3670466768851379</v>
      </c>
      <c r="J279" s="3" t="s">
        <v>9</v>
      </c>
      <c r="K279">
        <f t="shared" si="19"/>
        <v>-1.5169921062916571</v>
      </c>
      <c r="L279" s="5" t="s">
        <v>287</v>
      </c>
      <c r="N279">
        <v>278</v>
      </c>
      <c r="O279">
        <v>-1.5169921062916571</v>
      </c>
    </row>
    <row r="280" spans="1:15">
      <c r="A280">
        <v>279</v>
      </c>
      <c r="B280">
        <v>803</v>
      </c>
      <c r="C280">
        <v>0</v>
      </c>
      <c r="D280">
        <v>42</v>
      </c>
      <c r="E280">
        <v>130</v>
      </c>
      <c r="G280" t="e">
        <f t="shared" si="16"/>
        <v>#NUM!</v>
      </c>
      <c r="H280">
        <f t="shared" si="17"/>
        <v>-1.3050827210544684</v>
      </c>
      <c r="I280">
        <f t="shared" si="18"/>
        <v>-0.32610902726007884</v>
      </c>
      <c r="J280" s="3" t="s">
        <v>9</v>
      </c>
      <c r="K280" t="e">
        <f t="shared" si="19"/>
        <v>#NUM!</v>
      </c>
      <c r="L280" s="5" t="s">
        <v>288</v>
      </c>
      <c r="N280">
        <v>279</v>
      </c>
      <c r="O280">
        <v>-3</v>
      </c>
    </row>
    <row r="281" spans="1:15">
      <c r="A281">
        <v>280</v>
      </c>
      <c r="B281">
        <v>691</v>
      </c>
      <c r="C281">
        <v>56</v>
      </c>
      <c r="D281">
        <v>670</v>
      </c>
      <c r="E281">
        <v>1267</v>
      </c>
      <c r="G281">
        <f t="shared" si="16"/>
        <v>-0.99151855154907986</v>
      </c>
      <c r="H281">
        <f t="shared" si="17"/>
        <v>-3.7019710847059899E-2</v>
      </c>
      <c r="I281">
        <f t="shared" si="18"/>
        <v>0.72796173322100821</v>
      </c>
      <c r="J281" s="3" t="s">
        <v>9</v>
      </c>
      <c r="K281">
        <f t="shared" si="19"/>
        <v>-0.10019217639171048</v>
      </c>
      <c r="L281" s="5" t="s">
        <v>289</v>
      </c>
      <c r="N281">
        <v>280</v>
      </c>
      <c r="O281">
        <v>-0.10019217639171048</v>
      </c>
    </row>
    <row r="282" spans="1:15">
      <c r="A282">
        <v>281</v>
      </c>
      <c r="B282">
        <v>932</v>
      </c>
      <c r="C282">
        <v>0</v>
      </c>
      <c r="D282">
        <v>1</v>
      </c>
      <c r="E282">
        <v>114</v>
      </c>
      <c r="G282" t="e">
        <f t="shared" si="16"/>
        <v>#NUM!</v>
      </c>
      <c r="H282">
        <f t="shared" si="17"/>
        <v>-2.9930323785276691</v>
      </c>
      <c r="I282">
        <f t="shared" si="18"/>
        <v>-0.44784789530574343</v>
      </c>
      <c r="J282" s="3" t="s">
        <v>9</v>
      </c>
      <c r="K282" t="e">
        <f t="shared" si="19"/>
        <v>#NUM!</v>
      </c>
      <c r="L282" s="5" t="s">
        <v>290</v>
      </c>
      <c r="N282">
        <v>281</v>
      </c>
      <c r="O282">
        <v>-3</v>
      </c>
    </row>
    <row r="283" spans="1:15">
      <c r="A283">
        <v>282</v>
      </c>
      <c r="B283">
        <v>699</v>
      </c>
      <c r="C283">
        <v>547</v>
      </c>
      <c r="D283">
        <v>279</v>
      </c>
      <c r="E283">
        <v>89</v>
      </c>
      <c r="G283">
        <f t="shared" si="16"/>
        <v>-6.718380593332518E-3</v>
      </c>
      <c r="H283">
        <f t="shared" si="17"/>
        <v>-0.42248943864577176</v>
      </c>
      <c r="I283">
        <f t="shared" si="18"/>
        <v>-0.43042400338900322</v>
      </c>
      <c r="J283" s="3" t="s">
        <v>9</v>
      </c>
      <c r="K283">
        <f t="shared" si="19"/>
        <v>-0.2865439408760358</v>
      </c>
      <c r="L283" s="5" t="s">
        <v>291</v>
      </c>
      <c r="N283">
        <v>282</v>
      </c>
      <c r="O283">
        <v>-0.2865439408760358</v>
      </c>
    </row>
    <row r="284" spans="1:15">
      <c r="A284">
        <v>283</v>
      </c>
      <c r="B284">
        <v>1319</v>
      </c>
      <c r="C284">
        <v>2</v>
      </c>
      <c r="D284">
        <v>0</v>
      </c>
      <c r="E284">
        <v>4</v>
      </c>
      <c r="G284">
        <f t="shared" si="16"/>
        <v>-2.719443331063466</v>
      </c>
      <c r="H284" t="e">
        <f t="shared" si="17"/>
        <v>#NUM!</v>
      </c>
      <c r="I284">
        <f t="shared" si="18"/>
        <v>-2.0535216385066373</v>
      </c>
      <c r="J284" s="3" t="s">
        <v>9</v>
      </c>
      <c r="K284" t="e">
        <f t="shared" si="19"/>
        <v>#NUM!</v>
      </c>
      <c r="L284" s="5" t="s">
        <v>292</v>
      </c>
      <c r="N284">
        <v>283</v>
      </c>
      <c r="O284">
        <v>-3</v>
      </c>
    </row>
    <row r="285" spans="1:15">
      <c r="A285">
        <v>284</v>
      </c>
      <c r="B285">
        <v>1502</v>
      </c>
      <c r="C285">
        <v>0</v>
      </c>
      <c r="D285">
        <v>0</v>
      </c>
      <c r="E285">
        <v>6</v>
      </c>
      <c r="G285" t="e">
        <f t="shared" si="16"/>
        <v>#NUM!</v>
      </c>
      <c r="H285" t="e">
        <f t="shared" si="17"/>
        <v>#NUM!</v>
      </c>
      <c r="I285">
        <f t="shared" si="18"/>
        <v>-1.9338555165727405</v>
      </c>
      <c r="J285" s="3" t="s">
        <v>9</v>
      </c>
      <c r="K285" t="e">
        <f t="shared" si="19"/>
        <v>#NUM!</v>
      </c>
      <c r="L285" s="5" t="s">
        <v>293</v>
      </c>
      <c r="N285">
        <v>284</v>
      </c>
      <c r="O285">
        <v>-3</v>
      </c>
    </row>
    <row r="286" spans="1:15">
      <c r="A286">
        <v>285</v>
      </c>
      <c r="B286">
        <v>1117</v>
      </c>
      <c r="C286">
        <v>1</v>
      </c>
      <c r="D286">
        <v>0</v>
      </c>
      <c r="E286">
        <v>1</v>
      </c>
      <c r="G286">
        <f t="shared" si="16"/>
        <v>-2.9482817042966909</v>
      </c>
      <c r="H286" t="e">
        <f t="shared" si="17"/>
        <v>#NUM!</v>
      </c>
      <c r="I286">
        <f t="shared" si="18"/>
        <v>-2.5833900074038434</v>
      </c>
      <c r="J286" s="3" t="s">
        <v>9</v>
      </c>
      <c r="K286" t="e">
        <f t="shared" si="19"/>
        <v>#NUM!</v>
      </c>
      <c r="L286" s="5" t="s">
        <v>294</v>
      </c>
      <c r="N286">
        <v>285</v>
      </c>
      <c r="O286">
        <v>-3</v>
      </c>
    </row>
    <row r="287" spans="1:15">
      <c r="A287">
        <v>286</v>
      </c>
      <c r="B287">
        <v>3129</v>
      </c>
      <c r="C287">
        <v>2</v>
      </c>
      <c r="D287">
        <v>3</v>
      </c>
      <c r="E287">
        <v>7</v>
      </c>
      <c r="G287">
        <f t="shared" si="16"/>
        <v>-3.0946040986632943</v>
      </c>
      <c r="H287">
        <f t="shared" si="17"/>
        <v>-3.0419007746002187</v>
      </c>
      <c r="I287">
        <f t="shared" si="18"/>
        <v>-2.1856443574201712</v>
      </c>
      <c r="J287" s="3" t="s">
        <v>9</v>
      </c>
      <c r="K287">
        <f t="shared" si="19"/>
        <v>-2.7740497435612284</v>
      </c>
      <c r="L287" s="5" t="s">
        <v>295</v>
      </c>
      <c r="N287">
        <v>286</v>
      </c>
      <c r="O287">
        <v>-2.7740497435612284</v>
      </c>
    </row>
    <row r="288" spans="1:15">
      <c r="A288">
        <v>287</v>
      </c>
      <c r="B288">
        <v>51</v>
      </c>
      <c r="C288">
        <v>0</v>
      </c>
      <c r="D288">
        <v>1</v>
      </c>
      <c r="E288">
        <v>0</v>
      </c>
      <c r="G288" t="e">
        <f t="shared" si="16"/>
        <v>#NUM!</v>
      </c>
      <c r="H288">
        <f t="shared" si="17"/>
        <v>-1.7311866422716242</v>
      </c>
      <c r="I288" t="e">
        <f t="shared" si="18"/>
        <v>#NUM!</v>
      </c>
      <c r="J288" s="3" t="s">
        <v>9</v>
      </c>
      <c r="K288" t="e">
        <f t="shared" si="19"/>
        <v>#NUM!</v>
      </c>
      <c r="L288" s="5" t="s">
        <v>296</v>
      </c>
      <c r="N288">
        <v>287</v>
      </c>
      <c r="O288">
        <v>-3</v>
      </c>
    </row>
    <row r="289" spans="1:15">
      <c r="A289">
        <v>288</v>
      </c>
      <c r="B289">
        <v>151</v>
      </c>
      <c r="C289">
        <v>2</v>
      </c>
      <c r="D289">
        <v>1</v>
      </c>
      <c r="E289">
        <v>0</v>
      </c>
      <c r="G289">
        <f t="shared" si="16"/>
        <v>-1.77817548281027</v>
      </c>
      <c r="H289">
        <f t="shared" si="17"/>
        <v>-2.202593413466857</v>
      </c>
      <c r="I289" t="e">
        <f t="shared" si="18"/>
        <v>#NUM!</v>
      </c>
      <c r="J289" s="3" t="s">
        <v>9</v>
      </c>
      <c r="K289" t="e">
        <f t="shared" si="19"/>
        <v>#NUM!</v>
      </c>
      <c r="L289" s="5" t="s">
        <v>297</v>
      </c>
      <c r="N289">
        <v>288</v>
      </c>
      <c r="O289">
        <v>-3</v>
      </c>
    </row>
    <row r="290" spans="1:15">
      <c r="A290">
        <v>289</v>
      </c>
      <c r="B290">
        <v>530</v>
      </c>
      <c r="C290">
        <v>694</v>
      </c>
      <c r="D290">
        <v>172</v>
      </c>
      <c r="E290">
        <v>171</v>
      </c>
      <c r="G290">
        <f t="shared" si="16"/>
        <v>0.21685506967298396</v>
      </c>
      <c r="H290">
        <f t="shared" si="17"/>
        <v>-0.51236388886692807</v>
      </c>
      <c r="I290">
        <f t="shared" si="18"/>
        <v>-2.66165934968699E-2</v>
      </c>
      <c r="J290" s="3" t="s">
        <v>9</v>
      </c>
      <c r="K290">
        <f t="shared" si="19"/>
        <v>-0.10737513756360467</v>
      </c>
      <c r="L290" s="5" t="s">
        <v>298</v>
      </c>
      <c r="N290">
        <v>289</v>
      </c>
      <c r="O290">
        <v>-0.10737513756360467</v>
      </c>
    </row>
    <row r="291" spans="1:15">
      <c r="A291">
        <v>290</v>
      </c>
      <c r="B291">
        <v>264</v>
      </c>
      <c r="C291">
        <v>49</v>
      </c>
      <c r="D291">
        <v>42</v>
      </c>
      <c r="E291">
        <v>24</v>
      </c>
      <c r="G291">
        <f t="shared" si="16"/>
        <v>-0.63163637802239925</v>
      </c>
      <c r="H291">
        <f t="shared" si="17"/>
        <v>-0.82197110264561857</v>
      </c>
      <c r="I291">
        <f t="shared" si="18"/>
        <v>-0.57672951944645956</v>
      </c>
      <c r="J291" s="3" t="s">
        <v>9</v>
      </c>
      <c r="K291">
        <f t="shared" si="19"/>
        <v>-0.67677900003815905</v>
      </c>
      <c r="L291" s="5" t="s">
        <v>299</v>
      </c>
      <c r="N291">
        <v>290</v>
      </c>
      <c r="O291">
        <v>-0.67677900003815905</v>
      </c>
    </row>
    <row r="292" spans="1:15">
      <c r="A292">
        <v>291</v>
      </c>
      <c r="B292">
        <v>134</v>
      </c>
      <c r="C292">
        <v>69</v>
      </c>
      <c r="D292">
        <v>0</v>
      </c>
      <c r="E292">
        <v>2</v>
      </c>
      <c r="G292">
        <f t="shared" si="16"/>
        <v>-0.18848423880863413</v>
      </c>
      <c r="H292" t="e">
        <f t="shared" si="17"/>
        <v>#NUM!</v>
      </c>
      <c r="I292">
        <f t="shared" si="18"/>
        <v>-1.361411636989061</v>
      </c>
      <c r="J292" s="3" t="s">
        <v>9</v>
      </c>
      <c r="K292" t="e">
        <f t="shared" si="19"/>
        <v>#NUM!</v>
      </c>
      <c r="L292" s="5" t="s">
        <v>300</v>
      </c>
      <c r="N292">
        <v>291</v>
      </c>
      <c r="O292">
        <v>-3</v>
      </c>
    </row>
    <row r="293" spans="1:15">
      <c r="A293">
        <v>292</v>
      </c>
      <c r="B293">
        <v>114</v>
      </c>
      <c r="C293">
        <v>25</v>
      </c>
      <c r="D293">
        <v>1</v>
      </c>
      <c r="E293">
        <v>1</v>
      </c>
      <c r="G293">
        <f t="shared" si="16"/>
        <v>-0.55919337384551682</v>
      </c>
      <c r="H293">
        <f t="shared" si="17"/>
        <v>-2.0805213175101605</v>
      </c>
      <c r="I293">
        <f t="shared" si="18"/>
        <v>-1.5922416856247072</v>
      </c>
      <c r="J293" s="3" t="s">
        <v>9</v>
      </c>
      <c r="K293">
        <f t="shared" si="19"/>
        <v>-1.4106521256601283</v>
      </c>
      <c r="L293" s="5" t="s">
        <v>301</v>
      </c>
      <c r="N293">
        <v>292</v>
      </c>
      <c r="O293">
        <v>-1.4106521256601283</v>
      </c>
    </row>
    <row r="294" spans="1:15">
      <c r="A294">
        <v>293</v>
      </c>
      <c r="B294">
        <v>381</v>
      </c>
      <c r="C294">
        <v>5</v>
      </c>
      <c r="D294">
        <v>1</v>
      </c>
      <c r="E294">
        <v>1</v>
      </c>
      <c r="G294">
        <f t="shared" si="16"/>
        <v>-1.7821835025206823</v>
      </c>
      <c r="H294">
        <f t="shared" si="17"/>
        <v>-2.6045414418493071</v>
      </c>
      <c r="I294">
        <f t="shared" si="18"/>
        <v>-2.1162618099638539</v>
      </c>
      <c r="J294" s="3" t="s">
        <v>9</v>
      </c>
      <c r="K294">
        <f t="shared" si="19"/>
        <v>-2.1676622514446144</v>
      </c>
      <c r="L294" s="5" t="s">
        <v>302</v>
      </c>
      <c r="N294">
        <v>293</v>
      </c>
      <c r="O294">
        <v>-2.1676622514446144</v>
      </c>
    </row>
    <row r="295" spans="1:15">
      <c r="A295">
        <v>294</v>
      </c>
      <c r="B295">
        <v>203</v>
      </c>
      <c r="C295">
        <v>42</v>
      </c>
      <c r="D295">
        <v>84</v>
      </c>
      <c r="E295">
        <v>22</v>
      </c>
      <c r="G295">
        <f t="shared" si="16"/>
        <v>-0.58447527869639426</v>
      </c>
      <c r="H295">
        <f t="shared" si="17"/>
        <v>-0.40683321802501915</v>
      </c>
      <c r="I295">
        <f t="shared" si="18"/>
        <v>-0.50041019137924125</v>
      </c>
      <c r="J295" s="3" t="s">
        <v>9</v>
      </c>
      <c r="K295">
        <f t="shared" si="19"/>
        <v>-0.49723956270021824</v>
      </c>
      <c r="L295" s="5" t="s">
        <v>303</v>
      </c>
      <c r="N295">
        <v>294</v>
      </c>
      <c r="O295">
        <v>-0.49723956270021824</v>
      </c>
    </row>
    <row r="296" spans="1:15">
      <c r="A296">
        <v>295</v>
      </c>
      <c r="B296">
        <v>213</v>
      </c>
      <c r="C296">
        <v>140</v>
      </c>
      <c r="D296">
        <v>74</v>
      </c>
      <c r="E296">
        <v>50</v>
      </c>
      <c r="G296">
        <f t="shared" si="16"/>
        <v>-8.2480098941581537E-2</v>
      </c>
      <c r="H296">
        <f t="shared" si="17"/>
        <v>-0.48276434988144939</v>
      </c>
      <c r="I296">
        <f t="shared" si="18"/>
        <v>-0.16474643339095352</v>
      </c>
      <c r="J296" s="3" t="s">
        <v>9</v>
      </c>
      <c r="K296">
        <f t="shared" si="19"/>
        <v>-0.24333029407132814</v>
      </c>
      <c r="L296" s="5" t="s">
        <v>304</v>
      </c>
      <c r="N296">
        <v>295</v>
      </c>
      <c r="O296">
        <v>-0.24333029407132814</v>
      </c>
    </row>
    <row r="297" spans="1:15">
      <c r="A297">
        <v>296</v>
      </c>
      <c r="B297">
        <v>255</v>
      </c>
      <c r="C297">
        <v>0</v>
      </c>
      <c r="D297">
        <v>0</v>
      </c>
      <c r="E297">
        <v>0</v>
      </c>
      <c r="G297" t="e">
        <f t="shared" si="16"/>
        <v>#NUM!</v>
      </c>
      <c r="H297" t="e">
        <f t="shared" si="17"/>
        <v>#NUM!</v>
      </c>
      <c r="I297" t="e">
        <f t="shared" si="18"/>
        <v>#NUM!</v>
      </c>
      <c r="J297" s="3" t="s">
        <v>9</v>
      </c>
      <c r="K297" t="e">
        <f t="shared" si="19"/>
        <v>#NUM!</v>
      </c>
      <c r="L297" s="5" t="s">
        <v>305</v>
      </c>
      <c r="N297">
        <v>296</v>
      </c>
      <c r="O297">
        <v>-3</v>
      </c>
    </row>
    <row r="298" spans="1:15">
      <c r="A298">
        <v>297</v>
      </c>
      <c r="B298">
        <v>823</v>
      </c>
      <c r="C298">
        <v>1</v>
      </c>
      <c r="D298">
        <v>195</v>
      </c>
      <c r="E298">
        <v>4</v>
      </c>
      <c r="G298">
        <f t="shared" si="16"/>
        <v>-2.8156283663933519</v>
      </c>
      <c r="H298">
        <f t="shared" si="17"/>
        <v>-0.64898169002343975</v>
      </c>
      <c r="I298">
        <f t="shared" si="18"/>
        <v>-1.8486766781725419</v>
      </c>
      <c r="J298" s="3" t="s">
        <v>9</v>
      </c>
      <c r="K298">
        <f t="shared" si="19"/>
        <v>-1.7710955781964444</v>
      </c>
      <c r="L298" s="5" t="s">
        <v>306</v>
      </c>
      <c r="N298">
        <v>297</v>
      </c>
      <c r="O298">
        <v>-1.7710955781964444</v>
      </c>
    </row>
    <row r="299" spans="1:15">
      <c r="A299">
        <v>298</v>
      </c>
      <c r="B299">
        <v>666</v>
      </c>
      <c r="C299">
        <v>127</v>
      </c>
      <c r="D299">
        <v>7721</v>
      </c>
      <c r="E299">
        <v>201</v>
      </c>
      <c r="G299">
        <f t="shared" si="16"/>
        <v>-0.61989903939542601</v>
      </c>
      <c r="H299">
        <f t="shared" si="17"/>
        <v>1.0405828571104585</v>
      </c>
      <c r="I299">
        <f t="shared" si="18"/>
        <v>-5.561500603804681E-2</v>
      </c>
      <c r="J299" s="3" t="s">
        <v>9</v>
      </c>
      <c r="K299">
        <f t="shared" si="19"/>
        <v>0.12168960389232857</v>
      </c>
      <c r="L299" s="5" t="s">
        <v>307</v>
      </c>
      <c r="N299">
        <v>298</v>
      </c>
      <c r="O299">
        <v>0.12168960389232857</v>
      </c>
    </row>
    <row r="300" spans="1:15">
      <c r="A300">
        <v>299</v>
      </c>
      <c r="B300">
        <v>187</v>
      </c>
      <c r="C300">
        <v>5</v>
      </c>
      <c r="D300">
        <v>3</v>
      </c>
      <c r="E300">
        <v>3</v>
      </c>
      <c r="G300">
        <f t="shared" si="16"/>
        <v>-1.4731001333815621</v>
      </c>
      <c r="H300">
        <f t="shared" si="17"/>
        <v>-1.8183368179905244</v>
      </c>
      <c r="I300">
        <f t="shared" si="18"/>
        <v>-1.330057186105071</v>
      </c>
      <c r="J300" s="3" t="s">
        <v>9</v>
      </c>
      <c r="K300">
        <f t="shared" si="19"/>
        <v>-1.5404980458257189</v>
      </c>
      <c r="L300" s="5" t="s">
        <v>308</v>
      </c>
      <c r="N300">
        <v>299</v>
      </c>
      <c r="O300">
        <v>-1.5404980458257189</v>
      </c>
    </row>
    <row r="301" spans="1:15">
      <c r="A301">
        <v>300</v>
      </c>
      <c r="B301">
        <v>394</v>
      </c>
      <c r="C301">
        <v>0</v>
      </c>
      <c r="D301">
        <v>0</v>
      </c>
      <c r="E301">
        <v>0</v>
      </c>
      <c r="G301" t="e">
        <f t="shared" si="16"/>
        <v>#NUM!</v>
      </c>
      <c r="H301" t="e">
        <f t="shared" si="17"/>
        <v>#NUM!</v>
      </c>
      <c r="I301" t="e">
        <f t="shared" si="18"/>
        <v>#NUM!</v>
      </c>
      <c r="J301" s="3" t="s">
        <v>9</v>
      </c>
      <c r="K301" t="e">
        <f t="shared" si="19"/>
        <v>#NUM!</v>
      </c>
      <c r="L301" s="5" t="s">
        <v>309</v>
      </c>
      <c r="N301">
        <v>300</v>
      </c>
      <c r="O301">
        <v>-3</v>
      </c>
    </row>
    <row r="302" spans="1:15">
      <c r="A302">
        <v>301</v>
      </c>
      <c r="B302">
        <v>218</v>
      </c>
      <c r="C302">
        <v>110</v>
      </c>
      <c r="D302">
        <v>15</v>
      </c>
      <c r="E302">
        <v>11</v>
      </c>
      <c r="G302">
        <f t="shared" si="16"/>
        <v>-0.19729233962746168</v>
      </c>
      <c r="H302">
        <f t="shared" si="17"/>
        <v>-1.1859817007226114</v>
      </c>
      <c r="I302">
        <f t="shared" si="18"/>
        <v>-0.83240064273461434</v>
      </c>
      <c r="J302" s="3" t="s">
        <v>9</v>
      </c>
      <c r="K302">
        <f t="shared" si="19"/>
        <v>-0.73855822769489576</v>
      </c>
      <c r="L302" s="5" t="s">
        <v>310</v>
      </c>
      <c r="N302">
        <v>301</v>
      </c>
      <c r="O302">
        <v>-0.73855822769489576</v>
      </c>
    </row>
    <row r="303" spans="1:15">
      <c r="A303">
        <v>302</v>
      </c>
      <c r="B303">
        <v>444</v>
      </c>
      <c r="C303">
        <v>361</v>
      </c>
      <c r="D303">
        <v>14</v>
      </c>
      <c r="E303">
        <v>7</v>
      </c>
      <c r="G303">
        <f t="shared" si="16"/>
        <v>9.8957006099562456E-3</v>
      </c>
      <c r="H303">
        <f t="shared" si="17"/>
        <v>-1.5248714006100699</v>
      </c>
      <c r="I303">
        <f t="shared" si="18"/>
        <v>-1.3376217643885977</v>
      </c>
      <c r="J303" s="3" t="s">
        <v>9</v>
      </c>
      <c r="K303">
        <f t="shared" si="19"/>
        <v>-0.95086582146290377</v>
      </c>
      <c r="L303" s="5" t="s">
        <v>311</v>
      </c>
      <c r="N303">
        <v>302</v>
      </c>
      <c r="O303">
        <v>-0.95086582146290377</v>
      </c>
    </row>
    <row r="304" spans="1:15">
      <c r="A304">
        <v>303</v>
      </c>
      <c r="B304">
        <v>457</v>
      </c>
      <c r="C304">
        <v>6182</v>
      </c>
      <c r="D304">
        <v>621</v>
      </c>
      <c r="E304">
        <v>210</v>
      </c>
      <c r="G304">
        <f t="shared" si="16"/>
        <v>1.2309842694763542</v>
      </c>
      <c r="H304">
        <f t="shared" si="17"/>
        <v>0.10955893393304203</v>
      </c>
      <c r="I304">
        <f t="shared" si="18"/>
        <v>0.12696626037583442</v>
      </c>
      <c r="J304" s="3" t="s">
        <v>9</v>
      </c>
      <c r="K304">
        <f t="shared" si="19"/>
        <v>0.48916982126174352</v>
      </c>
      <c r="L304" s="5" t="s">
        <v>312</v>
      </c>
      <c r="N304">
        <v>303</v>
      </c>
      <c r="O304">
        <v>0.48916982126174352</v>
      </c>
    </row>
    <row r="305" spans="1:15">
      <c r="A305">
        <v>304</v>
      </c>
      <c r="B305">
        <v>425</v>
      </c>
      <c r="C305">
        <v>4</v>
      </c>
      <c r="D305">
        <v>2</v>
      </c>
      <c r="E305">
        <v>3</v>
      </c>
      <c r="G305">
        <f t="shared" si="16"/>
        <v>-1.9265574699034309</v>
      </c>
      <c r="H305">
        <f t="shared" si="17"/>
        <v>-2.3509754005600181</v>
      </c>
      <c r="I305">
        <f t="shared" si="18"/>
        <v>-1.6866045096188835</v>
      </c>
      <c r="J305" s="3" t="s">
        <v>9</v>
      </c>
      <c r="K305">
        <f t="shared" si="19"/>
        <v>-1.9880457933607776</v>
      </c>
      <c r="L305" s="5" t="s">
        <v>313</v>
      </c>
      <c r="N305">
        <v>304</v>
      </c>
      <c r="O305">
        <v>-1.9880457933607776</v>
      </c>
    </row>
    <row r="306" spans="1:15">
      <c r="A306">
        <v>305</v>
      </c>
      <c r="B306">
        <v>312</v>
      </c>
      <c r="C306">
        <v>1</v>
      </c>
      <c r="D306">
        <v>1</v>
      </c>
      <c r="E306">
        <v>0</v>
      </c>
      <c r="G306">
        <f t="shared" si="16"/>
        <v>-2.3943831251995249</v>
      </c>
      <c r="H306">
        <f t="shared" si="17"/>
        <v>-2.5177710601921306</v>
      </c>
      <c r="I306" t="e">
        <f t="shared" si="18"/>
        <v>#NUM!</v>
      </c>
      <c r="J306" s="3" t="s">
        <v>9</v>
      </c>
      <c r="K306" t="e">
        <f t="shared" si="19"/>
        <v>#NUM!</v>
      </c>
      <c r="L306" s="5" t="s">
        <v>314</v>
      </c>
      <c r="N306">
        <v>305</v>
      </c>
      <c r="O306">
        <v>-3</v>
      </c>
    </row>
    <row r="307" spans="1:15">
      <c r="A307">
        <v>306</v>
      </c>
      <c r="B307">
        <v>481</v>
      </c>
      <c r="C307">
        <v>6</v>
      </c>
      <c r="D307">
        <v>1</v>
      </c>
      <c r="E307">
        <v>1</v>
      </c>
      <c r="G307">
        <f t="shared" si="16"/>
        <v>-1.8042223571712699</v>
      </c>
      <c r="H307">
        <f t="shared" si="17"/>
        <v>-2.7057615425475197</v>
      </c>
      <c r="I307">
        <f t="shared" si="18"/>
        <v>-2.2174819106620665</v>
      </c>
      <c r="J307" s="3" t="s">
        <v>9</v>
      </c>
      <c r="K307">
        <f t="shared" si="19"/>
        <v>-2.2424886034602856</v>
      </c>
      <c r="L307" s="5" t="s">
        <v>315</v>
      </c>
      <c r="N307">
        <v>306</v>
      </c>
      <c r="O307">
        <v>-2.2424886034602856</v>
      </c>
    </row>
    <row r="308" spans="1:15">
      <c r="A308">
        <v>307</v>
      </c>
      <c r="B308">
        <v>678</v>
      </c>
      <c r="C308">
        <v>20</v>
      </c>
      <c r="D308">
        <v>88</v>
      </c>
      <c r="E308">
        <v>10</v>
      </c>
      <c r="G308">
        <f t="shared" si="16"/>
        <v>-1.4304282293841639</v>
      </c>
      <c r="H308">
        <f t="shared" si="17"/>
        <v>-0.91036348789058275</v>
      </c>
      <c r="I308">
        <f t="shared" si="18"/>
        <v>-1.3665665281552979</v>
      </c>
      <c r="J308" s="3" t="s">
        <v>9</v>
      </c>
      <c r="K308">
        <f t="shared" si="19"/>
        <v>-1.2357860818100148</v>
      </c>
      <c r="L308" s="5" t="s">
        <v>316</v>
      </c>
      <c r="N308">
        <v>307</v>
      </c>
      <c r="O308">
        <v>-1.2357860818100148</v>
      </c>
    </row>
    <row r="309" spans="1:15">
      <c r="A309">
        <v>308</v>
      </c>
      <c r="B309">
        <v>242</v>
      </c>
      <c r="C309">
        <v>0</v>
      </c>
      <c r="D309">
        <v>0</v>
      </c>
      <c r="E309">
        <v>0</v>
      </c>
      <c r="G309" t="e">
        <f t="shared" si="16"/>
        <v>#NUM!</v>
      </c>
      <c r="H309" t="e">
        <f t="shared" si="17"/>
        <v>#NUM!</v>
      </c>
      <c r="I309" t="e">
        <f t="shared" si="18"/>
        <v>#NUM!</v>
      </c>
      <c r="J309" s="3" t="s">
        <v>9</v>
      </c>
      <c r="K309" t="e">
        <f t="shared" si="19"/>
        <v>#NUM!</v>
      </c>
      <c r="L309" s="5" t="s">
        <v>317</v>
      </c>
      <c r="N309">
        <v>308</v>
      </c>
      <c r="O309">
        <v>-3</v>
      </c>
    </row>
    <row r="310" spans="1:15">
      <c r="A310">
        <v>309</v>
      </c>
      <c r="B310">
        <v>402</v>
      </c>
      <c r="C310">
        <v>7</v>
      </c>
      <c r="D310">
        <v>0</v>
      </c>
      <c r="E310">
        <v>0</v>
      </c>
      <c r="G310">
        <f t="shared" si="16"/>
        <v>-1.659356544251295</v>
      </c>
      <c r="H310" t="e">
        <f t="shared" si="17"/>
        <v>#NUM!</v>
      </c>
      <c r="I310" t="e">
        <f t="shared" si="18"/>
        <v>#NUM!</v>
      </c>
      <c r="J310" s="3" t="s">
        <v>9</v>
      </c>
      <c r="K310" t="e">
        <f t="shared" si="19"/>
        <v>#NUM!</v>
      </c>
      <c r="L310" s="5" t="s">
        <v>318</v>
      </c>
      <c r="N310">
        <v>309</v>
      </c>
      <c r="O310">
        <v>-3</v>
      </c>
    </row>
    <row r="311" spans="1:15">
      <c r="A311">
        <v>310</v>
      </c>
      <c r="B311">
        <v>397</v>
      </c>
      <c r="C311">
        <v>1</v>
      </c>
      <c r="D311">
        <v>0</v>
      </c>
      <c r="E311">
        <v>0</v>
      </c>
      <c r="G311">
        <f t="shared" si="16"/>
        <v>-2.4990190379441972</v>
      </c>
      <c r="H311" t="e">
        <f t="shared" si="17"/>
        <v>#NUM!</v>
      </c>
      <c r="I311" t="e">
        <f t="shared" si="18"/>
        <v>#NUM!</v>
      </c>
      <c r="J311" s="3" t="s">
        <v>9</v>
      </c>
      <c r="K311" t="e">
        <f t="shared" si="19"/>
        <v>#NUM!</v>
      </c>
      <c r="L311" s="5" t="s">
        <v>319</v>
      </c>
      <c r="N311">
        <v>310</v>
      </c>
      <c r="O311">
        <v>-3</v>
      </c>
    </row>
    <row r="312" spans="1:15">
      <c r="A312">
        <v>311</v>
      </c>
      <c r="B312">
        <v>555</v>
      </c>
      <c r="C312">
        <v>17</v>
      </c>
      <c r="D312">
        <v>29</v>
      </c>
      <c r="E312">
        <v>39</v>
      </c>
      <c r="G312">
        <f t="shared" si="16"/>
        <v>-1.414072592925484</v>
      </c>
      <c r="H312">
        <f t="shared" si="17"/>
        <v>-1.3055114513974082</v>
      </c>
      <c r="I312">
        <f t="shared" si="18"/>
        <v>-0.68856521038441165</v>
      </c>
      <c r="J312" s="3" t="s">
        <v>9</v>
      </c>
      <c r="K312">
        <f t="shared" si="19"/>
        <v>-1.1360497515691013</v>
      </c>
      <c r="L312" s="5" t="s">
        <v>320</v>
      </c>
      <c r="N312">
        <v>311</v>
      </c>
      <c r="O312">
        <v>-1.1360497515691013</v>
      </c>
    </row>
    <row r="313" spans="1:15">
      <c r="A313">
        <v>312</v>
      </c>
      <c r="B313">
        <v>1284</v>
      </c>
      <c r="C313">
        <v>42</v>
      </c>
      <c r="D313">
        <v>20</v>
      </c>
      <c r="E313">
        <v>10</v>
      </c>
      <c r="G313">
        <f t="shared" si="16"/>
        <v>-1.3855442645160159</v>
      </c>
      <c r="H313">
        <f t="shared" si="17"/>
        <v>-1.8311514942425413</v>
      </c>
      <c r="I313">
        <f t="shared" si="18"/>
        <v>-1.6439018580210689</v>
      </c>
      <c r="J313" s="3" t="s">
        <v>9</v>
      </c>
      <c r="K313">
        <f t="shared" si="19"/>
        <v>-1.6201992055932086</v>
      </c>
      <c r="L313" s="5" t="s">
        <v>321</v>
      </c>
      <c r="N313">
        <v>312</v>
      </c>
      <c r="O313">
        <v>-1.6201992055932086</v>
      </c>
    </row>
    <row r="314" spans="1:15">
      <c r="A314">
        <v>313</v>
      </c>
      <c r="B314">
        <v>1412</v>
      </c>
      <c r="C314">
        <v>162</v>
      </c>
      <c r="D314">
        <v>15</v>
      </c>
      <c r="E314">
        <v>151</v>
      </c>
      <c r="G314">
        <f t="shared" si="16"/>
        <v>-0.84054821335423591</v>
      </c>
      <c r="H314">
        <f t="shared" si="17"/>
        <v>-1.9973599038337917</v>
      </c>
      <c r="I314">
        <f t="shared" si="18"/>
        <v>-0.50619458371085013</v>
      </c>
      <c r="J314" s="3" t="s">
        <v>9</v>
      </c>
      <c r="K314">
        <f t="shared" si="19"/>
        <v>-1.114700900299626</v>
      </c>
      <c r="L314" s="5" t="s">
        <v>322</v>
      </c>
      <c r="N314">
        <v>313</v>
      </c>
      <c r="O314">
        <v>-1.114700900299626</v>
      </c>
    </row>
    <row r="315" spans="1:15">
      <c r="A315">
        <v>314</v>
      </c>
      <c r="B315">
        <v>310</v>
      </c>
      <c r="C315">
        <v>5</v>
      </c>
      <c r="D315">
        <v>28</v>
      </c>
      <c r="E315">
        <v>0</v>
      </c>
      <c r="G315">
        <f t="shared" si="16"/>
        <v>-1.6926202206793357</v>
      </c>
      <c r="H315">
        <f t="shared" si="17"/>
        <v>-1.0678201286657414</v>
      </c>
      <c r="I315" t="e">
        <f t="shared" si="18"/>
        <v>#NUM!</v>
      </c>
      <c r="J315" s="3" t="s">
        <v>9</v>
      </c>
      <c r="K315" t="e">
        <f t="shared" si="19"/>
        <v>#NUM!</v>
      </c>
      <c r="L315" s="5" t="s">
        <v>323</v>
      </c>
      <c r="N315">
        <v>314</v>
      </c>
      <c r="O315">
        <v>-3</v>
      </c>
    </row>
    <row r="316" spans="1:15">
      <c r="A316">
        <v>315</v>
      </c>
      <c r="B316">
        <v>352</v>
      </c>
      <c r="C316">
        <v>160</v>
      </c>
      <c r="D316">
        <v>129</v>
      </c>
      <c r="E316">
        <v>3</v>
      </c>
      <c r="G316">
        <f t="shared" si="16"/>
        <v>-0.2426512120032881</v>
      </c>
      <c r="H316">
        <f t="shared" si="17"/>
        <v>-0.45956941935256995</v>
      </c>
      <c r="I316">
        <f t="shared" si="18"/>
        <v>-1.6047582430467031</v>
      </c>
      <c r="J316" s="3" t="s">
        <v>9</v>
      </c>
      <c r="K316">
        <f t="shared" si="19"/>
        <v>-0.768992958134187</v>
      </c>
      <c r="L316" s="5" t="s">
        <v>324</v>
      </c>
      <c r="N316">
        <v>315</v>
      </c>
      <c r="O316">
        <v>-0.768992958134187</v>
      </c>
    </row>
    <row r="317" spans="1:15">
      <c r="A317">
        <v>316</v>
      </c>
      <c r="B317">
        <v>210</v>
      </c>
      <c r="C317">
        <v>807</v>
      </c>
      <c r="D317">
        <v>85</v>
      </c>
      <c r="E317">
        <v>26</v>
      </c>
      <c r="G317">
        <f t="shared" si="16"/>
        <v>0.68442570880706932</v>
      </c>
      <c r="H317">
        <f t="shared" si="17"/>
        <v>-0.41641683519331441</v>
      </c>
      <c r="I317">
        <f t="shared" si="18"/>
        <v>-0.44258278105133597</v>
      </c>
      <c r="J317" s="3" t="s">
        <v>9</v>
      </c>
      <c r="K317">
        <f t="shared" si="19"/>
        <v>-5.8191302479193685E-2</v>
      </c>
      <c r="L317" s="5" t="s">
        <v>325</v>
      </c>
      <c r="N317">
        <v>316</v>
      </c>
      <c r="O317">
        <v>-5.8191302479193685E-2</v>
      </c>
    </row>
    <row r="318" spans="1:15">
      <c r="A318">
        <v>317</v>
      </c>
      <c r="B318">
        <v>246</v>
      </c>
      <c r="C318">
        <v>220</v>
      </c>
      <c r="D318">
        <v>86</v>
      </c>
      <c r="E318">
        <v>10</v>
      </c>
      <c r="G318">
        <f t="shared" si="16"/>
        <v>5.1259042537745228E-2</v>
      </c>
      <c r="H318">
        <f t="shared" si="17"/>
        <v>-0.48005312203349931</v>
      </c>
      <c r="I318">
        <f t="shared" si="18"/>
        <v>-0.92627194139161373</v>
      </c>
      <c r="J318" s="3" t="s">
        <v>9</v>
      </c>
      <c r="K318">
        <f t="shared" si="19"/>
        <v>-0.45168867362912257</v>
      </c>
      <c r="L318" s="5" t="s">
        <v>326</v>
      </c>
      <c r="N318">
        <v>317</v>
      </c>
      <c r="O318">
        <v>-0.45168867362912257</v>
      </c>
    </row>
    <row r="319" spans="1:15">
      <c r="A319">
        <v>318</v>
      </c>
      <c r="B319">
        <v>447</v>
      </c>
      <c r="C319">
        <v>25</v>
      </c>
      <c r="D319">
        <v>1265</v>
      </c>
      <c r="E319">
        <v>109</v>
      </c>
      <c r="G319">
        <f t="shared" si="16"/>
        <v>-1.1525960456409807</v>
      </c>
      <c r="H319">
        <f t="shared" si="17"/>
        <v>0.42816653620621237</v>
      </c>
      <c r="I319">
        <f t="shared" si="18"/>
        <v>-0.14821785947954746</v>
      </c>
      <c r="J319" s="2" t="s">
        <v>8</v>
      </c>
      <c r="K319">
        <f t="shared" si="19"/>
        <v>-0.29088245630477194</v>
      </c>
      <c r="L319" s="5" t="s">
        <v>327</v>
      </c>
      <c r="N319">
        <v>318</v>
      </c>
      <c r="O319">
        <v>-0.29088245630477194</v>
      </c>
    </row>
    <row r="320" spans="1:15">
      <c r="A320">
        <v>319</v>
      </c>
      <c r="B320">
        <v>511</v>
      </c>
      <c r="C320">
        <v>18</v>
      </c>
      <c r="D320">
        <v>100</v>
      </c>
      <c r="E320">
        <v>2</v>
      </c>
      <c r="G320">
        <f t="shared" si="16"/>
        <v>-1.3533769262124884</v>
      </c>
      <c r="H320">
        <f t="shared" si="17"/>
        <v>-0.73203736630840066</v>
      </c>
      <c r="I320">
        <f t="shared" si="18"/>
        <v>-1.9427277387589661</v>
      </c>
      <c r="J320" s="2" t="s">
        <v>8</v>
      </c>
      <c r="K320">
        <f t="shared" si="19"/>
        <v>-1.3427140104266184</v>
      </c>
      <c r="L320" s="5" t="s">
        <v>328</v>
      </c>
      <c r="N320">
        <v>319</v>
      </c>
      <c r="O320">
        <v>-1.3427140104266184</v>
      </c>
    </row>
    <row r="321" spans="1:15">
      <c r="A321">
        <v>320</v>
      </c>
      <c r="B321">
        <v>773</v>
      </c>
      <c r="C321">
        <v>17</v>
      </c>
      <c r="D321">
        <v>144</v>
      </c>
      <c r="E321">
        <v>58</v>
      </c>
      <c r="G321">
        <f t="shared" si="16"/>
        <v>-1.5579591037211327</v>
      </c>
      <c r="H321">
        <f t="shared" si="17"/>
        <v>-0.75343346799676314</v>
      </c>
      <c r="I321">
        <f t="shared" si="18"/>
        <v>-0.66008833464362227</v>
      </c>
      <c r="J321" s="2" t="s">
        <v>8</v>
      </c>
      <c r="K321">
        <f t="shared" si="19"/>
        <v>-0.99049363545383928</v>
      </c>
      <c r="L321" s="5" t="s">
        <v>329</v>
      </c>
      <c r="N321">
        <v>320</v>
      </c>
      <c r="O321">
        <v>-0.99049363545383928</v>
      </c>
    </row>
    <row r="322" spans="1:15">
      <c r="A322">
        <v>321</v>
      </c>
      <c r="B322">
        <v>450</v>
      </c>
      <c r="C322">
        <v>301</v>
      </c>
      <c r="D322">
        <v>787</v>
      </c>
      <c r="E322">
        <v>16</v>
      </c>
      <c r="G322">
        <f t="shared" ref="G322:G385" si="20">LOG10(C322/B322)-LOG10(3086/3883)</f>
        <v>-7.4874549362582199E-2</v>
      </c>
      <c r="H322">
        <f t="shared" ref="H322:H385" si="21">LOG10(D322/B322)-LOG10(4100/3883)</f>
        <v>0.21914575241003298</v>
      </c>
      <c r="I322">
        <f t="shared" ref="I322:I385" si="22">LOG10(E322/B322)-LOG10(1332/3883)</f>
        <v>-0.98442936540765358</v>
      </c>
      <c r="J322" s="2" t="s">
        <v>8</v>
      </c>
      <c r="K322">
        <f t="shared" ref="K322:K385" si="23">AVERAGE(G322:I322)</f>
        <v>-0.28005272078673427</v>
      </c>
      <c r="L322" s="5" t="s">
        <v>330</v>
      </c>
      <c r="N322">
        <v>321</v>
      </c>
      <c r="O322">
        <v>-0.28005272078673427</v>
      </c>
    </row>
    <row r="323" spans="1:15">
      <c r="A323">
        <v>322</v>
      </c>
      <c r="B323">
        <v>638</v>
      </c>
      <c r="C323">
        <v>225</v>
      </c>
      <c r="D323">
        <v>803</v>
      </c>
      <c r="E323">
        <v>378</v>
      </c>
      <c r="G323">
        <f t="shared" si="20"/>
        <v>-0.3528666917908817</v>
      </c>
      <c r="H323">
        <f t="shared" si="21"/>
        <v>7.6278400383830686E-2</v>
      </c>
      <c r="I323">
        <f t="shared" si="22"/>
        <v>0.23733428682782837</v>
      </c>
      <c r="J323" s="2" t="s">
        <v>8</v>
      </c>
      <c r="K323">
        <f t="shared" si="23"/>
        <v>-1.3084668193074208E-2</v>
      </c>
      <c r="L323" s="5" t="s">
        <v>331</v>
      </c>
      <c r="N323">
        <v>322</v>
      </c>
      <c r="O323">
        <v>-1.3084668193074208E-2</v>
      </c>
    </row>
    <row r="324" spans="1:15">
      <c r="A324">
        <v>323</v>
      </c>
      <c r="B324">
        <v>483</v>
      </c>
      <c r="C324">
        <v>0</v>
      </c>
      <c r="D324">
        <v>0</v>
      </c>
      <c r="E324">
        <v>3</v>
      </c>
      <c r="G324" t="e">
        <f t="shared" si="20"/>
        <v>#NUM!</v>
      </c>
      <c r="H324" t="e">
        <f t="shared" si="21"/>
        <v>#NUM!</v>
      </c>
      <c r="I324">
        <f t="shared" si="22"/>
        <v>-1.7421627103200841</v>
      </c>
      <c r="J324" s="3" t="s">
        <v>9</v>
      </c>
      <c r="K324" t="e">
        <f t="shared" si="23"/>
        <v>#NUM!</v>
      </c>
      <c r="L324" s="5" t="s">
        <v>332</v>
      </c>
      <c r="N324">
        <v>323</v>
      </c>
      <c r="O324">
        <v>-3</v>
      </c>
    </row>
    <row r="325" spans="1:15">
      <c r="A325">
        <v>324</v>
      </c>
      <c r="B325">
        <v>1103</v>
      </c>
      <c r="C325">
        <v>3</v>
      </c>
      <c r="D325">
        <v>0</v>
      </c>
      <c r="E325">
        <v>0</v>
      </c>
      <c r="G325">
        <f t="shared" si="20"/>
        <v>-2.4656827889016104</v>
      </c>
      <c r="H325" t="e">
        <f t="shared" si="21"/>
        <v>#NUM!</v>
      </c>
      <c r="I325" t="e">
        <f t="shared" si="22"/>
        <v>#NUM!</v>
      </c>
      <c r="J325" s="3" t="s">
        <v>9</v>
      </c>
      <c r="K325" t="e">
        <f t="shared" si="23"/>
        <v>#NUM!</v>
      </c>
      <c r="L325" s="5" t="s">
        <v>333</v>
      </c>
      <c r="N325">
        <v>324</v>
      </c>
      <c r="O325">
        <v>-3</v>
      </c>
    </row>
    <row r="326" spans="1:15">
      <c r="A326">
        <v>325</v>
      </c>
      <c r="B326">
        <v>417</v>
      </c>
      <c r="C326">
        <v>6</v>
      </c>
      <c r="D326">
        <v>7</v>
      </c>
      <c r="E326">
        <v>0</v>
      </c>
      <c r="G326">
        <f t="shared" si="20"/>
        <v>-1.7422133357711957</v>
      </c>
      <c r="H326">
        <f t="shared" si="21"/>
        <v>-1.7986544811331886</v>
      </c>
      <c r="I326" t="e">
        <f t="shared" si="22"/>
        <v>#NUM!</v>
      </c>
      <c r="J326" s="3" t="s">
        <v>9</v>
      </c>
      <c r="K326" t="e">
        <f t="shared" si="23"/>
        <v>#NUM!</v>
      </c>
      <c r="L326" s="5" t="s">
        <v>334</v>
      </c>
      <c r="N326">
        <v>325</v>
      </c>
      <c r="O326">
        <v>-3</v>
      </c>
    </row>
    <row r="327" spans="1:15">
      <c r="A327">
        <v>326</v>
      </c>
      <c r="B327">
        <v>702</v>
      </c>
      <c r="C327">
        <v>5044</v>
      </c>
      <c r="D327">
        <v>995</v>
      </c>
      <c r="E327">
        <v>108</v>
      </c>
      <c r="G327">
        <f t="shared" si="20"/>
        <v>0.95620943459015684</v>
      </c>
      <c r="H327">
        <f t="shared" si="21"/>
        <v>0.12786950244223225</v>
      </c>
      <c r="I327">
        <f t="shared" si="22"/>
        <v>-0.34825019093109022</v>
      </c>
      <c r="J327" s="3" t="s">
        <v>9</v>
      </c>
      <c r="K327">
        <f t="shared" si="23"/>
        <v>0.24527624870043296</v>
      </c>
      <c r="L327" s="5" t="s">
        <v>335</v>
      </c>
      <c r="N327">
        <v>326</v>
      </c>
      <c r="O327">
        <v>0.24527624870043296</v>
      </c>
    </row>
    <row r="328" spans="1:15">
      <c r="A328">
        <v>327</v>
      </c>
      <c r="B328">
        <v>426</v>
      </c>
      <c r="C328">
        <v>0</v>
      </c>
      <c r="D328">
        <v>20</v>
      </c>
      <c r="E328">
        <v>0</v>
      </c>
      <c r="G328" t="e">
        <f t="shared" si="20"/>
        <v>#NUM!</v>
      </c>
      <c r="H328">
        <f t="shared" si="21"/>
        <v>-1.3519960696124258</v>
      </c>
      <c r="I328" t="e">
        <f t="shared" si="22"/>
        <v>#NUM!</v>
      </c>
      <c r="J328" s="3" t="s">
        <v>9</v>
      </c>
      <c r="K328" t="e">
        <f t="shared" si="23"/>
        <v>#NUM!</v>
      </c>
      <c r="L328" s="5" t="s">
        <v>336</v>
      </c>
      <c r="N328">
        <v>327</v>
      </c>
      <c r="O328">
        <v>-3</v>
      </c>
    </row>
    <row r="329" spans="1:15">
      <c r="A329">
        <v>328</v>
      </c>
      <c r="B329">
        <v>592</v>
      </c>
      <c r="C329">
        <v>61</v>
      </c>
      <c r="D329">
        <v>35</v>
      </c>
      <c r="E329">
        <v>9</v>
      </c>
      <c r="G329">
        <f t="shared" si="20"/>
        <v>-0.88722040289323467</v>
      </c>
      <c r="H329">
        <f t="shared" si="21"/>
        <v>-1.2518701285463321</v>
      </c>
      <c r="I329">
        <f t="shared" si="22"/>
        <v>-1.3534160315718293</v>
      </c>
      <c r="J329" s="3" t="s">
        <v>9</v>
      </c>
      <c r="K329">
        <f t="shared" si="23"/>
        <v>-1.164168854337132</v>
      </c>
      <c r="L329" s="5" t="s">
        <v>337</v>
      </c>
      <c r="N329">
        <v>328</v>
      </c>
      <c r="O329">
        <v>-1.164168854337132</v>
      </c>
    </row>
    <row r="330" spans="1:15">
      <c r="A330">
        <v>329</v>
      </c>
      <c r="B330">
        <v>1121</v>
      </c>
      <c r="C330">
        <v>6</v>
      </c>
      <c r="D330">
        <v>10</v>
      </c>
      <c r="E330">
        <v>1</v>
      </c>
      <c r="G330">
        <f t="shared" si="20"/>
        <v>-2.1716828933924117</v>
      </c>
      <c r="H330">
        <f t="shared" si="21"/>
        <v>-2.0732220787686608</v>
      </c>
      <c r="I330">
        <f t="shared" si="22"/>
        <v>-2.5849424468832076</v>
      </c>
      <c r="J330" s="3" t="s">
        <v>9</v>
      </c>
      <c r="K330">
        <f t="shared" si="23"/>
        <v>-2.2766158063480932</v>
      </c>
      <c r="L330" s="5" t="s">
        <v>338</v>
      </c>
      <c r="N330">
        <v>329</v>
      </c>
      <c r="O330">
        <v>-2.2766158063480932</v>
      </c>
    </row>
    <row r="331" spans="1:15">
      <c r="A331">
        <v>330</v>
      </c>
      <c r="B331">
        <v>356</v>
      </c>
      <c r="C331">
        <v>0</v>
      </c>
      <c r="D331">
        <v>14</v>
      </c>
      <c r="E331">
        <v>4</v>
      </c>
      <c r="G331" t="e">
        <f t="shared" si="20"/>
        <v>#NUM!</v>
      </c>
      <c r="H331">
        <f t="shared" si="21"/>
        <v>-1.4289384284683251</v>
      </c>
      <c r="I331">
        <f t="shared" si="22"/>
        <v>-1.4847268409331473</v>
      </c>
      <c r="J331" s="3" t="s">
        <v>9</v>
      </c>
      <c r="K331" t="e">
        <f t="shared" si="23"/>
        <v>#NUM!</v>
      </c>
      <c r="L331" s="5" t="s">
        <v>339</v>
      </c>
      <c r="N331">
        <v>330</v>
      </c>
      <c r="O331">
        <v>-3</v>
      </c>
    </row>
    <row r="332" spans="1:15">
      <c r="A332">
        <v>331</v>
      </c>
      <c r="B332">
        <v>2352</v>
      </c>
      <c r="C332">
        <v>19</v>
      </c>
      <c r="D332">
        <v>10</v>
      </c>
      <c r="E332">
        <v>10</v>
      </c>
      <c r="G332">
        <f t="shared" si="20"/>
        <v>-1.9929122476323535</v>
      </c>
      <c r="H332">
        <f t="shared" si="21"/>
        <v>-2.3950537835777888</v>
      </c>
      <c r="I332">
        <f t="shared" si="22"/>
        <v>-1.9067741516923356</v>
      </c>
      <c r="J332" s="3" t="s">
        <v>9</v>
      </c>
      <c r="K332">
        <f t="shared" si="23"/>
        <v>-2.0982467276341592</v>
      </c>
      <c r="L332" s="5" t="s">
        <v>340</v>
      </c>
      <c r="N332">
        <v>331</v>
      </c>
      <c r="O332">
        <v>-2.0982467276341592</v>
      </c>
    </row>
    <row r="333" spans="1:15">
      <c r="A333">
        <v>332</v>
      </c>
      <c r="B333">
        <v>1326</v>
      </c>
      <c r="C333">
        <v>113</v>
      </c>
      <c r="D333">
        <v>132</v>
      </c>
      <c r="E333">
        <v>78</v>
      </c>
      <c r="G333">
        <f t="shared" si="20"/>
        <v>-0.96969361176641633</v>
      </c>
      <c r="H333">
        <f t="shared" si="21"/>
        <v>-1.0255860590365924</v>
      </c>
      <c r="I333">
        <f t="shared" si="22"/>
        <v>-0.76578575566650853</v>
      </c>
      <c r="J333" s="3" t="s">
        <v>9</v>
      </c>
      <c r="K333">
        <f t="shared" si="23"/>
        <v>-0.92035514215650582</v>
      </c>
      <c r="L333" s="5" t="s">
        <v>341</v>
      </c>
      <c r="N333">
        <v>332</v>
      </c>
      <c r="O333">
        <v>-0.92035514215650582</v>
      </c>
    </row>
    <row r="334" spans="1:15">
      <c r="A334">
        <v>333</v>
      </c>
      <c r="B334">
        <v>2287</v>
      </c>
      <c r="C334">
        <v>2</v>
      </c>
      <c r="D334">
        <v>91</v>
      </c>
      <c r="E334">
        <v>33</v>
      </c>
      <c r="G334">
        <f t="shared" si="20"/>
        <v>-2.9584647001238493</v>
      </c>
      <c r="H334">
        <f t="shared" si="21"/>
        <v>-1.4238412384593429</v>
      </c>
      <c r="I334">
        <f t="shared" si="22"/>
        <v>-1.3760890590170956</v>
      </c>
      <c r="J334" s="3" t="s">
        <v>9</v>
      </c>
      <c r="K334">
        <f t="shared" si="23"/>
        <v>-1.9194649992000958</v>
      </c>
      <c r="L334" s="5" t="s">
        <v>342</v>
      </c>
      <c r="N334">
        <v>333</v>
      </c>
      <c r="O334">
        <v>-1.9194649992000958</v>
      </c>
    </row>
    <row r="335" spans="1:15">
      <c r="A335">
        <v>334</v>
      </c>
      <c r="B335">
        <v>1705</v>
      </c>
      <c r="C335">
        <v>104</v>
      </c>
      <c r="D335">
        <v>1869</v>
      </c>
      <c r="E335">
        <v>164</v>
      </c>
      <c r="G335">
        <f t="shared" si="20"/>
        <v>-1.1149195752108181</v>
      </c>
      <c r="H335">
        <f t="shared" si="21"/>
        <v>1.6268451876627621E-2</v>
      </c>
      <c r="I335">
        <f t="shared" si="22"/>
        <v>-0.55221736956905321</v>
      </c>
      <c r="J335" s="3" t="s">
        <v>9</v>
      </c>
      <c r="K335">
        <f t="shared" si="23"/>
        <v>-0.55028949763441448</v>
      </c>
      <c r="L335" s="5" t="s">
        <v>343</v>
      </c>
      <c r="N335">
        <v>334</v>
      </c>
      <c r="O335">
        <v>-0.55028949763441448</v>
      </c>
    </row>
    <row r="336" spans="1:15">
      <c r="A336">
        <v>335</v>
      </c>
      <c r="B336">
        <v>736</v>
      </c>
      <c r="C336">
        <v>7</v>
      </c>
      <c r="D336">
        <v>39</v>
      </c>
      <c r="E336">
        <v>158</v>
      </c>
      <c r="G336">
        <f t="shared" si="20"/>
        <v>-1.9220083055043238</v>
      </c>
      <c r="H336">
        <f t="shared" si="21"/>
        <v>-1.2994296734846875</v>
      </c>
      <c r="I336">
        <f t="shared" si="22"/>
        <v>-0.20355756167131089</v>
      </c>
      <c r="J336" s="3" t="s">
        <v>9</v>
      </c>
      <c r="K336">
        <f t="shared" si="23"/>
        <v>-1.1416651802201074</v>
      </c>
      <c r="L336" s="5" t="s">
        <v>344</v>
      </c>
      <c r="N336">
        <v>335</v>
      </c>
      <c r="O336">
        <v>-1.1416651802201074</v>
      </c>
    </row>
    <row r="337" spans="1:15">
      <c r="A337">
        <v>336</v>
      </c>
      <c r="B337">
        <v>791</v>
      </c>
      <c r="C337">
        <v>39</v>
      </c>
      <c r="D337">
        <v>0</v>
      </c>
      <c r="E337">
        <v>0</v>
      </c>
      <c r="G337">
        <f t="shared" si="20"/>
        <v>-1.2073404076522591</v>
      </c>
      <c r="H337" t="e">
        <f t="shared" si="21"/>
        <v>#NUM!</v>
      </c>
      <c r="I337" t="e">
        <f t="shared" si="22"/>
        <v>#NUM!</v>
      </c>
      <c r="J337" s="3" t="s">
        <v>9</v>
      </c>
      <c r="K337" t="e">
        <f t="shared" si="23"/>
        <v>#NUM!</v>
      </c>
      <c r="L337" s="5" t="s">
        <v>345</v>
      </c>
      <c r="N337">
        <v>336</v>
      </c>
      <c r="O337">
        <v>-3</v>
      </c>
    </row>
    <row r="338" spans="1:15">
      <c r="A338">
        <v>337</v>
      </c>
      <c r="B338">
        <v>2568</v>
      </c>
      <c r="C338">
        <v>146056</v>
      </c>
      <c r="D338">
        <v>1291</v>
      </c>
      <c r="E338">
        <v>19625</v>
      </c>
      <c r="G338">
        <f t="shared" si="20"/>
        <v>1.8546958519734928</v>
      </c>
      <c r="H338">
        <f t="shared" si="21"/>
        <v>-0.32228524330408326</v>
      </c>
      <c r="I338">
        <f t="shared" si="22"/>
        <v>1.3478778117322399</v>
      </c>
      <c r="J338" s="3" t="s">
        <v>9</v>
      </c>
      <c r="K338">
        <f t="shared" si="23"/>
        <v>0.96009614013388322</v>
      </c>
      <c r="L338" s="5" t="s">
        <v>346</v>
      </c>
      <c r="N338">
        <v>337</v>
      </c>
      <c r="O338">
        <v>0.96009614013388322</v>
      </c>
    </row>
    <row r="339" spans="1:15">
      <c r="A339">
        <v>338</v>
      </c>
      <c r="B339">
        <v>287</v>
      </c>
      <c r="C339">
        <v>4</v>
      </c>
      <c r="D339">
        <v>0</v>
      </c>
      <c r="E339">
        <v>0</v>
      </c>
      <c r="G339">
        <f t="shared" si="20"/>
        <v>-1.7560504365871117</v>
      </c>
      <c r="H339" t="e">
        <f t="shared" si="21"/>
        <v>#NUM!</v>
      </c>
      <c r="I339" t="e">
        <f t="shared" si="22"/>
        <v>#NUM!</v>
      </c>
      <c r="J339" s="3" t="s">
        <v>9</v>
      </c>
      <c r="K339" t="e">
        <f t="shared" si="23"/>
        <v>#NUM!</v>
      </c>
      <c r="L339" s="5" t="s">
        <v>347</v>
      </c>
      <c r="N339">
        <v>338</v>
      </c>
      <c r="O339">
        <v>-3</v>
      </c>
    </row>
    <row r="340" spans="1:15">
      <c r="A340">
        <v>339</v>
      </c>
      <c r="B340">
        <v>377</v>
      </c>
      <c r="C340">
        <v>2</v>
      </c>
      <c r="D340">
        <v>0</v>
      </c>
      <c r="E340">
        <v>2</v>
      </c>
      <c r="G340">
        <f t="shared" si="20"/>
        <v>-2.1755398857228938</v>
      </c>
      <c r="H340" t="e">
        <f t="shared" si="21"/>
        <v>#NUM!</v>
      </c>
      <c r="I340">
        <f t="shared" si="22"/>
        <v>-1.8106481888300463</v>
      </c>
      <c r="J340" s="3" t="s">
        <v>9</v>
      </c>
      <c r="K340" t="e">
        <f t="shared" si="23"/>
        <v>#NUM!</v>
      </c>
      <c r="L340" s="5" t="s">
        <v>348</v>
      </c>
      <c r="N340">
        <v>339</v>
      </c>
      <c r="O340">
        <v>-3</v>
      </c>
    </row>
    <row r="341" spans="1:15">
      <c r="A341">
        <v>340</v>
      </c>
      <c r="B341">
        <v>569</v>
      </c>
      <c r="C341">
        <v>0</v>
      </c>
      <c r="D341">
        <v>0</v>
      </c>
      <c r="E341">
        <v>0</v>
      </c>
      <c r="G341" t="e">
        <f t="shared" si="20"/>
        <v>#NUM!</v>
      </c>
      <c r="H341" t="e">
        <f t="shared" si="21"/>
        <v>#NUM!</v>
      </c>
      <c r="I341" t="e">
        <f t="shared" si="22"/>
        <v>#NUM!</v>
      </c>
      <c r="J341" s="3" t="s">
        <v>9</v>
      </c>
      <c r="K341" t="e">
        <f t="shared" si="23"/>
        <v>#NUM!</v>
      </c>
      <c r="L341" s="5" t="s">
        <v>349</v>
      </c>
      <c r="N341">
        <v>340</v>
      </c>
      <c r="O341">
        <v>-3</v>
      </c>
    </row>
    <row r="342" spans="1:15">
      <c r="A342">
        <v>341</v>
      </c>
      <c r="B342">
        <v>632</v>
      </c>
      <c r="C342">
        <v>1</v>
      </c>
      <c r="D342">
        <v>0</v>
      </c>
      <c r="E342">
        <v>0</v>
      </c>
      <c r="G342">
        <f t="shared" si="20"/>
        <v>-2.7009456094634672</v>
      </c>
      <c r="H342" t="e">
        <f t="shared" si="21"/>
        <v>#NUM!</v>
      </c>
      <c r="I342" t="e">
        <f t="shared" si="22"/>
        <v>#NUM!</v>
      </c>
      <c r="J342" s="3" t="s">
        <v>9</v>
      </c>
      <c r="K342" t="e">
        <f t="shared" si="23"/>
        <v>#NUM!</v>
      </c>
      <c r="L342" s="5" t="s">
        <v>350</v>
      </c>
      <c r="N342">
        <v>341</v>
      </c>
      <c r="O342">
        <v>-3</v>
      </c>
    </row>
    <row r="343" spans="1:15">
      <c r="A343">
        <v>342</v>
      </c>
      <c r="B343">
        <v>416</v>
      </c>
      <c r="C343">
        <v>1</v>
      </c>
      <c r="D343">
        <v>0</v>
      </c>
      <c r="E343">
        <v>0</v>
      </c>
      <c r="G343">
        <f t="shared" si="20"/>
        <v>-2.5193218618078248</v>
      </c>
      <c r="H343" t="e">
        <f t="shared" si="21"/>
        <v>#NUM!</v>
      </c>
      <c r="I343" t="e">
        <f t="shared" si="22"/>
        <v>#NUM!</v>
      </c>
      <c r="J343" s="3" t="s">
        <v>9</v>
      </c>
      <c r="K343" t="e">
        <f t="shared" si="23"/>
        <v>#NUM!</v>
      </c>
      <c r="L343" s="5" t="s">
        <v>351</v>
      </c>
      <c r="N343">
        <v>342</v>
      </c>
      <c r="O343">
        <v>-3</v>
      </c>
    </row>
    <row r="344" spans="1:15">
      <c r="A344">
        <v>343</v>
      </c>
      <c r="B344">
        <v>725</v>
      </c>
      <c r="C344">
        <v>0</v>
      </c>
      <c r="D344">
        <v>0</v>
      </c>
      <c r="E344">
        <v>0</v>
      </c>
      <c r="G344" t="e">
        <f t="shared" si="20"/>
        <v>#NUM!</v>
      </c>
      <c r="H344" t="e">
        <f t="shared" si="21"/>
        <v>#NUM!</v>
      </c>
      <c r="I344" t="e">
        <f t="shared" si="22"/>
        <v>#NUM!</v>
      </c>
      <c r="J344" s="2" t="s">
        <v>8</v>
      </c>
      <c r="K344" t="e">
        <f t="shared" si="23"/>
        <v>#NUM!</v>
      </c>
      <c r="L344" s="5" t="s">
        <v>352</v>
      </c>
      <c r="N344">
        <v>343</v>
      </c>
      <c r="O344">
        <v>-3</v>
      </c>
    </row>
    <row r="345" spans="1:15">
      <c r="A345">
        <v>344</v>
      </c>
      <c r="B345">
        <v>3509</v>
      </c>
      <c r="C345">
        <v>3</v>
      </c>
      <c r="D345">
        <v>47</v>
      </c>
      <c r="E345">
        <v>10</v>
      </c>
      <c r="G345">
        <f t="shared" si="20"/>
        <v>-2.9682906446768258</v>
      </c>
      <c r="H345">
        <f t="shared" si="21"/>
        <v>-1.8967019764533766</v>
      </c>
      <c r="I345">
        <f t="shared" si="22"/>
        <v>-2.0805202025036409</v>
      </c>
      <c r="J345" s="2" t="s">
        <v>8</v>
      </c>
      <c r="K345">
        <f t="shared" si="23"/>
        <v>-2.3151709412112811</v>
      </c>
      <c r="L345" s="5" t="s">
        <v>353</v>
      </c>
      <c r="N345">
        <v>344</v>
      </c>
      <c r="O345">
        <v>-2.3151709412112811</v>
      </c>
    </row>
    <row r="346" spans="1:15">
      <c r="A346">
        <v>345</v>
      </c>
      <c r="B346">
        <v>1474</v>
      </c>
      <c r="C346">
        <v>0</v>
      </c>
      <c r="D346">
        <v>0</v>
      </c>
      <c r="E346">
        <v>0</v>
      </c>
      <c r="G346" t="e">
        <f t="shared" si="20"/>
        <v>#NUM!</v>
      </c>
      <c r="H346" t="e">
        <f t="shared" si="21"/>
        <v>#NUM!</v>
      </c>
      <c r="I346" t="e">
        <f t="shared" si="22"/>
        <v>#NUM!</v>
      </c>
      <c r="J346" s="2" t="s">
        <v>8</v>
      </c>
      <c r="K346" t="e">
        <f t="shared" si="23"/>
        <v>#NUM!</v>
      </c>
      <c r="L346" s="5" t="s">
        <v>354</v>
      </c>
      <c r="N346">
        <v>345</v>
      </c>
      <c r="O346">
        <v>-3</v>
      </c>
    </row>
    <row r="347" spans="1:15">
      <c r="A347">
        <v>346</v>
      </c>
      <c r="B347">
        <v>4375</v>
      </c>
      <c r="C347">
        <v>0</v>
      </c>
      <c r="D347">
        <v>5</v>
      </c>
      <c r="E347">
        <v>5</v>
      </c>
      <c r="G347" t="e">
        <f t="shared" si="20"/>
        <v>#NUM!</v>
      </c>
      <c r="H347">
        <f t="shared" si="21"/>
        <v>-2.9656245191960009</v>
      </c>
      <c r="I347">
        <f t="shared" si="22"/>
        <v>-2.4773448873105477</v>
      </c>
      <c r="J347" s="2" t="s">
        <v>8</v>
      </c>
      <c r="K347" t="e">
        <f t="shared" si="23"/>
        <v>#NUM!</v>
      </c>
      <c r="L347" s="5" t="s">
        <v>355</v>
      </c>
      <c r="N347">
        <v>346</v>
      </c>
      <c r="O347">
        <v>-3</v>
      </c>
    </row>
    <row r="348" spans="1:15">
      <c r="A348">
        <v>347</v>
      </c>
      <c r="B348">
        <v>1221</v>
      </c>
      <c r="C348">
        <v>0</v>
      </c>
      <c r="D348">
        <v>2</v>
      </c>
      <c r="E348">
        <v>7</v>
      </c>
      <c r="G348" t="e">
        <f t="shared" si="20"/>
        <v>#NUM!</v>
      </c>
      <c r="H348">
        <f t="shared" si="21"/>
        <v>-2.809302134454589</v>
      </c>
      <c r="I348">
        <f t="shared" si="22"/>
        <v>-1.7769544582188601</v>
      </c>
      <c r="J348" s="2" t="s">
        <v>8</v>
      </c>
      <c r="K348" t="e">
        <f t="shared" si="23"/>
        <v>#NUM!</v>
      </c>
      <c r="L348" s="5" t="s">
        <v>356</v>
      </c>
      <c r="N348">
        <v>347</v>
      </c>
      <c r="O348">
        <v>-3</v>
      </c>
    </row>
    <row r="349" spans="1:15">
      <c r="A349">
        <v>348</v>
      </c>
      <c r="B349">
        <v>4268</v>
      </c>
      <c r="C349">
        <v>2</v>
      </c>
      <c r="D349">
        <v>1</v>
      </c>
      <c r="E349">
        <v>2</v>
      </c>
      <c r="G349">
        <f t="shared" si="20"/>
        <v>-3.229422946269533</v>
      </c>
      <c r="H349">
        <f t="shared" si="21"/>
        <v>-3.6538408769261199</v>
      </c>
      <c r="I349">
        <f t="shared" si="22"/>
        <v>-2.8645312493766855</v>
      </c>
      <c r="J349" s="2" t="s">
        <v>8</v>
      </c>
      <c r="K349">
        <f t="shared" si="23"/>
        <v>-3.2492650241907799</v>
      </c>
      <c r="L349" s="5" t="s">
        <v>357</v>
      </c>
      <c r="N349">
        <v>348</v>
      </c>
      <c r="O349">
        <v>-3.2492650241907799</v>
      </c>
    </row>
    <row r="350" spans="1:15">
      <c r="A350">
        <v>349</v>
      </c>
      <c r="B350">
        <v>1391</v>
      </c>
      <c r="C350">
        <v>0</v>
      </c>
      <c r="D350">
        <v>0</v>
      </c>
      <c r="E350">
        <v>0</v>
      </c>
      <c r="G350" t="e">
        <f t="shared" si="20"/>
        <v>#NUM!</v>
      </c>
      <c r="H350" t="e">
        <f t="shared" si="21"/>
        <v>#NUM!</v>
      </c>
      <c r="I350" t="e">
        <f t="shared" si="22"/>
        <v>#NUM!</v>
      </c>
      <c r="J350" s="2" t="s">
        <v>8</v>
      </c>
      <c r="K350" t="e">
        <f t="shared" si="23"/>
        <v>#NUM!</v>
      </c>
      <c r="L350" s="5" t="s">
        <v>358</v>
      </c>
      <c r="N350">
        <v>349</v>
      </c>
      <c r="O350">
        <v>-3</v>
      </c>
    </row>
    <row r="351" spans="1:15">
      <c r="A351">
        <v>350</v>
      </c>
      <c r="B351">
        <v>2540</v>
      </c>
      <c r="C351">
        <v>1</v>
      </c>
      <c r="D351">
        <v>1</v>
      </c>
      <c r="E351">
        <v>0</v>
      </c>
      <c r="G351">
        <f t="shared" si="20"/>
        <v>-3.3050622478010201</v>
      </c>
      <c r="H351">
        <f t="shared" si="21"/>
        <v>-3.4284501827936258</v>
      </c>
      <c r="I351" t="e">
        <f t="shared" si="22"/>
        <v>#NUM!</v>
      </c>
      <c r="J351" s="2" t="s">
        <v>8</v>
      </c>
      <c r="K351" t="e">
        <f t="shared" si="23"/>
        <v>#NUM!</v>
      </c>
      <c r="L351" s="5" t="s">
        <v>359</v>
      </c>
      <c r="N351">
        <v>350</v>
      </c>
      <c r="O351">
        <v>-3</v>
      </c>
    </row>
    <row r="352" spans="1:15">
      <c r="A352">
        <v>351</v>
      </c>
      <c r="B352">
        <v>916</v>
      </c>
      <c r="C352">
        <v>0</v>
      </c>
      <c r="D352">
        <v>0</v>
      </c>
      <c r="E352">
        <v>0</v>
      </c>
      <c r="G352" t="e">
        <f t="shared" si="20"/>
        <v>#NUM!</v>
      </c>
      <c r="H352" t="e">
        <f t="shared" si="21"/>
        <v>#NUM!</v>
      </c>
      <c r="I352" t="e">
        <f t="shared" si="22"/>
        <v>#NUM!</v>
      </c>
      <c r="J352" s="2" t="s">
        <v>8</v>
      </c>
      <c r="K352" t="e">
        <f t="shared" si="23"/>
        <v>#NUM!</v>
      </c>
      <c r="L352" s="5" t="s">
        <v>360</v>
      </c>
      <c r="N352">
        <v>351</v>
      </c>
      <c r="O352">
        <v>-3</v>
      </c>
    </row>
    <row r="353" spans="1:15">
      <c r="A353">
        <v>352</v>
      </c>
      <c r="B353">
        <v>1203</v>
      </c>
      <c r="C353">
        <v>0</v>
      </c>
      <c r="D353">
        <v>0</v>
      </c>
      <c r="E353">
        <v>3</v>
      </c>
      <c r="G353" t="e">
        <f t="shared" si="20"/>
        <v>#NUM!</v>
      </c>
      <c r="H353" t="e">
        <f t="shared" si="21"/>
        <v>#NUM!</v>
      </c>
      <c r="I353">
        <f t="shared" si="22"/>
        <v>-2.1384812069084167</v>
      </c>
      <c r="J353" s="2" t="s">
        <v>8</v>
      </c>
      <c r="K353" t="e">
        <f t="shared" si="23"/>
        <v>#NUM!</v>
      </c>
      <c r="L353" s="5" t="s">
        <v>361</v>
      </c>
      <c r="N353">
        <v>352</v>
      </c>
      <c r="O353">
        <v>-3</v>
      </c>
    </row>
    <row r="354" spans="1:15">
      <c r="A354">
        <v>353</v>
      </c>
      <c r="B354">
        <v>4887</v>
      </c>
      <c r="C354">
        <v>11</v>
      </c>
      <c r="D354">
        <v>2</v>
      </c>
      <c r="E354">
        <v>5</v>
      </c>
      <c r="G354">
        <f t="shared" si="20"/>
        <v>-2.5478781850510286</v>
      </c>
      <c r="H354">
        <f t="shared" si="21"/>
        <v>-3.4116288095378784</v>
      </c>
      <c r="I354">
        <f t="shared" si="22"/>
        <v>-2.5254091689803877</v>
      </c>
      <c r="J354" s="2" t="s">
        <v>8</v>
      </c>
      <c r="K354">
        <f t="shared" si="23"/>
        <v>-2.8283053878564317</v>
      </c>
      <c r="L354" s="5" t="s">
        <v>362</v>
      </c>
      <c r="N354">
        <v>353</v>
      </c>
      <c r="O354">
        <v>-2.8283053878564317</v>
      </c>
    </row>
    <row r="355" spans="1:15">
      <c r="A355">
        <v>354</v>
      </c>
      <c r="B355">
        <v>3375</v>
      </c>
      <c r="C355">
        <v>0</v>
      </c>
      <c r="D355">
        <v>0</v>
      </c>
      <c r="E355">
        <v>1</v>
      </c>
      <c r="G355" t="e">
        <f t="shared" si="20"/>
        <v>#NUM!</v>
      </c>
      <c r="H355" t="e">
        <f t="shared" si="21"/>
        <v>#NUM!</v>
      </c>
      <c r="I355">
        <f t="shared" si="22"/>
        <v>-3.0636106114552781</v>
      </c>
      <c r="J355" s="2" t="s">
        <v>8</v>
      </c>
      <c r="K355" t="e">
        <f t="shared" si="23"/>
        <v>#NUM!</v>
      </c>
      <c r="L355" s="5" t="s">
        <v>363</v>
      </c>
      <c r="N355">
        <v>354</v>
      </c>
      <c r="O355">
        <v>-3</v>
      </c>
    </row>
    <row r="356" spans="1:15">
      <c r="A356">
        <v>355</v>
      </c>
      <c r="B356">
        <v>2939</v>
      </c>
      <c r="C356">
        <v>1</v>
      </c>
      <c r="D356">
        <v>1</v>
      </c>
      <c r="E356">
        <v>2</v>
      </c>
      <c r="G356">
        <f t="shared" si="20"/>
        <v>-3.3684281172536945</v>
      </c>
      <c r="H356">
        <f t="shared" si="21"/>
        <v>-3.4918160522463002</v>
      </c>
      <c r="I356">
        <f t="shared" si="22"/>
        <v>-2.7025064246968657</v>
      </c>
      <c r="J356" s="2" t="s">
        <v>8</v>
      </c>
      <c r="K356">
        <f t="shared" si="23"/>
        <v>-3.1875835313989533</v>
      </c>
      <c r="L356" s="5" t="s">
        <v>364</v>
      </c>
      <c r="N356">
        <v>355</v>
      </c>
      <c r="O356">
        <v>-3.1875835313989533</v>
      </c>
    </row>
    <row r="357" spans="1:15">
      <c r="A357">
        <v>356</v>
      </c>
      <c r="B357">
        <v>1885</v>
      </c>
      <c r="C357">
        <v>0</v>
      </c>
      <c r="D357">
        <v>0</v>
      </c>
      <c r="E357">
        <v>0</v>
      </c>
      <c r="G357" t="e">
        <f t="shared" si="20"/>
        <v>#NUM!</v>
      </c>
      <c r="H357" t="e">
        <f t="shared" si="21"/>
        <v>#NUM!</v>
      </c>
      <c r="I357" t="e">
        <f t="shared" si="22"/>
        <v>#NUM!</v>
      </c>
      <c r="J357" s="2" t="s">
        <v>8</v>
      </c>
      <c r="K357" t="e">
        <f t="shared" si="23"/>
        <v>#NUM!</v>
      </c>
      <c r="L357" s="5" t="s">
        <v>365</v>
      </c>
      <c r="N357">
        <v>356</v>
      </c>
      <c r="O357">
        <v>-3</v>
      </c>
    </row>
    <row r="358" spans="1:15">
      <c r="A358">
        <v>357</v>
      </c>
      <c r="B358">
        <v>1284</v>
      </c>
      <c r="C358">
        <v>0</v>
      </c>
      <c r="D358">
        <v>0</v>
      </c>
      <c r="E358">
        <v>0</v>
      </c>
      <c r="G358" t="e">
        <f t="shared" si="20"/>
        <v>#NUM!</v>
      </c>
      <c r="H358" t="e">
        <f t="shared" si="21"/>
        <v>#NUM!</v>
      </c>
      <c r="I358" t="e">
        <f t="shared" si="22"/>
        <v>#NUM!</v>
      </c>
      <c r="J358" s="2" t="s">
        <v>8</v>
      </c>
      <c r="K358" t="e">
        <f t="shared" si="23"/>
        <v>#NUM!</v>
      </c>
      <c r="L358" s="5" t="s">
        <v>366</v>
      </c>
      <c r="N358">
        <v>357</v>
      </c>
      <c r="O358">
        <v>-3</v>
      </c>
    </row>
    <row r="359" spans="1:15">
      <c r="A359">
        <v>358</v>
      </c>
      <c r="B359">
        <v>1456</v>
      </c>
      <c r="C359">
        <v>0</v>
      </c>
      <c r="D359">
        <v>0</v>
      </c>
      <c r="E359">
        <v>0</v>
      </c>
      <c r="G359" t="e">
        <f t="shared" si="20"/>
        <v>#NUM!</v>
      </c>
      <c r="H359" t="e">
        <f t="shared" si="21"/>
        <v>#NUM!</v>
      </c>
      <c r="I359" t="e">
        <f t="shared" si="22"/>
        <v>#NUM!</v>
      </c>
      <c r="J359" s="2" t="s">
        <v>8</v>
      </c>
      <c r="K359" t="e">
        <f t="shared" si="23"/>
        <v>#NUM!</v>
      </c>
      <c r="L359" s="5" t="s">
        <v>367</v>
      </c>
      <c r="N359">
        <v>358</v>
      </c>
      <c r="O359">
        <v>-3</v>
      </c>
    </row>
    <row r="360" spans="1:15">
      <c r="A360">
        <v>359</v>
      </c>
      <c r="B360">
        <v>4029</v>
      </c>
      <c r="C360">
        <v>9</v>
      </c>
      <c r="D360">
        <v>1</v>
      </c>
      <c r="E360">
        <v>0</v>
      </c>
      <c r="G360">
        <f t="shared" si="20"/>
        <v>-2.5511832891301349</v>
      </c>
      <c r="H360">
        <f t="shared" si="21"/>
        <v>-3.6288137335620654</v>
      </c>
      <c r="I360" t="e">
        <f t="shared" si="22"/>
        <v>#NUM!</v>
      </c>
      <c r="J360" s="2" t="s">
        <v>8</v>
      </c>
      <c r="K360" t="e">
        <f t="shared" si="23"/>
        <v>#NUM!</v>
      </c>
      <c r="L360" s="5" t="s">
        <v>368</v>
      </c>
      <c r="N360">
        <v>359</v>
      </c>
      <c r="O360">
        <v>-3</v>
      </c>
    </row>
    <row r="361" spans="1:15">
      <c r="A361">
        <v>360</v>
      </c>
      <c r="B361">
        <v>3439</v>
      </c>
      <c r="C361">
        <v>0</v>
      </c>
      <c r="D361">
        <v>1</v>
      </c>
      <c r="E361">
        <v>3</v>
      </c>
      <c r="G361" t="e">
        <f t="shared" si="20"/>
        <v>#NUM!</v>
      </c>
      <c r="H361">
        <f t="shared" si="21"/>
        <v>-3.5600486419957011</v>
      </c>
      <c r="I361">
        <f t="shared" si="22"/>
        <v>-2.5946477553905853</v>
      </c>
      <c r="J361" s="2" t="s">
        <v>8</v>
      </c>
      <c r="K361" t="e">
        <f t="shared" si="23"/>
        <v>#NUM!</v>
      </c>
      <c r="L361" s="5" t="s">
        <v>369</v>
      </c>
      <c r="N361">
        <v>360</v>
      </c>
      <c r="O361">
        <v>-3</v>
      </c>
    </row>
    <row r="362" spans="1:15">
      <c r="A362">
        <v>361</v>
      </c>
      <c r="B362">
        <v>2897</v>
      </c>
      <c r="C362">
        <v>43</v>
      </c>
      <c r="D362">
        <v>8</v>
      </c>
      <c r="E362">
        <v>1</v>
      </c>
      <c r="G362">
        <f t="shared" si="20"/>
        <v>-1.7287085708052572</v>
      </c>
      <c r="H362">
        <f t="shared" si="21"/>
        <v>-2.582474974385506</v>
      </c>
      <c r="I362">
        <f t="shared" si="22"/>
        <v>-2.9972853294919966</v>
      </c>
      <c r="J362" s="2" t="s">
        <v>8</v>
      </c>
      <c r="K362">
        <f t="shared" si="23"/>
        <v>-2.4361562915609198</v>
      </c>
      <c r="L362" s="5" t="s">
        <v>370</v>
      </c>
      <c r="N362">
        <v>361</v>
      </c>
      <c r="O362">
        <v>-2.4361562915609198</v>
      </c>
    </row>
    <row r="363" spans="1:15">
      <c r="A363">
        <v>362</v>
      </c>
      <c r="B363">
        <v>6525</v>
      </c>
      <c r="C363">
        <v>3</v>
      </c>
      <c r="D363">
        <v>1</v>
      </c>
      <c r="E363">
        <v>1</v>
      </c>
      <c r="G363">
        <f t="shared" si="20"/>
        <v>-3.2376877924717382</v>
      </c>
      <c r="H363">
        <f t="shared" si="21"/>
        <v>-3.8381969821840065</v>
      </c>
      <c r="I363">
        <f t="shared" si="22"/>
        <v>-3.3499173502985533</v>
      </c>
      <c r="J363" s="2" t="s">
        <v>8</v>
      </c>
      <c r="K363">
        <f t="shared" si="23"/>
        <v>-3.475267374984766</v>
      </c>
      <c r="L363" s="5" t="s">
        <v>371</v>
      </c>
      <c r="N363">
        <v>362</v>
      </c>
      <c r="O363">
        <v>-3.475267374984766</v>
      </c>
    </row>
    <row r="364" spans="1:15">
      <c r="A364">
        <v>363</v>
      </c>
      <c r="B364">
        <v>3577</v>
      </c>
      <c r="C364">
        <v>0</v>
      </c>
      <c r="D364">
        <v>0</v>
      </c>
      <c r="E364">
        <v>0</v>
      </c>
      <c r="G364" t="e">
        <f t="shared" si="20"/>
        <v>#NUM!</v>
      </c>
      <c r="H364" t="e">
        <f t="shared" si="21"/>
        <v>#NUM!</v>
      </c>
      <c r="I364" t="e">
        <f t="shared" si="22"/>
        <v>#NUM!</v>
      </c>
      <c r="J364" s="2" t="s">
        <v>8</v>
      </c>
      <c r="K364" t="e">
        <f t="shared" si="23"/>
        <v>#NUM!</v>
      </c>
      <c r="L364" s="5" t="s">
        <v>372</v>
      </c>
      <c r="N364">
        <v>363</v>
      </c>
      <c r="O364">
        <v>-3</v>
      </c>
    </row>
    <row r="365" spans="1:15">
      <c r="A365">
        <v>364</v>
      </c>
      <c r="B365">
        <v>6007</v>
      </c>
      <c r="C365">
        <v>5</v>
      </c>
      <c r="D365">
        <v>46</v>
      </c>
      <c r="E365">
        <v>9</v>
      </c>
      <c r="G365">
        <f t="shared" si="20"/>
        <v>-2.9799161587924186</v>
      </c>
      <c r="H365">
        <f t="shared" si="21"/>
        <v>-2.1395162664394687</v>
      </c>
      <c r="I365">
        <f t="shared" si="22"/>
        <v>-2.359751956796265</v>
      </c>
      <c r="J365" s="2" t="s">
        <v>8</v>
      </c>
      <c r="K365">
        <f t="shared" si="23"/>
        <v>-2.4930614606760506</v>
      </c>
      <c r="L365" s="5" t="s">
        <v>373</v>
      </c>
      <c r="N365">
        <v>364</v>
      </c>
      <c r="O365">
        <v>-2.4930614606760506</v>
      </c>
    </row>
    <row r="366" spans="1:15">
      <c r="A366">
        <v>365</v>
      </c>
      <c r="B366">
        <v>4614</v>
      </c>
      <c r="C366">
        <v>10</v>
      </c>
      <c r="D366">
        <v>5</v>
      </c>
      <c r="E366">
        <v>3</v>
      </c>
      <c r="G366">
        <f t="shared" si="20"/>
        <v>-2.5643061213661569</v>
      </c>
      <c r="H366">
        <f t="shared" si="21"/>
        <v>-2.9887240520227438</v>
      </c>
      <c r="I366">
        <f t="shared" si="22"/>
        <v>-2.7222931697536468</v>
      </c>
      <c r="J366" s="2" t="s">
        <v>8</v>
      </c>
      <c r="K366">
        <f t="shared" si="23"/>
        <v>-2.7584411143808492</v>
      </c>
      <c r="L366" s="5" t="s">
        <v>374</v>
      </c>
      <c r="N366">
        <v>365</v>
      </c>
      <c r="O366">
        <v>-2.7584411143808492</v>
      </c>
    </row>
    <row r="367" spans="1:15">
      <c r="A367">
        <v>366</v>
      </c>
      <c r="B367">
        <v>7769</v>
      </c>
      <c r="C367">
        <v>36</v>
      </c>
      <c r="D367">
        <v>143</v>
      </c>
      <c r="E367">
        <v>39</v>
      </c>
      <c r="G367">
        <f t="shared" si="20"/>
        <v>-2.2342911518619188</v>
      </c>
      <c r="H367">
        <f t="shared" si="21"/>
        <v>-1.7586455501567504</v>
      </c>
      <c r="I367">
        <f t="shared" si="22"/>
        <v>-1.8346373487098595</v>
      </c>
      <c r="J367" s="2" t="s">
        <v>8</v>
      </c>
      <c r="K367">
        <f t="shared" si="23"/>
        <v>-1.9425246835761765</v>
      </c>
      <c r="L367" s="5" t="s">
        <v>375</v>
      </c>
      <c r="N367">
        <v>366</v>
      </c>
      <c r="O367">
        <v>-1.9425246835761765</v>
      </c>
    </row>
    <row r="368" spans="1:15">
      <c r="A368">
        <v>367</v>
      </c>
      <c r="B368">
        <v>1015</v>
      </c>
      <c r="C368">
        <v>20</v>
      </c>
      <c r="D368">
        <v>1</v>
      </c>
      <c r="E368">
        <v>3</v>
      </c>
      <c r="G368">
        <f t="shared" si="20"/>
        <v>-1.6056645777663323</v>
      </c>
      <c r="H368">
        <f t="shared" si="21"/>
        <v>-3.0300825084229195</v>
      </c>
      <c r="I368">
        <f t="shared" si="22"/>
        <v>-2.0646816218178037</v>
      </c>
      <c r="J368" s="2" t="s">
        <v>8</v>
      </c>
      <c r="K368">
        <f t="shared" si="23"/>
        <v>-2.2334762360023519</v>
      </c>
      <c r="L368" s="5" t="s">
        <v>376</v>
      </c>
      <c r="N368">
        <v>367</v>
      </c>
      <c r="O368">
        <v>-2.2334762360023519</v>
      </c>
    </row>
    <row r="369" spans="1:15">
      <c r="A369">
        <v>368</v>
      </c>
      <c r="B369">
        <v>2288</v>
      </c>
      <c r="C369">
        <v>33</v>
      </c>
      <c r="D369">
        <v>18</v>
      </c>
      <c r="E369">
        <v>13</v>
      </c>
      <c r="G369">
        <f t="shared" si="20"/>
        <v>-1.7411706114241809</v>
      </c>
      <c r="H369">
        <f t="shared" si="21"/>
        <v>-2.1277999811913682</v>
      </c>
      <c r="I369">
        <f t="shared" si="22"/>
        <v>-1.7808495021023845</v>
      </c>
      <c r="J369" s="2" t="s">
        <v>8</v>
      </c>
      <c r="K369">
        <f t="shared" si="23"/>
        <v>-1.8832733649059776</v>
      </c>
      <c r="L369" s="5" t="s">
        <v>377</v>
      </c>
      <c r="N369">
        <v>368</v>
      </c>
      <c r="O369">
        <v>-1.8832733649059776</v>
      </c>
    </row>
    <row r="370" spans="1:15">
      <c r="A370">
        <v>369</v>
      </c>
      <c r="B370">
        <v>1451</v>
      </c>
      <c r="C370">
        <v>0</v>
      </c>
      <c r="D370">
        <v>10</v>
      </c>
      <c r="E370">
        <v>0</v>
      </c>
      <c r="G370" t="e">
        <f t="shared" si="20"/>
        <v>#NUM!</v>
      </c>
      <c r="H370">
        <f t="shared" si="21"/>
        <v>-2.1852838786114237</v>
      </c>
      <c r="I370" t="e">
        <f t="shared" si="22"/>
        <v>#NUM!</v>
      </c>
      <c r="J370" s="2" t="s">
        <v>8</v>
      </c>
      <c r="K370" t="e">
        <f t="shared" si="23"/>
        <v>#NUM!</v>
      </c>
      <c r="L370" s="5" t="s">
        <v>378</v>
      </c>
      <c r="N370">
        <v>369</v>
      </c>
      <c r="O370">
        <v>-3</v>
      </c>
    </row>
    <row r="371" spans="1:15">
      <c r="A371">
        <v>370</v>
      </c>
      <c r="B371">
        <v>1136</v>
      </c>
      <c r="C371">
        <v>0</v>
      </c>
      <c r="D371">
        <v>0</v>
      </c>
      <c r="E371">
        <v>2</v>
      </c>
      <c r="G371" t="e">
        <f t="shared" si="20"/>
        <v>#NUM!</v>
      </c>
      <c r="H371" t="e">
        <f t="shared" si="21"/>
        <v>#NUM!</v>
      </c>
      <c r="I371">
        <f t="shared" si="22"/>
        <v>-2.2896851699992533</v>
      </c>
      <c r="J371" s="2" t="s">
        <v>8</v>
      </c>
      <c r="K371" t="e">
        <f t="shared" si="23"/>
        <v>#NUM!</v>
      </c>
      <c r="L371" s="5" t="s">
        <v>379</v>
      </c>
      <c r="N371">
        <v>370</v>
      </c>
      <c r="O371">
        <v>-3</v>
      </c>
    </row>
    <row r="372" spans="1:15">
      <c r="A372">
        <v>371</v>
      </c>
      <c r="B372">
        <v>2464</v>
      </c>
      <c r="C372">
        <v>0</v>
      </c>
      <c r="D372">
        <v>1</v>
      </c>
      <c r="E372">
        <v>0</v>
      </c>
      <c r="G372" t="e">
        <f t="shared" si="20"/>
        <v>#NUM!</v>
      </c>
      <c r="H372">
        <f t="shared" si="21"/>
        <v>-3.4152571696660754</v>
      </c>
      <c r="I372" t="e">
        <f t="shared" si="22"/>
        <v>#NUM!</v>
      </c>
      <c r="J372" s="2" t="s">
        <v>8</v>
      </c>
      <c r="K372" t="e">
        <f t="shared" si="23"/>
        <v>#NUM!</v>
      </c>
      <c r="L372" s="5" t="s">
        <v>380</v>
      </c>
      <c r="N372">
        <v>371</v>
      </c>
      <c r="O372">
        <v>-3</v>
      </c>
    </row>
    <row r="373" spans="1:15">
      <c r="A373">
        <v>372</v>
      </c>
      <c r="B373">
        <v>4452</v>
      </c>
      <c r="C373">
        <v>2</v>
      </c>
      <c r="D373">
        <v>2</v>
      </c>
      <c r="E373">
        <v>0</v>
      </c>
      <c r="G373">
        <f t="shared" si="20"/>
        <v>-3.2477536911797715</v>
      </c>
      <c r="H373">
        <f t="shared" si="21"/>
        <v>-3.3711416261723772</v>
      </c>
      <c r="I373" t="e">
        <f t="shared" si="22"/>
        <v>#NUM!</v>
      </c>
      <c r="J373" s="2" t="s">
        <v>8</v>
      </c>
      <c r="K373" t="e">
        <f t="shared" si="23"/>
        <v>#NUM!</v>
      </c>
      <c r="L373" s="5" t="s">
        <v>381</v>
      </c>
      <c r="N373">
        <v>372</v>
      </c>
      <c r="O373">
        <v>-3</v>
      </c>
    </row>
    <row r="374" spans="1:15">
      <c r="A374">
        <v>373</v>
      </c>
      <c r="B374">
        <v>3283</v>
      </c>
      <c r="C374">
        <v>5</v>
      </c>
      <c r="D374">
        <v>1</v>
      </c>
      <c r="E374">
        <v>0</v>
      </c>
      <c r="G374">
        <f t="shared" si="20"/>
        <v>-2.7175294095744031</v>
      </c>
      <c r="H374">
        <f t="shared" si="21"/>
        <v>-3.539887348903028</v>
      </c>
      <c r="I374" t="e">
        <f t="shared" si="22"/>
        <v>#NUM!</v>
      </c>
      <c r="J374" s="2" t="s">
        <v>8</v>
      </c>
      <c r="K374" t="e">
        <f t="shared" si="23"/>
        <v>#NUM!</v>
      </c>
      <c r="L374" s="5" t="s">
        <v>382</v>
      </c>
      <c r="N374">
        <v>373</v>
      </c>
      <c r="O374">
        <v>-3</v>
      </c>
    </row>
    <row r="375" spans="1:15">
      <c r="A375">
        <v>374</v>
      </c>
      <c r="B375">
        <v>3323</v>
      </c>
      <c r="C375">
        <v>0</v>
      </c>
      <c r="D375">
        <v>0</v>
      </c>
      <c r="E375">
        <v>3</v>
      </c>
      <c r="G375" t="e">
        <f t="shared" si="20"/>
        <v>#NUM!</v>
      </c>
      <c r="H375" t="e">
        <f t="shared" si="21"/>
        <v>#NUM!</v>
      </c>
      <c r="I375">
        <f t="shared" si="22"/>
        <v>-2.5797459208472833</v>
      </c>
      <c r="J375" s="2" t="s">
        <v>8</v>
      </c>
      <c r="K375" t="e">
        <f t="shared" si="23"/>
        <v>#NUM!</v>
      </c>
      <c r="L375" s="5" t="s">
        <v>383</v>
      </c>
      <c r="N375">
        <v>374</v>
      </c>
      <c r="O375">
        <v>-3</v>
      </c>
    </row>
    <row r="376" spans="1:15">
      <c r="A376">
        <v>375</v>
      </c>
      <c r="B376">
        <v>9168</v>
      </c>
      <c r="C376">
        <v>0</v>
      </c>
      <c r="D376">
        <v>3</v>
      </c>
      <c r="E376">
        <v>290</v>
      </c>
      <c r="G376" t="e">
        <f t="shared" si="20"/>
        <v>#NUM!</v>
      </c>
      <c r="H376">
        <f t="shared" si="21"/>
        <v>-3.50876981607734</v>
      </c>
      <c r="I376">
        <f t="shared" si="22"/>
        <v>-1.0352134410125933</v>
      </c>
      <c r="J376" s="2" t="s">
        <v>8</v>
      </c>
      <c r="K376" t="e">
        <f t="shared" si="23"/>
        <v>#NUM!</v>
      </c>
      <c r="L376" s="5" t="s">
        <v>384</v>
      </c>
      <c r="N376">
        <v>375</v>
      </c>
      <c r="O376">
        <v>-3</v>
      </c>
    </row>
    <row r="377" spans="1:15">
      <c r="A377">
        <v>376</v>
      </c>
      <c r="B377">
        <v>9245</v>
      </c>
      <c r="C377">
        <v>242</v>
      </c>
      <c r="D377">
        <v>10</v>
      </c>
      <c r="E377">
        <v>6</v>
      </c>
      <c r="G377">
        <f t="shared" si="20"/>
        <v>-1.4823200806958423</v>
      </c>
      <c r="H377">
        <f t="shared" si="21"/>
        <v>-2.9895233816688798</v>
      </c>
      <c r="I377">
        <f t="shared" si="22"/>
        <v>-2.7230924993997827</v>
      </c>
      <c r="J377" s="2" t="s">
        <v>8</v>
      </c>
      <c r="K377">
        <f t="shared" si="23"/>
        <v>-2.3983119872548353</v>
      </c>
      <c r="L377" s="5" t="s">
        <v>385</v>
      </c>
      <c r="N377">
        <v>376</v>
      </c>
      <c r="O377">
        <v>-2.3983119872548353</v>
      </c>
    </row>
    <row r="378" spans="1:15">
      <c r="A378">
        <v>377</v>
      </c>
      <c r="B378">
        <v>2706</v>
      </c>
      <c r="C378">
        <v>0</v>
      </c>
      <c r="D378">
        <v>0</v>
      </c>
      <c r="E378">
        <v>11</v>
      </c>
      <c r="G378" t="e">
        <f t="shared" si="20"/>
        <v>#NUM!</v>
      </c>
      <c r="H378" t="e">
        <f t="shared" si="21"/>
        <v>#NUM!</v>
      </c>
      <c r="I378">
        <f t="shared" si="22"/>
        <v>-1.9262719413916134</v>
      </c>
      <c r="J378" s="2" t="s">
        <v>8</v>
      </c>
      <c r="K378" t="e">
        <f t="shared" si="23"/>
        <v>#NUM!</v>
      </c>
      <c r="L378" s="5" t="s">
        <v>386</v>
      </c>
      <c r="N378">
        <v>377</v>
      </c>
      <c r="O378">
        <v>-3</v>
      </c>
    </row>
    <row r="379" spans="1:15">
      <c r="A379">
        <v>378</v>
      </c>
      <c r="B379">
        <v>8505</v>
      </c>
      <c r="C379">
        <v>100</v>
      </c>
      <c r="D379">
        <v>32</v>
      </c>
      <c r="E379">
        <v>22</v>
      </c>
      <c r="G379">
        <f t="shared" si="20"/>
        <v>-1.8299028491296696</v>
      </c>
      <c r="H379">
        <f t="shared" si="21"/>
        <v>-2.4481408058023697</v>
      </c>
      <c r="I379">
        <f t="shared" si="22"/>
        <v>-2.1225884714146162</v>
      </c>
      <c r="J379" s="2" t="s">
        <v>8</v>
      </c>
      <c r="K379">
        <f t="shared" si="23"/>
        <v>-2.133544042115552</v>
      </c>
      <c r="L379" s="5" t="s">
        <v>387</v>
      </c>
      <c r="N379">
        <v>378</v>
      </c>
      <c r="O379">
        <v>-2.133544042115552</v>
      </c>
    </row>
    <row r="380" spans="1:15">
      <c r="A380">
        <v>379</v>
      </c>
      <c r="B380">
        <v>4421</v>
      </c>
      <c r="C380">
        <v>15798</v>
      </c>
      <c r="D380">
        <v>5638</v>
      </c>
      <c r="E380">
        <v>304</v>
      </c>
      <c r="G380">
        <f t="shared" si="20"/>
        <v>0.65285306340275584</v>
      </c>
      <c r="H380">
        <f t="shared" si="21"/>
        <v>8.1988090456021651E-2</v>
      </c>
      <c r="I380">
        <f t="shared" si="22"/>
        <v>-0.6979837655853548</v>
      </c>
      <c r="J380" s="2" t="s">
        <v>8</v>
      </c>
      <c r="K380">
        <f t="shared" si="23"/>
        <v>1.2285796091140888E-2</v>
      </c>
      <c r="L380" s="5" t="s">
        <v>388</v>
      </c>
      <c r="N380">
        <v>379</v>
      </c>
      <c r="O380">
        <v>1.2285796091140888E-2</v>
      </c>
    </row>
    <row r="381" spans="1:15">
      <c r="A381">
        <v>380</v>
      </c>
      <c r="B381">
        <v>1869</v>
      </c>
      <c r="C381">
        <v>0</v>
      </c>
      <c r="D381">
        <v>1</v>
      </c>
      <c r="E381">
        <v>25</v>
      </c>
      <c r="G381" t="e">
        <f t="shared" si="20"/>
        <v>#NUM!</v>
      </c>
      <c r="H381">
        <f t="shared" si="21"/>
        <v>-3.2952257675525196</v>
      </c>
      <c r="I381">
        <f t="shared" si="22"/>
        <v>-1.4090061269950289</v>
      </c>
      <c r="J381" s="2" t="s">
        <v>8</v>
      </c>
      <c r="K381" t="e">
        <f t="shared" si="23"/>
        <v>#NUM!</v>
      </c>
      <c r="L381" s="5" t="s">
        <v>389</v>
      </c>
      <c r="N381">
        <v>380</v>
      </c>
      <c r="O381">
        <v>-3</v>
      </c>
    </row>
    <row r="382" spans="1:15">
      <c r="A382">
        <v>381</v>
      </c>
      <c r="B382">
        <v>3951</v>
      </c>
      <c r="C382">
        <v>3</v>
      </c>
      <c r="D382">
        <v>2</v>
      </c>
      <c r="E382">
        <v>0</v>
      </c>
      <c r="G382">
        <f t="shared" si="20"/>
        <v>-3.0198143061428659</v>
      </c>
      <c r="H382">
        <f t="shared" si="21"/>
        <v>-3.3192935001911525</v>
      </c>
      <c r="I382" t="e">
        <f t="shared" si="22"/>
        <v>#NUM!</v>
      </c>
      <c r="J382" s="2" t="s">
        <v>8</v>
      </c>
      <c r="K382" t="e">
        <f t="shared" si="23"/>
        <v>#NUM!</v>
      </c>
      <c r="L382" s="5" t="s">
        <v>390</v>
      </c>
      <c r="N382">
        <v>381</v>
      </c>
      <c r="O382">
        <v>-3</v>
      </c>
    </row>
    <row r="383" spans="1:15">
      <c r="A383">
        <v>382</v>
      </c>
      <c r="B383">
        <v>930</v>
      </c>
      <c r="C383">
        <v>4</v>
      </c>
      <c r="D383">
        <v>0</v>
      </c>
      <c r="E383">
        <v>0</v>
      </c>
      <c r="G383">
        <f t="shared" si="20"/>
        <v>-2.2666514884070548</v>
      </c>
      <c r="H383" t="e">
        <f t="shared" si="21"/>
        <v>#NUM!</v>
      </c>
      <c r="I383" t="e">
        <f t="shared" si="22"/>
        <v>#NUM!</v>
      </c>
      <c r="J383" s="2" t="s">
        <v>8</v>
      </c>
      <c r="K383" t="e">
        <f t="shared" si="23"/>
        <v>#NUM!</v>
      </c>
      <c r="L383" s="5" t="s">
        <v>391</v>
      </c>
      <c r="N383">
        <v>382</v>
      </c>
      <c r="O383">
        <v>-3</v>
      </c>
    </row>
    <row r="384" spans="1:15">
      <c r="A384">
        <v>383</v>
      </c>
      <c r="B384">
        <v>1326</v>
      </c>
      <c r="C384">
        <v>21</v>
      </c>
      <c r="D384">
        <v>159</v>
      </c>
      <c r="E384">
        <v>158</v>
      </c>
      <c r="G384">
        <f t="shared" si="20"/>
        <v>-1.700552760515917</v>
      </c>
      <c r="H384">
        <f t="shared" si="21"/>
        <v>-0.94476286592199077</v>
      </c>
      <c r="I384">
        <f t="shared" si="22"/>
        <v>-0.45922327140256636</v>
      </c>
      <c r="J384" s="2" t="s">
        <v>8</v>
      </c>
      <c r="K384">
        <f t="shared" si="23"/>
        <v>-1.0348462992801581</v>
      </c>
      <c r="L384" s="5" t="s">
        <v>392</v>
      </c>
      <c r="N384">
        <v>383</v>
      </c>
      <c r="O384">
        <v>-1.0348462992801581</v>
      </c>
    </row>
    <row r="385" spans="1:15">
      <c r="A385">
        <v>384</v>
      </c>
      <c r="B385">
        <v>3254</v>
      </c>
      <c r="C385">
        <v>0</v>
      </c>
      <c r="D385">
        <v>0</v>
      </c>
      <c r="E385">
        <v>5</v>
      </c>
      <c r="G385" t="e">
        <f t="shared" si="20"/>
        <v>#NUM!</v>
      </c>
      <c r="H385" t="e">
        <f t="shared" si="21"/>
        <v>#NUM!</v>
      </c>
      <c r="I385">
        <f t="shared" si="22"/>
        <v>-2.3487843785530558</v>
      </c>
      <c r="J385" s="2" t="s">
        <v>8</v>
      </c>
      <c r="K385" t="e">
        <f t="shared" si="23"/>
        <v>#NUM!</v>
      </c>
      <c r="L385" s="5" t="s">
        <v>393</v>
      </c>
      <c r="N385">
        <v>384</v>
      </c>
      <c r="O385">
        <v>-3</v>
      </c>
    </row>
    <row r="386" spans="1:15">
      <c r="A386">
        <v>385</v>
      </c>
      <c r="B386">
        <v>2813</v>
      </c>
      <c r="C386">
        <v>0</v>
      </c>
      <c r="D386">
        <v>3</v>
      </c>
      <c r="E386">
        <v>0</v>
      </c>
      <c r="G386" t="e">
        <f t="shared" ref="G386:G449" si="24">LOG10(C386/B386)-LOG10(3086/3883)</f>
        <v>#NUM!</v>
      </c>
      <c r="H386">
        <f t="shared" ref="H386:H449" si="25">LOG10(D386/B386)-LOG10(4100/3883)</f>
        <v>-2.9956649436192264</v>
      </c>
      <c r="I386" t="e">
        <f t="shared" ref="I386:I449" si="26">LOG10(E386/B386)-LOG10(1332/3883)</f>
        <v>#NUM!</v>
      </c>
      <c r="J386" s="2" t="s">
        <v>8</v>
      </c>
      <c r="K386" t="e">
        <f t="shared" ref="K386:K449" si="27">AVERAGE(G386:I386)</f>
        <v>#NUM!</v>
      </c>
      <c r="L386" s="5" t="s">
        <v>394</v>
      </c>
      <c r="N386">
        <v>385</v>
      </c>
      <c r="O386">
        <v>-3</v>
      </c>
    </row>
    <row r="387" spans="1:15">
      <c r="A387">
        <v>386</v>
      </c>
      <c r="B387">
        <v>4953</v>
      </c>
      <c r="C387">
        <v>12</v>
      </c>
      <c r="D387">
        <v>104</v>
      </c>
      <c r="E387">
        <v>114</v>
      </c>
      <c r="G387">
        <f t="shared" si="24"/>
        <v>-2.5159156131159133</v>
      </c>
      <c r="H387">
        <f t="shared" si="25"/>
        <v>-1.7014514548573636</v>
      </c>
      <c r="I387">
        <f t="shared" si="26"/>
        <v>-1.1733003109342182</v>
      </c>
      <c r="J387" s="2" t="s">
        <v>8</v>
      </c>
      <c r="K387">
        <f t="shared" si="27"/>
        <v>-1.7968891263024984</v>
      </c>
      <c r="L387" s="5" t="s">
        <v>395</v>
      </c>
      <c r="N387">
        <v>386</v>
      </c>
      <c r="O387">
        <v>-1.7968891263024984</v>
      </c>
    </row>
    <row r="388" spans="1:15">
      <c r="A388">
        <v>387</v>
      </c>
      <c r="B388">
        <v>2056</v>
      </c>
      <c r="C388">
        <v>152</v>
      </c>
      <c r="D388">
        <v>35</v>
      </c>
      <c r="E388">
        <v>3</v>
      </c>
      <c r="G388">
        <f t="shared" si="24"/>
        <v>-1.0314080535595473</v>
      </c>
      <c r="H388">
        <f t="shared" si="25"/>
        <v>-1.7925715321466504</v>
      </c>
      <c r="I388">
        <f t="shared" si="26"/>
        <v>-2.3712386898918103</v>
      </c>
      <c r="J388" s="2" t="s">
        <v>8</v>
      </c>
      <c r="K388">
        <f t="shared" si="27"/>
        <v>-1.7317394251993361</v>
      </c>
      <c r="L388" s="5" t="s">
        <v>396</v>
      </c>
      <c r="N388">
        <v>387</v>
      </c>
      <c r="O388">
        <v>-1.7317394251993361</v>
      </c>
    </row>
    <row r="389" spans="1:15">
      <c r="A389">
        <v>388</v>
      </c>
      <c r="B389">
        <v>2406</v>
      </c>
      <c r="C389">
        <v>5</v>
      </c>
      <c r="D389">
        <v>0</v>
      </c>
      <c r="E389">
        <v>3</v>
      </c>
      <c r="G389">
        <f t="shared" si="24"/>
        <v>-2.5825541498488893</v>
      </c>
      <c r="H389" t="e">
        <f t="shared" si="25"/>
        <v>#NUM!</v>
      </c>
      <c r="I389">
        <f t="shared" si="26"/>
        <v>-2.439511202572398</v>
      </c>
      <c r="J389" s="2" t="s">
        <v>8</v>
      </c>
      <c r="K389" t="e">
        <f t="shared" si="27"/>
        <v>#NUM!</v>
      </c>
      <c r="L389" s="5" t="s">
        <v>397</v>
      </c>
      <c r="N389">
        <v>388</v>
      </c>
      <c r="O389">
        <v>-3</v>
      </c>
    </row>
    <row r="390" spans="1:15">
      <c r="A390">
        <v>389</v>
      </c>
      <c r="B390">
        <v>1194</v>
      </c>
      <c r="C390">
        <v>203</v>
      </c>
      <c r="D390">
        <v>546</v>
      </c>
      <c r="E390">
        <v>26</v>
      </c>
      <c r="G390">
        <f t="shared" si="24"/>
        <v>-0.66973682006121926</v>
      </c>
      <c r="H390">
        <f t="shared" si="25"/>
        <v>-0.36342815026230096</v>
      </c>
      <c r="I390">
        <f t="shared" si="26"/>
        <v>-1.197367813110767</v>
      </c>
      <c r="J390" s="3" t="s">
        <v>9</v>
      </c>
      <c r="K390">
        <f t="shared" si="27"/>
        <v>-0.74351092781142913</v>
      </c>
      <c r="L390" s="5" t="s">
        <v>398</v>
      </c>
      <c r="N390">
        <v>389</v>
      </c>
      <c r="O390">
        <v>-0.74351092781142913</v>
      </c>
    </row>
    <row r="391" spans="1:15">
      <c r="A391">
        <v>390</v>
      </c>
      <c r="B391">
        <v>4191</v>
      </c>
      <c r="C391">
        <v>54116</v>
      </c>
      <c r="D391">
        <v>12892</v>
      </c>
      <c r="E391">
        <v>500</v>
      </c>
      <c r="G391">
        <f t="shared" si="24"/>
        <v>1.210779496093068</v>
      </c>
      <c r="H391">
        <f t="shared" si="25"/>
        <v>0.46438616983276465</v>
      </c>
      <c r="I391">
        <f t="shared" si="26"/>
        <v>-0.45868449078606022</v>
      </c>
      <c r="J391" s="3" t="s">
        <v>9</v>
      </c>
      <c r="K391">
        <f t="shared" si="27"/>
        <v>0.40549372504659081</v>
      </c>
      <c r="L391" s="5" t="s">
        <v>399</v>
      </c>
      <c r="N391">
        <v>390</v>
      </c>
      <c r="O391">
        <v>0.40549372504659081</v>
      </c>
    </row>
    <row r="392" spans="1:15">
      <c r="A392">
        <v>391</v>
      </c>
      <c r="B392">
        <v>1752</v>
      </c>
      <c r="C392">
        <v>26950</v>
      </c>
      <c r="D392">
        <v>72</v>
      </c>
      <c r="E392">
        <v>1501</v>
      </c>
      <c r="G392">
        <f t="shared" si="24"/>
        <v>1.2867961365096139</v>
      </c>
      <c r="H392">
        <f t="shared" si="25"/>
        <v>-1.4098180715744815</v>
      </c>
      <c r="I392">
        <f t="shared" si="26"/>
        <v>0.39750975612297379</v>
      </c>
      <c r="J392" s="3" t="s">
        <v>9</v>
      </c>
      <c r="K392">
        <f t="shared" si="27"/>
        <v>9.1495940352702074E-2</v>
      </c>
      <c r="L392" s="5" t="s">
        <v>400</v>
      </c>
      <c r="N392">
        <v>391</v>
      </c>
      <c r="O392">
        <v>9.1495940352702074E-2</v>
      </c>
    </row>
    <row r="393" spans="1:15">
      <c r="A393">
        <v>392</v>
      </c>
      <c r="B393">
        <v>1999</v>
      </c>
      <c r="C393">
        <v>12116</v>
      </c>
      <c r="D393">
        <v>38421</v>
      </c>
      <c r="E393">
        <v>5044</v>
      </c>
      <c r="G393">
        <f t="shared" si="24"/>
        <v>0.8823179393616194</v>
      </c>
      <c r="H393">
        <f t="shared" si="25"/>
        <v>1.2601394039514668</v>
      </c>
      <c r="I393">
        <f t="shared" si="26"/>
        <v>0.86662544949469245</v>
      </c>
      <c r="J393" s="3" t="s">
        <v>9</v>
      </c>
      <c r="K393">
        <f t="shared" si="27"/>
        <v>1.0030275976025929</v>
      </c>
      <c r="L393" s="5" t="s">
        <v>401</v>
      </c>
      <c r="N393">
        <v>392</v>
      </c>
      <c r="O393">
        <v>1.0030275976025929</v>
      </c>
    </row>
    <row r="394" spans="1:15">
      <c r="A394">
        <v>393</v>
      </c>
      <c r="B394">
        <v>4116</v>
      </c>
      <c r="C394">
        <v>67498</v>
      </c>
      <c r="D394">
        <v>68387</v>
      </c>
      <c r="E394">
        <v>2264</v>
      </c>
      <c r="G394">
        <f t="shared" si="24"/>
        <v>1.3145870073842583</v>
      </c>
      <c r="H394">
        <f t="shared" si="25"/>
        <v>1.1968817202622977</v>
      </c>
      <c r="I394">
        <f t="shared" si="26"/>
        <v>0.20506422213760389</v>
      </c>
      <c r="J394" s="3" t="s">
        <v>9</v>
      </c>
      <c r="K394">
        <f t="shared" si="27"/>
        <v>0.90551098326138668</v>
      </c>
      <c r="L394" s="5" t="s">
        <v>402</v>
      </c>
      <c r="N394">
        <v>393</v>
      </c>
      <c r="O394">
        <v>0.90551098326138668</v>
      </c>
    </row>
    <row r="395" spans="1:15">
      <c r="A395">
        <v>394</v>
      </c>
      <c r="B395">
        <v>2424</v>
      </c>
      <c r="C395">
        <v>21142</v>
      </c>
      <c r="D395">
        <v>154174</v>
      </c>
      <c r="E395">
        <v>2931</v>
      </c>
      <c r="G395">
        <f t="shared" si="24"/>
        <v>1.0403849218154211</v>
      </c>
      <c r="H395">
        <f t="shared" si="25"/>
        <v>1.7798620585282467</v>
      </c>
      <c r="I395">
        <f t="shared" si="26"/>
        <v>0.54714636865595234</v>
      </c>
      <c r="J395" s="3" t="s">
        <v>9</v>
      </c>
      <c r="K395">
        <f t="shared" si="27"/>
        <v>1.1224644496665401</v>
      </c>
      <c r="L395" s="5" t="s">
        <v>403</v>
      </c>
      <c r="N395">
        <v>394</v>
      </c>
      <c r="O395">
        <v>1.1224644496665401</v>
      </c>
    </row>
    <row r="396" spans="1:15">
      <c r="A396">
        <v>395</v>
      </c>
      <c r="B396">
        <v>1127</v>
      </c>
      <c r="C396">
        <v>1235</v>
      </c>
      <c r="D396">
        <v>972</v>
      </c>
      <c r="E396">
        <v>283</v>
      </c>
      <c r="G396">
        <f t="shared" si="24"/>
        <v>0.13951451036849613</v>
      </c>
      <c r="H396">
        <f t="shared" si="25"/>
        <v>-8.7874117293519849E-2</v>
      </c>
      <c r="I396">
        <f t="shared" si="26"/>
        <v>-0.1354743148100509</v>
      </c>
      <c r="J396" s="3" t="s">
        <v>9</v>
      </c>
      <c r="K396">
        <f t="shared" si="27"/>
        <v>-2.7944640578358205E-2</v>
      </c>
      <c r="L396" s="5" t="s">
        <v>404</v>
      </c>
      <c r="N396">
        <v>395</v>
      </c>
      <c r="O396">
        <v>-2.7944640578358205E-2</v>
      </c>
    </row>
    <row r="397" spans="1:15">
      <c r="A397">
        <v>396</v>
      </c>
      <c r="B397">
        <v>1808</v>
      </c>
      <c r="C397">
        <v>2103</v>
      </c>
      <c r="D397">
        <v>43603</v>
      </c>
      <c r="E397">
        <v>1277</v>
      </c>
      <c r="G397">
        <f t="shared" si="24"/>
        <v>0.16541231536589474</v>
      </c>
      <c r="H397">
        <f t="shared" si="25"/>
        <v>1.3587014785753655</v>
      </c>
      <c r="I397">
        <f t="shared" si="26"/>
        <v>0.31365563683583608</v>
      </c>
      <c r="J397" s="3" t="s">
        <v>9</v>
      </c>
      <c r="K397">
        <f t="shared" si="27"/>
        <v>0.61258981025903203</v>
      </c>
      <c r="L397" s="5" t="s">
        <v>405</v>
      </c>
      <c r="N397">
        <v>396</v>
      </c>
      <c r="O397">
        <v>0.61258981025903203</v>
      </c>
    </row>
    <row r="398" spans="1:15">
      <c r="A398">
        <v>397</v>
      </c>
      <c r="B398">
        <v>3980</v>
      </c>
      <c r="C398">
        <v>2225</v>
      </c>
      <c r="D398">
        <v>15272</v>
      </c>
      <c r="E398">
        <v>10032</v>
      </c>
      <c r="G398">
        <f t="shared" si="24"/>
        <v>-0.15278158793781937</v>
      </c>
      <c r="H398">
        <f t="shared" si="25"/>
        <v>0.56039637713823454</v>
      </c>
      <c r="I398">
        <f t="shared" si="26"/>
        <v>0.86616761712471879</v>
      </c>
      <c r="J398" s="3" t="s">
        <v>9</v>
      </c>
      <c r="K398">
        <f t="shared" si="27"/>
        <v>0.42459413544171132</v>
      </c>
      <c r="L398" s="5" t="s">
        <v>406</v>
      </c>
      <c r="N398">
        <v>397</v>
      </c>
      <c r="O398">
        <v>0.42459413544171132</v>
      </c>
    </row>
    <row r="399" spans="1:15">
      <c r="A399">
        <v>398</v>
      </c>
      <c r="B399">
        <v>11630</v>
      </c>
      <c r="C399">
        <v>29373</v>
      </c>
      <c r="D399">
        <v>15098</v>
      </c>
      <c r="E399">
        <v>7323</v>
      </c>
      <c r="G399">
        <f t="shared" si="24"/>
        <v>0.50214005937761097</v>
      </c>
      <c r="H399">
        <f t="shared" si="25"/>
        <v>8.9723240133328913E-2</v>
      </c>
      <c r="I399">
        <f t="shared" si="26"/>
        <v>0.26377248512016799</v>
      </c>
      <c r="J399" s="3" t="s">
        <v>9</v>
      </c>
      <c r="K399">
        <f t="shared" si="27"/>
        <v>0.28521192821036928</v>
      </c>
      <c r="L399" s="5" t="s">
        <v>407</v>
      </c>
      <c r="N399">
        <v>398</v>
      </c>
      <c r="O399">
        <v>0.28521192821036928</v>
      </c>
    </row>
    <row r="400" spans="1:15">
      <c r="A400">
        <v>399</v>
      </c>
      <c r="B400">
        <v>3348</v>
      </c>
      <c r="C400">
        <v>11779</v>
      </c>
      <c r="D400">
        <v>9972</v>
      </c>
      <c r="E400">
        <v>39960</v>
      </c>
      <c r="G400">
        <f t="shared" si="24"/>
        <v>0.64609444128014548</v>
      </c>
      <c r="H400">
        <f t="shared" si="25"/>
        <v>0.45038035433682555</v>
      </c>
      <c r="I400">
        <f t="shared" si="26"/>
        <v>1.5415031959444878</v>
      </c>
      <c r="J400" s="3" t="s">
        <v>9</v>
      </c>
      <c r="K400">
        <f t="shared" si="27"/>
        <v>0.87932599718715299</v>
      </c>
      <c r="L400" s="5" t="s">
        <v>408</v>
      </c>
      <c r="N400">
        <v>399</v>
      </c>
      <c r="O400">
        <v>0.87932599718715299</v>
      </c>
    </row>
    <row r="401" spans="1:15">
      <c r="A401">
        <v>400</v>
      </c>
      <c r="B401">
        <v>840</v>
      </c>
      <c r="C401">
        <v>0</v>
      </c>
      <c r="D401">
        <v>0</v>
      </c>
      <c r="E401">
        <v>1</v>
      </c>
      <c r="G401" t="e">
        <f t="shared" si="24"/>
        <v>#NUM!</v>
      </c>
      <c r="H401" t="e">
        <f t="shared" si="25"/>
        <v>#NUM!</v>
      </c>
      <c r="I401">
        <f t="shared" si="26"/>
        <v>-2.4596161203501161</v>
      </c>
      <c r="J401" s="2" t="s">
        <v>8</v>
      </c>
      <c r="K401" t="e">
        <f t="shared" si="27"/>
        <v>#NUM!</v>
      </c>
      <c r="L401" s="5" t="s">
        <v>409</v>
      </c>
      <c r="N401">
        <v>400</v>
      </c>
      <c r="O401">
        <v>-3</v>
      </c>
    </row>
    <row r="402" spans="1:15">
      <c r="A402">
        <v>401</v>
      </c>
      <c r="B402">
        <v>2390</v>
      </c>
      <c r="C402">
        <v>0</v>
      </c>
      <c r="D402">
        <v>56</v>
      </c>
      <c r="E402">
        <v>2</v>
      </c>
      <c r="G402" t="e">
        <f t="shared" si="24"/>
        <v>#NUM!</v>
      </c>
      <c r="H402">
        <f t="shared" si="25"/>
        <v>-1.6538263401156252</v>
      </c>
      <c r="I402">
        <f t="shared" si="26"/>
        <v>-2.6127047395723912</v>
      </c>
      <c r="J402" s="2" t="s">
        <v>8</v>
      </c>
      <c r="K402" t="e">
        <f t="shared" si="27"/>
        <v>#NUM!</v>
      </c>
      <c r="L402" s="5" t="s">
        <v>410</v>
      </c>
      <c r="N402">
        <v>401</v>
      </c>
      <c r="O402">
        <v>-3</v>
      </c>
    </row>
    <row r="403" spans="1:15">
      <c r="A403">
        <v>402</v>
      </c>
      <c r="B403">
        <v>1239</v>
      </c>
      <c r="C403">
        <v>0</v>
      </c>
      <c r="D403">
        <v>30</v>
      </c>
      <c r="E403">
        <v>4</v>
      </c>
      <c r="G403" t="e">
        <f t="shared" si="24"/>
        <v>#NUM!</v>
      </c>
      <c r="H403">
        <f t="shared" si="25"/>
        <v>-1.6395665178300889</v>
      </c>
      <c r="I403">
        <f t="shared" si="26"/>
        <v>-2.0263481493363358</v>
      </c>
      <c r="J403" s="2" t="s">
        <v>8</v>
      </c>
      <c r="K403" t="e">
        <f t="shared" si="27"/>
        <v>#NUM!</v>
      </c>
      <c r="L403" s="5" t="s">
        <v>411</v>
      </c>
      <c r="N403">
        <v>402</v>
      </c>
      <c r="O403">
        <v>-3</v>
      </c>
    </row>
    <row r="404" spans="1:15">
      <c r="A404">
        <v>403</v>
      </c>
      <c r="B404">
        <v>7206</v>
      </c>
      <c r="C404">
        <v>0</v>
      </c>
      <c r="D404">
        <v>6</v>
      </c>
      <c r="E404">
        <v>8</v>
      </c>
      <c r="G404" t="e">
        <f t="shared" si="24"/>
        <v>#NUM!</v>
      </c>
      <c r="H404">
        <f t="shared" si="25"/>
        <v>-3.1031594735765937</v>
      </c>
      <c r="I404">
        <f t="shared" si="26"/>
        <v>-2.4899411050828406</v>
      </c>
      <c r="J404" s="2" t="s">
        <v>8</v>
      </c>
      <c r="K404" t="e">
        <f t="shared" si="27"/>
        <v>#NUM!</v>
      </c>
      <c r="L404" s="5" t="s">
        <v>412</v>
      </c>
      <c r="N404">
        <v>403</v>
      </c>
      <c r="O404">
        <v>-3</v>
      </c>
    </row>
    <row r="405" spans="1:15">
      <c r="A405">
        <v>404</v>
      </c>
      <c r="B405">
        <v>5320</v>
      </c>
      <c r="C405">
        <v>0</v>
      </c>
      <c r="D405">
        <v>1</v>
      </c>
      <c r="E405">
        <v>2</v>
      </c>
      <c r="G405" t="e">
        <f t="shared" si="24"/>
        <v>#NUM!</v>
      </c>
      <c r="H405">
        <f t="shared" si="25"/>
        <v>-3.749528098468736</v>
      </c>
      <c r="I405">
        <f t="shared" si="26"/>
        <v>-2.9602184709193016</v>
      </c>
      <c r="J405" s="2" t="s">
        <v>8</v>
      </c>
      <c r="K405" t="e">
        <f t="shared" si="27"/>
        <v>#NUM!</v>
      </c>
      <c r="L405" s="5" t="s">
        <v>413</v>
      </c>
      <c r="N405">
        <v>404</v>
      </c>
      <c r="O405">
        <v>-3</v>
      </c>
    </row>
    <row r="406" spans="1:15">
      <c r="A406">
        <v>405</v>
      </c>
      <c r="B406">
        <v>1931</v>
      </c>
      <c r="C406">
        <v>0</v>
      </c>
      <c r="D406">
        <v>0</v>
      </c>
      <c r="E406">
        <v>0</v>
      </c>
      <c r="G406" t="e">
        <f t="shared" si="24"/>
        <v>#NUM!</v>
      </c>
      <c r="H406" t="e">
        <f t="shared" si="25"/>
        <v>#NUM!</v>
      </c>
      <c r="I406" t="e">
        <f t="shared" si="26"/>
        <v>#NUM!</v>
      </c>
      <c r="J406" s="2" t="s">
        <v>8</v>
      </c>
      <c r="K406" t="e">
        <f t="shared" si="27"/>
        <v>#NUM!</v>
      </c>
      <c r="L406" s="5" t="s">
        <v>414</v>
      </c>
      <c r="N406">
        <v>405</v>
      </c>
      <c r="O406">
        <v>-3</v>
      </c>
    </row>
    <row r="407" spans="1:15">
      <c r="A407">
        <v>406</v>
      </c>
      <c r="B407">
        <v>2540</v>
      </c>
      <c r="C407">
        <v>0</v>
      </c>
      <c r="D407">
        <v>1</v>
      </c>
      <c r="E407">
        <v>0</v>
      </c>
      <c r="G407" t="e">
        <f t="shared" si="24"/>
        <v>#NUM!</v>
      </c>
      <c r="H407">
        <f t="shared" si="25"/>
        <v>-3.4284501827936258</v>
      </c>
      <c r="I407" t="e">
        <f t="shared" si="26"/>
        <v>#NUM!</v>
      </c>
      <c r="J407" s="2" t="s">
        <v>8</v>
      </c>
      <c r="K407" t="e">
        <f t="shared" si="27"/>
        <v>#NUM!</v>
      </c>
      <c r="L407" s="5" t="s">
        <v>415</v>
      </c>
      <c r="N407">
        <v>406</v>
      </c>
      <c r="O407">
        <v>-3</v>
      </c>
    </row>
    <row r="408" spans="1:15">
      <c r="A408">
        <v>407</v>
      </c>
      <c r="B408">
        <v>11209</v>
      </c>
      <c r="C408">
        <v>3</v>
      </c>
      <c r="D408">
        <v>1</v>
      </c>
      <c r="E408">
        <v>0</v>
      </c>
      <c r="G408">
        <f t="shared" si="24"/>
        <v>-3.4726741456260712</v>
      </c>
      <c r="H408">
        <f t="shared" si="25"/>
        <v>-4.0731833353383395</v>
      </c>
      <c r="I408" t="e">
        <f t="shared" si="26"/>
        <v>#NUM!</v>
      </c>
      <c r="J408" s="2" t="s">
        <v>8</v>
      </c>
      <c r="K408" t="e">
        <f t="shared" si="27"/>
        <v>#NUM!</v>
      </c>
      <c r="L408" s="5" t="s">
        <v>416</v>
      </c>
      <c r="N408">
        <v>407</v>
      </c>
      <c r="O408">
        <v>-3</v>
      </c>
    </row>
    <row r="409" spans="1:15">
      <c r="A409">
        <v>408</v>
      </c>
      <c r="B409">
        <v>2339</v>
      </c>
      <c r="C409">
        <v>0</v>
      </c>
      <c r="D409">
        <v>0</v>
      </c>
      <c r="E409">
        <v>0</v>
      </c>
      <c r="G409" t="e">
        <f t="shared" si="24"/>
        <v>#NUM!</v>
      </c>
      <c r="H409" t="e">
        <f t="shared" si="25"/>
        <v>#NUM!</v>
      </c>
      <c r="I409" t="e">
        <f t="shared" si="26"/>
        <v>#NUM!</v>
      </c>
      <c r="J409" s="2" t="s">
        <v>8</v>
      </c>
      <c r="K409" t="e">
        <f t="shared" si="27"/>
        <v>#NUM!</v>
      </c>
      <c r="L409" s="5" t="s">
        <v>417</v>
      </c>
      <c r="N409">
        <v>408</v>
      </c>
      <c r="O409">
        <v>-3</v>
      </c>
    </row>
    <row r="410" spans="1:15">
      <c r="A410">
        <v>409</v>
      </c>
      <c r="B410">
        <v>5242</v>
      </c>
      <c r="C410">
        <v>0</v>
      </c>
      <c r="D410">
        <v>0</v>
      </c>
      <c r="E410">
        <v>0</v>
      </c>
      <c r="G410" t="e">
        <f t="shared" si="24"/>
        <v>#NUM!</v>
      </c>
      <c r="H410" t="e">
        <f t="shared" si="25"/>
        <v>#NUM!</v>
      </c>
      <c r="I410" t="e">
        <f t="shared" si="26"/>
        <v>#NUM!</v>
      </c>
      <c r="J410" s="2" t="s">
        <v>8</v>
      </c>
      <c r="K410" t="e">
        <f t="shared" si="27"/>
        <v>#NUM!</v>
      </c>
      <c r="L410" s="5" t="s">
        <v>418</v>
      </c>
      <c r="N410">
        <v>409</v>
      </c>
      <c r="O410">
        <v>-3</v>
      </c>
    </row>
    <row r="411" spans="1:15">
      <c r="A411">
        <v>410</v>
      </c>
      <c r="B411">
        <v>2554</v>
      </c>
      <c r="C411">
        <v>1</v>
      </c>
      <c r="D411">
        <v>3</v>
      </c>
      <c r="E411">
        <v>0</v>
      </c>
      <c r="G411">
        <f t="shared" si="24"/>
        <v>-3.3074494241084786</v>
      </c>
      <c r="H411">
        <f t="shared" si="25"/>
        <v>-2.9537161043814217</v>
      </c>
      <c r="I411" t="e">
        <f t="shared" si="26"/>
        <v>#NUM!</v>
      </c>
      <c r="J411" s="2" t="s">
        <v>8</v>
      </c>
      <c r="K411" t="e">
        <f t="shared" si="27"/>
        <v>#NUM!</v>
      </c>
      <c r="L411" s="5" t="s">
        <v>419</v>
      </c>
      <c r="N411">
        <v>410</v>
      </c>
      <c r="O411">
        <v>-3</v>
      </c>
    </row>
    <row r="412" spans="1:15">
      <c r="A412">
        <v>411</v>
      </c>
      <c r="B412">
        <v>2413</v>
      </c>
      <c r="C412">
        <v>1</v>
      </c>
      <c r="D412">
        <v>3</v>
      </c>
      <c r="E412">
        <v>1</v>
      </c>
      <c r="G412">
        <f t="shared" si="24"/>
        <v>-3.2827858530898677</v>
      </c>
      <c r="H412">
        <f t="shared" si="25"/>
        <v>-2.9290525333628112</v>
      </c>
      <c r="I412">
        <f t="shared" si="26"/>
        <v>-2.9178941561970202</v>
      </c>
      <c r="J412" s="2" t="s">
        <v>8</v>
      </c>
      <c r="K412">
        <f t="shared" si="27"/>
        <v>-3.0432441808832329</v>
      </c>
      <c r="L412" s="5" t="s">
        <v>420</v>
      </c>
      <c r="N412">
        <v>411</v>
      </c>
      <c r="O412">
        <v>-3.0432441808832329</v>
      </c>
    </row>
    <row r="413" spans="1:15">
      <c r="A413">
        <v>412</v>
      </c>
      <c r="B413">
        <v>444</v>
      </c>
      <c r="C413">
        <v>2503</v>
      </c>
      <c r="D413">
        <v>13</v>
      </c>
      <c r="E413">
        <v>163</v>
      </c>
      <c r="G413">
        <f t="shared" si="24"/>
        <v>0.85084934831252146</v>
      </c>
      <c r="H413">
        <f t="shared" si="25"/>
        <v>-1.5570560839814711</v>
      </c>
      <c r="I413">
        <f t="shared" si="26"/>
        <v>2.9467800001103384E-2</v>
      </c>
      <c r="J413" s="2" t="s">
        <v>8</v>
      </c>
      <c r="K413">
        <f t="shared" si="27"/>
        <v>-0.22557964522261542</v>
      </c>
      <c r="L413" s="5" t="s">
        <v>421</v>
      </c>
      <c r="N413">
        <v>412</v>
      </c>
      <c r="O413">
        <v>-0.22557964522261542</v>
      </c>
    </row>
    <row r="414" spans="1:15">
      <c r="A414">
        <v>413</v>
      </c>
      <c r="B414">
        <v>409</v>
      </c>
      <c r="C414">
        <v>5</v>
      </c>
      <c r="D414">
        <v>0</v>
      </c>
      <c r="E414">
        <v>0</v>
      </c>
      <c r="G414">
        <f t="shared" si="24"/>
        <v>-1.8129818348524047</v>
      </c>
      <c r="H414" t="e">
        <f t="shared" si="25"/>
        <v>#NUM!</v>
      </c>
      <c r="I414" t="e">
        <f t="shared" si="26"/>
        <v>#NUM!</v>
      </c>
      <c r="J414" s="3" t="s">
        <v>9</v>
      </c>
      <c r="K414" t="e">
        <f t="shared" si="27"/>
        <v>#NUM!</v>
      </c>
      <c r="L414" s="5" t="s">
        <v>422</v>
      </c>
      <c r="N414">
        <v>413</v>
      </c>
      <c r="O414">
        <v>-3</v>
      </c>
    </row>
    <row r="415" spans="1:15">
      <c r="A415">
        <v>414</v>
      </c>
      <c r="B415">
        <v>2351</v>
      </c>
      <c r="C415">
        <v>14</v>
      </c>
      <c r="D415">
        <v>2</v>
      </c>
      <c r="E415">
        <v>0</v>
      </c>
      <c r="G415">
        <f t="shared" si="24"/>
        <v>-2.1253531246277833</v>
      </c>
      <c r="H415">
        <f t="shared" si="25"/>
        <v>-3.0938390996346459</v>
      </c>
      <c r="I415" t="e">
        <f t="shared" si="26"/>
        <v>#NUM!</v>
      </c>
      <c r="J415" s="3" t="s">
        <v>9</v>
      </c>
      <c r="K415" t="e">
        <f t="shared" si="27"/>
        <v>#NUM!</v>
      </c>
      <c r="L415" s="5" t="s">
        <v>423</v>
      </c>
      <c r="N415">
        <v>414</v>
      </c>
      <c r="O415">
        <v>-3</v>
      </c>
    </row>
    <row r="416" spans="1:15">
      <c r="A416">
        <v>415</v>
      </c>
      <c r="B416">
        <v>961</v>
      </c>
      <c r="C416">
        <v>25</v>
      </c>
      <c r="D416">
        <v>80</v>
      </c>
      <c r="E416">
        <v>338</v>
      </c>
      <c r="G416">
        <f t="shared" si="24"/>
        <v>-1.4850119101775896</v>
      </c>
      <c r="H416">
        <f t="shared" si="25"/>
        <v>-1.1032498668502897</v>
      </c>
      <c r="I416">
        <f t="shared" si="26"/>
        <v>1.0856478320874718E-2</v>
      </c>
      <c r="J416" s="3" t="s">
        <v>9</v>
      </c>
      <c r="K416">
        <f t="shared" si="27"/>
        <v>-0.85913509956900158</v>
      </c>
      <c r="L416" s="5" t="s">
        <v>424</v>
      </c>
      <c r="N416">
        <v>415</v>
      </c>
      <c r="O416">
        <v>-0.85913509956900158</v>
      </c>
    </row>
    <row r="417" spans="1:15">
      <c r="A417">
        <v>416</v>
      </c>
      <c r="B417">
        <v>2636</v>
      </c>
      <c r="C417">
        <v>55</v>
      </c>
      <c r="D417">
        <v>72</v>
      </c>
      <c r="E417">
        <v>196</v>
      </c>
      <c r="G417">
        <f t="shared" si="24"/>
        <v>-1.5808112476088101</v>
      </c>
      <c r="H417">
        <f t="shared" si="25"/>
        <v>-1.5872293756643918</v>
      </c>
      <c r="I417">
        <f t="shared" si="26"/>
        <v>-0.66402616885373089</v>
      </c>
      <c r="J417" s="3" t="s">
        <v>9</v>
      </c>
      <c r="K417">
        <f t="shared" si="27"/>
        <v>-1.2773555973756443</v>
      </c>
      <c r="L417" s="5" t="s">
        <v>425</v>
      </c>
      <c r="N417">
        <v>416</v>
      </c>
      <c r="O417">
        <v>-1.2773555973756443</v>
      </c>
    </row>
    <row r="418" spans="1:15">
      <c r="A418">
        <v>417</v>
      </c>
      <c r="B418">
        <v>1560</v>
      </c>
      <c r="C418">
        <v>296</v>
      </c>
      <c r="D418">
        <v>717</v>
      </c>
      <c r="E418">
        <v>2825</v>
      </c>
      <c r="G418">
        <f t="shared" si="24"/>
        <v>-0.6220614184766049</v>
      </c>
      <c r="H418">
        <f t="shared" si="25"/>
        <v>-0.36122190886034938</v>
      </c>
      <c r="I418">
        <f t="shared" si="26"/>
        <v>0.72255701951276108</v>
      </c>
      <c r="J418" s="3" t="s">
        <v>9</v>
      </c>
      <c r="K418">
        <f t="shared" si="27"/>
        <v>-8.6908769274731082E-2</v>
      </c>
      <c r="L418" s="5" t="s">
        <v>426</v>
      </c>
      <c r="N418">
        <v>417</v>
      </c>
      <c r="O418">
        <v>-8.6908769274731082E-2</v>
      </c>
    </row>
    <row r="419" spans="1:15">
      <c r="A419">
        <v>418</v>
      </c>
      <c r="B419">
        <v>977</v>
      </c>
      <c r="C419">
        <v>4</v>
      </c>
      <c r="D419">
        <v>11</v>
      </c>
      <c r="E419">
        <v>26</v>
      </c>
      <c r="G419">
        <f t="shared" si="24"/>
        <v>-2.2880631035718926</v>
      </c>
      <c r="H419">
        <f t="shared" si="25"/>
        <v>-1.9721183447342361</v>
      </c>
      <c r="I419">
        <f t="shared" si="26"/>
        <v>-1.1102580500361898</v>
      </c>
      <c r="J419" s="3" t="s">
        <v>9</v>
      </c>
      <c r="K419">
        <f t="shared" si="27"/>
        <v>-1.7901464994474392</v>
      </c>
      <c r="L419" s="5" t="s">
        <v>427</v>
      </c>
      <c r="N419">
        <v>418</v>
      </c>
      <c r="O419">
        <v>-1.7901464994474392</v>
      </c>
    </row>
    <row r="420" spans="1:15">
      <c r="A420">
        <v>419</v>
      </c>
      <c r="B420">
        <v>1099</v>
      </c>
      <c r="C420">
        <v>49</v>
      </c>
      <c r="D420">
        <v>238</v>
      </c>
      <c r="E420">
        <v>172</v>
      </c>
      <c r="G420">
        <f t="shared" si="24"/>
        <v>-1.2510301435760587</v>
      </c>
      <c r="H420">
        <f t="shared" si="25"/>
        <v>-0.6880372015406665</v>
      </c>
      <c r="I420">
        <f t="shared" si="26"/>
        <v>-0.34080607980417632</v>
      </c>
      <c r="J420" s="3" t="s">
        <v>9</v>
      </c>
      <c r="K420">
        <f t="shared" si="27"/>
        <v>-0.75995780830696713</v>
      </c>
      <c r="L420" s="5" t="s">
        <v>428</v>
      </c>
      <c r="N420">
        <v>419</v>
      </c>
      <c r="O420">
        <v>-0.75995780830696713</v>
      </c>
    </row>
    <row r="421" spans="1:15">
      <c r="A421">
        <v>420</v>
      </c>
      <c r="B421">
        <v>2303</v>
      </c>
      <c r="C421">
        <v>0</v>
      </c>
      <c r="D421">
        <v>0</v>
      </c>
      <c r="E421">
        <v>0</v>
      </c>
      <c r="G421" t="e">
        <f t="shared" si="24"/>
        <v>#NUM!</v>
      </c>
      <c r="H421" t="e">
        <f t="shared" si="25"/>
        <v>#NUM!</v>
      </c>
      <c r="I421" t="e">
        <f t="shared" si="26"/>
        <v>#NUM!</v>
      </c>
      <c r="J421" s="3" t="s">
        <v>9</v>
      </c>
      <c r="K421" t="e">
        <f t="shared" si="27"/>
        <v>#NUM!</v>
      </c>
      <c r="L421" s="5" t="s">
        <v>429</v>
      </c>
      <c r="N421">
        <v>420</v>
      </c>
      <c r="O421">
        <v>-3</v>
      </c>
    </row>
    <row r="422" spans="1:15">
      <c r="A422">
        <v>421</v>
      </c>
      <c r="B422">
        <v>297</v>
      </c>
      <c r="C422">
        <v>0</v>
      </c>
      <c r="D422">
        <v>1</v>
      </c>
      <c r="E422">
        <v>1</v>
      </c>
      <c r="G422" t="e">
        <f t="shared" si="24"/>
        <v>#NUM!</v>
      </c>
      <c r="H422">
        <f t="shared" si="25"/>
        <v>-2.4963729154909</v>
      </c>
      <c r="I422">
        <f t="shared" si="26"/>
        <v>-2.0080932836054468</v>
      </c>
      <c r="J422" s="3" t="s">
        <v>9</v>
      </c>
      <c r="K422" t="e">
        <f t="shared" si="27"/>
        <v>#NUM!</v>
      </c>
      <c r="L422" s="5" t="s">
        <v>430</v>
      </c>
      <c r="N422">
        <v>421</v>
      </c>
      <c r="O422">
        <v>-3</v>
      </c>
    </row>
    <row r="423" spans="1:15">
      <c r="A423">
        <v>422</v>
      </c>
      <c r="B423">
        <v>421</v>
      </c>
      <c r="C423">
        <v>194</v>
      </c>
      <c r="D423">
        <v>617</v>
      </c>
      <c r="E423">
        <v>770</v>
      </c>
      <c r="G423">
        <f t="shared" si="24"/>
        <v>-0.23670889708652415</v>
      </c>
      <c r="H423">
        <f t="shared" si="25"/>
        <v>0.14238660202388548</v>
      </c>
      <c r="I423">
        <f t="shared" si="26"/>
        <v>0.72687179504857902</v>
      </c>
      <c r="J423" s="3" t="s">
        <v>9</v>
      </c>
      <c r="K423">
        <f t="shared" si="27"/>
        <v>0.21084983332864679</v>
      </c>
      <c r="L423" s="5" t="s">
        <v>431</v>
      </c>
      <c r="N423">
        <v>422</v>
      </c>
      <c r="O423">
        <v>0.21084983332864679</v>
      </c>
    </row>
    <row r="424" spans="1:15">
      <c r="A424">
        <v>423</v>
      </c>
      <c r="B424">
        <v>1110</v>
      </c>
      <c r="C424">
        <v>36</v>
      </c>
      <c r="D424">
        <v>5</v>
      </c>
      <c r="E424">
        <v>16</v>
      </c>
      <c r="G424">
        <f t="shared" si="24"/>
        <v>-1.3892490092004519</v>
      </c>
      <c r="H424">
        <f t="shared" si="25"/>
        <v>-2.3699694406243266</v>
      </c>
      <c r="I424">
        <f t="shared" si="26"/>
        <v>-1.3765398304189671</v>
      </c>
      <c r="J424" s="3" t="s">
        <v>9</v>
      </c>
      <c r="K424">
        <f t="shared" si="27"/>
        <v>-1.7119194267479152</v>
      </c>
      <c r="L424" s="5" t="s">
        <v>432</v>
      </c>
      <c r="N424">
        <v>423</v>
      </c>
      <c r="O424">
        <v>-1.7119194267479152</v>
      </c>
    </row>
    <row r="425" spans="1:15">
      <c r="A425">
        <v>424</v>
      </c>
      <c r="B425">
        <v>848</v>
      </c>
      <c r="C425">
        <v>1149</v>
      </c>
      <c r="D425">
        <v>1</v>
      </c>
      <c r="E425">
        <v>172</v>
      </c>
      <c r="G425">
        <f t="shared" si="24"/>
        <v>0.2316956452504895</v>
      </c>
      <c r="H425">
        <f t="shared" si="25"/>
        <v>-2.9520123184304015</v>
      </c>
      <c r="I425">
        <f t="shared" si="26"/>
        <v>-0.22820423963739955</v>
      </c>
      <c r="J425" s="3" t="s">
        <v>9</v>
      </c>
      <c r="K425">
        <f t="shared" si="27"/>
        <v>-0.98284030427243707</v>
      </c>
      <c r="L425" s="5" t="s">
        <v>433</v>
      </c>
      <c r="N425">
        <v>424</v>
      </c>
      <c r="O425">
        <v>-0.98284030427243707</v>
      </c>
    </row>
    <row r="426" spans="1:15">
      <c r="A426">
        <v>425</v>
      </c>
      <c r="B426">
        <v>1095</v>
      </c>
      <c r="C426">
        <v>78</v>
      </c>
      <c r="D426">
        <v>29</v>
      </c>
      <c r="E426">
        <v>189</v>
      </c>
      <c r="G426">
        <f t="shared" si="24"/>
        <v>-1.0475480476667385</v>
      </c>
      <c r="H426">
        <f t="shared" si="25"/>
        <v>-1.6006325874508691</v>
      </c>
      <c r="I426">
        <f t="shared" si="26"/>
        <v>-0.2982891492911276</v>
      </c>
      <c r="J426" s="3" t="s">
        <v>9</v>
      </c>
      <c r="K426">
        <f t="shared" si="27"/>
        <v>-0.98215659480291162</v>
      </c>
      <c r="L426" s="5" t="s">
        <v>434</v>
      </c>
      <c r="N426">
        <v>425</v>
      </c>
      <c r="O426">
        <v>-0.98215659480291162</v>
      </c>
    </row>
    <row r="427" spans="1:15">
      <c r="A427">
        <v>426</v>
      </c>
      <c r="B427">
        <v>713</v>
      </c>
      <c r="C427">
        <v>82</v>
      </c>
      <c r="D427">
        <v>29</v>
      </c>
      <c r="E427">
        <v>62</v>
      </c>
      <c r="G427">
        <f t="shared" si="24"/>
        <v>-0.83950420864923081</v>
      </c>
      <c r="H427">
        <f t="shared" si="25"/>
        <v>-1.4143079981265974</v>
      </c>
      <c r="I427">
        <f t="shared" si="26"/>
        <v>-0.59603467464184623</v>
      </c>
      <c r="J427" s="3" t="s">
        <v>9</v>
      </c>
      <c r="K427">
        <f t="shared" si="27"/>
        <v>-0.94994896047255828</v>
      </c>
      <c r="L427" s="5" t="s">
        <v>435</v>
      </c>
      <c r="N427">
        <v>426</v>
      </c>
      <c r="O427">
        <v>-0.94994896047255828</v>
      </c>
    </row>
    <row r="428" spans="1:15">
      <c r="A428">
        <v>427</v>
      </c>
      <c r="B428">
        <v>1282</v>
      </c>
      <c r="C428">
        <v>19</v>
      </c>
      <c r="D428">
        <v>9</v>
      </c>
      <c r="E428">
        <v>2</v>
      </c>
      <c r="G428">
        <f t="shared" si="24"/>
        <v>-1.7293629554110515</v>
      </c>
      <c r="H428">
        <f t="shared" si="25"/>
        <v>-2.1772619819171615</v>
      </c>
      <c r="I428">
        <f t="shared" si="26"/>
        <v>-2.3421948638070518</v>
      </c>
      <c r="J428" s="3" t="s">
        <v>9</v>
      </c>
      <c r="K428">
        <f t="shared" si="27"/>
        <v>-2.0829399337117551</v>
      </c>
      <c r="L428" s="5" t="s">
        <v>436</v>
      </c>
      <c r="N428">
        <v>427</v>
      </c>
      <c r="O428">
        <v>-2.0829399337117551</v>
      </c>
    </row>
    <row r="429" spans="1:15">
      <c r="A429">
        <v>428</v>
      </c>
      <c r="B429">
        <v>944</v>
      </c>
      <c r="C429">
        <v>0</v>
      </c>
      <c r="D429">
        <v>7</v>
      </c>
      <c r="E429">
        <v>0</v>
      </c>
      <c r="G429" t="e">
        <f t="shared" si="24"/>
        <v>#NUM!</v>
      </c>
      <c r="H429">
        <f t="shared" si="25"/>
        <v>-2.1534904204575001</v>
      </c>
      <c r="I429" t="e">
        <f t="shared" si="26"/>
        <v>#NUM!</v>
      </c>
      <c r="J429" s="3" t="s">
        <v>9</v>
      </c>
      <c r="K429" t="e">
        <f t="shared" si="27"/>
        <v>#NUM!</v>
      </c>
      <c r="L429" s="5" t="s">
        <v>437</v>
      </c>
      <c r="N429">
        <v>428</v>
      </c>
      <c r="O429">
        <v>-3</v>
      </c>
    </row>
    <row r="430" spans="1:15">
      <c r="A430">
        <v>429</v>
      </c>
      <c r="B430">
        <v>1445</v>
      </c>
      <c r="C430">
        <v>0</v>
      </c>
      <c r="D430">
        <v>0</v>
      </c>
      <c r="E430">
        <v>1</v>
      </c>
      <c r="G430" t="e">
        <f t="shared" si="24"/>
        <v>#NUM!</v>
      </c>
      <c r="H430" t="e">
        <f t="shared" si="25"/>
        <v>#NUM!</v>
      </c>
      <c r="I430">
        <f t="shared" si="26"/>
        <v>-2.695204681380801</v>
      </c>
      <c r="J430" s="3" t="s">
        <v>9</v>
      </c>
      <c r="K430" t="e">
        <f t="shared" si="27"/>
        <v>#NUM!</v>
      </c>
      <c r="L430" s="5" t="s">
        <v>438</v>
      </c>
      <c r="N430">
        <v>429</v>
      </c>
      <c r="O430">
        <v>-3</v>
      </c>
    </row>
    <row r="431" spans="1:15">
      <c r="A431">
        <v>430</v>
      </c>
      <c r="B431">
        <v>884</v>
      </c>
      <c r="C431">
        <v>7</v>
      </c>
      <c r="D431">
        <v>23</v>
      </c>
      <c r="E431">
        <v>28</v>
      </c>
      <c r="G431">
        <f t="shared" si="24"/>
        <v>-2.0015827561798982</v>
      </c>
      <c r="H431">
        <f t="shared" si="25"/>
        <v>-1.6083408951691682</v>
      </c>
      <c r="I431">
        <f t="shared" si="26"/>
        <v>-1.0346310679590887</v>
      </c>
      <c r="J431" s="3" t="s">
        <v>9</v>
      </c>
      <c r="K431">
        <f t="shared" si="27"/>
        <v>-1.5481849064360518</v>
      </c>
      <c r="L431" s="5" t="s">
        <v>439</v>
      </c>
      <c r="N431">
        <v>430</v>
      </c>
      <c r="O431">
        <v>-1.5481849064360518</v>
      </c>
    </row>
    <row r="432" spans="1:15">
      <c r="A432">
        <v>431</v>
      </c>
      <c r="B432">
        <v>2825</v>
      </c>
      <c r="C432">
        <v>76</v>
      </c>
      <c r="D432">
        <v>26</v>
      </c>
      <c r="E432">
        <v>6</v>
      </c>
      <c r="G432">
        <f t="shared" si="24"/>
        <v>-1.4704333910557479</v>
      </c>
      <c r="H432">
        <f t="shared" si="25"/>
        <v>-2.059661570358327</v>
      </c>
      <c r="I432">
        <f t="shared" si="26"/>
        <v>-2.2082040360600481</v>
      </c>
      <c r="J432" s="3" t="s">
        <v>9</v>
      </c>
      <c r="K432">
        <f t="shared" si="27"/>
        <v>-1.9127663324913744</v>
      </c>
      <c r="L432" s="5" t="s">
        <v>440</v>
      </c>
      <c r="N432">
        <v>431</v>
      </c>
      <c r="O432">
        <v>-1.9127663324913744</v>
      </c>
    </row>
    <row r="433" spans="1:15">
      <c r="A433">
        <v>432</v>
      </c>
      <c r="B433">
        <v>1924</v>
      </c>
      <c r="C433">
        <v>234</v>
      </c>
      <c r="D433">
        <v>61</v>
      </c>
      <c r="E433">
        <v>81</v>
      </c>
      <c r="G433">
        <f t="shared" si="24"/>
        <v>-0.81521774147273307</v>
      </c>
      <c r="H433">
        <f t="shared" si="25"/>
        <v>-1.522491698864715</v>
      </c>
      <c r="I433">
        <f t="shared" si="26"/>
        <v>-0.91105688311137911</v>
      </c>
      <c r="J433" s="3" t="s">
        <v>9</v>
      </c>
      <c r="K433">
        <f t="shared" si="27"/>
        <v>-1.0829221078162756</v>
      </c>
      <c r="L433" s="5" t="s">
        <v>441</v>
      </c>
      <c r="N433">
        <v>432</v>
      </c>
      <c r="O433">
        <v>-1.0829221078162756</v>
      </c>
    </row>
    <row r="434" spans="1:15">
      <c r="A434">
        <v>433</v>
      </c>
      <c r="B434">
        <v>580</v>
      </c>
      <c r="C434">
        <v>0</v>
      </c>
      <c r="D434">
        <v>1</v>
      </c>
      <c r="E434">
        <v>0</v>
      </c>
      <c r="G434" t="e">
        <f t="shared" si="24"/>
        <v>#NUM!</v>
      </c>
      <c r="H434">
        <f t="shared" si="25"/>
        <v>-2.7870444597366251</v>
      </c>
      <c r="I434" t="e">
        <f t="shared" si="26"/>
        <v>#NUM!</v>
      </c>
      <c r="J434" s="3" t="s">
        <v>9</v>
      </c>
      <c r="K434" t="e">
        <f t="shared" si="27"/>
        <v>#NUM!</v>
      </c>
      <c r="L434" s="5" t="s">
        <v>442</v>
      </c>
      <c r="N434">
        <v>433</v>
      </c>
      <c r="O434">
        <v>-3</v>
      </c>
    </row>
    <row r="435" spans="1:15">
      <c r="A435">
        <v>434</v>
      </c>
      <c r="B435">
        <v>795</v>
      </c>
      <c r="C435">
        <v>7</v>
      </c>
      <c r="D435">
        <v>56</v>
      </c>
      <c r="E435">
        <v>2</v>
      </c>
      <c r="G435">
        <f t="shared" si="24"/>
        <v>-1.9554976198232954</v>
      </c>
      <c r="H435">
        <f t="shared" si="25"/>
        <v>-1.1757955678239578</v>
      </c>
      <c r="I435">
        <f t="shared" si="26"/>
        <v>-2.1346739672807238</v>
      </c>
      <c r="J435" s="3" t="s">
        <v>9</v>
      </c>
      <c r="K435">
        <f t="shared" si="27"/>
        <v>-1.7553223849759922</v>
      </c>
      <c r="L435" s="5" t="s">
        <v>443</v>
      </c>
      <c r="N435">
        <v>434</v>
      </c>
      <c r="O435">
        <v>-1.7553223849759922</v>
      </c>
    </row>
    <row r="436" spans="1:15">
      <c r="A436">
        <v>435</v>
      </c>
      <c r="B436">
        <v>1613</v>
      </c>
      <c r="C436">
        <v>42</v>
      </c>
      <c r="D436">
        <v>45</v>
      </c>
      <c r="E436">
        <v>24</v>
      </c>
      <c r="G436">
        <f t="shared" si="24"/>
        <v>-1.4846136081721428</v>
      </c>
      <c r="H436">
        <f t="shared" si="25"/>
        <v>-1.5780383197873058</v>
      </c>
      <c r="I436">
        <f t="shared" si="26"/>
        <v>-1.3627599599655902</v>
      </c>
      <c r="J436" s="3" t="s">
        <v>9</v>
      </c>
      <c r="K436">
        <f t="shared" si="27"/>
        <v>-1.4751372959750129</v>
      </c>
      <c r="L436" s="5" t="s">
        <v>444</v>
      </c>
      <c r="N436">
        <v>435</v>
      </c>
      <c r="O436">
        <v>-1.4751372959750129</v>
      </c>
    </row>
    <row r="437" spans="1:15">
      <c r="A437">
        <v>436</v>
      </c>
      <c r="B437">
        <v>983</v>
      </c>
      <c r="C437">
        <v>60</v>
      </c>
      <c r="D437">
        <v>644</v>
      </c>
      <c r="E437">
        <v>141</v>
      </c>
      <c r="G437">
        <f t="shared" si="24"/>
        <v>-1.1146307986295738</v>
      </c>
      <c r="H437">
        <f t="shared" si="25"/>
        <v>-0.2072841166460114</v>
      </c>
      <c r="I437">
        <f t="shared" si="26"/>
        <v>-0.37867123946499037</v>
      </c>
      <c r="J437" s="3" t="s">
        <v>9</v>
      </c>
      <c r="K437">
        <f t="shared" si="27"/>
        <v>-0.56686205158019176</v>
      </c>
      <c r="L437" s="5" t="s">
        <v>445</v>
      </c>
      <c r="N437">
        <v>436</v>
      </c>
      <c r="O437">
        <v>-0.56686205158019176</v>
      </c>
    </row>
    <row r="438" spans="1:15">
      <c r="A438">
        <v>437</v>
      </c>
      <c r="B438">
        <v>583</v>
      </c>
      <c r="C438">
        <v>59</v>
      </c>
      <c r="D438">
        <v>180</v>
      </c>
      <c r="E438">
        <v>53</v>
      </c>
      <c r="G438">
        <f t="shared" si="24"/>
        <v>-0.89504507429795166</v>
      </c>
      <c r="H438">
        <f t="shared" si="25"/>
        <v>-0.53401251582939602</v>
      </c>
      <c r="I438">
        <f t="shared" si="26"/>
        <v>-0.57672951944645956</v>
      </c>
      <c r="J438" s="3" t="s">
        <v>9</v>
      </c>
      <c r="K438">
        <f t="shared" si="27"/>
        <v>-0.66859570319126904</v>
      </c>
      <c r="L438" s="5" t="s">
        <v>446</v>
      </c>
      <c r="N438">
        <v>437</v>
      </c>
      <c r="O438">
        <v>-0.66859570319126904</v>
      </c>
    </row>
    <row r="439" spans="1:15">
      <c r="A439">
        <v>438</v>
      </c>
      <c r="B439">
        <v>3415</v>
      </c>
      <c r="C439">
        <v>1</v>
      </c>
      <c r="D439">
        <v>3</v>
      </c>
      <c r="E439">
        <v>5</v>
      </c>
      <c r="G439">
        <f t="shared" si="24"/>
        <v>-3.4336192391986335</v>
      </c>
      <c r="H439">
        <f t="shared" si="25"/>
        <v>-3.0798859194715766</v>
      </c>
      <c r="I439">
        <f t="shared" si="26"/>
        <v>-2.3697575379697673</v>
      </c>
      <c r="J439" s="3" t="s">
        <v>9</v>
      </c>
      <c r="K439">
        <f t="shared" si="27"/>
        <v>-2.9610875655466593</v>
      </c>
      <c r="L439" s="5" t="s">
        <v>447</v>
      </c>
      <c r="N439">
        <v>438</v>
      </c>
      <c r="O439">
        <v>-2.9610875655466593</v>
      </c>
    </row>
    <row r="440" spans="1:15">
      <c r="A440">
        <v>439</v>
      </c>
      <c r="B440">
        <v>1473</v>
      </c>
      <c r="C440">
        <v>16</v>
      </c>
      <c r="D440">
        <v>32</v>
      </c>
      <c r="E440">
        <v>7</v>
      </c>
      <c r="G440">
        <f t="shared" si="24"/>
        <v>-1.8643112953677881</v>
      </c>
      <c r="H440">
        <f t="shared" si="25"/>
        <v>-1.6866692346964129</v>
      </c>
      <c r="I440">
        <f t="shared" si="26"/>
        <v>-1.8584415411166084</v>
      </c>
      <c r="J440" s="3" t="s">
        <v>9</v>
      </c>
      <c r="K440">
        <f t="shared" si="27"/>
        <v>-1.8031406903936034</v>
      </c>
      <c r="L440" s="5" t="s">
        <v>448</v>
      </c>
      <c r="N440">
        <v>439</v>
      </c>
      <c r="O440">
        <v>-1.8031406903936034</v>
      </c>
    </row>
    <row r="441" spans="1:15">
      <c r="A441">
        <v>440</v>
      </c>
      <c r="B441">
        <v>3073</v>
      </c>
      <c r="C441">
        <v>207</v>
      </c>
      <c r="D441">
        <v>396</v>
      </c>
      <c r="E441">
        <v>100</v>
      </c>
      <c r="G441">
        <f t="shared" si="24"/>
        <v>-1.0718207459805422</v>
      </c>
      <c r="H441">
        <f t="shared" si="25"/>
        <v>-0.91348384050455389</v>
      </c>
      <c r="I441">
        <f t="shared" si="26"/>
        <v>-1.0228993945446128</v>
      </c>
      <c r="J441" s="3" t="s">
        <v>9</v>
      </c>
      <c r="K441">
        <f t="shared" si="27"/>
        <v>-1.0027346603432363</v>
      </c>
      <c r="L441" s="5" t="s">
        <v>449</v>
      </c>
      <c r="N441">
        <v>440</v>
      </c>
      <c r="O441">
        <v>-1.0027346603432363</v>
      </c>
    </row>
    <row r="442" spans="1:15">
      <c r="A442">
        <v>441</v>
      </c>
      <c r="B442">
        <v>4435</v>
      </c>
      <c r="C442">
        <v>0</v>
      </c>
      <c r="D442">
        <v>3</v>
      </c>
      <c r="E442">
        <v>0</v>
      </c>
      <c r="G442" t="e">
        <f t="shared" si="24"/>
        <v>#NUM!</v>
      </c>
      <c r="H442">
        <f t="shared" si="25"/>
        <v>-3.1933888356217706</v>
      </c>
      <c r="I442" t="e">
        <f t="shared" si="26"/>
        <v>#NUM!</v>
      </c>
      <c r="J442" s="3" t="s">
        <v>9</v>
      </c>
      <c r="K442" t="e">
        <f t="shared" si="27"/>
        <v>#NUM!</v>
      </c>
      <c r="L442" s="5" t="s">
        <v>450</v>
      </c>
      <c r="N442">
        <v>441</v>
      </c>
      <c r="O442">
        <v>-3</v>
      </c>
    </row>
    <row r="443" spans="1:15">
      <c r="A443">
        <v>442</v>
      </c>
      <c r="B443">
        <v>2235</v>
      </c>
      <c r="C443">
        <v>159</v>
      </c>
      <c r="D443">
        <v>1</v>
      </c>
      <c r="E443">
        <v>0</v>
      </c>
      <c r="G443">
        <f t="shared" si="24"/>
        <v>-1.0481089343285857</v>
      </c>
      <c r="H443">
        <f t="shared" si="25"/>
        <v>-3.3728939936416431</v>
      </c>
      <c r="I443" t="e">
        <f t="shared" si="26"/>
        <v>#NUM!</v>
      </c>
      <c r="J443" s="3" t="s">
        <v>9</v>
      </c>
      <c r="K443" t="e">
        <f t="shared" si="27"/>
        <v>#NUM!</v>
      </c>
      <c r="L443" s="5" t="s">
        <v>451</v>
      </c>
      <c r="N443">
        <v>442</v>
      </c>
      <c r="O443">
        <v>-3</v>
      </c>
    </row>
    <row r="444" spans="1:15">
      <c r="A444">
        <v>443</v>
      </c>
      <c r="B444">
        <v>1972</v>
      </c>
      <c r="C444">
        <v>0</v>
      </c>
      <c r="D444">
        <v>0</v>
      </c>
      <c r="E444">
        <v>1</v>
      </c>
      <c r="G444" t="e">
        <f t="shared" si="24"/>
        <v>#NUM!</v>
      </c>
      <c r="H444" t="e">
        <f t="shared" si="25"/>
        <v>#NUM!</v>
      </c>
      <c r="I444">
        <f t="shared" si="26"/>
        <v>-2.8302437448934268</v>
      </c>
      <c r="J444" s="3" t="s">
        <v>9</v>
      </c>
      <c r="K444" t="e">
        <f t="shared" si="27"/>
        <v>#NUM!</v>
      </c>
      <c r="L444" s="5" t="s">
        <v>452</v>
      </c>
      <c r="N444">
        <v>443</v>
      </c>
      <c r="O444">
        <v>-3</v>
      </c>
    </row>
    <row r="445" spans="1:15">
      <c r="A445">
        <v>444</v>
      </c>
      <c r="B445">
        <v>2258</v>
      </c>
      <c r="C445">
        <v>11</v>
      </c>
      <c r="D445">
        <v>16</v>
      </c>
      <c r="E445">
        <v>40</v>
      </c>
      <c r="G445">
        <f t="shared" si="24"/>
        <v>-2.2125597836118063</v>
      </c>
      <c r="H445">
        <f t="shared" si="25"/>
        <v>-2.1732204211067119</v>
      </c>
      <c r="I445">
        <f t="shared" si="26"/>
        <v>-1.2870007805492212</v>
      </c>
      <c r="J445" s="3" t="s">
        <v>8</v>
      </c>
      <c r="K445">
        <f t="shared" si="27"/>
        <v>-1.8909269950892462</v>
      </c>
      <c r="L445" s="5" t="s">
        <v>453</v>
      </c>
      <c r="N445">
        <v>444</v>
      </c>
      <c r="O445">
        <v>-1.8909269950892462</v>
      </c>
    </row>
    <row r="446" spans="1:15">
      <c r="A446">
        <v>445</v>
      </c>
      <c r="B446">
        <v>383</v>
      </c>
      <c r="C446">
        <v>27</v>
      </c>
      <c r="D446">
        <v>75</v>
      </c>
      <c r="E446">
        <v>95</v>
      </c>
      <c r="G446">
        <f t="shared" si="24"/>
        <v>-1.0520635409907173</v>
      </c>
      <c r="H446">
        <f t="shared" si="25"/>
        <v>-0.7317539767506106</v>
      </c>
      <c r="I446">
        <f t="shared" si="26"/>
        <v>-0.14081200296800966</v>
      </c>
      <c r="J446" s="3" t="s">
        <v>9</v>
      </c>
      <c r="K446">
        <f t="shared" si="27"/>
        <v>-0.6415431735697793</v>
      </c>
      <c r="L446" s="5" t="s">
        <v>454</v>
      </c>
      <c r="N446">
        <v>445</v>
      </c>
      <c r="O446">
        <v>-0.6415431735697793</v>
      </c>
    </row>
    <row r="447" spans="1:15">
      <c r="A447">
        <v>446</v>
      </c>
      <c r="B447">
        <v>1103</v>
      </c>
      <c r="C447">
        <v>1486</v>
      </c>
      <c r="D447">
        <v>468</v>
      </c>
      <c r="E447">
        <v>851</v>
      </c>
      <c r="G447">
        <f t="shared" si="24"/>
        <v>0.22921476580328404</v>
      </c>
      <c r="H447">
        <f t="shared" si="25"/>
        <v>-0.3959461255397545</v>
      </c>
      <c r="I447">
        <f t="shared" si="26"/>
        <v>0.35201721335616265</v>
      </c>
      <c r="J447" s="3" t="s">
        <v>9</v>
      </c>
      <c r="K447">
        <f t="shared" si="27"/>
        <v>6.176195120656406E-2</v>
      </c>
      <c r="L447" s="5" t="s">
        <v>455</v>
      </c>
      <c r="N447">
        <v>446</v>
      </c>
      <c r="O447">
        <v>6.176195120656406E-2</v>
      </c>
    </row>
    <row r="448" spans="1:15">
      <c r="A448">
        <v>447</v>
      </c>
      <c r="B448">
        <v>217</v>
      </c>
      <c r="C448">
        <v>0</v>
      </c>
      <c r="D448">
        <v>0</v>
      </c>
      <c r="E448">
        <v>2</v>
      </c>
      <c r="G448" t="e">
        <f t="shared" si="24"/>
        <v>#NUM!</v>
      </c>
      <c r="H448" t="e">
        <f t="shared" si="25"/>
        <v>#NUM!</v>
      </c>
      <c r="I448">
        <f t="shared" si="26"/>
        <v>-1.5707665724727828</v>
      </c>
      <c r="J448" s="3" t="s">
        <v>9</v>
      </c>
      <c r="K448" t="e">
        <f t="shared" si="27"/>
        <v>#NUM!</v>
      </c>
      <c r="L448" s="5" t="s">
        <v>456</v>
      </c>
      <c r="N448">
        <v>447</v>
      </c>
      <c r="O448">
        <v>-3</v>
      </c>
    </row>
    <row r="449" spans="1:15">
      <c r="A449">
        <v>448</v>
      </c>
      <c r="B449">
        <v>317</v>
      </c>
      <c r="C449">
        <v>0</v>
      </c>
      <c r="D449">
        <v>0</v>
      </c>
      <c r="E449">
        <v>0</v>
      </c>
      <c r="G449" t="e">
        <f t="shared" si="24"/>
        <v>#NUM!</v>
      </c>
      <c r="H449" t="e">
        <f t="shared" si="25"/>
        <v>#NUM!</v>
      </c>
      <c r="I449" t="e">
        <f t="shared" si="26"/>
        <v>#NUM!</v>
      </c>
      <c r="J449" s="3" t="s">
        <v>9</v>
      </c>
      <c r="K449" t="e">
        <f t="shared" si="27"/>
        <v>#NUM!</v>
      </c>
      <c r="L449" s="5" t="s">
        <v>457</v>
      </c>
      <c r="N449">
        <v>448</v>
      </c>
      <c r="O449">
        <v>-3</v>
      </c>
    </row>
    <row r="450" spans="1:15">
      <c r="A450">
        <v>449</v>
      </c>
      <c r="B450">
        <v>515</v>
      </c>
      <c r="C450">
        <v>6</v>
      </c>
      <c r="D450">
        <v>5</v>
      </c>
      <c r="E450">
        <v>2</v>
      </c>
      <c r="G450">
        <f t="shared" ref="G450:G513" si="28">LOG10(C450/B450)-LOG10(3086/3883)</f>
        <v>-1.8338845098386292</v>
      </c>
      <c r="H450">
        <f t="shared" ref="H450:H513" si="29">LOG10(D450/B450)-LOG10(4100/3883)</f>
        <v>-2.0364536908788602</v>
      </c>
      <c r="I450">
        <f t="shared" ref="I450:I513" si="30">LOG10(E450/B450)-LOG10(1332/3883)</f>
        <v>-1.9461140676654445</v>
      </c>
      <c r="J450" s="3" t="s">
        <v>9</v>
      </c>
      <c r="K450">
        <f t="shared" ref="K450:K513" si="31">AVERAGE(G450:I450)</f>
        <v>-1.9388174227943111</v>
      </c>
      <c r="L450" s="5" t="s">
        <v>458</v>
      </c>
      <c r="N450">
        <v>449</v>
      </c>
      <c r="O450">
        <v>-1.9388174227943111</v>
      </c>
    </row>
    <row r="451" spans="1:15">
      <c r="A451">
        <v>450</v>
      </c>
      <c r="B451">
        <v>253</v>
      </c>
      <c r="C451">
        <v>915</v>
      </c>
      <c r="D451">
        <v>172</v>
      </c>
      <c r="E451">
        <v>68</v>
      </c>
      <c r="G451">
        <f t="shared" si="28"/>
        <v>0.65807204170954847</v>
      </c>
      <c r="H451">
        <f t="shared" si="29"/>
        <v>-0.19120854044195693</v>
      </c>
      <c r="I451">
        <f t="shared" si="30"/>
        <v>-0.10594844275781623</v>
      </c>
      <c r="J451" s="3" t="s">
        <v>9</v>
      </c>
      <c r="K451">
        <f t="shared" si="31"/>
        <v>0.12030501950325845</v>
      </c>
      <c r="L451" s="5" t="s">
        <v>459</v>
      </c>
      <c r="N451">
        <v>450</v>
      </c>
      <c r="O451">
        <v>0.12030501950325845</v>
      </c>
    </row>
    <row r="452" spans="1:15">
      <c r="A452">
        <v>451</v>
      </c>
      <c r="B452">
        <v>1084</v>
      </c>
      <c r="C452">
        <v>57</v>
      </c>
      <c r="D452">
        <v>10</v>
      </c>
      <c r="E452">
        <v>95</v>
      </c>
      <c r="G452">
        <f t="shared" si="28"/>
        <v>-1.1793829577109585</v>
      </c>
      <c r="H452">
        <f t="shared" si="29"/>
        <v>-2.0586457483760561</v>
      </c>
      <c r="I452">
        <f t="shared" si="30"/>
        <v>-0.59264251120175493</v>
      </c>
      <c r="J452" s="3" t="s">
        <v>9</v>
      </c>
      <c r="K452">
        <f t="shared" si="31"/>
        <v>-1.2768904057629231</v>
      </c>
      <c r="L452" s="5" t="s">
        <v>460</v>
      </c>
      <c r="N452">
        <v>451</v>
      </c>
      <c r="O452">
        <v>-1.2768904057629231</v>
      </c>
    </row>
    <row r="453" spans="1:15">
      <c r="A453">
        <v>452</v>
      </c>
      <c r="B453">
        <v>586</v>
      </c>
      <c r="C453">
        <v>71</v>
      </c>
      <c r="D453">
        <v>59</v>
      </c>
      <c r="E453">
        <v>50</v>
      </c>
      <c r="G453">
        <f t="shared" si="28"/>
        <v>-0.81686779848009716</v>
      </c>
      <c r="H453">
        <f t="shared" si="29"/>
        <v>-1.0206620705496343</v>
      </c>
      <c r="I453">
        <f t="shared" si="30"/>
        <v>-0.60426444597030649</v>
      </c>
      <c r="J453" s="3" t="s">
        <v>9</v>
      </c>
      <c r="K453">
        <f t="shared" si="31"/>
        <v>-0.81393143833334591</v>
      </c>
      <c r="L453" s="5" t="s">
        <v>461</v>
      </c>
      <c r="N453">
        <v>452</v>
      </c>
      <c r="O453">
        <v>-0.81393143833334591</v>
      </c>
    </row>
    <row r="454" spans="1:15">
      <c r="A454">
        <v>453</v>
      </c>
      <c r="B454">
        <v>2278</v>
      </c>
      <c r="C454">
        <v>0</v>
      </c>
      <c r="D454">
        <v>0</v>
      </c>
      <c r="E454">
        <v>0</v>
      </c>
      <c r="G454" t="e">
        <f t="shared" si="28"/>
        <v>#NUM!</v>
      </c>
      <c r="H454" t="e">
        <f t="shared" si="29"/>
        <v>#NUM!</v>
      </c>
      <c r="I454" t="e">
        <f t="shared" si="30"/>
        <v>#NUM!</v>
      </c>
      <c r="J454" s="2" t="s">
        <v>8</v>
      </c>
      <c r="K454" t="e">
        <f t="shared" si="31"/>
        <v>#NUM!</v>
      </c>
      <c r="L454" s="5" t="s">
        <v>462</v>
      </c>
      <c r="N454">
        <v>453</v>
      </c>
      <c r="O454">
        <v>-3</v>
      </c>
    </row>
    <row r="455" spans="1:15">
      <c r="A455">
        <v>454</v>
      </c>
      <c r="B455">
        <v>2730</v>
      </c>
      <c r="C455">
        <v>0</v>
      </c>
      <c r="D455">
        <v>0</v>
      </c>
      <c r="E455">
        <v>2</v>
      </c>
      <c r="G455" t="e">
        <f t="shared" si="28"/>
        <v>#NUM!</v>
      </c>
      <c r="H455" t="e">
        <f t="shared" si="29"/>
        <v>#NUM!</v>
      </c>
      <c r="I455">
        <f t="shared" si="30"/>
        <v>-2.6704694856650093</v>
      </c>
      <c r="J455" s="2" t="s">
        <v>8</v>
      </c>
      <c r="K455" t="e">
        <f t="shared" si="31"/>
        <v>#NUM!</v>
      </c>
      <c r="L455" s="5" t="s">
        <v>463</v>
      </c>
      <c r="N455">
        <v>454</v>
      </c>
      <c r="O455">
        <v>-3</v>
      </c>
    </row>
    <row r="456" spans="1:15">
      <c r="A456">
        <v>455</v>
      </c>
      <c r="B456">
        <v>1888</v>
      </c>
      <c r="C456">
        <v>0</v>
      </c>
      <c r="D456">
        <v>0</v>
      </c>
      <c r="E456">
        <v>2</v>
      </c>
      <c r="G456" t="e">
        <f t="shared" si="28"/>
        <v>#NUM!</v>
      </c>
      <c r="H456" t="e">
        <f t="shared" si="29"/>
        <v>#NUM!</v>
      </c>
      <c r="I456">
        <f t="shared" si="30"/>
        <v>-2.5103088285863033</v>
      </c>
      <c r="J456" s="2" t="s">
        <v>8</v>
      </c>
      <c r="K456" t="e">
        <f t="shared" si="31"/>
        <v>#NUM!</v>
      </c>
      <c r="L456" s="5" t="s">
        <v>464</v>
      </c>
      <c r="N456">
        <v>455</v>
      </c>
      <c r="O456">
        <v>-3</v>
      </c>
    </row>
    <row r="457" spans="1:15">
      <c r="A457">
        <v>456</v>
      </c>
      <c r="B457">
        <v>2160</v>
      </c>
      <c r="C457">
        <v>1</v>
      </c>
      <c r="D457">
        <v>0</v>
      </c>
      <c r="E457">
        <v>0</v>
      </c>
      <c r="G457">
        <f t="shared" si="28"/>
        <v>-3.2346822823320127</v>
      </c>
      <c r="H457" t="e">
        <f t="shared" si="29"/>
        <v>#NUM!</v>
      </c>
      <c r="I457" t="e">
        <f t="shared" si="30"/>
        <v>#NUM!</v>
      </c>
      <c r="J457" s="2" t="s">
        <v>8</v>
      </c>
      <c r="K457" t="e">
        <f t="shared" si="31"/>
        <v>#NUM!</v>
      </c>
      <c r="L457" s="5" t="s">
        <v>465</v>
      </c>
      <c r="N457">
        <v>456</v>
      </c>
      <c r="O457">
        <v>-3</v>
      </c>
    </row>
    <row r="458" spans="1:15">
      <c r="A458">
        <v>457</v>
      </c>
      <c r="B458">
        <v>1338</v>
      </c>
      <c r="C458">
        <v>0</v>
      </c>
      <c r="D458">
        <v>0</v>
      </c>
      <c r="E458">
        <v>96</v>
      </c>
      <c r="G458" t="e">
        <f t="shared" si="28"/>
        <v>#NUM!</v>
      </c>
      <c r="H458" t="e">
        <f t="shared" si="29"/>
        <v>#NUM!</v>
      </c>
      <c r="I458">
        <f t="shared" si="30"/>
        <v>-0.67952171468047051</v>
      </c>
      <c r="J458" s="2" t="s">
        <v>8</v>
      </c>
      <c r="K458" t="e">
        <f t="shared" si="31"/>
        <v>#NUM!</v>
      </c>
      <c r="L458" s="5" t="s">
        <v>466</v>
      </c>
      <c r="N458">
        <v>457</v>
      </c>
      <c r="O458">
        <v>-3</v>
      </c>
    </row>
    <row r="459" spans="1:15">
      <c r="A459">
        <v>458</v>
      </c>
      <c r="B459">
        <v>3217</v>
      </c>
      <c r="C459">
        <v>0</v>
      </c>
      <c r="D459">
        <v>0</v>
      </c>
      <c r="E459">
        <v>0</v>
      </c>
      <c r="G459" t="e">
        <f t="shared" si="28"/>
        <v>#NUM!</v>
      </c>
      <c r="H459" t="e">
        <f t="shared" si="29"/>
        <v>#NUM!</v>
      </c>
      <c r="I459" t="e">
        <f t="shared" si="30"/>
        <v>#NUM!</v>
      </c>
      <c r="J459" s="2" t="s">
        <v>8</v>
      </c>
      <c r="K459" t="e">
        <f t="shared" si="31"/>
        <v>#NUM!</v>
      </c>
      <c r="L459" s="5" t="s">
        <v>467</v>
      </c>
      <c r="N459">
        <v>458</v>
      </c>
      <c r="O459">
        <v>-3</v>
      </c>
    </row>
    <row r="460" spans="1:15">
      <c r="A460">
        <v>459</v>
      </c>
      <c r="B460">
        <v>1253</v>
      </c>
      <c r="C460">
        <v>0</v>
      </c>
      <c r="D460">
        <v>1</v>
      </c>
      <c r="E460">
        <v>0</v>
      </c>
      <c r="G460" t="e">
        <f t="shared" si="28"/>
        <v>#NUM!</v>
      </c>
      <c r="H460">
        <f t="shared" si="29"/>
        <v>-3.1215675371678375</v>
      </c>
      <c r="I460" t="e">
        <f t="shared" si="30"/>
        <v>#NUM!</v>
      </c>
      <c r="J460" s="2" t="s">
        <v>8</v>
      </c>
      <c r="K460" t="e">
        <f t="shared" si="31"/>
        <v>#NUM!</v>
      </c>
      <c r="L460" s="5" t="s">
        <v>468</v>
      </c>
      <c r="N460">
        <v>459</v>
      </c>
      <c r="O460">
        <v>-3</v>
      </c>
    </row>
    <row r="461" spans="1:15">
      <c r="A461">
        <v>460</v>
      </c>
      <c r="B461">
        <v>892</v>
      </c>
      <c r="C461">
        <v>0</v>
      </c>
      <c r="D461">
        <v>0</v>
      </c>
      <c r="E461">
        <v>2</v>
      </c>
      <c r="G461" t="e">
        <f t="shared" si="28"/>
        <v>#NUM!</v>
      </c>
      <c r="H461" t="e">
        <f t="shared" si="29"/>
        <v>#NUM!</v>
      </c>
      <c r="I461">
        <f t="shared" si="30"/>
        <v>-2.1846716930003764</v>
      </c>
      <c r="J461" s="2" t="s">
        <v>8</v>
      </c>
      <c r="K461" t="e">
        <f t="shared" si="31"/>
        <v>#NUM!</v>
      </c>
      <c r="L461" s="5" t="s">
        <v>469</v>
      </c>
      <c r="N461">
        <v>460</v>
      </c>
      <c r="O461">
        <v>-3</v>
      </c>
    </row>
    <row r="462" spans="1:15">
      <c r="A462">
        <v>461</v>
      </c>
      <c r="B462">
        <v>4126</v>
      </c>
      <c r="C462">
        <v>0</v>
      </c>
      <c r="D462">
        <v>1</v>
      </c>
      <c r="E462">
        <v>2</v>
      </c>
      <c r="G462" t="e">
        <f t="shared" si="28"/>
        <v>#NUM!</v>
      </c>
      <c r="H462">
        <f t="shared" si="29"/>
        <v>-3.6391456898108205</v>
      </c>
      <c r="I462">
        <f t="shared" si="30"/>
        <v>-2.8498360622613861</v>
      </c>
      <c r="J462" s="2" t="s">
        <v>8</v>
      </c>
      <c r="K462" t="e">
        <f t="shared" si="31"/>
        <v>#NUM!</v>
      </c>
      <c r="L462" s="5" t="s">
        <v>470</v>
      </c>
      <c r="N462">
        <v>461</v>
      </c>
      <c r="O462">
        <v>-3</v>
      </c>
    </row>
    <row r="463" spans="1:15">
      <c r="A463">
        <v>462</v>
      </c>
      <c r="B463">
        <v>2115</v>
      </c>
      <c r="C463">
        <v>3934</v>
      </c>
      <c r="D463">
        <v>975</v>
      </c>
      <c r="E463">
        <v>133</v>
      </c>
      <c r="G463">
        <f t="shared" si="28"/>
        <v>0.36929545269117492</v>
      </c>
      <c r="H463">
        <f t="shared" si="29"/>
        <v>-0.35992222218621223</v>
      </c>
      <c r="I463">
        <f t="shared" si="30"/>
        <v>-0.73679556503221011</v>
      </c>
      <c r="J463" s="2" t="s">
        <v>8</v>
      </c>
      <c r="K463">
        <f t="shared" si="31"/>
        <v>-0.24247411150908249</v>
      </c>
      <c r="L463" s="5" t="s">
        <v>471</v>
      </c>
      <c r="N463">
        <v>462</v>
      </c>
      <c r="O463">
        <v>-0.24247411150908249</v>
      </c>
    </row>
    <row r="464" spans="1:15">
      <c r="A464">
        <v>463</v>
      </c>
      <c r="B464">
        <v>11968</v>
      </c>
      <c r="C464">
        <v>5</v>
      </c>
      <c r="D464">
        <v>5</v>
      </c>
      <c r="E464">
        <v>3</v>
      </c>
      <c r="G464">
        <f t="shared" si="28"/>
        <v>-3.2792801073654494</v>
      </c>
      <c r="H464">
        <f t="shared" si="29"/>
        <v>-3.4026680423580551</v>
      </c>
      <c r="I464">
        <f t="shared" si="30"/>
        <v>-3.136237160088958</v>
      </c>
      <c r="J464" s="2" t="s">
        <v>8</v>
      </c>
      <c r="K464">
        <f t="shared" si="31"/>
        <v>-3.2727284366041545</v>
      </c>
      <c r="L464" s="5" t="s">
        <v>472</v>
      </c>
      <c r="N464">
        <v>463</v>
      </c>
      <c r="O464">
        <v>-3.2727284366041545</v>
      </c>
    </row>
    <row r="465" spans="1:15">
      <c r="A465">
        <v>464</v>
      </c>
      <c r="B465">
        <v>8040</v>
      </c>
      <c r="C465">
        <v>5</v>
      </c>
      <c r="D465">
        <v>28</v>
      </c>
      <c r="E465">
        <v>5</v>
      </c>
      <c r="G465">
        <f t="shared" si="28"/>
        <v>-3.1065145755935144</v>
      </c>
      <c r="H465">
        <f t="shared" si="29"/>
        <v>-2.4817144835799199</v>
      </c>
      <c r="I465">
        <f t="shared" si="30"/>
        <v>-2.7416228787006669</v>
      </c>
      <c r="J465" s="2" t="s">
        <v>8</v>
      </c>
      <c r="K465">
        <f t="shared" si="31"/>
        <v>-2.7766173126247007</v>
      </c>
      <c r="L465" s="5" t="s">
        <v>473</v>
      </c>
      <c r="N465">
        <v>464</v>
      </c>
      <c r="O465">
        <v>-2.7766173126247007</v>
      </c>
    </row>
    <row r="466" spans="1:15">
      <c r="A466">
        <v>465</v>
      </c>
      <c r="B466">
        <v>4871</v>
      </c>
      <c r="C466">
        <v>139</v>
      </c>
      <c r="D466">
        <v>321</v>
      </c>
      <c r="E466">
        <v>551</v>
      </c>
      <c r="G466">
        <f t="shared" si="28"/>
        <v>-1.4448318604987567</v>
      </c>
      <c r="H466">
        <f t="shared" si="29"/>
        <v>-1.2047295633405857</v>
      </c>
      <c r="I466">
        <f t="shared" si="30"/>
        <v>-0.48180336500821952</v>
      </c>
      <c r="J466" s="2" t="s">
        <v>8</v>
      </c>
      <c r="K466">
        <f t="shared" si="31"/>
        <v>-1.0437882629491873</v>
      </c>
      <c r="L466" s="5" t="s">
        <v>474</v>
      </c>
      <c r="N466">
        <v>465</v>
      </c>
      <c r="O466">
        <v>-1.0437882629491873</v>
      </c>
    </row>
    <row r="467" spans="1:15">
      <c r="A467">
        <v>466</v>
      </c>
      <c r="B467">
        <v>2307</v>
      </c>
      <c r="C467">
        <v>1</v>
      </c>
      <c r="D467">
        <v>0</v>
      </c>
      <c r="E467">
        <v>0</v>
      </c>
      <c r="G467">
        <f t="shared" si="28"/>
        <v>-3.2632761257021756</v>
      </c>
      <c r="H467" t="e">
        <f t="shared" si="29"/>
        <v>#NUM!</v>
      </c>
      <c r="I467" t="e">
        <f t="shared" si="30"/>
        <v>#NUM!</v>
      </c>
      <c r="J467" s="2" t="s">
        <v>8</v>
      </c>
      <c r="K467" t="e">
        <f t="shared" si="31"/>
        <v>#NUM!</v>
      </c>
      <c r="L467" s="5" t="s">
        <v>475</v>
      </c>
      <c r="N467">
        <v>466</v>
      </c>
      <c r="O467">
        <v>-3</v>
      </c>
    </row>
    <row r="468" spans="1:15">
      <c r="A468">
        <v>467</v>
      </c>
      <c r="B468">
        <v>3204</v>
      </c>
      <c r="C468">
        <v>260</v>
      </c>
      <c r="D468">
        <v>2</v>
      </c>
      <c r="E468">
        <v>2</v>
      </c>
      <c r="G468">
        <f t="shared" si="28"/>
        <v>-0.99094769062246391</v>
      </c>
      <c r="H468">
        <f t="shared" si="29"/>
        <v>-3.2282789779219065</v>
      </c>
      <c r="I468">
        <f t="shared" si="30"/>
        <v>-2.7399993460364533</v>
      </c>
      <c r="J468" s="2" t="s">
        <v>8</v>
      </c>
      <c r="K468">
        <f t="shared" si="31"/>
        <v>-2.319742004860275</v>
      </c>
      <c r="L468" s="5" t="s">
        <v>476</v>
      </c>
      <c r="N468">
        <v>467</v>
      </c>
      <c r="O468">
        <v>-2.319742004860275</v>
      </c>
    </row>
    <row r="469" spans="1:15">
      <c r="A469">
        <v>468</v>
      </c>
      <c r="B469">
        <v>1436</v>
      </c>
      <c r="C469">
        <v>2</v>
      </c>
      <c r="D469">
        <v>70</v>
      </c>
      <c r="E469">
        <v>3</v>
      </c>
      <c r="G469">
        <f t="shared" si="28"/>
        <v>-2.7563529754233822</v>
      </c>
      <c r="H469">
        <f t="shared" si="29"/>
        <v>-1.3356728660657127</v>
      </c>
      <c r="I469">
        <f t="shared" si="30"/>
        <v>-2.2153700194748538</v>
      </c>
      <c r="J469" s="2" t="s">
        <v>8</v>
      </c>
      <c r="K469">
        <f t="shared" si="31"/>
        <v>-2.1024652869879827</v>
      </c>
      <c r="L469" s="5" t="s">
        <v>477</v>
      </c>
      <c r="N469">
        <v>468</v>
      </c>
      <c r="O469">
        <v>-2.1024652869879827</v>
      </c>
    </row>
    <row r="470" spans="1:15">
      <c r="A470">
        <v>469</v>
      </c>
      <c r="B470">
        <v>4527</v>
      </c>
      <c r="C470">
        <v>258</v>
      </c>
      <c r="D470">
        <v>7</v>
      </c>
      <c r="E470">
        <v>24</v>
      </c>
      <c r="G470">
        <f t="shared" si="28"/>
        <v>-1.1444193197131038</v>
      </c>
      <c r="H470">
        <f t="shared" si="29"/>
        <v>-2.8343289206546833</v>
      </c>
      <c r="I470">
        <f t="shared" si="30"/>
        <v>-1.8109360870718807</v>
      </c>
      <c r="J470" s="3" t="s">
        <v>9</v>
      </c>
      <c r="K470">
        <f t="shared" si="31"/>
        <v>-1.9298947758132226</v>
      </c>
      <c r="L470" s="5" t="s">
        <v>478</v>
      </c>
      <c r="N470">
        <v>469</v>
      </c>
      <c r="O470">
        <v>-1.9298947758132226</v>
      </c>
    </row>
    <row r="471" spans="1:15">
      <c r="A471">
        <v>470</v>
      </c>
      <c r="B471">
        <v>1927</v>
      </c>
      <c r="C471">
        <v>0</v>
      </c>
      <c r="D471">
        <v>0</v>
      </c>
      <c r="E471">
        <v>0</v>
      </c>
      <c r="G471" t="e">
        <f t="shared" si="28"/>
        <v>#NUM!</v>
      </c>
      <c r="H471" t="e">
        <f t="shared" si="29"/>
        <v>#NUM!</v>
      </c>
      <c r="I471" t="e">
        <f t="shared" si="30"/>
        <v>#NUM!</v>
      </c>
      <c r="J471" s="2" t="s">
        <v>8</v>
      </c>
      <c r="K471" t="e">
        <f t="shared" si="31"/>
        <v>#NUM!</v>
      </c>
      <c r="L471" s="5" t="s">
        <v>479</v>
      </c>
      <c r="N471">
        <v>470</v>
      </c>
      <c r="O471">
        <v>-3</v>
      </c>
    </row>
    <row r="472" spans="1:15">
      <c r="A472">
        <v>471</v>
      </c>
      <c r="B472">
        <v>5085</v>
      </c>
      <c r="C472">
        <v>1</v>
      </c>
      <c r="D472">
        <v>2</v>
      </c>
      <c r="E472">
        <v>0</v>
      </c>
      <c r="G472">
        <f t="shared" si="28"/>
        <v>-3.6065194884398455</v>
      </c>
      <c r="H472">
        <f t="shared" si="29"/>
        <v>-3.4288774277684699</v>
      </c>
      <c r="I472" t="e">
        <f t="shared" si="30"/>
        <v>#NUM!</v>
      </c>
      <c r="J472" s="2" t="s">
        <v>8</v>
      </c>
      <c r="K472" t="e">
        <f t="shared" si="31"/>
        <v>#NUM!</v>
      </c>
      <c r="L472" s="5" t="s">
        <v>480</v>
      </c>
      <c r="N472">
        <v>471</v>
      </c>
      <c r="O472">
        <v>-3</v>
      </c>
    </row>
    <row r="473" spans="1:15">
      <c r="A473">
        <v>472</v>
      </c>
      <c r="B473">
        <v>2633</v>
      </c>
      <c r="C473">
        <v>2</v>
      </c>
      <c r="D473">
        <v>0</v>
      </c>
      <c r="E473">
        <v>3</v>
      </c>
      <c r="G473">
        <f t="shared" si="28"/>
        <v>-3.0196493946231691</v>
      </c>
      <c r="H473" t="e">
        <f t="shared" si="29"/>
        <v>#NUM!</v>
      </c>
      <c r="I473">
        <f t="shared" si="30"/>
        <v>-2.4786664386746402</v>
      </c>
      <c r="J473" s="2" t="s">
        <v>8</v>
      </c>
      <c r="K473" t="e">
        <f t="shared" si="31"/>
        <v>#NUM!</v>
      </c>
      <c r="L473" s="5" t="s">
        <v>481</v>
      </c>
      <c r="N473">
        <v>472</v>
      </c>
      <c r="O473">
        <v>-3</v>
      </c>
    </row>
    <row r="474" spans="1:15">
      <c r="A474">
        <v>473</v>
      </c>
      <c r="B474">
        <v>3352</v>
      </c>
      <c r="C474">
        <v>0</v>
      </c>
      <c r="D474">
        <v>0</v>
      </c>
      <c r="E474">
        <v>5</v>
      </c>
      <c r="G474" t="e">
        <f t="shared" si="28"/>
        <v>#NUM!</v>
      </c>
      <c r="H474" t="e">
        <f t="shared" si="29"/>
        <v>#NUM!</v>
      </c>
      <c r="I474">
        <f t="shared" si="30"/>
        <v>-2.3616708399104547</v>
      </c>
      <c r="J474" s="2" t="s">
        <v>8</v>
      </c>
      <c r="K474" t="e">
        <f t="shared" si="31"/>
        <v>#NUM!</v>
      </c>
      <c r="L474" s="5" t="s">
        <v>482</v>
      </c>
      <c r="N474">
        <v>473</v>
      </c>
      <c r="O474">
        <v>-3</v>
      </c>
    </row>
    <row r="475" spans="1:15">
      <c r="A475">
        <v>474</v>
      </c>
      <c r="B475">
        <v>8550</v>
      </c>
      <c r="C475">
        <v>30</v>
      </c>
      <c r="D475">
        <v>3</v>
      </c>
      <c r="E475">
        <v>2</v>
      </c>
      <c r="G475">
        <f t="shared" si="28"/>
        <v>-2.3550733911895922</v>
      </c>
      <c r="H475">
        <f t="shared" si="29"/>
        <v>-3.4784613261821979</v>
      </c>
      <c r="I475">
        <f t="shared" si="30"/>
        <v>-3.1662729533524261</v>
      </c>
      <c r="J475" s="2" t="s">
        <v>8</v>
      </c>
      <c r="K475">
        <f t="shared" si="31"/>
        <v>-2.9999358902414053</v>
      </c>
      <c r="L475" s="5" t="s">
        <v>483</v>
      </c>
      <c r="N475">
        <v>474</v>
      </c>
      <c r="O475">
        <v>-2.9999358902414053</v>
      </c>
    </row>
    <row r="476" spans="1:15">
      <c r="A476">
        <v>475</v>
      </c>
      <c r="B476">
        <v>9181</v>
      </c>
      <c r="C476">
        <v>5</v>
      </c>
      <c r="D476">
        <v>18</v>
      </c>
      <c r="E476">
        <v>0</v>
      </c>
      <c r="G476">
        <f t="shared" si="28"/>
        <v>-3.1641485142368544</v>
      </c>
      <c r="H476">
        <f t="shared" si="29"/>
        <v>-2.7312339484621728</v>
      </c>
      <c r="I476" t="e">
        <f t="shared" si="30"/>
        <v>#NUM!</v>
      </c>
      <c r="J476" s="2" t="s">
        <v>8</v>
      </c>
      <c r="K476" t="e">
        <f t="shared" si="31"/>
        <v>#NUM!</v>
      </c>
      <c r="L476" s="5" t="s">
        <v>484</v>
      </c>
      <c r="N476">
        <v>475</v>
      </c>
      <c r="O476">
        <v>-3</v>
      </c>
    </row>
    <row r="477" spans="1:15">
      <c r="A477">
        <v>476</v>
      </c>
      <c r="B477">
        <v>1786</v>
      </c>
      <c r="C477">
        <v>51</v>
      </c>
      <c r="D477">
        <v>1100</v>
      </c>
      <c r="E477">
        <v>3915</v>
      </c>
      <c r="G477">
        <f t="shared" si="28"/>
        <v>-1.444539809635673</v>
      </c>
      <c r="H477">
        <f t="shared" si="29"/>
        <v>-0.23410523556799051</v>
      </c>
      <c r="I477">
        <f t="shared" si="30"/>
        <v>0.80551347755319991</v>
      </c>
      <c r="J477" s="2" t="s">
        <v>8</v>
      </c>
      <c r="K477">
        <f t="shared" si="31"/>
        <v>-0.29104385588348786</v>
      </c>
      <c r="L477" s="5" t="s">
        <v>485</v>
      </c>
      <c r="N477">
        <v>476</v>
      </c>
      <c r="O477">
        <v>-0.29104385588348786</v>
      </c>
    </row>
    <row r="478" spans="1:15">
      <c r="A478">
        <v>477</v>
      </c>
      <c r="B478">
        <v>1695</v>
      </c>
      <c r="C478">
        <v>198</v>
      </c>
      <c r="D478">
        <v>8272</v>
      </c>
      <c r="E478">
        <v>596</v>
      </c>
      <c r="G478">
        <f t="shared" si="28"/>
        <v>-0.83273304345865173</v>
      </c>
      <c r="H478">
        <f t="shared" si="29"/>
        <v>0.66482435703707832</v>
      </c>
      <c r="I478">
        <f t="shared" si="30"/>
        <v>1.0739722912900818E-2</v>
      </c>
      <c r="J478" s="2" t="s">
        <v>8</v>
      </c>
      <c r="K478">
        <f t="shared" si="31"/>
        <v>-5.2389654502890869E-2</v>
      </c>
      <c r="L478" s="5" t="s">
        <v>486</v>
      </c>
      <c r="N478">
        <v>477</v>
      </c>
      <c r="O478">
        <v>-5.2389654502890869E-2</v>
      </c>
    </row>
    <row r="479" spans="1:15">
      <c r="A479">
        <v>478</v>
      </c>
      <c r="B479">
        <v>977</v>
      </c>
      <c r="C479">
        <v>3</v>
      </c>
      <c r="D479">
        <v>0</v>
      </c>
      <c r="E479">
        <v>2</v>
      </c>
      <c r="G479">
        <f t="shared" si="28"/>
        <v>-2.4130018401801925</v>
      </c>
      <c r="H479" t="e">
        <f t="shared" si="29"/>
        <v>#NUM!</v>
      </c>
      <c r="I479">
        <f t="shared" si="30"/>
        <v>-2.2242014023430263</v>
      </c>
      <c r="J479" s="2" t="s">
        <v>8</v>
      </c>
      <c r="K479" t="e">
        <f t="shared" si="31"/>
        <v>#NUM!</v>
      </c>
      <c r="L479" s="5" t="s">
        <v>487</v>
      </c>
      <c r="N479">
        <v>478</v>
      </c>
      <c r="O479">
        <v>-3</v>
      </c>
    </row>
    <row r="480" spans="1:15">
      <c r="A480">
        <v>479</v>
      </c>
      <c r="B480">
        <v>3161</v>
      </c>
      <c r="C480">
        <v>0</v>
      </c>
      <c r="D480">
        <v>0</v>
      </c>
      <c r="E480">
        <v>1</v>
      </c>
      <c r="G480" t="e">
        <f t="shared" si="28"/>
        <v>#NUM!</v>
      </c>
      <c r="H480" t="e">
        <f t="shared" si="29"/>
        <v>#NUM!</v>
      </c>
      <c r="I480">
        <f t="shared" si="30"/>
        <v>-3.0351613301278144</v>
      </c>
      <c r="J480" s="2" t="s">
        <v>8</v>
      </c>
      <c r="K480" t="e">
        <f t="shared" si="31"/>
        <v>#NUM!</v>
      </c>
      <c r="L480" s="5" t="s">
        <v>488</v>
      </c>
      <c r="N480">
        <v>479</v>
      </c>
      <c r="O480">
        <v>-3</v>
      </c>
    </row>
    <row r="481" spans="1:15">
      <c r="A481">
        <v>480</v>
      </c>
      <c r="B481">
        <v>2988</v>
      </c>
      <c r="C481">
        <v>0</v>
      </c>
      <c r="D481">
        <v>1</v>
      </c>
      <c r="E481">
        <v>0</v>
      </c>
      <c r="G481" t="e">
        <f t="shared" si="28"/>
        <v>#NUM!</v>
      </c>
      <c r="H481">
        <f t="shared" si="29"/>
        <v>-3.4989970593170487</v>
      </c>
      <c r="I481" t="e">
        <f t="shared" si="30"/>
        <v>#NUM!</v>
      </c>
      <c r="J481" s="2" t="s">
        <v>8</v>
      </c>
      <c r="K481" t="e">
        <f t="shared" si="31"/>
        <v>#NUM!</v>
      </c>
      <c r="L481" s="5" t="s">
        <v>489</v>
      </c>
      <c r="N481">
        <v>480</v>
      </c>
      <c r="O481">
        <v>-3</v>
      </c>
    </row>
    <row r="482" spans="1:15">
      <c r="A482">
        <v>481</v>
      </c>
      <c r="B482">
        <v>4117</v>
      </c>
      <c r="C482">
        <v>0</v>
      </c>
      <c r="D482">
        <v>0</v>
      </c>
      <c r="E482">
        <v>0</v>
      </c>
      <c r="G482" t="e">
        <f t="shared" si="28"/>
        <v>#NUM!</v>
      </c>
      <c r="H482" t="e">
        <f t="shared" si="29"/>
        <v>#NUM!</v>
      </c>
      <c r="I482" t="e">
        <f t="shared" si="30"/>
        <v>#NUM!</v>
      </c>
      <c r="J482" s="2" t="s">
        <v>8</v>
      </c>
      <c r="K482" t="e">
        <f t="shared" si="31"/>
        <v>#NUM!</v>
      </c>
      <c r="L482" s="5" t="s">
        <v>490</v>
      </c>
      <c r="N482">
        <v>481</v>
      </c>
      <c r="O482">
        <v>-3</v>
      </c>
    </row>
    <row r="483" spans="1:15">
      <c r="A483">
        <v>482</v>
      </c>
      <c r="B483">
        <v>2857</v>
      </c>
      <c r="C483">
        <v>0</v>
      </c>
      <c r="D483">
        <v>0</v>
      </c>
      <c r="E483">
        <v>1</v>
      </c>
      <c r="G483" t="e">
        <f t="shared" si="28"/>
        <v>#NUM!</v>
      </c>
      <c r="H483" t="e">
        <f t="shared" si="29"/>
        <v>#NUM!</v>
      </c>
      <c r="I483">
        <f t="shared" si="30"/>
        <v>-2.9912470746709774</v>
      </c>
      <c r="J483" s="2" t="s">
        <v>8</v>
      </c>
      <c r="K483" t="e">
        <f t="shared" si="31"/>
        <v>#NUM!</v>
      </c>
      <c r="L483" s="5" t="s">
        <v>491</v>
      </c>
      <c r="N483">
        <v>482</v>
      </c>
      <c r="O483">
        <v>-3</v>
      </c>
    </row>
    <row r="484" spans="1:15">
      <c r="A484">
        <v>483</v>
      </c>
      <c r="B484">
        <v>1397</v>
      </c>
      <c r="C484">
        <v>0</v>
      </c>
      <c r="D484">
        <v>0</v>
      </c>
      <c r="E484">
        <v>1</v>
      </c>
      <c r="G484" t="e">
        <f t="shared" si="28"/>
        <v>#NUM!</v>
      </c>
      <c r="H484" t="e">
        <f t="shared" si="29"/>
        <v>#NUM!</v>
      </c>
      <c r="I484">
        <f t="shared" si="30"/>
        <v>-2.6805332404024163</v>
      </c>
      <c r="J484" s="2" t="s">
        <v>8</v>
      </c>
      <c r="K484" t="e">
        <f t="shared" si="31"/>
        <v>#NUM!</v>
      </c>
      <c r="L484" s="5" t="s">
        <v>492</v>
      </c>
      <c r="N484">
        <v>483</v>
      </c>
      <c r="O484">
        <v>-3</v>
      </c>
    </row>
    <row r="485" spans="1:15">
      <c r="A485">
        <v>484</v>
      </c>
      <c r="B485">
        <v>3237</v>
      </c>
      <c r="C485">
        <v>0</v>
      </c>
      <c r="D485">
        <v>0</v>
      </c>
      <c r="E485">
        <v>3</v>
      </c>
      <c r="G485" t="e">
        <f t="shared" si="28"/>
        <v>#NUM!</v>
      </c>
      <c r="H485" t="e">
        <f t="shared" si="29"/>
        <v>#NUM!</v>
      </c>
      <c r="I485">
        <f t="shared" si="30"/>
        <v>-2.5683582789711452</v>
      </c>
      <c r="J485" s="2" t="s">
        <v>8</v>
      </c>
      <c r="K485" t="e">
        <f t="shared" si="31"/>
        <v>#NUM!</v>
      </c>
      <c r="L485" s="5" t="s">
        <v>493</v>
      </c>
      <c r="N485">
        <v>484</v>
      </c>
      <c r="O485">
        <v>-3</v>
      </c>
    </row>
    <row r="486" spans="1:15">
      <c r="A486">
        <v>485</v>
      </c>
      <c r="B486">
        <v>2851</v>
      </c>
      <c r="C486">
        <v>793</v>
      </c>
      <c r="D486">
        <v>334</v>
      </c>
      <c r="E486">
        <v>90</v>
      </c>
      <c r="G486">
        <f t="shared" si="28"/>
        <v>-0.45595256117293809</v>
      </c>
      <c r="H486">
        <f t="shared" si="29"/>
        <v>-0.95486721667158347</v>
      </c>
      <c r="I486">
        <f t="shared" si="30"/>
        <v>-1.0360915421583696</v>
      </c>
      <c r="J486" s="2" t="s">
        <v>8</v>
      </c>
      <c r="K486">
        <f t="shared" si="31"/>
        <v>-0.81563710666763034</v>
      </c>
      <c r="L486" s="5" t="s">
        <v>494</v>
      </c>
      <c r="N486">
        <v>485</v>
      </c>
      <c r="O486">
        <v>-0.81563710666763034</v>
      </c>
    </row>
    <row r="487" spans="1:15">
      <c r="A487">
        <v>486</v>
      </c>
      <c r="B487">
        <v>5076</v>
      </c>
      <c r="C487">
        <v>19</v>
      </c>
      <c r="D487">
        <v>0</v>
      </c>
      <c r="E487">
        <v>1</v>
      </c>
      <c r="G487">
        <f t="shared" si="28"/>
        <v>-2.3269965436509201</v>
      </c>
      <c r="H487" t="e">
        <f t="shared" si="29"/>
        <v>#NUM!</v>
      </c>
      <c r="I487">
        <f t="shared" si="30"/>
        <v>-3.2408584477109015</v>
      </c>
      <c r="J487" s="2" t="s">
        <v>8</v>
      </c>
      <c r="K487" t="e">
        <f t="shared" si="31"/>
        <v>#NUM!</v>
      </c>
      <c r="L487" s="5" t="s">
        <v>495</v>
      </c>
      <c r="N487">
        <v>486</v>
      </c>
      <c r="O487">
        <v>-3</v>
      </c>
    </row>
    <row r="488" spans="1:15">
      <c r="A488">
        <v>487</v>
      </c>
      <c r="B488">
        <v>1596</v>
      </c>
      <c r="C488">
        <v>0</v>
      </c>
      <c r="D488">
        <v>0</v>
      </c>
      <c r="E488">
        <v>0</v>
      </c>
      <c r="G488" t="e">
        <f t="shared" si="28"/>
        <v>#NUM!</v>
      </c>
      <c r="H488" t="e">
        <f t="shared" si="29"/>
        <v>#NUM!</v>
      </c>
      <c r="I488" t="e">
        <f t="shared" si="30"/>
        <v>#NUM!</v>
      </c>
      <c r="J488" s="2" t="s">
        <v>8</v>
      </c>
      <c r="K488" t="e">
        <f t="shared" si="31"/>
        <v>#NUM!</v>
      </c>
      <c r="L488" s="5" t="s">
        <v>496</v>
      </c>
      <c r="N488">
        <v>487</v>
      </c>
      <c r="O488">
        <v>-3</v>
      </c>
    </row>
    <row r="489" spans="1:15">
      <c r="A489">
        <v>488</v>
      </c>
      <c r="B489">
        <v>742</v>
      </c>
      <c r="C489">
        <v>0</v>
      </c>
      <c r="D489">
        <v>0</v>
      </c>
      <c r="E489">
        <v>4</v>
      </c>
      <c r="G489" t="e">
        <f t="shared" si="28"/>
        <v>#NUM!</v>
      </c>
      <c r="H489" t="e">
        <f t="shared" si="29"/>
        <v>#NUM!</v>
      </c>
      <c r="I489">
        <f t="shared" si="30"/>
        <v>-1.8036807482392994</v>
      </c>
      <c r="J489" s="2" t="s">
        <v>8</v>
      </c>
      <c r="K489" t="e">
        <f t="shared" si="31"/>
        <v>#NUM!</v>
      </c>
      <c r="L489" s="5" t="s">
        <v>497</v>
      </c>
      <c r="N489">
        <v>488</v>
      </c>
      <c r="O489">
        <v>-3</v>
      </c>
    </row>
    <row r="490" spans="1:15">
      <c r="A490">
        <v>489</v>
      </c>
      <c r="B490">
        <v>1646</v>
      </c>
      <c r="C490">
        <v>0</v>
      </c>
      <c r="D490">
        <v>0</v>
      </c>
      <c r="E490">
        <v>6</v>
      </c>
      <c r="G490" t="e">
        <f t="shared" si="28"/>
        <v>#NUM!</v>
      </c>
      <c r="H490" t="e">
        <f t="shared" si="29"/>
        <v>#NUM!</v>
      </c>
      <c r="I490">
        <f t="shared" si="30"/>
        <v>-1.9736154147808418</v>
      </c>
      <c r="J490" s="2" t="s">
        <v>8</v>
      </c>
      <c r="K490" t="e">
        <f t="shared" si="31"/>
        <v>#NUM!</v>
      </c>
      <c r="L490" s="5" t="s">
        <v>498</v>
      </c>
      <c r="N490">
        <v>489</v>
      </c>
      <c r="O490">
        <v>-3</v>
      </c>
    </row>
    <row r="491" spans="1:15">
      <c r="A491">
        <v>490</v>
      </c>
      <c r="B491">
        <v>579</v>
      </c>
      <c r="C491">
        <v>806</v>
      </c>
      <c r="D491">
        <v>680</v>
      </c>
      <c r="E491">
        <v>1217</v>
      </c>
      <c r="G491">
        <f t="shared" si="28"/>
        <v>0.24342794689657257</v>
      </c>
      <c r="H491">
        <f t="shared" si="29"/>
        <v>4.6213882805112245E-2</v>
      </c>
      <c r="I491">
        <f t="shared" si="30"/>
        <v>0.78727518021439424</v>
      </c>
      <c r="J491" s="3" t="s">
        <v>9</v>
      </c>
      <c r="K491">
        <f t="shared" si="31"/>
        <v>0.35897233663869299</v>
      </c>
      <c r="L491" s="5" t="s">
        <v>499</v>
      </c>
      <c r="N491">
        <v>490</v>
      </c>
      <c r="O491">
        <v>0.35897233663869299</v>
      </c>
    </row>
    <row r="492" spans="1:15">
      <c r="A492">
        <v>491</v>
      </c>
      <c r="B492">
        <v>1015</v>
      </c>
      <c r="C492">
        <v>25</v>
      </c>
      <c r="D492">
        <v>50</v>
      </c>
      <c r="E492">
        <v>32</v>
      </c>
      <c r="G492">
        <f t="shared" si="28"/>
        <v>-1.5087545647582759</v>
      </c>
      <c r="H492">
        <f t="shared" si="29"/>
        <v>-1.331112504086901</v>
      </c>
      <c r="I492">
        <f t="shared" si="30"/>
        <v>-1.0366528982175605</v>
      </c>
      <c r="J492" s="3" t="s">
        <v>9</v>
      </c>
      <c r="K492">
        <f t="shared" si="31"/>
        <v>-1.2921733223542458</v>
      </c>
      <c r="L492" s="5" t="s">
        <v>500</v>
      </c>
      <c r="N492">
        <v>491</v>
      </c>
      <c r="O492">
        <v>-1.2921733223542458</v>
      </c>
    </row>
    <row r="493" spans="1:15">
      <c r="A493">
        <v>492</v>
      </c>
      <c r="B493">
        <v>2986</v>
      </c>
      <c r="C493">
        <v>644</v>
      </c>
      <c r="D493">
        <v>409</v>
      </c>
      <c r="E493">
        <v>172</v>
      </c>
      <c r="G493">
        <f t="shared" si="28"/>
        <v>-0.56643246721027629</v>
      </c>
      <c r="H493">
        <f t="shared" si="29"/>
        <v>-0.88698296155535272</v>
      </c>
      <c r="I493">
        <f t="shared" si="30"/>
        <v>-0.77489819076969224</v>
      </c>
      <c r="J493" s="3" t="s">
        <v>9</v>
      </c>
      <c r="K493">
        <f t="shared" si="31"/>
        <v>-0.74277120651177375</v>
      </c>
      <c r="L493" s="5" t="s">
        <v>501</v>
      </c>
      <c r="N493">
        <v>492</v>
      </c>
      <c r="O493">
        <v>-0.74277120651177375</v>
      </c>
    </row>
    <row r="494" spans="1:15">
      <c r="A494">
        <v>493</v>
      </c>
      <c r="B494">
        <v>533</v>
      </c>
      <c r="C494">
        <v>3</v>
      </c>
      <c r="D494">
        <v>3</v>
      </c>
      <c r="E494">
        <v>3</v>
      </c>
      <c r="G494">
        <f t="shared" si="28"/>
        <v>-2.1498344854879918</v>
      </c>
      <c r="H494">
        <f t="shared" si="29"/>
        <v>-2.2732224204805975</v>
      </c>
      <c r="I494">
        <f t="shared" si="30"/>
        <v>-1.7849427885951443</v>
      </c>
      <c r="J494" s="3" t="s">
        <v>9</v>
      </c>
      <c r="K494">
        <f t="shared" si="31"/>
        <v>-2.0693332315212447</v>
      </c>
      <c r="L494" s="5" t="s">
        <v>502</v>
      </c>
      <c r="N494">
        <v>493</v>
      </c>
      <c r="O494">
        <v>-2.0693332315212447</v>
      </c>
    </row>
    <row r="495" spans="1:15">
      <c r="A495">
        <v>494</v>
      </c>
      <c r="B495">
        <v>2556</v>
      </c>
      <c r="C495">
        <v>6</v>
      </c>
      <c r="D495">
        <v>1</v>
      </c>
      <c r="E495">
        <v>0</v>
      </c>
      <c r="G495">
        <f t="shared" si="28"/>
        <v>-2.5296381302838009</v>
      </c>
      <c r="H495">
        <f t="shared" si="29"/>
        <v>-3.4311773156600505</v>
      </c>
      <c r="I495" t="e">
        <f t="shared" si="30"/>
        <v>#NUM!</v>
      </c>
      <c r="J495" s="2" t="s">
        <v>8</v>
      </c>
      <c r="K495" t="e">
        <f t="shared" si="31"/>
        <v>#NUM!</v>
      </c>
      <c r="L495" s="5" t="s">
        <v>503</v>
      </c>
      <c r="N495">
        <v>494</v>
      </c>
      <c r="O495">
        <v>-3</v>
      </c>
    </row>
    <row r="496" spans="1:15">
      <c r="A496">
        <v>495</v>
      </c>
      <c r="B496">
        <v>4178</v>
      </c>
      <c r="C496">
        <v>0</v>
      </c>
      <c r="D496">
        <v>1</v>
      </c>
      <c r="E496">
        <v>1</v>
      </c>
      <c r="G496" t="e">
        <f t="shared" si="28"/>
        <v>#NUM!</v>
      </c>
      <c r="H496">
        <f t="shared" si="29"/>
        <v>-3.6445849018179777</v>
      </c>
      <c r="I496">
        <f t="shared" si="30"/>
        <v>-3.1563052699325245</v>
      </c>
      <c r="J496" s="2" t="s">
        <v>8</v>
      </c>
      <c r="K496" t="e">
        <f t="shared" si="31"/>
        <v>#NUM!</v>
      </c>
      <c r="L496" s="5" t="s">
        <v>504</v>
      </c>
      <c r="N496">
        <v>495</v>
      </c>
      <c r="O496">
        <v>-3</v>
      </c>
    </row>
    <row r="497" spans="1:15">
      <c r="A497">
        <v>496</v>
      </c>
      <c r="B497">
        <v>9571</v>
      </c>
      <c r="C497">
        <v>7</v>
      </c>
      <c r="D497">
        <v>1</v>
      </c>
      <c r="E497">
        <v>2</v>
      </c>
      <c r="G497">
        <f t="shared" si="28"/>
        <v>-3.0360878073964455</v>
      </c>
      <c r="H497">
        <f t="shared" si="29"/>
        <v>-4.0045737824033081</v>
      </c>
      <c r="I497">
        <f t="shared" si="30"/>
        <v>-3.2152641548538736</v>
      </c>
      <c r="J497" s="2" t="s">
        <v>8</v>
      </c>
      <c r="K497">
        <f t="shared" si="31"/>
        <v>-3.4186419148845424</v>
      </c>
      <c r="L497" s="5" t="s">
        <v>505</v>
      </c>
      <c r="N497">
        <v>496</v>
      </c>
      <c r="O497">
        <v>-3.4186419148845424</v>
      </c>
    </row>
    <row r="498" spans="1:15">
      <c r="A498">
        <v>497</v>
      </c>
      <c r="B498">
        <v>5177</v>
      </c>
      <c r="C498">
        <v>791</v>
      </c>
      <c r="D498">
        <v>500</v>
      </c>
      <c r="E498">
        <v>21</v>
      </c>
      <c r="G498">
        <f t="shared" si="28"/>
        <v>-0.71613021266526133</v>
      </c>
      <c r="H498">
        <f t="shared" si="29"/>
        <v>-1.0387246268195252</v>
      </c>
      <c r="I498">
        <f t="shared" si="30"/>
        <v>-1.9271957045361714</v>
      </c>
      <c r="J498" s="2" t="s">
        <v>8</v>
      </c>
      <c r="K498">
        <f t="shared" si="31"/>
        <v>-1.2273501813403194</v>
      </c>
      <c r="L498" s="5" t="s">
        <v>506</v>
      </c>
      <c r="N498">
        <v>497</v>
      </c>
      <c r="O498">
        <v>-1.2273501813403194</v>
      </c>
    </row>
    <row r="499" spans="1:15">
      <c r="A499">
        <v>498</v>
      </c>
      <c r="B499">
        <v>5260</v>
      </c>
      <c r="C499">
        <v>11</v>
      </c>
      <c r="D499">
        <v>126</v>
      </c>
      <c r="E499">
        <v>5</v>
      </c>
      <c r="G499">
        <f t="shared" si="28"/>
        <v>-2.579821590176596</v>
      </c>
      <c r="H499">
        <f t="shared" si="29"/>
        <v>-1.6442316652098641</v>
      </c>
      <c r="I499">
        <f t="shared" si="30"/>
        <v>-2.5573525741059546</v>
      </c>
      <c r="J499" s="2" t="s">
        <v>8</v>
      </c>
      <c r="K499">
        <f t="shared" si="31"/>
        <v>-2.2604686098308049</v>
      </c>
      <c r="L499" s="5" t="s">
        <v>507</v>
      </c>
      <c r="N499">
        <v>498</v>
      </c>
      <c r="O499">
        <v>-2.2604686098308049</v>
      </c>
    </row>
    <row r="500" spans="1:15">
      <c r="A500">
        <v>499</v>
      </c>
      <c r="B500">
        <v>3030</v>
      </c>
      <c r="C500">
        <v>26</v>
      </c>
      <c r="D500">
        <v>2</v>
      </c>
      <c r="E500">
        <v>1</v>
      </c>
      <c r="G500">
        <f t="shared" si="28"/>
        <v>-1.9666978117125689</v>
      </c>
      <c r="H500">
        <f t="shared" si="29"/>
        <v>-3.2040290990120117</v>
      </c>
      <c r="I500">
        <f t="shared" si="30"/>
        <v>-3.0167794627905393</v>
      </c>
      <c r="J500" s="2" t="s">
        <v>8</v>
      </c>
      <c r="K500">
        <f t="shared" si="31"/>
        <v>-2.7291687911717069</v>
      </c>
      <c r="L500" s="5" t="s">
        <v>508</v>
      </c>
      <c r="N500">
        <v>499</v>
      </c>
      <c r="O500">
        <v>-2.7291687911717069</v>
      </c>
    </row>
    <row r="501" spans="1:15">
      <c r="A501">
        <v>500</v>
      </c>
      <c r="B501">
        <v>3108</v>
      </c>
      <c r="C501">
        <v>356982</v>
      </c>
      <c r="D501">
        <v>3616</v>
      </c>
      <c r="E501">
        <v>4339</v>
      </c>
      <c r="G501">
        <f t="shared" si="28"/>
        <v>2.1599367770494173</v>
      </c>
      <c r="H501">
        <f t="shared" si="29"/>
        <v>4.2130945500761151E-2</v>
      </c>
      <c r="I501">
        <f t="shared" si="30"/>
        <v>0.60957180571210057</v>
      </c>
      <c r="J501" s="3" t="s">
        <v>9</v>
      </c>
      <c r="K501">
        <f t="shared" si="31"/>
        <v>0.93721317608742627</v>
      </c>
      <c r="L501" s="5" t="s">
        <v>509</v>
      </c>
      <c r="N501">
        <v>500</v>
      </c>
      <c r="O501">
        <v>0.93721317608742627</v>
      </c>
    </row>
    <row r="502" spans="1:15">
      <c r="A502">
        <v>501</v>
      </c>
      <c r="B502">
        <v>3804</v>
      </c>
      <c r="C502">
        <v>0</v>
      </c>
      <c r="D502">
        <v>2</v>
      </c>
      <c r="E502">
        <v>0</v>
      </c>
      <c r="G502" t="e">
        <f t="shared" si="28"/>
        <v>#NUM!</v>
      </c>
      <c r="H502">
        <f t="shared" si="29"/>
        <v>-3.3028269787750828</v>
      </c>
      <c r="I502" t="e">
        <f t="shared" si="30"/>
        <v>#NUM!</v>
      </c>
      <c r="J502" s="2" t="s">
        <v>8</v>
      </c>
      <c r="K502" t="e">
        <f t="shared" si="31"/>
        <v>#NUM!</v>
      </c>
      <c r="L502" s="5" t="s">
        <v>510</v>
      </c>
      <c r="N502">
        <v>501</v>
      </c>
      <c r="O502">
        <v>-3</v>
      </c>
    </row>
    <row r="503" spans="1:15">
      <c r="A503">
        <v>502</v>
      </c>
      <c r="B503">
        <v>1095</v>
      </c>
      <c r="C503">
        <v>868</v>
      </c>
      <c r="D503">
        <v>2004</v>
      </c>
      <c r="E503">
        <v>42673</v>
      </c>
      <c r="G503">
        <f t="shared" si="28"/>
        <v>-1.1229251807271107E-3</v>
      </c>
      <c r="H503">
        <f t="shared" si="29"/>
        <v>0.23886713184538305</v>
      </c>
      <c r="I503">
        <f t="shared" si="30"/>
        <v>2.0554022222669097</v>
      </c>
      <c r="J503" s="3" t="s">
        <v>9</v>
      </c>
      <c r="K503">
        <f t="shared" si="31"/>
        <v>0.76438214297718854</v>
      </c>
      <c r="L503" s="5" t="s">
        <v>511</v>
      </c>
      <c r="N503">
        <v>502</v>
      </c>
      <c r="O503">
        <v>0.76438214297718854</v>
      </c>
    </row>
    <row r="504" spans="1:15">
      <c r="A504">
        <v>503</v>
      </c>
      <c r="B504">
        <v>924</v>
      </c>
      <c r="C504">
        <v>0</v>
      </c>
      <c r="D504">
        <v>0</v>
      </c>
      <c r="E504">
        <v>2</v>
      </c>
      <c r="G504" t="e">
        <f t="shared" si="28"/>
        <v>#NUM!</v>
      </c>
      <c r="H504" t="e">
        <f t="shared" si="29"/>
        <v>#NUM!</v>
      </c>
      <c r="I504">
        <f t="shared" si="30"/>
        <v>-2.1999788098443602</v>
      </c>
      <c r="J504" s="2" t="s">
        <v>8</v>
      </c>
      <c r="K504" t="e">
        <f t="shared" si="31"/>
        <v>#NUM!</v>
      </c>
      <c r="L504" s="5" t="s">
        <v>512</v>
      </c>
      <c r="N504">
        <v>503</v>
      </c>
      <c r="O504">
        <v>-3</v>
      </c>
    </row>
    <row r="505" spans="1:15">
      <c r="A505">
        <v>504</v>
      </c>
      <c r="B505">
        <v>1602</v>
      </c>
      <c r="C505">
        <v>0</v>
      </c>
      <c r="D505">
        <v>0</v>
      </c>
      <c r="E505">
        <v>0</v>
      </c>
      <c r="G505" t="e">
        <f t="shared" si="28"/>
        <v>#NUM!</v>
      </c>
      <c r="H505" t="e">
        <f t="shared" si="29"/>
        <v>#NUM!</v>
      </c>
      <c r="I505" t="e">
        <f t="shared" si="30"/>
        <v>#NUM!</v>
      </c>
      <c r="J505" s="2" t="s">
        <v>8</v>
      </c>
      <c r="K505" t="e">
        <f t="shared" si="31"/>
        <v>#NUM!</v>
      </c>
      <c r="L505" s="5" t="s">
        <v>513</v>
      </c>
      <c r="N505">
        <v>504</v>
      </c>
      <c r="O505">
        <v>-3</v>
      </c>
    </row>
    <row r="506" spans="1:15">
      <c r="A506">
        <v>505</v>
      </c>
      <c r="B506">
        <v>1735</v>
      </c>
      <c r="C506">
        <v>0</v>
      </c>
      <c r="D506">
        <v>0</v>
      </c>
      <c r="E506">
        <v>1</v>
      </c>
      <c r="G506" t="e">
        <f t="shared" si="28"/>
        <v>#NUM!</v>
      </c>
      <c r="H506" t="e">
        <f t="shared" si="29"/>
        <v>#NUM!</v>
      </c>
      <c r="I506">
        <f t="shared" si="30"/>
        <v>-2.7746363134151268</v>
      </c>
      <c r="J506" s="2" t="s">
        <v>8</v>
      </c>
      <c r="K506" t="e">
        <f t="shared" si="31"/>
        <v>#NUM!</v>
      </c>
      <c r="L506" s="5" t="s">
        <v>514</v>
      </c>
      <c r="N506">
        <v>505</v>
      </c>
      <c r="O506">
        <v>-3</v>
      </c>
    </row>
    <row r="507" spans="1:15">
      <c r="A507">
        <v>506</v>
      </c>
      <c r="B507">
        <v>7045</v>
      </c>
      <c r="C507">
        <v>7</v>
      </c>
      <c r="D507">
        <v>4</v>
      </c>
      <c r="E507">
        <v>3</v>
      </c>
      <c r="G507">
        <f t="shared" si="28"/>
        <v>-2.9030114886122003</v>
      </c>
      <c r="H507">
        <f t="shared" si="29"/>
        <v>-3.2694374722911004</v>
      </c>
      <c r="I507">
        <f t="shared" si="30"/>
        <v>-2.9060965770139475</v>
      </c>
      <c r="J507" s="2" t="s">
        <v>8</v>
      </c>
      <c r="K507">
        <f t="shared" si="31"/>
        <v>-3.0261818459724164</v>
      </c>
      <c r="L507" s="5" t="s">
        <v>515</v>
      </c>
      <c r="N507">
        <v>506</v>
      </c>
      <c r="O507">
        <v>-3.0261818459724164</v>
      </c>
    </row>
    <row r="508" spans="1:15">
      <c r="A508">
        <v>507</v>
      </c>
      <c r="B508">
        <v>1671</v>
      </c>
      <c r="C508">
        <v>0</v>
      </c>
      <c r="D508">
        <v>0</v>
      </c>
      <c r="E508">
        <v>0</v>
      </c>
      <c r="G508" t="e">
        <f t="shared" si="28"/>
        <v>#NUM!</v>
      </c>
      <c r="H508" t="e">
        <f t="shared" si="29"/>
        <v>#NUM!</v>
      </c>
      <c r="I508" t="e">
        <f t="shared" si="30"/>
        <v>#NUM!</v>
      </c>
      <c r="J508" s="2" t="s">
        <v>8</v>
      </c>
      <c r="K508" t="e">
        <f t="shared" si="31"/>
        <v>#NUM!</v>
      </c>
      <c r="L508" s="5" t="s">
        <v>516</v>
      </c>
      <c r="N508">
        <v>507</v>
      </c>
      <c r="O508">
        <v>-3</v>
      </c>
    </row>
    <row r="509" spans="1:15">
      <c r="A509">
        <v>508</v>
      </c>
      <c r="B509">
        <v>1061</v>
      </c>
      <c r="C509">
        <v>501</v>
      </c>
      <c r="D509">
        <v>679</v>
      </c>
      <c r="E509">
        <v>25</v>
      </c>
      <c r="G509">
        <f t="shared" si="28"/>
        <v>-0.22610618921517683</v>
      </c>
      <c r="H509">
        <f t="shared" si="29"/>
        <v>-0.21746207579452692</v>
      </c>
      <c r="I509">
        <f t="shared" si="30"/>
        <v>-1.1631122095175379</v>
      </c>
      <c r="J509" s="2" t="s">
        <v>8</v>
      </c>
      <c r="K509">
        <f t="shared" si="31"/>
        <v>-0.5355601581757472</v>
      </c>
      <c r="L509" s="5" t="s">
        <v>517</v>
      </c>
      <c r="N509">
        <v>508</v>
      </c>
      <c r="O509">
        <v>-0.5355601581757472</v>
      </c>
    </row>
    <row r="510" spans="1:15">
      <c r="A510">
        <v>509</v>
      </c>
      <c r="B510">
        <v>2534</v>
      </c>
      <c r="C510">
        <v>0</v>
      </c>
      <c r="D510">
        <v>2</v>
      </c>
      <c r="E510">
        <v>0</v>
      </c>
      <c r="G510" t="e">
        <f t="shared" si="28"/>
        <v>#NUM!</v>
      </c>
      <c r="H510">
        <f t="shared" si="29"/>
        <v>-3.1263930810571292</v>
      </c>
      <c r="I510" t="e">
        <f t="shared" si="30"/>
        <v>#NUM!</v>
      </c>
      <c r="J510" s="2" t="s">
        <v>8</v>
      </c>
      <c r="K510" t="e">
        <f t="shared" si="31"/>
        <v>#NUM!</v>
      </c>
      <c r="L510" s="5" t="s">
        <v>518</v>
      </c>
      <c r="N510">
        <v>509</v>
      </c>
      <c r="O510">
        <v>-3</v>
      </c>
    </row>
    <row r="511" spans="1:15">
      <c r="A511">
        <v>510</v>
      </c>
      <c r="B511">
        <v>2716</v>
      </c>
      <c r="C511">
        <v>0</v>
      </c>
      <c r="D511">
        <v>0</v>
      </c>
      <c r="E511">
        <v>1</v>
      </c>
      <c r="G511" t="e">
        <f t="shared" si="28"/>
        <v>#NUM!</v>
      </c>
      <c r="H511" t="e">
        <f t="shared" si="29"/>
        <v>#NUM!</v>
      </c>
      <c r="I511">
        <f t="shared" si="30"/>
        <v>-2.9692665998966987</v>
      </c>
      <c r="J511" s="2" t="s">
        <v>8</v>
      </c>
      <c r="K511" t="e">
        <f t="shared" si="31"/>
        <v>#NUM!</v>
      </c>
      <c r="L511" s="5" t="s">
        <v>519</v>
      </c>
      <c r="N511">
        <v>510</v>
      </c>
      <c r="O511">
        <v>-3</v>
      </c>
    </row>
    <row r="512" spans="1:15">
      <c r="A512">
        <v>511</v>
      </c>
      <c r="B512">
        <v>1592</v>
      </c>
      <c r="C512">
        <v>25</v>
      </c>
      <c r="D512">
        <v>17</v>
      </c>
      <c r="E512">
        <v>101</v>
      </c>
      <c r="G512">
        <f t="shared" si="28"/>
        <v>-1.7042315859106945</v>
      </c>
      <c r="H512">
        <f t="shared" si="29"/>
        <v>-1.9951106081970642</v>
      </c>
      <c r="I512">
        <f t="shared" si="30"/>
        <v>-0.73295852390724237</v>
      </c>
      <c r="J512" s="2" t="s">
        <v>8</v>
      </c>
      <c r="K512">
        <f t="shared" si="31"/>
        <v>-1.477433572671667</v>
      </c>
      <c r="L512" s="5" t="s">
        <v>520</v>
      </c>
      <c r="N512">
        <v>511</v>
      </c>
      <c r="O512">
        <v>-1.477433572671667</v>
      </c>
    </row>
    <row r="513" spans="1:15">
      <c r="A513">
        <v>512</v>
      </c>
      <c r="B513">
        <v>3114</v>
      </c>
      <c r="C513">
        <v>0</v>
      </c>
      <c r="D513">
        <v>0</v>
      </c>
      <c r="E513">
        <v>0</v>
      </c>
      <c r="G513" t="e">
        <f t="shared" si="28"/>
        <v>#NUM!</v>
      </c>
      <c r="H513" t="e">
        <f t="shared" si="29"/>
        <v>#NUM!</v>
      </c>
      <c r="I513" t="e">
        <f t="shared" si="30"/>
        <v>#NUM!</v>
      </c>
      <c r="J513" s="2" t="s">
        <v>8</v>
      </c>
      <c r="K513" t="e">
        <f t="shared" si="31"/>
        <v>#NUM!</v>
      </c>
      <c r="L513" s="5" t="s">
        <v>521</v>
      </c>
      <c r="N513">
        <v>512</v>
      </c>
      <c r="O513">
        <v>-3</v>
      </c>
    </row>
    <row r="514" spans="1:15">
      <c r="A514">
        <v>513</v>
      </c>
      <c r="B514">
        <v>4461</v>
      </c>
      <c r="C514">
        <v>1</v>
      </c>
      <c r="D514">
        <v>0</v>
      </c>
      <c r="E514">
        <v>1</v>
      </c>
      <c r="G514">
        <f t="shared" ref="G514:G555" si="32">LOG10(C514/B514)-LOG10(3086/3883)</f>
        <v>-3.5496607544226988</v>
      </c>
      <c r="H514" t="e">
        <f t="shared" ref="H514:H555" si="33">LOG10(D514/B514)-LOG10(4100/3883)</f>
        <v>#NUM!</v>
      </c>
      <c r="I514">
        <f t="shared" ref="I514:I555" si="34">LOG10(E514/B514)-LOG10(1332/3883)</f>
        <v>-3.1847690575298513</v>
      </c>
      <c r="J514" s="2" t="s">
        <v>8</v>
      </c>
      <c r="K514" t="e">
        <f t="shared" ref="K514:K555" si="35">AVERAGE(G514:I514)</f>
        <v>#NUM!</v>
      </c>
      <c r="L514" s="5" t="s">
        <v>522</v>
      </c>
      <c r="N514">
        <v>513</v>
      </c>
      <c r="O514">
        <v>-3</v>
      </c>
    </row>
    <row r="515" spans="1:15">
      <c r="A515">
        <v>514</v>
      </c>
      <c r="B515">
        <v>644</v>
      </c>
      <c r="C515">
        <v>2414</v>
      </c>
      <c r="D515">
        <v>1085</v>
      </c>
      <c r="E515">
        <v>653</v>
      </c>
      <c r="G515">
        <f t="shared" si="32"/>
        <v>0.67362286722043652</v>
      </c>
      <c r="H515">
        <f t="shared" si="33"/>
        <v>0.2029274046510483</v>
      </c>
      <c r="I515">
        <f t="shared" si="34"/>
        <v>0.4706904796270272</v>
      </c>
      <c r="J515" s="3" t="s">
        <v>9</v>
      </c>
      <c r="K515">
        <f t="shared" si="35"/>
        <v>0.44908025049950401</v>
      </c>
      <c r="L515" s="5" t="s">
        <v>523</v>
      </c>
      <c r="N515">
        <v>514</v>
      </c>
      <c r="O515">
        <v>0.44908025049950401</v>
      </c>
    </row>
    <row r="516" spans="1:15">
      <c r="A516">
        <v>515</v>
      </c>
      <c r="B516">
        <v>3540</v>
      </c>
      <c r="C516">
        <v>1</v>
      </c>
      <c r="D516">
        <v>3</v>
      </c>
      <c r="E516">
        <v>0</v>
      </c>
      <c r="G516">
        <f t="shared" si="32"/>
        <v>-3.4492317932068697</v>
      </c>
      <c r="H516">
        <f t="shared" si="33"/>
        <v>-3.0954984734798132</v>
      </c>
      <c r="I516" t="e">
        <f t="shared" si="34"/>
        <v>#NUM!</v>
      </c>
      <c r="J516" s="2" t="s">
        <v>8</v>
      </c>
      <c r="K516" t="e">
        <f t="shared" si="35"/>
        <v>#NUM!</v>
      </c>
      <c r="L516" s="5" t="s">
        <v>524</v>
      </c>
      <c r="N516">
        <v>515</v>
      </c>
      <c r="O516">
        <v>-3</v>
      </c>
    </row>
    <row r="517" spans="1:15">
      <c r="A517">
        <v>516</v>
      </c>
      <c r="B517">
        <v>1888</v>
      </c>
      <c r="C517">
        <v>322</v>
      </c>
      <c r="D517">
        <v>583</v>
      </c>
      <c r="E517">
        <v>747</v>
      </c>
      <c r="G517">
        <f t="shared" si="32"/>
        <v>-0.66837464944730107</v>
      </c>
      <c r="H517">
        <f t="shared" si="33"/>
        <v>-0.53394990137672405</v>
      </c>
      <c r="I517">
        <f t="shared" si="34"/>
        <v>6.1981777565113916E-2</v>
      </c>
      <c r="J517" s="3" t="s">
        <v>9</v>
      </c>
      <c r="K517">
        <f t="shared" si="35"/>
        <v>-0.38011425775297036</v>
      </c>
      <c r="L517" s="5" t="s">
        <v>525</v>
      </c>
      <c r="N517">
        <v>516</v>
      </c>
      <c r="O517">
        <v>-0.38011425775297036</v>
      </c>
    </row>
    <row r="518" spans="1:15">
      <c r="A518">
        <v>517</v>
      </c>
      <c r="B518">
        <v>2064</v>
      </c>
      <c r="C518">
        <v>2311</v>
      </c>
      <c r="D518">
        <v>27820</v>
      </c>
      <c r="E518">
        <v>4499</v>
      </c>
      <c r="G518">
        <f t="shared" si="32"/>
        <v>0.14886172134285375</v>
      </c>
      <c r="H518">
        <f t="shared" si="33"/>
        <v>1.1060309665271659</v>
      </c>
      <c r="I518">
        <f t="shared" si="34"/>
        <v>0.80306946592215844</v>
      </c>
      <c r="J518" s="3" t="s">
        <v>9</v>
      </c>
      <c r="K518">
        <f t="shared" si="35"/>
        <v>0.68598738459739261</v>
      </c>
      <c r="L518" s="5" t="s">
        <v>526</v>
      </c>
      <c r="N518">
        <v>517</v>
      </c>
      <c r="O518">
        <v>0.68598738459739261</v>
      </c>
    </row>
    <row r="519" spans="1:15">
      <c r="A519">
        <v>518</v>
      </c>
      <c r="B519">
        <v>3733</v>
      </c>
      <c r="C519">
        <v>37</v>
      </c>
      <c r="D519">
        <v>483</v>
      </c>
      <c r="E519">
        <v>63</v>
      </c>
      <c r="G519">
        <f t="shared" si="32"/>
        <v>-1.9040847970403914</v>
      </c>
      <c r="H519">
        <f t="shared" si="33"/>
        <v>-0.91172732534848033</v>
      </c>
      <c r="I519">
        <f t="shared" si="34"/>
        <v>-1.3080542747609574</v>
      </c>
      <c r="J519" s="3" t="s">
        <v>9</v>
      </c>
      <c r="K519">
        <f t="shared" si="35"/>
        <v>-1.3746221323832764</v>
      </c>
      <c r="L519" s="5" t="s">
        <v>527</v>
      </c>
      <c r="N519">
        <v>518</v>
      </c>
      <c r="O519">
        <v>-1.3746221323832764</v>
      </c>
    </row>
    <row r="520" spans="1:15">
      <c r="A520">
        <v>519</v>
      </c>
      <c r="B520">
        <v>893</v>
      </c>
      <c r="C520">
        <v>1</v>
      </c>
      <c r="D520">
        <v>0</v>
      </c>
      <c r="E520">
        <v>1</v>
      </c>
      <c r="G520">
        <f t="shared" si="32"/>
        <v>-2.8510799900696284</v>
      </c>
      <c r="H520" t="e">
        <f t="shared" si="33"/>
        <v>#NUM!</v>
      </c>
      <c r="I520">
        <f t="shared" si="34"/>
        <v>-2.4861882931767809</v>
      </c>
      <c r="J520" s="2" t="s">
        <v>8</v>
      </c>
      <c r="K520" t="e">
        <f t="shared" si="35"/>
        <v>#NUM!</v>
      </c>
      <c r="L520" s="5" t="s">
        <v>528</v>
      </c>
      <c r="N520">
        <v>519</v>
      </c>
      <c r="O520">
        <v>-3</v>
      </c>
    </row>
    <row r="521" spans="1:15">
      <c r="A521">
        <v>520</v>
      </c>
      <c r="B521">
        <v>2387</v>
      </c>
      <c r="C521">
        <v>0</v>
      </c>
      <c r="D521">
        <v>55</v>
      </c>
      <c r="E521">
        <v>3</v>
      </c>
      <c r="G521" t="e">
        <f t="shared" si="32"/>
        <v>#NUM!</v>
      </c>
      <c r="H521">
        <f t="shared" si="33"/>
        <v>-1.6611061956861986</v>
      </c>
      <c r="I521">
        <f t="shared" si="34"/>
        <v>-2.4360679985753269</v>
      </c>
      <c r="J521" s="2" t="s">
        <v>8</v>
      </c>
      <c r="K521" t="e">
        <f t="shared" si="35"/>
        <v>#NUM!</v>
      </c>
      <c r="L521" s="5" t="s">
        <v>529</v>
      </c>
      <c r="N521">
        <v>520</v>
      </c>
      <c r="O521">
        <v>-3</v>
      </c>
    </row>
    <row r="522" spans="1:15">
      <c r="A522">
        <v>521</v>
      </c>
      <c r="B522">
        <v>2765</v>
      </c>
      <c r="C522">
        <v>31</v>
      </c>
      <c r="D522">
        <v>0</v>
      </c>
      <c r="E522">
        <v>0</v>
      </c>
      <c r="G522">
        <f t="shared" si="32"/>
        <v>-1.8505619729875262</v>
      </c>
      <c r="H522" t="e">
        <f t="shared" si="33"/>
        <v>#NUM!</v>
      </c>
      <c r="I522" t="e">
        <f t="shared" si="34"/>
        <v>#NUM!</v>
      </c>
      <c r="J522" s="2" t="s">
        <v>8</v>
      </c>
      <c r="K522" t="e">
        <f t="shared" si="35"/>
        <v>#NUM!</v>
      </c>
      <c r="L522" s="5" t="s">
        <v>530</v>
      </c>
      <c r="N522">
        <v>521</v>
      </c>
      <c r="O522">
        <v>-3</v>
      </c>
    </row>
    <row r="523" spans="1:15">
      <c r="A523">
        <v>522</v>
      </c>
      <c r="B523">
        <v>2475</v>
      </c>
      <c r="C523">
        <v>2</v>
      </c>
      <c r="D523">
        <v>0</v>
      </c>
      <c r="E523">
        <v>1</v>
      </c>
      <c r="G523">
        <f t="shared" si="32"/>
        <v>-2.9927737387866884</v>
      </c>
      <c r="H523" t="e">
        <f t="shared" si="33"/>
        <v>#NUM!</v>
      </c>
      <c r="I523">
        <f t="shared" si="34"/>
        <v>-2.9289120375578221</v>
      </c>
      <c r="J523" s="2" t="s">
        <v>8</v>
      </c>
      <c r="K523" t="e">
        <f t="shared" si="35"/>
        <v>#NUM!</v>
      </c>
      <c r="L523" s="5" t="s">
        <v>531</v>
      </c>
      <c r="N523">
        <v>522</v>
      </c>
      <c r="O523">
        <v>-3</v>
      </c>
    </row>
    <row r="524" spans="1:15">
      <c r="A524">
        <v>523</v>
      </c>
      <c r="B524">
        <v>5479</v>
      </c>
      <c r="C524">
        <v>6</v>
      </c>
      <c r="D524">
        <v>2</v>
      </c>
      <c r="E524">
        <v>5</v>
      </c>
      <c r="G524">
        <f t="shared" si="32"/>
        <v>-2.860778581232148</v>
      </c>
      <c r="H524">
        <f t="shared" si="33"/>
        <v>-3.4612877709444163</v>
      </c>
      <c r="I524">
        <f t="shared" si="34"/>
        <v>-2.5750681303869256</v>
      </c>
      <c r="J524" s="2" t="s">
        <v>8</v>
      </c>
      <c r="K524">
        <f t="shared" si="35"/>
        <v>-2.9657114941878304</v>
      </c>
      <c r="L524" s="5" t="s">
        <v>532</v>
      </c>
      <c r="N524">
        <v>523</v>
      </c>
      <c r="O524">
        <v>-2.9657114941878304</v>
      </c>
    </row>
    <row r="525" spans="1:15">
      <c r="A525">
        <v>524</v>
      </c>
      <c r="B525">
        <v>102</v>
      </c>
      <c r="C525">
        <v>0</v>
      </c>
      <c r="D525">
        <v>0</v>
      </c>
      <c r="E525">
        <v>0</v>
      </c>
      <c r="G525" t="e">
        <f t="shared" si="32"/>
        <v>#NUM!</v>
      </c>
      <c r="H525" t="e">
        <f t="shared" si="33"/>
        <v>#NUM!</v>
      </c>
      <c r="I525" t="e">
        <f t="shared" si="34"/>
        <v>#NUM!</v>
      </c>
      <c r="J525" s="3" t="s">
        <v>9</v>
      </c>
      <c r="K525" t="e">
        <f t="shared" si="35"/>
        <v>#NUM!</v>
      </c>
      <c r="L525" s="5" t="s">
        <v>533</v>
      </c>
      <c r="N525">
        <v>524</v>
      </c>
      <c r="O525">
        <v>-3</v>
      </c>
    </row>
    <row r="526" spans="1:15">
      <c r="A526">
        <v>525</v>
      </c>
      <c r="B526">
        <v>651</v>
      </c>
      <c r="C526">
        <v>0</v>
      </c>
      <c r="D526">
        <v>0</v>
      </c>
      <c r="E526">
        <v>4</v>
      </c>
      <c r="G526" t="e">
        <f t="shared" si="32"/>
        <v>#NUM!</v>
      </c>
      <c r="H526" t="e">
        <f t="shared" si="33"/>
        <v>#NUM!</v>
      </c>
      <c r="I526">
        <f t="shared" si="34"/>
        <v>-1.7468578315284642</v>
      </c>
      <c r="J526" s="3" t="s">
        <v>9</v>
      </c>
      <c r="K526" t="e">
        <f t="shared" si="35"/>
        <v>#NUM!</v>
      </c>
      <c r="L526" s="5" t="s">
        <v>534</v>
      </c>
      <c r="N526">
        <v>525</v>
      </c>
      <c r="O526">
        <v>-3</v>
      </c>
    </row>
    <row r="527" spans="1:15">
      <c r="A527">
        <v>526</v>
      </c>
      <c r="B527">
        <v>862</v>
      </c>
      <c r="C527">
        <v>45</v>
      </c>
      <c r="D527">
        <v>61</v>
      </c>
      <c r="E527">
        <v>1</v>
      </c>
      <c r="G527">
        <f t="shared" si="32"/>
        <v>-1.1825232832304509</v>
      </c>
      <c r="H527">
        <f t="shared" si="33"/>
        <v>-1.1737938969876336</v>
      </c>
      <c r="I527">
        <f t="shared" si="34"/>
        <v>-2.4708441001129473</v>
      </c>
      <c r="J527" s="3" t="s">
        <v>9</v>
      </c>
      <c r="K527">
        <f t="shared" si="35"/>
        <v>-1.6090537601103438</v>
      </c>
      <c r="L527" s="5" t="s">
        <v>535</v>
      </c>
      <c r="N527">
        <v>526</v>
      </c>
      <c r="O527">
        <v>-1.6090537601103438</v>
      </c>
    </row>
    <row r="528" spans="1:15">
      <c r="A528">
        <v>527</v>
      </c>
      <c r="B528">
        <v>2129</v>
      </c>
      <c r="C528">
        <v>0</v>
      </c>
      <c r="D528">
        <v>0</v>
      </c>
      <c r="E528">
        <v>1</v>
      </c>
      <c r="G528" t="e">
        <f t="shared" si="32"/>
        <v>#NUM!</v>
      </c>
      <c r="H528" t="e">
        <f t="shared" si="33"/>
        <v>#NUM!</v>
      </c>
      <c r="I528">
        <f t="shared" si="34"/>
        <v>-2.8635124957265572</v>
      </c>
      <c r="J528" s="3" t="s">
        <v>9</v>
      </c>
      <c r="K528" t="e">
        <f t="shared" si="35"/>
        <v>#NUM!</v>
      </c>
      <c r="L528" s="5" t="s">
        <v>536</v>
      </c>
      <c r="N528">
        <v>527</v>
      </c>
      <c r="O528">
        <v>-3</v>
      </c>
    </row>
    <row r="529" spans="1:15">
      <c r="A529">
        <v>528</v>
      </c>
      <c r="B529">
        <v>1794</v>
      </c>
      <c r="C529">
        <v>108</v>
      </c>
      <c r="D529">
        <v>312</v>
      </c>
      <c r="E529">
        <v>97</v>
      </c>
      <c r="G529">
        <f t="shared" si="32"/>
        <v>-1.1206272144022054</v>
      </c>
      <c r="H529">
        <f t="shared" si="33"/>
        <v>-0.78328431086331851</v>
      </c>
      <c r="I529">
        <f t="shared" si="34"/>
        <v>-0.80238753873006308</v>
      </c>
      <c r="J529" s="3" t="s">
        <v>9</v>
      </c>
      <c r="K529">
        <f t="shared" si="35"/>
        <v>-0.90209968799852902</v>
      </c>
      <c r="L529" s="5" t="s">
        <v>537</v>
      </c>
      <c r="N529">
        <v>528</v>
      </c>
      <c r="O529">
        <v>-0.90209968799852902</v>
      </c>
    </row>
    <row r="530" spans="1:15">
      <c r="A530">
        <v>529</v>
      </c>
      <c r="B530">
        <v>1271</v>
      </c>
      <c r="C530">
        <v>1887</v>
      </c>
      <c r="D530">
        <v>1071</v>
      </c>
      <c r="E530">
        <v>732</v>
      </c>
      <c r="G530">
        <f t="shared" si="32"/>
        <v>0.27139781842984134</v>
      </c>
      <c r="H530">
        <f t="shared" si="33"/>
        <v>-9.7972545895840452E-2</v>
      </c>
      <c r="I530">
        <f t="shared" si="34"/>
        <v>0.22502869621614904</v>
      </c>
      <c r="J530" s="3" t="s">
        <v>9</v>
      </c>
      <c r="K530">
        <f t="shared" si="35"/>
        <v>0.13281798958338331</v>
      </c>
      <c r="L530" s="5" t="s">
        <v>538</v>
      </c>
      <c r="N530">
        <v>529</v>
      </c>
      <c r="O530">
        <v>0.13281798958338331</v>
      </c>
    </row>
    <row r="531" spans="1:15">
      <c r="A531">
        <v>530</v>
      </c>
      <c r="B531">
        <v>4061</v>
      </c>
      <c r="C531">
        <v>2</v>
      </c>
      <c r="D531">
        <v>6</v>
      </c>
      <c r="E531">
        <v>0</v>
      </c>
      <c r="G531">
        <f t="shared" si="32"/>
        <v>-3.2078315250071379</v>
      </c>
      <c r="H531">
        <f t="shared" si="33"/>
        <v>-2.854098205280081</v>
      </c>
      <c r="I531" t="e">
        <f t="shared" si="34"/>
        <v>#NUM!</v>
      </c>
      <c r="J531" s="3" t="s">
        <v>9</v>
      </c>
      <c r="K531" t="e">
        <f t="shared" si="35"/>
        <v>#NUM!</v>
      </c>
      <c r="L531" s="5" t="s">
        <v>539</v>
      </c>
      <c r="N531">
        <v>530</v>
      </c>
      <c r="O531">
        <v>-3</v>
      </c>
    </row>
    <row r="532" spans="1:15">
      <c r="A532">
        <v>531</v>
      </c>
      <c r="B532">
        <v>144</v>
      </c>
      <c r="C532">
        <v>1</v>
      </c>
      <c r="D532">
        <v>0</v>
      </c>
      <c r="E532">
        <v>0</v>
      </c>
      <c r="G532">
        <f t="shared" si="32"/>
        <v>-2.0585910232763318</v>
      </c>
      <c r="H532" t="e">
        <f t="shared" si="33"/>
        <v>#NUM!</v>
      </c>
      <c r="I532" t="e">
        <f t="shared" si="34"/>
        <v>#NUM!</v>
      </c>
      <c r="J532" s="3" t="s">
        <v>9</v>
      </c>
      <c r="K532" t="e">
        <f t="shared" si="35"/>
        <v>#NUM!</v>
      </c>
      <c r="L532" s="5" t="s">
        <v>540</v>
      </c>
      <c r="N532">
        <v>531</v>
      </c>
      <c r="O532">
        <v>-3</v>
      </c>
    </row>
    <row r="533" spans="1:15">
      <c r="A533">
        <v>532</v>
      </c>
      <c r="B533">
        <v>182</v>
      </c>
      <c r="C533">
        <v>13</v>
      </c>
      <c r="D533">
        <v>3</v>
      </c>
      <c r="E533">
        <v>4</v>
      </c>
      <c r="G533">
        <f t="shared" si="32"/>
        <v>-1.0463565668593198</v>
      </c>
      <c r="H533">
        <f t="shared" si="33"/>
        <v>-1.8065665994391003</v>
      </c>
      <c r="I533">
        <f t="shared" si="34"/>
        <v>-1.1933482309453471</v>
      </c>
      <c r="J533" s="3" t="s">
        <v>9</v>
      </c>
      <c r="K533">
        <f t="shared" si="35"/>
        <v>-1.3487571324145893</v>
      </c>
      <c r="L533" s="5" t="s">
        <v>541</v>
      </c>
      <c r="N533">
        <v>532</v>
      </c>
      <c r="O533">
        <v>-1.3487571324145893</v>
      </c>
    </row>
    <row r="534" spans="1:15">
      <c r="A534">
        <v>533</v>
      </c>
      <c r="B534">
        <v>739</v>
      </c>
      <c r="C534">
        <v>15</v>
      </c>
      <c r="D534">
        <v>87</v>
      </c>
      <c r="E534">
        <v>14</v>
      </c>
      <c r="G534">
        <f t="shared" si="32"/>
        <v>-1.5927817105202262</v>
      </c>
      <c r="H534">
        <f t="shared" si="33"/>
        <v>-0.95274165194989513</v>
      </c>
      <c r="I534">
        <f t="shared" si="34"/>
        <v>-1.2578532370048223</v>
      </c>
      <c r="J534" s="3" t="s">
        <v>9</v>
      </c>
      <c r="K534">
        <f t="shared" si="35"/>
        <v>-1.2677921998249813</v>
      </c>
      <c r="L534" s="5" t="s">
        <v>542</v>
      </c>
      <c r="N534">
        <v>533</v>
      </c>
      <c r="O534">
        <v>-1.2677921998249813</v>
      </c>
    </row>
    <row r="535" spans="1:15">
      <c r="A535">
        <v>534</v>
      </c>
      <c r="B535">
        <v>1633</v>
      </c>
      <c r="C535">
        <v>2</v>
      </c>
      <c r="D535">
        <v>9</v>
      </c>
      <c r="E535">
        <v>1</v>
      </c>
      <c r="G535">
        <f t="shared" si="32"/>
        <v>-2.8121847202537689</v>
      </c>
      <c r="H535">
        <f t="shared" si="33"/>
        <v>-2.2823601414710311</v>
      </c>
      <c r="I535">
        <f t="shared" si="34"/>
        <v>-2.7483230190249026</v>
      </c>
      <c r="J535" s="3" t="s">
        <v>9</v>
      </c>
      <c r="K535">
        <f t="shared" si="35"/>
        <v>-2.614289293583234</v>
      </c>
      <c r="L535" s="5" t="s">
        <v>543</v>
      </c>
      <c r="N535">
        <v>534</v>
      </c>
      <c r="O535">
        <v>-2.614289293583234</v>
      </c>
    </row>
    <row r="536" spans="1:15">
      <c r="A536">
        <v>535</v>
      </c>
      <c r="B536">
        <v>565</v>
      </c>
      <c r="C536">
        <v>0</v>
      </c>
      <c r="D536">
        <v>1</v>
      </c>
      <c r="E536">
        <v>1</v>
      </c>
      <c r="G536" t="e">
        <f t="shared" si="32"/>
        <v>#NUM!</v>
      </c>
      <c r="H536">
        <f t="shared" si="33"/>
        <v>-2.7756649139931264</v>
      </c>
      <c r="I536">
        <f t="shared" si="34"/>
        <v>-2.2873852821076732</v>
      </c>
      <c r="J536" s="3" t="s">
        <v>9</v>
      </c>
      <c r="K536" t="e">
        <f t="shared" si="35"/>
        <v>#NUM!</v>
      </c>
      <c r="L536" s="5" t="s">
        <v>544</v>
      </c>
      <c r="N536">
        <v>535</v>
      </c>
      <c r="O536">
        <v>-3</v>
      </c>
    </row>
    <row r="537" spans="1:15">
      <c r="A537">
        <v>536</v>
      </c>
      <c r="B537">
        <v>1949</v>
      </c>
      <c r="C537">
        <v>0</v>
      </c>
      <c r="D537">
        <v>2</v>
      </c>
      <c r="E537">
        <v>0</v>
      </c>
      <c r="G537" t="e">
        <f t="shared" si="32"/>
        <v>#NUM!</v>
      </c>
      <c r="H537">
        <f t="shared" si="33"/>
        <v>-3.0123983096273279</v>
      </c>
      <c r="I537" t="e">
        <f t="shared" si="34"/>
        <v>#NUM!</v>
      </c>
      <c r="J537" s="3" t="s">
        <v>9</v>
      </c>
      <c r="K537" t="e">
        <f t="shared" si="35"/>
        <v>#NUM!</v>
      </c>
      <c r="L537" s="5" t="s">
        <v>545</v>
      </c>
      <c r="N537">
        <v>536</v>
      </c>
      <c r="O537">
        <v>-3</v>
      </c>
    </row>
    <row r="538" spans="1:15">
      <c r="A538">
        <v>537</v>
      </c>
      <c r="B538">
        <v>6468</v>
      </c>
      <c r="C538">
        <v>0</v>
      </c>
      <c r="D538">
        <v>0</v>
      </c>
      <c r="E538">
        <v>9</v>
      </c>
      <c r="G538" t="e">
        <f t="shared" si="32"/>
        <v>#NUM!</v>
      </c>
      <c r="H538" t="e">
        <f t="shared" si="33"/>
        <v>#NUM!</v>
      </c>
      <c r="I538">
        <f t="shared" si="34"/>
        <v>-2.3918643360832732</v>
      </c>
      <c r="J538" s="2" t="s">
        <v>8</v>
      </c>
      <c r="K538" t="e">
        <f t="shared" si="35"/>
        <v>#NUM!</v>
      </c>
      <c r="L538" s="5" t="s">
        <v>546</v>
      </c>
      <c r="N538">
        <v>537</v>
      </c>
      <c r="O538">
        <v>-3</v>
      </c>
    </row>
    <row r="539" spans="1:15">
      <c r="A539">
        <v>538</v>
      </c>
      <c r="B539">
        <v>4414</v>
      </c>
      <c r="C539">
        <v>0</v>
      </c>
      <c r="D539">
        <v>0</v>
      </c>
      <c r="E539">
        <v>0</v>
      </c>
      <c r="G539" t="e">
        <f t="shared" si="32"/>
        <v>#NUM!</v>
      </c>
      <c r="H539" t="e">
        <f t="shared" si="33"/>
        <v>#NUM!</v>
      </c>
      <c r="I539" t="e">
        <f t="shared" si="34"/>
        <v>#NUM!</v>
      </c>
      <c r="J539" s="2" t="s">
        <v>8</v>
      </c>
      <c r="K539" t="e">
        <f t="shared" si="35"/>
        <v>#NUM!</v>
      </c>
      <c r="L539" s="5" t="s">
        <v>547</v>
      </c>
      <c r="N539">
        <v>538</v>
      </c>
      <c r="O539">
        <v>-3</v>
      </c>
    </row>
    <row r="540" spans="1:15">
      <c r="A540">
        <v>539</v>
      </c>
      <c r="B540">
        <v>3453</v>
      </c>
      <c r="C540">
        <v>1</v>
      </c>
      <c r="D540">
        <v>0</v>
      </c>
      <c r="E540">
        <v>3</v>
      </c>
      <c r="G540">
        <f t="shared" si="32"/>
        <v>-3.4384251095305363</v>
      </c>
      <c r="H540" t="e">
        <f t="shared" si="33"/>
        <v>#NUM!</v>
      </c>
      <c r="I540">
        <f t="shared" si="34"/>
        <v>-2.5964121579180262</v>
      </c>
      <c r="J540" s="2" t="s">
        <v>8</v>
      </c>
      <c r="K540" t="e">
        <f t="shared" si="35"/>
        <v>#NUM!</v>
      </c>
      <c r="L540" s="5" t="s">
        <v>548</v>
      </c>
      <c r="N540">
        <v>539</v>
      </c>
      <c r="O540">
        <v>-3</v>
      </c>
    </row>
    <row r="541" spans="1:15">
      <c r="A541">
        <v>540</v>
      </c>
      <c r="B541">
        <v>3293</v>
      </c>
      <c r="C541">
        <v>8</v>
      </c>
      <c r="D541">
        <v>0</v>
      </c>
      <c r="E541">
        <v>4</v>
      </c>
      <c r="G541">
        <f t="shared" si="32"/>
        <v>-2.5147302749010461</v>
      </c>
      <c r="H541" t="e">
        <f t="shared" si="33"/>
        <v>#NUM!</v>
      </c>
      <c r="I541">
        <f t="shared" si="34"/>
        <v>-2.4508685736721798</v>
      </c>
      <c r="J541" s="2" t="s">
        <v>8</v>
      </c>
      <c r="K541" t="e">
        <f t="shared" si="35"/>
        <v>#NUM!</v>
      </c>
      <c r="L541" s="5" t="s">
        <v>549</v>
      </c>
      <c r="N541">
        <v>540</v>
      </c>
      <c r="O541">
        <v>-3</v>
      </c>
    </row>
    <row r="542" spans="1:15">
      <c r="A542">
        <v>541</v>
      </c>
      <c r="B542">
        <v>6916</v>
      </c>
      <c r="C542">
        <v>1</v>
      </c>
      <c r="D542">
        <v>2</v>
      </c>
      <c r="E542">
        <v>1</v>
      </c>
      <c r="G542">
        <f t="shared" si="32"/>
        <v>-3.7400835157829668</v>
      </c>
      <c r="H542">
        <f t="shared" si="33"/>
        <v>-3.5624414551115917</v>
      </c>
      <c r="I542">
        <f t="shared" si="34"/>
        <v>-3.3751918188901193</v>
      </c>
      <c r="J542" s="2" t="s">
        <v>8</v>
      </c>
      <c r="K542">
        <f t="shared" si="35"/>
        <v>-3.5592389299282261</v>
      </c>
      <c r="L542" s="5" t="s">
        <v>550</v>
      </c>
      <c r="N542">
        <v>541</v>
      </c>
      <c r="O542">
        <v>-3.5592389299282261</v>
      </c>
    </row>
    <row r="543" spans="1:15">
      <c r="A543">
        <v>542</v>
      </c>
      <c r="B543">
        <v>6475</v>
      </c>
      <c r="C543">
        <v>0</v>
      </c>
      <c r="D543">
        <v>4</v>
      </c>
      <c r="E543">
        <v>7</v>
      </c>
      <c r="G543" t="e">
        <f t="shared" si="32"/>
        <v>#NUM!</v>
      </c>
      <c r="H543">
        <f t="shared" si="33"/>
        <v>-3.2327962475990146</v>
      </c>
      <c r="I543">
        <f t="shared" si="34"/>
        <v>-2.501478567027267</v>
      </c>
      <c r="J543" s="2" t="s">
        <v>8</v>
      </c>
      <c r="K543" t="e">
        <f t="shared" si="35"/>
        <v>#NUM!</v>
      </c>
      <c r="L543" s="5" t="s">
        <v>551</v>
      </c>
      <c r="N543">
        <v>542</v>
      </c>
      <c r="O543">
        <v>-3</v>
      </c>
    </row>
    <row r="544" spans="1:15">
      <c r="A544">
        <v>543</v>
      </c>
      <c r="B544">
        <v>5212</v>
      </c>
      <c r="C544">
        <v>470</v>
      </c>
      <c r="D544">
        <v>13</v>
      </c>
      <c r="E544">
        <v>36</v>
      </c>
      <c r="G544">
        <f t="shared" si="32"/>
        <v>-0.94513508028591131</v>
      </c>
      <c r="H544">
        <f t="shared" si="33"/>
        <v>-2.626677520907398</v>
      </c>
      <c r="I544">
        <f t="shared" si="34"/>
        <v>-1.6960387405614945</v>
      </c>
      <c r="J544" s="2" t="s">
        <v>8</v>
      </c>
      <c r="K544">
        <f t="shared" si="35"/>
        <v>-1.7559504472516014</v>
      </c>
      <c r="L544" s="5" t="s">
        <v>552</v>
      </c>
      <c r="N544">
        <v>543</v>
      </c>
      <c r="O544">
        <v>-1.7559504472516014</v>
      </c>
    </row>
    <row r="545" spans="1:15">
      <c r="A545">
        <v>544</v>
      </c>
      <c r="B545">
        <v>9851</v>
      </c>
      <c r="C545">
        <v>2</v>
      </c>
      <c r="D545">
        <v>1</v>
      </c>
      <c r="E545">
        <v>3</v>
      </c>
      <c r="G545">
        <f t="shared" si="32"/>
        <v>-3.5926788545870973</v>
      </c>
      <c r="H545">
        <f t="shared" si="33"/>
        <v>-4.0170967852436847</v>
      </c>
      <c r="I545">
        <f t="shared" si="34"/>
        <v>-3.0516958986385685</v>
      </c>
      <c r="J545" s="2" t="s">
        <v>8</v>
      </c>
      <c r="K545">
        <f t="shared" si="35"/>
        <v>-3.5538238461564498</v>
      </c>
      <c r="L545" s="5" t="s">
        <v>553</v>
      </c>
      <c r="N545">
        <v>544</v>
      </c>
      <c r="O545">
        <v>-3.5538238461564498</v>
      </c>
    </row>
    <row r="546" spans="1:15">
      <c r="A546">
        <v>545</v>
      </c>
      <c r="B546">
        <v>5585</v>
      </c>
      <c r="C546">
        <v>17708</v>
      </c>
      <c r="D546">
        <v>3539</v>
      </c>
      <c r="E546">
        <v>5771</v>
      </c>
      <c r="G546">
        <f t="shared" si="32"/>
        <v>0.60091780467410061</v>
      </c>
      <c r="H546">
        <f t="shared" si="33"/>
        <v>-0.22175908098780087</v>
      </c>
      <c r="I546">
        <f t="shared" si="34"/>
        <v>0.47889106256880021</v>
      </c>
      <c r="J546" s="3" t="s">
        <v>9</v>
      </c>
      <c r="K546">
        <f t="shared" si="35"/>
        <v>0.28601659541836666</v>
      </c>
      <c r="L546" s="5" t="s">
        <v>554</v>
      </c>
      <c r="N546">
        <v>545</v>
      </c>
      <c r="O546">
        <v>0.28601659541836666</v>
      </c>
    </row>
    <row r="547" spans="1:15">
      <c r="A547">
        <v>546</v>
      </c>
      <c r="B547">
        <v>6403</v>
      </c>
      <c r="C547">
        <v>4682</v>
      </c>
      <c r="D547">
        <v>10173</v>
      </c>
      <c r="E547">
        <v>4975</v>
      </c>
      <c r="G547">
        <f t="shared" si="32"/>
        <v>-3.6180623644643917E-2</v>
      </c>
      <c r="H547">
        <f t="shared" si="33"/>
        <v>0.17744907649989325</v>
      </c>
      <c r="I547">
        <f t="shared" si="34"/>
        <v>0.35507274896934204</v>
      </c>
      <c r="J547" s="3" t="s">
        <v>9</v>
      </c>
      <c r="K547">
        <f t="shared" si="35"/>
        <v>0.1654470672748638</v>
      </c>
      <c r="L547" s="5" t="s">
        <v>555</v>
      </c>
      <c r="N547">
        <v>546</v>
      </c>
      <c r="O547">
        <v>0.1654470672748638</v>
      </c>
    </row>
    <row r="548" spans="1:15">
      <c r="A548">
        <v>547</v>
      </c>
      <c r="B548">
        <v>3146</v>
      </c>
      <c r="C548">
        <v>6</v>
      </c>
      <c r="D548">
        <v>0</v>
      </c>
      <c r="E548">
        <v>1</v>
      </c>
      <c r="G548">
        <f t="shared" si="32"/>
        <v>-2.6198359990847067</v>
      </c>
      <c r="H548" t="e">
        <f t="shared" si="33"/>
        <v>#NUM!</v>
      </c>
      <c r="I548">
        <f t="shared" si="34"/>
        <v>-3.0330955525755026</v>
      </c>
      <c r="J548" s="2" t="s">
        <v>8</v>
      </c>
      <c r="K548" t="e">
        <f t="shared" si="35"/>
        <v>#NUM!</v>
      </c>
      <c r="L548" s="5" t="s">
        <v>556</v>
      </c>
      <c r="N548">
        <v>547</v>
      </c>
      <c r="O548">
        <v>-3</v>
      </c>
    </row>
    <row r="549" spans="1:15">
      <c r="A549">
        <v>548</v>
      </c>
      <c r="B549">
        <v>1953</v>
      </c>
      <c r="C549">
        <v>1</v>
      </c>
      <c r="D549">
        <v>0</v>
      </c>
      <c r="E549">
        <v>0</v>
      </c>
      <c r="G549">
        <f t="shared" si="32"/>
        <v>-3.1909307744689364</v>
      </c>
      <c r="H549" t="e">
        <f t="shared" si="33"/>
        <v>#NUM!</v>
      </c>
      <c r="I549" t="e">
        <f t="shared" si="34"/>
        <v>#NUM!</v>
      </c>
      <c r="J549" s="2" t="s">
        <v>8</v>
      </c>
      <c r="K549" t="e">
        <f t="shared" si="35"/>
        <v>#NUM!</v>
      </c>
      <c r="L549" s="5" t="s">
        <v>557</v>
      </c>
      <c r="N549">
        <v>548</v>
      </c>
      <c r="O549">
        <v>-3</v>
      </c>
    </row>
    <row r="550" spans="1:15">
      <c r="A550">
        <v>549</v>
      </c>
      <c r="B550">
        <v>2963</v>
      </c>
      <c r="C550">
        <v>0</v>
      </c>
      <c r="D550">
        <v>0</v>
      </c>
      <c r="E550">
        <v>1</v>
      </c>
      <c r="G550" t="e">
        <f t="shared" si="32"/>
        <v>#NUM!</v>
      </c>
      <c r="H550" t="e">
        <f t="shared" si="33"/>
        <v>#NUM!</v>
      </c>
      <c r="I550">
        <f t="shared" si="34"/>
        <v>-3.0070684857682854</v>
      </c>
      <c r="J550" s="2" t="s">
        <v>8</v>
      </c>
      <c r="K550" t="e">
        <f t="shared" si="35"/>
        <v>#NUM!</v>
      </c>
      <c r="L550" s="5" t="s">
        <v>558</v>
      </c>
      <c r="N550">
        <v>549</v>
      </c>
      <c r="O550">
        <v>-3</v>
      </c>
    </row>
    <row r="551" spans="1:15">
      <c r="A551">
        <v>550</v>
      </c>
      <c r="B551">
        <v>2245</v>
      </c>
      <c r="C551">
        <v>17</v>
      </c>
      <c r="D551">
        <v>30</v>
      </c>
      <c r="E551">
        <v>75</v>
      </c>
      <c r="G551">
        <f t="shared" si="32"/>
        <v>-2.0209959551421499</v>
      </c>
      <c r="H551">
        <f t="shared" si="33"/>
        <v>-1.8977115567933676</v>
      </c>
      <c r="I551">
        <f t="shared" si="34"/>
        <v>-1.0114919162358764</v>
      </c>
      <c r="J551" s="3" t="s">
        <v>9</v>
      </c>
      <c r="K551">
        <f t="shared" si="35"/>
        <v>-1.6433998093904645</v>
      </c>
      <c r="L551" s="5" t="s">
        <v>559</v>
      </c>
      <c r="N551">
        <v>550</v>
      </c>
      <c r="O551">
        <v>-1.6433998093904645</v>
      </c>
    </row>
    <row r="552" spans="1:15">
      <c r="A552">
        <v>551</v>
      </c>
      <c r="B552">
        <v>2857</v>
      </c>
      <c r="C552">
        <v>147</v>
      </c>
      <c r="D552">
        <v>470</v>
      </c>
      <c r="E552">
        <v>1559</v>
      </c>
      <c r="G552">
        <f t="shared" si="32"/>
        <v>-1.1888214368156487</v>
      </c>
      <c r="H552">
        <f t="shared" si="33"/>
        <v>-0.80742884862071351</v>
      </c>
      <c r="I552">
        <f t="shared" si="34"/>
        <v>0.20159904051786404</v>
      </c>
      <c r="J552" s="3" t="s">
        <v>9</v>
      </c>
      <c r="K552">
        <f t="shared" si="35"/>
        <v>-0.59821708163949938</v>
      </c>
      <c r="L552" s="5" t="s">
        <v>560</v>
      </c>
      <c r="N552">
        <v>551</v>
      </c>
      <c r="O552">
        <v>-0.59821708163949938</v>
      </c>
    </row>
    <row r="553" spans="1:15">
      <c r="A553">
        <v>552</v>
      </c>
      <c r="B553">
        <v>1746</v>
      </c>
      <c r="C553">
        <v>2</v>
      </c>
      <c r="D553">
        <v>5</v>
      </c>
      <c r="E553">
        <v>11</v>
      </c>
      <c r="G553">
        <f t="shared" si="32"/>
        <v>-2.8412427748866516</v>
      </c>
      <c r="H553">
        <f t="shared" si="33"/>
        <v>-2.5666907012072198</v>
      </c>
      <c r="I553">
        <f t="shared" si="34"/>
        <v>-1.7359883884995604</v>
      </c>
      <c r="J553" s="3" t="s">
        <v>9</v>
      </c>
      <c r="K553">
        <f t="shared" si="35"/>
        <v>-2.3813072881978106</v>
      </c>
      <c r="L553" s="5" t="s">
        <v>561</v>
      </c>
      <c r="N553">
        <v>552</v>
      </c>
      <c r="O553">
        <v>-2.3813072881978106</v>
      </c>
    </row>
    <row r="554" spans="1:15">
      <c r="A554">
        <v>553</v>
      </c>
      <c r="B554">
        <v>1106</v>
      </c>
      <c r="C554">
        <v>1760</v>
      </c>
      <c r="D554">
        <v>147</v>
      </c>
      <c r="E554">
        <v>80</v>
      </c>
      <c r="G554">
        <f t="shared" si="32"/>
        <v>0.3015290096643885</v>
      </c>
      <c r="H554">
        <f t="shared" si="33"/>
        <v>-0.9000542583941914</v>
      </c>
      <c r="I554">
        <f t="shared" si="34"/>
        <v>-0.67600197426497044</v>
      </c>
      <c r="J554" s="3" t="s">
        <v>9</v>
      </c>
      <c r="K554">
        <f t="shared" si="35"/>
        <v>-0.42484240766492443</v>
      </c>
      <c r="L554" s="5" t="s">
        <v>562</v>
      </c>
      <c r="N554">
        <v>553</v>
      </c>
      <c r="O554">
        <v>-0.42484240766492443</v>
      </c>
    </row>
    <row r="555" spans="1:15" ht="26">
      <c r="A555" t="s">
        <v>4</v>
      </c>
      <c r="B555">
        <v>3883</v>
      </c>
      <c r="C555" s="1">
        <v>3086</v>
      </c>
      <c r="D555" s="1">
        <v>4100</v>
      </c>
      <c r="E555" s="1">
        <v>1332</v>
      </c>
      <c r="G555">
        <f t="shared" si="32"/>
        <v>0</v>
      </c>
      <c r="H555">
        <f t="shared" si="33"/>
        <v>0</v>
      </c>
      <c r="I555">
        <f t="shared" si="34"/>
        <v>0</v>
      </c>
      <c r="K555">
        <f t="shared" si="35"/>
        <v>0</v>
      </c>
      <c r="L555" s="5" t="s">
        <v>563</v>
      </c>
      <c r="N555" t="s">
        <v>4</v>
      </c>
      <c r="O5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D110C_30_40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Nimkar, Siddharth</dc:creator>
  <cp:lastModifiedBy>Siddharth Nimkar</cp:lastModifiedBy>
  <dcterms:created xsi:type="dcterms:W3CDTF">2025-03-17T18:01:51Z</dcterms:created>
  <dcterms:modified xsi:type="dcterms:W3CDTF">2026-04-22T17:48:07Z</dcterms:modified>
</cp:coreProperties>
</file>