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rthnimkar/VU Basic Sciences Dropbox/Siddharth Nimkar/From Siddharth/Other_files/MiSeq_data/"/>
    </mc:Choice>
  </mc:AlternateContent>
  <xr:revisionPtr revIDLastSave="0" documentId="13_ncr:1_{0FA57668-F8CC-8841-8AF3-B25D800D6476}" xr6:coauthVersionLast="47" xr6:coauthVersionMax="47" xr10:uidLastSave="{00000000-0000-0000-0000-000000000000}"/>
  <bookViews>
    <workbookView xWindow="940" yWindow="780" windowWidth="39220" windowHeight="27460" activeTab="3" xr2:uid="{A3181CB8-152C-4D4F-B398-6C95A419F210}"/>
  </bookViews>
  <sheets>
    <sheet name="Sheet1" sheetId="1" r:id="rId1"/>
    <sheet name="170_182" sheetId="2" r:id="rId2"/>
    <sheet name="Arranged" sheetId="3" r:id="rId3"/>
    <sheet name="170_182Repeat" sheetId="5" r:id="rId4"/>
    <sheet name="Repeat_170_182_arrange" sheetId="6" r:id="rId5"/>
    <sheet name="Common_seq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2" i="6"/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K382" i="5" s="1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K454" i="5" s="1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K874" i="5" s="1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K16" i="5" s="1"/>
  <c r="H17" i="5"/>
  <c r="K17" i="5" s="1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K41" i="5" s="1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K65" i="5" s="1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K100" i="5" s="1"/>
  <c r="H101" i="5"/>
  <c r="K101" i="5" s="1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K125" i="5" s="1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K184" i="5" s="1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K244" i="5" s="1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K288" i="5" s="1"/>
  <c r="H289" i="5"/>
  <c r="H290" i="5"/>
  <c r="H291" i="5"/>
  <c r="H292" i="5"/>
  <c r="K292" i="5" s="1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K329" i="5" s="1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K599" i="5" s="1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K612" i="5" s="1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K653" i="5" s="1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K755" i="5" s="1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K893" i="5" s="1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2" i="5"/>
  <c r="K2" i="5" s="1"/>
  <c r="G3" i="5"/>
  <c r="G4" i="5"/>
  <c r="G5" i="5"/>
  <c r="G6" i="5"/>
  <c r="M6" i="5" s="1"/>
  <c r="G7" i="5"/>
  <c r="M7" i="5" s="1"/>
  <c r="G8" i="5"/>
  <c r="M8" i="5" s="1"/>
  <c r="G9" i="5"/>
  <c r="G10" i="5"/>
  <c r="G11" i="5"/>
  <c r="G12" i="5"/>
  <c r="G13" i="5"/>
  <c r="G14" i="5"/>
  <c r="G15" i="5"/>
  <c r="G16" i="5"/>
  <c r="G17" i="5"/>
  <c r="G18" i="5"/>
  <c r="M18" i="5" s="1"/>
  <c r="G19" i="5"/>
  <c r="M19" i="5" s="1"/>
  <c r="G20" i="5"/>
  <c r="M20" i="5" s="1"/>
  <c r="G21" i="5"/>
  <c r="G22" i="5"/>
  <c r="G23" i="5"/>
  <c r="G24" i="5"/>
  <c r="G25" i="5"/>
  <c r="G26" i="5"/>
  <c r="G27" i="5"/>
  <c r="G28" i="5"/>
  <c r="G29" i="5"/>
  <c r="M29" i="5" s="1"/>
  <c r="G30" i="5"/>
  <c r="M30" i="5" s="1"/>
  <c r="G31" i="5"/>
  <c r="M31" i="5" s="1"/>
  <c r="G32" i="5"/>
  <c r="M32" i="5" s="1"/>
  <c r="G33" i="5"/>
  <c r="G34" i="5"/>
  <c r="G35" i="5"/>
  <c r="G36" i="5"/>
  <c r="G37" i="5"/>
  <c r="G38" i="5"/>
  <c r="G39" i="5"/>
  <c r="G40" i="5"/>
  <c r="G41" i="5"/>
  <c r="G42" i="5"/>
  <c r="M42" i="5" s="1"/>
  <c r="G43" i="5"/>
  <c r="M43" i="5" s="1"/>
  <c r="G44" i="5"/>
  <c r="M44" i="5" s="1"/>
  <c r="G45" i="5"/>
  <c r="M45" i="5" s="1"/>
  <c r="G46" i="5"/>
  <c r="G47" i="5"/>
  <c r="G48" i="5"/>
  <c r="G49" i="5"/>
  <c r="G50" i="5"/>
  <c r="G51" i="5"/>
  <c r="M51" i="5" s="1"/>
  <c r="G52" i="5"/>
  <c r="G53" i="5"/>
  <c r="G54" i="5"/>
  <c r="M54" i="5" s="1"/>
  <c r="G55" i="5"/>
  <c r="M55" i="5" s="1"/>
  <c r="G56" i="5"/>
  <c r="M56" i="5" s="1"/>
  <c r="G57" i="5"/>
  <c r="G58" i="5"/>
  <c r="M58" i="5" s="1"/>
  <c r="G59" i="5"/>
  <c r="G60" i="5"/>
  <c r="G61" i="5"/>
  <c r="G62" i="5"/>
  <c r="G63" i="5"/>
  <c r="G64" i="5"/>
  <c r="G65" i="5"/>
  <c r="G66" i="5"/>
  <c r="M66" i="5" s="1"/>
  <c r="G67" i="5"/>
  <c r="M67" i="5" s="1"/>
  <c r="G68" i="5"/>
  <c r="M68" i="5" s="1"/>
  <c r="G69" i="5"/>
  <c r="M69" i="5" s="1"/>
  <c r="G70" i="5"/>
  <c r="G71" i="5"/>
  <c r="G72" i="5"/>
  <c r="G73" i="5"/>
  <c r="G74" i="5"/>
  <c r="G75" i="5"/>
  <c r="G76" i="5"/>
  <c r="G77" i="5"/>
  <c r="G78" i="5"/>
  <c r="M78" i="5" s="1"/>
  <c r="G79" i="5"/>
  <c r="M79" i="5" s="1"/>
  <c r="G80" i="5"/>
  <c r="M80" i="5" s="1"/>
  <c r="G81" i="5"/>
  <c r="G82" i="5"/>
  <c r="G83" i="5"/>
  <c r="G84" i="5"/>
  <c r="G85" i="5"/>
  <c r="G86" i="5"/>
  <c r="G87" i="5"/>
  <c r="G88" i="5"/>
  <c r="G89" i="5"/>
  <c r="G90" i="5"/>
  <c r="M90" i="5" s="1"/>
  <c r="G91" i="5"/>
  <c r="M91" i="5" s="1"/>
  <c r="G92" i="5"/>
  <c r="M92" i="5" s="1"/>
  <c r="G93" i="5"/>
  <c r="G94" i="5"/>
  <c r="G95" i="5"/>
  <c r="G96" i="5"/>
  <c r="G97" i="5"/>
  <c r="G98" i="5"/>
  <c r="M98" i="5" s="1"/>
  <c r="G99" i="5"/>
  <c r="G100" i="5"/>
  <c r="G101" i="5"/>
  <c r="G102" i="5"/>
  <c r="M102" i="5" s="1"/>
  <c r="G103" i="5"/>
  <c r="M103" i="5" s="1"/>
  <c r="G104" i="5"/>
  <c r="M104" i="5" s="1"/>
  <c r="G105" i="5"/>
  <c r="G106" i="5"/>
  <c r="G107" i="5"/>
  <c r="G108" i="5"/>
  <c r="G109" i="5"/>
  <c r="G110" i="5"/>
  <c r="G111" i="5"/>
  <c r="M111" i="5" s="1"/>
  <c r="G112" i="5"/>
  <c r="G113" i="5"/>
  <c r="G114" i="5"/>
  <c r="M114" i="5" s="1"/>
  <c r="G115" i="5"/>
  <c r="M115" i="5" s="1"/>
  <c r="G116" i="5"/>
  <c r="M116" i="5" s="1"/>
  <c r="G117" i="5"/>
  <c r="G118" i="5"/>
  <c r="G119" i="5"/>
  <c r="G120" i="5"/>
  <c r="G121" i="5"/>
  <c r="G122" i="5"/>
  <c r="G123" i="5"/>
  <c r="G124" i="5"/>
  <c r="M124" i="5" s="1"/>
  <c r="G125" i="5"/>
  <c r="G126" i="5"/>
  <c r="M126" i="5" s="1"/>
  <c r="G127" i="5"/>
  <c r="M127" i="5" s="1"/>
  <c r="G128" i="5"/>
  <c r="M128" i="5" s="1"/>
  <c r="G129" i="5"/>
  <c r="G130" i="5"/>
  <c r="G131" i="5"/>
  <c r="G132" i="5"/>
  <c r="G133" i="5"/>
  <c r="G134" i="5"/>
  <c r="M134" i="5" s="1"/>
  <c r="G135" i="5"/>
  <c r="G136" i="5"/>
  <c r="G137" i="5"/>
  <c r="G138" i="5"/>
  <c r="G139" i="5"/>
  <c r="M139" i="5" s="1"/>
  <c r="G140" i="5"/>
  <c r="M140" i="5" s="1"/>
  <c r="G141" i="5"/>
  <c r="G142" i="5"/>
  <c r="M142" i="5" s="1"/>
  <c r="G143" i="5"/>
  <c r="G144" i="5"/>
  <c r="G145" i="5"/>
  <c r="G146" i="5"/>
  <c r="G147" i="5"/>
  <c r="G148" i="5"/>
  <c r="M148" i="5" s="1"/>
  <c r="G149" i="5"/>
  <c r="M149" i="5" s="1"/>
  <c r="G150" i="5"/>
  <c r="M150" i="5" s="1"/>
  <c r="G151" i="5"/>
  <c r="M151" i="5" s="1"/>
  <c r="G152" i="5"/>
  <c r="M152" i="5" s="1"/>
  <c r="G153" i="5"/>
  <c r="G154" i="5"/>
  <c r="G155" i="5"/>
  <c r="G156" i="5"/>
  <c r="G157" i="5"/>
  <c r="G158" i="5"/>
  <c r="G159" i="5"/>
  <c r="G160" i="5"/>
  <c r="M160" i="5" s="1"/>
  <c r="G161" i="5"/>
  <c r="G162" i="5"/>
  <c r="M162" i="5" s="1"/>
  <c r="G163" i="5"/>
  <c r="M163" i="5" s="1"/>
  <c r="G164" i="5"/>
  <c r="M164" i="5" s="1"/>
  <c r="G165" i="5"/>
  <c r="G166" i="5"/>
  <c r="G167" i="5"/>
  <c r="G168" i="5"/>
  <c r="G169" i="5"/>
  <c r="G170" i="5"/>
  <c r="M170" i="5" s="1"/>
  <c r="G171" i="5"/>
  <c r="G172" i="5"/>
  <c r="G173" i="5"/>
  <c r="M173" i="5" s="1"/>
  <c r="G174" i="5"/>
  <c r="M174" i="5" s="1"/>
  <c r="G175" i="5"/>
  <c r="M175" i="5" s="1"/>
  <c r="G176" i="5"/>
  <c r="M176" i="5" s="1"/>
  <c r="G177" i="5"/>
  <c r="G178" i="5"/>
  <c r="G179" i="5"/>
  <c r="G180" i="5"/>
  <c r="G181" i="5"/>
  <c r="G182" i="5"/>
  <c r="G183" i="5"/>
  <c r="G184" i="5"/>
  <c r="G185" i="5"/>
  <c r="G186" i="5"/>
  <c r="M186" i="5" s="1"/>
  <c r="G187" i="5"/>
  <c r="M187" i="5" s="1"/>
  <c r="G188" i="5"/>
  <c r="M188" i="5" s="1"/>
  <c r="G189" i="5"/>
  <c r="G190" i="5"/>
  <c r="G191" i="5"/>
  <c r="G192" i="5"/>
  <c r="G193" i="5"/>
  <c r="G194" i="5"/>
  <c r="G195" i="5"/>
  <c r="G196" i="5"/>
  <c r="G197" i="5"/>
  <c r="G198" i="5"/>
  <c r="M198" i="5" s="1"/>
  <c r="G199" i="5"/>
  <c r="M199" i="5" s="1"/>
  <c r="G200" i="5"/>
  <c r="M200" i="5" s="1"/>
  <c r="G201" i="5"/>
  <c r="G202" i="5"/>
  <c r="G203" i="5"/>
  <c r="G204" i="5"/>
  <c r="G205" i="5"/>
  <c r="G206" i="5"/>
  <c r="G207" i="5"/>
  <c r="G208" i="5"/>
  <c r="K208" i="5" s="1"/>
  <c r="G209" i="5"/>
  <c r="G210" i="5"/>
  <c r="M210" i="5" s="1"/>
  <c r="G211" i="5"/>
  <c r="M211" i="5" s="1"/>
  <c r="G212" i="5"/>
  <c r="M212" i="5" s="1"/>
  <c r="G213" i="5"/>
  <c r="G214" i="5"/>
  <c r="G215" i="5"/>
  <c r="G216" i="5"/>
  <c r="G217" i="5"/>
  <c r="G218" i="5"/>
  <c r="G219" i="5"/>
  <c r="G220" i="5"/>
  <c r="M220" i="5" s="1"/>
  <c r="G221" i="5"/>
  <c r="M221" i="5" s="1"/>
  <c r="G222" i="5"/>
  <c r="M222" i="5" s="1"/>
  <c r="G223" i="5"/>
  <c r="G224" i="5"/>
  <c r="G225" i="5"/>
  <c r="G226" i="5"/>
  <c r="G227" i="5"/>
  <c r="G228" i="5"/>
  <c r="G229" i="5"/>
  <c r="G230" i="5"/>
  <c r="G231" i="5"/>
  <c r="G232" i="5"/>
  <c r="G233" i="5"/>
  <c r="G234" i="5"/>
  <c r="M234" i="5" s="1"/>
  <c r="G235" i="5"/>
  <c r="G236" i="5"/>
  <c r="M236" i="5" s="1"/>
  <c r="G237" i="5"/>
  <c r="G238" i="5"/>
  <c r="G239" i="5"/>
  <c r="G240" i="5"/>
  <c r="G241" i="5"/>
  <c r="G242" i="5"/>
  <c r="G243" i="5"/>
  <c r="M243" i="5" s="1"/>
  <c r="G244" i="5"/>
  <c r="G245" i="5"/>
  <c r="G246" i="5"/>
  <c r="M246" i="5" s="1"/>
  <c r="G247" i="5"/>
  <c r="M247" i="5" s="1"/>
  <c r="G248" i="5"/>
  <c r="G249" i="5"/>
  <c r="G250" i="5"/>
  <c r="G251" i="5"/>
  <c r="G252" i="5"/>
  <c r="G253" i="5"/>
  <c r="G254" i="5"/>
  <c r="M254" i="5" s="1"/>
  <c r="G255" i="5"/>
  <c r="G256" i="5"/>
  <c r="K256" i="5" s="1"/>
  <c r="G257" i="5"/>
  <c r="G258" i="5"/>
  <c r="M258" i="5" s="1"/>
  <c r="G259" i="5"/>
  <c r="M259" i="5" s="1"/>
  <c r="G260" i="5"/>
  <c r="M260" i="5" s="1"/>
  <c r="G261" i="5"/>
  <c r="G262" i="5"/>
  <c r="G263" i="5"/>
  <c r="G264" i="5"/>
  <c r="G265" i="5"/>
  <c r="G266" i="5"/>
  <c r="M266" i="5" s="1"/>
  <c r="G267" i="5"/>
  <c r="G268" i="5"/>
  <c r="G269" i="5"/>
  <c r="G270" i="5"/>
  <c r="M270" i="5" s="1"/>
  <c r="G271" i="5"/>
  <c r="M271" i="5" s="1"/>
  <c r="G272" i="5"/>
  <c r="M272" i="5" s="1"/>
  <c r="G273" i="5"/>
  <c r="G274" i="5"/>
  <c r="G275" i="5"/>
  <c r="G276" i="5"/>
  <c r="G277" i="5"/>
  <c r="G278" i="5"/>
  <c r="G279" i="5"/>
  <c r="M279" i="5" s="1"/>
  <c r="G280" i="5"/>
  <c r="G281" i="5"/>
  <c r="G282" i="5"/>
  <c r="M282" i="5" s="1"/>
  <c r="G283" i="5"/>
  <c r="M283" i="5" s="1"/>
  <c r="G284" i="5"/>
  <c r="M284" i="5" s="1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M302" i="5" s="1"/>
  <c r="G303" i="5"/>
  <c r="G304" i="5"/>
  <c r="G305" i="5"/>
  <c r="G306" i="5"/>
  <c r="M306" i="5" s="1"/>
  <c r="G307" i="5"/>
  <c r="G308" i="5"/>
  <c r="G309" i="5"/>
  <c r="G310" i="5"/>
  <c r="G311" i="5"/>
  <c r="G312" i="5"/>
  <c r="G313" i="5"/>
  <c r="G314" i="5"/>
  <c r="G315" i="5"/>
  <c r="G316" i="5"/>
  <c r="G317" i="5"/>
  <c r="G318" i="5"/>
  <c r="M318" i="5" s="1"/>
  <c r="G319" i="5"/>
  <c r="G320" i="5"/>
  <c r="G321" i="5"/>
  <c r="G322" i="5"/>
  <c r="G323" i="5"/>
  <c r="G324" i="5"/>
  <c r="G325" i="5"/>
  <c r="G326" i="5"/>
  <c r="G327" i="5"/>
  <c r="G328" i="5"/>
  <c r="G329" i="5"/>
  <c r="G330" i="5"/>
  <c r="M330" i="5" s="1"/>
  <c r="G331" i="5"/>
  <c r="G332" i="5"/>
  <c r="M332" i="5" s="1"/>
  <c r="G333" i="5"/>
  <c r="G334" i="5"/>
  <c r="G335" i="5"/>
  <c r="G336" i="5"/>
  <c r="G337" i="5"/>
  <c r="G338" i="5"/>
  <c r="G339" i="5"/>
  <c r="G340" i="5"/>
  <c r="G341" i="5"/>
  <c r="G342" i="5"/>
  <c r="G343" i="5"/>
  <c r="M343" i="5" s="1"/>
  <c r="G344" i="5"/>
  <c r="G345" i="5"/>
  <c r="G346" i="5"/>
  <c r="G347" i="5"/>
  <c r="G348" i="5"/>
  <c r="G349" i="5"/>
  <c r="G350" i="5"/>
  <c r="G351" i="5"/>
  <c r="G352" i="5"/>
  <c r="M352" i="5" s="1"/>
  <c r="G353" i="5"/>
  <c r="G354" i="5"/>
  <c r="M354" i="5" s="1"/>
  <c r="G355" i="5"/>
  <c r="M355" i="5" s="1"/>
  <c r="G356" i="5"/>
  <c r="M356" i="5" s="1"/>
  <c r="G357" i="5"/>
  <c r="G358" i="5"/>
  <c r="G359" i="5"/>
  <c r="G360" i="5"/>
  <c r="G361" i="5"/>
  <c r="G362" i="5"/>
  <c r="G363" i="5"/>
  <c r="G364" i="5"/>
  <c r="G365" i="5"/>
  <c r="G366" i="5"/>
  <c r="G367" i="5"/>
  <c r="M367" i="5" s="1"/>
  <c r="G368" i="5"/>
  <c r="M368" i="5" s="1"/>
  <c r="G369" i="5"/>
  <c r="G370" i="5"/>
  <c r="G371" i="5"/>
  <c r="G372" i="5"/>
  <c r="G373" i="5"/>
  <c r="G374" i="5"/>
  <c r="M374" i="5" s="1"/>
  <c r="G375" i="5"/>
  <c r="G376" i="5"/>
  <c r="M376" i="5" s="1"/>
  <c r="G377" i="5"/>
  <c r="G378" i="5"/>
  <c r="G379" i="5"/>
  <c r="M379" i="5" s="1"/>
  <c r="G380" i="5"/>
  <c r="M380" i="5" s="1"/>
  <c r="G381" i="5"/>
  <c r="G382" i="5"/>
  <c r="G383" i="5"/>
  <c r="G384" i="5"/>
  <c r="G385" i="5"/>
  <c r="G386" i="5"/>
  <c r="G387" i="5"/>
  <c r="G388" i="5"/>
  <c r="G389" i="5"/>
  <c r="G390" i="5"/>
  <c r="M390" i="5" s="1"/>
  <c r="G391" i="5"/>
  <c r="M391" i="5" s="1"/>
  <c r="G392" i="5"/>
  <c r="M392" i="5" s="1"/>
  <c r="G393" i="5"/>
  <c r="G394" i="5"/>
  <c r="G395" i="5"/>
  <c r="G396" i="5"/>
  <c r="G397" i="5"/>
  <c r="G398" i="5"/>
  <c r="G399" i="5"/>
  <c r="G400" i="5"/>
  <c r="G401" i="5"/>
  <c r="M401" i="5" s="1"/>
  <c r="G402" i="5"/>
  <c r="M402" i="5" s="1"/>
  <c r="G403" i="5"/>
  <c r="M403" i="5" s="1"/>
  <c r="G404" i="5"/>
  <c r="M404" i="5" s="1"/>
  <c r="G405" i="5"/>
  <c r="G406" i="5"/>
  <c r="G407" i="5"/>
  <c r="G408" i="5"/>
  <c r="G409" i="5"/>
  <c r="G410" i="5"/>
  <c r="G411" i="5"/>
  <c r="G412" i="5"/>
  <c r="G413" i="5"/>
  <c r="M413" i="5" s="1"/>
  <c r="G414" i="5"/>
  <c r="M414" i="5" s="1"/>
  <c r="G415" i="5"/>
  <c r="M415" i="5" s="1"/>
  <c r="G416" i="5"/>
  <c r="M416" i="5" s="1"/>
  <c r="G417" i="5"/>
  <c r="G418" i="5"/>
  <c r="M418" i="5" s="1"/>
  <c r="G419" i="5"/>
  <c r="M419" i="5" s="1"/>
  <c r="G420" i="5"/>
  <c r="G421" i="5"/>
  <c r="G422" i="5"/>
  <c r="G423" i="5"/>
  <c r="G424" i="5"/>
  <c r="G425" i="5"/>
  <c r="G426" i="5"/>
  <c r="M426" i="5" s="1"/>
  <c r="G427" i="5"/>
  <c r="M427" i="5" s="1"/>
  <c r="G428" i="5"/>
  <c r="G429" i="5"/>
  <c r="G430" i="5"/>
  <c r="G431" i="5"/>
  <c r="G432" i="5"/>
  <c r="G433" i="5"/>
  <c r="G434" i="5"/>
  <c r="M434" i="5" s="1"/>
  <c r="G435" i="5"/>
  <c r="M435" i="5" s="1"/>
  <c r="G436" i="5"/>
  <c r="G437" i="5"/>
  <c r="G438" i="5"/>
  <c r="M438" i="5" s="1"/>
  <c r="G439" i="5"/>
  <c r="M439" i="5" s="1"/>
  <c r="G440" i="5"/>
  <c r="M440" i="5" s="1"/>
  <c r="G441" i="5"/>
  <c r="G442" i="5"/>
  <c r="G443" i="5"/>
  <c r="G444" i="5"/>
  <c r="G445" i="5"/>
  <c r="G446" i="5"/>
  <c r="G447" i="5"/>
  <c r="G448" i="5"/>
  <c r="K448" i="5" s="1"/>
  <c r="G449" i="5"/>
  <c r="M449" i="5" s="1"/>
  <c r="G450" i="5"/>
  <c r="G451" i="5"/>
  <c r="G452" i="5"/>
  <c r="M452" i="5" s="1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M468" i="5" s="1"/>
  <c r="G469" i="5"/>
  <c r="G470" i="5"/>
  <c r="G471" i="5"/>
  <c r="M471" i="5" s="1"/>
  <c r="G472" i="5"/>
  <c r="G473" i="5"/>
  <c r="G474" i="5"/>
  <c r="M474" i="5" s="1"/>
  <c r="G475" i="5"/>
  <c r="G476" i="5"/>
  <c r="G477" i="5"/>
  <c r="G478" i="5"/>
  <c r="G479" i="5"/>
  <c r="G480" i="5"/>
  <c r="G481" i="5"/>
  <c r="G482" i="5"/>
  <c r="G483" i="5"/>
  <c r="G484" i="5"/>
  <c r="G485" i="5"/>
  <c r="G486" i="5"/>
  <c r="M486" i="5" s="1"/>
  <c r="G487" i="5"/>
  <c r="G488" i="5"/>
  <c r="M488" i="5" s="1"/>
  <c r="G489" i="5"/>
  <c r="G490" i="5"/>
  <c r="G491" i="5"/>
  <c r="G492" i="5"/>
  <c r="G493" i="5"/>
  <c r="G494" i="5"/>
  <c r="G495" i="5"/>
  <c r="G496" i="5"/>
  <c r="M496" i="5" s="1"/>
  <c r="G497" i="5"/>
  <c r="G498" i="5"/>
  <c r="M498" i="5" s="1"/>
  <c r="G499" i="5"/>
  <c r="M499" i="5" s="1"/>
  <c r="G500" i="5"/>
  <c r="G501" i="5"/>
  <c r="G502" i="5"/>
  <c r="G503" i="5"/>
  <c r="G504" i="5"/>
  <c r="G505" i="5"/>
  <c r="G506" i="5"/>
  <c r="G507" i="5"/>
  <c r="G508" i="5"/>
  <c r="M508" i="5" s="1"/>
  <c r="G509" i="5"/>
  <c r="G510" i="5"/>
  <c r="M510" i="5" s="1"/>
  <c r="G511" i="5"/>
  <c r="M511" i="5" s="1"/>
  <c r="G512" i="5"/>
  <c r="G513" i="5"/>
  <c r="G514" i="5"/>
  <c r="G515" i="5"/>
  <c r="G516" i="5"/>
  <c r="G517" i="5"/>
  <c r="G518" i="5"/>
  <c r="G519" i="5"/>
  <c r="G520" i="5"/>
  <c r="M520" i="5" s="1"/>
  <c r="G521" i="5"/>
  <c r="G522" i="5"/>
  <c r="M522" i="5" s="1"/>
  <c r="G523" i="5"/>
  <c r="M523" i="5" s="1"/>
  <c r="G524" i="5"/>
  <c r="M524" i="5" s="1"/>
  <c r="G525" i="5"/>
  <c r="G526" i="5"/>
  <c r="G527" i="5"/>
  <c r="G528" i="5"/>
  <c r="G529" i="5"/>
  <c r="G530" i="5"/>
  <c r="G531" i="5"/>
  <c r="G532" i="5"/>
  <c r="G533" i="5"/>
  <c r="M533" i="5" s="1"/>
  <c r="G534" i="5"/>
  <c r="M534" i="5" s="1"/>
  <c r="G535" i="5"/>
  <c r="M535" i="5" s="1"/>
  <c r="G536" i="5"/>
  <c r="M536" i="5" s="1"/>
  <c r="G537" i="5"/>
  <c r="G538" i="5"/>
  <c r="G539" i="5"/>
  <c r="G540" i="5"/>
  <c r="G541" i="5"/>
  <c r="G542" i="5"/>
  <c r="G543" i="5"/>
  <c r="G544" i="5"/>
  <c r="G545" i="5"/>
  <c r="G546" i="5"/>
  <c r="M546" i="5" s="1"/>
  <c r="G547" i="5"/>
  <c r="M547" i="5" s="1"/>
  <c r="G548" i="5"/>
  <c r="M548" i="5" s="1"/>
  <c r="G549" i="5"/>
  <c r="M549" i="5" s="1"/>
  <c r="G550" i="5"/>
  <c r="G551" i="5"/>
  <c r="G552" i="5"/>
  <c r="G553" i="5"/>
  <c r="G554" i="5"/>
  <c r="G555" i="5"/>
  <c r="M555" i="5" s="1"/>
  <c r="G556" i="5"/>
  <c r="G557" i="5"/>
  <c r="G558" i="5"/>
  <c r="M558" i="5" s="1"/>
  <c r="G559" i="5"/>
  <c r="M559" i="5" s="1"/>
  <c r="G560" i="5"/>
  <c r="M560" i="5" s="1"/>
  <c r="G561" i="5"/>
  <c r="G562" i="5"/>
  <c r="G563" i="5"/>
  <c r="G564" i="5"/>
  <c r="G565" i="5"/>
  <c r="G566" i="5"/>
  <c r="M566" i="5" s="1"/>
  <c r="G567" i="5"/>
  <c r="G568" i="5"/>
  <c r="G569" i="5"/>
  <c r="G570" i="5"/>
  <c r="M570" i="5" s="1"/>
  <c r="G571" i="5"/>
  <c r="M571" i="5" s="1"/>
  <c r="G572" i="5"/>
  <c r="M572" i="5" s="1"/>
  <c r="G573" i="5"/>
  <c r="M573" i="5" s="1"/>
  <c r="G574" i="5"/>
  <c r="G575" i="5"/>
  <c r="G576" i="5"/>
  <c r="G577" i="5"/>
  <c r="G578" i="5"/>
  <c r="G579" i="5"/>
  <c r="G580" i="5"/>
  <c r="M580" i="5" s="1"/>
  <c r="G581" i="5"/>
  <c r="G582" i="5"/>
  <c r="M582" i="5" s="1"/>
  <c r="G583" i="5"/>
  <c r="M583" i="5" s="1"/>
  <c r="G584" i="5"/>
  <c r="M584" i="5" s="1"/>
  <c r="G585" i="5"/>
  <c r="M585" i="5" s="1"/>
  <c r="G586" i="5"/>
  <c r="M586" i="5" s="1"/>
  <c r="G587" i="5"/>
  <c r="G588" i="5"/>
  <c r="G589" i="5"/>
  <c r="G590" i="5"/>
  <c r="G591" i="5"/>
  <c r="G592" i="5"/>
  <c r="G593" i="5"/>
  <c r="G594" i="5"/>
  <c r="M594" i="5" s="1"/>
  <c r="G595" i="5"/>
  <c r="G596" i="5"/>
  <c r="M596" i="5" s="1"/>
  <c r="G597" i="5"/>
  <c r="M597" i="5" s="1"/>
  <c r="G598" i="5"/>
  <c r="M598" i="5" s="1"/>
  <c r="G599" i="5"/>
  <c r="G600" i="5"/>
  <c r="G601" i="5"/>
  <c r="G602" i="5"/>
  <c r="G603" i="5"/>
  <c r="G604" i="5"/>
  <c r="M604" i="5" s="1"/>
  <c r="G605" i="5"/>
  <c r="G606" i="5"/>
  <c r="G607" i="5"/>
  <c r="G608" i="5"/>
  <c r="M608" i="5" s="1"/>
  <c r="G609" i="5"/>
  <c r="G610" i="5"/>
  <c r="G611" i="5"/>
  <c r="G612" i="5"/>
  <c r="G613" i="5"/>
  <c r="G614" i="5"/>
  <c r="G615" i="5"/>
  <c r="M615" i="5" s="1"/>
  <c r="G616" i="5"/>
  <c r="M616" i="5" s="1"/>
  <c r="G617" i="5"/>
  <c r="G618" i="5"/>
  <c r="M618" i="5" s="1"/>
  <c r="G619" i="5"/>
  <c r="G620" i="5"/>
  <c r="M620" i="5" s="1"/>
  <c r="G621" i="5"/>
  <c r="G622" i="5"/>
  <c r="G623" i="5"/>
  <c r="G624" i="5"/>
  <c r="G625" i="5"/>
  <c r="G626" i="5"/>
  <c r="G627" i="5"/>
  <c r="G628" i="5"/>
  <c r="M628" i="5" s="1"/>
  <c r="G629" i="5"/>
  <c r="G630" i="5"/>
  <c r="M630" i="5" s="1"/>
  <c r="G631" i="5"/>
  <c r="G632" i="5"/>
  <c r="M632" i="5" s="1"/>
  <c r="G633" i="5"/>
  <c r="G634" i="5"/>
  <c r="G635" i="5"/>
  <c r="G636" i="5"/>
  <c r="G637" i="5"/>
  <c r="G638" i="5"/>
  <c r="G639" i="5"/>
  <c r="M639" i="5" s="1"/>
  <c r="G640" i="5"/>
  <c r="G641" i="5"/>
  <c r="M641" i="5" s="1"/>
  <c r="G642" i="5"/>
  <c r="M642" i="5" s="1"/>
  <c r="G643" i="5"/>
  <c r="G644" i="5"/>
  <c r="M644" i="5" s="1"/>
  <c r="G645" i="5"/>
  <c r="M645" i="5" s="1"/>
  <c r="G646" i="5"/>
  <c r="G647" i="5"/>
  <c r="G648" i="5"/>
  <c r="G649" i="5"/>
  <c r="G650" i="5"/>
  <c r="M650" i="5" s="1"/>
  <c r="G651" i="5"/>
  <c r="G652" i="5"/>
  <c r="G653" i="5"/>
  <c r="G654" i="5"/>
  <c r="M654" i="5" s="1"/>
  <c r="G655" i="5"/>
  <c r="G656" i="5"/>
  <c r="M656" i="5" s="1"/>
  <c r="G657" i="5"/>
  <c r="G658" i="5"/>
  <c r="M658" i="5" s="1"/>
  <c r="G659" i="5"/>
  <c r="G660" i="5"/>
  <c r="G661" i="5"/>
  <c r="G662" i="5"/>
  <c r="G663" i="5"/>
  <c r="M663" i="5" s="1"/>
  <c r="G664" i="5"/>
  <c r="M664" i="5" s="1"/>
  <c r="G665" i="5"/>
  <c r="M665" i="5" s="1"/>
  <c r="G666" i="5"/>
  <c r="G667" i="5"/>
  <c r="G668" i="5"/>
  <c r="G669" i="5"/>
  <c r="G670" i="5"/>
  <c r="M670" i="5" s="1"/>
  <c r="G671" i="5"/>
  <c r="M671" i="5" s="1"/>
  <c r="G672" i="5"/>
  <c r="M672" i="5" s="1"/>
  <c r="G673" i="5"/>
  <c r="G674" i="5"/>
  <c r="G675" i="5"/>
  <c r="G676" i="5"/>
  <c r="G677" i="5"/>
  <c r="G678" i="5"/>
  <c r="M678" i="5" s="1"/>
  <c r="G679" i="5"/>
  <c r="G680" i="5"/>
  <c r="G681" i="5"/>
  <c r="G682" i="5"/>
  <c r="M682" i="5" s="1"/>
  <c r="G683" i="5"/>
  <c r="G684" i="5"/>
  <c r="G685" i="5"/>
  <c r="G686" i="5"/>
  <c r="G687" i="5"/>
  <c r="G688" i="5"/>
  <c r="M688" i="5" s="1"/>
  <c r="G689" i="5"/>
  <c r="G690" i="5"/>
  <c r="M690" i="5" s="1"/>
  <c r="G691" i="5"/>
  <c r="M691" i="5" s="1"/>
  <c r="G692" i="5"/>
  <c r="G693" i="5"/>
  <c r="G694" i="5"/>
  <c r="M694" i="5" s="1"/>
  <c r="G695" i="5"/>
  <c r="G696" i="5"/>
  <c r="G697" i="5"/>
  <c r="G698" i="5"/>
  <c r="G699" i="5"/>
  <c r="G700" i="5"/>
  <c r="M700" i="5" s="1"/>
  <c r="G701" i="5"/>
  <c r="G702" i="5"/>
  <c r="M702" i="5" s="1"/>
  <c r="G703" i="5"/>
  <c r="M703" i="5" s="1"/>
  <c r="G704" i="5"/>
  <c r="G705" i="5"/>
  <c r="G706" i="5"/>
  <c r="M706" i="5" s="1"/>
  <c r="G707" i="5"/>
  <c r="G708" i="5"/>
  <c r="G709" i="5"/>
  <c r="G710" i="5"/>
  <c r="G711" i="5"/>
  <c r="G712" i="5"/>
  <c r="G713" i="5"/>
  <c r="G714" i="5"/>
  <c r="M714" i="5" s="1"/>
  <c r="G715" i="5"/>
  <c r="M715" i="5" s="1"/>
  <c r="G716" i="5"/>
  <c r="M716" i="5" s="1"/>
  <c r="G717" i="5"/>
  <c r="G718" i="5"/>
  <c r="G719" i="5"/>
  <c r="G720" i="5"/>
  <c r="G721" i="5"/>
  <c r="G722" i="5"/>
  <c r="G723" i="5"/>
  <c r="G724" i="5"/>
  <c r="M724" i="5" s="1"/>
  <c r="G725" i="5"/>
  <c r="M725" i="5" s="1"/>
  <c r="G726" i="5"/>
  <c r="M726" i="5" s="1"/>
  <c r="G727" i="5"/>
  <c r="M727" i="5" s="1"/>
  <c r="G728" i="5"/>
  <c r="M728" i="5" s="1"/>
  <c r="G729" i="5"/>
  <c r="G730" i="5"/>
  <c r="G731" i="5"/>
  <c r="G732" i="5"/>
  <c r="G733" i="5"/>
  <c r="G734" i="5"/>
  <c r="G735" i="5"/>
  <c r="M735" i="5" s="1"/>
  <c r="G736" i="5"/>
  <c r="G737" i="5"/>
  <c r="G738" i="5"/>
  <c r="M738" i="5" s="1"/>
  <c r="G739" i="5"/>
  <c r="M739" i="5" s="1"/>
  <c r="G740" i="5"/>
  <c r="G741" i="5"/>
  <c r="G742" i="5"/>
  <c r="G743" i="5"/>
  <c r="G744" i="5"/>
  <c r="G745" i="5"/>
  <c r="G746" i="5"/>
  <c r="M746" i="5" s="1"/>
  <c r="G747" i="5"/>
  <c r="G748" i="5"/>
  <c r="G749" i="5"/>
  <c r="G750" i="5"/>
  <c r="M750" i="5" s="1"/>
  <c r="G751" i="5"/>
  <c r="G752" i="5"/>
  <c r="G753" i="5"/>
  <c r="G754" i="5"/>
  <c r="G755" i="5"/>
  <c r="G756" i="5"/>
  <c r="G757" i="5"/>
  <c r="G758" i="5"/>
  <c r="G759" i="5"/>
  <c r="G760" i="5"/>
  <c r="G761" i="5"/>
  <c r="G762" i="5"/>
  <c r="M762" i="5" s="1"/>
  <c r="G763" i="5"/>
  <c r="M763" i="5" s="1"/>
  <c r="G764" i="5"/>
  <c r="G765" i="5"/>
  <c r="G766" i="5"/>
  <c r="G767" i="5"/>
  <c r="G768" i="5"/>
  <c r="G769" i="5"/>
  <c r="G770" i="5"/>
  <c r="G771" i="5"/>
  <c r="G772" i="5"/>
  <c r="G773" i="5"/>
  <c r="M773" i="5" s="1"/>
  <c r="G774" i="5"/>
  <c r="M774" i="5" s="1"/>
  <c r="G775" i="5"/>
  <c r="M775" i="5" s="1"/>
  <c r="G776" i="5"/>
  <c r="G777" i="5"/>
  <c r="G778" i="5"/>
  <c r="G779" i="5"/>
  <c r="G780" i="5"/>
  <c r="G781" i="5"/>
  <c r="G782" i="5"/>
  <c r="G783" i="5"/>
  <c r="G784" i="5"/>
  <c r="G785" i="5"/>
  <c r="G786" i="5"/>
  <c r="M786" i="5" s="1"/>
  <c r="G787" i="5"/>
  <c r="M787" i="5" s="1"/>
  <c r="G788" i="5"/>
  <c r="G789" i="5"/>
  <c r="G790" i="5"/>
  <c r="G791" i="5"/>
  <c r="G792" i="5"/>
  <c r="G793" i="5"/>
  <c r="G794" i="5"/>
  <c r="G795" i="5"/>
  <c r="G796" i="5"/>
  <c r="G797" i="5"/>
  <c r="G798" i="5"/>
  <c r="M798" i="5" s="1"/>
  <c r="G799" i="5"/>
  <c r="M799" i="5" s="1"/>
  <c r="G800" i="5"/>
  <c r="M800" i="5" s="1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M822" i="5" s="1"/>
  <c r="G823" i="5"/>
  <c r="M823" i="5" s="1"/>
  <c r="G824" i="5"/>
  <c r="G825" i="5"/>
  <c r="G826" i="5"/>
  <c r="G827" i="5"/>
  <c r="G828" i="5"/>
  <c r="G829" i="5"/>
  <c r="G830" i="5"/>
  <c r="G831" i="5"/>
  <c r="G832" i="5"/>
  <c r="G833" i="5"/>
  <c r="G834" i="5"/>
  <c r="M834" i="5" s="1"/>
  <c r="G835" i="5"/>
  <c r="M835" i="5" s="1"/>
  <c r="G836" i="5"/>
  <c r="M836" i="5" s="1"/>
  <c r="G837" i="5"/>
  <c r="G838" i="5"/>
  <c r="G839" i="5"/>
  <c r="G840" i="5"/>
  <c r="G841" i="5"/>
  <c r="G842" i="5"/>
  <c r="G843" i="5"/>
  <c r="G844" i="5"/>
  <c r="G845" i="5"/>
  <c r="M845" i="5" s="1"/>
  <c r="G846" i="5"/>
  <c r="G847" i="5"/>
  <c r="M847" i="5" s="1"/>
  <c r="G848" i="5"/>
  <c r="M848" i="5" s="1"/>
  <c r="G849" i="5"/>
  <c r="G850" i="5"/>
  <c r="G851" i="5"/>
  <c r="G852" i="5"/>
  <c r="G853" i="5"/>
  <c r="G854" i="5"/>
  <c r="G855" i="5"/>
  <c r="G856" i="5"/>
  <c r="G857" i="5"/>
  <c r="G858" i="5"/>
  <c r="M858" i="5" s="1"/>
  <c r="G859" i="5"/>
  <c r="M859" i="5" s="1"/>
  <c r="G860" i="5"/>
  <c r="M860" i="5" s="1"/>
  <c r="G861" i="5"/>
  <c r="G862" i="5"/>
  <c r="G863" i="5"/>
  <c r="G864" i="5"/>
  <c r="G865" i="5"/>
  <c r="G866" i="5"/>
  <c r="G867" i="5"/>
  <c r="G868" i="5"/>
  <c r="G869" i="5"/>
  <c r="M869" i="5" s="1"/>
  <c r="G870" i="5"/>
  <c r="M870" i="5" s="1"/>
  <c r="G871" i="5"/>
  <c r="M871" i="5" s="1"/>
  <c r="G872" i="5"/>
  <c r="G873" i="5"/>
  <c r="G874" i="5"/>
  <c r="G875" i="5"/>
  <c r="G876" i="5"/>
  <c r="G877" i="5"/>
  <c r="G878" i="5"/>
  <c r="G879" i="5"/>
  <c r="G880" i="5"/>
  <c r="G881" i="5"/>
  <c r="G882" i="5"/>
  <c r="M882" i="5" s="1"/>
  <c r="G883" i="5"/>
  <c r="M883" i="5" s="1"/>
  <c r="G884" i="5"/>
  <c r="M884" i="5" s="1"/>
  <c r="G885" i="5"/>
  <c r="G886" i="5"/>
  <c r="G887" i="5"/>
  <c r="M887" i="5" s="1"/>
  <c r="G888" i="5"/>
  <c r="G889" i="5"/>
  <c r="G890" i="5"/>
  <c r="G891" i="5"/>
  <c r="G892" i="5"/>
  <c r="G893" i="5"/>
  <c r="G894" i="5"/>
  <c r="G895" i="5"/>
  <c r="M895" i="5" s="1"/>
  <c r="G896" i="5"/>
  <c r="M896" i="5" s="1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2" i="5"/>
  <c r="K887" i="5"/>
  <c r="K859" i="5"/>
  <c r="K849" i="5"/>
  <c r="K741" i="5"/>
  <c r="K738" i="5"/>
  <c r="K715" i="5"/>
  <c r="K672" i="5"/>
  <c r="K671" i="5"/>
  <c r="K657" i="5"/>
  <c r="K654" i="5"/>
  <c r="K645" i="5"/>
  <c r="K628" i="5"/>
  <c r="K625" i="5"/>
  <c r="K598" i="5"/>
  <c r="K597" i="5"/>
  <c r="K586" i="5"/>
  <c r="K585" i="5"/>
  <c r="K573" i="5"/>
  <c r="K571" i="5"/>
  <c r="K549" i="5"/>
  <c r="K533" i="5"/>
  <c r="K484" i="5"/>
  <c r="K482" i="5"/>
  <c r="K468" i="5"/>
  <c r="K453" i="5"/>
  <c r="K441" i="5"/>
  <c r="K419" i="5"/>
  <c r="K418" i="5"/>
  <c r="K417" i="5"/>
  <c r="K415" i="5"/>
  <c r="K413" i="5"/>
  <c r="K381" i="5"/>
  <c r="K376" i="5"/>
  <c r="K367" i="5"/>
  <c r="K321" i="5"/>
  <c r="K309" i="5"/>
  <c r="K282" i="5"/>
  <c r="K280" i="5"/>
  <c r="K279" i="5"/>
  <c r="K273" i="5"/>
  <c r="K226" i="5"/>
  <c r="K220" i="5"/>
  <c r="K213" i="5"/>
  <c r="K201" i="5"/>
  <c r="K177" i="5"/>
  <c r="K175" i="5"/>
  <c r="K174" i="5"/>
  <c r="K173" i="5"/>
  <c r="K153" i="5"/>
  <c r="K149" i="5"/>
  <c r="K148" i="5"/>
  <c r="K129" i="5"/>
  <c r="K127" i="5"/>
  <c r="K93" i="5"/>
  <c r="K91" i="5"/>
  <c r="K90" i="5"/>
  <c r="K69" i="5"/>
  <c r="K45" i="5"/>
  <c r="K43" i="5"/>
  <c r="K42" i="5"/>
  <c r="K33" i="5"/>
  <c r="K9" i="5"/>
  <c r="K7" i="5"/>
  <c r="O3" i="3" a="1"/>
  <c r="O3" i="3" s="1"/>
  <c r="O4" i="3" a="1"/>
  <c r="O4" i="3" s="1"/>
  <c r="O5" i="3" a="1"/>
  <c r="O5" i="3"/>
  <c r="O6" i="3" a="1"/>
  <c r="O6" i="3" s="1"/>
  <c r="O7" i="3" a="1"/>
  <c r="O7" i="3" s="1"/>
  <c r="O8" i="3" a="1"/>
  <c r="O8" i="3" s="1"/>
  <c r="O9" i="3" a="1"/>
  <c r="O9" i="3" s="1"/>
  <c r="O10" i="3" a="1"/>
  <c r="O10" i="3" s="1"/>
  <c r="O11" i="3" a="1"/>
  <c r="O11" i="3" s="1"/>
  <c r="O12" i="3" a="1"/>
  <c r="O12" i="3" s="1"/>
  <c r="O13" i="3" a="1"/>
  <c r="O13" i="3" s="1"/>
  <c r="O14" i="3" a="1"/>
  <c r="O14" i="3" s="1"/>
  <c r="O15" i="3" a="1"/>
  <c r="O15" i="3" s="1"/>
  <c r="O16" i="3" a="1"/>
  <c r="O16" i="3" s="1"/>
  <c r="O17" i="3" a="1"/>
  <c r="O17" i="3" s="1"/>
  <c r="O18" i="3" a="1"/>
  <c r="O18" i="3" s="1"/>
  <c r="O19" i="3" a="1"/>
  <c r="O19" i="3" s="1"/>
  <c r="O20" i="3" a="1"/>
  <c r="O20" i="3" s="1"/>
  <c r="O21" i="3" a="1"/>
  <c r="O21" i="3" s="1"/>
  <c r="O22" i="3" a="1"/>
  <c r="O22" i="3" s="1"/>
  <c r="O23" i="3" a="1"/>
  <c r="O23" i="3" s="1"/>
  <c r="O24" i="3" a="1"/>
  <c r="O24" i="3" s="1"/>
  <c r="O25" i="3" a="1"/>
  <c r="O25" i="3" s="1"/>
  <c r="O26" i="3" a="1"/>
  <c r="O26" i="3" s="1"/>
  <c r="O27" i="3" a="1"/>
  <c r="O27" i="3" s="1"/>
  <c r="O28" i="3" a="1"/>
  <c r="O28" i="3" s="1"/>
  <c r="O29" i="3" a="1"/>
  <c r="O29" i="3" s="1"/>
  <c r="O30" i="3" a="1"/>
  <c r="O30" i="3" s="1"/>
  <c r="O31" i="3" a="1"/>
  <c r="O31" i="3" s="1"/>
  <c r="O32" i="3" a="1"/>
  <c r="O32" i="3" s="1"/>
  <c r="O33" i="3" a="1"/>
  <c r="O33" i="3" s="1"/>
  <c r="O34" i="3" a="1"/>
  <c r="O34" i="3" s="1"/>
  <c r="O35" i="3" a="1"/>
  <c r="O35" i="3" s="1"/>
  <c r="O36" i="3" a="1"/>
  <c r="O36" i="3" s="1"/>
  <c r="O37" i="3" a="1"/>
  <c r="O37" i="3" s="1"/>
  <c r="O38" i="3" a="1"/>
  <c r="O38" i="3" s="1"/>
  <c r="O39" i="3" a="1"/>
  <c r="O39" i="3" s="1"/>
  <c r="O40" i="3" a="1"/>
  <c r="O40" i="3" s="1"/>
  <c r="O41" i="3" a="1"/>
  <c r="O41" i="3" s="1"/>
  <c r="O42" i="3" a="1"/>
  <c r="O42" i="3" s="1"/>
  <c r="O43" i="3" a="1"/>
  <c r="O43" i="3" s="1"/>
  <c r="O44" i="3" a="1"/>
  <c r="O44" i="3" s="1"/>
  <c r="O45" i="3" a="1"/>
  <c r="O45" i="3" s="1"/>
  <c r="O46" i="3" a="1"/>
  <c r="O46" i="3" s="1"/>
  <c r="O47" i="3" a="1"/>
  <c r="O47" i="3" s="1"/>
  <c r="O48" i="3" a="1"/>
  <c r="O48" i="3" s="1"/>
  <c r="O49" i="3" a="1"/>
  <c r="O49" i="3" s="1"/>
  <c r="O50" i="3" a="1"/>
  <c r="O50" i="3" s="1"/>
  <c r="O51" i="3" a="1"/>
  <c r="O51" i="3" s="1"/>
  <c r="O52" i="3" a="1"/>
  <c r="O52" i="3" s="1"/>
  <c r="O53" i="3" a="1"/>
  <c r="O53" i="3" s="1"/>
  <c r="O54" i="3" a="1"/>
  <c r="O54" i="3" s="1"/>
  <c r="O55" i="3" a="1"/>
  <c r="O55" i="3" s="1"/>
  <c r="O56" i="3" a="1"/>
  <c r="O56" i="3" s="1"/>
  <c r="O57" i="3" a="1"/>
  <c r="O57" i="3" s="1"/>
  <c r="O58" i="3" a="1"/>
  <c r="O58" i="3" s="1"/>
  <c r="O59" i="3" a="1"/>
  <c r="O59" i="3" s="1"/>
  <c r="O60" i="3" a="1"/>
  <c r="O60" i="3" s="1"/>
  <c r="O61" i="3" a="1"/>
  <c r="O61" i="3" s="1"/>
  <c r="O62" i="3" a="1"/>
  <c r="O62" i="3" s="1"/>
  <c r="O63" i="3" a="1"/>
  <c r="O63" i="3" s="1"/>
  <c r="O64" i="3" a="1"/>
  <c r="O64" i="3" s="1"/>
  <c r="O65" i="3" a="1"/>
  <c r="O65" i="3" s="1"/>
  <c r="O66" i="3" a="1"/>
  <c r="O66" i="3" s="1"/>
  <c r="O67" i="3" a="1"/>
  <c r="O67" i="3" s="1"/>
  <c r="O68" i="3" a="1"/>
  <c r="O68" i="3" s="1"/>
  <c r="O69" i="3" a="1"/>
  <c r="O69" i="3" s="1"/>
  <c r="O70" i="3" a="1"/>
  <c r="O70" i="3" s="1"/>
  <c r="O71" i="3" a="1"/>
  <c r="O71" i="3" s="1"/>
  <c r="O72" i="3" a="1"/>
  <c r="O72" i="3" s="1"/>
  <c r="O73" i="3" a="1"/>
  <c r="O73" i="3" s="1"/>
  <c r="O74" i="3" a="1"/>
  <c r="O74" i="3" s="1"/>
  <c r="O75" i="3" a="1"/>
  <c r="O75" i="3" s="1"/>
  <c r="O76" i="3" a="1"/>
  <c r="O76" i="3" s="1"/>
  <c r="O77" i="3" a="1"/>
  <c r="O77" i="3" s="1"/>
  <c r="O78" i="3" a="1"/>
  <c r="O78" i="3" s="1"/>
  <c r="O79" i="3" a="1"/>
  <c r="O79" i="3" s="1"/>
  <c r="O80" i="3" a="1"/>
  <c r="O80" i="3" s="1"/>
  <c r="O81" i="3" a="1"/>
  <c r="O81" i="3" s="1"/>
  <c r="O82" i="3" a="1"/>
  <c r="O82" i="3" s="1"/>
  <c r="O83" i="3" a="1"/>
  <c r="O83" i="3" s="1"/>
  <c r="O84" i="3" a="1"/>
  <c r="O84" i="3" s="1"/>
  <c r="O85" i="3" a="1"/>
  <c r="O85" i="3" s="1"/>
  <c r="O86" i="3" a="1"/>
  <c r="O86" i="3" s="1"/>
  <c r="O87" i="3" a="1"/>
  <c r="O87" i="3" s="1"/>
  <c r="O88" i="3" a="1"/>
  <c r="O88" i="3" s="1"/>
  <c r="O89" i="3" a="1"/>
  <c r="O89" i="3" s="1"/>
  <c r="O90" i="3" a="1"/>
  <c r="O90" i="3" s="1"/>
  <c r="O91" i="3" a="1"/>
  <c r="O91" i="3" s="1"/>
  <c r="O92" i="3" a="1"/>
  <c r="O92" i="3" s="1"/>
  <c r="O93" i="3" a="1"/>
  <c r="O93" i="3" s="1"/>
  <c r="O94" i="3" a="1"/>
  <c r="O94" i="3" s="1"/>
  <c r="O95" i="3" a="1"/>
  <c r="O95" i="3" s="1"/>
  <c r="O96" i="3" a="1"/>
  <c r="O96" i="3" s="1"/>
  <c r="O97" i="3" a="1"/>
  <c r="O97" i="3" s="1"/>
  <c r="O98" i="3" a="1"/>
  <c r="O98" i="3" s="1"/>
  <c r="O99" i="3" a="1"/>
  <c r="O99" i="3" s="1"/>
  <c r="O100" i="3" a="1"/>
  <c r="O100" i="3" s="1"/>
  <c r="O101" i="3" a="1"/>
  <c r="O101" i="3" s="1"/>
  <c r="O102" i="3" a="1"/>
  <c r="O102" i="3" s="1"/>
  <c r="O103" i="3" a="1"/>
  <c r="O103" i="3" s="1"/>
  <c r="O104" i="3" a="1"/>
  <c r="O104" i="3" s="1"/>
  <c r="O105" i="3" a="1"/>
  <c r="O105" i="3" s="1"/>
  <c r="O106" i="3" a="1"/>
  <c r="O106" i="3" s="1"/>
  <c r="O107" i="3" a="1"/>
  <c r="O107" i="3" s="1"/>
  <c r="O108" i="3" a="1"/>
  <c r="O108" i="3" s="1"/>
  <c r="O109" i="3" a="1"/>
  <c r="O109" i="3" s="1"/>
  <c r="O110" i="3" a="1"/>
  <c r="O110" i="3" s="1"/>
  <c r="O111" i="3" a="1"/>
  <c r="O111" i="3" s="1"/>
  <c r="O112" i="3" a="1"/>
  <c r="O112" i="3" s="1"/>
  <c r="O113" i="3" a="1"/>
  <c r="O113" i="3" s="1"/>
  <c r="O114" i="3" a="1"/>
  <c r="O114" i="3" s="1"/>
  <c r="O115" i="3" a="1"/>
  <c r="O115" i="3" s="1"/>
  <c r="O116" i="3" a="1"/>
  <c r="O116" i="3" s="1"/>
  <c r="O117" i="3" a="1"/>
  <c r="O117" i="3" s="1"/>
  <c r="O118" i="3" a="1"/>
  <c r="O118" i="3" s="1"/>
  <c r="O119" i="3" a="1"/>
  <c r="O119" i="3" s="1"/>
  <c r="O120" i="3" a="1"/>
  <c r="O120" i="3" s="1"/>
  <c r="O121" i="3" a="1"/>
  <c r="O121" i="3" s="1"/>
  <c r="O122" i="3" a="1"/>
  <c r="O122" i="3" s="1"/>
  <c r="O123" i="3" a="1"/>
  <c r="O123" i="3" s="1"/>
  <c r="O124" i="3" a="1"/>
  <c r="O124" i="3" s="1"/>
  <c r="O125" i="3" a="1"/>
  <c r="O125" i="3" s="1"/>
  <c r="O126" i="3" a="1"/>
  <c r="O126" i="3" s="1"/>
  <c r="O127" i="3" a="1"/>
  <c r="O127" i="3" s="1"/>
  <c r="O128" i="3" a="1"/>
  <c r="O128" i="3" s="1"/>
  <c r="O129" i="3" a="1"/>
  <c r="O129" i="3" s="1"/>
  <c r="O130" i="3" a="1"/>
  <c r="O130" i="3" s="1"/>
  <c r="O131" i="3" a="1"/>
  <c r="O131" i="3" s="1"/>
  <c r="O132" i="3" a="1"/>
  <c r="O132" i="3" s="1"/>
  <c r="O133" i="3" a="1"/>
  <c r="O133" i="3" s="1"/>
  <c r="O134" i="3" a="1"/>
  <c r="O134" i="3" s="1"/>
  <c r="O135" i="3" a="1"/>
  <c r="O135" i="3" s="1"/>
  <c r="O136" i="3" a="1"/>
  <c r="O136" i="3" s="1"/>
  <c r="O137" i="3" a="1"/>
  <c r="O137" i="3" s="1"/>
  <c r="O138" i="3" a="1"/>
  <c r="O138" i="3" s="1"/>
  <c r="O139" i="3" a="1"/>
  <c r="O139" i="3" s="1"/>
  <c r="O140" i="3" a="1"/>
  <c r="O140" i="3" s="1"/>
  <c r="O141" i="3" a="1"/>
  <c r="O141" i="3" s="1"/>
  <c r="O142" i="3" a="1"/>
  <c r="O142" i="3" s="1"/>
  <c r="O143" i="3" a="1"/>
  <c r="O143" i="3" s="1"/>
  <c r="O144" i="3" a="1"/>
  <c r="O144" i="3" s="1"/>
  <c r="O145" i="3" a="1"/>
  <c r="O145" i="3" s="1"/>
  <c r="O146" i="3" a="1"/>
  <c r="O146" i="3" s="1"/>
  <c r="O147" i="3" a="1"/>
  <c r="O147" i="3" s="1"/>
  <c r="O148" i="3" a="1"/>
  <c r="O148" i="3" s="1"/>
  <c r="O149" i="3" a="1"/>
  <c r="O149" i="3" s="1"/>
  <c r="O150" i="3" a="1"/>
  <c r="O150" i="3" s="1"/>
  <c r="O151" i="3" a="1"/>
  <c r="O151" i="3" s="1"/>
  <c r="O152" i="3" a="1"/>
  <c r="O152" i="3" s="1"/>
  <c r="O153" i="3" a="1"/>
  <c r="O153" i="3" s="1"/>
  <c r="O154" i="3" a="1"/>
  <c r="O154" i="3" s="1"/>
  <c r="O155" i="3" a="1"/>
  <c r="O155" i="3" s="1"/>
  <c r="O156" i="3" a="1"/>
  <c r="O156" i="3" s="1"/>
  <c r="O157" i="3" a="1"/>
  <c r="O157" i="3" s="1"/>
  <c r="O158" i="3" a="1"/>
  <c r="O158" i="3" s="1"/>
  <c r="O159" i="3" a="1"/>
  <c r="O159" i="3" s="1"/>
  <c r="O160" i="3" a="1"/>
  <c r="O160" i="3" s="1"/>
  <c r="O161" i="3" a="1"/>
  <c r="O161" i="3" s="1"/>
  <c r="O162" i="3" a="1"/>
  <c r="O162" i="3" s="1"/>
  <c r="O163" i="3" a="1"/>
  <c r="O163" i="3" s="1"/>
  <c r="O164" i="3" a="1"/>
  <c r="O164" i="3" s="1"/>
  <c r="O165" i="3" a="1"/>
  <c r="O165" i="3" s="1"/>
  <c r="O166" i="3" a="1"/>
  <c r="O166" i="3" s="1"/>
  <c r="O167" i="3" a="1"/>
  <c r="O167" i="3" s="1"/>
  <c r="O168" i="3" a="1"/>
  <c r="O168" i="3" s="1"/>
  <c r="O169" i="3" a="1"/>
  <c r="O169" i="3" s="1"/>
  <c r="O170" i="3" a="1"/>
  <c r="O170" i="3" s="1"/>
  <c r="O171" i="3" a="1"/>
  <c r="O171" i="3" s="1"/>
  <c r="O172" i="3" a="1"/>
  <c r="O172" i="3" s="1"/>
  <c r="O173" i="3" a="1"/>
  <c r="O173" i="3" s="1"/>
  <c r="O174" i="3" a="1"/>
  <c r="O174" i="3" s="1"/>
  <c r="O175" i="3" a="1"/>
  <c r="O175" i="3" s="1"/>
  <c r="O176" i="3" a="1"/>
  <c r="O176" i="3" s="1"/>
  <c r="O177" i="3" a="1"/>
  <c r="O177" i="3" s="1"/>
  <c r="O178" i="3" a="1"/>
  <c r="O178" i="3" s="1"/>
  <c r="O179" i="3" a="1"/>
  <c r="O179" i="3" s="1"/>
  <c r="O180" i="3" a="1"/>
  <c r="O180" i="3" s="1"/>
  <c r="O181" i="3" a="1"/>
  <c r="O181" i="3" s="1"/>
  <c r="O182" i="3" a="1"/>
  <c r="O182" i="3" s="1"/>
  <c r="O183" i="3" a="1"/>
  <c r="O183" i="3" s="1"/>
  <c r="O184" i="3" a="1"/>
  <c r="O184" i="3" s="1"/>
  <c r="O185" i="3" a="1"/>
  <c r="O185" i="3" s="1"/>
  <c r="O186" i="3" a="1"/>
  <c r="O186" i="3" s="1"/>
  <c r="O187" i="3" a="1"/>
  <c r="O187" i="3" s="1"/>
  <c r="O188" i="3" a="1"/>
  <c r="O188" i="3" s="1"/>
  <c r="O189" i="3" a="1"/>
  <c r="O189" i="3" s="1"/>
  <c r="O190" i="3" a="1"/>
  <c r="O190" i="3" s="1"/>
  <c r="O191" i="3" a="1"/>
  <c r="O191" i="3" s="1"/>
  <c r="O192" i="3" a="1"/>
  <c r="O192" i="3" s="1"/>
  <c r="O193" i="3" a="1"/>
  <c r="O193" i="3" s="1"/>
  <c r="O194" i="3" a="1"/>
  <c r="O194" i="3" s="1"/>
  <c r="O195" i="3" a="1"/>
  <c r="O195" i="3" s="1"/>
  <c r="O196" i="3" a="1"/>
  <c r="O196" i="3" s="1"/>
  <c r="O197" i="3" a="1"/>
  <c r="O197" i="3" s="1"/>
  <c r="O198" i="3" a="1"/>
  <c r="O198" i="3" s="1"/>
  <c r="O199" i="3" a="1"/>
  <c r="O199" i="3" s="1"/>
  <c r="O200" i="3" a="1"/>
  <c r="O200" i="3" s="1"/>
  <c r="O201" i="3" a="1"/>
  <c r="O201" i="3" s="1"/>
  <c r="O202" i="3" a="1"/>
  <c r="O202" i="3" s="1"/>
  <c r="O203" i="3" a="1"/>
  <c r="O203" i="3" s="1"/>
  <c r="O204" i="3" a="1"/>
  <c r="O204" i="3" s="1"/>
  <c r="O205" i="3" a="1"/>
  <c r="O205" i="3" s="1"/>
  <c r="O206" i="3" a="1"/>
  <c r="O206" i="3" s="1"/>
  <c r="O207" i="3" a="1"/>
  <c r="O207" i="3" s="1"/>
  <c r="O208" i="3" a="1"/>
  <c r="O208" i="3" s="1"/>
  <c r="O209" i="3" a="1"/>
  <c r="O209" i="3" s="1"/>
  <c r="O210" i="3" a="1"/>
  <c r="O210" i="3" s="1"/>
  <c r="O211" i="3" a="1"/>
  <c r="O211" i="3" s="1"/>
  <c r="O212" i="3" a="1"/>
  <c r="O212" i="3" s="1"/>
  <c r="O213" i="3" a="1"/>
  <c r="O213" i="3" s="1"/>
  <c r="O214" i="3" a="1"/>
  <c r="O214" i="3" s="1"/>
  <c r="O215" i="3" a="1"/>
  <c r="O215" i="3" s="1"/>
  <c r="O216" i="3" a="1"/>
  <c r="O216" i="3" s="1"/>
  <c r="O217" i="3" a="1"/>
  <c r="O217" i="3" s="1"/>
  <c r="O218" i="3" a="1"/>
  <c r="O218" i="3" s="1"/>
  <c r="O219" i="3" a="1"/>
  <c r="O219" i="3" s="1"/>
  <c r="O220" i="3" a="1"/>
  <c r="O220" i="3" s="1"/>
  <c r="O221" i="3" a="1"/>
  <c r="O221" i="3" s="1"/>
  <c r="O222" i="3" a="1"/>
  <c r="O222" i="3" s="1"/>
  <c r="O223" i="3" a="1"/>
  <c r="O223" i="3" s="1"/>
  <c r="O224" i="3" a="1"/>
  <c r="O224" i="3" s="1"/>
  <c r="O225" i="3" a="1"/>
  <c r="O225" i="3" s="1"/>
  <c r="O226" i="3" a="1"/>
  <c r="O226" i="3" s="1"/>
  <c r="O227" i="3" a="1"/>
  <c r="O227" i="3" s="1"/>
  <c r="O228" i="3" a="1"/>
  <c r="O228" i="3" s="1"/>
  <c r="O229" i="3" a="1"/>
  <c r="O229" i="3" s="1"/>
  <c r="O230" i="3" a="1"/>
  <c r="O230" i="3" s="1"/>
  <c r="O231" i="3" a="1"/>
  <c r="O231" i="3" s="1"/>
  <c r="O232" i="3" a="1"/>
  <c r="O232" i="3" s="1"/>
  <c r="O233" i="3" a="1"/>
  <c r="O233" i="3" s="1"/>
  <c r="O234" i="3" a="1"/>
  <c r="O234" i="3" s="1"/>
  <c r="O235" i="3" a="1"/>
  <c r="O235" i="3" s="1"/>
  <c r="O236" i="3" a="1"/>
  <c r="O236" i="3" s="1"/>
  <c r="O237" i="3" a="1"/>
  <c r="O237" i="3" s="1"/>
  <c r="O238" i="3" a="1"/>
  <c r="O238" i="3" s="1"/>
  <c r="O239" i="3" a="1"/>
  <c r="O239" i="3" s="1"/>
  <c r="O240" i="3" a="1"/>
  <c r="O240" i="3" s="1"/>
  <c r="O241" i="3" a="1"/>
  <c r="O241" i="3" s="1"/>
  <c r="O242" i="3" a="1"/>
  <c r="O242" i="3" s="1"/>
  <c r="O243" i="3" a="1"/>
  <c r="O243" i="3" s="1"/>
  <c r="O244" i="3" a="1"/>
  <c r="O244" i="3" s="1"/>
  <c r="O245" i="3" a="1"/>
  <c r="O245" i="3" s="1"/>
  <c r="O246" i="3" a="1"/>
  <c r="O246" i="3" s="1"/>
  <c r="O247" i="3" a="1"/>
  <c r="O247" i="3" s="1"/>
  <c r="O248" i="3" a="1"/>
  <c r="O248" i="3" s="1"/>
  <c r="O249" i="3" a="1"/>
  <c r="O249" i="3" s="1"/>
  <c r="O250" i="3" a="1"/>
  <c r="O250" i="3" s="1"/>
  <c r="O251" i="3" a="1"/>
  <c r="O251" i="3" s="1"/>
  <c r="O252" i="3" a="1"/>
  <c r="O252" i="3" s="1"/>
  <c r="O253" i="3" a="1"/>
  <c r="O253" i="3" s="1"/>
  <c r="O254" i="3" a="1"/>
  <c r="O254" i="3" s="1"/>
  <c r="O255" i="3" a="1"/>
  <c r="O255" i="3" s="1"/>
  <c r="O256" i="3" a="1"/>
  <c r="O256" i="3" s="1"/>
  <c r="O257" i="3" a="1"/>
  <c r="O257" i="3" s="1"/>
  <c r="O258" i="3" a="1"/>
  <c r="O258" i="3" s="1"/>
  <c r="O259" i="3" a="1"/>
  <c r="O259" i="3" s="1"/>
  <c r="O260" i="3" a="1"/>
  <c r="O260" i="3" s="1"/>
  <c r="O261" i="3" a="1"/>
  <c r="O261" i="3" s="1"/>
  <c r="O262" i="3" a="1"/>
  <c r="O262" i="3" s="1"/>
  <c r="O263" i="3" a="1"/>
  <c r="O263" i="3" s="1"/>
  <c r="O264" i="3" a="1"/>
  <c r="O264" i="3" s="1"/>
  <c r="O265" i="3" a="1"/>
  <c r="O265" i="3" s="1"/>
  <c r="O266" i="3" a="1"/>
  <c r="O266" i="3" s="1"/>
  <c r="O267" i="3" a="1"/>
  <c r="O267" i="3" s="1"/>
  <c r="O268" i="3" a="1"/>
  <c r="O268" i="3" s="1"/>
  <c r="O269" i="3" a="1"/>
  <c r="O269" i="3" s="1"/>
  <c r="O270" i="3" a="1"/>
  <c r="O270" i="3" s="1"/>
  <c r="O271" i="3" a="1"/>
  <c r="O271" i="3" s="1"/>
  <c r="O272" i="3" a="1"/>
  <c r="O272" i="3" s="1"/>
  <c r="O273" i="3" a="1"/>
  <c r="O273" i="3" s="1"/>
  <c r="O274" i="3" a="1"/>
  <c r="O274" i="3" s="1"/>
  <c r="O275" i="3" a="1"/>
  <c r="O275" i="3" s="1"/>
  <c r="O276" i="3" a="1"/>
  <c r="O276" i="3" s="1"/>
  <c r="O277" i="3" a="1"/>
  <c r="O277" i="3" s="1"/>
  <c r="O278" i="3" a="1"/>
  <c r="O278" i="3" s="1"/>
  <c r="O279" i="3" a="1"/>
  <c r="O279" i="3" s="1"/>
  <c r="O280" i="3" a="1"/>
  <c r="O280" i="3" s="1"/>
  <c r="O281" i="3" a="1"/>
  <c r="O281" i="3" s="1"/>
  <c r="O282" i="3" a="1"/>
  <c r="O282" i="3" s="1"/>
  <c r="O283" i="3" a="1"/>
  <c r="O283" i="3" s="1"/>
  <c r="O284" i="3" a="1"/>
  <c r="O284" i="3" s="1"/>
  <c r="O285" i="3" a="1"/>
  <c r="O285" i="3" s="1"/>
  <c r="O286" i="3" a="1"/>
  <c r="O286" i="3" s="1"/>
  <c r="O287" i="3" a="1"/>
  <c r="O287" i="3" s="1"/>
  <c r="O288" i="3" a="1"/>
  <c r="O288" i="3" s="1"/>
  <c r="O289" i="3" a="1"/>
  <c r="O289" i="3" s="1"/>
  <c r="O290" i="3" a="1"/>
  <c r="O290" i="3" s="1"/>
  <c r="O291" i="3" a="1"/>
  <c r="O291" i="3" s="1"/>
  <c r="O292" i="3" a="1"/>
  <c r="O292" i="3" s="1"/>
  <c r="O293" i="3" a="1"/>
  <c r="O293" i="3" s="1"/>
  <c r="O294" i="3" a="1"/>
  <c r="O294" i="3" s="1"/>
  <c r="O295" i="3" a="1"/>
  <c r="O295" i="3" s="1"/>
  <c r="O296" i="3" a="1"/>
  <c r="O296" i="3" s="1"/>
  <c r="O297" i="3" a="1"/>
  <c r="O297" i="3" s="1"/>
  <c r="O298" i="3" a="1"/>
  <c r="O298" i="3" s="1"/>
  <c r="O299" i="3" a="1"/>
  <c r="O299" i="3" s="1"/>
  <c r="O300" i="3" a="1"/>
  <c r="O300" i="3" s="1"/>
  <c r="O301" i="3" a="1"/>
  <c r="O301" i="3" s="1"/>
  <c r="O302" i="3" a="1"/>
  <c r="O302" i="3" s="1"/>
  <c r="O303" i="3" a="1"/>
  <c r="O303" i="3" s="1"/>
  <c r="O304" i="3" a="1"/>
  <c r="O304" i="3" s="1"/>
  <c r="O305" i="3" a="1"/>
  <c r="O305" i="3" s="1"/>
  <c r="O306" i="3" a="1"/>
  <c r="O306" i="3" s="1"/>
  <c r="O307" i="3" a="1"/>
  <c r="O307" i="3" s="1"/>
  <c r="O308" i="3" a="1"/>
  <c r="O308" i="3" s="1"/>
  <c r="O309" i="3" a="1"/>
  <c r="O309" i="3" s="1"/>
  <c r="O310" i="3" a="1"/>
  <c r="O310" i="3" s="1"/>
  <c r="O311" i="3" a="1"/>
  <c r="O311" i="3" s="1"/>
  <c r="O312" i="3" a="1"/>
  <c r="O312" i="3" s="1"/>
  <c r="O313" i="3" a="1"/>
  <c r="O313" i="3" s="1"/>
  <c r="O314" i="3" a="1"/>
  <c r="O314" i="3" s="1"/>
  <c r="O315" i="3" a="1"/>
  <c r="O315" i="3" s="1"/>
  <c r="O316" i="3" a="1"/>
  <c r="O316" i="3" s="1"/>
  <c r="O317" i="3" a="1"/>
  <c r="O317" i="3" s="1"/>
  <c r="O318" i="3" a="1"/>
  <c r="O318" i="3" s="1"/>
  <c r="O319" i="3" a="1"/>
  <c r="O319" i="3" s="1"/>
  <c r="O320" i="3" a="1"/>
  <c r="O320" i="3" s="1"/>
  <c r="O321" i="3" a="1"/>
  <c r="O321" i="3" s="1"/>
  <c r="O322" i="3" a="1"/>
  <c r="O322" i="3" s="1"/>
  <c r="O323" i="3" a="1"/>
  <c r="O323" i="3" s="1"/>
  <c r="O324" i="3" a="1"/>
  <c r="O324" i="3" s="1"/>
  <c r="O325" i="3" a="1"/>
  <c r="O325" i="3" s="1"/>
  <c r="O326" i="3" a="1"/>
  <c r="O326" i="3" s="1"/>
  <c r="O327" i="3" a="1"/>
  <c r="O327" i="3" s="1"/>
  <c r="O328" i="3" a="1"/>
  <c r="O328" i="3" s="1"/>
  <c r="O329" i="3" a="1"/>
  <c r="O329" i="3" s="1"/>
  <c r="O330" i="3" a="1"/>
  <c r="O330" i="3" s="1"/>
  <c r="O331" i="3" a="1"/>
  <c r="O331" i="3" s="1"/>
  <c r="O332" i="3" a="1"/>
  <c r="O332" i="3" s="1"/>
  <c r="O333" i="3" a="1"/>
  <c r="O333" i="3" s="1"/>
  <c r="O334" i="3" a="1"/>
  <c r="O334" i="3" s="1"/>
  <c r="O335" i="3" a="1"/>
  <c r="O335" i="3" s="1"/>
  <c r="O336" i="3" a="1"/>
  <c r="O336" i="3" s="1"/>
  <c r="O337" i="3" a="1"/>
  <c r="O337" i="3" s="1"/>
  <c r="O338" i="3" a="1"/>
  <c r="O338" i="3" s="1"/>
  <c r="O339" i="3" a="1"/>
  <c r="O339" i="3" s="1"/>
  <c r="O340" i="3" a="1"/>
  <c r="O340" i="3" s="1"/>
  <c r="O341" i="3" a="1"/>
  <c r="O341" i="3" s="1"/>
  <c r="O342" i="3" a="1"/>
  <c r="O342" i="3" s="1"/>
  <c r="O343" i="3" a="1"/>
  <c r="O343" i="3" s="1"/>
  <c r="O344" i="3" a="1"/>
  <c r="O344" i="3" s="1"/>
  <c r="O345" i="3" a="1"/>
  <c r="O345" i="3" s="1"/>
  <c r="O346" i="3" a="1"/>
  <c r="O346" i="3" s="1"/>
  <c r="O347" i="3" a="1"/>
  <c r="O347" i="3" s="1"/>
  <c r="O348" i="3" a="1"/>
  <c r="O348" i="3" s="1"/>
  <c r="O349" i="3" a="1"/>
  <c r="O349" i="3" s="1"/>
  <c r="O350" i="3" a="1"/>
  <c r="O350" i="3" s="1"/>
  <c r="O351" i="3" a="1"/>
  <c r="O351" i="3" s="1"/>
  <c r="O352" i="3" a="1"/>
  <c r="O352" i="3" s="1"/>
  <c r="O353" i="3" a="1"/>
  <c r="O353" i="3" s="1"/>
  <c r="O354" i="3" a="1"/>
  <c r="O354" i="3" s="1"/>
  <c r="O355" i="3" a="1"/>
  <c r="O355" i="3" s="1"/>
  <c r="O356" i="3" a="1"/>
  <c r="O356" i="3" s="1"/>
  <c r="O357" i="3" a="1"/>
  <c r="O357" i="3" s="1"/>
  <c r="O358" i="3" a="1"/>
  <c r="O358" i="3" s="1"/>
  <c r="O359" i="3" a="1"/>
  <c r="O359" i="3" s="1"/>
  <c r="O360" i="3" a="1"/>
  <c r="O360" i="3" s="1"/>
  <c r="O361" i="3" a="1"/>
  <c r="O361" i="3" s="1"/>
  <c r="O362" i="3" a="1"/>
  <c r="O362" i="3" s="1"/>
  <c r="O363" i="3" a="1"/>
  <c r="O363" i="3" s="1"/>
  <c r="O364" i="3" a="1"/>
  <c r="O364" i="3" s="1"/>
  <c r="O365" i="3" a="1"/>
  <c r="O365" i="3" s="1"/>
  <c r="O366" i="3" a="1"/>
  <c r="O366" i="3" s="1"/>
  <c r="O367" i="3" a="1"/>
  <c r="O367" i="3" s="1"/>
  <c r="O368" i="3" a="1"/>
  <c r="O368" i="3" s="1"/>
  <c r="O369" i="3" a="1"/>
  <c r="O369" i="3" s="1"/>
  <c r="O370" i="3" a="1"/>
  <c r="O370" i="3" s="1"/>
  <c r="O371" i="3" a="1"/>
  <c r="O371" i="3" s="1"/>
  <c r="O372" i="3" a="1"/>
  <c r="O372" i="3" s="1"/>
  <c r="O373" i="3" a="1"/>
  <c r="O373" i="3" s="1"/>
  <c r="O374" i="3" a="1"/>
  <c r="O374" i="3" s="1"/>
  <c r="O375" i="3" a="1"/>
  <c r="O375" i="3" s="1"/>
  <c r="O376" i="3" a="1"/>
  <c r="O376" i="3" s="1"/>
  <c r="O377" i="3" a="1"/>
  <c r="O377" i="3" s="1"/>
  <c r="O378" i="3" a="1"/>
  <c r="O378" i="3" s="1"/>
  <c r="O379" i="3" a="1"/>
  <c r="O379" i="3" s="1"/>
  <c r="O380" i="3" a="1"/>
  <c r="O380" i="3" s="1"/>
  <c r="O381" i="3" a="1"/>
  <c r="O381" i="3" s="1"/>
  <c r="O382" i="3" a="1"/>
  <c r="O382" i="3" s="1"/>
  <c r="O383" i="3" a="1"/>
  <c r="O383" i="3" s="1"/>
  <c r="O384" i="3" a="1"/>
  <c r="O384" i="3" s="1"/>
  <c r="O385" i="3" a="1"/>
  <c r="O385" i="3" s="1"/>
  <c r="O386" i="3" a="1"/>
  <c r="O386" i="3" s="1"/>
  <c r="O387" i="3" a="1"/>
  <c r="O387" i="3" s="1"/>
  <c r="O388" i="3" a="1"/>
  <c r="O388" i="3" s="1"/>
  <c r="O389" i="3" a="1"/>
  <c r="O389" i="3" s="1"/>
  <c r="O390" i="3" a="1"/>
  <c r="O390" i="3" s="1"/>
  <c r="O391" i="3" a="1"/>
  <c r="O391" i="3" s="1"/>
  <c r="O392" i="3" a="1"/>
  <c r="O392" i="3" s="1"/>
  <c r="O393" i="3" a="1"/>
  <c r="O393" i="3" s="1"/>
  <c r="O394" i="3" a="1"/>
  <c r="O394" i="3" s="1"/>
  <c r="O395" i="3" a="1"/>
  <c r="O395" i="3" s="1"/>
  <c r="O396" i="3" a="1"/>
  <c r="O396" i="3" s="1"/>
  <c r="O397" i="3" a="1"/>
  <c r="O397" i="3" s="1"/>
  <c r="O398" i="3" a="1"/>
  <c r="O398" i="3" s="1"/>
  <c r="O399" i="3" a="1"/>
  <c r="O399" i="3" s="1"/>
  <c r="O400" i="3" a="1"/>
  <c r="O400" i="3" s="1"/>
  <c r="O401" i="3" a="1"/>
  <c r="O401" i="3" s="1"/>
  <c r="O402" i="3" a="1"/>
  <c r="O402" i="3" s="1"/>
  <c r="O403" i="3" a="1"/>
  <c r="O403" i="3" s="1"/>
  <c r="O404" i="3" a="1"/>
  <c r="O404" i="3" s="1"/>
  <c r="O405" i="3" a="1"/>
  <c r="O405" i="3" s="1"/>
  <c r="O406" i="3" a="1"/>
  <c r="O406" i="3" s="1"/>
  <c r="O407" i="3" a="1"/>
  <c r="O407" i="3" s="1"/>
  <c r="O408" i="3" a="1"/>
  <c r="O408" i="3" s="1"/>
  <c r="O409" i="3" a="1"/>
  <c r="O409" i="3" s="1"/>
  <c r="O410" i="3" a="1"/>
  <c r="O410" i="3" s="1"/>
  <c r="O411" i="3" a="1"/>
  <c r="O411" i="3" s="1"/>
  <c r="O412" i="3" a="1"/>
  <c r="O412" i="3" s="1"/>
  <c r="O413" i="3" a="1"/>
  <c r="O413" i="3" s="1"/>
  <c r="O414" i="3" a="1"/>
  <c r="O414" i="3" s="1"/>
  <c r="O415" i="3" a="1"/>
  <c r="O415" i="3" s="1"/>
  <c r="O416" i="3" a="1"/>
  <c r="O416" i="3" s="1"/>
  <c r="O417" i="3" a="1"/>
  <c r="O417" i="3" s="1"/>
  <c r="O418" i="3" a="1"/>
  <c r="O418" i="3" s="1"/>
  <c r="O419" i="3" a="1"/>
  <c r="O419" i="3" s="1"/>
  <c r="O420" i="3" a="1"/>
  <c r="O420" i="3" s="1"/>
  <c r="O421" i="3" a="1"/>
  <c r="O421" i="3" s="1"/>
  <c r="O422" i="3" a="1"/>
  <c r="O422" i="3" s="1"/>
  <c r="O423" i="3" a="1"/>
  <c r="O423" i="3" s="1"/>
  <c r="O424" i="3" a="1"/>
  <c r="O424" i="3" s="1"/>
  <c r="O425" i="3" a="1"/>
  <c r="O425" i="3" s="1"/>
  <c r="O426" i="3" a="1"/>
  <c r="O426" i="3" s="1"/>
  <c r="O427" i="3" a="1"/>
  <c r="O427" i="3" s="1"/>
  <c r="O428" i="3" a="1"/>
  <c r="O428" i="3" s="1"/>
  <c r="O429" i="3" a="1"/>
  <c r="O429" i="3" s="1"/>
  <c r="O430" i="3" a="1"/>
  <c r="O430" i="3" s="1"/>
  <c r="O431" i="3" a="1"/>
  <c r="O431" i="3" s="1"/>
  <c r="O432" i="3" a="1"/>
  <c r="O432" i="3" s="1"/>
  <c r="O433" i="3" a="1"/>
  <c r="O433" i="3" s="1"/>
  <c r="O434" i="3" a="1"/>
  <c r="O434" i="3" s="1"/>
  <c r="O435" i="3" a="1"/>
  <c r="O435" i="3" s="1"/>
  <c r="O436" i="3" a="1"/>
  <c r="O436" i="3" s="1"/>
  <c r="O437" i="3" a="1"/>
  <c r="O437" i="3" s="1"/>
  <c r="O438" i="3" a="1"/>
  <c r="O438" i="3" s="1"/>
  <c r="O439" i="3" a="1"/>
  <c r="O439" i="3" s="1"/>
  <c r="O440" i="3" a="1"/>
  <c r="O440" i="3" s="1"/>
  <c r="O441" i="3" a="1"/>
  <c r="O441" i="3" s="1"/>
  <c r="O442" i="3" a="1"/>
  <c r="O442" i="3" s="1"/>
  <c r="O443" i="3" a="1"/>
  <c r="O443" i="3" s="1"/>
  <c r="O444" i="3" a="1"/>
  <c r="O444" i="3" s="1"/>
  <c r="O445" i="3" a="1"/>
  <c r="O445" i="3" s="1"/>
  <c r="O446" i="3" a="1"/>
  <c r="O446" i="3" s="1"/>
  <c r="O447" i="3" a="1"/>
  <c r="O447" i="3" s="1"/>
  <c r="O448" i="3" a="1"/>
  <c r="O448" i="3" s="1"/>
  <c r="O449" i="3" a="1"/>
  <c r="O449" i="3" s="1"/>
  <c r="O450" i="3" a="1"/>
  <c r="O450" i="3" s="1"/>
  <c r="O451" i="3" a="1"/>
  <c r="O451" i="3" s="1"/>
  <c r="O452" i="3" a="1"/>
  <c r="O452" i="3" s="1"/>
  <c r="O453" i="3" a="1"/>
  <c r="O453" i="3" s="1"/>
  <c r="O454" i="3" a="1"/>
  <c r="O454" i="3" s="1"/>
  <c r="O455" i="3" a="1"/>
  <c r="O455" i="3" s="1"/>
  <c r="O456" i="3" a="1"/>
  <c r="O456" i="3" s="1"/>
  <c r="O457" i="3" a="1"/>
  <c r="O457" i="3" s="1"/>
  <c r="O458" i="3" a="1"/>
  <c r="O458" i="3" s="1"/>
  <c r="O459" i="3" a="1"/>
  <c r="O459" i="3" s="1"/>
  <c r="O460" i="3" a="1"/>
  <c r="O460" i="3" s="1"/>
  <c r="O461" i="3" a="1"/>
  <c r="O461" i="3" s="1"/>
  <c r="O462" i="3" a="1"/>
  <c r="O462" i="3" s="1"/>
  <c r="O463" i="3" a="1"/>
  <c r="O463" i="3" s="1"/>
  <c r="O464" i="3" a="1"/>
  <c r="O464" i="3" s="1"/>
  <c r="O465" i="3" a="1"/>
  <c r="O465" i="3" s="1"/>
  <c r="O466" i="3" a="1"/>
  <c r="O466" i="3" s="1"/>
  <c r="O467" i="3" a="1"/>
  <c r="O467" i="3" s="1"/>
  <c r="O468" i="3" a="1"/>
  <c r="O468" i="3" s="1"/>
  <c r="O469" i="3" a="1"/>
  <c r="O469" i="3" s="1"/>
  <c r="O470" i="3" a="1"/>
  <c r="O470" i="3" s="1"/>
  <c r="O471" i="3" a="1"/>
  <c r="O471" i="3" s="1"/>
  <c r="O472" i="3" a="1"/>
  <c r="O472" i="3" s="1"/>
  <c r="O473" i="3" a="1"/>
  <c r="O473" i="3" s="1"/>
  <c r="O474" i="3" a="1"/>
  <c r="O474" i="3" s="1"/>
  <c r="O475" i="3" a="1"/>
  <c r="O475" i="3" s="1"/>
  <c r="O476" i="3" a="1"/>
  <c r="O476" i="3" s="1"/>
  <c r="O477" i="3" a="1"/>
  <c r="O477" i="3" s="1"/>
  <c r="O478" i="3" a="1"/>
  <c r="O478" i="3" s="1"/>
  <c r="O479" i="3" a="1"/>
  <c r="O479" i="3" s="1"/>
  <c r="O480" i="3" a="1"/>
  <c r="O480" i="3" s="1"/>
  <c r="O481" i="3" a="1"/>
  <c r="O481" i="3" s="1"/>
  <c r="O482" i="3" a="1"/>
  <c r="O482" i="3" s="1"/>
  <c r="O483" i="3" a="1"/>
  <c r="O483" i="3" s="1"/>
  <c r="O484" i="3" a="1"/>
  <c r="O484" i="3" s="1"/>
  <c r="O485" i="3" a="1"/>
  <c r="O485" i="3" s="1"/>
  <c r="O486" i="3" a="1"/>
  <c r="O486" i="3" s="1"/>
  <c r="O487" i="3" a="1"/>
  <c r="O487" i="3" s="1"/>
  <c r="O488" i="3" a="1"/>
  <c r="O488" i="3" s="1"/>
  <c r="O489" i="3" a="1"/>
  <c r="O489" i="3" s="1"/>
  <c r="O490" i="3" a="1"/>
  <c r="O490" i="3" s="1"/>
  <c r="O491" i="3" a="1"/>
  <c r="O491" i="3" s="1"/>
  <c r="O492" i="3" a="1"/>
  <c r="O492" i="3" s="1"/>
  <c r="O493" i="3" a="1"/>
  <c r="O493" i="3" s="1"/>
  <c r="O494" i="3" a="1"/>
  <c r="O494" i="3" s="1"/>
  <c r="O495" i="3" a="1"/>
  <c r="O495" i="3" s="1"/>
  <c r="O496" i="3" a="1"/>
  <c r="O496" i="3"/>
  <c r="O497" i="3" a="1"/>
  <c r="O497" i="3"/>
  <c r="O498" i="3" a="1"/>
  <c r="O498" i="3"/>
  <c r="O499" i="3" a="1"/>
  <c r="O499" i="3"/>
  <c r="O500" i="3" a="1"/>
  <c r="O500" i="3"/>
  <c r="O501" i="3" a="1"/>
  <c r="O501" i="3" s="1"/>
  <c r="O502" i="3" a="1"/>
  <c r="O502" i="3" s="1"/>
  <c r="O503" i="3" a="1"/>
  <c r="O503" i="3" s="1"/>
  <c r="O504" i="3" a="1"/>
  <c r="O504" i="3" s="1"/>
  <c r="O505" i="3" a="1"/>
  <c r="O505" i="3" s="1"/>
  <c r="O506" i="3" a="1"/>
  <c r="O506" i="3" s="1"/>
  <c r="O507" i="3" a="1"/>
  <c r="O507" i="3" s="1"/>
  <c r="O508" i="3" a="1"/>
  <c r="O508" i="3"/>
  <c r="O509" i="3" a="1"/>
  <c r="O509" i="3"/>
  <c r="O510" i="3" a="1"/>
  <c r="O510" i="3"/>
  <c r="O511" i="3" a="1"/>
  <c r="O511" i="3"/>
  <c r="O512" i="3" a="1"/>
  <c r="O512" i="3"/>
  <c r="O513" i="3" a="1"/>
  <c r="O513" i="3"/>
  <c r="O514" i="3" a="1"/>
  <c r="O514" i="3"/>
  <c r="O515" i="3" a="1"/>
  <c r="O515" i="3"/>
  <c r="O516" i="3" a="1"/>
  <c r="O516" i="3"/>
  <c r="O517" i="3" a="1"/>
  <c r="O517" i="3"/>
  <c r="O518" i="3" a="1"/>
  <c r="O518" i="3"/>
  <c r="O519" i="3" a="1"/>
  <c r="O519" i="3"/>
  <c r="O520" i="3" a="1"/>
  <c r="O520" i="3"/>
  <c r="O521" i="3" a="1"/>
  <c r="O521" i="3"/>
  <c r="O522" i="3" a="1"/>
  <c r="O522" i="3"/>
  <c r="O523" i="3" a="1"/>
  <c r="O523" i="3"/>
  <c r="O524" i="3" a="1"/>
  <c r="O524" i="3"/>
  <c r="O525" i="3" a="1"/>
  <c r="O525" i="3"/>
  <c r="O526" i="3" a="1"/>
  <c r="O526" i="3"/>
  <c r="O527" i="3" a="1"/>
  <c r="O527" i="3"/>
  <c r="O528" i="3" a="1"/>
  <c r="O528" i="3"/>
  <c r="O529" i="3" a="1"/>
  <c r="O529" i="3"/>
  <c r="O530" i="3" a="1"/>
  <c r="O530" i="3"/>
  <c r="O531" i="3" a="1"/>
  <c r="O531" i="3"/>
  <c r="O532" i="3" a="1"/>
  <c r="O532" i="3"/>
  <c r="O533" i="3" a="1"/>
  <c r="O533" i="3"/>
  <c r="O534" i="3" a="1"/>
  <c r="O534" i="3"/>
  <c r="O535" i="3" a="1"/>
  <c r="O535" i="3"/>
  <c r="O536" i="3" a="1"/>
  <c r="O536" i="3"/>
  <c r="O537" i="3" a="1"/>
  <c r="O537" i="3"/>
  <c r="O538" i="3" a="1"/>
  <c r="O538" i="3"/>
  <c r="O539" i="3" a="1"/>
  <c r="O539" i="3"/>
  <c r="O540" i="3" a="1"/>
  <c r="O540" i="3"/>
  <c r="O541" i="3" a="1"/>
  <c r="O541" i="3"/>
  <c r="O542" i="3" a="1"/>
  <c r="O542" i="3"/>
  <c r="O543" i="3" a="1"/>
  <c r="O543" i="3"/>
  <c r="O544" i="3" a="1"/>
  <c r="O544" i="3"/>
  <c r="O545" i="3" a="1"/>
  <c r="O545" i="3"/>
  <c r="O546" i="3" a="1"/>
  <c r="O546" i="3"/>
  <c r="O547" i="3" a="1"/>
  <c r="O547" i="3"/>
  <c r="O548" i="3" a="1"/>
  <c r="O548" i="3"/>
  <c r="O549" i="3" a="1"/>
  <c r="O549" i="3"/>
  <c r="O550" i="3" a="1"/>
  <c r="O550" i="3"/>
  <c r="O551" i="3" a="1"/>
  <c r="O551" i="3"/>
  <c r="O552" i="3" a="1"/>
  <c r="O552" i="3"/>
  <c r="O553" i="3" a="1"/>
  <c r="O553" i="3"/>
  <c r="O554" i="3" a="1"/>
  <c r="O554" i="3"/>
  <c r="O555" i="3" a="1"/>
  <c r="O555" i="3"/>
  <c r="O556" i="3" a="1"/>
  <c r="O556" i="3"/>
  <c r="O557" i="3" a="1"/>
  <c r="O557" i="3"/>
  <c r="O558" i="3" a="1"/>
  <c r="O558" i="3"/>
  <c r="O559" i="3" a="1"/>
  <c r="O559" i="3"/>
  <c r="O560" i="3" a="1"/>
  <c r="O560" i="3"/>
  <c r="O561" i="3" a="1"/>
  <c r="O561" i="3"/>
  <c r="O562" i="3" a="1"/>
  <c r="O562" i="3"/>
  <c r="O563" i="3" a="1"/>
  <c r="O563" i="3"/>
  <c r="O564" i="3" a="1"/>
  <c r="O564" i="3"/>
  <c r="O565" i="3" a="1"/>
  <c r="O565" i="3"/>
  <c r="O566" i="3" a="1"/>
  <c r="O566" i="3"/>
  <c r="O567" i="3" a="1"/>
  <c r="O567" i="3"/>
  <c r="O568" i="3" a="1"/>
  <c r="O568" i="3"/>
  <c r="O569" i="3" a="1"/>
  <c r="O569" i="3"/>
  <c r="O570" i="3" a="1"/>
  <c r="O570" i="3"/>
  <c r="O571" i="3" a="1"/>
  <c r="O571" i="3"/>
  <c r="O572" i="3" a="1"/>
  <c r="O572" i="3"/>
  <c r="O573" i="3" a="1"/>
  <c r="O573" i="3"/>
  <c r="O574" i="3" a="1"/>
  <c r="O574" i="3"/>
  <c r="O575" i="3" a="1"/>
  <c r="O575" i="3"/>
  <c r="O576" i="3" a="1"/>
  <c r="O576" i="3"/>
  <c r="O577" i="3" a="1"/>
  <c r="O577" i="3"/>
  <c r="O578" i="3" a="1"/>
  <c r="O578" i="3"/>
  <c r="O579" i="3" a="1"/>
  <c r="O579" i="3"/>
  <c r="O580" i="3" a="1"/>
  <c r="O580" i="3"/>
  <c r="O581" i="3" a="1"/>
  <c r="O581" i="3"/>
  <c r="O582" i="3" a="1"/>
  <c r="O582" i="3"/>
  <c r="O583" i="3" a="1"/>
  <c r="O583" i="3"/>
  <c r="O584" i="3" a="1"/>
  <c r="O584" i="3"/>
  <c r="O585" i="3" a="1"/>
  <c r="O585" i="3"/>
  <c r="O586" i="3" a="1"/>
  <c r="O586" i="3"/>
  <c r="O587" i="3" a="1"/>
  <c r="O587" i="3"/>
  <c r="O588" i="3" a="1"/>
  <c r="O588" i="3"/>
  <c r="O589" i="3" a="1"/>
  <c r="O589" i="3"/>
  <c r="O590" i="3" a="1"/>
  <c r="O590" i="3"/>
  <c r="O591" i="3" a="1"/>
  <c r="O591" i="3"/>
  <c r="O592" i="3" a="1"/>
  <c r="O592" i="3"/>
  <c r="O593" i="3" a="1"/>
  <c r="O593" i="3"/>
  <c r="O594" i="3" a="1"/>
  <c r="O594" i="3"/>
  <c r="O595" i="3" a="1"/>
  <c r="O595" i="3"/>
  <c r="O596" i="3" a="1"/>
  <c r="O596" i="3"/>
  <c r="O597" i="3" a="1"/>
  <c r="O597" i="3"/>
  <c r="O598" i="3" a="1"/>
  <c r="O598" i="3"/>
  <c r="O599" i="3" a="1"/>
  <c r="O599" i="3"/>
  <c r="O600" i="3" a="1"/>
  <c r="O600" i="3"/>
  <c r="O601" i="3" a="1"/>
  <c r="O601" i="3"/>
  <c r="O602" i="3" a="1"/>
  <c r="O602" i="3"/>
  <c r="O603" i="3" a="1"/>
  <c r="O603" i="3"/>
  <c r="O604" i="3" a="1"/>
  <c r="O604" i="3"/>
  <c r="O605" i="3" a="1"/>
  <c r="O605" i="3"/>
  <c r="O606" i="3" a="1"/>
  <c r="O606" i="3"/>
  <c r="O607" i="3" a="1"/>
  <c r="O607" i="3"/>
  <c r="O608" i="3" a="1"/>
  <c r="O608" i="3"/>
  <c r="O609" i="3" a="1"/>
  <c r="O609" i="3"/>
  <c r="O610" i="3" a="1"/>
  <c r="O610" i="3"/>
  <c r="O611" i="3" a="1"/>
  <c r="O611" i="3"/>
  <c r="O612" i="3" a="1"/>
  <c r="O612" i="3"/>
  <c r="O613" i="3" a="1"/>
  <c r="O613" i="3"/>
  <c r="O614" i="3" a="1"/>
  <c r="O614" i="3"/>
  <c r="O615" i="3" a="1"/>
  <c r="O615" i="3"/>
  <c r="O616" i="3" a="1"/>
  <c r="O616" i="3"/>
  <c r="O617" i="3" a="1"/>
  <c r="O617" i="3"/>
  <c r="O618" i="3" a="1"/>
  <c r="O618" i="3"/>
  <c r="O619" i="3" a="1"/>
  <c r="O619" i="3"/>
  <c r="O620" i="3" a="1"/>
  <c r="O620" i="3"/>
  <c r="O621" i="3" a="1"/>
  <c r="O621" i="3"/>
  <c r="O622" i="3" a="1"/>
  <c r="O622" i="3"/>
  <c r="O623" i="3" a="1"/>
  <c r="O623" i="3"/>
  <c r="O624" i="3" a="1"/>
  <c r="O624" i="3"/>
  <c r="O625" i="3" a="1"/>
  <c r="O625" i="3"/>
  <c r="O626" i="3" a="1"/>
  <c r="O626" i="3"/>
  <c r="O627" i="3" a="1"/>
  <c r="O627" i="3"/>
  <c r="O628" i="3" a="1"/>
  <c r="O628" i="3"/>
  <c r="O629" i="3" a="1"/>
  <c r="O629" i="3"/>
  <c r="O630" i="3" a="1"/>
  <c r="O630" i="3"/>
  <c r="O631" i="3" a="1"/>
  <c r="O631" i="3"/>
  <c r="O632" i="3" a="1"/>
  <c r="O632" i="3"/>
  <c r="O633" i="3" a="1"/>
  <c r="O633" i="3"/>
  <c r="O634" i="3" a="1"/>
  <c r="O634" i="3"/>
  <c r="O635" i="3" a="1"/>
  <c r="O635" i="3"/>
  <c r="O636" i="3" a="1"/>
  <c r="O636" i="3"/>
  <c r="O637" i="3" a="1"/>
  <c r="O637" i="3"/>
  <c r="O638" i="3" a="1"/>
  <c r="O638" i="3"/>
  <c r="O639" i="3" a="1"/>
  <c r="O639" i="3"/>
  <c r="O640" i="3" a="1"/>
  <c r="O640" i="3"/>
  <c r="O641" i="3" a="1"/>
  <c r="O641" i="3"/>
  <c r="O642" i="3" a="1"/>
  <c r="O642" i="3"/>
  <c r="O643" i="3" a="1"/>
  <c r="O643" i="3"/>
  <c r="O644" i="3" a="1"/>
  <c r="O644" i="3"/>
  <c r="O645" i="3" a="1"/>
  <c r="O645" i="3"/>
  <c r="O646" i="3" a="1"/>
  <c r="O646" i="3"/>
  <c r="O647" i="3" a="1"/>
  <c r="O647" i="3"/>
  <c r="O648" i="3" a="1"/>
  <c r="O648" i="3"/>
  <c r="O649" i="3" a="1"/>
  <c r="O649" i="3"/>
  <c r="O650" i="3" a="1"/>
  <c r="O650" i="3"/>
  <c r="O651" i="3" a="1"/>
  <c r="O651" i="3"/>
  <c r="O652" i="3" a="1"/>
  <c r="O652" i="3"/>
  <c r="O653" i="3" a="1"/>
  <c r="O653" i="3"/>
  <c r="O654" i="3" a="1"/>
  <c r="O654" i="3"/>
  <c r="O655" i="3" a="1"/>
  <c r="O655" i="3"/>
  <c r="O656" i="3" a="1"/>
  <c r="O656" i="3"/>
  <c r="O657" i="3" a="1"/>
  <c r="O657" i="3"/>
  <c r="O658" i="3" a="1"/>
  <c r="O658" i="3"/>
  <c r="O659" i="3" a="1"/>
  <c r="O659" i="3"/>
  <c r="O660" i="3" a="1"/>
  <c r="O660" i="3"/>
  <c r="O661" i="3" a="1"/>
  <c r="O661" i="3"/>
  <c r="O662" i="3" a="1"/>
  <c r="O662" i="3"/>
  <c r="O663" i="3" a="1"/>
  <c r="O663" i="3"/>
  <c r="O664" i="3" a="1"/>
  <c r="O664" i="3"/>
  <c r="O665" i="3" a="1"/>
  <c r="O665" i="3"/>
  <c r="O666" i="3" a="1"/>
  <c r="O666" i="3"/>
  <c r="O667" i="3" a="1"/>
  <c r="O667" i="3"/>
  <c r="O668" i="3" a="1"/>
  <c r="O668" i="3"/>
  <c r="O669" i="3" a="1"/>
  <c r="O669" i="3"/>
  <c r="O670" i="3" a="1"/>
  <c r="O670" i="3"/>
  <c r="O671" i="3" a="1"/>
  <c r="O671" i="3"/>
  <c r="O672" i="3" a="1"/>
  <c r="O672" i="3"/>
  <c r="O673" i="3" a="1"/>
  <c r="O673" i="3"/>
  <c r="O674" i="3" a="1"/>
  <c r="O674" i="3"/>
  <c r="O675" i="3" a="1"/>
  <c r="O675" i="3"/>
  <c r="O676" i="3" a="1"/>
  <c r="O676" i="3"/>
  <c r="O677" i="3" a="1"/>
  <c r="O677" i="3"/>
  <c r="O678" i="3" a="1"/>
  <c r="O678" i="3"/>
  <c r="O679" i="3" a="1"/>
  <c r="O679" i="3"/>
  <c r="O680" i="3" a="1"/>
  <c r="O680" i="3"/>
  <c r="O681" i="3" a="1"/>
  <c r="O681" i="3"/>
  <c r="O682" i="3" a="1"/>
  <c r="O682" i="3"/>
  <c r="O683" i="3" a="1"/>
  <c r="O683" i="3"/>
  <c r="O684" i="3" a="1"/>
  <c r="O684" i="3"/>
  <c r="O685" i="3" a="1"/>
  <c r="O685" i="3"/>
  <c r="O686" i="3" a="1"/>
  <c r="O686" i="3"/>
  <c r="O687" i="3" a="1"/>
  <c r="O687" i="3"/>
  <c r="O688" i="3" a="1"/>
  <c r="O688" i="3"/>
  <c r="O689" i="3" a="1"/>
  <c r="O689" i="3"/>
  <c r="O690" i="3" a="1"/>
  <c r="O690" i="3"/>
  <c r="O691" i="3" a="1"/>
  <c r="O691" i="3"/>
  <c r="O692" i="3" a="1"/>
  <c r="O692" i="3"/>
  <c r="O693" i="3" a="1"/>
  <c r="O693" i="3"/>
  <c r="O694" i="3" a="1"/>
  <c r="O694" i="3"/>
  <c r="O695" i="3" a="1"/>
  <c r="O695" i="3"/>
  <c r="O696" i="3" a="1"/>
  <c r="O696" i="3"/>
  <c r="O697" i="3" a="1"/>
  <c r="O697" i="3"/>
  <c r="O698" i="3" a="1"/>
  <c r="O698" i="3"/>
  <c r="O699" i="3" a="1"/>
  <c r="O699" i="3"/>
  <c r="O700" i="3" a="1"/>
  <c r="O700" i="3"/>
  <c r="O701" i="3" a="1"/>
  <c r="O701" i="3"/>
  <c r="O702" i="3" a="1"/>
  <c r="O702" i="3"/>
  <c r="O703" i="3" a="1"/>
  <c r="O703" i="3"/>
  <c r="O704" i="3" a="1"/>
  <c r="O704" i="3"/>
  <c r="O705" i="3" a="1"/>
  <c r="O705" i="3"/>
  <c r="O706" i="3" a="1"/>
  <c r="O706" i="3"/>
  <c r="O707" i="3" a="1"/>
  <c r="O707" i="3"/>
  <c r="O708" i="3" a="1"/>
  <c r="O708" i="3"/>
  <c r="O709" i="3" a="1"/>
  <c r="O709" i="3"/>
  <c r="O710" i="3" a="1"/>
  <c r="O710" i="3"/>
  <c r="O711" i="3" a="1"/>
  <c r="O711" i="3"/>
  <c r="O712" i="3" a="1"/>
  <c r="O712" i="3"/>
  <c r="O713" i="3" a="1"/>
  <c r="O713" i="3"/>
  <c r="O714" i="3" a="1"/>
  <c r="O714" i="3"/>
  <c r="O715" i="3" a="1"/>
  <c r="O715" i="3"/>
  <c r="O716" i="3" a="1"/>
  <c r="O716" i="3"/>
  <c r="O717" i="3" a="1"/>
  <c r="O717" i="3"/>
  <c r="O718" i="3" a="1"/>
  <c r="O718" i="3"/>
  <c r="O719" i="3" a="1"/>
  <c r="O719" i="3"/>
  <c r="O720" i="3" a="1"/>
  <c r="O720" i="3"/>
  <c r="O721" i="3" a="1"/>
  <c r="O721" i="3"/>
  <c r="O722" i="3" a="1"/>
  <c r="O722" i="3"/>
  <c r="O723" i="3" a="1"/>
  <c r="O723" i="3"/>
  <c r="O724" i="3" a="1"/>
  <c r="O724" i="3"/>
  <c r="O725" i="3" a="1"/>
  <c r="O725" i="3"/>
  <c r="O726" i="3" a="1"/>
  <c r="O726" i="3"/>
  <c r="O727" i="3" a="1"/>
  <c r="O727" i="3"/>
  <c r="O728" i="3" a="1"/>
  <c r="O728" i="3"/>
  <c r="O729" i="3" a="1"/>
  <c r="O729" i="3"/>
  <c r="O730" i="3" a="1"/>
  <c r="O730" i="3"/>
  <c r="O731" i="3" a="1"/>
  <c r="O731" i="3"/>
  <c r="O732" i="3" a="1"/>
  <c r="O732" i="3"/>
  <c r="O733" i="3" a="1"/>
  <c r="O733" i="3"/>
  <c r="O734" i="3" a="1"/>
  <c r="O734" i="3"/>
  <c r="O735" i="3" a="1"/>
  <c r="O735" i="3"/>
  <c r="O736" i="3" a="1"/>
  <c r="O736" i="3"/>
  <c r="O737" i="3" a="1"/>
  <c r="O737" i="3"/>
  <c r="O738" i="3" a="1"/>
  <c r="O738" i="3"/>
  <c r="O739" i="3" a="1"/>
  <c r="O739" i="3"/>
  <c r="O740" i="3" a="1"/>
  <c r="O740" i="3"/>
  <c r="O741" i="3" a="1"/>
  <c r="O741" i="3"/>
  <c r="O742" i="3" a="1"/>
  <c r="O742" i="3"/>
  <c r="O743" i="3" a="1"/>
  <c r="O743" i="3"/>
  <c r="O744" i="3" a="1"/>
  <c r="O744" i="3"/>
  <c r="O745" i="3" a="1"/>
  <c r="O745" i="3"/>
  <c r="O746" i="3" a="1"/>
  <c r="O746" i="3"/>
  <c r="O747" i="3" a="1"/>
  <c r="O747" i="3"/>
  <c r="O748" i="3" a="1"/>
  <c r="O748" i="3"/>
  <c r="O749" i="3" a="1"/>
  <c r="O749" i="3"/>
  <c r="O750" i="3" a="1"/>
  <c r="O750" i="3" s="1"/>
  <c r="O751" i="3" a="1"/>
  <c r="O751" i="3"/>
  <c r="O752" i="3" a="1"/>
  <c r="O752" i="3"/>
  <c r="O753" i="3" a="1"/>
  <c r="O753" i="3"/>
  <c r="O754" i="3" a="1"/>
  <c r="O754" i="3"/>
  <c r="O755" i="3" a="1"/>
  <c r="O755" i="3"/>
  <c r="O756" i="3" a="1"/>
  <c r="O756" i="3" s="1"/>
  <c r="O757" i="3" a="1"/>
  <c r="O757" i="3"/>
  <c r="O758" i="3" a="1"/>
  <c r="O758" i="3"/>
  <c r="O759" i="3" a="1"/>
  <c r="O759" i="3"/>
  <c r="O760" i="3" a="1"/>
  <c r="O760" i="3"/>
  <c r="O761" i="3" a="1"/>
  <c r="O761" i="3"/>
  <c r="O762" i="3" a="1"/>
  <c r="O762" i="3" s="1"/>
  <c r="O763" i="3" a="1"/>
  <c r="O763" i="3"/>
  <c r="O764" i="3" a="1"/>
  <c r="O764" i="3"/>
  <c r="O765" i="3" a="1"/>
  <c r="O765" i="3"/>
  <c r="O766" i="3" a="1"/>
  <c r="O766" i="3"/>
  <c r="O767" i="3" a="1"/>
  <c r="O767" i="3"/>
  <c r="O768" i="3" a="1"/>
  <c r="O768" i="3" s="1"/>
  <c r="O769" i="3" a="1"/>
  <c r="O769" i="3"/>
  <c r="O770" i="3" a="1"/>
  <c r="O770" i="3"/>
  <c r="O771" i="3" a="1"/>
  <c r="O771" i="3"/>
  <c r="O772" i="3" a="1"/>
  <c r="O772" i="3"/>
  <c r="O773" i="3" a="1"/>
  <c r="O773" i="3"/>
  <c r="O774" i="3" a="1"/>
  <c r="O774" i="3" s="1"/>
  <c r="O775" i="3" a="1"/>
  <c r="O775" i="3"/>
  <c r="O776" i="3" a="1"/>
  <c r="O776" i="3"/>
  <c r="O777" i="3" a="1"/>
  <c r="O777" i="3"/>
  <c r="O778" i="3" a="1"/>
  <c r="O778" i="3"/>
  <c r="O779" i="3" a="1"/>
  <c r="O779" i="3"/>
  <c r="O780" i="3" a="1"/>
  <c r="O780" i="3" s="1"/>
  <c r="O781" i="3" a="1"/>
  <c r="O781" i="3"/>
  <c r="O782" i="3" a="1"/>
  <c r="O782" i="3"/>
  <c r="O783" i="3" a="1"/>
  <c r="O783" i="3"/>
  <c r="O784" i="3" a="1"/>
  <c r="O784" i="3"/>
  <c r="O785" i="3" a="1"/>
  <c r="O785" i="3"/>
  <c r="O786" i="3" a="1"/>
  <c r="O786" i="3" s="1"/>
  <c r="O787" i="3" a="1"/>
  <c r="O787" i="3"/>
  <c r="O788" i="3" a="1"/>
  <c r="O788" i="3"/>
  <c r="O789" i="3" a="1"/>
  <c r="O789" i="3"/>
  <c r="O790" i="3" a="1"/>
  <c r="O790" i="3"/>
  <c r="O791" i="3" a="1"/>
  <c r="O791" i="3"/>
  <c r="O792" i="3" a="1"/>
  <c r="O792" i="3" s="1"/>
  <c r="O793" i="3" a="1"/>
  <c r="O793" i="3"/>
  <c r="O794" i="3" a="1"/>
  <c r="O794" i="3"/>
  <c r="O795" i="3" a="1"/>
  <c r="O795" i="3"/>
  <c r="O796" i="3" a="1"/>
  <c r="O796" i="3"/>
  <c r="O797" i="3" a="1"/>
  <c r="O797" i="3"/>
  <c r="O798" i="3" a="1"/>
  <c r="O798" i="3" s="1"/>
  <c r="O799" i="3" a="1"/>
  <c r="O799" i="3"/>
  <c r="O800" i="3" a="1"/>
  <c r="O800" i="3"/>
  <c r="O801" i="3" a="1"/>
  <c r="O801" i="3"/>
  <c r="O802" i="3" a="1"/>
  <c r="O802" i="3"/>
  <c r="O803" i="3" a="1"/>
  <c r="O803" i="3"/>
  <c r="O804" i="3" a="1"/>
  <c r="O804" i="3" s="1"/>
  <c r="O805" i="3" a="1"/>
  <c r="O805" i="3"/>
  <c r="O806" i="3" a="1"/>
  <c r="O806" i="3"/>
  <c r="O807" i="3" a="1"/>
  <c r="O807" i="3"/>
  <c r="O808" i="3" a="1"/>
  <c r="O808" i="3"/>
  <c r="O809" i="3" a="1"/>
  <c r="O809" i="3"/>
  <c r="O810" i="3" a="1"/>
  <c r="O810" i="3" s="1"/>
  <c r="O811" i="3" a="1"/>
  <c r="O811" i="3"/>
  <c r="O812" i="3" a="1"/>
  <c r="O812" i="3"/>
  <c r="O813" i="3" a="1"/>
  <c r="O813" i="3"/>
  <c r="O814" i="3" a="1"/>
  <c r="O814" i="3"/>
  <c r="O815" i="3" a="1"/>
  <c r="O815" i="3"/>
  <c r="O816" i="3" a="1"/>
  <c r="O816" i="3" s="1"/>
  <c r="O817" i="3" a="1"/>
  <c r="O817" i="3"/>
  <c r="O818" i="3" a="1"/>
  <c r="O818" i="3" s="1"/>
  <c r="O819" i="3" a="1"/>
  <c r="O819" i="3"/>
  <c r="O820" i="3" a="1"/>
  <c r="O820" i="3"/>
  <c r="O821" i="3" a="1"/>
  <c r="O821" i="3"/>
  <c r="O822" i="3" a="1"/>
  <c r="O822" i="3" s="1"/>
  <c r="O823" i="3" a="1"/>
  <c r="O823" i="3"/>
  <c r="O824" i="3" a="1"/>
  <c r="O824" i="3" s="1"/>
  <c r="O825" i="3" a="1"/>
  <c r="O825" i="3"/>
  <c r="O826" i="3" a="1"/>
  <c r="O826" i="3" s="1"/>
  <c r="O827" i="3" a="1"/>
  <c r="O827" i="3"/>
  <c r="O828" i="3" a="1"/>
  <c r="O828" i="3" s="1"/>
  <c r="O829" i="3" a="1"/>
  <c r="O829" i="3"/>
  <c r="O830" i="3" a="1"/>
  <c r="O830" i="3" s="1"/>
  <c r="O831" i="3" a="1"/>
  <c r="O831" i="3"/>
  <c r="O832" i="3" a="1"/>
  <c r="O832" i="3" s="1"/>
  <c r="O833" i="3" a="1"/>
  <c r="O833" i="3"/>
  <c r="O834" i="3" a="1"/>
  <c r="O834" i="3" s="1"/>
  <c r="O835" i="3" a="1"/>
  <c r="O835" i="3"/>
  <c r="O836" i="3" a="1"/>
  <c r="O836" i="3" s="1"/>
  <c r="O837" i="3" a="1"/>
  <c r="O837" i="3"/>
  <c r="O838" i="3" a="1"/>
  <c r="O838" i="3" s="1"/>
  <c r="O839" i="3" a="1"/>
  <c r="O839" i="3"/>
  <c r="O840" i="3" a="1"/>
  <c r="O840" i="3" s="1"/>
  <c r="O841" i="3" a="1"/>
  <c r="O841" i="3"/>
  <c r="O842" i="3" a="1"/>
  <c r="O842" i="3" s="1"/>
  <c r="O843" i="3" a="1"/>
  <c r="O843" i="3"/>
  <c r="O844" i="3" a="1"/>
  <c r="O844" i="3" s="1"/>
  <c r="O845" i="3" a="1"/>
  <c r="O845" i="3"/>
  <c r="O846" i="3" a="1"/>
  <c r="O846" i="3" s="1"/>
  <c r="O847" i="3" a="1"/>
  <c r="O847" i="3"/>
  <c r="O848" i="3" a="1"/>
  <c r="O848" i="3" s="1"/>
  <c r="O849" i="3" a="1"/>
  <c r="O849" i="3"/>
  <c r="O850" i="3" a="1"/>
  <c r="O850" i="3" s="1"/>
  <c r="O851" i="3" a="1"/>
  <c r="O851" i="3" s="1"/>
  <c r="O852" i="3" a="1"/>
  <c r="O852" i="3" s="1"/>
  <c r="O853" i="3" a="1"/>
  <c r="O853" i="3"/>
  <c r="O854" i="3" a="1"/>
  <c r="O854" i="3" s="1"/>
  <c r="O855" i="3" a="1"/>
  <c r="O855" i="3" s="1"/>
  <c r="O856" i="3" a="1"/>
  <c r="O856" i="3" s="1"/>
  <c r="O857" i="3" a="1"/>
  <c r="O857" i="3" s="1"/>
  <c r="O858" i="3" a="1"/>
  <c r="O858" i="3" s="1"/>
  <c r="O859" i="3" a="1"/>
  <c r="O859" i="3"/>
  <c r="O860" i="3" a="1"/>
  <c r="O860" i="3" s="1"/>
  <c r="O861" i="3" a="1"/>
  <c r="O861" i="3" s="1"/>
  <c r="O862" i="3" a="1"/>
  <c r="O862" i="3" s="1"/>
  <c r="O863" i="3" a="1"/>
  <c r="O863" i="3" s="1"/>
  <c r="O864" i="3" a="1"/>
  <c r="O864" i="3" s="1"/>
  <c r="O865" i="3" a="1"/>
  <c r="O865" i="3"/>
  <c r="O866" i="3" a="1"/>
  <c r="O866" i="3" s="1"/>
  <c r="O867" i="3" a="1"/>
  <c r="O867" i="3" s="1"/>
  <c r="O868" i="3" a="1"/>
  <c r="O868" i="3" s="1"/>
  <c r="O869" i="3" a="1"/>
  <c r="O869" i="3" s="1"/>
  <c r="O870" i="3" a="1"/>
  <c r="O870" i="3" s="1"/>
  <c r="O871" i="3" a="1"/>
  <c r="O871" i="3"/>
  <c r="O872" i="3" a="1"/>
  <c r="O872" i="3" s="1"/>
  <c r="O873" i="3" a="1"/>
  <c r="O873" i="3" s="1"/>
  <c r="O874" i="3" a="1"/>
  <c r="O874" i="3" s="1"/>
  <c r="O875" i="3" a="1"/>
  <c r="O875" i="3" s="1"/>
  <c r="O876" i="3" a="1"/>
  <c r="O876" i="3" s="1"/>
  <c r="O877" i="3" a="1"/>
  <c r="O877" i="3"/>
  <c r="O878" i="3" a="1"/>
  <c r="O878" i="3" s="1"/>
  <c r="O879" i="3" a="1"/>
  <c r="O879" i="3" s="1"/>
  <c r="O880" i="3" a="1"/>
  <c r="O880" i="3" s="1"/>
  <c r="O881" i="3" a="1"/>
  <c r="O881" i="3" s="1"/>
  <c r="O882" i="3" a="1"/>
  <c r="O882" i="3" s="1"/>
  <c r="O883" i="3" a="1"/>
  <c r="O883" i="3" s="1"/>
  <c r="O884" i="3" a="1"/>
  <c r="O884" i="3" s="1"/>
  <c r="O885" i="3" a="1"/>
  <c r="O885" i="3" s="1"/>
  <c r="O886" i="3" a="1"/>
  <c r="O886" i="3" s="1"/>
  <c r="O887" i="3" a="1"/>
  <c r="O887" i="3" s="1"/>
  <c r="O888" i="3" a="1"/>
  <c r="O888" i="3" s="1"/>
  <c r="O889" i="3" a="1"/>
  <c r="O889" i="3" s="1"/>
  <c r="O890" i="3" a="1"/>
  <c r="O890" i="3" s="1"/>
  <c r="O891" i="3" a="1"/>
  <c r="O891" i="3" s="1"/>
  <c r="O892" i="3" a="1"/>
  <c r="O892" i="3" s="1"/>
  <c r="O893" i="3" a="1"/>
  <c r="O893" i="3" s="1"/>
  <c r="O894" i="3" a="1"/>
  <c r="O894" i="3" s="1"/>
  <c r="O895" i="3" a="1"/>
  <c r="O895" i="3" s="1"/>
  <c r="O896" i="3" a="1"/>
  <c r="O896" i="3" s="1"/>
  <c r="O897" i="3" a="1"/>
  <c r="O897" i="3" s="1"/>
  <c r="O898" i="3" a="1"/>
  <c r="O898" i="3" s="1"/>
  <c r="O899" i="3" a="1"/>
  <c r="O899" i="3" s="1"/>
  <c r="O900" i="3" a="1"/>
  <c r="O900" i="3" s="1"/>
  <c r="O901" i="3" a="1"/>
  <c r="O901" i="3" s="1"/>
  <c r="O902" i="3" a="1"/>
  <c r="O902" i="3" s="1"/>
  <c r="O903" i="3" a="1"/>
  <c r="O903" i="3" s="1"/>
  <c r="O904" i="3" a="1"/>
  <c r="O904" i="3" s="1"/>
  <c r="O905" i="3" a="1"/>
  <c r="O905" i="3" s="1"/>
  <c r="O906" i="3" a="1"/>
  <c r="O906" i="3" s="1"/>
  <c r="O907" i="3" a="1"/>
  <c r="O907" i="3" s="1"/>
  <c r="O908" i="3" a="1"/>
  <c r="O908" i="3" s="1"/>
  <c r="O909" i="3" a="1"/>
  <c r="O909" i="3" s="1"/>
  <c r="O910" i="3" a="1"/>
  <c r="O910" i="3" s="1"/>
  <c r="O2" i="3" a="1"/>
  <c r="O2" i="3" s="1"/>
  <c r="K8" i="5" l="1"/>
  <c r="K44" i="5"/>
  <c r="K92" i="5"/>
  <c r="K139" i="5"/>
  <c r="K176" i="5"/>
  <c r="K511" i="5"/>
  <c r="K583" i="5"/>
  <c r="K860" i="5"/>
  <c r="K140" i="5"/>
  <c r="K243" i="5"/>
  <c r="K283" i="5"/>
  <c r="K379" i="5"/>
  <c r="K522" i="5"/>
  <c r="K584" i="5"/>
  <c r="K739" i="5"/>
  <c r="K871" i="5"/>
  <c r="M905" i="5"/>
  <c r="M893" i="5"/>
  <c r="M881" i="5"/>
  <c r="M857" i="5"/>
  <c r="M833" i="5"/>
  <c r="M821" i="5"/>
  <c r="M809" i="5"/>
  <c r="M797" i="5"/>
  <c r="M785" i="5"/>
  <c r="M761" i="5"/>
  <c r="M749" i="5"/>
  <c r="M737" i="5"/>
  <c r="M701" i="5"/>
  <c r="M689" i="5"/>
  <c r="M653" i="5"/>
  <c r="M629" i="5"/>
  <c r="M605" i="5"/>
  <c r="M593" i="5"/>
  <c r="M581" i="5"/>
  <c r="M557" i="5"/>
  <c r="M545" i="5"/>
  <c r="M521" i="5"/>
  <c r="M509" i="5"/>
  <c r="M497" i="5"/>
  <c r="M473" i="5"/>
  <c r="M461" i="5"/>
  <c r="M437" i="5"/>
  <c r="M425" i="5"/>
  <c r="M389" i="5"/>
  <c r="M377" i="5"/>
  <c r="M365" i="5"/>
  <c r="M353" i="5"/>
  <c r="M341" i="5"/>
  <c r="M329" i="5"/>
  <c r="M317" i="5"/>
  <c r="M305" i="5"/>
  <c r="M293" i="5"/>
  <c r="M281" i="5"/>
  <c r="M269" i="5"/>
  <c r="M257" i="5"/>
  <c r="M245" i="5"/>
  <c r="M233" i="5"/>
  <c r="M209" i="5"/>
  <c r="M197" i="5"/>
  <c r="M185" i="5"/>
  <c r="M161" i="5"/>
  <c r="M137" i="5"/>
  <c r="M125" i="5"/>
  <c r="M101" i="5"/>
  <c r="M77" i="5"/>
  <c r="M65" i="5"/>
  <c r="M53" i="5"/>
  <c r="M41" i="5"/>
  <c r="M17" i="5"/>
  <c r="M5" i="5"/>
  <c r="M99" i="5"/>
  <c r="M87" i="5"/>
  <c r="M75" i="5"/>
  <c r="M63" i="5"/>
  <c r="M39" i="5"/>
  <c r="M27" i="5"/>
  <c r="M15" i="5"/>
  <c r="M3" i="5"/>
  <c r="K228" i="5"/>
  <c r="K909" i="5"/>
  <c r="K873" i="5"/>
  <c r="K801" i="5"/>
  <c r="K405" i="5"/>
  <c r="M326" i="5"/>
  <c r="K427" i="5"/>
  <c r="M904" i="5"/>
  <c r="M844" i="5"/>
  <c r="M784" i="5"/>
  <c r="M736" i="5"/>
  <c r="M676" i="5"/>
  <c r="M460" i="5"/>
  <c r="M292" i="5"/>
  <c r="M232" i="5"/>
  <c r="M172" i="5"/>
  <c r="M112" i="5"/>
  <c r="M4" i="5"/>
  <c r="M855" i="5"/>
  <c r="M795" i="5"/>
  <c r="M675" i="5"/>
  <c r="M567" i="5"/>
  <c r="M519" i="5"/>
  <c r="M459" i="5"/>
  <c r="M423" i="5"/>
  <c r="M363" i="5"/>
  <c r="M315" i="5"/>
  <c r="M255" i="5"/>
  <c r="M147" i="5"/>
  <c r="K103" i="5"/>
  <c r="K247" i="5"/>
  <c r="M866" i="5"/>
  <c r="M734" i="5"/>
  <c r="M614" i="5"/>
  <c r="M506" i="5"/>
  <c r="M410" i="5"/>
  <c r="M362" i="5"/>
  <c r="M290" i="5"/>
  <c r="M242" i="5"/>
  <c r="M194" i="5"/>
  <c r="M146" i="5"/>
  <c r="M86" i="5"/>
  <c r="M38" i="5"/>
  <c r="K19" i="5"/>
  <c r="K66" i="5"/>
  <c r="K115" i="5"/>
  <c r="K151" i="5"/>
  <c r="K403" i="5"/>
  <c r="K547" i="5"/>
  <c r="K596" i="5"/>
  <c r="K797" i="5"/>
  <c r="K895" i="5"/>
  <c r="K368" i="5"/>
  <c r="M892" i="5"/>
  <c r="M832" i="5"/>
  <c r="M772" i="5"/>
  <c r="M712" i="5"/>
  <c r="M652" i="5"/>
  <c r="M592" i="5"/>
  <c r="M532" i="5"/>
  <c r="M436" i="5"/>
  <c r="M340" i="5"/>
  <c r="M52" i="5"/>
  <c r="K246" i="5"/>
  <c r="K656" i="5"/>
  <c r="M879" i="5"/>
  <c r="M819" i="5"/>
  <c r="M747" i="5"/>
  <c r="M483" i="5"/>
  <c r="M375" i="5"/>
  <c r="M291" i="5"/>
  <c r="M231" i="5"/>
  <c r="M171" i="5"/>
  <c r="K18" i="5"/>
  <c r="K391" i="5"/>
  <c r="K787" i="5"/>
  <c r="M854" i="5"/>
  <c r="M782" i="5"/>
  <c r="M554" i="5"/>
  <c r="K31" i="5"/>
  <c r="K67" i="5"/>
  <c r="K116" i="5"/>
  <c r="K152" i="5"/>
  <c r="K259" i="5"/>
  <c r="K330" i="5"/>
  <c r="K404" i="5"/>
  <c r="K800" i="5"/>
  <c r="K896" i="5"/>
  <c r="K55" i="5"/>
  <c r="K523" i="5"/>
  <c r="K884" i="5"/>
  <c r="M796" i="5"/>
  <c r="M544" i="5"/>
  <c r="M484" i="5"/>
  <c r="M412" i="5"/>
  <c r="M364" i="5"/>
  <c r="M304" i="5"/>
  <c r="M244" i="5"/>
  <c r="M184" i="5"/>
  <c r="M136" i="5"/>
  <c r="M76" i="5"/>
  <c r="M28" i="5"/>
  <c r="K56" i="5"/>
  <c r="K438" i="5"/>
  <c r="K775" i="5"/>
  <c r="M867" i="5"/>
  <c r="M807" i="5"/>
  <c r="M759" i="5"/>
  <c r="M699" i="5"/>
  <c r="M627" i="5"/>
  <c r="M507" i="5"/>
  <c r="M447" i="5"/>
  <c r="M399" i="5"/>
  <c r="M339" i="5"/>
  <c r="M267" i="5"/>
  <c r="M135" i="5"/>
  <c r="K199" i="5"/>
  <c r="M890" i="5"/>
  <c r="M818" i="5"/>
  <c r="M758" i="5"/>
  <c r="M626" i="5"/>
  <c r="M578" i="5"/>
  <c r="M518" i="5"/>
  <c r="M398" i="5"/>
  <c r="M350" i="5"/>
  <c r="M278" i="5"/>
  <c r="M230" i="5"/>
  <c r="M182" i="5"/>
  <c r="M110" i="5"/>
  <c r="M50" i="5"/>
  <c r="K32" i="5"/>
  <c r="K68" i="5"/>
  <c r="K124" i="5"/>
  <c r="K210" i="5"/>
  <c r="K271" i="5"/>
  <c r="K340" i="5"/>
  <c r="K412" i="5"/>
  <c r="K558" i="5"/>
  <c r="K690" i="5"/>
  <c r="K823" i="5"/>
  <c r="K728" i="5"/>
  <c r="M868" i="5"/>
  <c r="M808" i="5"/>
  <c r="M748" i="5"/>
  <c r="M568" i="5"/>
  <c r="M472" i="5"/>
  <c r="M280" i="5"/>
  <c r="M100" i="5"/>
  <c r="K505" i="5"/>
  <c r="K187" i="5"/>
  <c r="K532" i="5"/>
  <c r="M903" i="5"/>
  <c r="M843" i="5"/>
  <c r="M783" i="5"/>
  <c r="M711" i="5"/>
  <c r="M651" i="5"/>
  <c r="M603" i="5"/>
  <c r="M543" i="5"/>
  <c r="M495" i="5"/>
  <c r="M387" i="5"/>
  <c r="M327" i="5"/>
  <c r="M219" i="5"/>
  <c r="M207" i="5"/>
  <c r="M195" i="5"/>
  <c r="M183" i="5"/>
  <c r="M123" i="5"/>
  <c r="K150" i="5"/>
  <c r="K439" i="5"/>
  <c r="M902" i="5"/>
  <c r="M830" i="5"/>
  <c r="M770" i="5"/>
  <c r="M638" i="5"/>
  <c r="M590" i="5"/>
  <c r="M530" i="5"/>
  <c r="M482" i="5"/>
  <c r="M422" i="5"/>
  <c r="M206" i="5"/>
  <c r="M62" i="5"/>
  <c r="M14" i="5"/>
  <c r="K163" i="5"/>
  <c r="K211" i="5"/>
  <c r="K272" i="5"/>
  <c r="K343" i="5"/>
  <c r="K559" i="5"/>
  <c r="K618" i="5"/>
  <c r="K703" i="5"/>
  <c r="K847" i="5"/>
  <c r="M880" i="5"/>
  <c r="M820" i="5"/>
  <c r="M760" i="5"/>
  <c r="M448" i="5"/>
  <c r="M388" i="5"/>
  <c r="M316" i="5"/>
  <c r="M256" i="5"/>
  <c r="M208" i="5"/>
  <c r="M88" i="5"/>
  <c r="M16" i="5"/>
  <c r="M891" i="5"/>
  <c r="M831" i="5"/>
  <c r="M771" i="5"/>
  <c r="M687" i="5"/>
  <c r="M579" i="5"/>
  <c r="M531" i="5"/>
  <c r="M411" i="5"/>
  <c r="M351" i="5"/>
  <c r="M303" i="5"/>
  <c r="M159" i="5"/>
  <c r="K592" i="5"/>
  <c r="M878" i="5"/>
  <c r="M842" i="5"/>
  <c r="M794" i="5"/>
  <c r="M698" i="5"/>
  <c r="M662" i="5"/>
  <c r="M542" i="5"/>
  <c r="M494" i="5"/>
  <c r="M386" i="5"/>
  <c r="M338" i="5"/>
  <c r="M218" i="5"/>
  <c r="M158" i="5"/>
  <c r="M122" i="5"/>
  <c r="M74" i="5"/>
  <c r="M26" i="5"/>
  <c r="K79" i="5"/>
  <c r="K126" i="5"/>
  <c r="K212" i="5"/>
  <c r="K355" i="5"/>
  <c r="K414" i="5"/>
  <c r="K474" i="5"/>
  <c r="K568" i="5"/>
  <c r="K620" i="5"/>
  <c r="K712" i="5"/>
  <c r="K848" i="5"/>
  <c r="K663" i="5"/>
  <c r="K6" i="5"/>
  <c r="K88" i="5"/>
  <c r="K114" i="5"/>
  <c r="K172" i="5"/>
  <c r="K233" i="5"/>
  <c r="K316" i="5"/>
  <c r="K364" i="5"/>
  <c r="K435" i="5"/>
  <c r="K472" i="5"/>
  <c r="K520" i="5"/>
  <c r="K615" i="5"/>
  <c r="K688" i="5"/>
  <c r="K786" i="5"/>
  <c r="K882" i="5"/>
  <c r="M908" i="5"/>
  <c r="K908" i="5"/>
  <c r="M872" i="5"/>
  <c r="K872" i="5"/>
  <c r="K824" i="5"/>
  <c r="M824" i="5"/>
  <c r="K812" i="5"/>
  <c r="M812" i="5"/>
  <c r="M788" i="5"/>
  <c r="K788" i="5"/>
  <c r="K776" i="5"/>
  <c r="M776" i="5"/>
  <c r="K764" i="5"/>
  <c r="M764" i="5"/>
  <c r="M752" i="5"/>
  <c r="K752" i="5"/>
  <c r="M740" i="5"/>
  <c r="K740" i="5"/>
  <c r="K704" i="5"/>
  <c r="M704" i="5"/>
  <c r="K692" i="5"/>
  <c r="M692" i="5"/>
  <c r="K680" i="5"/>
  <c r="M680" i="5"/>
  <c r="K668" i="5"/>
  <c r="M668" i="5"/>
  <c r="K512" i="5"/>
  <c r="M512" i="5"/>
  <c r="K500" i="5"/>
  <c r="M500" i="5"/>
  <c r="K476" i="5"/>
  <c r="M476" i="5"/>
  <c r="K464" i="5"/>
  <c r="M464" i="5"/>
  <c r="M428" i="5"/>
  <c r="K428" i="5"/>
  <c r="K344" i="5"/>
  <c r="M344" i="5"/>
  <c r="K320" i="5"/>
  <c r="M320" i="5"/>
  <c r="K308" i="5"/>
  <c r="M308" i="5"/>
  <c r="K296" i="5"/>
  <c r="M296" i="5"/>
  <c r="K248" i="5"/>
  <c r="M248" i="5"/>
  <c r="K224" i="5"/>
  <c r="M224" i="5"/>
  <c r="K234" i="5"/>
  <c r="K318" i="5"/>
  <c r="K436" i="5"/>
  <c r="K473" i="5"/>
  <c r="K521" i="5"/>
  <c r="K555" i="5"/>
  <c r="K616" i="5"/>
  <c r="K652" i="5"/>
  <c r="K689" i="5"/>
  <c r="K735" i="5"/>
  <c r="K906" i="5"/>
  <c r="M906" i="5"/>
  <c r="K894" i="5"/>
  <c r="M894" i="5"/>
  <c r="M846" i="5"/>
  <c r="K846" i="5"/>
  <c r="K810" i="5"/>
  <c r="M810" i="5"/>
  <c r="M666" i="5"/>
  <c r="K666" i="5"/>
  <c r="M606" i="5"/>
  <c r="K606" i="5"/>
  <c r="M462" i="5"/>
  <c r="K462" i="5"/>
  <c r="M450" i="5"/>
  <c r="K450" i="5"/>
  <c r="M378" i="5"/>
  <c r="K378" i="5"/>
  <c r="M366" i="5"/>
  <c r="K366" i="5"/>
  <c r="M342" i="5"/>
  <c r="K342" i="5"/>
  <c r="M294" i="5"/>
  <c r="K294" i="5"/>
  <c r="M138" i="5"/>
  <c r="K138" i="5"/>
  <c r="K891" i="5"/>
  <c r="K879" i="5"/>
  <c r="K855" i="5"/>
  <c r="K843" i="5"/>
  <c r="K831" i="5"/>
  <c r="K819" i="5"/>
  <c r="K807" i="5"/>
  <c r="K795" i="5"/>
  <c r="K783" i="5"/>
  <c r="K771" i="5"/>
  <c r="K759" i="5"/>
  <c r="K747" i="5"/>
  <c r="K711" i="5"/>
  <c r="K699" i="5"/>
  <c r="K687" i="5"/>
  <c r="K675" i="5"/>
  <c r="K651" i="5"/>
  <c r="K627" i="5"/>
  <c r="K603" i="5"/>
  <c r="K579" i="5"/>
  <c r="K567" i="5"/>
  <c r="K543" i="5"/>
  <c r="K531" i="5"/>
  <c r="K519" i="5"/>
  <c r="K507" i="5"/>
  <c r="K495" i="5"/>
  <c r="K483" i="5"/>
  <c r="K459" i="5"/>
  <c r="K447" i="5"/>
  <c r="K423" i="5"/>
  <c r="K411" i="5"/>
  <c r="K399" i="5"/>
  <c r="K387" i="5"/>
  <c r="K375" i="5"/>
  <c r="K363" i="5"/>
  <c r="K351" i="5"/>
  <c r="K339" i="5"/>
  <c r="K327" i="5"/>
  <c r="K315" i="5"/>
  <c r="K303" i="5"/>
  <c r="K291" i="5"/>
  <c r="K267" i="5"/>
  <c r="K255" i="5"/>
  <c r="K231" i="5"/>
  <c r="K219" i="5"/>
  <c r="K207" i="5"/>
  <c r="K195" i="5"/>
  <c r="K183" i="5"/>
  <c r="K171" i="5"/>
  <c r="K159" i="5"/>
  <c r="K147" i="5"/>
  <c r="K135" i="5"/>
  <c r="K123" i="5"/>
  <c r="K99" i="5"/>
  <c r="K87" i="5"/>
  <c r="K75" i="5"/>
  <c r="K63" i="5"/>
  <c r="K39" i="5"/>
  <c r="K27" i="5"/>
  <c r="K15" i="5"/>
  <c r="K3" i="5"/>
  <c r="K702" i="5"/>
  <c r="K798" i="5"/>
  <c r="K858" i="5"/>
  <c r="K892" i="5"/>
  <c r="M713" i="5"/>
  <c r="K713" i="5"/>
  <c r="M677" i="5"/>
  <c r="K677" i="5"/>
  <c r="M617" i="5"/>
  <c r="K617" i="5"/>
  <c r="M569" i="5"/>
  <c r="K569" i="5"/>
  <c r="M485" i="5"/>
  <c r="K485" i="5"/>
  <c r="M113" i="5"/>
  <c r="K113" i="5"/>
  <c r="M89" i="5"/>
  <c r="K89" i="5"/>
  <c r="K338" i="5"/>
  <c r="M856" i="5"/>
  <c r="K856" i="5"/>
  <c r="M640" i="5"/>
  <c r="K640" i="5"/>
  <c r="M556" i="5"/>
  <c r="K556" i="5"/>
  <c r="M424" i="5"/>
  <c r="K424" i="5"/>
  <c r="M400" i="5"/>
  <c r="K400" i="5"/>
  <c r="M328" i="5"/>
  <c r="K328" i="5"/>
  <c r="M268" i="5"/>
  <c r="K268" i="5"/>
  <c r="M196" i="5"/>
  <c r="K196" i="5"/>
  <c r="M64" i="5"/>
  <c r="K64" i="5"/>
  <c r="M40" i="5"/>
  <c r="K40" i="5"/>
  <c r="K822" i="5"/>
  <c r="M723" i="5"/>
  <c r="K723" i="5"/>
  <c r="M591" i="5"/>
  <c r="K591" i="5"/>
  <c r="K449" i="5"/>
  <c r="K686" i="5"/>
  <c r="M686" i="5"/>
  <c r="K534" i="5"/>
  <c r="K806" i="5"/>
  <c r="M806" i="5"/>
  <c r="K458" i="5"/>
  <c r="M458" i="5"/>
  <c r="K76" i="5"/>
  <c r="K102" i="5"/>
  <c r="K128" i="5"/>
  <c r="K160" i="5"/>
  <c r="K185" i="5"/>
  <c r="K221" i="5"/>
  <c r="K258" i="5"/>
  <c r="K293" i="5"/>
  <c r="K352" i="5"/>
  <c r="K388" i="5"/>
  <c r="K452" i="5"/>
  <c r="K498" i="5"/>
  <c r="K536" i="5"/>
  <c r="K572" i="5"/>
  <c r="K632" i="5"/>
  <c r="K664" i="5"/>
  <c r="K832" i="5"/>
  <c r="K869" i="5"/>
  <c r="K904" i="5"/>
  <c r="K486" i="5"/>
  <c r="K868" i="5"/>
  <c r="K722" i="5"/>
  <c r="M722" i="5"/>
  <c r="K446" i="5"/>
  <c r="M446" i="5"/>
  <c r="K20" i="5"/>
  <c r="K51" i="5"/>
  <c r="K77" i="5"/>
  <c r="K161" i="5"/>
  <c r="K186" i="5"/>
  <c r="K222" i="5"/>
  <c r="K302" i="5"/>
  <c r="K353" i="5"/>
  <c r="K390" i="5"/>
  <c r="K508" i="5"/>
  <c r="K544" i="5"/>
  <c r="K639" i="5"/>
  <c r="K716" i="5"/>
  <c r="K762" i="5"/>
  <c r="K833" i="5"/>
  <c r="K870" i="5"/>
  <c r="K749" i="5"/>
  <c r="K630" i="5"/>
  <c r="K710" i="5"/>
  <c r="M710" i="5"/>
  <c r="K314" i="5"/>
  <c r="M314" i="5"/>
  <c r="K28" i="5"/>
  <c r="K52" i="5"/>
  <c r="K78" i="5"/>
  <c r="K104" i="5"/>
  <c r="K136" i="5"/>
  <c r="K162" i="5"/>
  <c r="K269" i="5"/>
  <c r="K304" i="5"/>
  <c r="K354" i="5"/>
  <c r="K425" i="5"/>
  <c r="K509" i="5"/>
  <c r="K546" i="5"/>
  <c r="K580" i="5"/>
  <c r="K641" i="5"/>
  <c r="K724" i="5"/>
  <c r="K773" i="5"/>
  <c r="K834" i="5"/>
  <c r="M2" i="5"/>
  <c r="K570" i="5"/>
  <c r="K496" i="5"/>
  <c r="K714" i="5"/>
  <c r="K674" i="5"/>
  <c r="M674" i="5"/>
  <c r="K460" i="5"/>
  <c r="K4" i="5"/>
  <c r="K29" i="5"/>
  <c r="K53" i="5"/>
  <c r="K111" i="5"/>
  <c r="K137" i="5"/>
  <c r="K198" i="5"/>
  <c r="K270" i="5"/>
  <c r="K306" i="5"/>
  <c r="K392" i="5"/>
  <c r="K426" i="5"/>
  <c r="K510" i="5"/>
  <c r="K581" i="5"/>
  <c r="K604" i="5"/>
  <c r="K642" i="5"/>
  <c r="K676" i="5"/>
  <c r="K725" i="5"/>
  <c r="K774" i="5"/>
  <c r="K836" i="5"/>
  <c r="K594" i="5"/>
  <c r="K750" i="5"/>
  <c r="K602" i="5"/>
  <c r="M602" i="5"/>
  <c r="K470" i="5"/>
  <c r="M470" i="5"/>
  <c r="K5" i="5"/>
  <c r="K30" i="5"/>
  <c r="K54" i="5"/>
  <c r="K80" i="5"/>
  <c r="K112" i="5"/>
  <c r="K164" i="5"/>
  <c r="K232" i="5"/>
  <c r="K356" i="5"/>
  <c r="K402" i="5"/>
  <c r="K471" i="5"/>
  <c r="K548" i="5"/>
  <c r="K582" i="5"/>
  <c r="K608" i="5"/>
  <c r="K644" i="5"/>
  <c r="K678" i="5"/>
  <c r="K726" i="5"/>
  <c r="K845" i="5"/>
  <c r="K880" i="5"/>
  <c r="K907" i="5"/>
  <c r="M907" i="5"/>
  <c r="K811" i="5"/>
  <c r="M811" i="5"/>
  <c r="K751" i="5"/>
  <c r="M751" i="5"/>
  <c r="K679" i="5"/>
  <c r="M679" i="5"/>
  <c r="K667" i="5"/>
  <c r="M667" i="5"/>
  <c r="K655" i="5"/>
  <c r="M655" i="5"/>
  <c r="K643" i="5"/>
  <c r="M643" i="5"/>
  <c r="K631" i="5"/>
  <c r="M631" i="5"/>
  <c r="K619" i="5"/>
  <c r="M619" i="5"/>
  <c r="K607" i="5"/>
  <c r="M607" i="5"/>
  <c r="K595" i="5"/>
  <c r="M595" i="5"/>
  <c r="K487" i="5"/>
  <c r="M487" i="5"/>
  <c r="K475" i="5"/>
  <c r="M475" i="5"/>
  <c r="K463" i="5"/>
  <c r="M463" i="5"/>
  <c r="K451" i="5"/>
  <c r="M451" i="5"/>
  <c r="K331" i="5"/>
  <c r="M331" i="5"/>
  <c r="K319" i="5"/>
  <c r="M319" i="5"/>
  <c r="K307" i="5"/>
  <c r="M307" i="5"/>
  <c r="K295" i="5"/>
  <c r="M295" i="5"/>
  <c r="K235" i="5"/>
  <c r="M235" i="5"/>
  <c r="K223" i="5"/>
  <c r="M223" i="5"/>
  <c r="K287" i="5"/>
  <c r="M901" i="5"/>
  <c r="M889" i="5"/>
  <c r="M877" i="5"/>
  <c r="M865" i="5"/>
  <c r="K853" i="5"/>
  <c r="M853" i="5"/>
  <c r="M841" i="5"/>
  <c r="M829" i="5"/>
  <c r="M817" i="5"/>
  <c r="M805" i="5"/>
  <c r="M793" i="5"/>
  <c r="M781" i="5"/>
  <c r="M769" i="5"/>
  <c r="M757" i="5"/>
  <c r="M745" i="5"/>
  <c r="M733" i="5"/>
  <c r="K721" i="5"/>
  <c r="M721" i="5"/>
  <c r="M709" i="5"/>
  <c r="M697" i="5"/>
  <c r="K685" i="5"/>
  <c r="M685" i="5"/>
  <c r="M673" i="5"/>
  <c r="K661" i="5"/>
  <c r="M661" i="5"/>
  <c r="M649" i="5"/>
  <c r="M637" i="5"/>
  <c r="M625" i="5"/>
  <c r="M613" i="5"/>
  <c r="K601" i="5"/>
  <c r="M601" i="5"/>
  <c r="K589" i="5"/>
  <c r="M589" i="5"/>
  <c r="K577" i="5"/>
  <c r="M577" i="5"/>
  <c r="M565" i="5"/>
  <c r="M553" i="5"/>
  <c r="M541" i="5"/>
  <c r="M529" i="5"/>
  <c r="M517" i="5"/>
  <c r="M505" i="5"/>
  <c r="M493" i="5"/>
  <c r="M481" i="5"/>
  <c r="M469" i="5"/>
  <c r="K457" i="5"/>
  <c r="M457" i="5"/>
  <c r="M445" i="5"/>
  <c r="M433" i="5"/>
  <c r="M421" i="5"/>
  <c r="K409" i="5"/>
  <c r="M409" i="5"/>
  <c r="K397" i="5"/>
  <c r="M397" i="5"/>
  <c r="M385" i="5"/>
  <c r="M373" i="5"/>
  <c r="M361" i="5"/>
  <c r="M349" i="5"/>
  <c r="M337" i="5"/>
  <c r="M325" i="5"/>
  <c r="M313" i="5"/>
  <c r="M301" i="5"/>
  <c r="M289" i="5"/>
  <c r="M277" i="5"/>
  <c r="M265" i="5"/>
  <c r="M253" i="5"/>
  <c r="M241" i="5"/>
  <c r="M229" i="5"/>
  <c r="M217" i="5"/>
  <c r="M205" i="5"/>
  <c r="M193" i="5"/>
  <c r="M181" i="5"/>
  <c r="M169" i="5"/>
  <c r="M157" i="5"/>
  <c r="M145" i="5"/>
  <c r="M133" i="5"/>
  <c r="K121" i="5"/>
  <c r="M121" i="5"/>
  <c r="M109" i="5"/>
  <c r="M97" i="5"/>
  <c r="M85" i="5"/>
  <c r="K73" i="5"/>
  <c r="M73" i="5"/>
  <c r="M61" i="5"/>
  <c r="M49" i="5"/>
  <c r="M37" i="5"/>
  <c r="M25" i="5"/>
  <c r="M13" i="5"/>
  <c r="K658" i="5"/>
  <c r="M900" i="5"/>
  <c r="M888" i="5"/>
  <c r="M876" i="5"/>
  <c r="M864" i="5"/>
  <c r="M852" i="5"/>
  <c r="M840" i="5"/>
  <c r="M828" i="5"/>
  <c r="M816" i="5"/>
  <c r="M804" i="5"/>
  <c r="M792" i="5"/>
  <c r="M780" i="5"/>
  <c r="M768" i="5"/>
  <c r="M756" i="5"/>
  <c r="M744" i="5"/>
  <c r="M732" i="5"/>
  <c r="K720" i="5"/>
  <c r="M720" i="5"/>
  <c r="K708" i="5"/>
  <c r="M708" i="5"/>
  <c r="M696" i="5"/>
  <c r="K684" i="5"/>
  <c r="M684" i="5"/>
  <c r="M660" i="5"/>
  <c r="K648" i="5"/>
  <c r="M648" i="5"/>
  <c r="K636" i="5"/>
  <c r="M636" i="5"/>
  <c r="M624" i="5"/>
  <c r="M612" i="5"/>
  <c r="K600" i="5"/>
  <c r="M600" i="5"/>
  <c r="M588" i="5"/>
  <c r="M576" i="5"/>
  <c r="K564" i="5"/>
  <c r="M564" i="5"/>
  <c r="M552" i="5"/>
  <c r="M540" i="5"/>
  <c r="K528" i="5"/>
  <c r="M528" i="5"/>
  <c r="M516" i="5"/>
  <c r="M504" i="5"/>
  <c r="M492" i="5"/>
  <c r="M480" i="5"/>
  <c r="M456" i="5"/>
  <c r="M444" i="5"/>
  <c r="M432" i="5"/>
  <c r="M420" i="5"/>
  <c r="M408" i="5"/>
  <c r="M396" i="5"/>
  <c r="M384" i="5"/>
  <c r="M372" i="5"/>
  <c r="M360" i="5"/>
  <c r="M348" i="5"/>
  <c r="M336" i="5"/>
  <c r="M324" i="5"/>
  <c r="K312" i="5"/>
  <c r="M312" i="5"/>
  <c r="M300" i="5"/>
  <c r="M288" i="5"/>
  <c r="K276" i="5"/>
  <c r="M276" i="5"/>
  <c r="K264" i="5"/>
  <c r="M264" i="5"/>
  <c r="M252" i="5"/>
  <c r="M240" i="5"/>
  <c r="M228" i="5"/>
  <c r="M216" i="5"/>
  <c r="M204" i="5"/>
  <c r="M192" i="5"/>
  <c r="K180" i="5"/>
  <c r="M180" i="5"/>
  <c r="M168" i="5"/>
  <c r="M156" i="5"/>
  <c r="M144" i="5"/>
  <c r="M132" i="5"/>
  <c r="M120" i="5"/>
  <c r="M108" i="5"/>
  <c r="M96" i="5"/>
  <c r="M84" i="5"/>
  <c r="M72" i="5"/>
  <c r="M60" i="5"/>
  <c r="M48" i="5"/>
  <c r="M36" i="5"/>
  <c r="M24" i="5"/>
  <c r="K12" i="5"/>
  <c r="M12" i="5"/>
  <c r="M899" i="5"/>
  <c r="M875" i="5"/>
  <c r="M863" i="5"/>
  <c r="M851" i="5"/>
  <c r="M839" i="5"/>
  <c r="M827" i="5"/>
  <c r="K815" i="5"/>
  <c r="M815" i="5"/>
  <c r="M803" i="5"/>
  <c r="M791" i="5"/>
  <c r="M779" i="5"/>
  <c r="M767" i="5"/>
  <c r="M755" i="5"/>
  <c r="K743" i="5"/>
  <c r="M743" i="5"/>
  <c r="M731" i="5"/>
  <c r="M719" i="5"/>
  <c r="K707" i="5"/>
  <c r="M707" i="5"/>
  <c r="K695" i="5"/>
  <c r="M695" i="5"/>
  <c r="M683" i="5"/>
  <c r="M659" i="5"/>
  <c r="K647" i="5"/>
  <c r="M647" i="5"/>
  <c r="K635" i="5"/>
  <c r="M635" i="5"/>
  <c r="K623" i="5"/>
  <c r="M623" i="5"/>
  <c r="M611" i="5"/>
  <c r="M599" i="5"/>
  <c r="M587" i="5"/>
  <c r="K575" i="5"/>
  <c r="M575" i="5"/>
  <c r="M563" i="5"/>
  <c r="K551" i="5"/>
  <c r="M551" i="5"/>
  <c r="M539" i="5"/>
  <c r="K527" i="5"/>
  <c r="M527" i="5"/>
  <c r="M515" i="5"/>
  <c r="M503" i="5"/>
  <c r="M491" i="5"/>
  <c r="M479" i="5"/>
  <c r="M467" i="5"/>
  <c r="M455" i="5"/>
  <c r="M443" i="5"/>
  <c r="M431" i="5"/>
  <c r="K407" i="5"/>
  <c r="M407" i="5"/>
  <c r="M395" i="5"/>
  <c r="M383" i="5"/>
  <c r="M371" i="5"/>
  <c r="M359" i="5"/>
  <c r="M347" i="5"/>
  <c r="M335" i="5"/>
  <c r="M323" i="5"/>
  <c r="M311" i="5"/>
  <c r="M299" i="5"/>
  <c r="M287" i="5"/>
  <c r="M275" i="5"/>
  <c r="M263" i="5"/>
  <c r="M251" i="5"/>
  <c r="M239" i="5"/>
  <c r="M227" i="5"/>
  <c r="M215" i="5"/>
  <c r="M203" i="5"/>
  <c r="M191" i="5"/>
  <c r="M179" i="5"/>
  <c r="M167" i="5"/>
  <c r="M155" i="5"/>
  <c r="M143" i="5"/>
  <c r="M131" i="5"/>
  <c r="M119" i="5"/>
  <c r="M107" i="5"/>
  <c r="M95" i="5"/>
  <c r="M83" i="5"/>
  <c r="M71" i="5"/>
  <c r="M59" i="5"/>
  <c r="M47" i="5"/>
  <c r="M35" i="5"/>
  <c r="M23" i="5"/>
  <c r="M11" i="5"/>
  <c r="K905" i="5"/>
  <c r="K881" i="5"/>
  <c r="K857" i="5"/>
  <c r="K821" i="5"/>
  <c r="K809" i="5"/>
  <c r="K785" i="5"/>
  <c r="K761" i="5"/>
  <c r="K737" i="5"/>
  <c r="K701" i="5"/>
  <c r="K629" i="5"/>
  <c r="K605" i="5"/>
  <c r="K593" i="5"/>
  <c r="K557" i="5"/>
  <c r="K389" i="5"/>
  <c r="K377" i="5"/>
  <c r="K341" i="5"/>
  <c r="K317" i="5"/>
  <c r="K305" i="5"/>
  <c r="K245" i="5"/>
  <c r="K209" i="5"/>
  <c r="M910" i="5"/>
  <c r="M898" i="5"/>
  <c r="M886" i="5"/>
  <c r="M874" i="5"/>
  <c r="K862" i="5"/>
  <c r="M862" i="5"/>
  <c r="M850" i="5"/>
  <c r="M838" i="5"/>
  <c r="M826" i="5"/>
  <c r="M814" i="5"/>
  <c r="M802" i="5"/>
  <c r="M790" i="5"/>
  <c r="M778" i="5"/>
  <c r="M766" i="5"/>
  <c r="M754" i="5"/>
  <c r="M742" i="5"/>
  <c r="M730" i="5"/>
  <c r="K718" i="5"/>
  <c r="M718" i="5"/>
  <c r="K646" i="5"/>
  <c r="M646" i="5"/>
  <c r="M634" i="5"/>
  <c r="K622" i="5"/>
  <c r="M622" i="5"/>
  <c r="M610" i="5"/>
  <c r="K574" i="5"/>
  <c r="M574" i="5"/>
  <c r="M562" i="5"/>
  <c r="M550" i="5"/>
  <c r="M538" i="5"/>
  <c r="M526" i="5"/>
  <c r="M514" i="5"/>
  <c r="M502" i="5"/>
  <c r="M490" i="5"/>
  <c r="M478" i="5"/>
  <c r="M466" i="5"/>
  <c r="M454" i="5"/>
  <c r="M442" i="5"/>
  <c r="M430" i="5"/>
  <c r="M406" i="5"/>
  <c r="M394" i="5"/>
  <c r="M382" i="5"/>
  <c r="M370" i="5"/>
  <c r="M358" i="5"/>
  <c r="M346" i="5"/>
  <c r="M334" i="5"/>
  <c r="M322" i="5"/>
  <c r="M310" i="5"/>
  <c r="M298" i="5"/>
  <c r="M286" i="5"/>
  <c r="M274" i="5"/>
  <c r="M262" i="5"/>
  <c r="M250" i="5"/>
  <c r="M238" i="5"/>
  <c r="M226" i="5"/>
  <c r="M214" i="5"/>
  <c r="M202" i="5"/>
  <c r="M190" i="5"/>
  <c r="M178" i="5"/>
  <c r="M166" i="5"/>
  <c r="M154" i="5"/>
  <c r="M130" i="5"/>
  <c r="M118" i="5"/>
  <c r="K106" i="5"/>
  <c r="M106" i="5"/>
  <c r="M94" i="5"/>
  <c r="M82" i="5"/>
  <c r="K70" i="5"/>
  <c r="M70" i="5"/>
  <c r="M46" i="5"/>
  <c r="M34" i="5"/>
  <c r="K22" i="5"/>
  <c r="M22" i="5"/>
  <c r="M10" i="5"/>
  <c r="K499" i="5"/>
  <c r="K535" i="5"/>
  <c r="K883" i="5"/>
  <c r="M909" i="5"/>
  <c r="K897" i="5"/>
  <c r="M897" i="5"/>
  <c r="M885" i="5"/>
  <c r="M873" i="5"/>
  <c r="K861" i="5"/>
  <c r="M861" i="5"/>
  <c r="M849" i="5"/>
  <c r="K837" i="5"/>
  <c r="M837" i="5"/>
  <c r="K825" i="5"/>
  <c r="M825" i="5"/>
  <c r="K813" i="5"/>
  <c r="M813" i="5"/>
  <c r="M801" i="5"/>
  <c r="K789" i="5"/>
  <c r="M789" i="5"/>
  <c r="K777" i="5"/>
  <c r="M777" i="5"/>
  <c r="K765" i="5"/>
  <c r="M765" i="5"/>
  <c r="K753" i="5"/>
  <c r="M753" i="5"/>
  <c r="M741" i="5"/>
  <c r="K729" i="5"/>
  <c r="M729" i="5"/>
  <c r="K717" i="5"/>
  <c r="M717" i="5"/>
  <c r="K705" i="5"/>
  <c r="M705" i="5"/>
  <c r="K693" i="5"/>
  <c r="M693" i="5"/>
  <c r="K681" i="5"/>
  <c r="M681" i="5"/>
  <c r="K669" i="5"/>
  <c r="M669" i="5"/>
  <c r="M657" i="5"/>
  <c r="K633" i="5"/>
  <c r="M633" i="5"/>
  <c r="K621" i="5"/>
  <c r="M621" i="5"/>
  <c r="K609" i="5"/>
  <c r="M609" i="5"/>
  <c r="K561" i="5"/>
  <c r="M561" i="5"/>
  <c r="K537" i="5"/>
  <c r="M537" i="5"/>
  <c r="K525" i="5"/>
  <c r="M525" i="5"/>
  <c r="K513" i="5"/>
  <c r="M513" i="5"/>
  <c r="K501" i="5"/>
  <c r="M501" i="5"/>
  <c r="K489" i="5"/>
  <c r="M489" i="5"/>
  <c r="K477" i="5"/>
  <c r="M477" i="5"/>
  <c r="K465" i="5"/>
  <c r="M465" i="5"/>
  <c r="M453" i="5"/>
  <c r="M441" i="5"/>
  <c r="K429" i="5"/>
  <c r="M429" i="5"/>
  <c r="M417" i="5"/>
  <c r="M405" i="5"/>
  <c r="K393" i="5"/>
  <c r="M393" i="5"/>
  <c r="M381" i="5"/>
  <c r="K369" i="5"/>
  <c r="M369" i="5"/>
  <c r="K357" i="5"/>
  <c r="M357" i="5"/>
  <c r="K345" i="5"/>
  <c r="M345" i="5"/>
  <c r="K333" i="5"/>
  <c r="M333" i="5"/>
  <c r="M321" i="5"/>
  <c r="M309" i="5"/>
  <c r="K297" i="5"/>
  <c r="M297" i="5"/>
  <c r="K285" i="5"/>
  <c r="M285" i="5"/>
  <c r="M273" i="5"/>
  <c r="K261" i="5"/>
  <c r="M261" i="5"/>
  <c r="K249" i="5"/>
  <c r="M249" i="5"/>
  <c r="K237" i="5"/>
  <c r="M237" i="5"/>
  <c r="K225" i="5"/>
  <c r="M225" i="5"/>
  <c r="M213" i="5"/>
  <c r="M201" i="5"/>
  <c r="K189" i="5"/>
  <c r="M189" i="5"/>
  <c r="M177" i="5"/>
  <c r="K165" i="5"/>
  <c r="M165" i="5"/>
  <c r="M153" i="5"/>
  <c r="K141" i="5"/>
  <c r="M141" i="5"/>
  <c r="M129" i="5"/>
  <c r="K117" i="5"/>
  <c r="M117" i="5"/>
  <c r="K105" i="5"/>
  <c r="M105" i="5"/>
  <c r="M93" i="5"/>
  <c r="K81" i="5"/>
  <c r="M81" i="5"/>
  <c r="K57" i="5"/>
  <c r="M57" i="5"/>
  <c r="M33" i="5"/>
  <c r="K21" i="5"/>
  <c r="M21" i="5"/>
  <c r="M9" i="5"/>
  <c r="K803" i="5"/>
  <c r="K611" i="5"/>
  <c r="K467" i="5"/>
  <c r="K910" i="5"/>
  <c r="K802" i="5"/>
  <c r="K754" i="5"/>
  <c r="K550" i="5"/>
  <c r="K322" i="5"/>
  <c r="K214" i="5"/>
  <c r="K190" i="5"/>
  <c r="K878" i="5"/>
  <c r="K818" i="5"/>
  <c r="K746" i="5"/>
  <c r="K662" i="5"/>
  <c r="K614" i="5"/>
  <c r="K506" i="5"/>
  <c r="K422" i="5"/>
  <c r="K170" i="5"/>
  <c r="K50" i="5"/>
  <c r="K877" i="5"/>
  <c r="K757" i="5"/>
  <c r="K649" i="5"/>
  <c r="K529" i="5"/>
  <c r="K445" i="5"/>
  <c r="K325" i="5"/>
  <c r="K253" i="5"/>
  <c r="K157" i="5"/>
  <c r="K900" i="5"/>
  <c r="K876" i="5"/>
  <c r="K864" i="5"/>
  <c r="K852" i="5"/>
  <c r="K840" i="5"/>
  <c r="K828" i="5"/>
  <c r="K816" i="5"/>
  <c r="K804" i="5"/>
  <c r="K780" i="5"/>
  <c r="K768" i="5"/>
  <c r="K744" i="5"/>
  <c r="K732" i="5"/>
  <c r="K696" i="5"/>
  <c r="K660" i="5"/>
  <c r="K624" i="5"/>
  <c r="K588" i="5"/>
  <c r="K576" i="5"/>
  <c r="K552" i="5"/>
  <c r="K540" i="5"/>
  <c r="K516" i="5"/>
  <c r="K504" i="5"/>
  <c r="K492" i="5"/>
  <c r="K480" i="5"/>
  <c r="K456" i="5"/>
  <c r="K444" i="5"/>
  <c r="K432" i="5"/>
  <c r="K420" i="5"/>
  <c r="K408" i="5"/>
  <c r="K396" i="5"/>
  <c r="K384" i="5"/>
  <c r="K372" i="5"/>
  <c r="K360" i="5"/>
  <c r="K348" i="5"/>
  <c r="K336" i="5"/>
  <c r="K324" i="5"/>
  <c r="K300" i="5"/>
  <c r="K252" i="5"/>
  <c r="K240" i="5"/>
  <c r="K216" i="5"/>
  <c r="K204" i="5"/>
  <c r="K192" i="5"/>
  <c r="K168" i="5"/>
  <c r="K156" i="5"/>
  <c r="K144" i="5"/>
  <c r="K132" i="5"/>
  <c r="K120" i="5"/>
  <c r="K108" i="5"/>
  <c r="K96" i="5"/>
  <c r="K84" i="5"/>
  <c r="K72" i="5"/>
  <c r="K60" i="5"/>
  <c r="K48" i="5"/>
  <c r="K36" i="5"/>
  <c r="K24" i="5"/>
  <c r="K890" i="5"/>
  <c r="K830" i="5"/>
  <c r="K758" i="5"/>
  <c r="K590" i="5"/>
  <c r="K362" i="5"/>
  <c r="K266" i="5"/>
  <c r="K194" i="5"/>
  <c r="K122" i="5"/>
  <c r="K74" i="5"/>
  <c r="K841" i="5"/>
  <c r="K517" i="5"/>
  <c r="K385" i="5"/>
  <c r="K313" i="5"/>
  <c r="K217" i="5"/>
  <c r="K169" i="5"/>
  <c r="K85" i="5"/>
  <c r="K899" i="5"/>
  <c r="K875" i="5"/>
  <c r="K863" i="5"/>
  <c r="K851" i="5"/>
  <c r="K839" i="5"/>
  <c r="K827" i="5"/>
  <c r="K791" i="5"/>
  <c r="K779" i="5"/>
  <c r="K767" i="5"/>
  <c r="K731" i="5"/>
  <c r="K719" i="5"/>
  <c r="K683" i="5"/>
  <c r="K659" i="5"/>
  <c r="K563" i="5"/>
  <c r="K539" i="5"/>
  <c r="K503" i="5"/>
  <c r="K491" i="5"/>
  <c r="K455" i="5"/>
  <c r="K443" i="5"/>
  <c r="K431" i="5"/>
  <c r="K395" i="5"/>
  <c r="K383" i="5"/>
  <c r="K371" i="5"/>
  <c r="K359" i="5"/>
  <c r="K347" i="5"/>
  <c r="K311" i="5"/>
  <c r="K299" i="5"/>
  <c r="K263" i="5"/>
  <c r="K191" i="5"/>
  <c r="K179" i="5"/>
  <c r="K167" i="5"/>
  <c r="K155" i="5"/>
  <c r="K143" i="5"/>
  <c r="K131" i="5"/>
  <c r="K119" i="5"/>
  <c r="K107" i="5"/>
  <c r="K95" i="5"/>
  <c r="K83" i="5"/>
  <c r="K71" i="5"/>
  <c r="K59" i="5"/>
  <c r="K47" i="5"/>
  <c r="K35" i="5"/>
  <c r="K23" i="5"/>
  <c r="K11" i="5"/>
  <c r="K902" i="5"/>
  <c r="K638" i="5"/>
  <c r="K542" i="5"/>
  <c r="K434" i="5"/>
  <c r="K374" i="5"/>
  <c r="K134" i="5"/>
  <c r="K62" i="5"/>
  <c r="K889" i="5"/>
  <c r="K793" i="5"/>
  <c r="K481" i="5"/>
  <c r="K337" i="5"/>
  <c r="K265" i="5"/>
  <c r="K193" i="5"/>
  <c r="K25" i="5"/>
  <c r="K898" i="5"/>
  <c r="K886" i="5"/>
  <c r="K850" i="5"/>
  <c r="K790" i="5"/>
  <c r="K766" i="5"/>
  <c r="K730" i="5"/>
  <c r="K706" i="5"/>
  <c r="K682" i="5"/>
  <c r="K670" i="5"/>
  <c r="K634" i="5"/>
  <c r="K610" i="5"/>
  <c r="K562" i="5"/>
  <c r="K538" i="5"/>
  <c r="K526" i="5"/>
  <c r="K514" i="5"/>
  <c r="K502" i="5"/>
  <c r="K490" i="5"/>
  <c r="K478" i="5"/>
  <c r="K466" i="5"/>
  <c r="K442" i="5"/>
  <c r="K430" i="5"/>
  <c r="K406" i="5"/>
  <c r="K394" i="5"/>
  <c r="K370" i="5"/>
  <c r="K358" i="5"/>
  <c r="K346" i="5"/>
  <c r="K334" i="5"/>
  <c r="K310" i="5"/>
  <c r="K298" i="5"/>
  <c r="K286" i="5"/>
  <c r="K274" i="5"/>
  <c r="K262" i="5"/>
  <c r="K250" i="5"/>
  <c r="K238" i="5"/>
  <c r="K202" i="5"/>
  <c r="K178" i="5"/>
  <c r="K166" i="5"/>
  <c r="K154" i="5"/>
  <c r="K142" i="5"/>
  <c r="K130" i="5"/>
  <c r="K118" i="5"/>
  <c r="K94" i="5"/>
  <c r="K82" i="5"/>
  <c r="K58" i="5"/>
  <c r="K46" i="5"/>
  <c r="K34" i="5"/>
  <c r="K10" i="5"/>
  <c r="K854" i="5"/>
  <c r="K794" i="5"/>
  <c r="K734" i="5"/>
  <c r="K626" i="5"/>
  <c r="K578" i="5"/>
  <c r="K410" i="5"/>
  <c r="K230" i="5"/>
  <c r="K182" i="5"/>
  <c r="K98" i="5"/>
  <c r="K26" i="5"/>
  <c r="K829" i="5"/>
  <c r="K697" i="5"/>
  <c r="K541" i="5"/>
  <c r="K361" i="5"/>
  <c r="K289" i="5"/>
  <c r="K229" i="5"/>
  <c r="K145" i="5"/>
  <c r="K97" i="5"/>
  <c r="K37" i="5"/>
  <c r="K866" i="5"/>
  <c r="K782" i="5"/>
  <c r="K650" i="5"/>
  <c r="K554" i="5"/>
  <c r="K386" i="5"/>
  <c r="K254" i="5"/>
  <c r="K158" i="5"/>
  <c r="K110" i="5"/>
  <c r="K38" i="5"/>
  <c r="K901" i="5"/>
  <c r="K865" i="5"/>
  <c r="K613" i="5"/>
  <c r="K553" i="5"/>
  <c r="K469" i="5"/>
  <c r="K421" i="5"/>
  <c r="K349" i="5"/>
  <c r="K277" i="5"/>
  <c r="K205" i="5"/>
  <c r="K133" i="5"/>
  <c r="K61" i="5"/>
  <c r="K842" i="5"/>
  <c r="K770" i="5"/>
  <c r="K698" i="5"/>
  <c r="K518" i="5"/>
  <c r="K398" i="5"/>
  <c r="K206" i="5"/>
  <c r="K146" i="5"/>
  <c r="K86" i="5"/>
  <c r="K14" i="5"/>
  <c r="K637" i="5"/>
  <c r="K565" i="5"/>
  <c r="K493" i="5"/>
  <c r="K433" i="5"/>
  <c r="K373" i="5"/>
  <c r="K301" i="5"/>
  <c r="K241" i="5"/>
  <c r="K181" i="5"/>
  <c r="K109" i="5"/>
  <c r="K49" i="5"/>
  <c r="K13" i="5"/>
  <c r="K203" i="5"/>
  <c r="K242" i="5"/>
  <c r="K278" i="5"/>
  <c r="K335" i="5"/>
  <c r="K350" i="5"/>
  <c r="K365" i="5"/>
  <c r="K416" i="5"/>
  <c r="K437" i="5"/>
  <c r="K200" i="5"/>
  <c r="K218" i="5"/>
  <c r="K239" i="5"/>
  <c r="K260" i="5"/>
  <c r="K275" i="5"/>
  <c r="K290" i="5"/>
  <c r="K332" i="5"/>
  <c r="K401" i="5"/>
  <c r="K197" i="5"/>
  <c r="K215" i="5"/>
  <c r="K236" i="5"/>
  <c r="K257" i="5"/>
  <c r="K251" i="5"/>
  <c r="K284" i="5"/>
  <c r="K326" i="5"/>
  <c r="K188" i="5"/>
  <c r="K227" i="5"/>
  <c r="K281" i="5"/>
  <c r="K323" i="5"/>
  <c r="K380" i="5"/>
  <c r="K440" i="5"/>
  <c r="K494" i="5"/>
  <c r="K530" i="5"/>
  <c r="K566" i="5"/>
  <c r="K733" i="5"/>
  <c r="K488" i="5"/>
  <c r="K524" i="5"/>
  <c r="K560" i="5"/>
  <c r="K694" i="5"/>
  <c r="K756" i="5"/>
  <c r="K691" i="5"/>
  <c r="K479" i="5"/>
  <c r="K515" i="5"/>
  <c r="K587" i="5"/>
  <c r="K727" i="5"/>
  <c r="K545" i="5"/>
  <c r="K792" i="5"/>
  <c r="K461" i="5"/>
  <c r="K497" i="5"/>
  <c r="K665" i="5"/>
  <c r="K700" i="5"/>
  <c r="K736" i="5"/>
  <c r="K772" i="5"/>
  <c r="K808" i="5"/>
  <c r="K844" i="5"/>
  <c r="K769" i="5"/>
  <c r="K805" i="5"/>
  <c r="K838" i="5"/>
  <c r="K763" i="5"/>
  <c r="K799" i="5"/>
  <c r="K835" i="5"/>
  <c r="K760" i="5"/>
  <c r="K796" i="5"/>
  <c r="K826" i="5"/>
  <c r="K888" i="5"/>
  <c r="K748" i="5"/>
  <c r="K784" i="5"/>
  <c r="K820" i="5"/>
  <c r="K673" i="5"/>
  <c r="K709" i="5"/>
  <c r="K745" i="5"/>
  <c r="K781" i="5"/>
  <c r="K817" i="5"/>
  <c r="K867" i="5"/>
  <c r="K885" i="5"/>
  <c r="K903" i="5"/>
  <c r="K742" i="5"/>
  <c r="K778" i="5"/>
  <c r="K814" i="5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2" i="1"/>
  <c r="G3" i="1"/>
  <c r="K3" i="1" s="1"/>
  <c r="G4" i="1"/>
  <c r="K4" i="1" s="1"/>
  <c r="G5" i="1"/>
  <c r="K5" i="1" s="1"/>
  <c r="G6" i="1"/>
  <c r="K6" i="1" s="1"/>
  <c r="G7" i="1"/>
  <c r="K7" i="1" s="1"/>
  <c r="G8" i="1"/>
  <c r="K8" i="1" s="1"/>
  <c r="G9" i="1"/>
  <c r="K9" i="1" s="1"/>
  <c r="G10" i="1"/>
  <c r="K10" i="1" s="1"/>
  <c r="G11" i="1"/>
  <c r="K11" i="1" s="1"/>
  <c r="G12" i="1"/>
  <c r="K12" i="1" s="1"/>
  <c r="G13" i="1"/>
  <c r="K13" i="1" s="1"/>
  <c r="G14" i="1"/>
  <c r="K14" i="1" s="1"/>
  <c r="G15" i="1"/>
  <c r="K15" i="1" s="1"/>
  <c r="G16" i="1"/>
  <c r="K16" i="1" s="1"/>
  <c r="G17" i="1"/>
  <c r="K17" i="1" s="1"/>
  <c r="G18" i="1"/>
  <c r="K18" i="1" s="1"/>
  <c r="G19" i="1"/>
  <c r="K19" i="1" s="1"/>
  <c r="G20" i="1"/>
  <c r="K20" i="1" s="1"/>
  <c r="G21" i="1"/>
  <c r="K21" i="1" s="1"/>
  <c r="G22" i="1"/>
  <c r="K22" i="1" s="1"/>
  <c r="G23" i="1"/>
  <c r="K23" i="1" s="1"/>
  <c r="G24" i="1"/>
  <c r="K24" i="1" s="1"/>
  <c r="G25" i="1"/>
  <c r="K25" i="1" s="1"/>
  <c r="G26" i="1"/>
  <c r="K26" i="1" s="1"/>
  <c r="G27" i="1"/>
  <c r="K27" i="1" s="1"/>
  <c r="G28" i="1"/>
  <c r="K28" i="1" s="1"/>
  <c r="G29" i="1"/>
  <c r="K29" i="1" s="1"/>
  <c r="G30" i="1"/>
  <c r="K30" i="1" s="1"/>
  <c r="G31" i="1"/>
  <c r="K31" i="1" s="1"/>
  <c r="G32" i="1"/>
  <c r="K32" i="1" s="1"/>
  <c r="G33" i="1"/>
  <c r="K33" i="1" s="1"/>
  <c r="G34" i="1"/>
  <c r="K34" i="1" s="1"/>
  <c r="G35" i="1"/>
  <c r="K35" i="1" s="1"/>
  <c r="G36" i="1"/>
  <c r="K36" i="1" s="1"/>
  <c r="G37" i="1"/>
  <c r="K37" i="1" s="1"/>
  <c r="G38" i="1"/>
  <c r="K38" i="1" s="1"/>
  <c r="G39" i="1"/>
  <c r="K39" i="1" s="1"/>
  <c r="G40" i="1"/>
  <c r="K40" i="1" s="1"/>
  <c r="G41" i="1"/>
  <c r="K41" i="1" s="1"/>
  <c r="G42" i="1"/>
  <c r="K42" i="1" s="1"/>
  <c r="G43" i="1"/>
  <c r="K43" i="1" s="1"/>
  <c r="G44" i="1"/>
  <c r="K44" i="1" s="1"/>
  <c r="G45" i="1"/>
  <c r="K45" i="1" s="1"/>
  <c r="G46" i="1"/>
  <c r="K46" i="1" s="1"/>
  <c r="G47" i="1"/>
  <c r="K47" i="1" s="1"/>
  <c r="G48" i="1"/>
  <c r="K48" i="1" s="1"/>
  <c r="G49" i="1"/>
  <c r="K49" i="1" s="1"/>
  <c r="G50" i="1"/>
  <c r="K50" i="1" s="1"/>
  <c r="G51" i="1"/>
  <c r="K51" i="1" s="1"/>
  <c r="G52" i="1"/>
  <c r="K52" i="1" s="1"/>
  <c r="G53" i="1"/>
  <c r="K53" i="1" s="1"/>
  <c r="G54" i="1"/>
  <c r="K54" i="1" s="1"/>
  <c r="G55" i="1"/>
  <c r="K55" i="1" s="1"/>
  <c r="G56" i="1"/>
  <c r="K56" i="1" s="1"/>
  <c r="G57" i="1"/>
  <c r="K57" i="1" s="1"/>
  <c r="G58" i="1"/>
  <c r="K58" i="1" s="1"/>
  <c r="G59" i="1"/>
  <c r="K59" i="1" s="1"/>
  <c r="G60" i="1"/>
  <c r="K60" i="1" s="1"/>
  <c r="G61" i="1"/>
  <c r="K61" i="1" s="1"/>
  <c r="G62" i="1"/>
  <c r="K62" i="1" s="1"/>
  <c r="G63" i="1"/>
  <c r="K63" i="1" s="1"/>
  <c r="G64" i="1"/>
  <c r="K64" i="1" s="1"/>
  <c r="G65" i="1"/>
  <c r="K65" i="1" s="1"/>
  <c r="G66" i="1"/>
  <c r="K66" i="1" s="1"/>
  <c r="G67" i="1"/>
  <c r="K67" i="1" s="1"/>
  <c r="G68" i="1"/>
  <c r="K68" i="1" s="1"/>
  <c r="G69" i="1"/>
  <c r="K69" i="1" s="1"/>
  <c r="G70" i="1"/>
  <c r="K70" i="1" s="1"/>
  <c r="G71" i="1"/>
  <c r="K71" i="1" s="1"/>
  <c r="G72" i="1"/>
  <c r="K72" i="1" s="1"/>
  <c r="G73" i="1"/>
  <c r="K73" i="1" s="1"/>
  <c r="G74" i="1"/>
  <c r="K74" i="1" s="1"/>
  <c r="G75" i="1"/>
  <c r="K75" i="1" s="1"/>
  <c r="G76" i="1"/>
  <c r="K76" i="1" s="1"/>
  <c r="G77" i="1"/>
  <c r="K77" i="1" s="1"/>
  <c r="G78" i="1"/>
  <c r="K78" i="1" s="1"/>
  <c r="G79" i="1"/>
  <c r="K79" i="1" s="1"/>
  <c r="G80" i="1"/>
  <c r="K80" i="1" s="1"/>
  <c r="G81" i="1"/>
  <c r="K81" i="1" s="1"/>
  <c r="G82" i="1"/>
  <c r="K82" i="1" s="1"/>
  <c r="G83" i="1"/>
  <c r="K83" i="1" s="1"/>
  <c r="G84" i="1"/>
  <c r="K84" i="1" s="1"/>
  <c r="G85" i="1"/>
  <c r="K85" i="1" s="1"/>
  <c r="G86" i="1"/>
  <c r="K86" i="1" s="1"/>
  <c r="G87" i="1"/>
  <c r="K87" i="1" s="1"/>
  <c r="G88" i="1"/>
  <c r="K88" i="1" s="1"/>
  <c r="G89" i="1"/>
  <c r="K89" i="1" s="1"/>
  <c r="G90" i="1"/>
  <c r="K90" i="1" s="1"/>
  <c r="G91" i="1"/>
  <c r="K91" i="1" s="1"/>
  <c r="G92" i="1"/>
  <c r="K92" i="1" s="1"/>
  <c r="G93" i="1"/>
  <c r="K93" i="1" s="1"/>
  <c r="G94" i="1"/>
  <c r="K94" i="1" s="1"/>
  <c r="G95" i="1"/>
  <c r="K95" i="1" s="1"/>
  <c r="G96" i="1"/>
  <c r="K96" i="1" s="1"/>
  <c r="G97" i="1"/>
  <c r="K97" i="1" s="1"/>
  <c r="G98" i="1"/>
  <c r="K98" i="1" s="1"/>
  <c r="G99" i="1"/>
  <c r="K99" i="1" s="1"/>
  <c r="G100" i="1"/>
  <c r="K100" i="1" s="1"/>
  <c r="G101" i="1"/>
  <c r="K101" i="1" s="1"/>
  <c r="G102" i="1"/>
  <c r="K102" i="1" s="1"/>
  <c r="G103" i="1"/>
  <c r="K103" i="1" s="1"/>
  <c r="G104" i="1"/>
  <c r="K104" i="1" s="1"/>
  <c r="G105" i="1"/>
  <c r="K105" i="1" s="1"/>
  <c r="G106" i="1"/>
  <c r="K106" i="1" s="1"/>
  <c r="G107" i="1"/>
  <c r="K107" i="1" s="1"/>
  <c r="G108" i="1"/>
  <c r="K108" i="1" s="1"/>
  <c r="G109" i="1"/>
  <c r="K109" i="1" s="1"/>
  <c r="G110" i="1"/>
  <c r="K110" i="1" s="1"/>
  <c r="G111" i="1"/>
  <c r="K111" i="1" s="1"/>
  <c r="G112" i="1"/>
  <c r="K112" i="1" s="1"/>
  <c r="G113" i="1"/>
  <c r="K113" i="1" s="1"/>
  <c r="G114" i="1"/>
  <c r="K114" i="1" s="1"/>
  <c r="G115" i="1"/>
  <c r="K115" i="1" s="1"/>
  <c r="G116" i="1"/>
  <c r="K116" i="1" s="1"/>
  <c r="G117" i="1"/>
  <c r="K117" i="1" s="1"/>
  <c r="G118" i="1"/>
  <c r="K118" i="1" s="1"/>
  <c r="G119" i="1"/>
  <c r="K119" i="1" s="1"/>
  <c r="G120" i="1"/>
  <c r="K120" i="1" s="1"/>
  <c r="G121" i="1"/>
  <c r="K121" i="1" s="1"/>
  <c r="G122" i="1"/>
  <c r="K122" i="1" s="1"/>
  <c r="G123" i="1"/>
  <c r="K123" i="1" s="1"/>
  <c r="G124" i="1"/>
  <c r="K124" i="1" s="1"/>
  <c r="G125" i="1"/>
  <c r="K125" i="1" s="1"/>
  <c r="G126" i="1"/>
  <c r="K126" i="1" s="1"/>
  <c r="G127" i="1"/>
  <c r="K127" i="1" s="1"/>
  <c r="G128" i="1"/>
  <c r="K128" i="1" s="1"/>
  <c r="G129" i="1"/>
  <c r="K129" i="1" s="1"/>
  <c r="G130" i="1"/>
  <c r="K130" i="1" s="1"/>
  <c r="G131" i="1"/>
  <c r="K131" i="1" s="1"/>
  <c r="G132" i="1"/>
  <c r="K132" i="1" s="1"/>
  <c r="G133" i="1"/>
  <c r="K133" i="1" s="1"/>
  <c r="G134" i="1"/>
  <c r="K134" i="1" s="1"/>
  <c r="G135" i="1"/>
  <c r="K135" i="1" s="1"/>
  <c r="G136" i="1"/>
  <c r="K136" i="1" s="1"/>
  <c r="G137" i="1"/>
  <c r="K137" i="1" s="1"/>
  <c r="G138" i="1"/>
  <c r="K138" i="1" s="1"/>
  <c r="G139" i="1"/>
  <c r="K139" i="1" s="1"/>
  <c r="G140" i="1"/>
  <c r="K140" i="1" s="1"/>
  <c r="G141" i="1"/>
  <c r="K141" i="1" s="1"/>
  <c r="G142" i="1"/>
  <c r="K142" i="1" s="1"/>
  <c r="G143" i="1"/>
  <c r="K143" i="1" s="1"/>
  <c r="G144" i="1"/>
  <c r="K144" i="1" s="1"/>
  <c r="G145" i="1"/>
  <c r="K145" i="1" s="1"/>
  <c r="G146" i="1"/>
  <c r="K146" i="1" s="1"/>
  <c r="G147" i="1"/>
  <c r="K147" i="1" s="1"/>
  <c r="G148" i="1"/>
  <c r="K148" i="1" s="1"/>
  <c r="G149" i="1"/>
  <c r="K149" i="1" s="1"/>
  <c r="G150" i="1"/>
  <c r="K150" i="1" s="1"/>
  <c r="G151" i="1"/>
  <c r="K151" i="1" s="1"/>
  <c r="G152" i="1"/>
  <c r="K152" i="1" s="1"/>
  <c r="G153" i="1"/>
  <c r="K153" i="1" s="1"/>
  <c r="G154" i="1"/>
  <c r="K154" i="1" s="1"/>
  <c r="G155" i="1"/>
  <c r="K155" i="1" s="1"/>
  <c r="G156" i="1"/>
  <c r="K156" i="1" s="1"/>
  <c r="G157" i="1"/>
  <c r="K157" i="1" s="1"/>
  <c r="G158" i="1"/>
  <c r="K158" i="1" s="1"/>
  <c r="G159" i="1"/>
  <c r="K159" i="1" s="1"/>
  <c r="G160" i="1"/>
  <c r="K160" i="1" s="1"/>
  <c r="G161" i="1"/>
  <c r="K161" i="1" s="1"/>
  <c r="G162" i="1"/>
  <c r="K162" i="1" s="1"/>
  <c r="G163" i="1"/>
  <c r="K163" i="1" s="1"/>
  <c r="G164" i="1"/>
  <c r="K164" i="1" s="1"/>
  <c r="G165" i="1"/>
  <c r="K165" i="1" s="1"/>
  <c r="G166" i="1"/>
  <c r="K166" i="1" s="1"/>
  <c r="G167" i="1"/>
  <c r="K167" i="1" s="1"/>
  <c r="G168" i="1"/>
  <c r="K168" i="1" s="1"/>
  <c r="G169" i="1"/>
  <c r="K169" i="1" s="1"/>
  <c r="G170" i="1"/>
  <c r="K170" i="1" s="1"/>
  <c r="G171" i="1"/>
  <c r="K171" i="1" s="1"/>
  <c r="G172" i="1"/>
  <c r="K172" i="1" s="1"/>
  <c r="G173" i="1"/>
  <c r="K173" i="1" s="1"/>
  <c r="G174" i="1"/>
  <c r="K174" i="1" s="1"/>
  <c r="G175" i="1"/>
  <c r="K175" i="1" s="1"/>
  <c r="G176" i="1"/>
  <c r="K176" i="1" s="1"/>
  <c r="G177" i="1"/>
  <c r="K177" i="1" s="1"/>
  <c r="G178" i="1"/>
  <c r="K178" i="1" s="1"/>
  <c r="G179" i="1"/>
  <c r="K179" i="1" s="1"/>
  <c r="G180" i="1"/>
  <c r="K180" i="1" s="1"/>
  <c r="G181" i="1"/>
  <c r="K181" i="1" s="1"/>
  <c r="G182" i="1"/>
  <c r="K182" i="1" s="1"/>
  <c r="G183" i="1"/>
  <c r="K183" i="1" s="1"/>
  <c r="G184" i="1"/>
  <c r="K184" i="1" s="1"/>
  <c r="G185" i="1"/>
  <c r="K185" i="1" s="1"/>
  <c r="G186" i="1"/>
  <c r="K186" i="1" s="1"/>
  <c r="G187" i="1"/>
  <c r="K187" i="1" s="1"/>
  <c r="G188" i="1"/>
  <c r="K188" i="1" s="1"/>
  <c r="G189" i="1"/>
  <c r="K189" i="1" s="1"/>
  <c r="G190" i="1"/>
  <c r="K190" i="1" s="1"/>
  <c r="G191" i="1"/>
  <c r="K191" i="1" s="1"/>
  <c r="G192" i="1"/>
  <c r="K192" i="1" s="1"/>
  <c r="G193" i="1"/>
  <c r="K193" i="1" s="1"/>
  <c r="G194" i="1"/>
  <c r="K194" i="1" s="1"/>
  <c r="G195" i="1"/>
  <c r="K195" i="1" s="1"/>
  <c r="G196" i="1"/>
  <c r="K196" i="1" s="1"/>
  <c r="G197" i="1"/>
  <c r="K197" i="1" s="1"/>
  <c r="G198" i="1"/>
  <c r="K198" i="1" s="1"/>
  <c r="G199" i="1"/>
  <c r="K199" i="1" s="1"/>
  <c r="G200" i="1"/>
  <c r="K200" i="1" s="1"/>
  <c r="G201" i="1"/>
  <c r="K201" i="1" s="1"/>
  <c r="G202" i="1"/>
  <c r="K202" i="1" s="1"/>
  <c r="G203" i="1"/>
  <c r="K203" i="1" s="1"/>
  <c r="G204" i="1"/>
  <c r="K204" i="1" s="1"/>
  <c r="G205" i="1"/>
  <c r="K205" i="1" s="1"/>
  <c r="G206" i="1"/>
  <c r="K206" i="1" s="1"/>
  <c r="G207" i="1"/>
  <c r="K207" i="1" s="1"/>
  <c r="G208" i="1"/>
  <c r="K208" i="1" s="1"/>
  <c r="G209" i="1"/>
  <c r="K209" i="1" s="1"/>
  <c r="G210" i="1"/>
  <c r="K210" i="1" s="1"/>
  <c r="G211" i="1"/>
  <c r="K211" i="1" s="1"/>
  <c r="G212" i="1"/>
  <c r="K212" i="1" s="1"/>
  <c r="G213" i="1"/>
  <c r="K213" i="1" s="1"/>
  <c r="G214" i="1"/>
  <c r="K214" i="1" s="1"/>
  <c r="G215" i="1"/>
  <c r="K215" i="1" s="1"/>
  <c r="G216" i="1"/>
  <c r="K216" i="1" s="1"/>
  <c r="G217" i="1"/>
  <c r="K217" i="1" s="1"/>
  <c r="G218" i="1"/>
  <c r="K218" i="1" s="1"/>
  <c r="G219" i="1"/>
  <c r="K219" i="1" s="1"/>
  <c r="G220" i="1"/>
  <c r="K220" i="1" s="1"/>
  <c r="G221" i="1"/>
  <c r="K221" i="1" s="1"/>
  <c r="G222" i="1"/>
  <c r="K222" i="1" s="1"/>
  <c r="G223" i="1"/>
  <c r="K223" i="1" s="1"/>
  <c r="G224" i="1"/>
  <c r="K224" i="1" s="1"/>
  <c r="G225" i="1"/>
  <c r="K225" i="1" s="1"/>
  <c r="G226" i="1"/>
  <c r="K226" i="1" s="1"/>
  <c r="G227" i="1"/>
  <c r="K227" i="1" s="1"/>
  <c r="G228" i="1"/>
  <c r="K228" i="1" s="1"/>
  <c r="G229" i="1"/>
  <c r="K229" i="1" s="1"/>
  <c r="G230" i="1"/>
  <c r="K230" i="1" s="1"/>
  <c r="G231" i="1"/>
  <c r="K231" i="1" s="1"/>
  <c r="G232" i="1"/>
  <c r="K232" i="1" s="1"/>
  <c r="G233" i="1"/>
  <c r="K233" i="1" s="1"/>
  <c r="G234" i="1"/>
  <c r="K234" i="1" s="1"/>
  <c r="G235" i="1"/>
  <c r="K235" i="1" s="1"/>
  <c r="G236" i="1"/>
  <c r="K236" i="1" s="1"/>
  <c r="G237" i="1"/>
  <c r="K237" i="1" s="1"/>
  <c r="G238" i="1"/>
  <c r="K238" i="1" s="1"/>
  <c r="G239" i="1"/>
  <c r="K239" i="1" s="1"/>
  <c r="G240" i="1"/>
  <c r="K240" i="1" s="1"/>
  <c r="G241" i="1"/>
  <c r="K241" i="1" s="1"/>
  <c r="G242" i="1"/>
  <c r="K242" i="1" s="1"/>
  <c r="G243" i="1"/>
  <c r="K243" i="1" s="1"/>
  <c r="G244" i="1"/>
  <c r="K244" i="1" s="1"/>
  <c r="G245" i="1"/>
  <c r="K245" i="1" s="1"/>
  <c r="G246" i="1"/>
  <c r="K246" i="1" s="1"/>
  <c r="G247" i="1"/>
  <c r="K247" i="1" s="1"/>
  <c r="G248" i="1"/>
  <c r="K248" i="1" s="1"/>
  <c r="G249" i="1"/>
  <c r="K249" i="1" s="1"/>
  <c r="G250" i="1"/>
  <c r="K250" i="1" s="1"/>
  <c r="G251" i="1"/>
  <c r="K251" i="1" s="1"/>
  <c r="G252" i="1"/>
  <c r="K252" i="1" s="1"/>
  <c r="G253" i="1"/>
  <c r="K253" i="1" s="1"/>
  <c r="G254" i="1"/>
  <c r="K254" i="1" s="1"/>
  <c r="G255" i="1"/>
  <c r="K255" i="1" s="1"/>
  <c r="G256" i="1"/>
  <c r="K256" i="1" s="1"/>
  <c r="G257" i="1"/>
  <c r="K257" i="1" s="1"/>
  <c r="G258" i="1"/>
  <c r="K258" i="1" s="1"/>
  <c r="G259" i="1"/>
  <c r="K259" i="1" s="1"/>
  <c r="G260" i="1"/>
  <c r="K260" i="1" s="1"/>
  <c r="G261" i="1"/>
  <c r="K261" i="1" s="1"/>
  <c r="G262" i="1"/>
  <c r="K262" i="1" s="1"/>
  <c r="G263" i="1"/>
  <c r="K263" i="1" s="1"/>
  <c r="G264" i="1"/>
  <c r="K264" i="1" s="1"/>
  <c r="G265" i="1"/>
  <c r="K265" i="1" s="1"/>
  <c r="G266" i="1"/>
  <c r="K266" i="1" s="1"/>
  <c r="G267" i="1"/>
  <c r="K267" i="1" s="1"/>
  <c r="G268" i="1"/>
  <c r="K268" i="1" s="1"/>
  <c r="G269" i="1"/>
  <c r="K269" i="1" s="1"/>
  <c r="G270" i="1"/>
  <c r="K270" i="1" s="1"/>
  <c r="G271" i="1"/>
  <c r="K271" i="1" s="1"/>
  <c r="G272" i="1"/>
  <c r="K272" i="1" s="1"/>
  <c r="G273" i="1"/>
  <c r="K273" i="1" s="1"/>
  <c r="G274" i="1"/>
  <c r="K274" i="1" s="1"/>
  <c r="G275" i="1"/>
  <c r="K275" i="1" s="1"/>
  <c r="G276" i="1"/>
  <c r="K276" i="1" s="1"/>
  <c r="G277" i="1"/>
  <c r="K277" i="1" s="1"/>
  <c r="G278" i="1"/>
  <c r="K278" i="1" s="1"/>
  <c r="G279" i="1"/>
  <c r="K279" i="1" s="1"/>
  <c r="G280" i="1"/>
  <c r="K280" i="1" s="1"/>
  <c r="G281" i="1"/>
  <c r="K281" i="1" s="1"/>
  <c r="G282" i="1"/>
  <c r="K282" i="1" s="1"/>
  <c r="G283" i="1"/>
  <c r="K283" i="1" s="1"/>
  <c r="G284" i="1"/>
  <c r="K284" i="1" s="1"/>
  <c r="G285" i="1"/>
  <c r="K285" i="1" s="1"/>
  <c r="G286" i="1"/>
  <c r="K286" i="1" s="1"/>
  <c r="G287" i="1"/>
  <c r="K287" i="1" s="1"/>
  <c r="G288" i="1"/>
  <c r="K288" i="1" s="1"/>
  <c r="G289" i="1"/>
  <c r="K289" i="1" s="1"/>
  <c r="G290" i="1"/>
  <c r="K290" i="1" s="1"/>
  <c r="G291" i="1"/>
  <c r="K291" i="1" s="1"/>
  <c r="G292" i="1"/>
  <c r="K292" i="1" s="1"/>
  <c r="G293" i="1"/>
  <c r="K293" i="1" s="1"/>
  <c r="G294" i="1"/>
  <c r="K294" i="1" s="1"/>
  <c r="G295" i="1"/>
  <c r="K295" i="1" s="1"/>
  <c r="G296" i="1"/>
  <c r="K296" i="1" s="1"/>
  <c r="G297" i="1"/>
  <c r="K297" i="1" s="1"/>
  <c r="G298" i="1"/>
  <c r="K298" i="1" s="1"/>
  <c r="G299" i="1"/>
  <c r="K299" i="1" s="1"/>
  <c r="G300" i="1"/>
  <c r="K300" i="1" s="1"/>
  <c r="G301" i="1"/>
  <c r="K301" i="1" s="1"/>
  <c r="G302" i="1"/>
  <c r="K302" i="1" s="1"/>
  <c r="G303" i="1"/>
  <c r="K303" i="1" s="1"/>
  <c r="G304" i="1"/>
  <c r="K304" i="1" s="1"/>
  <c r="G305" i="1"/>
  <c r="K305" i="1" s="1"/>
  <c r="G306" i="1"/>
  <c r="K306" i="1" s="1"/>
  <c r="G307" i="1"/>
  <c r="K307" i="1" s="1"/>
  <c r="G308" i="1"/>
  <c r="K308" i="1" s="1"/>
  <c r="G309" i="1"/>
  <c r="K309" i="1" s="1"/>
  <c r="G310" i="1"/>
  <c r="K310" i="1" s="1"/>
  <c r="G311" i="1"/>
  <c r="K311" i="1" s="1"/>
  <c r="G312" i="1"/>
  <c r="K312" i="1" s="1"/>
  <c r="G313" i="1"/>
  <c r="K313" i="1" s="1"/>
  <c r="G314" i="1"/>
  <c r="K314" i="1" s="1"/>
  <c r="G315" i="1"/>
  <c r="K315" i="1" s="1"/>
  <c r="G316" i="1"/>
  <c r="K316" i="1" s="1"/>
  <c r="G317" i="1"/>
  <c r="K317" i="1" s="1"/>
  <c r="G318" i="1"/>
  <c r="K318" i="1" s="1"/>
  <c r="G319" i="1"/>
  <c r="K319" i="1" s="1"/>
  <c r="G320" i="1"/>
  <c r="K320" i="1" s="1"/>
  <c r="G321" i="1"/>
  <c r="K321" i="1" s="1"/>
  <c r="G322" i="1"/>
  <c r="K322" i="1" s="1"/>
  <c r="G323" i="1"/>
  <c r="K323" i="1" s="1"/>
  <c r="G324" i="1"/>
  <c r="K324" i="1" s="1"/>
  <c r="G325" i="1"/>
  <c r="K325" i="1" s="1"/>
  <c r="G326" i="1"/>
  <c r="K326" i="1" s="1"/>
  <c r="G327" i="1"/>
  <c r="K327" i="1" s="1"/>
  <c r="G328" i="1"/>
  <c r="K328" i="1" s="1"/>
  <c r="G329" i="1"/>
  <c r="K329" i="1" s="1"/>
  <c r="G330" i="1"/>
  <c r="K330" i="1" s="1"/>
  <c r="G331" i="1"/>
  <c r="K331" i="1" s="1"/>
  <c r="G332" i="1"/>
  <c r="K332" i="1" s="1"/>
  <c r="G333" i="1"/>
  <c r="K333" i="1" s="1"/>
  <c r="G334" i="1"/>
  <c r="K334" i="1" s="1"/>
  <c r="G335" i="1"/>
  <c r="K335" i="1" s="1"/>
  <c r="G336" i="1"/>
  <c r="K336" i="1" s="1"/>
  <c r="G337" i="1"/>
  <c r="K337" i="1" s="1"/>
  <c r="G338" i="1"/>
  <c r="K338" i="1" s="1"/>
  <c r="G339" i="1"/>
  <c r="K339" i="1" s="1"/>
  <c r="G340" i="1"/>
  <c r="K340" i="1" s="1"/>
  <c r="G341" i="1"/>
  <c r="K341" i="1" s="1"/>
  <c r="G342" i="1"/>
  <c r="K342" i="1" s="1"/>
  <c r="G343" i="1"/>
  <c r="K343" i="1" s="1"/>
  <c r="G344" i="1"/>
  <c r="K344" i="1" s="1"/>
  <c r="G345" i="1"/>
  <c r="K345" i="1" s="1"/>
  <c r="G346" i="1"/>
  <c r="K346" i="1" s="1"/>
  <c r="G347" i="1"/>
  <c r="K347" i="1" s="1"/>
  <c r="G348" i="1"/>
  <c r="K348" i="1" s="1"/>
  <c r="G349" i="1"/>
  <c r="K349" i="1" s="1"/>
  <c r="G350" i="1"/>
  <c r="K350" i="1" s="1"/>
  <c r="G351" i="1"/>
  <c r="K351" i="1" s="1"/>
  <c r="G352" i="1"/>
  <c r="K352" i="1" s="1"/>
  <c r="G353" i="1"/>
  <c r="K353" i="1" s="1"/>
  <c r="G354" i="1"/>
  <c r="K354" i="1" s="1"/>
  <c r="G355" i="1"/>
  <c r="K355" i="1" s="1"/>
  <c r="G356" i="1"/>
  <c r="K356" i="1" s="1"/>
  <c r="G357" i="1"/>
  <c r="K357" i="1" s="1"/>
  <c r="G358" i="1"/>
  <c r="K358" i="1" s="1"/>
  <c r="G359" i="1"/>
  <c r="K359" i="1" s="1"/>
  <c r="G360" i="1"/>
  <c r="K360" i="1" s="1"/>
  <c r="G361" i="1"/>
  <c r="K361" i="1" s="1"/>
  <c r="G362" i="1"/>
  <c r="K362" i="1" s="1"/>
  <c r="G363" i="1"/>
  <c r="K363" i="1" s="1"/>
  <c r="G364" i="1"/>
  <c r="K364" i="1" s="1"/>
  <c r="G365" i="1"/>
  <c r="K365" i="1" s="1"/>
  <c r="G366" i="1"/>
  <c r="K366" i="1" s="1"/>
  <c r="G367" i="1"/>
  <c r="K367" i="1" s="1"/>
  <c r="G368" i="1"/>
  <c r="K368" i="1" s="1"/>
  <c r="G369" i="1"/>
  <c r="K369" i="1" s="1"/>
  <c r="G370" i="1"/>
  <c r="K370" i="1" s="1"/>
  <c r="G371" i="1"/>
  <c r="K371" i="1" s="1"/>
  <c r="G372" i="1"/>
  <c r="K372" i="1" s="1"/>
  <c r="G373" i="1"/>
  <c r="K373" i="1" s="1"/>
  <c r="G374" i="1"/>
  <c r="K374" i="1" s="1"/>
  <c r="G375" i="1"/>
  <c r="K375" i="1" s="1"/>
  <c r="G376" i="1"/>
  <c r="K376" i="1" s="1"/>
  <c r="G377" i="1"/>
  <c r="K377" i="1" s="1"/>
  <c r="G378" i="1"/>
  <c r="K378" i="1" s="1"/>
  <c r="G379" i="1"/>
  <c r="K379" i="1" s="1"/>
  <c r="G380" i="1"/>
  <c r="K380" i="1" s="1"/>
  <c r="G381" i="1"/>
  <c r="K381" i="1" s="1"/>
  <c r="G382" i="1"/>
  <c r="K382" i="1" s="1"/>
  <c r="G383" i="1"/>
  <c r="K383" i="1" s="1"/>
  <c r="G384" i="1"/>
  <c r="K384" i="1" s="1"/>
  <c r="G385" i="1"/>
  <c r="K385" i="1" s="1"/>
  <c r="G386" i="1"/>
  <c r="K386" i="1" s="1"/>
  <c r="G387" i="1"/>
  <c r="K387" i="1" s="1"/>
  <c r="G388" i="1"/>
  <c r="K388" i="1" s="1"/>
  <c r="G389" i="1"/>
  <c r="K389" i="1" s="1"/>
  <c r="G390" i="1"/>
  <c r="K390" i="1" s="1"/>
  <c r="G391" i="1"/>
  <c r="K391" i="1" s="1"/>
  <c r="G392" i="1"/>
  <c r="K392" i="1" s="1"/>
  <c r="G393" i="1"/>
  <c r="K393" i="1" s="1"/>
  <c r="G394" i="1"/>
  <c r="K394" i="1" s="1"/>
  <c r="G395" i="1"/>
  <c r="K395" i="1" s="1"/>
  <c r="G396" i="1"/>
  <c r="K396" i="1" s="1"/>
  <c r="G397" i="1"/>
  <c r="K397" i="1" s="1"/>
  <c r="G398" i="1"/>
  <c r="K398" i="1" s="1"/>
  <c r="G399" i="1"/>
  <c r="K399" i="1" s="1"/>
  <c r="G400" i="1"/>
  <c r="K400" i="1" s="1"/>
  <c r="G401" i="1"/>
  <c r="K401" i="1" s="1"/>
  <c r="G402" i="1"/>
  <c r="K402" i="1" s="1"/>
  <c r="G403" i="1"/>
  <c r="K403" i="1" s="1"/>
  <c r="G404" i="1"/>
  <c r="K404" i="1" s="1"/>
  <c r="G405" i="1"/>
  <c r="K405" i="1" s="1"/>
  <c r="G406" i="1"/>
  <c r="K406" i="1" s="1"/>
  <c r="G407" i="1"/>
  <c r="K407" i="1" s="1"/>
  <c r="G408" i="1"/>
  <c r="K408" i="1" s="1"/>
  <c r="G409" i="1"/>
  <c r="K409" i="1" s="1"/>
  <c r="G410" i="1"/>
  <c r="K410" i="1" s="1"/>
  <c r="G411" i="1"/>
  <c r="K411" i="1" s="1"/>
  <c r="G412" i="1"/>
  <c r="K412" i="1" s="1"/>
  <c r="G413" i="1"/>
  <c r="K413" i="1" s="1"/>
  <c r="G414" i="1"/>
  <c r="K414" i="1" s="1"/>
  <c r="G415" i="1"/>
  <c r="K415" i="1" s="1"/>
  <c r="G416" i="1"/>
  <c r="K416" i="1" s="1"/>
  <c r="G417" i="1"/>
  <c r="K417" i="1" s="1"/>
  <c r="G418" i="1"/>
  <c r="K418" i="1" s="1"/>
  <c r="G419" i="1"/>
  <c r="K419" i="1" s="1"/>
  <c r="G420" i="1"/>
  <c r="K420" i="1" s="1"/>
  <c r="G421" i="1"/>
  <c r="K421" i="1" s="1"/>
  <c r="G422" i="1"/>
  <c r="K422" i="1" s="1"/>
  <c r="G423" i="1"/>
  <c r="K423" i="1" s="1"/>
  <c r="G424" i="1"/>
  <c r="K424" i="1" s="1"/>
  <c r="G425" i="1"/>
  <c r="K425" i="1" s="1"/>
  <c r="G426" i="1"/>
  <c r="K426" i="1" s="1"/>
  <c r="G427" i="1"/>
  <c r="K427" i="1" s="1"/>
  <c r="G428" i="1"/>
  <c r="K428" i="1" s="1"/>
  <c r="G429" i="1"/>
  <c r="K429" i="1" s="1"/>
  <c r="G430" i="1"/>
  <c r="K430" i="1" s="1"/>
  <c r="G431" i="1"/>
  <c r="K431" i="1" s="1"/>
  <c r="G432" i="1"/>
  <c r="K432" i="1" s="1"/>
  <c r="G433" i="1"/>
  <c r="K433" i="1" s="1"/>
  <c r="G434" i="1"/>
  <c r="K434" i="1" s="1"/>
  <c r="G435" i="1"/>
  <c r="K435" i="1" s="1"/>
  <c r="G436" i="1"/>
  <c r="K436" i="1" s="1"/>
  <c r="G437" i="1"/>
  <c r="K437" i="1" s="1"/>
  <c r="G438" i="1"/>
  <c r="K438" i="1" s="1"/>
  <c r="G439" i="1"/>
  <c r="K439" i="1" s="1"/>
  <c r="G440" i="1"/>
  <c r="K440" i="1" s="1"/>
  <c r="G441" i="1"/>
  <c r="K441" i="1" s="1"/>
  <c r="G442" i="1"/>
  <c r="K442" i="1" s="1"/>
  <c r="G443" i="1"/>
  <c r="K443" i="1" s="1"/>
  <c r="G444" i="1"/>
  <c r="K444" i="1" s="1"/>
  <c r="G445" i="1"/>
  <c r="K445" i="1" s="1"/>
  <c r="G446" i="1"/>
  <c r="K446" i="1" s="1"/>
  <c r="G447" i="1"/>
  <c r="K447" i="1" s="1"/>
  <c r="G448" i="1"/>
  <c r="K448" i="1" s="1"/>
  <c r="G449" i="1"/>
  <c r="K449" i="1" s="1"/>
  <c r="G450" i="1"/>
  <c r="K450" i="1" s="1"/>
  <c r="G451" i="1"/>
  <c r="K451" i="1" s="1"/>
  <c r="G452" i="1"/>
  <c r="K452" i="1" s="1"/>
  <c r="G453" i="1"/>
  <c r="K453" i="1" s="1"/>
  <c r="G454" i="1"/>
  <c r="K454" i="1" s="1"/>
  <c r="G455" i="1"/>
  <c r="K455" i="1" s="1"/>
  <c r="G456" i="1"/>
  <c r="K456" i="1" s="1"/>
  <c r="G457" i="1"/>
  <c r="K457" i="1" s="1"/>
  <c r="G458" i="1"/>
  <c r="K458" i="1" s="1"/>
  <c r="G459" i="1"/>
  <c r="K459" i="1" s="1"/>
  <c r="G460" i="1"/>
  <c r="K460" i="1" s="1"/>
  <c r="G461" i="1"/>
  <c r="K461" i="1" s="1"/>
  <c r="G462" i="1"/>
  <c r="K462" i="1" s="1"/>
  <c r="G463" i="1"/>
  <c r="K463" i="1" s="1"/>
  <c r="G464" i="1"/>
  <c r="K464" i="1" s="1"/>
  <c r="G465" i="1"/>
  <c r="K465" i="1" s="1"/>
  <c r="G466" i="1"/>
  <c r="K466" i="1" s="1"/>
  <c r="G467" i="1"/>
  <c r="K467" i="1" s="1"/>
  <c r="G468" i="1"/>
  <c r="K468" i="1" s="1"/>
  <c r="G469" i="1"/>
  <c r="K469" i="1" s="1"/>
  <c r="G470" i="1"/>
  <c r="K470" i="1" s="1"/>
  <c r="G471" i="1"/>
  <c r="K471" i="1" s="1"/>
  <c r="G472" i="1"/>
  <c r="K472" i="1" s="1"/>
  <c r="G473" i="1"/>
  <c r="K473" i="1" s="1"/>
  <c r="G474" i="1"/>
  <c r="K474" i="1" s="1"/>
  <c r="G475" i="1"/>
  <c r="K475" i="1" s="1"/>
  <c r="G476" i="1"/>
  <c r="K476" i="1" s="1"/>
  <c r="G477" i="1"/>
  <c r="K477" i="1" s="1"/>
  <c r="G478" i="1"/>
  <c r="K478" i="1" s="1"/>
  <c r="G479" i="1"/>
  <c r="K479" i="1" s="1"/>
  <c r="G480" i="1"/>
  <c r="K480" i="1" s="1"/>
  <c r="G481" i="1"/>
  <c r="K481" i="1" s="1"/>
  <c r="G482" i="1"/>
  <c r="K482" i="1" s="1"/>
  <c r="G483" i="1"/>
  <c r="K483" i="1" s="1"/>
  <c r="G484" i="1"/>
  <c r="K484" i="1" s="1"/>
  <c r="G485" i="1"/>
  <c r="K485" i="1" s="1"/>
  <c r="G486" i="1"/>
  <c r="K486" i="1" s="1"/>
  <c r="G487" i="1"/>
  <c r="K487" i="1" s="1"/>
  <c r="G488" i="1"/>
  <c r="K488" i="1" s="1"/>
  <c r="G489" i="1"/>
  <c r="K489" i="1" s="1"/>
  <c r="G490" i="1"/>
  <c r="K490" i="1" s="1"/>
  <c r="G491" i="1"/>
  <c r="K491" i="1" s="1"/>
  <c r="G492" i="1"/>
  <c r="K492" i="1" s="1"/>
  <c r="G493" i="1"/>
  <c r="K493" i="1" s="1"/>
  <c r="G494" i="1"/>
  <c r="K494" i="1" s="1"/>
  <c r="G495" i="1"/>
  <c r="K495" i="1" s="1"/>
  <c r="G496" i="1"/>
  <c r="K496" i="1" s="1"/>
  <c r="G497" i="1"/>
  <c r="K497" i="1" s="1"/>
  <c r="G498" i="1"/>
  <c r="K498" i="1" s="1"/>
  <c r="G499" i="1"/>
  <c r="K499" i="1" s="1"/>
  <c r="G500" i="1"/>
  <c r="K500" i="1" s="1"/>
  <c r="G501" i="1"/>
  <c r="K501" i="1" s="1"/>
  <c r="G502" i="1"/>
  <c r="K502" i="1" s="1"/>
  <c r="G503" i="1"/>
  <c r="K503" i="1" s="1"/>
  <c r="G504" i="1"/>
  <c r="K504" i="1" s="1"/>
  <c r="G505" i="1"/>
  <c r="K505" i="1" s="1"/>
  <c r="G506" i="1"/>
  <c r="K506" i="1" s="1"/>
  <c r="G507" i="1"/>
  <c r="K507" i="1" s="1"/>
  <c r="G508" i="1"/>
  <c r="K508" i="1" s="1"/>
  <c r="G509" i="1"/>
  <c r="K509" i="1" s="1"/>
  <c r="G510" i="1"/>
  <c r="K510" i="1" s="1"/>
  <c r="G511" i="1"/>
  <c r="K511" i="1" s="1"/>
  <c r="G512" i="1"/>
  <c r="K512" i="1" s="1"/>
  <c r="G513" i="1"/>
  <c r="K513" i="1" s="1"/>
  <c r="G514" i="1"/>
  <c r="K514" i="1" s="1"/>
  <c r="G515" i="1"/>
  <c r="K515" i="1" s="1"/>
  <c r="G516" i="1"/>
  <c r="K516" i="1" s="1"/>
  <c r="G517" i="1"/>
  <c r="K517" i="1" s="1"/>
  <c r="G518" i="1"/>
  <c r="K518" i="1" s="1"/>
  <c r="G519" i="1"/>
  <c r="K519" i="1" s="1"/>
  <c r="G520" i="1"/>
  <c r="K520" i="1" s="1"/>
  <c r="G521" i="1"/>
  <c r="K521" i="1" s="1"/>
  <c r="G522" i="1"/>
  <c r="K522" i="1" s="1"/>
  <c r="G523" i="1"/>
  <c r="K523" i="1" s="1"/>
  <c r="G524" i="1"/>
  <c r="K524" i="1" s="1"/>
  <c r="G525" i="1"/>
  <c r="K525" i="1" s="1"/>
  <c r="G526" i="1"/>
  <c r="K526" i="1" s="1"/>
  <c r="G527" i="1"/>
  <c r="K527" i="1" s="1"/>
  <c r="G528" i="1"/>
  <c r="K528" i="1" s="1"/>
  <c r="G529" i="1"/>
  <c r="K529" i="1" s="1"/>
  <c r="G530" i="1"/>
  <c r="K530" i="1" s="1"/>
  <c r="G531" i="1"/>
  <c r="K531" i="1" s="1"/>
  <c r="G532" i="1"/>
  <c r="K532" i="1" s="1"/>
  <c r="G533" i="1"/>
  <c r="K533" i="1" s="1"/>
  <c r="G534" i="1"/>
  <c r="K534" i="1" s="1"/>
  <c r="G535" i="1"/>
  <c r="K535" i="1" s="1"/>
  <c r="G536" i="1"/>
  <c r="K536" i="1" s="1"/>
  <c r="G537" i="1"/>
  <c r="K537" i="1" s="1"/>
  <c r="G538" i="1"/>
  <c r="K538" i="1" s="1"/>
  <c r="G539" i="1"/>
  <c r="K539" i="1" s="1"/>
  <c r="G540" i="1"/>
  <c r="K540" i="1" s="1"/>
  <c r="G541" i="1"/>
  <c r="K541" i="1" s="1"/>
  <c r="G542" i="1"/>
  <c r="K542" i="1" s="1"/>
  <c r="G543" i="1"/>
  <c r="K543" i="1" s="1"/>
  <c r="G544" i="1"/>
  <c r="K544" i="1" s="1"/>
  <c r="G545" i="1"/>
  <c r="K545" i="1" s="1"/>
  <c r="G546" i="1"/>
  <c r="K546" i="1" s="1"/>
  <c r="G547" i="1"/>
  <c r="K547" i="1" s="1"/>
  <c r="G548" i="1"/>
  <c r="K548" i="1" s="1"/>
  <c r="G549" i="1"/>
  <c r="K549" i="1" s="1"/>
  <c r="G550" i="1"/>
  <c r="K550" i="1" s="1"/>
  <c r="G551" i="1"/>
  <c r="K551" i="1" s="1"/>
  <c r="G552" i="1"/>
  <c r="K552" i="1" s="1"/>
  <c r="G553" i="1"/>
  <c r="K553" i="1" s="1"/>
  <c r="G554" i="1"/>
  <c r="K554" i="1" s="1"/>
  <c r="G555" i="1"/>
  <c r="K555" i="1" s="1"/>
  <c r="G556" i="1"/>
  <c r="K556" i="1" s="1"/>
  <c r="G557" i="1"/>
  <c r="K557" i="1" s="1"/>
  <c r="G558" i="1"/>
  <c r="K558" i="1" s="1"/>
  <c r="G559" i="1"/>
  <c r="K559" i="1" s="1"/>
  <c r="G560" i="1"/>
  <c r="K560" i="1" s="1"/>
  <c r="G561" i="1"/>
  <c r="K561" i="1" s="1"/>
  <c r="G562" i="1"/>
  <c r="K562" i="1" s="1"/>
  <c r="G563" i="1"/>
  <c r="K563" i="1" s="1"/>
  <c r="G564" i="1"/>
  <c r="K564" i="1" s="1"/>
  <c r="G565" i="1"/>
  <c r="K565" i="1" s="1"/>
  <c r="G566" i="1"/>
  <c r="K566" i="1" s="1"/>
  <c r="G567" i="1"/>
  <c r="K567" i="1" s="1"/>
  <c r="G568" i="1"/>
  <c r="K568" i="1" s="1"/>
  <c r="G569" i="1"/>
  <c r="K569" i="1" s="1"/>
  <c r="G570" i="1"/>
  <c r="K570" i="1" s="1"/>
  <c r="G571" i="1"/>
  <c r="K571" i="1" s="1"/>
  <c r="G572" i="1"/>
  <c r="K572" i="1" s="1"/>
  <c r="G573" i="1"/>
  <c r="K573" i="1" s="1"/>
  <c r="G574" i="1"/>
  <c r="K574" i="1" s="1"/>
  <c r="G575" i="1"/>
  <c r="K575" i="1" s="1"/>
  <c r="G576" i="1"/>
  <c r="K576" i="1" s="1"/>
  <c r="G577" i="1"/>
  <c r="K577" i="1" s="1"/>
  <c r="G578" i="1"/>
  <c r="K578" i="1" s="1"/>
  <c r="G579" i="1"/>
  <c r="K579" i="1" s="1"/>
  <c r="G580" i="1"/>
  <c r="K580" i="1" s="1"/>
  <c r="G581" i="1"/>
  <c r="K581" i="1" s="1"/>
  <c r="G582" i="1"/>
  <c r="K582" i="1" s="1"/>
  <c r="G583" i="1"/>
  <c r="K583" i="1" s="1"/>
  <c r="G584" i="1"/>
  <c r="K584" i="1" s="1"/>
  <c r="G585" i="1"/>
  <c r="K585" i="1" s="1"/>
  <c r="G586" i="1"/>
  <c r="K586" i="1" s="1"/>
  <c r="G587" i="1"/>
  <c r="K587" i="1" s="1"/>
  <c r="G588" i="1"/>
  <c r="K588" i="1" s="1"/>
  <c r="G589" i="1"/>
  <c r="K589" i="1" s="1"/>
  <c r="G590" i="1"/>
  <c r="K590" i="1" s="1"/>
  <c r="G591" i="1"/>
  <c r="K591" i="1" s="1"/>
  <c r="G592" i="1"/>
  <c r="K592" i="1" s="1"/>
  <c r="G593" i="1"/>
  <c r="K593" i="1" s="1"/>
  <c r="G594" i="1"/>
  <c r="K594" i="1" s="1"/>
  <c r="G595" i="1"/>
  <c r="K595" i="1" s="1"/>
  <c r="G596" i="1"/>
  <c r="K596" i="1" s="1"/>
  <c r="G597" i="1"/>
  <c r="K597" i="1" s="1"/>
  <c r="G598" i="1"/>
  <c r="K598" i="1" s="1"/>
  <c r="G599" i="1"/>
  <c r="K599" i="1" s="1"/>
  <c r="G600" i="1"/>
  <c r="K600" i="1" s="1"/>
  <c r="G601" i="1"/>
  <c r="K601" i="1" s="1"/>
  <c r="G602" i="1"/>
  <c r="K602" i="1" s="1"/>
  <c r="G603" i="1"/>
  <c r="K603" i="1" s="1"/>
  <c r="G604" i="1"/>
  <c r="K604" i="1" s="1"/>
  <c r="G605" i="1"/>
  <c r="K605" i="1" s="1"/>
  <c r="G606" i="1"/>
  <c r="K606" i="1" s="1"/>
  <c r="G607" i="1"/>
  <c r="K607" i="1" s="1"/>
  <c r="G608" i="1"/>
  <c r="K608" i="1" s="1"/>
  <c r="G609" i="1"/>
  <c r="K609" i="1" s="1"/>
  <c r="G610" i="1"/>
  <c r="K610" i="1" s="1"/>
  <c r="G611" i="1"/>
  <c r="K611" i="1" s="1"/>
  <c r="G612" i="1"/>
  <c r="K612" i="1" s="1"/>
  <c r="G613" i="1"/>
  <c r="K613" i="1" s="1"/>
  <c r="G614" i="1"/>
  <c r="K614" i="1" s="1"/>
  <c r="G615" i="1"/>
  <c r="K615" i="1" s="1"/>
  <c r="G616" i="1"/>
  <c r="K616" i="1" s="1"/>
  <c r="G617" i="1"/>
  <c r="K617" i="1" s="1"/>
  <c r="G618" i="1"/>
  <c r="K618" i="1" s="1"/>
  <c r="G619" i="1"/>
  <c r="K619" i="1" s="1"/>
  <c r="G620" i="1"/>
  <c r="K620" i="1" s="1"/>
  <c r="G621" i="1"/>
  <c r="K621" i="1" s="1"/>
  <c r="G622" i="1"/>
  <c r="K622" i="1" s="1"/>
  <c r="G623" i="1"/>
  <c r="K623" i="1" s="1"/>
  <c r="G624" i="1"/>
  <c r="K624" i="1" s="1"/>
  <c r="G625" i="1"/>
  <c r="K625" i="1" s="1"/>
  <c r="G626" i="1"/>
  <c r="K626" i="1" s="1"/>
  <c r="G627" i="1"/>
  <c r="K627" i="1" s="1"/>
  <c r="G628" i="1"/>
  <c r="K628" i="1" s="1"/>
  <c r="G629" i="1"/>
  <c r="K629" i="1" s="1"/>
  <c r="G630" i="1"/>
  <c r="K630" i="1" s="1"/>
  <c r="G631" i="1"/>
  <c r="K631" i="1" s="1"/>
  <c r="G632" i="1"/>
  <c r="K632" i="1" s="1"/>
  <c r="G633" i="1"/>
  <c r="K633" i="1" s="1"/>
  <c r="G634" i="1"/>
  <c r="K634" i="1" s="1"/>
  <c r="G635" i="1"/>
  <c r="K635" i="1" s="1"/>
  <c r="G636" i="1"/>
  <c r="K636" i="1" s="1"/>
  <c r="G637" i="1"/>
  <c r="K637" i="1" s="1"/>
  <c r="G638" i="1"/>
  <c r="K638" i="1" s="1"/>
  <c r="G639" i="1"/>
  <c r="K639" i="1" s="1"/>
  <c r="G640" i="1"/>
  <c r="K640" i="1" s="1"/>
  <c r="G641" i="1"/>
  <c r="K641" i="1" s="1"/>
  <c r="G642" i="1"/>
  <c r="K642" i="1" s="1"/>
  <c r="G643" i="1"/>
  <c r="K643" i="1" s="1"/>
  <c r="G644" i="1"/>
  <c r="K644" i="1" s="1"/>
  <c r="G645" i="1"/>
  <c r="K645" i="1" s="1"/>
  <c r="G646" i="1"/>
  <c r="K646" i="1" s="1"/>
  <c r="G647" i="1"/>
  <c r="K647" i="1" s="1"/>
  <c r="G648" i="1"/>
  <c r="K648" i="1" s="1"/>
  <c r="G649" i="1"/>
  <c r="K649" i="1" s="1"/>
  <c r="G650" i="1"/>
  <c r="K650" i="1" s="1"/>
  <c r="G651" i="1"/>
  <c r="K651" i="1" s="1"/>
  <c r="G652" i="1"/>
  <c r="K652" i="1" s="1"/>
  <c r="G653" i="1"/>
  <c r="K653" i="1" s="1"/>
  <c r="G654" i="1"/>
  <c r="K654" i="1" s="1"/>
  <c r="G655" i="1"/>
  <c r="K655" i="1" s="1"/>
  <c r="G656" i="1"/>
  <c r="K656" i="1" s="1"/>
  <c r="G657" i="1"/>
  <c r="K657" i="1" s="1"/>
  <c r="G658" i="1"/>
  <c r="K658" i="1" s="1"/>
  <c r="G659" i="1"/>
  <c r="K659" i="1" s="1"/>
  <c r="G660" i="1"/>
  <c r="K660" i="1" s="1"/>
  <c r="G661" i="1"/>
  <c r="K661" i="1" s="1"/>
  <c r="G662" i="1"/>
  <c r="K662" i="1" s="1"/>
  <c r="G663" i="1"/>
  <c r="K663" i="1" s="1"/>
  <c r="G664" i="1"/>
  <c r="K664" i="1" s="1"/>
  <c r="G665" i="1"/>
  <c r="K665" i="1" s="1"/>
  <c r="G666" i="1"/>
  <c r="K666" i="1" s="1"/>
  <c r="G667" i="1"/>
  <c r="K667" i="1" s="1"/>
  <c r="G668" i="1"/>
  <c r="K668" i="1" s="1"/>
  <c r="G669" i="1"/>
  <c r="K669" i="1" s="1"/>
  <c r="G670" i="1"/>
  <c r="K670" i="1" s="1"/>
  <c r="G671" i="1"/>
  <c r="K671" i="1" s="1"/>
  <c r="G672" i="1"/>
  <c r="K672" i="1" s="1"/>
  <c r="G673" i="1"/>
  <c r="K673" i="1" s="1"/>
  <c r="G674" i="1"/>
  <c r="K674" i="1" s="1"/>
  <c r="G675" i="1"/>
  <c r="K675" i="1" s="1"/>
  <c r="G676" i="1"/>
  <c r="K676" i="1" s="1"/>
  <c r="G677" i="1"/>
  <c r="K677" i="1" s="1"/>
  <c r="G678" i="1"/>
  <c r="K678" i="1" s="1"/>
  <c r="G679" i="1"/>
  <c r="K679" i="1" s="1"/>
  <c r="G680" i="1"/>
  <c r="K680" i="1" s="1"/>
  <c r="G681" i="1"/>
  <c r="K681" i="1" s="1"/>
  <c r="G682" i="1"/>
  <c r="K682" i="1" s="1"/>
  <c r="G683" i="1"/>
  <c r="K683" i="1" s="1"/>
  <c r="G684" i="1"/>
  <c r="K684" i="1" s="1"/>
  <c r="G685" i="1"/>
  <c r="K685" i="1" s="1"/>
  <c r="G686" i="1"/>
  <c r="K686" i="1" s="1"/>
  <c r="G687" i="1"/>
  <c r="K687" i="1" s="1"/>
  <c r="G688" i="1"/>
  <c r="K688" i="1" s="1"/>
  <c r="G689" i="1"/>
  <c r="K689" i="1" s="1"/>
  <c r="G690" i="1"/>
  <c r="K690" i="1" s="1"/>
  <c r="G691" i="1"/>
  <c r="K691" i="1" s="1"/>
  <c r="G692" i="1"/>
  <c r="K692" i="1" s="1"/>
  <c r="G693" i="1"/>
  <c r="K693" i="1" s="1"/>
  <c r="G694" i="1"/>
  <c r="K694" i="1" s="1"/>
  <c r="G695" i="1"/>
  <c r="K695" i="1" s="1"/>
  <c r="G696" i="1"/>
  <c r="K696" i="1" s="1"/>
  <c r="G697" i="1"/>
  <c r="K697" i="1" s="1"/>
  <c r="G698" i="1"/>
  <c r="K698" i="1" s="1"/>
  <c r="G699" i="1"/>
  <c r="K699" i="1" s="1"/>
  <c r="G700" i="1"/>
  <c r="K700" i="1" s="1"/>
  <c r="G701" i="1"/>
  <c r="K701" i="1" s="1"/>
  <c r="G702" i="1"/>
  <c r="K702" i="1" s="1"/>
  <c r="G703" i="1"/>
  <c r="K703" i="1" s="1"/>
  <c r="G704" i="1"/>
  <c r="K704" i="1" s="1"/>
  <c r="G705" i="1"/>
  <c r="K705" i="1" s="1"/>
  <c r="G706" i="1"/>
  <c r="K706" i="1" s="1"/>
  <c r="G707" i="1"/>
  <c r="K707" i="1" s="1"/>
  <c r="G708" i="1"/>
  <c r="K708" i="1" s="1"/>
  <c r="G709" i="1"/>
  <c r="K709" i="1" s="1"/>
  <c r="G710" i="1"/>
  <c r="K710" i="1" s="1"/>
  <c r="G711" i="1"/>
  <c r="K711" i="1" s="1"/>
  <c r="G712" i="1"/>
  <c r="K712" i="1" s="1"/>
  <c r="G713" i="1"/>
  <c r="K713" i="1" s="1"/>
  <c r="G714" i="1"/>
  <c r="K714" i="1" s="1"/>
  <c r="G715" i="1"/>
  <c r="K715" i="1" s="1"/>
  <c r="G716" i="1"/>
  <c r="K716" i="1" s="1"/>
  <c r="G717" i="1"/>
  <c r="K717" i="1" s="1"/>
  <c r="G718" i="1"/>
  <c r="K718" i="1" s="1"/>
  <c r="G719" i="1"/>
  <c r="K719" i="1" s="1"/>
  <c r="G720" i="1"/>
  <c r="K720" i="1" s="1"/>
  <c r="G721" i="1"/>
  <c r="K721" i="1" s="1"/>
  <c r="G722" i="1"/>
  <c r="K722" i="1" s="1"/>
  <c r="G723" i="1"/>
  <c r="K723" i="1" s="1"/>
  <c r="G724" i="1"/>
  <c r="K724" i="1" s="1"/>
  <c r="G725" i="1"/>
  <c r="K725" i="1" s="1"/>
  <c r="G726" i="1"/>
  <c r="K726" i="1" s="1"/>
  <c r="G727" i="1"/>
  <c r="K727" i="1" s="1"/>
  <c r="G728" i="1"/>
  <c r="K728" i="1" s="1"/>
  <c r="G729" i="1"/>
  <c r="K729" i="1" s="1"/>
  <c r="G730" i="1"/>
  <c r="K730" i="1" s="1"/>
  <c r="G731" i="1"/>
  <c r="K731" i="1" s="1"/>
  <c r="G732" i="1"/>
  <c r="K732" i="1" s="1"/>
  <c r="G733" i="1"/>
  <c r="K733" i="1" s="1"/>
  <c r="G734" i="1"/>
  <c r="K734" i="1" s="1"/>
  <c r="G735" i="1"/>
  <c r="K735" i="1" s="1"/>
  <c r="G736" i="1"/>
  <c r="K736" i="1" s="1"/>
  <c r="G737" i="1"/>
  <c r="K737" i="1" s="1"/>
  <c r="G738" i="1"/>
  <c r="K738" i="1" s="1"/>
  <c r="G739" i="1"/>
  <c r="K739" i="1" s="1"/>
  <c r="G740" i="1"/>
  <c r="K740" i="1" s="1"/>
  <c r="G741" i="1"/>
  <c r="K741" i="1" s="1"/>
  <c r="G742" i="1"/>
  <c r="K742" i="1" s="1"/>
  <c r="G743" i="1"/>
  <c r="K743" i="1" s="1"/>
  <c r="G744" i="1"/>
  <c r="K744" i="1" s="1"/>
  <c r="G745" i="1"/>
  <c r="K745" i="1" s="1"/>
  <c r="G746" i="1"/>
  <c r="K746" i="1" s="1"/>
  <c r="G747" i="1"/>
  <c r="K747" i="1" s="1"/>
  <c r="G748" i="1"/>
  <c r="K748" i="1" s="1"/>
  <c r="G749" i="1"/>
  <c r="K749" i="1" s="1"/>
  <c r="G750" i="1"/>
  <c r="K750" i="1" s="1"/>
  <c r="G751" i="1"/>
  <c r="K751" i="1" s="1"/>
  <c r="G752" i="1"/>
  <c r="K752" i="1" s="1"/>
  <c r="G753" i="1"/>
  <c r="K753" i="1" s="1"/>
  <c r="G754" i="1"/>
  <c r="K754" i="1" s="1"/>
  <c r="G755" i="1"/>
  <c r="K755" i="1" s="1"/>
  <c r="G756" i="1"/>
  <c r="K756" i="1" s="1"/>
  <c r="G757" i="1"/>
  <c r="K757" i="1" s="1"/>
  <c r="G758" i="1"/>
  <c r="K758" i="1" s="1"/>
  <c r="G759" i="1"/>
  <c r="K759" i="1" s="1"/>
  <c r="G760" i="1"/>
  <c r="K760" i="1" s="1"/>
  <c r="G761" i="1"/>
  <c r="K761" i="1" s="1"/>
  <c r="G762" i="1"/>
  <c r="K762" i="1" s="1"/>
  <c r="G763" i="1"/>
  <c r="K763" i="1" s="1"/>
  <c r="G764" i="1"/>
  <c r="K764" i="1" s="1"/>
  <c r="G765" i="1"/>
  <c r="K765" i="1" s="1"/>
  <c r="G766" i="1"/>
  <c r="K766" i="1" s="1"/>
  <c r="G767" i="1"/>
  <c r="K767" i="1" s="1"/>
  <c r="G768" i="1"/>
  <c r="K768" i="1" s="1"/>
  <c r="G769" i="1"/>
  <c r="K769" i="1" s="1"/>
  <c r="G770" i="1"/>
  <c r="K770" i="1" s="1"/>
  <c r="G771" i="1"/>
  <c r="K771" i="1" s="1"/>
  <c r="G772" i="1"/>
  <c r="K772" i="1" s="1"/>
  <c r="G773" i="1"/>
  <c r="K773" i="1" s="1"/>
  <c r="G774" i="1"/>
  <c r="K774" i="1" s="1"/>
  <c r="G775" i="1"/>
  <c r="K775" i="1" s="1"/>
  <c r="G776" i="1"/>
  <c r="K776" i="1" s="1"/>
  <c r="G777" i="1"/>
  <c r="K777" i="1" s="1"/>
  <c r="G778" i="1"/>
  <c r="K778" i="1" s="1"/>
  <c r="G779" i="1"/>
  <c r="K779" i="1" s="1"/>
  <c r="G780" i="1"/>
  <c r="K780" i="1" s="1"/>
  <c r="G781" i="1"/>
  <c r="K781" i="1" s="1"/>
  <c r="G782" i="1"/>
  <c r="K782" i="1" s="1"/>
  <c r="G783" i="1"/>
  <c r="K783" i="1" s="1"/>
  <c r="G784" i="1"/>
  <c r="K784" i="1" s="1"/>
  <c r="G785" i="1"/>
  <c r="K785" i="1" s="1"/>
  <c r="G786" i="1"/>
  <c r="K786" i="1" s="1"/>
  <c r="G787" i="1"/>
  <c r="K787" i="1" s="1"/>
  <c r="G788" i="1"/>
  <c r="K788" i="1" s="1"/>
  <c r="G789" i="1"/>
  <c r="K789" i="1" s="1"/>
  <c r="G790" i="1"/>
  <c r="K790" i="1" s="1"/>
  <c r="G791" i="1"/>
  <c r="K791" i="1" s="1"/>
  <c r="G792" i="1"/>
  <c r="K792" i="1" s="1"/>
  <c r="G793" i="1"/>
  <c r="K793" i="1" s="1"/>
  <c r="G794" i="1"/>
  <c r="K794" i="1" s="1"/>
  <c r="G795" i="1"/>
  <c r="K795" i="1" s="1"/>
  <c r="G796" i="1"/>
  <c r="K796" i="1" s="1"/>
  <c r="G797" i="1"/>
  <c r="K797" i="1" s="1"/>
  <c r="G798" i="1"/>
  <c r="K798" i="1" s="1"/>
  <c r="G799" i="1"/>
  <c r="K799" i="1" s="1"/>
  <c r="G800" i="1"/>
  <c r="K800" i="1" s="1"/>
  <c r="G801" i="1"/>
  <c r="K801" i="1" s="1"/>
  <c r="G802" i="1"/>
  <c r="K802" i="1" s="1"/>
  <c r="G803" i="1"/>
  <c r="K803" i="1" s="1"/>
  <c r="G804" i="1"/>
  <c r="K804" i="1" s="1"/>
  <c r="G805" i="1"/>
  <c r="K805" i="1" s="1"/>
  <c r="G806" i="1"/>
  <c r="K806" i="1" s="1"/>
  <c r="G807" i="1"/>
  <c r="K807" i="1" s="1"/>
  <c r="G808" i="1"/>
  <c r="K808" i="1" s="1"/>
  <c r="G809" i="1"/>
  <c r="K809" i="1" s="1"/>
  <c r="G810" i="1"/>
  <c r="K810" i="1" s="1"/>
  <c r="G811" i="1"/>
  <c r="K811" i="1" s="1"/>
  <c r="G812" i="1"/>
  <c r="K812" i="1" s="1"/>
  <c r="G813" i="1"/>
  <c r="K813" i="1" s="1"/>
  <c r="G814" i="1"/>
  <c r="K814" i="1" s="1"/>
  <c r="G815" i="1"/>
  <c r="K815" i="1" s="1"/>
  <c r="G816" i="1"/>
  <c r="K816" i="1" s="1"/>
  <c r="G817" i="1"/>
  <c r="K817" i="1" s="1"/>
  <c r="G818" i="1"/>
  <c r="K818" i="1" s="1"/>
  <c r="G819" i="1"/>
  <c r="K819" i="1" s="1"/>
  <c r="G820" i="1"/>
  <c r="K820" i="1" s="1"/>
  <c r="G821" i="1"/>
  <c r="K821" i="1" s="1"/>
  <c r="G822" i="1"/>
  <c r="K822" i="1" s="1"/>
  <c r="G823" i="1"/>
  <c r="K823" i="1" s="1"/>
  <c r="G824" i="1"/>
  <c r="K824" i="1" s="1"/>
  <c r="G825" i="1"/>
  <c r="K825" i="1" s="1"/>
  <c r="G826" i="1"/>
  <c r="K826" i="1" s="1"/>
  <c r="G827" i="1"/>
  <c r="K827" i="1" s="1"/>
  <c r="G828" i="1"/>
  <c r="K828" i="1" s="1"/>
  <c r="G829" i="1"/>
  <c r="K829" i="1" s="1"/>
  <c r="G830" i="1"/>
  <c r="K830" i="1" s="1"/>
  <c r="G831" i="1"/>
  <c r="K831" i="1" s="1"/>
  <c r="G832" i="1"/>
  <c r="K832" i="1" s="1"/>
  <c r="G833" i="1"/>
  <c r="K833" i="1" s="1"/>
  <c r="G834" i="1"/>
  <c r="K834" i="1" s="1"/>
  <c r="G835" i="1"/>
  <c r="K835" i="1" s="1"/>
  <c r="G836" i="1"/>
  <c r="K836" i="1" s="1"/>
  <c r="G837" i="1"/>
  <c r="K837" i="1" s="1"/>
  <c r="G838" i="1"/>
  <c r="K838" i="1" s="1"/>
  <c r="G839" i="1"/>
  <c r="K839" i="1" s="1"/>
  <c r="G840" i="1"/>
  <c r="K840" i="1" s="1"/>
  <c r="G841" i="1"/>
  <c r="K841" i="1" s="1"/>
  <c r="G842" i="1"/>
  <c r="K842" i="1" s="1"/>
  <c r="G843" i="1"/>
  <c r="K843" i="1" s="1"/>
  <c r="G844" i="1"/>
  <c r="K844" i="1" s="1"/>
  <c r="G845" i="1"/>
  <c r="K845" i="1" s="1"/>
  <c r="G846" i="1"/>
  <c r="K846" i="1" s="1"/>
  <c r="G847" i="1"/>
  <c r="K847" i="1" s="1"/>
  <c r="G848" i="1"/>
  <c r="K848" i="1" s="1"/>
  <c r="G849" i="1"/>
  <c r="K849" i="1" s="1"/>
  <c r="G850" i="1"/>
  <c r="K850" i="1" s="1"/>
  <c r="G851" i="1"/>
  <c r="K851" i="1" s="1"/>
  <c r="G852" i="1"/>
  <c r="K852" i="1" s="1"/>
  <c r="G853" i="1"/>
  <c r="K853" i="1" s="1"/>
  <c r="G854" i="1"/>
  <c r="K854" i="1" s="1"/>
  <c r="G855" i="1"/>
  <c r="K855" i="1" s="1"/>
  <c r="G856" i="1"/>
  <c r="K856" i="1" s="1"/>
  <c r="G857" i="1"/>
  <c r="K857" i="1" s="1"/>
  <c r="G858" i="1"/>
  <c r="K858" i="1" s="1"/>
  <c r="G859" i="1"/>
  <c r="K859" i="1" s="1"/>
  <c r="G860" i="1"/>
  <c r="K860" i="1" s="1"/>
  <c r="G861" i="1"/>
  <c r="K861" i="1" s="1"/>
  <c r="G862" i="1"/>
  <c r="K862" i="1" s="1"/>
  <c r="G863" i="1"/>
  <c r="K863" i="1" s="1"/>
  <c r="G864" i="1"/>
  <c r="K864" i="1" s="1"/>
  <c r="G865" i="1"/>
  <c r="K865" i="1" s="1"/>
  <c r="G866" i="1"/>
  <c r="K866" i="1" s="1"/>
  <c r="G867" i="1"/>
  <c r="K867" i="1" s="1"/>
  <c r="G868" i="1"/>
  <c r="K868" i="1" s="1"/>
  <c r="G869" i="1"/>
  <c r="K869" i="1" s="1"/>
  <c r="G870" i="1"/>
  <c r="K870" i="1" s="1"/>
  <c r="G871" i="1"/>
  <c r="K871" i="1" s="1"/>
  <c r="G872" i="1"/>
  <c r="K872" i="1" s="1"/>
  <c r="G873" i="1"/>
  <c r="K873" i="1" s="1"/>
  <c r="G874" i="1"/>
  <c r="K874" i="1" s="1"/>
  <c r="G875" i="1"/>
  <c r="K875" i="1" s="1"/>
  <c r="G876" i="1"/>
  <c r="K876" i="1" s="1"/>
  <c r="G877" i="1"/>
  <c r="K877" i="1" s="1"/>
  <c r="G878" i="1"/>
  <c r="K878" i="1" s="1"/>
  <c r="G879" i="1"/>
  <c r="K879" i="1" s="1"/>
  <c r="G880" i="1"/>
  <c r="K880" i="1" s="1"/>
  <c r="G881" i="1"/>
  <c r="K881" i="1" s="1"/>
  <c r="G882" i="1"/>
  <c r="K882" i="1" s="1"/>
  <c r="G883" i="1"/>
  <c r="K883" i="1" s="1"/>
  <c r="G884" i="1"/>
  <c r="K884" i="1" s="1"/>
  <c r="G885" i="1"/>
  <c r="K885" i="1" s="1"/>
  <c r="G886" i="1"/>
  <c r="K886" i="1" s="1"/>
  <c r="G887" i="1"/>
  <c r="K887" i="1" s="1"/>
  <c r="G888" i="1"/>
  <c r="K888" i="1" s="1"/>
  <c r="G889" i="1"/>
  <c r="K889" i="1" s="1"/>
  <c r="G890" i="1"/>
  <c r="K890" i="1" s="1"/>
  <c r="G891" i="1"/>
  <c r="K891" i="1" s="1"/>
  <c r="G892" i="1"/>
  <c r="K892" i="1" s="1"/>
  <c r="G893" i="1"/>
  <c r="K893" i="1" s="1"/>
  <c r="G894" i="1"/>
  <c r="K894" i="1" s="1"/>
  <c r="G895" i="1"/>
  <c r="K895" i="1" s="1"/>
  <c r="G896" i="1"/>
  <c r="K896" i="1" s="1"/>
  <c r="G897" i="1"/>
  <c r="K897" i="1" s="1"/>
  <c r="G898" i="1"/>
  <c r="K898" i="1" s="1"/>
  <c r="G899" i="1"/>
  <c r="K899" i="1" s="1"/>
  <c r="G900" i="1"/>
  <c r="K900" i="1" s="1"/>
  <c r="G901" i="1"/>
  <c r="K901" i="1" s="1"/>
  <c r="G902" i="1"/>
  <c r="K902" i="1" s="1"/>
  <c r="G903" i="1"/>
  <c r="K903" i="1" s="1"/>
  <c r="G904" i="1"/>
  <c r="K904" i="1" s="1"/>
  <c r="G905" i="1"/>
  <c r="K905" i="1" s="1"/>
  <c r="G906" i="1"/>
  <c r="K906" i="1" s="1"/>
  <c r="G907" i="1"/>
  <c r="K907" i="1" s="1"/>
  <c r="G908" i="1"/>
  <c r="K908" i="1" s="1"/>
  <c r="G909" i="1"/>
  <c r="K909" i="1" s="1"/>
  <c r="G910" i="1"/>
  <c r="K910" i="1" s="1"/>
  <c r="G2" i="1"/>
  <c r="K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<sst xmlns="http://schemas.openxmlformats.org/spreadsheetml/2006/main" count="2785" uniqueCount="921">
  <si>
    <t>Seq</t>
  </si>
  <si>
    <t>inp</t>
  </si>
  <si>
    <t>S1</t>
  </si>
  <si>
    <t>S2</t>
  </si>
  <si>
    <t>S3</t>
  </si>
  <si>
    <t>Average</t>
  </si>
  <si>
    <t xml:space="preserve"> </t>
  </si>
  <si>
    <t>WT</t>
  </si>
  <si>
    <t>AAACAAATGATTCGTCGTCTGACTGAAATTTGTAAACAT</t>
  </si>
  <si>
    <t>AAAGAACAAATTGAATATCTGAAAAAAATTTGTGATCAT</t>
  </si>
  <si>
    <t>AAAGAACAAATTAAACGTCTGGTTGAAATTTGTAAACAT</t>
  </si>
  <si>
    <t>AAACAACAAATTGCACGTCTGAAAGAAATTTGTAAATAT</t>
  </si>
  <si>
    <t>AAACAACAAATTAAACGTCTGATTGAAATTTGTAAATAT</t>
  </si>
  <si>
    <t>AAAAAACAAATTGAAAAACTGAAAAAAATTTGTGAACAT</t>
  </si>
  <si>
    <t>AAACAACAAATTGAACGTCTGAAACAAATTTGTGAATAT</t>
  </si>
  <si>
    <t>AAACAACAAATTGAACGTCTGAAACAAATTTGTGAACAT</t>
  </si>
  <si>
    <t>GAACAACAAATTAAACGTCTGAAAGAAATTTGTAAACAT</t>
  </si>
  <si>
    <t>AAAGAACAAATTAAACGTCTGAAAGAAATTTGTAAACAT</t>
  </si>
  <si>
    <t>GCAGAACAAATTAAACGTCTGGTTCTGATTTGTGAACAT</t>
  </si>
  <si>
    <t>AAACAACAAATTGAACGTCTGGTTCTGATTTGTAAACAT</t>
  </si>
  <si>
    <t>AAAGAACAAATTAAACGTCTGAAACTGATTTGTGAATAT</t>
  </si>
  <si>
    <t>AAAGCAATGGAAAAACGTCTGGTTAAAATTTGTGAACAT</t>
  </si>
  <si>
    <t>AAACAACAAGTTAAACGTCTGAAACTGATTTGTGAACAT</t>
  </si>
  <si>
    <t>AAAAAAATGGAAGCATATCTGAAAGCAATTTGTGAACAT</t>
  </si>
  <si>
    <t>AAACAACAAATTGAACGTCTGAAACTGATTTGTGAACAT</t>
  </si>
  <si>
    <t>AAACAACAAATTGAACGTCTGAAACAAATTTGTAAACAT</t>
  </si>
  <si>
    <t>AAAGAACAAATTAAACGTCTGAAAGAAATTTGTCGTCAT</t>
  </si>
  <si>
    <t>GAACAACAAAAAAAACGTCTGATTCAAATTTGTGAACAT</t>
  </si>
  <si>
    <t>GCACAACAAATTGAACGTCTGAAACTGATTTGTAAAGAA</t>
  </si>
  <si>
    <t>AAACAAGCAGAAGAACGTCTGGTTGAAATTTGTAAACAT</t>
  </si>
  <si>
    <t>AAAGAACAAATTGAACGTCTGAAACAAATTTGTGCACAT</t>
  </si>
  <si>
    <t>AAAAAAATGATTGAACGTCTGAAACAAATTTGTGAACAT</t>
  </si>
  <si>
    <t>AAAGAACAAATTGAACGTCTGAAACTGATTTGTGAACAT</t>
  </si>
  <si>
    <t>AAACAACAAATTGCACGTCTGGTTCAAATTTGTAAACAT</t>
  </si>
  <si>
    <t>AAAGAACAAATTAAACGTCTGGAACTGATTTGTAAACAT</t>
  </si>
  <si>
    <t>AAACTGCAAAAAGAACGTCTGGTTGAAATTTGTAAACAT</t>
  </si>
  <si>
    <t>AAAGAACAAATTAAACGTCTGAAACTGATTTGTGAACAT</t>
  </si>
  <si>
    <t>GAAGAACAAATTAAACGTCTGGTTGAAATTTGTGAACAT</t>
  </si>
  <si>
    <t>GCAGAACAAATTGAACGTCTGAAAGCAATTTGTGAACAT</t>
  </si>
  <si>
    <t>AAACAAATGGAAAAACGTCTGGTTGAAATTTGTAAACAT</t>
  </si>
  <si>
    <t>AAACTGCAAATTGAACGTCTGAAACAAATTTGTGAACAT</t>
  </si>
  <si>
    <t>AAAAAACAAATTGAACGTCTGAAAAAAATTTGTGAACAT</t>
  </si>
  <si>
    <t>AAAGAACAAATTGAACGTCTGAAAGCAATTTGTGAACAT</t>
  </si>
  <si>
    <t>AAACTGGCAATTGAACGTCTGAAACAAATTTGTGAACAT</t>
  </si>
  <si>
    <t>AAACAAATGGAAGAACGTCTGGTTCTGATTTGTAAACAT</t>
  </si>
  <si>
    <t>AAAGCACAAATTGAACGTCTGAAACTGATTTGTGAACAT</t>
  </si>
  <si>
    <t>AAAGAACAAATTGAATATCTGAAACAAATTTGTGAACAT</t>
  </si>
  <si>
    <t>AAAGAACAAATTGAACGTCTGAAACTGATTTGTAAACAT</t>
  </si>
  <si>
    <t>AAAGAACAAATTGCACGTCTGAAAGAAATTTGTAAACAT</t>
  </si>
  <si>
    <t>AAACAAGCAATTGAACGTCTGAAACAAATTTGTGAACAT</t>
  </si>
  <si>
    <t>AAAGAACAAATTAAATATCTGAAAGAAATTTGTAAACAT</t>
  </si>
  <si>
    <t>AAACAAGCAATTAAACGTCTGAAACAAATTTGTGAACAT</t>
  </si>
  <si>
    <t>GAACTGCAAATTAAACGTCTGAAACTGATTTGTGAACAT</t>
  </si>
  <si>
    <t>AAAGAACAAATTAAACGTCTGAAACTGATTTGTAAACAT</t>
  </si>
  <si>
    <t>AAACAAATGGAAGAACGTCTGAAACTGATTTGTGAACAT</t>
  </si>
  <si>
    <t>AAACAAATGGAAGCACGTCTGGTTGAAATTTGTAAACAT</t>
  </si>
  <si>
    <t>GAAAAACAAAAAGAACGTCTGGTTCAAATTTGTAAACAT</t>
  </si>
  <si>
    <t>GAAGAACAAATTGAACGTCTGAAACGTATTTGTGAACAT</t>
  </si>
  <si>
    <t>AAACAACAAATTGCACGTCTGAAAAAAATTTGTGAACAT</t>
  </si>
  <si>
    <t>AAACAACAAATTAAACGTCTGACTCTGATTTGTGAACAT</t>
  </si>
  <si>
    <t>AAACAACAAATTGAACGTCTGAAAAAAATTTGTGAACAT</t>
  </si>
  <si>
    <t>GAAGAACAAATTAAACGTCTGACTCTGATTTGTGATCAT</t>
  </si>
  <si>
    <t>AAACAACAAATTAAACGTCTGAAACTGATTTGTGAACAT</t>
  </si>
  <si>
    <t>CAACAACAAATTGAACGTCTGAAAAAAATTTGTGAACAT</t>
  </si>
  <si>
    <t>GAAAAACAAAAAGAACGTCTGGTTCTGATTTGTAAACAT</t>
  </si>
  <si>
    <t>GAACGTCAAATTGCACGTCTGAAAGCAATTTGTGAACAT</t>
  </si>
  <si>
    <t>AAAAAACAAATTGAACGTCTGAAACTGATTTGTGAACAT</t>
  </si>
  <si>
    <t>AAACAACAAATTGAACGTCTGAAACAAATTTGTGATCAT</t>
  </si>
  <si>
    <t>AAACAACAAATTAAACGTCTGGTTCTGATTTGTGAACAT</t>
  </si>
  <si>
    <t>CAACAACAAATTAAACGTCTGAAACTGATTTGTGATCAT</t>
  </si>
  <si>
    <t>AAAGAACAAATTGCACGTCTGAAAAAAATTTGTGAACAT</t>
  </si>
  <si>
    <t>AAACAAATGATTGAACGTCTGAAACTGATTTGTAAACAT</t>
  </si>
  <si>
    <t>AAAGAAATGATTGAACGTCTGAAACTGATTTGTGAACAT</t>
  </si>
  <si>
    <t>GAACAACAAATTAAACGTCTGGTTGAAATTTGTAAACAT</t>
  </si>
  <si>
    <t>AAAGAACAAATTAAACGTCTGAAAGAAATTTGTGAACAT</t>
  </si>
  <si>
    <t>GAACTGCAAAAAAAACGTCTGGTTGAAATTTGTAAACAT</t>
  </si>
  <si>
    <t>AAACAACAAATTGAACGTCTGAAACTGATTTGTGCACAT</t>
  </si>
  <si>
    <t>AAAGAACAAGTTGAACGTCTGAAAGAAATTTGTAAACAT</t>
  </si>
  <si>
    <t>GCAGAACAAATTCGTCGTCTGAAACTGATTTGTGAACAT</t>
  </si>
  <si>
    <t>AAACAACAAATTGATCGTCTGAAACTGATTTGTGATCAT</t>
  </si>
  <si>
    <t>GAAGAACAAATTAAACGTCTGAAACTGATTTGTGAACAT</t>
  </si>
  <si>
    <t>GAACAACAAATTGAACGTCTGAAAGAAATTTGTAAACAT</t>
  </si>
  <si>
    <t>AAACAACAAATTACTCGTCTGAAAGAAATTTGTAAACAT</t>
  </si>
  <si>
    <t>AAACTGCAAGAAAAACGTCTGGTTGAAATTTGTAAACAT</t>
  </si>
  <si>
    <t>AAACAACAAATTGAACGTCTGAAAGCAATTTGTGAACAT</t>
  </si>
  <si>
    <t>AAAGAACAAATTGAACGTCTGAAAAAAATTTGTGAACAT</t>
  </si>
  <si>
    <t>AAAGAACAAATTGCACGTCTGAAAGCAATTTGTGAACAT</t>
  </si>
  <si>
    <t>AAACAACAAATTGAACGTCTGAAACTGATTTGTGAACGT</t>
  </si>
  <si>
    <t>AAACAACAAATTGAACGTCTGAAACAAATTTGTGCACAT</t>
  </si>
  <si>
    <t>AAAGAAGCAGAAAAACGTCTGGTTCTGATTTGTGAACAT</t>
  </si>
  <si>
    <t>AAAAAACAAATTGAACGTCTGAAAGCAATTTGTAAATAT</t>
  </si>
  <si>
    <t>GAAGCACAAATTGAACGTCTGAAAAAAATTTGTGAACAT</t>
  </si>
  <si>
    <t>AAACAACAAGAAGAACGTCTGGTTCTGATTTGTAAACAT</t>
  </si>
  <si>
    <t>GCACAACAAATTGCACGTCTGAAAGCAATTTGTGAACAT</t>
  </si>
  <si>
    <t>AATGAACAAATTGCACGTCTGAAACAAATTTGTGATCAT</t>
  </si>
  <si>
    <t>AAAGAAATGGAAGAACGTCTGGTTGCAATTTGTAAACAT</t>
  </si>
  <si>
    <t>GCAGAAATGGAAAAACGTCTGAAAGCAATTTGTGATCAT</t>
  </si>
  <si>
    <t>GAACAACAAATTAAACGTCTGAAACTGATTTGTGATCAT</t>
  </si>
  <si>
    <t>AAAGAACAAATTGCACGTCTGAAAGCAATTTGTGATCAT</t>
  </si>
  <si>
    <t>AAACAACAAATTGAACGTCTGAAACTGATTTGTAAACAT</t>
  </si>
  <si>
    <t>GAAGAACAAAAAGCATATCTGGTTAAAATTTGTGATCAT</t>
  </si>
  <si>
    <t>AAACAACAAGTTGAACGTCTGAAACTGATTTGTGAACAT</t>
  </si>
  <si>
    <t>AAAGAAATGATTAAACGTCTGAAAGAAATTTGTAAACAT</t>
  </si>
  <si>
    <t>AAACAACAAGAAGAACGTCTGAAAAAAATTTGTGAACAT</t>
  </si>
  <si>
    <t>AAACGTCAAATTGAACGTCTGAAACTGATTTGTAAACAT</t>
  </si>
  <si>
    <t>AAACAACAAATTAAACGTCTGAAAGAAATTTGTAAACAT</t>
  </si>
  <si>
    <t>AAACGTCAAATTGAACGTCTGAAACAAATTTGTAAACAT</t>
  </si>
  <si>
    <t>AAAAAACAAATTGAACGTCTGGTTAAAATTTGTGAACAT</t>
  </si>
  <si>
    <t>AAACAACAAATTGCACGTCTGAAAGAAATTTGTAAACAT</t>
  </si>
  <si>
    <t>AAACAACAAATTGAACGTCTGACTAAAATTTGTGAACAT</t>
  </si>
  <si>
    <t>AAACAACAAATTGCACGTCTGGAACAAATTTGTGAATAT</t>
  </si>
  <si>
    <t>AAAGAAAAAATTAAATATCTGAAACTGATTTGTGATCAT</t>
  </si>
  <si>
    <t>AAACAACAAATTGAACGTCTGAAACTGATTTGTGATCAT</t>
  </si>
  <si>
    <t>AAACAACAAATTGATCGTCTGAAACAAATTTGTGATCAT</t>
  </si>
  <si>
    <t>AAAAAACAAATTGAACGTCTGAAAGAAATTTGTAAACAT</t>
  </si>
  <si>
    <t>GAACAACAAATTGCACGTCTGAAAGCAATTTGTAAACAT</t>
  </si>
  <si>
    <t>GCACAACAAATTAAACGTCTGACTGAAATTTGTAAACAT</t>
  </si>
  <si>
    <t>GAAGCACAAATTGCACGTCTGAAAGAAATTTGTGCACAT</t>
  </si>
  <si>
    <t>AAAAAACAAATTGAACGTCTGAAACTGATTTGTAAACAT</t>
  </si>
  <si>
    <t>GAAAAACAAATTGCACGTCTGAAAGAAATTTGTGCACAT</t>
  </si>
  <si>
    <t>GAACAACAAATTAAACGTCTGACTCTGATTTGTGATCAT</t>
  </si>
  <si>
    <t>AAAGAACAAATTAAACGTCTGAAAAAAATTTGTGATCAT</t>
  </si>
  <si>
    <t>AAACAAATGGAAGAACGTCTGGTTCAAATTTGTAAACAT</t>
  </si>
  <si>
    <t>AAACAACAAATTGAACGTCTGAAAGCAATTTGTGCACAT</t>
  </si>
  <si>
    <t>GAACAACAAATTGCACGTCTGAAAGCAATTTGTGAACAT</t>
  </si>
  <si>
    <t>AAAAAACAAATTGAACGTCTGAAACAAATTTGTGCACAT</t>
  </si>
  <si>
    <t>GAAGAACAAATTCAACGTCTGAAAAAAATTTGTGAACAT</t>
  </si>
  <si>
    <t>GAACAAATGAAAAAACGTCTGCTGGAAATTTGTAAACAT</t>
  </si>
  <si>
    <t>AAAGAACAAATTCGTCGTCTGAAACAAATTTGTGATCAT</t>
  </si>
  <si>
    <t>GAAGAACAAATTAAACGTCTGAAAGAAATTTGTAAACAT</t>
  </si>
  <si>
    <t>AAAGAAATGGAAAAACGTCTGAAAGAAATTTGTGAACAT</t>
  </si>
  <si>
    <t>AAAGAAATGGAAAAACGTCTGGTTGAAATTTGTAAACAT</t>
  </si>
  <si>
    <t>AAAGAAATGATTAAACGTCTGATTGAAATTTGTAAACAT</t>
  </si>
  <si>
    <t>AAAGAAATGATTAAACGTCTGAAACTGATTTGTGAACAT</t>
  </si>
  <si>
    <t>AAAGAACAAATTGAACGTCTGAAAGCAATTTGTGCACAT</t>
  </si>
  <si>
    <t>GAAAAAATGATTGAACGTCTGAAAAAAATTTGTGAACAT</t>
  </si>
  <si>
    <t>GAACAAGCAAAAAAACGTCTGGTTCAAATTTGTCAATAT</t>
  </si>
  <si>
    <t>AAAGAACAAATTAAACGTCTGAAAGCAATTTGTGATCAT</t>
  </si>
  <si>
    <t>GCAGAACAAATTAAACGTCTGAAACTGATTTGTGAACAT</t>
  </si>
  <si>
    <t>AAACTGCAAATTGAACGTCTGCGTGAAATTTGTAAAGAA</t>
  </si>
  <si>
    <t>AAACAACAAATTGCACGTCTGAAAGAAATTTGTGCACAT</t>
  </si>
  <si>
    <t>AAACAACAAATTGATCGTCTGATTGCAATTTGTGAACAT</t>
  </si>
  <si>
    <t>GAACAACAAATTAAACGTCTGAAACAAATTTGTGATCAT</t>
  </si>
  <si>
    <t>GAACAACAAATTAAACGTCTGGTTGCAATTTGTGAACAT</t>
  </si>
  <si>
    <t>AAACAACAAGTTGCACGTCTGGTTGAAATTTGTAAACAT</t>
  </si>
  <si>
    <t>CGTGAACAAATTGAACGTCTGAAACTGATTTGTAAACAT</t>
  </si>
  <si>
    <t>AAACAACAAATTGAACGTCTGGTTGCAATTTGTGAACAT</t>
  </si>
  <si>
    <t>AAACAACAAATTGATCGTCTGAAAAAAATTTGTGAACAT</t>
  </si>
  <si>
    <t>AAAAAACAAATTGAACGTCTGAAAGAAATTTGTGCACAT</t>
  </si>
  <si>
    <t>GAACGTCAAATTGAACGTCTGAAACTGATTTGTAAACAT</t>
  </si>
  <si>
    <t>AAAGAACAAATTGCACGTCTGGTTGAAATTTGTAAACAT</t>
  </si>
  <si>
    <t>AAACAACAAATTAAACGTCTGGTTGAAATTTGTAAACAT</t>
  </si>
  <si>
    <t>GAAGAACAAATTAAACGTCTGGTTCTGATTTGTGAACAT</t>
  </si>
  <si>
    <t>AAAGAACAAGAAAAACGTCTGGTTCAAATTTGTAAACAT</t>
  </si>
  <si>
    <t>AAACAACAAATTAAACGTCTGACTCTGATTTGTGAAAAT</t>
  </si>
  <si>
    <t>AAAAAAATGGAAGAACGTCTGAAAGAAATTTGTAAACAT</t>
  </si>
  <si>
    <t>AAAGAACAAATTGCACGTCTGAAACTGATTTGTGATCAT</t>
  </si>
  <si>
    <t>AAACAAGCAATTGAACGTCTGAAACTGATTTGTGAACAT</t>
  </si>
  <si>
    <t>AAACGTCAAGTTGAACGTCTGAAAGCAATTTGTGATCAT</t>
  </si>
  <si>
    <t>AAAGAACAAGTTGAACGTCTGAAACGTATTTGTGAACAT</t>
  </si>
  <si>
    <t>GAAGAACAAATTAAACGTCTGAAAGAAATTTGTGATCAT</t>
  </si>
  <si>
    <t>GAACAACAAATTCGTCGTCTGAAACTGATTTGTGAACAT</t>
  </si>
  <si>
    <t>AAACGTCAAATTGAACGTCTGACTGCAATTTGTAAACAT</t>
  </si>
  <si>
    <t>GAAGAACAAATTAAACGTCTGAAACTGATTTGTGATCAT</t>
  </si>
  <si>
    <t>AAACAAATGATTGCACGTCTGAAAGAAATTTGTAAACAT</t>
  </si>
  <si>
    <t>GAAAAACAAATTGAATATCTGAAAAAAATTTGTGAACAT</t>
  </si>
  <si>
    <t>AAACTGATGGAAAAACGTCTGGTTCTGATTTGTGAAAAA</t>
  </si>
  <si>
    <t>AAAGAACAAATTGCATATCTGAAAAAAATTTGTGAACAT</t>
  </si>
  <si>
    <t>AAAGAACAAATTGAACGTCTGAAACAAATTTGTAAACAT</t>
  </si>
  <si>
    <t>AAACAACAAATTGAACGTCTGAAAAAAATTTGTGAAATT</t>
  </si>
  <si>
    <t>AAACAACAAATTCAACGTCTGAAAGAAATTTGTAAACAT</t>
  </si>
  <si>
    <t>AAACAACAAATTGAACGTCTGACTCTGATTTGTGAACAT</t>
  </si>
  <si>
    <t>AAACAAATGATTGAACGTCTGAAACAAATTTGTAAACAT</t>
  </si>
  <si>
    <t>GAACAACAAATTGCACGTCTGAAACAAATTTGTGATCAT</t>
  </si>
  <si>
    <t>GCACAACAAATTGAACGTCTGAAACAAATTTGTGATCAT</t>
  </si>
  <si>
    <t>GAAAAACAAATTGAACGTCTGAAAAAAATTTGTGAACAT</t>
  </si>
  <si>
    <t>GCAGAACAAATTAAACGTCTGAAAGCAATTTGTGAACAT</t>
  </si>
  <si>
    <t>GAAGAACAAAAACGTCGTCTGGTTCTGATTTGTAAACAT</t>
  </si>
  <si>
    <t>AAACAACAAATTGAACGTCTGAAAGAAATTTGTAAAATT</t>
  </si>
  <si>
    <t>AAACAAGCAATTGAACGTCTGAAAAAAATTTGTGAACAT</t>
  </si>
  <si>
    <t>GAACAAATGATTAAACGTCTGAAAGAAATTTGTGCACAT</t>
  </si>
  <si>
    <t>AAACAACAAATTGATCGTCTGAAACAAATTTGTGAACAT</t>
  </si>
  <si>
    <t>AAAGAACAAGTTCGTCGTCTGAAAGAAATTTGTAAACAT</t>
  </si>
  <si>
    <t>AAACAACAAGAAGAACGTCTGGTTCAAATTTGTGATCAT</t>
  </si>
  <si>
    <t>CAACAACAAATTGAACGTCTGAAACAAATTTGTGATCAT</t>
  </si>
  <si>
    <t>GAACAACAAATTAATCGTCTGAAACAAATTTGTGAACAT</t>
  </si>
  <si>
    <t>AAACAACAAATTGATCGTCTGAAAGCAATTTGTGAACAT</t>
  </si>
  <si>
    <t>AAAAAACAAATTGAACGTCTGGTTGAAATTTGTAAACAT</t>
  </si>
  <si>
    <t>GAACAAATGATTAAACGTCTGAAACTGATTTGTAAACAT</t>
  </si>
  <si>
    <t>GAACAACAAATTGAACGTCTGAAACTGATTTGTAAACAT</t>
  </si>
  <si>
    <t>AAACAACAAATTGAACGTCTGAAACGTATTTGTGAACAT</t>
  </si>
  <si>
    <t>GAACAACAAATTCAACGTCTGAAAGAAATTTGTGCACAT</t>
  </si>
  <si>
    <t>AAACAACAAATTGAACGTCTGAAAGAAATTTGTAAACAT</t>
  </si>
  <si>
    <t>AAACAACAAATTGCACGTCTGAAACAAATTTGTGCACAT</t>
  </si>
  <si>
    <t>AAAGAACAAATTGCACGTCTGAAACAAATTTGTGAACAT</t>
  </si>
  <si>
    <t>GCACAACAAATTGCACGTCTGAAAGAAATTTGTAAACAT</t>
  </si>
  <si>
    <t>AAAGAACAAATTAAACGTCTGAAAGAAATTTGTGCACAT</t>
  </si>
  <si>
    <t>GAACAAATGAAAGCACGTCTGGTTAAAATTTGTGAACAT</t>
  </si>
  <si>
    <t>AAACAAATGATTGAACGTCTGAAACTGATTTGTGAACAT</t>
  </si>
  <si>
    <t>AAACGTCAAATTGAACGTCTGAAACAAATTTGTGAACAT</t>
  </si>
  <si>
    <t>GAAAAACAAATTCAACGTCTGAAACTGATTTGTGAACAT</t>
  </si>
  <si>
    <t>AAAGAAATGGAAAAACGTCTGATTGAAATTTGTAAACAT</t>
  </si>
  <si>
    <t>GAAGAACAAATTAAACGTCTGAAAGAAATTTGTGAACAT</t>
  </si>
  <si>
    <t>AAACTGCAAATTGAACGTCTGAAAAAAATTTGTGAACAT</t>
  </si>
  <si>
    <t>AAAGAAGCAATTGCACGTCTGAAAAAAATTTGTGATCAT</t>
  </si>
  <si>
    <t>AAAAAAGCAATTGAACGTCTGAAAAAAATTTGTGATCAT</t>
  </si>
  <si>
    <t>GAACAACAAATTAAACGTCTGAAACTGATTTGTGAACAT</t>
  </si>
  <si>
    <t>AAAGAAATGATTAAACGTCTGGAACTGATTTGTAAACAT</t>
  </si>
  <si>
    <t>AAAGAACAAATTGAACGTCTGATTAAAATTTGTGAACAT</t>
  </si>
  <si>
    <t>AAAAAACAAATTGAACGTCTGAAACTGATTTGTGAAAAA</t>
  </si>
  <si>
    <t>AAAGAACAAATTGAACGTCTGAAACAAATGTGTAAACAT</t>
  </si>
  <si>
    <t>GAACAACAAATTGAACGTCTGAAAAAAATTTGTGAACAT</t>
  </si>
  <si>
    <t>AAAGAAGCAATTAAACGTCTGAAAGAAATTTGTAAACAT</t>
  </si>
  <si>
    <t>AAACAACAAATTGAACGTCTGAAAAAAATTTGTGATCAT</t>
  </si>
  <si>
    <t>AAACAACAAATTGCACGTCTGAAAGCAATTTGTGATCAT</t>
  </si>
  <si>
    <t>AAAGAACAAATTGAACGTCTGAAAGCAATTTGTGAAAAA</t>
  </si>
  <si>
    <t>GAAAAACAAAAAGAACGTCTGGTTAAAATTTGTGAACAT</t>
  </si>
  <si>
    <t>AAACTGCAAATTAAACGTCTGGTTGAAATTTGTAAAATT</t>
  </si>
  <si>
    <t>AAAAAAGCAATTGAACGTCTGAAAGAAATTTGTAAACAT</t>
  </si>
  <si>
    <t>AAAGAAGCAATTAAACGTCTGGTTGAAATTTGTAAACAT</t>
  </si>
  <si>
    <t>AAAAAAATGGAAGAACGTCTGAAACTGATTTGTAAACAT</t>
  </si>
  <si>
    <t>AAAGAACAAATTGAACGTCTGGTTGCAATTTGTAAACAT</t>
  </si>
  <si>
    <t>GAACAACAAATTGAACGTCTGAAACTGATTTGTGATCAT</t>
  </si>
  <si>
    <t>GAACAACAAATTAAACGTCTGAAACAAATTTGTGAACAT</t>
  </si>
  <si>
    <t>GAACAACAAATTGCACGTCTGAAAGAAATTTGTAAACAT</t>
  </si>
  <si>
    <t>AAAGAACAAATTGAATATCTGAAAAAAATTTGTGAACAT</t>
  </si>
  <si>
    <t>GAACAACAAATTAAACGTCTGCAACAAATTTGTAAACAT</t>
  </si>
  <si>
    <t>AAAGAACAAATTGAACGTCTGAAAGAAATTTGTAAACAT</t>
  </si>
  <si>
    <t>AAAGAACAAATTAAACGTCTGGTTGAAATTTGTAAAAAA</t>
  </si>
  <si>
    <t>GAAGAACAAATTGCACGTCTGAAAAAAATTTGTGAACAT</t>
  </si>
  <si>
    <t>AAACAACAAATTGAACGTCTGAAACTGATGTGTGATCAT</t>
  </si>
  <si>
    <t>AAAGAACAAATTCGTCGTCTGAAAAAAATTTGTGAACAT</t>
  </si>
  <si>
    <t>AAAGCACAAATTGAACGTCTGAAACAAATTTGTGATCAT</t>
  </si>
  <si>
    <t>AAACAAATGATTGAACGTCTGAAAGCAATTTGTGATCAT</t>
  </si>
  <si>
    <t>GCAGAAATGGAAAAACGTCTGAAACTGATTTGTGAACAT</t>
  </si>
  <si>
    <t>AAAAAAATGGAAGAACGTCTGAAAAAAATTTGTGAACAT</t>
  </si>
  <si>
    <t>GATCAACAAATTAAATATCTGAAAGAAATTTGTAAACAT</t>
  </si>
  <si>
    <t>GCACAAATGATTAAACGTCTGAAAGAAATTTGTGATCAT</t>
  </si>
  <si>
    <t>GAACAACAAATTCAACGTCTGAAACTGATTTGTGAACAT</t>
  </si>
  <si>
    <t>AAACAACAAATTGAACGTCTGGTTAAAATTTGTGAACAT</t>
  </si>
  <si>
    <t>AAAGAACAAATTGCATATCTGAAACAAATTTGTGATTAT</t>
  </si>
  <si>
    <t>GAACAACAAATTGAACGTCTGAAACTGATTTGTGAACAT</t>
  </si>
  <si>
    <t>GAAGCACAAAAAAAACGTCTGGTTGAAATTTGTAAACAT</t>
  </si>
  <si>
    <t>GAAGAACAAATTAAACGTCTGAAAGCAATTTGTGAACAT</t>
  </si>
  <si>
    <t>AAAGAACAAATTGCACGTCTGAAAGCAATTTGTGCACAT</t>
  </si>
  <si>
    <t>GAACGTCAAATTGAATATCTGAAAAAAATTTGTGAACAT</t>
  </si>
  <si>
    <t>AAAAAAATGATTGAACGTCTGAAAGAAATTTGTAAACAT</t>
  </si>
  <si>
    <t>GCACGTCAAATTGAACGTCTGAAACAAATTTGTAAACAT</t>
  </si>
  <si>
    <t>AAACAACAAGAAACTCGTCTGAAAGAAATTTGTAAACAT</t>
  </si>
  <si>
    <t>CAAAAACAAATTGAACGTCTGAAAGCAATTTGTAAAGAA</t>
  </si>
  <si>
    <t>GAAAAACAAATTGCACGTCTGAAACAAATTTGTGAACAT</t>
  </si>
  <si>
    <t>GAACAACAAAAAAAACGTCTGGTTGAAATTTGTAAACAT</t>
  </si>
  <si>
    <t>AAACAACAAATTGCACGTCTGAAAGCAATTTGTGAACAT</t>
  </si>
  <si>
    <t>GAACAAATGATTAAACGTCTGAAACTGATTTGTGAACAT</t>
  </si>
  <si>
    <t>AAACAACAAATTGCACGTCTGAAAGAAATTTGTAAACGT</t>
  </si>
  <si>
    <t>AAACAAATGGAAGAACGTCTGCGTCAAATTTGTGATCAT</t>
  </si>
  <si>
    <t>AAACAAGCAATTGAACGTCTGAAAAAAATTTGTGATCAT</t>
  </si>
  <si>
    <t>GAAGAACAAAAAAAACGTCTGGTTGAAATTTGTAAACAT</t>
  </si>
  <si>
    <t>AAACAAATGATTGAACGTCTGAAAATGATTTGTGAACAT</t>
  </si>
  <si>
    <t>AAACGTCAAATTGATCGTCTGGTTAAAATTTGTGAACAT</t>
  </si>
  <si>
    <t>GAACAACAAATTGCACGTCTGAAAGCAATTTGTGATCAT</t>
  </si>
  <si>
    <t>GAAGAAGCAGTTGCACGTCTGAAAGAAATTTGTAAACAT</t>
  </si>
  <si>
    <t>AAACTGGCAATTGAACGTCTGAAAAAAATTTGTGAACAT</t>
  </si>
  <si>
    <t>GAAGAACAAAAAAAACGTCTGGTTGCAATTTGTGAACAT</t>
  </si>
  <si>
    <t>GCAGAAATGAAAAAACGTCTGGTTGCAATTTGTAAACAT</t>
  </si>
  <si>
    <t>AAAGCACAAATTGAACGTCTGAAACTGATTTGTGATCAT</t>
  </si>
  <si>
    <t>CGTAAAGCAGTTGAACGTCTGAAAGCAATTTGTAAACAT</t>
  </si>
  <si>
    <t>GAACAAATGATTGCACGTCTGAAAGCAATTTGTGATCAT</t>
  </si>
  <si>
    <t>AAACGTCAAATTGAACGTCTGAAAAAAATTTGTGAACAT</t>
  </si>
  <si>
    <t>GAACAACAAATTAAACGTCTGGTTGAAATTTGTGAACAT</t>
  </si>
  <si>
    <t>AAAGAACAAATTAAACGTCTGACTCTGATTTGTGAACAT</t>
  </si>
  <si>
    <t>AAAGAACAAATTAAACGTCTGAAACTGATTTGTAAAGAA</t>
  </si>
  <si>
    <t>GAAAAACAAATTGAACGTCTGAAACTGATTTGTAAACAT</t>
  </si>
  <si>
    <t>GAACAACAAAAAAAACGTCTGGTTGCAATTTGTGATCAT</t>
  </si>
  <si>
    <t>GAACAACAAATTCGTTATCTGAAAGAAATTTGTAAACAT</t>
  </si>
  <si>
    <t>GAACAACAAATTCGTCGTCTGAAACTGATTTGTGATCAT</t>
  </si>
  <si>
    <t>AAACAACAAATTGAACGTCTGAAAATGATTTGTGATATT</t>
  </si>
  <si>
    <t>GAACAAGCAATTAAACGTCTGAAACTGATTTGTGAACAT</t>
  </si>
  <si>
    <t>AAAGAAGCAATTGCACGTCTGAAACTGATTTGTGAACAT</t>
  </si>
  <si>
    <t>AAACAACAAATTGCACGTCTGAAAGCAATTTGTGCACAT</t>
  </si>
  <si>
    <t>AAAAAACAAATTGAACGTCTGAAACAAATTTGTGAACAT</t>
  </si>
  <si>
    <t>AAAGCACAAATTGAACGTCTGAAAGAAATTTGTAAACAT</t>
  </si>
  <si>
    <t>GAAGAACAAATTAAACGTCTGAAACTGATTTGTGAAAAA</t>
  </si>
  <si>
    <t>GAAGAACAAAAAAAACGTCTGGTTCTGATTTGTGAACAT</t>
  </si>
  <si>
    <t>GAAAAACAAATTGAATATCTGAAAAAAATTTGTGAAATT</t>
  </si>
  <si>
    <t>AAACTGCAAGAAAAACGTCTGGTTGAAATTTGTAAAAAA</t>
  </si>
  <si>
    <t>AAAAAACAAATTCAACGTCTGAAAGAAATTTGTAAACAT</t>
  </si>
  <si>
    <t>AAACAACAAATTGAACGTCTGACTCTGATTTGTAAACAT</t>
  </si>
  <si>
    <t>AAACAACAAATTGAACGTCTGAAACGTATTTGTGATCAT</t>
  </si>
  <si>
    <t>AAAGAACAAGTTCGTCGTCTGAAAGAAATTTGTAAAATT</t>
  </si>
  <si>
    <t>CGTGAACAAGAAAAACGTCTGATTGAAATTTGTAAACAT</t>
  </si>
  <si>
    <t>AAACAACAAGAAGAACGTCTGGTTCAAATTTGTAAACAT</t>
  </si>
  <si>
    <t>AAACAACAAATTGATCGTCTGAAAGCAATTTGTAAACAT</t>
  </si>
  <si>
    <t>GAACAACAAATTAAACGTCTGAAAGAAATTTGTAAAATT</t>
  </si>
  <si>
    <t>GAACAACAAATTCAACGTCTGAAAGAAATTTGTAAACAT</t>
  </si>
  <si>
    <t>AAAGAACAAATTGCACGTCTGAAACAAATTTGTGAAATT</t>
  </si>
  <si>
    <t>AAAGAACAAATTAAACGTCTGGTTGAAATTTGTAAAATT</t>
  </si>
  <si>
    <t>GCAGAACAAATTAAACGTCTGAAACTGATTTGTAAACAT</t>
  </si>
  <si>
    <t>AAACTGCAAATTGAACGTCTGAAAAAAATTTGTGAAATT</t>
  </si>
  <si>
    <t>AAAGAAGCAATTGCACGTCTGAAAGAAATTTGTAAACAT</t>
  </si>
  <si>
    <t>AAAAAAGCAATTGAACGTCTGAAAGCAATTTGTGATAAA</t>
  </si>
  <si>
    <t>AAACAAGCAATTGCACGTCTGAAAGAAATTTGTAAAGAA</t>
  </si>
  <si>
    <t>GAACAACAAATTGAACGTCTGAAAAAAATTTGTGAAATT</t>
  </si>
  <si>
    <t>AAAGAAGCAATTAAACGTCTGAAAGAAATTTGTAAAAAA</t>
  </si>
  <si>
    <t>AAACAACAAATTAAACGTCTGAAAGAAATGTGTAAACAT</t>
  </si>
  <si>
    <t>GAACGTCAAATTGCACGTCTGAAAGCAATTTGTGATCAT</t>
  </si>
  <si>
    <t>AAAGAACAAATTGAACGTCTGAAACTGATTTGTGAAAAA</t>
  </si>
  <si>
    <t>AAAAAACAAGAAGAACGTCTGGTTGAAATTTGTAAAATT</t>
  </si>
  <si>
    <t>GAACTGCAAAAAGAACGTCTGGTTAAAATTTGTGAAATT</t>
  </si>
  <si>
    <t>AAAAAAGCAATTGAACGTCTGAAAGAAATTTGTAAAGTT</t>
  </si>
  <si>
    <t>AAACAAGCAATTACTCGTCTGAAAGAAATTTGTAAAATT</t>
  </si>
  <si>
    <t>AAAAAACAAATTGAACGTCTGGTTGCAATTTGTAAACAT</t>
  </si>
  <si>
    <t>GAAGAACAAATTGCACGTCTGAAAAAAATTTGTGAAATT</t>
  </si>
  <si>
    <t>AAACAACAAATTGAACGTCTGAAACTGATGTGTAAACAT</t>
  </si>
  <si>
    <t>AAAGAACAAATTCGTCGTCTGAAAAAAATTTGTGAAATT</t>
  </si>
  <si>
    <t>AAACAACAAATTGAACGTCTGAAAGCAATTTGTGATCAT</t>
  </si>
  <si>
    <t>GAAAAAATGAAAAAACGTCTGGTTCTGATTTGTGAACAT</t>
  </si>
  <si>
    <t>GAACAACAAATTGCACGTCTGAAAGAAATTTGTAAAGAA</t>
  </si>
  <si>
    <t>AAAAAACAAGAAGAACGTCTGAAAAAAATTTGTGAACAT</t>
  </si>
  <si>
    <t>GAACAACAAATTAAATATCTGAAAGAAATTTGTAAACAT</t>
  </si>
  <si>
    <t>AAACAAATGATTGCACGTCTGAAAGCAATTTGTGATCAT</t>
  </si>
  <si>
    <t>AAACGTCAAATTGAACGTCTGGTTAAAATTTGTGAACAT</t>
  </si>
  <si>
    <t>GAAAAACAAATTGAACGTCTGGTTCAAATTTGTAAACAT</t>
  </si>
  <si>
    <t>AAACAACAAATTGAACGTCTGAAAAAAATTTGTAAACAT</t>
  </si>
  <si>
    <t>GAACAACAAATTAAACGTCTGGTTCAAATTTGTGAAAAA</t>
  </si>
  <si>
    <t>AAACAACAAATTGAACGTCTGAAACTGATTTGTAAAGAA</t>
  </si>
  <si>
    <t>GAACAACAAATTAAACGTCTGAAACTGATTTGTAAACAT</t>
  </si>
  <si>
    <t>AAACGTCAAATTGAACGTCTGAAACAAATTTGTGAAATT</t>
  </si>
  <si>
    <t>AAACAACAAATTGAACGTCTGAAACAAATTTGTGATTAT</t>
  </si>
  <si>
    <t>AAAGAACAAATTAAACGTCTGAAACTGATTTGTGAAAAA</t>
  </si>
  <si>
    <t>GAACAACAAATTAAACGTCTGAAAATGATTTGTGAACAT</t>
  </si>
  <si>
    <t>AAACAACAAATTAAACGTCTGGTTGAAATTTGTAAAATT</t>
  </si>
  <si>
    <t>GCACGTCAAATTGAACGTCTGAAACAAATTTGTAAAATT</t>
  </si>
  <si>
    <t>AAACAACAAGAAACTCGTCTGGTTGAAATTTGTAAACAT</t>
  </si>
  <si>
    <t>AAAAAACAAATTGAACGTCTGGTTCTGATTTGTAAACAT</t>
  </si>
  <si>
    <t>GAACAACAAAAAAAACGTCTGAAAGAAATTTGTGATTAT</t>
  </si>
  <si>
    <t>AAAGAACAAATTCGTCGTCTGAAAGCAATTTGTGCACAT</t>
  </si>
  <si>
    <t>AAACAACAAATTGCACGTCTGAAAGCAATTTGTAAACAT</t>
  </si>
  <si>
    <t>AAACAACAAATTGAACGTCTGAAAGAAATTTGTAAAAAA</t>
  </si>
  <si>
    <t>GAAAAACAAATTGAACGTCTGAAAGAAATTTGTAAACAT</t>
  </si>
  <si>
    <t>AAACAACAAATTGAACGTCTGCGTCAAATTTGTGATCAT</t>
  </si>
  <si>
    <t>AAACAAGCAATTGAACGTCTGGTTAAAATTTGTGATCAT</t>
  </si>
  <si>
    <t>GAACGTCAAAAAGATCGTCTGGTTAAAATTTGTGAACAT</t>
  </si>
  <si>
    <t>GAAGAACAAATTCGTCGTCTGAAAGAAATTTGTAAACAT</t>
  </si>
  <si>
    <t>GAAGAACAAGTTGCACGTCTGAAAGAAATTTGTAAACAT</t>
  </si>
  <si>
    <t>AAACGTCAAATTGAACGTCTGAAAGAAATTTGTAAACAT</t>
  </si>
  <si>
    <t>AAACTGGCAATTACTCGTCTGAAAAAAATTTGTGAACAT</t>
  </si>
  <si>
    <t>AAAGCACAAGAAGAACGTCTGGTTGCAATTTGTAAAGAA</t>
  </si>
  <si>
    <t>GAAAAACAAATTGCACGTCTGAAAGCAATTTGTGATCAT</t>
  </si>
  <si>
    <t>GAAAAACAAATTGAACGTCTGAAAAAAATTTGTGAAATT</t>
  </si>
  <si>
    <t>GAAAAACAAATTGAATATCTGAAAGAAATTTGTAAACAT</t>
  </si>
  <si>
    <t>GAAAAACAAATTGAACGTCTGAAAGCAATTTGTGATCAT</t>
  </si>
  <si>
    <t>AAACAACAAATTCGTCGTCTGAAACTGATTTGTGAACAT</t>
  </si>
  <si>
    <t>AAAAAACAAATTGAACGTCTGAAAATGATTTGTGATATT</t>
  </si>
  <si>
    <t>AAAGAACAAATTGCACGTCTGAAAAAAATTTGTGAAAAT</t>
  </si>
  <si>
    <t>AAAGAAGCAATTAAACGTCTGAAACTGATTTGTGAAAAA</t>
  </si>
  <si>
    <t>GAAGAACAAAAAAAACGTCTGGTTGAAATTTGTAAAATT</t>
  </si>
  <si>
    <t>GAACAACAAATTAAACGTCTGAAACTGATTTGTGAAAAA</t>
  </si>
  <si>
    <t>AAAAAACAACAAGAACGTCTGGTTCAAATTTGTAAACAT</t>
  </si>
  <si>
    <t>GAACGTCTGACTAAACGTATTGTTGAAATTTGTAAAATT</t>
  </si>
  <si>
    <t>AAAGCACTGGAAAATCGTATTGTTGAAATTCTGAAAATT</t>
  </si>
  <si>
    <t>AAAGCACTGATTGAACGTATTAAAGCAATTTGTACTCTG</t>
  </si>
  <si>
    <t>AAAAAACTGATTGAACGTATTAAAGCAATTCTGAAACGT</t>
  </si>
  <si>
    <t>GAAGCACTGAAAAAACGTATTGTTGAAATTCTGAAACTG</t>
  </si>
  <si>
    <t>AATAAACTGATTGAACGTATTAAAGAAATTTGTAAACGT</t>
  </si>
  <si>
    <t>GAAAAAATTATTGAACGTCTGAAAGCAATTTGTAAAAAA</t>
  </si>
  <si>
    <t>AAAAAACTGATTGCACGTCTGCGTGAAATTTGTGAAAAA</t>
  </si>
  <si>
    <t>AAAGCACTGATTGAACGTCTGAAAGAAATTTGTAAACTG</t>
  </si>
  <si>
    <t>AAAAAACTGATTGAACGTCTGAAAGAAATTCTGAAACTG</t>
  </si>
  <si>
    <t>AAAGCACTGATTGAACGTCTGAAAGCAATTTGTAAAAAA</t>
  </si>
  <si>
    <t>GAAAAAATGATTGAACGTATTAAAGAAATTTGTCGTATT</t>
  </si>
  <si>
    <t>AATGCACTGACTAAACGTATTATTGAAATTCTGAAAATT</t>
  </si>
  <si>
    <t>AAAGCACTGGAAGAACGTCTGGTTGAAATTTGTAAAATT</t>
  </si>
  <si>
    <t>AAAAAACTGATTAAACGTATTGAAGAAATTTGTAAAATT</t>
  </si>
  <si>
    <t>AAAAAACTGGAAGAACGTATTAAAGCAATTTGTGAAATT</t>
  </si>
  <si>
    <t>GAAAAACTGATTTCTCGTCTGAAAGCAATTTGTGAAAAA</t>
  </si>
  <si>
    <t>AAAAAACTGACTGAACGTATTGTTGAAATTTGTAAACTG</t>
  </si>
  <si>
    <t>AAAGCACTGATTGAACGTCTGGTTGAAATTCTGAAAAAA</t>
  </si>
  <si>
    <t>AAACGTCTGATTGAACGTATTAAACAAATTTGTGAACTG</t>
  </si>
  <si>
    <t>AAAAAACTGATTGAACGTATTAAAGCAATTCTGAAAAAA</t>
  </si>
  <si>
    <t>AATAAACTGATTGAACGTATTAAAGCAATTCTGGAAAAA</t>
  </si>
  <si>
    <t>GGTAAACTGATTGAACGTATTAAAGAAATTTGTAAAATT</t>
  </si>
  <si>
    <t>GAAGAACTGATTAAACGTCTGAAAGCAATTTGTGAACTG</t>
  </si>
  <si>
    <t>AAACAACTGGAACAACGTATTAAAGAAATTCTGAAACTG</t>
  </si>
  <si>
    <t>AAAGCACTGGTTGAACGTATTAAAGCAATTCTGGAAAAA</t>
  </si>
  <si>
    <t>AAAAAACTGATTGAACGTATTAAAACTATTCTGGAAAAA</t>
  </si>
  <si>
    <t>AAAGCAGCAATTGAACGTATTAAAGCAATTCTGGAAAAA</t>
  </si>
  <si>
    <t>AAAAAACTGATTAAACGTCTGGAAGCAATTTGTAAAAAA</t>
  </si>
  <si>
    <t>GAAAAACTGGTTGAACGTCTGAAAGCAATTTGTGAACGT</t>
  </si>
  <si>
    <t>GAAGCACTGAAAAAACGTATTGTTGAAATTTGTGAAATT</t>
  </si>
  <si>
    <t>AATCGTCTGATTAAACGTATTCAAGAAATTTGTAAAATT</t>
  </si>
  <si>
    <t>AAAAAACTGATTGAACGTATTAAAGAAATTTGTAAACTG</t>
  </si>
  <si>
    <t>AAAGCACTGGAAAAACGTCTGATTGCAATTTGTGAAAAA</t>
  </si>
  <si>
    <t>AAAAAACTGATTGAACGTATTGTTGAAATTCTGAAACTG</t>
  </si>
  <si>
    <t>AATGAAATGATTAAACGTCTGCGTGAAATTGCAGAAATT</t>
  </si>
  <si>
    <t>AAAGCACTGATTGATCGTCTGGTTGAAATTTGTAAACTG</t>
  </si>
  <si>
    <t>GAAAAACTGATTGCACGTCTGAAAGCAATTTGTGAAAAA</t>
  </si>
  <si>
    <t>AAACGTCTGGAAGAACGTATTAAAGCAATTCTGGAAAAA</t>
  </si>
  <si>
    <t>AAACGTCTGATTGAACGTATTAAAGCAATTTGTGAAAAA</t>
  </si>
  <si>
    <t>CAACGTATGATTGAACGTATTGTTGCAATTTGTGAAAAA</t>
  </si>
  <si>
    <t>AAAAAACTGACTGAACGTCTGAAAGAAATTCTGAAACTG</t>
  </si>
  <si>
    <t>AAACGTCTGATTGAACGTCTGAAAGCAATTTGTGAAAAA</t>
  </si>
  <si>
    <t>AAAGCACTGGTTGAACGTATTAAAGAAATTCTGAAAAAA</t>
  </si>
  <si>
    <t>AAAAAAATGATTGAACGTATTAAAGATATTCTGAAACTG</t>
  </si>
  <si>
    <t>AAAGCACTGGAAGAACGTCTGAAAGCAATTTGTAAAAAA</t>
  </si>
  <si>
    <t>GAAGCACTGACTAAACGTCTGAAAGAAATTTGTAAACTG</t>
  </si>
  <si>
    <t>CAAATGCTGACTAAACGTCTGGTTGAAATTCTGAAAATT</t>
  </si>
  <si>
    <t>GAAGCACTGAAAAAACGTCTGGTTGAAATTTGTAAACTG</t>
  </si>
  <si>
    <t>GAAAAACTGATTGAACGTATTAAAGCAATTCTGGCAAAA</t>
  </si>
  <si>
    <t>GAAGCACTGAAAGAACGTCTGGTTGAAATTGCAAAACTG</t>
  </si>
  <si>
    <t>GAAGCACTGATTGAACGTCTGAAAGCAATTCTGGAAAAA</t>
  </si>
  <si>
    <t>AAAAAAATGATTGAACGTATTAAAGCAATTTGTAAACTG</t>
  </si>
  <si>
    <t>AAAAAAGCAGAAGAACGTATTATTGCAATTCTGAAAAAA</t>
  </si>
  <si>
    <t>AAACGTCTGATTGCACGTATTAAAGCAATTCTGGAAAAA</t>
  </si>
  <si>
    <t>GAAAAAATGATTAAACGTATTAAAGAAATTTGTAAACTG</t>
  </si>
  <si>
    <t>AAAAAACTGCAAGAACGTCTGGTTGCAATTGCAAAAAAA</t>
  </si>
  <si>
    <t>AATCGTCTGATTGAACGTCTGAAAGCAATTTGTAAAAAA</t>
  </si>
  <si>
    <t>AAAGCACTGATTAAACGTATTGTTGATATTTGTAAACTG</t>
  </si>
  <si>
    <t>AAAAAAATGATTGCACGTATTGAAGCAATTCTGAAAAAA</t>
  </si>
  <si>
    <t>AAAGCAATGATTGAACGTCTGAAAGCAATTTGTAAACTG</t>
  </si>
  <si>
    <t>AAAAAACAAATTGAACGTATTAAAGCAATTCTGGAACTG</t>
  </si>
  <si>
    <t>GAAAAAATGATTGCACGTATTAAAGCAATTTGTGAACTG</t>
  </si>
  <si>
    <t>AAAAAACTGATTGATCGTCTGATTGAAATTTGTAAACTG</t>
  </si>
  <si>
    <t>AAAAAACGTATTGAATATCTGAAAGCAATTCTGGAAAAA</t>
  </si>
  <si>
    <t>GAACGTCTGATTAAACGTATTAAAGAAATTCTGAAACTG</t>
  </si>
  <si>
    <t>AAAGCACTGATTGAACGTCTGAAAGCAATTTGTGAAAAA</t>
  </si>
  <si>
    <t>AAAAAACTGATTGAACGTCTGGAAGCAATTTGTAAAATT</t>
  </si>
  <si>
    <t>AAACGTATGGAAGCACGTATTGTTCAAATTTGTAAAGAT</t>
  </si>
  <si>
    <t>GAAAAAGCAATTGCACGTCTGAAAGCAATTCTGGAAAAA</t>
  </si>
  <si>
    <t>GAAGCACTGATTCAACGTATTAAAAAAATTCTGGAACTG</t>
  </si>
  <si>
    <t>AATAAAAAAATTGAACGTCTGAAAAAAATTCTGGAACTG</t>
  </si>
  <si>
    <t>GAACGTCTGATTAATCGTATTAAAGCAATTCTGGAAAAA</t>
  </si>
  <si>
    <t>GAAAAAATGATTAAACGTATTAAAGAAATTCTGAAACTG</t>
  </si>
  <si>
    <t>AATAAACTGATTGAACGTATTAAAGAAATTCTGAAAAAA</t>
  </si>
  <si>
    <t>AAAAAAATGATTGAACGTATTAAAGAAATTCTGAAAAAA</t>
  </si>
  <si>
    <t>GAAGCACTGATTAAACGTATTAAACAAATTTGTGAACTG</t>
  </si>
  <si>
    <t>AAAGCACTGATTGAACGTATTAAAAAAATTTGTGAACTG</t>
  </si>
  <si>
    <t>AATGCACTGATTAATCGTATTAAAGAAATTTGTAAACTG</t>
  </si>
  <si>
    <t>AATGCACTGGTTGCACGTATTAAAGCAATTTGTGAAAAA</t>
  </si>
  <si>
    <t>AATAAACTGGTTGAACGTATTAAAGCAATTTGTAAAAAA</t>
  </si>
  <si>
    <t>GAACGTATGATTGATCGTATTAAAGAAATTTGTAAAATT</t>
  </si>
  <si>
    <t>AAAGCACTGATTAATCGTATTAAAGCAATTCTGAAAAAA</t>
  </si>
  <si>
    <t>GAAAAAACTATTGAACGTCTGAAAGCAATTTGTAAAAAA</t>
  </si>
  <si>
    <t>GAAAAACTGATTGAACGTATTAAAGAAATTCTGAAAATT</t>
  </si>
  <si>
    <t>AAAGCACTGGTTGAACGTATTAAAGCAATTCTGAAAAAA</t>
  </si>
  <si>
    <t>GAAGCACTGATTAAACGTATTAAAGAAATTCTGGAAATT</t>
  </si>
  <si>
    <t>AATCGTCTGATTCAACGTATTGTTGAAATTTGTGAACTG</t>
  </si>
  <si>
    <t>AAAAAAATGGTTGAACGTATTAAAGAAATTTGTAAACTG</t>
  </si>
  <si>
    <t>GATGCACTGATTAAACGTATTAAAGCAATTCTGGAAATT</t>
  </si>
  <si>
    <t>AAAGCACTGGAAGAACGTATTAAAAAAATTCTGGAACTG</t>
  </si>
  <si>
    <t>AAAGCACTGGAAAAACGTCTGATTGAAATTTGTAAAAAA</t>
  </si>
  <si>
    <t>GAAAAAATGATTAAACGTATTGAAGAAATTCTGAAACTG</t>
  </si>
  <si>
    <t>GAAGCAATGATTAAACGTATTGTTGAAATTTGTAAAATT</t>
  </si>
  <si>
    <t>AAAAAACTGATTGAACGTATTAAAGCAATTTGTGAAATT</t>
  </si>
  <si>
    <t>AAAAAACGTATTGAACGTCTGAAAGAAATTGCAAAAATT</t>
  </si>
  <si>
    <t>AAAAAACTGATTGAACGTATTAAAGAAATTCTGAAACTG</t>
  </si>
  <si>
    <t>AATAAACTGATTGAACGTATTAAAGAAATTTGTAAACTG</t>
  </si>
  <si>
    <t>AAACAACTGATTGAACGTATTAAAGATATTCTGAAAAAA</t>
  </si>
  <si>
    <t>AAAGCACTGATTGAACGTATTAAAGAAATTTGTAAAATT</t>
  </si>
  <si>
    <t>AAAGCACGTATTGCACGTATTGAAGCAATTTGTGAACGT</t>
  </si>
  <si>
    <t>GCAAAAATGATTGAACGTATTAAAGCAATTTGTAAACTG</t>
  </si>
  <si>
    <t>AAACGTGCAATTGAACGTATTAAAGAAATTCTGAAAATT</t>
  </si>
  <si>
    <t>GAAAAACTGATTGAACGTATTAAATCTATTCTGGAAAAA</t>
  </si>
  <si>
    <t>AAAGCACTGACTGAACGTCTGGTTGAAATTCTGAAAAAA</t>
  </si>
  <si>
    <t>GAAAAACTGATTAAACGTCTGGTTGAAATTGCAAAACTG</t>
  </si>
  <si>
    <t>AAACAACTGATTGAACGTATTAAAGAAATTCTGAAACTG</t>
  </si>
  <si>
    <t>AATAAAATGATTGCATATCTGAAAAAAATTTGTGAAATT</t>
  </si>
  <si>
    <t>AAAAAAATGATTAAACGTCTGGAAGAAATTTGTAAACTG</t>
  </si>
  <si>
    <t>AAAGCAATGATTAAACGTCTGGAAGAAATTTGTAAACTG</t>
  </si>
  <si>
    <t>AAAAAACTGGAAGAACGTCTGAAAGCAATTTGTGAAATT</t>
  </si>
  <si>
    <t>GAACGTGCAATTCAACGTATTAAAGAAATTCTGAAACTG</t>
  </si>
  <si>
    <t>GAAGCAATGGTTAAACGTCTGATTGCAATTTGTAAACTG</t>
  </si>
  <si>
    <t>AAAGCACTGATTGAACGTCTGAAAAAAATTTGTGAACTG</t>
  </si>
  <si>
    <t>GAACGTCTGATTGAACGTATTAAAGAAATTCTGAAACTG</t>
  </si>
  <si>
    <t>GAACGTATGATTAAACGTATTAAATCTATTCTGGAAAAA</t>
  </si>
  <si>
    <t>GAAAAAGCAGTTAAACGTATTAAAGAAATTCTGAAACTG</t>
  </si>
  <si>
    <t>GAAAAAATGCAAAAACGTCTGAAAGAAATTCTGAAAAAA</t>
  </si>
  <si>
    <t>AAAGCACTGATTGATCGTCTGATTGAAATTGCAAAACTG</t>
  </si>
  <si>
    <t>AATGCACGTATTCGTCGTATTGAAGAAATTTGTAAACTG</t>
  </si>
  <si>
    <t>AAAAAAATGATTGAACGTATTAAAGCAATTTGTGAAAAA</t>
  </si>
  <si>
    <t>AAAGCACTGATTGATCGTATTAAAGCAATTTGTAAAATT</t>
  </si>
  <si>
    <t>AATAAACTGATTAAACGTATTAAAGAAATTCTGAAAAAA</t>
  </si>
  <si>
    <t>AATAAACTGATTGAACGTATTAAAGAAATTCTGAAACTG</t>
  </si>
  <si>
    <t>AAACAACTGATTGAACGTATTAAAGCAATTTGTGAACTG</t>
  </si>
  <si>
    <t>AAAGCACTGGAAAAACGTCTGATTGAAATTTGTGAACTG</t>
  </si>
  <si>
    <t>GAAAAAATGATTGAACGTATTAAAGAAATTCTGAAACTG</t>
  </si>
  <si>
    <t>AAAGAACTGATTGAACGTCTGAAAGCAATTTGTGAAAAA</t>
  </si>
  <si>
    <t>GAACGTCTGATTAAACGTCTGAAAGAAATTTGTAAACGT</t>
  </si>
  <si>
    <t>AAAAAACTGATTGAACGTATTAAAGCAATTCTGGAACGT</t>
  </si>
  <si>
    <t>AATGCACTGATTGCACGTATTAAAGCAATTCTGGAAAAA</t>
  </si>
  <si>
    <t>AAAAAACTGATTGAACGTATTAAAGAAATTCTGAAAATT</t>
  </si>
  <si>
    <t>AAACGTCTGGTTAAACGTCTGGAAGAAATTTGTAAACTG</t>
  </si>
  <si>
    <t>GAAAAACTGATTTCTCGTCTGAAAAAAATTTGTGAACTG</t>
  </si>
  <si>
    <t>GAAAAAGCAATTGCACGTCTGAAAGCAATTTGTAAAAAA</t>
  </si>
  <si>
    <t>GAAGCACTGATTGCACGTATTAAAGCAATTCTGGAACTG</t>
  </si>
  <si>
    <t>AAAGCACTGGAACGTCGTATTAAAGCAATTCTGGAACAA</t>
  </si>
  <si>
    <t>AAAAAAATGATTGAACGTCTGAAAAAAATTGCAGAAATT</t>
  </si>
  <si>
    <t>AATAAACTGATTGAACGTATTAAAAAAATTTGTGAAATT</t>
  </si>
  <si>
    <t>GAAAAACTGATTAAACGTCTGAAAGAAATTTGTAAACTG</t>
  </si>
  <si>
    <t>GAAAAAATGAAAGAACGTCTGGTTGAAATTCTGAAAATT</t>
  </si>
  <si>
    <t>AAAAAAATGATTCAACGTATTATTGAAATTTGTAAACTG</t>
  </si>
  <si>
    <t>GAAAAACTGATTAAACGTATTAAAGAAATTCTGGAACTG</t>
  </si>
  <si>
    <t>GAAAAACTGATTGAACGTATTAAAGAAATTTGTAAACTG</t>
  </si>
  <si>
    <t>GAAAAACTGATTGCACGTATTAAAGAAATTTGTAAACTG</t>
  </si>
  <si>
    <t>AAAGCACTGATTGAACGTCTGAAAGCAATTCTGGAAAAA</t>
  </si>
  <si>
    <t>GAAAAACTGAAAAAACGTATTATTGCAATTTGTGAAAAA</t>
  </si>
  <si>
    <t>GAAAAACTGAAACGTCGTCTGATTGAAATTTGTAAACGT</t>
  </si>
  <si>
    <t>AAAGCACTGACTGATCGTCTGAAAGAAATTTGTGAAAAA</t>
  </si>
  <si>
    <t>GAAAAACTGATTAAACGTCTGAAAGAAATTTGTGAAATT</t>
  </si>
  <si>
    <t>GAAAAAGCAATTGAACGTCTGAAACAAATTCTGGAACTG</t>
  </si>
  <si>
    <t>AAAAAAATGATTGAACGTCTGAAAGCAATTTGTGAAAAA</t>
  </si>
  <si>
    <t>AAACAACGTATTGAACGTATTAAAGAAATTCTGAAACTG</t>
  </si>
  <si>
    <t>AAAGCACAAATTGAACGTCTGAAAGCAATTCTGGCAAAA</t>
  </si>
  <si>
    <t>AATAAACTGATTGAACGTCTGAAAGAAATTCTGAAAAAA</t>
  </si>
  <si>
    <t>AATAAACTGATTGAACGTCTGGTTGAAATTTGTAAACGT</t>
  </si>
  <si>
    <t>GAACGTCTGATTAAACGTATTAAAGAAATTTGTGAACTG</t>
  </si>
  <si>
    <t>AAACAATGGGAAAAACGTATTGTTGATATTTGTAAACTG</t>
  </si>
  <si>
    <t>AAACGTCTGGTTGAACGTATTGAAGAAATTTGTCGTCTG</t>
  </si>
  <si>
    <t>AATCAACTGATTGAACGTATTAAAGAAATTCTGAAAATT</t>
  </si>
  <si>
    <t>AAAAAAATGGTTGAACGTCTGGTTGCAATTTGTGAACTG</t>
  </si>
  <si>
    <t>AAAGCAATGATTAAACGTATTGAAGAAATTCTGAAAAAA</t>
  </si>
  <si>
    <t>AATAAACTGATTGAACGTCTGAAAGCAATTTGTAAAAAA</t>
  </si>
  <si>
    <t>AAAGCACTGGAAAAACGTATTGTTGAAATTTGTGAACTG</t>
  </si>
  <si>
    <t>AAAAAACTGGTTGCACGTATTAAAGCAATTTGTGAAAAA</t>
  </si>
  <si>
    <t>AAAGCACGTATTGAACGTATTAAAGCAATTCTGGAAAAA</t>
  </si>
  <si>
    <t>GAAAAACTGATTAAACGTCTGAAAGAAATTCTGGAAATT</t>
  </si>
  <si>
    <t>AAAGCACTGATTGAACGTATTAAAAAAATTCTGGAACTG</t>
  </si>
  <si>
    <t>GAAGCACTGATTAAACGTCTGGAAGCAATTTGTAAAAAA</t>
  </si>
  <si>
    <t>GAACGTCTGGTTAAACGTCTGACTGAAATTTGTAAACTG</t>
  </si>
  <si>
    <t>AATAAACTGATTGAACGTCTGAAAGAAATTTGTAAAATT</t>
  </si>
  <si>
    <t>GAAAAACTGAAAGAACGTATTAAAAAAATTCTGGAACTG</t>
  </si>
  <si>
    <t>AAAGCAGCAATTGAACGTATTAAAGAAATTTGTAAAATT</t>
  </si>
  <si>
    <t>GAAAAAGCAATTGAACGTATTAAAGCAATTCTGGAAAAA</t>
  </si>
  <si>
    <t>AAACGTCTGATTGAACGTATTAAAAAAATTCTGGAACTG</t>
  </si>
  <si>
    <t>CAACGTCTGATTAATCGTATTAAAGAAATTTGTAAAATT</t>
  </si>
  <si>
    <t>AAAAAACTGGAAGAACGTCTGAAAAAAATTTGTGAACTG</t>
  </si>
  <si>
    <t>AAAGCACTGGTTGAACGTCTGAAAAAAATTTGTGAACTG</t>
  </si>
  <si>
    <t>AAAAAACTGGTTGAACGTATTAAAGAAATTTGTAAACTG</t>
  </si>
  <si>
    <t>AAAAAACTGATTAATCGTATTATTGAAATTCTGAAACTG</t>
  </si>
  <si>
    <t>GAACGTCTGATTGAACGTCTGAAAGCAATTTGTGAACTG</t>
  </si>
  <si>
    <t>AAAGCACTGGTTGAACGTATTAAAGCAATTTGTGAAAAA</t>
  </si>
  <si>
    <t>AAAAAAATGATTGAACGTCTGAAAGCAATTGCAGAACTG</t>
  </si>
  <si>
    <t>GAAAAACTGAAAAAACGTCTGGTTGCAATTTGTGAACGT</t>
  </si>
  <si>
    <t>AATCGTATGATTGAACGTCTGGTTGAAATTCTGAAACTG</t>
  </si>
  <si>
    <t>AAAGCACTGGAAGAACGTATTCGTGCAATTTGTGAAAAA</t>
  </si>
  <si>
    <t>AATGCACTGATTAAACGTCTGGAAGAAATTTGTAAAATT</t>
  </si>
  <si>
    <t>AAAGCAATGATTGAACGTCTGAAAAAAATTCTGGAACTG</t>
  </si>
  <si>
    <t>GAAAAACTGATTAAACGTCTGGTTGAAATTCTGAAACTG</t>
  </si>
  <si>
    <t>AAAAAACTGATTGAACGTATTAAAGCAATTCTGGAAAAA</t>
  </si>
  <si>
    <t>AAAGCAATGATTGAACGTATTAAAGAAATTTGTAAACTG</t>
  </si>
  <si>
    <t>AAAGCAATGGAAGAACGTATTAAAAAAATTCTGGAACTG</t>
  </si>
  <si>
    <t>GAACAACGTATTTCTCGTATTAAAGAAATTCTGAAAATT</t>
  </si>
  <si>
    <t>AAAAAACGTATTAAACGTCTGGAAGAAATTCTGAAAATT</t>
  </si>
  <si>
    <t>GAAGCACGTATTAAACGTATTAAAGAAATTCTGGAAAAA</t>
  </si>
  <si>
    <t>AAAGAACGTATTGCACGTCTGAAAGAAATTCTGAAAATT</t>
  </si>
  <si>
    <t>AAAGCACGTATTGAACGTCTGAAAGAAATTCTGGAACTG</t>
  </si>
  <si>
    <t>GAACGTCGTATTAAACGTATTAAAGAAATTCTGGAAAAA</t>
  </si>
  <si>
    <t>AAAAAACGTATTGAACGTCTGAAACAAATTCTGGAACTG</t>
  </si>
  <si>
    <t>GAAGCACGTATTGCACGTCTGAAAGAAATTCTGAAACTG</t>
  </si>
  <si>
    <t>AAAGCACGTATTGAACGTATTAAAGAAATTCTGCGTATT</t>
  </si>
  <si>
    <t>AAAAAAAAAATTGATCGTATTAAAGAAATTCTGAAACTG</t>
  </si>
  <si>
    <t>AATGCACGTATTAAACGTATTAAAGAAATTCTGGAACTG</t>
  </si>
  <si>
    <t>CAAGCACGTATTGCACGTCTGAAAGCAATTCTGGAAAAA</t>
  </si>
  <si>
    <t>AAAGCACGTATTCAACGTATTAAAGAAATTCTGACTCTG</t>
  </si>
  <si>
    <t>AAACGTCGTATTGAACGTATTAAAGAAATTCTGAAACTG</t>
  </si>
  <si>
    <t>AAAGCACGTATTGCACGTCTGGAAGAAATTCTGAAAATT</t>
  </si>
  <si>
    <t>AAAGCACGTATTAAACGTATTAAAGAAATTCTGAAACTG</t>
  </si>
  <si>
    <t>AAAGAACGTATTGAACGTATTAAAGCAATTCTGGAACTG</t>
  </si>
  <si>
    <t>AATAAACGTATTGAACGTATTAAAGAAATTCTGAAAATT</t>
  </si>
  <si>
    <t>AAAGCAAAAATTGAACGTCTGAAAAAAATTCTGGAAATT</t>
  </si>
  <si>
    <t>AAAGAACGTGAAAAACGTCTGGTTGAAATTCTGAAAATT</t>
  </si>
  <si>
    <t>CGTGAAAAAATTAAACGTCTGAAAGAAATTCTGGAAAAA</t>
  </si>
  <si>
    <t>AAAGCACGTATTGAACGTATTAAAGCAATTCTGAAAATT</t>
  </si>
  <si>
    <t>AAAGCACGTATTGCACGTCTGAAACAAATTCTGGAAATT</t>
  </si>
  <si>
    <t>AAAGCAAAAATTAAACGTCTGGAAGAAATTCTGAAAATT</t>
  </si>
  <si>
    <t>AAAAAACGTATTGAACGTATTAAAGCAATTCTGGAAAAA</t>
  </si>
  <si>
    <t>AAAGCAGTTATTGATCGTCTGAAAAAAATTCTGGAAATT</t>
  </si>
  <si>
    <t>GAAGCACGTCTGCGTCGTATTAAAGAAATTCTGAAAATT</t>
  </si>
  <si>
    <t>GAAAAACGTATTGATCGTCTGAAAGAAATTCTGAAAATT</t>
  </si>
  <si>
    <t>AAAGAACGTATTAAAAAACTGGAAGAAATTCTGAAAATT</t>
  </si>
  <si>
    <t>GAAGCACGTATTAAACGTATTAAAGAAATTCTGGAAATT</t>
  </si>
  <si>
    <t>AAAGCACGTATTAAACGTCTGAAAGAAATTCTGAAAATT</t>
  </si>
  <si>
    <t>AAAAAACGTATTGAACGTCTGAAAGAAATTCTGAAAAAA</t>
  </si>
  <si>
    <t>AAAAAACGTATTGAACGTCTGAAAGAAATTCTGAAAATT</t>
  </si>
  <si>
    <t>AAAAAACGTATTGAACGTCTGAAAGCAATTCTGGAAAAA</t>
  </si>
  <si>
    <t>GAAAAACGTATTAAACGTCTGAAAGAAATTCTGGAAATT</t>
  </si>
  <si>
    <t>AAACAACTGATTGATCGTCTGCGTGAAATTCTGAAAAAA</t>
  </si>
  <si>
    <t>GAACAACGTATTAAACGTCTGGAAGCAATTCTGAAAAAA</t>
  </si>
  <si>
    <t>GAAAAACGTATTAAACGTATTAAAGAAATTCTGAAAATT</t>
  </si>
  <si>
    <t>AATAAAATTATTGATCGTATTAAAGAAATTCTGAAAATT</t>
  </si>
  <si>
    <t>GAAGCACGTATTAAACGTATTAAAGAAATTCTGAAAATT</t>
  </si>
  <si>
    <t>AAAGCACGTATTGATCGTCTGAAAGCAATTCTGGAAAAA</t>
  </si>
  <si>
    <t>GAAAAACGTATTAAACGTCTGGAAGAAATTCTGAAACTG</t>
  </si>
  <si>
    <t>AAAGCACGTATTGAACGTCTGAAACAAATTCTGGAAATT</t>
  </si>
  <si>
    <t>AAACAACGTATTGAACGTATTAAAGAAATTCTGAAAATT</t>
  </si>
  <si>
    <t>AAAGCACGTATTAAACGTCTGAAAGAAATTCTGGAAAAA</t>
  </si>
  <si>
    <t>GAAGCACGTATTAAACGTATTAAAGAAATTCTGAAACTG</t>
  </si>
  <si>
    <t>AAAGCACGTATTGCACGTCTGCGTGAAATTCTGGAAATT</t>
  </si>
  <si>
    <t>AAAGCACGTATTGCACGTCTGAAAGCAATTCTGGAAAAA</t>
  </si>
  <si>
    <t>GAAAAACTGATTGCACGTCTGAAAGAAATTCTGGAAATT</t>
  </si>
  <si>
    <t>AAAGCACGTATTGAACGTCTGAAAGCAATTCTGGAAAAA</t>
  </si>
  <si>
    <t>AAAGAAAAAATTGAACGTATTAAAAAAATTCTGGAACTG</t>
  </si>
  <si>
    <t>AAAAAACTGATTGAACGTATTAAAGAAATTCTGGAAAAA</t>
  </si>
  <si>
    <t>GAAGAAAAAATTAAACGTATTAAAGAAATTCTGAAAATT</t>
  </si>
  <si>
    <t>GAAGAACGTATTAAACGTATTCGTGAAATTCTGGAAATT</t>
  </si>
  <si>
    <t>AAAGCACGTATTGAACGTATTAAAGAAATTCTGAAAATT</t>
  </si>
  <si>
    <t>AAAGAAAAAATTAAACGTCTGAAAGAAATTCTGAAAGTT</t>
  </si>
  <si>
    <t>CAAAAACGTATTGAACGTATTAAACAAATTCTGGAAATT</t>
  </si>
  <si>
    <t>AAAGCACGTGAAAAACGTCTGAAAGAAATTCTGAAACTG</t>
  </si>
  <si>
    <t>GAAGCAGTTAAAAAACGTCTGGAAGCAATTCTGAAACAA</t>
  </si>
  <si>
    <t>AAAGCACGTATTGAACGTATTAAAGCAATTCTGCGTATT</t>
  </si>
  <si>
    <t>GAAGCATTTAAAAAACGTCTGATTGAAATTCTGAAAATT</t>
  </si>
  <si>
    <t>GAAGCACGTATTAAACGTATTAAAGATATTCTGGAAATT</t>
  </si>
  <si>
    <t>AAACGTCGTATTAAACGTATTGAAGAAATTCTGAAAATT</t>
  </si>
  <si>
    <t>AAAAAACGTATTGAACGTATTAAAGAAATTCTGGCAATT</t>
  </si>
  <si>
    <t>AAAGCACGTATTGAACGTATTAAAGAAATTCTGACTATT</t>
  </si>
  <si>
    <t>AAAGCACGTATTAAACGTATTGAAGAAATTCTGCGTATT</t>
  </si>
  <si>
    <t>GAAGCAAAAATTCAACGTCTGAAACAAATTCTGGAACAA</t>
  </si>
  <si>
    <t>AAAGCACGTATTGATCGTCTGAAAGAAATTCTGAAAATT</t>
  </si>
  <si>
    <t>AAAGCACGTATTGAACGTATTAAAGAAATTCTGAAACTG</t>
  </si>
  <si>
    <t>AAAAAAGTTATTAAACGTCTGAAAGAAATTCTGGAACTG</t>
  </si>
  <si>
    <t>GAAGCAAAAATTAAACGTCTGAAAGAAATTCTGAAAATT</t>
  </si>
  <si>
    <t>AAAAAACGTATTGAACGTCTGAAAGAAATTCTGAAACTG</t>
  </si>
  <si>
    <t>AAAGCACGTATTGAACGTATTAAAAAAATTCTGGAACTG</t>
  </si>
  <si>
    <t>GAACAACGTATTAAACGTATTGAAGAAATTCTGAAAATT</t>
  </si>
  <si>
    <t>AAAGCAAAAATTGAACGTCTGAAAGAAATTCTGAAAATT</t>
  </si>
  <si>
    <t>AAAGCACGTATTAAACGTCTGAAAGAAATTCTGAAACTG</t>
  </si>
  <si>
    <t>AAAAAACGTATTGAACGTATTAAAGAAATTCTGAAAATT</t>
  </si>
  <si>
    <t>AAACAACGTATTGAACGTATTAAAGAAATTCTGGAAAAA</t>
  </si>
  <si>
    <t>AAACAACGTATTGAACGTATTAAAGCAATTCTGGAAAAA</t>
  </si>
  <si>
    <t>GAAAAACGTATTGAACGTATTAAAGAAATTCTGAAACTG</t>
  </si>
  <si>
    <t>AAAGCACGTATTGAACGTCTGAAATCTATTCTGAAAATT</t>
  </si>
  <si>
    <t>GAAAAACGTATTGCACGTCTGAAAGCAATTCTGGAAATT</t>
  </si>
  <si>
    <t>GAAGCAAAAATTAAACGTATTAAAGATATTCTGACTATT</t>
  </si>
  <si>
    <t>AAAGCACGTATTAAACGTCTGGAAGAAATTCTGACTCTG</t>
  </si>
  <si>
    <t>AAAGAACGTATTACTCGTCTGAAAGAAATTCTGAAACTG</t>
  </si>
  <si>
    <t>CGTAAACGTGAAGAACGTCTGAAAGCAATTCTGGAAATT</t>
  </si>
  <si>
    <t>AAAAAACGTATTGAACGTATTAAAGAAATTCTGAAACTG</t>
  </si>
  <si>
    <t>CGTGCACGTATTGAACGTCTGAAAGCAATTCTGGAAAAA</t>
  </si>
  <si>
    <t>AATGCACGTATTGATCGTCTGAAACAAATTCTGGAACTG</t>
  </si>
  <si>
    <t>AAAGCACGTCAAAAACGTATTGAAGAAATTCTGACTATT</t>
  </si>
  <si>
    <t>AAAGAAAAAATTCAACGTCTGAAAGAAATTCTGGCAATT</t>
  </si>
  <si>
    <t>AAAGCAAAAATTAAACGTATTAAAGAAATTCTGGAAATT</t>
  </si>
  <si>
    <t>AAAGCACGTATTGCACGTATTAAAGCAATTCTGAAACTG</t>
  </si>
  <si>
    <t>GAAAAACGTATTAAATATATTAAAGAAATTCTGTCTATT</t>
  </si>
  <si>
    <t>AAAAAACGTATTGAACGTCTGAAAGCAATTCTGAAAAAA</t>
  </si>
  <si>
    <t>AAAGAAAAAATTGAACGTATTAAAAAAATTCTGGAAATT</t>
  </si>
  <si>
    <t>GAAAAAAAAATTGAACGTATTAAAGAAATTCTGAAAAAA</t>
  </si>
  <si>
    <t>AAAGCACGTATTGCACGTATTAAAGAAATTCTGCGTATT</t>
  </si>
  <si>
    <t>AAAGCACGTATTGAACGTCTGAAAGAAATTCTGAAAATT</t>
  </si>
  <si>
    <t>AAAGAACGTATTGAACGTCTGAAAGAAATTCTGAAAATT</t>
  </si>
  <si>
    <t>AAAGAACGTATTGCACGTATTAAAGAAATTCTGAAAATT</t>
  </si>
  <si>
    <t>GAAAAACGTATTAAACGTCTGAAAGATATTCTGGAAAAA</t>
  </si>
  <si>
    <t>AAACGTCGTATTGAACGTCTGAAAGAAATTCTGAAAAAA</t>
  </si>
  <si>
    <t>GAAAAACTGATTAAACGTCTGAAAGAAATTCTGAAAATT</t>
  </si>
  <si>
    <t>GAAAAACGTATTAAACGTATTAAAGATATTCTGAAACTG</t>
  </si>
  <si>
    <t>AAAGCAAAAATTGAACGTATTAAAGAAATTCTGAAAATT</t>
  </si>
  <si>
    <t>AAAGCAATTGAAGCACGTCTGAAAGCAATTCTGGAACTG</t>
  </si>
  <si>
    <t>AAAGAACGTATTGAACGTCTGAAACAAATTCTGGAAATT</t>
  </si>
  <si>
    <t>AAAGCACGTATTGATCGTATTAAAGAAATTCTGAAAATT</t>
  </si>
  <si>
    <t>GAAAAACGTATTGCACGTATTAAAGAAATTCTGAAAATT</t>
  </si>
  <si>
    <t>AAAGCACTGGAAGAACGTATTAAAGAAATTCTGAAACTG</t>
  </si>
  <si>
    <t>AATGCACGTATTGAACGTCTGAAAGCAATTCTGGAAATT</t>
  </si>
  <si>
    <t>AAAGCATGGATTAATCGTATTAAAGAAATTCTGACTCTG</t>
  </si>
  <si>
    <t>AAAGCAAAAATTGAACGTATTAAAAAAATTCTGGAAATT</t>
  </si>
  <si>
    <t>GCACGTCGTATTGAACGTCTGAAAGCAATTCTGGAAAAA</t>
  </si>
  <si>
    <t>AAAGCAAAAATTGAACGTATTAAAGAAATTCTGAAACTG</t>
  </si>
  <si>
    <t>AAAGCACGTATTGAACGTCTGAAAGCAATTCTGGAACTG</t>
  </si>
  <si>
    <t>AAAGAACGTATTGAACGTATTAAAGCAATTCTGGAAAAA</t>
  </si>
  <si>
    <t>GAACAAAAAATTAAACGTATTAAAGAAATTCTGGAAAAA</t>
  </si>
  <si>
    <t>GAAAAACGTATTAAACGTATTGAAGAAATTCTGAAACTG</t>
  </si>
  <si>
    <t>AAAGCACGTATTAAACGTCTGGAAGAAATTCTGAAACTG</t>
  </si>
  <si>
    <t>CGTGCACGTATTAAACGTCTGAAAGATATTCTGAAACTG</t>
  </si>
  <si>
    <t>AAAAAACGTATTGCACGTATTGAAGAAATTCTGAAAATT</t>
  </si>
  <si>
    <t>AAAGCACGTATTGAACGTATTAAAAAAATTCTGGAAATT</t>
  </si>
  <si>
    <t>GAAGCAAAAATTAAACGTCTGAAAGCAATTCTGGAAAAA</t>
  </si>
  <si>
    <t>AAAGAACGTATTAAACGTATTAAAGAAATTCTGAAACTG</t>
  </si>
  <si>
    <t>AAAGAAAAAATTAAACGTCTGAAAGCAATTCTGGAAATT</t>
  </si>
  <si>
    <t>AAAGCACGTATTGCACGTATTAAAGAAATTCTGAAACTG</t>
  </si>
  <si>
    <t>GAAGCAAAAATTAAACGTCTGGAAGAAATTCTGAAAATT</t>
  </si>
  <si>
    <t>GAACAACGTATTAAACGTCTGAAAGAAATTCTGAAACTG</t>
  </si>
  <si>
    <t>AAAGAACGTATTGCACGTATTAAAGCAATTCTGGAAAAA</t>
  </si>
  <si>
    <t>AAAGAACGTATTAAACGTCTGAAAGAAATTCTGAAAATT</t>
  </si>
  <si>
    <t>AAAGCACGTATTTCTCGTCTGAAAGAAATTCTGAAAATT</t>
  </si>
  <si>
    <t>AAAGCACGTGAAAAACGTATTGAAGAAATTCTGAAACTG</t>
  </si>
  <si>
    <t>GAAGCACGTATTCGTCGTATTGAAGAAATTCTGCAACTG</t>
  </si>
  <si>
    <t>AAAGAACGTATTAAACGTATTAAAGAAATTCTGAAAATT</t>
  </si>
  <si>
    <t>AAAGAAAAAATTAATCGTATTAAAGAAATTCTGGAAAAA</t>
  </si>
  <si>
    <t>AATAAAATTATTGAACGTATTATTGAAATTCTGAAAATT</t>
  </si>
  <si>
    <t>GAAGAACGTATTAAACGTCTGAAAGAAATTCTGGAAATT</t>
  </si>
  <si>
    <t>GAAGAAGTTAAAAAACGTCTGGAAGAAATTCTGGAAATT</t>
  </si>
  <si>
    <t>AAAGCAAAAATTGAACGTCTGAAAGCAATTCTGGAAAAA</t>
  </si>
  <si>
    <t>AATGCACGTATTAAACGTCTGAAAGAAATTCTGGAAATT</t>
  </si>
  <si>
    <t>AAAGCACGTATTGCACGTATTGAAAAAATTCTGGAAATT</t>
  </si>
  <si>
    <t>AAAGAACGTATTAAACGTCTGGAAGAAATTCTGAAAATT</t>
  </si>
  <si>
    <t>AATGCACTGATTGAACGTCTGAAAGCAATTCTGGAAATT</t>
  </si>
  <si>
    <t>GAAGAAAAAATTAAACGTCTGAAAGAAATTCTGGAAATT</t>
  </si>
  <si>
    <t>GAACAACGTATTGCACGTATTAAAGAAATTCTGAAACTG</t>
  </si>
  <si>
    <t>AAAAAACGTATTGAACGTATTAAAGCAATTCTGGAAATT</t>
  </si>
  <si>
    <t>GAAGCAAAAATTAAACGTATTAAAGATATTCTGGAAATT</t>
  </si>
  <si>
    <t>GAAAAAAAAATTCAACGTATTAAAGAAATTCTGAAACTG</t>
  </si>
  <si>
    <t>AATGCACGTATTGAACGTCTGGAAGCAATTCTGAAACTG</t>
  </si>
  <si>
    <t>GAAGCACGTATTGCACGTCTGAAAGCAATTCTGGAAAAA</t>
  </si>
  <si>
    <t>AAAGAACTGATTGAACGTCTGAAAAAAATTCTGGAACTG</t>
  </si>
  <si>
    <t>AAAGCACGTATTGAACGTATTAAACAAATTCTGACTCTG</t>
  </si>
  <si>
    <t>AAAGCAAAAATTCAACGTATTAAAGAAATTCTGGAAAAA</t>
  </si>
  <si>
    <t>AAAGCACGTATTGAACGTCTGAAAGCAATTCTGAAAAAA</t>
  </si>
  <si>
    <t>AAAGCACGTATTGCACGTCTGAAAGAAATTCTGAAACTG</t>
  </si>
  <si>
    <t>AAAAAACGTATTGAACGTATTAAAGAAATTCTGAAAAAA</t>
  </si>
  <si>
    <t>AAAAAACGTATTCAACGTATTAAAGATATTCTGGAAATT</t>
  </si>
  <si>
    <t>AAAAAACGTATTAAACGTCTGAAAGATATTCTGACTATT</t>
  </si>
  <si>
    <t>AAAGCACGTATTGAACGTATTAAAGAAATTCTGGCACTG</t>
  </si>
  <si>
    <t>GAAGAAAAAATTAAACGTATTAAAGAAATTCTGGAAATT</t>
  </si>
  <si>
    <t>AATAAACTGATTGAACGTCTGAAAAAAATTCTGGAAATT</t>
  </si>
  <si>
    <t>AAAGCACGTATTGCACGTCTGAAAGCAATTCTGGCAAAA</t>
  </si>
  <si>
    <t>AAAGCAAAAATTGCACGTATTAAAGAAATTCTGGAAATT</t>
  </si>
  <si>
    <t>AAAGCACGTATTAAACGTCTGAAAGCAATTCTGGAAATT</t>
  </si>
  <si>
    <t>GAAGCAAAAATTCAACGTATTAAAGATATTCTGCGTATT</t>
  </si>
  <si>
    <t>AAAGCACGTATTGAACGTATTAAACAAATTCTGAAAATT</t>
  </si>
  <si>
    <t>AAAGCAAAAATTCGTCGTATTAAAGAAATTCTGACTATT</t>
  </si>
  <si>
    <t>CAAGCACGTATTAAACGTCTGAAAGAAATTCTGAAAATT</t>
  </si>
  <si>
    <t>AAAGAACGTGTTAAACGTATTGAAGAAATTCTGAAAATT</t>
  </si>
  <si>
    <t>GAACGTCGTATTAAACGTCTGAAAGAAATTCTGCGTAAA</t>
  </si>
  <si>
    <t>AAACAACGTATTGCACGTCTGAAAGCAATTCTGAAAAAA</t>
  </si>
  <si>
    <t>GAAGCACGTATTAAACGTCTGAAAGAAATTCTGAAAATT</t>
  </si>
  <si>
    <t>GAAGAACGTATTCGTCGTATTAAAGAAATTCTGGAACTG</t>
  </si>
  <si>
    <t>GAAAAACGTATTAAACGTATTAAAGAAATTCTGCAAAAA</t>
  </si>
  <si>
    <t>CAAAAAACTATTGAACGTCTGAAAGAAATTCTGAAAATT</t>
  </si>
  <si>
    <t>GAACGTCTGGTTTCTCGTATTGTTGAAATTTGTAAAATT</t>
  </si>
  <si>
    <t>AAAAAACTGGTTGAATATCTGGTTGAAATTTGTAAACTG</t>
  </si>
  <si>
    <t>AAACGTCTGGTTGAATATATTGTTGAAATTTGTAAAAAA</t>
  </si>
  <si>
    <t>AAACGTCTGACTGCACGTCTGGTTGAAATTTGTAAAAAA</t>
  </si>
  <si>
    <t>AATAAACTGGTTGAACGTCTGGTTAAAATTTGTGAACTG</t>
  </si>
  <si>
    <t>GAACGTCTGGTTAAATATATTAAAGCAATTTGTGAAAAA</t>
  </si>
  <si>
    <t>AAAAAACTGACTGAACGTCTGGTTAAAATTTGTGAACTG</t>
  </si>
  <si>
    <t>GAACGTATGACTGCACGTCTGGTTGAAATTTGTAAACTG</t>
  </si>
  <si>
    <t>AATCGTCTGATTGAACGTATTGTTGAAATTTGTAAACGT</t>
  </si>
  <si>
    <t>AAAAAACTGGTTGATCGTATTGTTGAAATTTGTAAACGT</t>
  </si>
  <si>
    <t>AATCGTCTGACTGAACGTATTGTTGAAATTTGTAAACTG</t>
  </si>
  <si>
    <t>CAACGTATGGTTGAACGTCTGAAAGCAATTTGTGAAAAA</t>
  </si>
  <si>
    <t>AAAAAACTGGTTCAAAAAATTGTTGAAATTTGTAAACTG</t>
  </si>
  <si>
    <t>AAACGTCTGACTGAACGTATTATTGAAATTTGTAAACTG</t>
  </si>
  <si>
    <t>AAACGTCTGGTTGAACGTCTGGTTGCAATTTGTAAACGT</t>
  </si>
  <si>
    <t>AAAGCACTGACTAAACGTATTGTTGAAATTTGTAAACTG</t>
  </si>
  <si>
    <t>AAACGTCTGGTTGAACGTATTGTTGCAATTTGTGAAAAA</t>
  </si>
  <si>
    <t>AATAAAATGACTGAACGTATTGTTGAAATTTGTAAACGT</t>
  </si>
  <si>
    <t>GAAAAAATGGTTGAACGTCTGAAAGCAATTTGTGAACGT</t>
  </si>
  <si>
    <t>AAAAAACTGGTTGATCGTCTGGTTGAAATTTGTAAACGT</t>
  </si>
  <si>
    <t>CGTAAACTGACTGAATTTCTGGTTAAAATTTGTGAAAAA</t>
  </si>
  <si>
    <t>CGTAAACTGGTTGAACGTATTGTTGCAATTTGTAAACGT</t>
  </si>
  <si>
    <t>AATAAACTGGTTGCACGTCTGAAAGCAATTTGTGAAAAA</t>
  </si>
  <si>
    <t>GAACGTCTGACTAAACGTCTGGTTGAAATTTGTAAAAAA</t>
  </si>
  <si>
    <t>CGTCGTCTGGTTGAACGTATTAAAGCAATTTGTGAACGT</t>
  </si>
  <si>
    <t>CAAAAACTGGTTGATCGTCTGGTTGAAATTTGTAAACTG</t>
  </si>
  <si>
    <t>GAAAAACTGGTTCGTCGTCTGGTTGAAATTTGTAAAAAA</t>
  </si>
  <si>
    <t>GAAAAACTGGTTGATCGTCTGGTTGAAATTTGTAAACGT</t>
  </si>
  <si>
    <t>AAAAAACTGACTAAAAAACTGGAAGCAATTTGTAAAAAA</t>
  </si>
  <si>
    <t>AAACGTCTGTCTGAATATCTGGTTGCAATTTGTGAACGT</t>
  </si>
  <si>
    <t>AAAGCACTGACTAATTATCTGGTTGAAATTTGTAAACGT</t>
  </si>
  <si>
    <t>AAAAAAATGGTTGAACGTCTGAAAGCAATTTGTAAAAAA</t>
  </si>
  <si>
    <t>GAAAAACTGGTTAAACGTCTGAAAGAAATTTGTAAACGT</t>
  </si>
  <si>
    <t>AAAAAACTGACTGAACGTCTGAAAGCAATTTGTGAAAAA</t>
  </si>
  <si>
    <t>GAAAAACTGACTAAACGTCTGATTGAAATTTGTAAACGT</t>
  </si>
  <si>
    <t>AAACGTCTGGTTGATCGTCTGGTTGCAATTTGTGAAAAA</t>
  </si>
  <si>
    <t>AAACAAATGACTGAACGTCTGGTTGCAATTTGTAAAAAA</t>
  </si>
  <si>
    <t>GAAAAAATGGTTAAACGTCTGGTTGAAATTTGTAAACTG</t>
  </si>
  <si>
    <t>AATAAACTGGTTGATCGTATTGTTGAAATTTGTAAACGT</t>
  </si>
  <si>
    <t>GAACGTATGGTTCAACGTATGGTTGAAATTTGTAAACGT</t>
  </si>
  <si>
    <t>AAAAAACTGACTGATCGTCTGGTTGCAATTTGTGAAAAA</t>
  </si>
  <si>
    <t>GAAAAACTGACTAAACGTCTGGTTGAAATTTGTAAACTG</t>
  </si>
  <si>
    <t>AAACAAATGACTGAACGTCTGGTTGAAATTTGTAAACGT</t>
  </si>
  <si>
    <t>AAAGCAATGACTGAACGTCTGGTTGCAATTTGTGAACGT</t>
  </si>
  <si>
    <t>AAAAAACTGACTGAATATATTAAAGAAATTTGTAAACTG</t>
  </si>
  <si>
    <t>AATGCACTGACTCAACGTCTGGTTGAAATTTGTAAACTG</t>
  </si>
  <si>
    <t>AAAAAACTGGTTGAACGTCTGAAAGCAATTTGTGAAAAA</t>
  </si>
  <si>
    <t>GAAAAACTGACTGCACGTCTGGTTAAAATTTGTGAACTG</t>
  </si>
  <si>
    <t>GAACGTCTGACTAAACGTCTGGTTGCAATTTGTAAACGT</t>
  </si>
  <si>
    <t>AATCGTCTGGTTGAACGTATTAAAAAAATTTGTGAACTG</t>
  </si>
  <si>
    <t>AAAAAACTGACTGAACGTATTGTTGCAATTTGTGAAAAA</t>
  </si>
  <si>
    <t>GAACGTCTGACTAAACGTATTGTTGAAATTTGTAAACTG</t>
  </si>
  <si>
    <t>AATAAAATGGTTGAACGTATTGTTACTATTTGTAAACTG</t>
  </si>
  <si>
    <t>AAAAAACTGGTTGAACGTCTGGTTGCAATTTGTGAACGT</t>
  </si>
  <si>
    <t>AAAAAAATGACTGAACGTCTGGTTGAAATTTGTAAACTG</t>
  </si>
  <si>
    <t>GAAAAACTGACTGAACGTATTGTTGCAATTTGTGAAAAA</t>
  </si>
  <si>
    <t>AAAAAACTGGTTGAAAAACTGGTTAAAATTTGTGAACTG</t>
  </si>
  <si>
    <t>AATCGTCTGGTTAAACGTGTTGTTGAAATTTGTAAACTG</t>
  </si>
  <si>
    <t>AATAAACTGACTAAACGTGTTGTTGAAATTTGTAAACTG</t>
  </si>
  <si>
    <t>GAACGTGCAGTTCAACGTCTGGTTGCAATTTGTAAACTG</t>
  </si>
  <si>
    <t>GAAAAACTGGTTAAACGTATTGTTGCAATTTGTGAAAAA</t>
  </si>
  <si>
    <t>AAAAAACTGGTTGAACGTATTAAAGCAATTTGTGAACGT</t>
  </si>
  <si>
    <t>GAAAAACTGACTAAACGTCTGATTGAAATTTGTAAACTG</t>
  </si>
  <si>
    <t>GAAAAACTGGTTAATTATCTGGTTGAAATTTGTAAACGT</t>
  </si>
  <si>
    <t>AAACGTCTGGTTAAACGTATTGAAGAAATTTGTAAACTG</t>
  </si>
  <si>
    <t>AAAAAACTGGTTGAACGTCTGGTTGAAATTTGTAAAATT</t>
  </si>
  <si>
    <t>AATAAACTGATTGAACGTATTAAAGCAATTTGTGAAAAA</t>
  </si>
  <si>
    <t>AAAGCACTGGTTAATCGTATTGTTGAAATTTGTAAACGT</t>
  </si>
  <si>
    <t>AATCGTATGGTTGAACGTCTGGTTGCAATTTGTGAACGT</t>
  </si>
  <si>
    <t>GAAAAAATGACTCAACGTCTGGTTGAAATTTGTAAACTG</t>
  </si>
  <si>
    <t>AAAAAACTGACTGAACGTATTGTTGCAATTTGTAAAAAA</t>
  </si>
  <si>
    <t>AATAAACTGGTTAAACGTCTGGTTGAAATTTGTGAACTG</t>
  </si>
  <si>
    <t>GAACGTCTGACTAAACGTCTGGTTGAAATTTGTAAACTG</t>
  </si>
  <si>
    <t>AAAAAACTGGTTGAACGTCTGGTTGCAATTTGTAAACGT</t>
  </si>
  <si>
    <t>AATAAAATGATTGAACGTATTGTTAAAATTTGTGAACTG</t>
  </si>
  <si>
    <t>AAACGTCTGGTTGAACGTATTGTTGAAATTTGTAAACGT</t>
  </si>
  <si>
    <t>AAACGTCTGGTTGAACGTCTGGTTAAAATTTGTGAACTG</t>
  </si>
  <si>
    <t>AATAAACTGGTTGAACGTATTGTTGAAATTTGTAAACTG</t>
  </si>
  <si>
    <t>AAACGTATGGTTAAACGTATTGTTGAAATTTGTAAACTG</t>
  </si>
  <si>
    <t>AAAAAACTGACTGAACGTCTGGTTGCAATTTGTAAACTG</t>
  </si>
  <si>
    <t>AAACGTATGGTTGAACGTCTGGTTGCAATTTGTGAAAAA</t>
  </si>
  <si>
    <t>AATCGTCTGATTAATCGTATTAAAGCAATTTGTGAAGCA</t>
  </si>
  <si>
    <t>CGTAAACTGACTGAACGTATTGTTGAAATTTGTAAACTG</t>
  </si>
  <si>
    <t>AAAAAACTGACTGAACTGATTGTTGAAATTTGTAAACGT</t>
  </si>
  <si>
    <t>GAAAAACTGATTGCACGTCTGAAAGCAATTTGTGAACGT</t>
  </si>
  <si>
    <t>AAAAAACTGACTGAACGTATTGTTGCAATTTGTAAACGT</t>
  </si>
  <si>
    <t>AAACGTCTGGTTGATCGTCTGGTTGAAATTTGTAAACTG</t>
  </si>
  <si>
    <t>AATCGTCTGGTTACTCGTCTGGTTGAAATTTGTAAACTG</t>
  </si>
  <si>
    <t>CGTAAACTGGAAGAACGTCTGGTTGCAATTTGTGAACGT</t>
  </si>
  <si>
    <t>CGTAAAATGACTGAACGTCTGGTTGCAATTTGTGAAAAA</t>
  </si>
  <si>
    <t>AATCGTCTGGTTGATTATCTGAAACAAATTTGTGAACTG</t>
  </si>
  <si>
    <t>AATCGTCTGGTTGATCGTATTGTTGCAATTTGTGAAAAA</t>
  </si>
  <si>
    <t>AAACGTCTGCAAAATTATATTGTTCAAATTTGTGAAATT</t>
  </si>
  <si>
    <t>AAAAAACTGGTTGAACGTATTGTTGAAATTTGTAAACTG</t>
  </si>
  <si>
    <t>AAAAAACTGGTTCAACGTCTGGTTGAAATTTGTAAAATT</t>
  </si>
  <si>
    <t>GAACGTCTGACTAAACGTATTGTTGCAATTTGTGAACGT</t>
  </si>
  <si>
    <t>AAAAAACTGACTGAACGTATTGTTGCAATTTGTAAACTG</t>
  </si>
  <si>
    <t>GAAAAAATGGTTAAACGTATTGTTGAAATTTGTGAACGT</t>
  </si>
  <si>
    <t>AAAAAACTGGTTGAACGTCTGGTTGCAATTTGTAAAAAA</t>
  </si>
  <si>
    <t>AAAAAACTGACTGAACGTCTGGTTGCAATTTGTGAACGT</t>
  </si>
  <si>
    <t>AATCGTATGGTTGAACGTATTAAAGCAATTTGTAAAATT</t>
  </si>
  <si>
    <t>GAAAAACTGGTTGAACGTATTATTGCAATTTGTAAAAAA</t>
  </si>
  <si>
    <t>AAAGCACTGGTTAAACGTCTGGTTGAAATTTGTAAACTG</t>
  </si>
  <si>
    <t>AAACGTATGACTGAACGTATTAAAGCAATTTGTGAAAAA</t>
  </si>
  <si>
    <t>AATCGTCTGGTTGAACGTCTGGTTGAAATTTGTAAACTG</t>
  </si>
  <si>
    <t>GAAAAACTGGTTGAACGTCTGGTTGAAATTTGTAAACTG</t>
  </si>
  <si>
    <t>GAACGTCTGATTAATCGTATTGTTGCAATTTGTAAACAT</t>
  </si>
  <si>
    <t>GAAAAACTGACTAAACGTCTGGTTGCAATTTGTGAAAAA</t>
  </si>
  <si>
    <t>AAACGTCTGACTGAACGTCTGGTTGCAATTTGTAAAAAA</t>
  </si>
  <si>
    <t>GAAAAACTGGTTAAACGTCTGGTTGAAATTTGTAAACGT</t>
  </si>
  <si>
    <t>GAAAAACTGACTAAACGTATTGTTGAAATTTGTAAACTG</t>
  </si>
  <si>
    <t>AAAAAACTGGTTGAACGTATTAAAGCAATTTGTGAACTG</t>
  </si>
  <si>
    <t>AAAAAACTGACTGAACGTCTGATTGCAATTTGTGAAAAA</t>
  </si>
  <si>
    <t>AAACGTCTGGAAAAACGTATTGTTGAAATTTGTGAACGT</t>
  </si>
  <si>
    <t>GAACGTATGGTTGAACGTCTGAAAGCAATTTGTAAACGT</t>
  </si>
  <si>
    <t>AAAAAAATGACTGAACGTCTGGTTAAAATTTGTGAACTG</t>
  </si>
  <si>
    <t>AAAAAAGCAGTTGATCGTATTAAAGAAATTTGTAAACTG</t>
  </si>
  <si>
    <t>AAAAAAGCAGTTGAACGTCTGGTTGCAATTTGTAAAAAA</t>
  </si>
  <si>
    <t>GAAAAAATGGTTGCACGTCTGGTTGAAATTTGTAAACTG</t>
  </si>
  <si>
    <t>AATCGTCTGGTTGAACGTCTGGTTGCAATTTGTGAACTG</t>
  </si>
  <si>
    <t>GAACGTCTGACTAATCGTATTAAAGAAATTTGTAAACGT</t>
  </si>
  <si>
    <t>AAAAAACTGGTTGAACGTATTAAAGCAATTTGTGAAAAA</t>
  </si>
  <si>
    <t>GAACGTCTGAAAGAATATCTGGTTAAAATTTGTGAACTG</t>
  </si>
  <si>
    <t>CAAAAAATGACTGAACGTATTGTTGAAATTTGTAAACTG</t>
  </si>
  <si>
    <t>GAAAAACTGGTTGAACGTATTAAAGCAATTTGTGAACTG</t>
  </si>
  <si>
    <t>AAAAAAATGGAAGAATATATTGTTGCAGTTTGTGAACGT</t>
  </si>
  <si>
    <t>AATAAACTGGTTGAACGTATTGTTAAAATTTGTGAACTG</t>
  </si>
  <si>
    <t>AAAAAACTGGAAGAACGTATTGTTGAAATTTGTAAACTG</t>
  </si>
  <si>
    <t>GAAAAACTGATTAAACGTCTGGTTGAAATTTGTAAACTG</t>
  </si>
  <si>
    <t>AATGCAATGATTAAACGTCTGGTTGCAATTTGTAAACTG</t>
  </si>
  <si>
    <t>AATAAAATGGTTGAAAAAATTGTTGCAATTTGTGAAAAA</t>
  </si>
  <si>
    <t>AATCGTATGATTGAACGTATTAAAGCAATTTGTGAAAAA</t>
  </si>
  <si>
    <t>GAACGTATGGTTGAACGTCTGAAAGCAATTTGTGAACGT</t>
  </si>
  <si>
    <t>AAACGTATGGTTGATCGTATTGTTGCAATTTGTAAACTG</t>
  </si>
  <si>
    <t>GAACGTCTGGTTAAACGTCTGAAAGCAATTTGTGAACTG</t>
  </si>
  <si>
    <t>GAACGTCTGACTGAACGTATTGTTCAAATTTGTAAACTG</t>
  </si>
  <si>
    <t>GAACGTGCAGTTCGTCGTCTGGTTGAAATTTGTAAAAAA</t>
  </si>
  <si>
    <t>AATAAAATGACTGAACGTATTGTTGCAATTTGTGAAAAA</t>
  </si>
  <si>
    <t>AAAAAAATGGTTGAACGTCTGGTTGCAATTTGTAAAAAA</t>
  </si>
  <si>
    <t>AAAAAACTGGAAGAACTGCTGGTTGAAATTTGTAAAATT</t>
  </si>
  <si>
    <t>AAAGCACTGGTTAAACGTATTGAAGAAATTTGTAAACTG</t>
  </si>
  <si>
    <t>AAACGTCTGATTGCACGTATTAAAGAAATTTGTAAACTG</t>
  </si>
  <si>
    <t>GAAGCACTGACTCGTCGTATTGTTAAAATTTGTGAACTG</t>
  </si>
  <si>
    <t>AAAAAAATGATTGAACGTATTGTTGCAATTTGTAAAATT</t>
  </si>
  <si>
    <t>CGTCGTATGGTTAATCGTATTGTTGCAATTTGTGAAAAA</t>
  </si>
  <si>
    <t>AATAAACTGGTTGAACGTATTATTGAAATTTGTAAAATT</t>
  </si>
  <si>
    <t>GAAGAACTGACTAAATATCTGGTTGAAATTTGTAAACGT</t>
  </si>
  <si>
    <t>GAAAAACTGACTTCTCTGATTATTGAAATTTGTGAACGT</t>
  </si>
  <si>
    <t>AAACAACTGGTTGATCGTCTGGTTGCAATTTGTGAAAAA</t>
  </si>
  <si>
    <t>AATAAAGCAGTTAAATATCTGGTTGAAGTTTGTAAACGT</t>
  </si>
  <si>
    <t>AAAAAACTGACTGAACGTCTGGTTGAAATTTGTAAACTG</t>
  </si>
  <si>
    <t>AAAAAACTGACTGATTATATTGTTAAAATTTGTGAACTG</t>
  </si>
  <si>
    <t>AATAAAATGATTGAACGTCTGGTTGAAATTTGTAAACTG</t>
  </si>
  <si>
    <t>CGTAAACTGACTGAACGTCTGGTTGCAATTTGTGAACGT</t>
  </si>
  <si>
    <t>GAACGTCTGATTGAACGTATTAAAAAAATTTGTGAAATT</t>
  </si>
  <si>
    <t>GAAAAACTGACTGAACGTATTGTTGAAATTTGTAAACTG</t>
  </si>
  <si>
    <t>AAAAAAATGGTTGAACGTATTAAAGCAATTTGTGAAAAA</t>
  </si>
  <si>
    <t>AAAAAACTGACTGAACGTCTGGTTGCAATTTGTAAAAAA</t>
  </si>
  <si>
    <t>GAAAAACTGATTAAACGTATTCAAGCAATTTGTGATATT</t>
  </si>
  <si>
    <t>GAAAAAGCAACTCAACGTATTGTTGAAATTTGTAAACTG</t>
  </si>
  <si>
    <t>AATAAACTGACTGAATATCTGGAAGCAGTTTGTAAAAAA</t>
  </si>
  <si>
    <t>GAAGCAATGACTGCACGTCTGGTTGCAATTTGTAAACTG</t>
  </si>
  <si>
    <t>AAAAAAATGACTGAACGTCTGGTTCAAATTTGTAAACTG</t>
  </si>
  <si>
    <t>TCTCGTCTGGTTGAACGTATTGTTAAAATTTGTGAACTG</t>
  </si>
  <si>
    <t>GAAAAACTGGTTAATTATCTGAAAGAAATTTGTAAAAAA</t>
  </si>
  <si>
    <t>GAAAAACTGGTTAAACGTCTGGTTGAAATTTGTAAACTG</t>
  </si>
  <si>
    <t>AAAGCAATGACTGCACGTCTGGTTGCAATTTGTGAACGT</t>
  </si>
  <si>
    <t>AAAAAAATGGAAGAACGTATTGTTGCAATTTGTAAAAAA</t>
  </si>
  <si>
    <t>AATCGTCTGATTGAACGTCTGAAAGCAATTTGTGAAAAA</t>
  </si>
  <si>
    <t>AAAAAACTGGAAGAACGTCTGGTTGCAATTTGTAAAAAA</t>
  </si>
  <si>
    <t>GAACGTCTGGTTGAACGTATTAAAGCAATTTGTGAAAAA</t>
  </si>
  <si>
    <t>AATAAACTGGTTAATTATCTGAAAAAAATTTGTGAACTG</t>
  </si>
  <si>
    <t>GAAAAACTGGTTGCACGTGTTGTTGAAATTTGTAAACTG</t>
  </si>
  <si>
    <t>AAAAAACTGGAAGAACGTATTGTTGCAATTTGTGAAAAA</t>
  </si>
  <si>
    <t>AAAAAACTGGTTGAACGTATTGTTGCAATTTGTAAAAAA</t>
  </si>
  <si>
    <t>GAACGTCTGGTTAAACGTCTGGTTGCAATTTGTGAAAAA</t>
  </si>
  <si>
    <t>GAAAAAATGGTTGAACGTATTAAAGCAATTTGTGAACGT</t>
  </si>
  <si>
    <t>AAACGTCTGGTTGAACGTATTATTCAAATTTGTAAACTG</t>
  </si>
  <si>
    <t>GCAGCACTGACTCGTCGTATTATTGCAATTTGTGAACGT</t>
  </si>
  <si>
    <t>CAAGCACTGCAAAAACGTCTGGTTGCAATTTGTAAACGT</t>
  </si>
  <si>
    <t>AAAAAAATGGTTGAACGTATTGTTGCAATTTGTAAAAAA</t>
  </si>
  <si>
    <t>GAACGTATGACTAAATATCTGGTTGAAATTTGTAAAAAA</t>
  </si>
  <si>
    <t>AATCGTCTGACTGAACGTCTGGTTGCAATTTGTAAAAAA</t>
  </si>
  <si>
    <t>GAAAAACTGACTGAAAAACTGGTTGCAATTTGTAAACTG</t>
  </si>
  <si>
    <t>CGTAAACTGACTGAACGTCTGATTCAAATTTGTGAACTG</t>
  </si>
  <si>
    <t>GAAAAAATGACTAAACGTATTGTTGAAATTTGTAAAAAA</t>
  </si>
  <si>
    <t>AATCGTCTGGTTGAACGTATTAAAGAAATTTGTAAAATT</t>
  </si>
  <si>
    <t>CGTAAACTGACTGAACGTCTGGTTGAAATTTGTAAACTG</t>
  </si>
  <si>
    <t>Average_170_182</t>
  </si>
  <si>
    <t>Average_Repeat</t>
  </si>
  <si>
    <t>STDEV</t>
  </si>
  <si>
    <t>Structure_Type</t>
  </si>
  <si>
    <t>AAGCAGATGATTCGTCGATTGACTGAAATCTGCAAGCAT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</si>
</sst>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theme="1"/>
      <name val="ArialMT"/>
      <family val="2"/>
    </font>
    <font>
      <b/>
      <sz val="18"/>
      <color theme="1"/>
      <name val="Courier New"/>
      <family val="1"/>
    </font>
    <font>
      <sz val="16"/>
      <color theme="1"/>
      <name val="Courier New"/>
      <family val="1"/>
    </font>
    <font>
      <b/>
      <sz val="11"/>
      <color theme="1"/>
      <name val="Aptos Narrow"/>
      <family val="2"/>
      <scheme val="minor"/>
    </font>
    <font>
      <sz val="14"/>
      <color rgb="FF000000"/>
      <name val="ArialMT"/>
      <family val="2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000000"/>
      </patternFill>
    </fill>
    <fill>
      <patternFill patternType="solid">
        <fgColor rgb="FFBE5014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98F0-0695-704B-B531-CBE88F96EC83}">
  <dimension ref="A1:N910"/>
  <sheetViews>
    <sheetView workbookViewId="0">
      <selection sqref="A1:K1048576"/>
    </sheetView>
  </sheetViews>
  <sheetFormatPr baseColWidth="10" defaultRowHeight="18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</v>
      </c>
      <c r="H1" t="s">
        <v>3</v>
      </c>
      <c r="I1" t="s">
        <v>4</v>
      </c>
      <c r="K1" t="s">
        <v>5</v>
      </c>
      <c r="M1" t="s">
        <v>0</v>
      </c>
      <c r="N1" t="s">
        <v>6</v>
      </c>
    </row>
    <row r="2" spans="1:14">
      <c r="A2" t="s">
        <v>7</v>
      </c>
      <c r="B2">
        <v>156</v>
      </c>
      <c r="C2">
        <v>134</v>
      </c>
      <c r="D2">
        <v>139</v>
      </c>
      <c r="E2">
        <v>129</v>
      </c>
      <c r="G2">
        <f>LOG10(C2/B2)-LOG10(134/156)</f>
        <v>0</v>
      </c>
      <c r="H2">
        <f>LOG10(D2/B2)-LOG10(139/156)</f>
        <v>0</v>
      </c>
      <c r="I2">
        <f>LOG10(E2/B2)-LOG10(129/156)</f>
        <v>0</v>
      </c>
      <c r="K2">
        <f>AVERAGE(G2:I2)</f>
        <v>0</v>
      </c>
    </row>
    <row r="3" spans="1:14">
      <c r="A3">
        <v>1</v>
      </c>
      <c r="B3">
        <v>87</v>
      </c>
      <c r="C3">
        <v>170</v>
      </c>
      <c r="D3">
        <v>303</v>
      </c>
      <c r="E3">
        <v>1969</v>
      </c>
      <c r="G3">
        <f t="shared" ref="G3:G66" si="0">LOG10(C3/B3)-LOG10(134/156)</f>
        <v>0.35694946874930944</v>
      </c>
      <c r="H3">
        <f t="shared" ref="H3:H66" si="1">LOG10(D3/B3)-LOG10(139/156)</f>
        <v>0.59203317398405297</v>
      </c>
      <c r="I3">
        <f t="shared" ref="I3:I66" si="2">LOG10(E3/B3)-LOG10(129/156)</f>
        <v>1.4372613515747124</v>
      </c>
      <c r="K3">
        <f t="shared" ref="K3:K66" si="3">AVERAGE(G3:I3)</f>
        <v>0.79541466476935829</v>
      </c>
    </row>
    <row r="4" spans="1:14">
      <c r="A4">
        <v>2</v>
      </c>
      <c r="B4">
        <v>30</v>
      </c>
      <c r="C4">
        <v>0</v>
      </c>
      <c r="D4">
        <v>0</v>
      </c>
      <c r="E4">
        <v>0</v>
      </c>
      <c r="G4" t="e">
        <f t="shared" si="0"/>
        <v>#NUM!</v>
      </c>
      <c r="H4" t="e">
        <f t="shared" si="1"/>
        <v>#NUM!</v>
      </c>
      <c r="I4" t="e">
        <f t="shared" si="2"/>
        <v>#NUM!</v>
      </c>
      <c r="K4" t="e">
        <f t="shared" si="3"/>
        <v>#NUM!</v>
      </c>
    </row>
    <row r="5" spans="1:14">
      <c r="A5">
        <v>3</v>
      </c>
      <c r="B5">
        <v>53</v>
      </c>
      <c r="C5">
        <v>259</v>
      </c>
      <c r="D5">
        <v>11</v>
      </c>
      <c r="E5">
        <v>116</v>
      </c>
      <c r="G5">
        <f t="shared" si="0"/>
        <v>0.75504369447011677</v>
      </c>
      <c r="H5">
        <f t="shared" si="1"/>
        <v>-0.63277338634219749</v>
      </c>
      <c r="I5">
        <f t="shared" si="2"/>
        <v>0.42271700768134207</v>
      </c>
      <c r="K5">
        <f t="shared" si="3"/>
        <v>0.18166243860308709</v>
      </c>
    </row>
    <row r="6" spans="1:14">
      <c r="A6">
        <v>4</v>
      </c>
      <c r="B6">
        <v>53</v>
      </c>
      <c r="C6">
        <v>10</v>
      </c>
      <c r="D6">
        <v>13</v>
      </c>
      <c r="E6">
        <v>23</v>
      </c>
      <c r="G6">
        <f t="shared" si="0"/>
        <v>-0.65825606961113503</v>
      </c>
      <c r="H6">
        <f t="shared" si="1"/>
        <v>-0.56022271919358579</v>
      </c>
      <c r="I6">
        <f t="shared" si="2"/>
        <v>-0.28001314552798351</v>
      </c>
      <c r="K6">
        <f t="shared" si="3"/>
        <v>-0.49949731144423476</v>
      </c>
    </row>
    <row r="7" spans="1:14">
      <c r="A7">
        <v>5</v>
      </c>
      <c r="B7">
        <v>46</v>
      </c>
      <c r="C7">
        <v>4</v>
      </c>
      <c r="D7">
        <v>23</v>
      </c>
      <c r="E7">
        <v>8</v>
      </c>
      <c r="G7">
        <f t="shared" si="0"/>
        <v>-0.99467804036395757</v>
      </c>
      <c r="H7">
        <f t="shared" si="1"/>
        <v>-0.25092019756361472</v>
      </c>
      <c r="I7">
        <f t="shared" si="2"/>
        <v>-0.67713295663441786</v>
      </c>
      <c r="K7">
        <f t="shared" si="3"/>
        <v>-0.64091039818733009</v>
      </c>
    </row>
    <row r="8" spans="1:14">
      <c r="A8">
        <v>6</v>
      </c>
      <c r="B8">
        <v>16</v>
      </c>
      <c r="C8">
        <v>0</v>
      </c>
      <c r="D8">
        <v>0</v>
      </c>
      <c r="E8">
        <v>0</v>
      </c>
      <c r="G8" t="e">
        <f t="shared" si="0"/>
        <v>#NUM!</v>
      </c>
      <c r="H8" t="e">
        <f t="shared" si="1"/>
        <v>#NUM!</v>
      </c>
      <c r="I8" t="e">
        <f t="shared" si="2"/>
        <v>#NUM!</v>
      </c>
      <c r="K8" t="e">
        <f t="shared" si="3"/>
        <v>#NUM!</v>
      </c>
    </row>
    <row r="9" spans="1:14">
      <c r="A9">
        <v>7</v>
      </c>
      <c r="B9">
        <v>93</v>
      </c>
      <c r="C9">
        <v>4</v>
      </c>
      <c r="D9">
        <v>3</v>
      </c>
      <c r="E9">
        <v>3</v>
      </c>
      <c r="G9">
        <f t="shared" si="0"/>
        <v>-1.3004031572363188</v>
      </c>
      <c r="H9">
        <f t="shared" si="1"/>
        <v>-1.4412518957339062</v>
      </c>
      <c r="I9">
        <f t="shared" si="2"/>
        <v>-1.4088268057790601</v>
      </c>
      <c r="K9">
        <f t="shared" si="3"/>
        <v>-1.3834939529164283</v>
      </c>
    </row>
    <row r="10" spans="1:14">
      <c r="A10">
        <v>8</v>
      </c>
      <c r="B10">
        <v>313</v>
      </c>
      <c r="C10">
        <v>42</v>
      </c>
      <c r="D10">
        <v>61</v>
      </c>
      <c r="E10">
        <v>12</v>
      </c>
      <c r="G10">
        <f t="shared" si="0"/>
        <v>-0.80627524715889398</v>
      </c>
      <c r="H10">
        <f t="shared" si="1"/>
        <v>-0.66010470443531488</v>
      </c>
      <c r="I10">
        <f t="shared" si="2"/>
        <v>-1.3338282034436111</v>
      </c>
      <c r="K10">
        <f t="shared" si="3"/>
        <v>-0.93340271834594002</v>
      </c>
    </row>
    <row r="11" spans="1:14">
      <c r="A11">
        <v>9</v>
      </c>
      <c r="B11">
        <v>82</v>
      </c>
      <c r="C11">
        <v>3</v>
      </c>
      <c r="D11">
        <v>2</v>
      </c>
      <c r="E11">
        <v>2</v>
      </c>
      <c r="G11">
        <f t="shared" si="0"/>
        <v>-1.3706727976744004</v>
      </c>
      <c r="H11">
        <f t="shared" si="1"/>
        <v>-1.562674058619369</v>
      </c>
      <c r="I11">
        <f t="shared" si="2"/>
        <v>-1.5302489686645229</v>
      </c>
      <c r="K11">
        <f t="shared" si="3"/>
        <v>-1.4878652749860974</v>
      </c>
    </row>
    <row r="12" spans="1:14">
      <c r="A12">
        <v>10</v>
      </c>
      <c r="B12">
        <v>69</v>
      </c>
      <c r="C12">
        <v>10</v>
      </c>
      <c r="D12">
        <v>6</v>
      </c>
      <c r="E12">
        <v>9</v>
      </c>
      <c r="G12">
        <f t="shared" si="0"/>
        <v>-0.77282929074760132</v>
      </c>
      <c r="H12">
        <f t="shared" si="1"/>
        <v>-1.0105880422532452</v>
      </c>
      <c r="I12">
        <f t="shared" si="2"/>
        <v>-0.80207169324271776</v>
      </c>
      <c r="K12">
        <f t="shared" si="3"/>
        <v>-0.86182967541452138</v>
      </c>
    </row>
    <row r="13" spans="1:14">
      <c r="A13">
        <v>11</v>
      </c>
      <c r="B13">
        <v>76</v>
      </c>
      <c r="C13">
        <v>1</v>
      </c>
      <c r="D13">
        <v>1</v>
      </c>
      <c r="E13">
        <v>2</v>
      </c>
      <c r="G13">
        <f t="shared" si="0"/>
        <v>-1.8147937922911375</v>
      </c>
      <c r="H13">
        <f t="shared" si="1"/>
        <v>-1.8307037941804249</v>
      </c>
      <c r="I13">
        <f t="shared" si="2"/>
        <v>-1.4972487085615975</v>
      </c>
      <c r="K13">
        <f t="shared" si="3"/>
        <v>-1.7142487650110534</v>
      </c>
    </row>
    <row r="14" spans="1:14">
      <c r="A14">
        <v>12</v>
      </c>
      <c r="B14">
        <v>140</v>
      </c>
      <c r="C14">
        <v>11</v>
      </c>
      <c r="D14">
        <v>20</v>
      </c>
      <c r="E14">
        <v>16</v>
      </c>
      <c r="G14">
        <f t="shared" si="0"/>
        <v>-1.0387155505303591</v>
      </c>
      <c r="H14">
        <f t="shared" si="1"/>
        <v>-0.79498824191389028</v>
      </c>
      <c r="I14">
        <f t="shared" si="2"/>
        <v>-0.85947316496710058</v>
      </c>
      <c r="K14">
        <f t="shared" si="3"/>
        <v>-0.89772565247045</v>
      </c>
    </row>
    <row r="15" spans="1:14">
      <c r="A15">
        <v>13</v>
      </c>
      <c r="B15">
        <v>88</v>
      </c>
      <c r="C15">
        <v>24</v>
      </c>
      <c r="D15">
        <v>30</v>
      </c>
      <c r="E15">
        <v>42</v>
      </c>
      <c r="G15">
        <f t="shared" si="0"/>
        <v>-0.49825163044890863</v>
      </c>
      <c r="H15">
        <f t="shared" si="1"/>
        <v>-0.41725161933013977</v>
      </c>
      <c r="I15">
        <f t="shared" si="2"/>
        <v>-0.23869849369705548</v>
      </c>
      <c r="K15">
        <f t="shared" si="3"/>
        <v>-0.38473391449203459</v>
      </c>
    </row>
    <row r="16" spans="1:14">
      <c r="A16">
        <v>14</v>
      </c>
      <c r="B16">
        <v>37</v>
      </c>
      <c r="C16">
        <v>24</v>
      </c>
      <c r="D16">
        <v>23</v>
      </c>
      <c r="E16">
        <v>21</v>
      </c>
      <c r="G16">
        <f t="shared" si="0"/>
        <v>-0.12197068236573495</v>
      </c>
      <c r="H16">
        <f t="shared" si="1"/>
        <v>-0.15636408994903567</v>
      </c>
      <c r="I16">
        <f t="shared" si="2"/>
        <v>-0.1634475412778631</v>
      </c>
      <c r="K16">
        <f t="shared" si="3"/>
        <v>-0.14726077119754458</v>
      </c>
    </row>
    <row r="17" spans="1:11">
      <c r="A17">
        <v>15</v>
      </c>
      <c r="B17">
        <v>187</v>
      </c>
      <c r="C17">
        <v>95</v>
      </c>
      <c r="D17">
        <v>29</v>
      </c>
      <c r="E17">
        <v>19</v>
      </c>
      <c r="G17">
        <f t="shared" si="0"/>
        <v>-0.22809820125799718</v>
      </c>
      <c r="H17">
        <f t="shared" si="1"/>
        <v>-0.7593338105371763</v>
      </c>
      <c r="I17">
        <f t="shared" si="2"/>
        <v>-0.91055311752845725</v>
      </c>
      <c r="K17">
        <f t="shared" si="3"/>
        <v>-0.63266170977454361</v>
      </c>
    </row>
    <row r="18" spans="1:11">
      <c r="A18">
        <v>16</v>
      </c>
      <c r="B18">
        <v>99</v>
      </c>
      <c r="C18">
        <v>83</v>
      </c>
      <c r="D18">
        <v>57</v>
      </c>
      <c r="E18">
        <v>43</v>
      </c>
      <c r="G18">
        <f t="shared" si="0"/>
        <v>-1.0537302231822032E-2</v>
      </c>
      <c r="H18">
        <f t="shared" si="1"/>
        <v>-0.18965054082469202</v>
      </c>
      <c r="I18">
        <f t="shared" si="2"/>
        <v>-0.27963185096275073</v>
      </c>
      <c r="K18">
        <f t="shared" si="3"/>
        <v>-0.15993989800642158</v>
      </c>
    </row>
    <row r="19" spans="1:11">
      <c r="A19">
        <v>17</v>
      </c>
      <c r="B19">
        <v>668</v>
      </c>
      <c r="C19">
        <v>85</v>
      </c>
      <c r="D19">
        <v>96</v>
      </c>
      <c r="E19">
        <v>36</v>
      </c>
      <c r="G19">
        <f t="shared" si="0"/>
        <v>-0.82933773677159894</v>
      </c>
      <c r="H19">
        <f t="shared" si="1"/>
        <v>-0.79239543133561074</v>
      </c>
      <c r="I19">
        <f t="shared" si="2"/>
        <v>-1.1859390736530457</v>
      </c>
      <c r="K19">
        <f t="shared" si="3"/>
        <v>-0.93589074725341848</v>
      </c>
    </row>
    <row r="20" spans="1:11">
      <c r="A20">
        <v>18</v>
      </c>
      <c r="B20">
        <v>156</v>
      </c>
      <c r="C20">
        <v>6</v>
      </c>
      <c r="D20">
        <v>6</v>
      </c>
      <c r="E20">
        <v>7</v>
      </c>
      <c r="G20">
        <f t="shared" si="0"/>
        <v>-1.3489535479811641</v>
      </c>
      <c r="H20">
        <f t="shared" si="1"/>
        <v>-1.3648635498704516</v>
      </c>
      <c r="I20">
        <f t="shared" si="2"/>
        <v>-1.2654916702849921</v>
      </c>
      <c r="K20">
        <f t="shared" si="3"/>
        <v>-1.3264362560455358</v>
      </c>
    </row>
    <row r="21" spans="1:11">
      <c r="A21">
        <v>19</v>
      </c>
      <c r="B21">
        <v>34</v>
      </c>
      <c r="C21">
        <v>5</v>
      </c>
      <c r="D21">
        <v>10</v>
      </c>
      <c r="E21">
        <v>16</v>
      </c>
      <c r="G21">
        <f t="shared" si="0"/>
        <v>-0.76648911271658227</v>
      </c>
      <c r="H21">
        <f t="shared" si="1"/>
        <v>-0.48136911894188866</v>
      </c>
      <c r="I21">
        <f t="shared" si="2"/>
        <v>-0.24482404633111771</v>
      </c>
      <c r="K21">
        <f t="shared" si="3"/>
        <v>-0.49756075932986293</v>
      </c>
    </row>
    <row r="22" spans="1:11">
      <c r="A22">
        <v>20</v>
      </c>
      <c r="B22">
        <v>45</v>
      </c>
      <c r="C22">
        <v>0</v>
      </c>
      <c r="D22">
        <v>0</v>
      </c>
      <c r="E22">
        <v>3</v>
      </c>
      <c r="G22" t="e">
        <f t="shared" si="0"/>
        <v>#NUM!</v>
      </c>
      <c r="H22" t="e">
        <f t="shared" si="1"/>
        <v>#NUM!</v>
      </c>
      <c r="I22">
        <f t="shared" si="2"/>
        <v>-1.0935563710004688</v>
      </c>
      <c r="K22" t="e">
        <f t="shared" si="3"/>
        <v>#NUM!</v>
      </c>
    </row>
    <row r="23" spans="1:11">
      <c r="A23">
        <v>21</v>
      </c>
      <c r="B23">
        <v>92</v>
      </c>
      <c r="C23">
        <v>0</v>
      </c>
      <c r="D23">
        <v>3</v>
      </c>
      <c r="E23">
        <v>1</v>
      </c>
      <c r="G23" t="e">
        <f t="shared" si="0"/>
        <v>#NUM!</v>
      </c>
      <c r="H23">
        <f t="shared" si="1"/>
        <v>-1.4365567745255263</v>
      </c>
      <c r="I23">
        <f t="shared" si="2"/>
        <v>-1.8812529392903428</v>
      </c>
      <c r="K23" t="e">
        <f t="shared" si="3"/>
        <v>#NUM!</v>
      </c>
    </row>
    <row r="24" spans="1:11">
      <c r="A24">
        <v>22</v>
      </c>
      <c r="B24">
        <v>91</v>
      </c>
      <c r="C24">
        <v>97</v>
      </c>
      <c r="D24">
        <v>72</v>
      </c>
      <c r="E24">
        <v>45</v>
      </c>
      <c r="G24">
        <f t="shared" si="0"/>
        <v>9.3750141934805242E-2</v>
      </c>
      <c r="H24">
        <f t="shared" si="1"/>
        <v>-5.1599097789458676E-2</v>
      </c>
      <c r="I24">
        <f t="shared" si="2"/>
        <v>-0.22329399049053728</v>
      </c>
      <c r="K24">
        <f t="shared" si="3"/>
        <v>-6.0380982115063569E-2</v>
      </c>
    </row>
    <row r="25" spans="1:11">
      <c r="A25">
        <v>23</v>
      </c>
      <c r="B25">
        <v>109</v>
      </c>
      <c r="C25">
        <v>15</v>
      </c>
      <c r="D25">
        <v>6</v>
      </c>
      <c r="E25">
        <v>5</v>
      </c>
      <c r="G25">
        <f t="shared" si="0"/>
        <v>-0.79531543889528833</v>
      </c>
      <c r="H25">
        <f t="shared" si="1"/>
        <v>-1.2091654494566135</v>
      </c>
      <c r="I25">
        <f t="shared" si="2"/>
        <v>-1.2559216055493923</v>
      </c>
      <c r="K25">
        <f t="shared" si="3"/>
        <v>-1.0868008313004314</v>
      </c>
    </row>
    <row r="26" spans="1:11">
      <c r="A26">
        <v>24</v>
      </c>
      <c r="B26">
        <v>65</v>
      </c>
      <c r="C26">
        <v>69</v>
      </c>
      <c r="D26">
        <v>159</v>
      </c>
      <c r="E26">
        <v>167</v>
      </c>
      <c r="G26">
        <f t="shared" si="0"/>
        <v>9.1955534084053742E-2</v>
      </c>
      <c r="H26">
        <f t="shared" si="1"/>
        <v>0.43859356577796244</v>
      </c>
      <c r="I26">
        <f t="shared" si="2"/>
        <v>0.49233800255994037</v>
      </c>
      <c r="K26">
        <f t="shared" si="3"/>
        <v>0.34096236747398551</v>
      </c>
    </row>
    <row r="27" spans="1:11">
      <c r="A27">
        <v>25</v>
      </c>
      <c r="B27">
        <v>288</v>
      </c>
      <c r="C27">
        <v>21</v>
      </c>
      <c r="D27">
        <v>16</v>
      </c>
      <c r="E27">
        <v>19</v>
      </c>
      <c r="G27">
        <f t="shared" si="0"/>
        <v>-1.0711533930356576</v>
      </c>
      <c r="H27">
        <f t="shared" si="1"/>
        <v>-1.2051627070029396</v>
      </c>
      <c r="I27">
        <f t="shared" si="2"/>
        <v>-1.0981039987511894</v>
      </c>
      <c r="K27">
        <f t="shared" si="3"/>
        <v>-1.1248066995965955</v>
      </c>
    </row>
    <row r="28" spans="1:11">
      <c r="A28">
        <v>26</v>
      </c>
      <c r="B28">
        <v>99</v>
      </c>
      <c r="C28">
        <v>3</v>
      </c>
      <c r="D28">
        <v>4</v>
      </c>
      <c r="E28">
        <v>12</v>
      </c>
      <c r="G28">
        <f t="shared" si="0"/>
        <v>-1.4524941398882336</v>
      </c>
      <c r="H28">
        <f t="shared" si="1"/>
        <v>-1.343465405169221</v>
      </c>
      <c r="I28">
        <f t="shared" si="2"/>
        <v>-0.83391906049471243</v>
      </c>
      <c r="K28">
        <f t="shared" si="3"/>
        <v>-1.2099595351840557</v>
      </c>
    </row>
    <row r="29" spans="1:11">
      <c r="A29">
        <v>27</v>
      </c>
      <c r="B29">
        <v>56</v>
      </c>
      <c r="C29">
        <v>3</v>
      </c>
      <c r="D29">
        <v>6</v>
      </c>
      <c r="E29">
        <v>18</v>
      </c>
      <c r="G29">
        <f t="shared" si="0"/>
        <v>-1.2050469722968842</v>
      </c>
      <c r="H29">
        <f t="shared" si="1"/>
        <v>-0.9199269785221903</v>
      </c>
      <c r="I29">
        <f t="shared" si="2"/>
        <v>-0.4103806338476817</v>
      </c>
      <c r="K29">
        <f t="shared" si="3"/>
        <v>-0.84511819488891871</v>
      </c>
    </row>
    <row r="30" spans="1:11">
      <c r="A30">
        <v>28</v>
      </c>
      <c r="B30">
        <v>70</v>
      </c>
      <c r="C30">
        <v>0</v>
      </c>
      <c r="D30">
        <v>2</v>
      </c>
      <c r="E30">
        <v>2</v>
      </c>
      <c r="G30" t="e">
        <f t="shared" si="0"/>
        <v>#NUM!</v>
      </c>
      <c r="H30">
        <f t="shared" si="1"/>
        <v>-1.4939582462499092</v>
      </c>
      <c r="I30">
        <f t="shared" si="2"/>
        <v>-1.4615331562950631</v>
      </c>
      <c r="K30" t="e">
        <f t="shared" si="3"/>
        <v>#NUM!</v>
      </c>
    </row>
    <row r="31" spans="1:11">
      <c r="A31">
        <v>29</v>
      </c>
      <c r="B31">
        <v>202</v>
      </c>
      <c r="C31">
        <v>56</v>
      </c>
      <c r="D31">
        <v>93</v>
      </c>
      <c r="E31">
        <v>91</v>
      </c>
      <c r="G31">
        <f t="shared" si="0"/>
        <v>-0.4911435424507693</v>
      </c>
      <c r="H31">
        <f t="shared" si="1"/>
        <v>-0.28675862279232217</v>
      </c>
      <c r="I31">
        <f t="shared" si="2"/>
        <v>-0.26377508907031749</v>
      </c>
      <c r="K31">
        <f t="shared" si="3"/>
        <v>-0.34722575143780299</v>
      </c>
    </row>
    <row r="32" spans="1:11">
      <c r="A32">
        <v>30</v>
      </c>
      <c r="B32">
        <v>50</v>
      </c>
      <c r="C32">
        <v>0</v>
      </c>
      <c r="D32">
        <v>2</v>
      </c>
      <c r="E32">
        <v>2</v>
      </c>
      <c r="G32" t="e">
        <f t="shared" si="0"/>
        <v>#NUM!</v>
      </c>
      <c r="H32">
        <f t="shared" si="1"/>
        <v>-1.3478302105716711</v>
      </c>
      <c r="I32">
        <f t="shared" si="2"/>
        <v>-1.3154051206168249</v>
      </c>
      <c r="K32" t="e">
        <f t="shared" si="3"/>
        <v>#NUM!</v>
      </c>
    </row>
    <row r="33" spans="1:11">
      <c r="A33">
        <v>31</v>
      </c>
      <c r="B33">
        <v>93</v>
      </c>
      <c r="C33">
        <v>6</v>
      </c>
      <c r="D33">
        <v>2</v>
      </c>
      <c r="E33">
        <v>0</v>
      </c>
      <c r="G33">
        <f t="shared" si="0"/>
        <v>-1.1243118981806375</v>
      </c>
      <c r="H33">
        <f t="shared" si="1"/>
        <v>-1.6173431547895876</v>
      </c>
      <c r="I33" t="e">
        <f t="shared" si="2"/>
        <v>#NUM!</v>
      </c>
      <c r="K33" t="e">
        <f t="shared" si="3"/>
        <v>#NUM!</v>
      </c>
    </row>
    <row r="34" spans="1:11">
      <c r="A34">
        <v>32</v>
      </c>
      <c r="B34">
        <v>59</v>
      </c>
      <c r="C34">
        <v>18</v>
      </c>
      <c r="D34">
        <v>34</v>
      </c>
      <c r="E34">
        <v>22</v>
      </c>
      <c r="G34">
        <f t="shared" si="0"/>
        <v>-0.44955970654918409</v>
      </c>
      <c r="H34">
        <f t="shared" si="1"/>
        <v>-0.18926329649952256</v>
      </c>
      <c r="I34">
        <f t="shared" si="2"/>
        <v>-0.34589444276472531</v>
      </c>
      <c r="K34">
        <f t="shared" si="3"/>
        <v>-0.32823914860447734</v>
      </c>
    </row>
    <row r="35" spans="1:11">
      <c r="A35">
        <v>33</v>
      </c>
      <c r="B35">
        <v>155</v>
      </c>
      <c r="C35">
        <v>1</v>
      </c>
      <c r="D35">
        <v>0</v>
      </c>
      <c r="E35">
        <v>4</v>
      </c>
      <c r="G35">
        <f t="shared" si="0"/>
        <v>-2.1243118981806375</v>
      </c>
      <c r="H35" t="e">
        <f t="shared" si="1"/>
        <v>#NUM!</v>
      </c>
      <c r="I35">
        <f t="shared" si="2"/>
        <v>-1.5057368187871165</v>
      </c>
      <c r="K35" t="e">
        <f t="shared" si="3"/>
        <v>#NUM!</v>
      </c>
    </row>
    <row r="36" spans="1:11">
      <c r="A36">
        <v>34</v>
      </c>
      <c r="B36">
        <v>69</v>
      </c>
      <c r="C36">
        <v>24</v>
      </c>
      <c r="D36">
        <v>1</v>
      </c>
      <c r="E36">
        <v>0</v>
      </c>
      <c r="G36">
        <f t="shared" si="0"/>
        <v>-0.39261804903599529</v>
      </c>
      <c r="H36">
        <f t="shared" si="1"/>
        <v>-1.7887392926368888</v>
      </c>
      <c r="I36" t="e">
        <f t="shared" si="2"/>
        <v>#NUM!</v>
      </c>
      <c r="K36" t="e">
        <f t="shared" si="3"/>
        <v>#NUM!</v>
      </c>
    </row>
    <row r="37" spans="1:11">
      <c r="A37">
        <v>35</v>
      </c>
      <c r="B37">
        <v>182</v>
      </c>
      <c r="C37">
        <v>8</v>
      </c>
      <c r="D37">
        <v>7</v>
      </c>
      <c r="E37">
        <v>10</v>
      </c>
      <c r="G37">
        <f t="shared" si="0"/>
        <v>-1.2909616010034772</v>
      </c>
      <c r="H37">
        <f t="shared" si="1"/>
        <v>-1.3648635498704516</v>
      </c>
      <c r="I37">
        <f t="shared" si="2"/>
        <v>-1.1775364999298623</v>
      </c>
      <c r="K37">
        <f t="shared" si="3"/>
        <v>-1.277787216934597</v>
      </c>
    </row>
    <row r="38" spans="1:11">
      <c r="A38">
        <v>36</v>
      </c>
      <c r="B38">
        <v>158</v>
      </c>
      <c r="C38">
        <v>1001</v>
      </c>
      <c r="D38">
        <v>739</v>
      </c>
      <c r="E38">
        <v>237</v>
      </c>
      <c r="G38">
        <f t="shared" si="0"/>
        <v>0.86779679051455005</v>
      </c>
      <c r="H38">
        <f t="shared" si="1"/>
        <v>0.72009714954076964</v>
      </c>
      <c r="I38">
        <f t="shared" si="2"/>
        <v>0.25862614711089388</v>
      </c>
      <c r="K38">
        <f t="shared" si="3"/>
        <v>0.61550669572207117</v>
      </c>
    </row>
    <row r="39" spans="1:11">
      <c r="A39">
        <v>37</v>
      </c>
      <c r="B39">
        <v>139</v>
      </c>
      <c r="C39">
        <v>284</v>
      </c>
      <c r="D39">
        <v>859</v>
      </c>
      <c r="E39">
        <v>441</v>
      </c>
      <c r="G39">
        <f t="shared" si="0"/>
        <v>0.37632333978259663</v>
      </c>
      <c r="H39">
        <f t="shared" si="1"/>
        <v>0.84108816167751377</v>
      </c>
      <c r="I39">
        <f t="shared" si="2"/>
        <v>0.58395867726895612</v>
      </c>
      <c r="K39">
        <f t="shared" si="3"/>
        <v>0.60045672624302215</v>
      </c>
    </row>
    <row r="40" spans="1:11">
      <c r="A40">
        <v>38</v>
      </c>
      <c r="B40">
        <v>301</v>
      </c>
      <c r="C40">
        <v>12</v>
      </c>
      <c r="D40">
        <v>12</v>
      </c>
      <c r="E40">
        <v>11</v>
      </c>
      <c r="G40">
        <f t="shared" si="0"/>
        <v>-1.3333654495565646</v>
      </c>
      <c r="H40">
        <f t="shared" si="1"/>
        <v>-1.349275451445852</v>
      </c>
      <c r="I40">
        <f t="shared" si="2"/>
        <v>-1.3546389223804056</v>
      </c>
      <c r="K40">
        <f t="shared" si="3"/>
        <v>-1.3457599411276073</v>
      </c>
    </row>
    <row r="41" spans="1:11">
      <c r="A41">
        <v>39</v>
      </c>
      <c r="B41">
        <v>85</v>
      </c>
      <c r="C41">
        <v>0</v>
      </c>
      <c r="D41">
        <v>0</v>
      </c>
      <c r="E41">
        <v>1</v>
      </c>
      <c r="G41" t="e">
        <f t="shared" si="0"/>
        <v>#NUM!</v>
      </c>
      <c r="H41" t="e">
        <f t="shared" si="1"/>
        <v>#NUM!</v>
      </c>
      <c r="I41">
        <f t="shared" si="2"/>
        <v>-1.84688403765908</v>
      </c>
      <c r="K41" t="e">
        <f t="shared" si="3"/>
        <v>#NUM!</v>
      </c>
    </row>
    <row r="42" spans="1:11">
      <c r="A42">
        <v>40</v>
      </c>
      <c r="B42">
        <v>219</v>
      </c>
      <c r="C42">
        <v>15</v>
      </c>
      <c r="D42">
        <v>11</v>
      </c>
      <c r="E42">
        <v>39</v>
      </c>
      <c r="G42">
        <f t="shared" si="0"/>
        <v>-1.0983330557947832</v>
      </c>
      <c r="H42">
        <f t="shared" si="1"/>
        <v>-1.2489416315815269</v>
      </c>
      <c r="I42">
        <f t="shared" si="2"/>
        <v>-0.66684461975840648</v>
      </c>
      <c r="K42">
        <f t="shared" si="3"/>
        <v>-1.0047064357115723</v>
      </c>
    </row>
    <row r="43" spans="1:11">
      <c r="A43">
        <v>41</v>
      </c>
      <c r="B43">
        <v>125</v>
      </c>
      <c r="C43">
        <v>7</v>
      </c>
      <c r="D43">
        <v>5</v>
      </c>
      <c r="E43">
        <v>29</v>
      </c>
      <c r="G43">
        <f t="shared" si="0"/>
        <v>-1.1857921730041456</v>
      </c>
      <c r="H43">
        <f t="shared" si="1"/>
        <v>-1.3478302105716711</v>
      </c>
      <c r="I43">
        <f t="shared" si="2"/>
        <v>-0.55197712705388757</v>
      </c>
      <c r="K43">
        <f t="shared" si="3"/>
        <v>-1.0285331702099014</v>
      </c>
    </row>
    <row r="44" spans="1:11">
      <c r="A44">
        <v>42</v>
      </c>
      <c r="B44">
        <v>194</v>
      </c>
      <c r="C44">
        <v>1332</v>
      </c>
      <c r="D44">
        <v>473</v>
      </c>
      <c r="E44">
        <v>199</v>
      </c>
      <c r="G44">
        <f t="shared" si="0"/>
        <v>0.90272229489371025</v>
      </c>
      <c r="H44">
        <f t="shared" si="1"/>
        <v>0.43716920890795202</v>
      </c>
      <c r="I44">
        <f t="shared" si="2"/>
        <v>9.3586234534693225E-2</v>
      </c>
      <c r="K44">
        <f t="shared" si="3"/>
        <v>0.47782591277878517</v>
      </c>
    </row>
    <row r="45" spans="1:11">
      <c r="A45">
        <v>43</v>
      </c>
      <c r="B45">
        <v>13</v>
      </c>
      <c r="C45">
        <v>0</v>
      </c>
      <c r="D45">
        <v>2</v>
      </c>
      <c r="E45">
        <v>0</v>
      </c>
      <c r="G45" t="e">
        <f t="shared" si="0"/>
        <v>#NUM!</v>
      </c>
      <c r="H45">
        <f t="shared" si="1"/>
        <v>-0.76280355854248905</v>
      </c>
      <c r="I45" t="e">
        <f t="shared" si="2"/>
        <v>#NUM!</v>
      </c>
      <c r="K45" t="e">
        <f t="shared" si="3"/>
        <v>#NUM!</v>
      </c>
    </row>
    <row r="46" spans="1:11">
      <c r="A46">
        <v>44</v>
      </c>
      <c r="B46">
        <v>99</v>
      </c>
      <c r="C46">
        <v>327</v>
      </c>
      <c r="D46">
        <v>6956</v>
      </c>
      <c r="E46">
        <v>331</v>
      </c>
      <c r="G46">
        <f t="shared" si="0"/>
        <v>0.58493235805239019</v>
      </c>
      <c r="H46">
        <f t="shared" si="1"/>
        <v>1.8968341768334913</v>
      </c>
      <c r="I46">
        <f t="shared" si="2"/>
        <v>0.60672768723338155</v>
      </c>
      <c r="K46">
        <f t="shared" si="3"/>
        <v>1.0294980740397544</v>
      </c>
    </row>
    <row r="47" spans="1:11">
      <c r="A47">
        <v>45</v>
      </c>
      <c r="B47">
        <v>190</v>
      </c>
      <c r="C47">
        <v>39</v>
      </c>
      <c r="D47">
        <v>21</v>
      </c>
      <c r="E47">
        <v>11</v>
      </c>
      <c r="G47">
        <f t="shared" si="0"/>
        <v>-0.62166919393667575</v>
      </c>
      <c r="H47">
        <f t="shared" si="1"/>
        <v>-0.90642450811854314</v>
      </c>
      <c r="I47">
        <f t="shared" si="2"/>
        <v>-1.1548260277393914</v>
      </c>
      <c r="K47">
        <f t="shared" si="3"/>
        <v>-0.89430657659820356</v>
      </c>
    </row>
    <row r="48" spans="1:11">
      <c r="A48">
        <v>46</v>
      </c>
      <c r="B48">
        <v>146</v>
      </c>
      <c r="C48">
        <v>8</v>
      </c>
      <c r="D48">
        <v>22</v>
      </c>
      <c r="E48">
        <v>62</v>
      </c>
      <c r="G48">
        <f t="shared" si="0"/>
        <v>-1.1952430688028397</v>
      </c>
      <c r="H48">
        <f t="shared" si="1"/>
        <v>-0.77182037686186433</v>
      </c>
      <c r="I48">
        <f t="shared" si="2"/>
        <v>-0.28942627823097061</v>
      </c>
      <c r="K48">
        <f t="shared" si="3"/>
        <v>-0.75216324129855827</v>
      </c>
    </row>
    <row r="49" spans="1:11">
      <c r="A49">
        <v>47</v>
      </c>
      <c r="B49">
        <v>193</v>
      </c>
      <c r="C49">
        <v>115</v>
      </c>
      <c r="D49">
        <v>89</v>
      </c>
      <c r="E49">
        <v>50</v>
      </c>
      <c r="G49">
        <f t="shared" si="0"/>
        <v>-0.15883966866450805</v>
      </c>
      <c r="H49">
        <f t="shared" si="1"/>
        <v>-0.28605750426249454</v>
      </c>
      <c r="I49">
        <f t="shared" si="2"/>
        <v>-0.50405241661654232</v>
      </c>
      <c r="K49">
        <f t="shared" si="3"/>
        <v>-0.3163165298478483</v>
      </c>
    </row>
    <row r="50" spans="1:11">
      <c r="A50">
        <v>48</v>
      </c>
      <c r="B50">
        <v>86</v>
      </c>
      <c r="C50">
        <v>56</v>
      </c>
      <c r="D50">
        <v>44</v>
      </c>
      <c r="E50">
        <v>25</v>
      </c>
      <c r="G50">
        <f t="shared" si="0"/>
        <v>-0.12029062424771327</v>
      </c>
      <c r="H50">
        <f t="shared" si="1"/>
        <v>-0.24093597665701377</v>
      </c>
      <c r="I50">
        <f t="shared" si="2"/>
        <v>-0.45402355451631743</v>
      </c>
      <c r="K50">
        <f t="shared" si="3"/>
        <v>-0.27175005180701484</v>
      </c>
    </row>
    <row r="51" spans="1:11">
      <c r="A51">
        <v>49</v>
      </c>
      <c r="B51">
        <v>31</v>
      </c>
      <c r="C51">
        <v>1</v>
      </c>
      <c r="D51">
        <v>0</v>
      </c>
      <c r="E51">
        <v>0</v>
      </c>
      <c r="G51">
        <f t="shared" si="0"/>
        <v>-1.4253418938446187</v>
      </c>
      <c r="H51" t="e">
        <f t="shared" si="1"/>
        <v>#NUM!</v>
      </c>
      <c r="I51" t="e">
        <f t="shared" si="2"/>
        <v>#NUM!</v>
      </c>
      <c r="K51" t="e">
        <f t="shared" si="3"/>
        <v>#NUM!</v>
      </c>
    </row>
    <row r="52" spans="1:11">
      <c r="A52">
        <v>50</v>
      </c>
      <c r="B52">
        <v>146</v>
      </c>
      <c r="C52">
        <v>1</v>
      </c>
      <c r="D52">
        <v>3</v>
      </c>
      <c r="E52">
        <v>1</v>
      </c>
      <c r="G52">
        <f t="shared" si="0"/>
        <v>-2.0983330557947832</v>
      </c>
      <c r="H52">
        <f t="shared" si="1"/>
        <v>-1.6371218029644083</v>
      </c>
      <c r="I52">
        <f t="shared" si="2"/>
        <v>-2.0818179677292243</v>
      </c>
      <c r="K52">
        <f t="shared" si="3"/>
        <v>-1.9390909421628055</v>
      </c>
    </row>
    <row r="53" spans="1:11">
      <c r="A53">
        <v>51</v>
      </c>
      <c r="B53">
        <v>106</v>
      </c>
      <c r="C53">
        <v>24</v>
      </c>
      <c r="D53">
        <v>9</v>
      </c>
      <c r="E53">
        <v>9</v>
      </c>
      <c r="G53">
        <f t="shared" si="0"/>
        <v>-0.57907482356351014</v>
      </c>
      <c r="H53">
        <f t="shared" si="1"/>
        <v>-1.020953557725079</v>
      </c>
      <c r="I53">
        <f t="shared" si="2"/>
        <v>-0.98852846777023273</v>
      </c>
      <c r="K53">
        <f t="shared" si="3"/>
        <v>-0.86285228301960737</v>
      </c>
    </row>
    <row r="54" spans="1:11">
      <c r="A54">
        <v>52</v>
      </c>
      <c r="B54">
        <v>146</v>
      </c>
      <c r="C54">
        <v>24</v>
      </c>
      <c r="D54">
        <v>73</v>
      </c>
      <c r="E54">
        <v>48</v>
      </c>
      <c r="G54">
        <f t="shared" si="0"/>
        <v>-0.7181218140831771</v>
      </c>
      <c r="H54">
        <f t="shared" si="1"/>
        <v>-0.25092019756361472</v>
      </c>
      <c r="I54">
        <f t="shared" si="2"/>
        <v>-0.40057673035363728</v>
      </c>
      <c r="K54">
        <f t="shared" si="3"/>
        <v>-0.45653958066680972</v>
      </c>
    </row>
    <row r="55" spans="1:11">
      <c r="A55">
        <v>53</v>
      </c>
      <c r="B55">
        <v>216</v>
      </c>
      <c r="C55">
        <v>75</v>
      </c>
      <c r="D55">
        <v>14</v>
      </c>
      <c r="E55">
        <v>2</v>
      </c>
      <c r="G55">
        <f t="shared" si="0"/>
        <v>-0.39337268776957685</v>
      </c>
      <c r="H55">
        <f t="shared" si="1"/>
        <v>-1.1382159173723265</v>
      </c>
      <c r="I55">
        <f t="shared" si="2"/>
        <v>-1.9508888674317373</v>
      </c>
      <c r="K55">
        <f t="shared" si="3"/>
        <v>-1.1608258241912137</v>
      </c>
    </row>
    <row r="56" spans="1:11">
      <c r="A56">
        <v>54</v>
      </c>
      <c r="B56">
        <v>108</v>
      </c>
      <c r="C56">
        <v>0</v>
      </c>
      <c r="D56">
        <v>4</v>
      </c>
      <c r="E56">
        <v>0</v>
      </c>
      <c r="G56" t="e">
        <f t="shared" si="0"/>
        <v>#NUM!</v>
      </c>
      <c r="H56">
        <f t="shared" si="1"/>
        <v>-1.3812539660586209</v>
      </c>
      <c r="I56" t="e">
        <f t="shared" si="2"/>
        <v>#NUM!</v>
      </c>
      <c r="K56" t="e">
        <f t="shared" si="3"/>
        <v>#NUM!</v>
      </c>
    </row>
    <row r="57" spans="1:11">
      <c r="A57">
        <v>55</v>
      </c>
      <c r="B57">
        <v>210</v>
      </c>
      <c r="C57">
        <v>169</v>
      </c>
      <c r="D57">
        <v>352</v>
      </c>
      <c r="E57">
        <v>69</v>
      </c>
      <c r="G57">
        <f t="shared" si="0"/>
        <v>-2.8312790130591708E-2</v>
      </c>
      <c r="H57">
        <f t="shared" si="1"/>
        <v>0.27443316684457825</v>
      </c>
      <c r="I57">
        <f t="shared" si="2"/>
        <v>-0.40083531594145133</v>
      </c>
      <c r="K57">
        <f t="shared" si="3"/>
        <v>-5.1571646409154931E-2</v>
      </c>
    </row>
    <row r="58" spans="1:11">
      <c r="A58">
        <v>56</v>
      </c>
      <c r="B58">
        <v>83</v>
      </c>
      <c r="C58">
        <v>2</v>
      </c>
      <c r="D58">
        <v>3</v>
      </c>
      <c r="E58">
        <v>1</v>
      </c>
      <c r="G58">
        <f t="shared" si="0"/>
        <v>-1.5520282967224388</v>
      </c>
      <c r="H58">
        <f t="shared" si="1"/>
        <v>-1.3918470395560452</v>
      </c>
      <c r="I58">
        <f t="shared" si="2"/>
        <v>-1.8365432043208614</v>
      </c>
      <c r="K58">
        <f t="shared" si="3"/>
        <v>-1.5934728468664485</v>
      </c>
    </row>
    <row r="59" spans="1:11">
      <c r="A59">
        <v>57</v>
      </c>
      <c r="B59">
        <v>66</v>
      </c>
      <c r="C59">
        <v>1</v>
      </c>
      <c r="D59">
        <v>3</v>
      </c>
      <c r="E59">
        <v>2</v>
      </c>
      <c r="G59">
        <f t="shared" si="0"/>
        <v>-1.7535241355522146</v>
      </c>
      <c r="H59">
        <f t="shared" si="1"/>
        <v>-1.2923128827218398</v>
      </c>
      <c r="I59">
        <f t="shared" si="2"/>
        <v>-1.4359790518226749</v>
      </c>
      <c r="K59">
        <f t="shared" si="3"/>
        <v>-1.4939386900322431</v>
      </c>
    </row>
    <row r="60" spans="1:11">
      <c r="A60">
        <v>58</v>
      </c>
      <c r="B60">
        <v>221</v>
      </c>
      <c r="C60">
        <v>6</v>
      </c>
      <c r="D60">
        <v>1</v>
      </c>
      <c r="E60">
        <v>2</v>
      </c>
      <c r="G60">
        <f t="shared" si="0"/>
        <v>-1.5002212233118131</v>
      </c>
      <c r="H60">
        <f t="shared" si="1"/>
        <v>-2.294282475584744</v>
      </c>
      <c r="I60">
        <f t="shared" si="2"/>
        <v>-1.9608273899659168</v>
      </c>
      <c r="K60">
        <f t="shared" si="3"/>
        <v>-1.9184436962874913</v>
      </c>
    </row>
    <row r="61" spans="1:11">
      <c r="A61">
        <v>59</v>
      </c>
      <c r="B61">
        <v>235</v>
      </c>
      <c r="C61">
        <v>11</v>
      </c>
      <c r="D61">
        <v>16</v>
      </c>
      <c r="E61">
        <v>15</v>
      </c>
      <c r="G61">
        <f t="shared" si="0"/>
        <v>-1.2636553771238574</v>
      </c>
      <c r="H61">
        <f t="shared" si="1"/>
        <v>-1.1168380815154451</v>
      </c>
      <c r="I61">
        <f t="shared" si="2"/>
        <v>-1.1124417151608426</v>
      </c>
      <c r="K61">
        <f t="shared" si="3"/>
        <v>-1.1643117246000483</v>
      </c>
    </row>
    <row r="62" spans="1:11">
      <c r="A62">
        <v>60</v>
      </c>
      <c r="B62">
        <v>296</v>
      </c>
      <c r="C62">
        <v>10</v>
      </c>
      <c r="D62">
        <v>16</v>
      </c>
      <c r="E62">
        <v>6</v>
      </c>
      <c r="G62">
        <f t="shared" si="0"/>
        <v>-1.4052719110692846</v>
      </c>
      <c r="H62">
        <f t="shared" si="1"/>
        <v>-1.2170619303026473</v>
      </c>
      <c r="I62">
        <f t="shared" si="2"/>
        <v>-1.6106055726200823</v>
      </c>
      <c r="K62">
        <f t="shared" si="3"/>
        <v>-1.4109798046640047</v>
      </c>
    </row>
    <row r="63" spans="1:11">
      <c r="A63">
        <v>61</v>
      </c>
      <c r="B63">
        <v>95</v>
      </c>
      <c r="C63">
        <v>50</v>
      </c>
      <c r="D63">
        <v>29</v>
      </c>
      <c r="E63">
        <v>78</v>
      </c>
      <c r="G63">
        <f t="shared" si="0"/>
        <v>-0.21273380096317496</v>
      </c>
      <c r="H63">
        <f t="shared" si="1"/>
        <v>-0.46521580928952516</v>
      </c>
      <c r="I63">
        <f t="shared" si="2"/>
        <v>-3.0941145431547107E-3</v>
      </c>
      <c r="K63">
        <f t="shared" si="3"/>
        <v>-0.22701457493195157</v>
      </c>
    </row>
    <row r="64" spans="1:11">
      <c r="A64">
        <v>62</v>
      </c>
      <c r="B64">
        <v>184</v>
      </c>
      <c r="C64">
        <v>7</v>
      </c>
      <c r="D64">
        <v>6</v>
      </c>
      <c r="E64">
        <v>3</v>
      </c>
      <c r="G64">
        <f t="shared" si="0"/>
        <v>-1.3536999830056258</v>
      </c>
      <c r="H64">
        <f t="shared" si="1"/>
        <v>-1.4365567745255263</v>
      </c>
      <c r="I64">
        <f t="shared" si="2"/>
        <v>-1.7051616802346614</v>
      </c>
      <c r="K64">
        <f t="shared" si="3"/>
        <v>-1.4984728125886047</v>
      </c>
    </row>
    <row r="65" spans="1:11">
      <c r="A65">
        <v>63</v>
      </c>
      <c r="B65">
        <v>81</v>
      </c>
      <c r="C65">
        <v>8</v>
      </c>
      <c r="D65">
        <v>9</v>
      </c>
      <c r="E65">
        <v>2</v>
      </c>
      <c r="G65">
        <f t="shared" si="0"/>
        <v>-0.93937523189705219</v>
      </c>
      <c r="H65">
        <f t="shared" si="1"/>
        <v>-0.90413271133895834</v>
      </c>
      <c r="I65">
        <f t="shared" si="2"/>
        <v>-1.5249201351594559</v>
      </c>
      <c r="K65">
        <f t="shared" si="3"/>
        <v>-1.1228093594651554</v>
      </c>
    </row>
    <row r="66" spans="1:11">
      <c r="A66">
        <v>64</v>
      </c>
      <c r="B66">
        <v>154</v>
      </c>
      <c r="C66">
        <v>246</v>
      </c>
      <c r="D66">
        <v>642</v>
      </c>
      <c r="E66">
        <v>377</v>
      </c>
      <c r="G66">
        <f t="shared" si="0"/>
        <v>0.26943418625657006</v>
      </c>
      <c r="H66">
        <f t="shared" si="1"/>
        <v>0.67012410533275668</v>
      </c>
      <c r="I66">
        <f t="shared" si="2"/>
        <v>0.4713555174245424</v>
      </c>
      <c r="K66">
        <f t="shared" si="3"/>
        <v>0.47030460300462301</v>
      </c>
    </row>
    <row r="67" spans="1:11">
      <c r="A67">
        <v>65</v>
      </c>
      <c r="B67">
        <v>158</v>
      </c>
      <c r="C67">
        <v>142</v>
      </c>
      <c r="D67">
        <v>233</v>
      </c>
      <c r="E67">
        <v>101</v>
      </c>
      <c r="G67">
        <f t="shared" ref="G67:G130" si="4">LOG10(C67/B67)-LOG10(134/156)</f>
        <v>1.9651057418287869E-2</v>
      </c>
      <c r="H67">
        <f t="shared" ref="H67:H130" si="5">LOG10(D67/B67)-LOG10(139/156)</f>
        <v>0.21880863217196289</v>
      </c>
      <c r="I67">
        <f t="shared" ref="I67:I130" si="6">LOG10(E67/B67)-LOG10(129/156)</f>
        <v>-0.11180082511656743</v>
      </c>
      <c r="K67">
        <f t="shared" ref="K67:K130" si="7">AVERAGE(G67:I67)</f>
        <v>4.2219621491227786E-2</v>
      </c>
    </row>
    <row r="68" spans="1:11">
      <c r="A68">
        <v>66</v>
      </c>
      <c r="B68">
        <v>89</v>
      </c>
      <c r="C68">
        <v>0</v>
      </c>
      <c r="D68">
        <v>1</v>
      </c>
      <c r="E68">
        <v>2</v>
      </c>
      <c r="G68" t="e">
        <f t="shared" si="4"/>
        <v>#NUM!</v>
      </c>
      <c r="H68">
        <f t="shared" si="5"/>
        <v>-1.8992802085445464</v>
      </c>
      <c r="I68">
        <f t="shared" si="6"/>
        <v>-1.565825122925719</v>
      </c>
      <c r="K68" t="e">
        <f t="shared" si="7"/>
        <v>#NUM!</v>
      </c>
    </row>
    <row r="69" spans="1:11">
      <c r="A69">
        <v>67</v>
      </c>
      <c r="B69">
        <v>46</v>
      </c>
      <c r="C69">
        <v>6</v>
      </c>
      <c r="D69">
        <v>4</v>
      </c>
      <c r="E69">
        <v>10</v>
      </c>
      <c r="G69">
        <f t="shared" si="4"/>
        <v>-0.81858678130827645</v>
      </c>
      <c r="H69">
        <f t="shared" si="5"/>
        <v>-1.0105880422532452</v>
      </c>
      <c r="I69">
        <f t="shared" si="6"/>
        <v>-0.5802229436263614</v>
      </c>
      <c r="K69">
        <f t="shared" si="7"/>
        <v>-0.80313258906262774</v>
      </c>
    </row>
    <row r="70" spans="1:11">
      <c r="A70">
        <v>68</v>
      </c>
      <c r="B70">
        <v>23</v>
      </c>
      <c r="C70">
        <v>1</v>
      </c>
      <c r="D70">
        <v>1</v>
      </c>
      <c r="E70">
        <v>0</v>
      </c>
      <c r="G70">
        <f t="shared" si="4"/>
        <v>-1.2957080360279389</v>
      </c>
      <c r="H70">
        <f t="shared" si="5"/>
        <v>-1.3116180379172264</v>
      </c>
      <c r="I70" t="e">
        <f t="shared" si="6"/>
        <v>#NUM!</v>
      </c>
      <c r="K70" t="e">
        <f t="shared" si="7"/>
        <v>#NUM!</v>
      </c>
    </row>
    <row r="71" spans="1:11">
      <c r="A71">
        <v>69</v>
      </c>
      <c r="B71">
        <v>228</v>
      </c>
      <c r="C71">
        <v>28</v>
      </c>
      <c r="D71">
        <v>59</v>
      </c>
      <c r="E71">
        <v>17</v>
      </c>
      <c r="G71">
        <f t="shared" si="4"/>
        <v>-0.84475701566858052</v>
      </c>
      <c r="H71">
        <f t="shared" si="5"/>
        <v>-0.53697303725794299</v>
      </c>
      <c r="I71">
        <f t="shared" si="6"/>
        <v>-1.0449510375669673</v>
      </c>
      <c r="K71">
        <f t="shared" si="7"/>
        <v>-0.80889369683116363</v>
      </c>
    </row>
    <row r="72" spans="1:11">
      <c r="A72">
        <v>70</v>
      </c>
      <c r="B72">
        <v>81</v>
      </c>
      <c r="C72">
        <v>103</v>
      </c>
      <c r="D72">
        <v>102</v>
      </c>
      <c r="E72">
        <v>66</v>
      </c>
      <c r="G72">
        <f t="shared" si="4"/>
        <v>0.17037200581617651</v>
      </c>
      <c r="H72">
        <f t="shared" si="5"/>
        <v>0.15022495098363431</v>
      </c>
      <c r="I72">
        <f t="shared" si="6"/>
        <v>-6.4061952815684386E-3</v>
      </c>
      <c r="K72">
        <f t="shared" si="7"/>
        <v>0.10473025383941413</v>
      </c>
    </row>
    <row r="73" spans="1:11">
      <c r="A73">
        <v>71</v>
      </c>
      <c r="B73">
        <v>154</v>
      </c>
      <c r="C73">
        <v>3</v>
      </c>
      <c r="D73">
        <v>1</v>
      </c>
      <c r="E73">
        <v>4</v>
      </c>
      <c r="G73">
        <f t="shared" si="4"/>
        <v>-1.6443796661271468</v>
      </c>
      <c r="H73">
        <f t="shared" si="5"/>
        <v>-2.1374109227360965</v>
      </c>
      <c r="I73">
        <f t="shared" si="6"/>
        <v>-1.502925841453288</v>
      </c>
      <c r="K73">
        <f t="shared" si="7"/>
        <v>-1.7615721434388438</v>
      </c>
    </row>
    <row r="74" spans="1:11">
      <c r="A74">
        <v>72</v>
      </c>
      <c r="B74">
        <v>238</v>
      </c>
      <c r="C74">
        <v>4</v>
      </c>
      <c r="D74">
        <v>5</v>
      </c>
      <c r="E74">
        <v>6</v>
      </c>
      <c r="G74">
        <f t="shared" si="4"/>
        <v>-1.7084971657388957</v>
      </c>
      <c r="H74">
        <f t="shared" si="5"/>
        <v>-1.6274971546201267</v>
      </c>
      <c r="I74">
        <f t="shared" si="6"/>
        <v>-1.5158908186176556</v>
      </c>
      <c r="K74">
        <f t="shared" si="7"/>
        <v>-1.6172950463255595</v>
      </c>
    </row>
    <row r="75" spans="1:11">
      <c r="A75">
        <v>73</v>
      </c>
      <c r="B75">
        <v>222</v>
      </c>
      <c r="C75">
        <v>2</v>
      </c>
      <c r="D75">
        <v>7</v>
      </c>
      <c r="E75">
        <v>4</v>
      </c>
      <c r="G75">
        <f t="shared" si="4"/>
        <v>-1.9793031787970037</v>
      </c>
      <c r="H75">
        <f t="shared" si="5"/>
        <v>-1.4511451363360155</v>
      </c>
      <c r="I75">
        <f t="shared" si="6"/>
        <v>-1.6617580950674637</v>
      </c>
      <c r="K75">
        <f t="shared" si="7"/>
        <v>-1.6974021367334944</v>
      </c>
    </row>
    <row r="76" spans="1:11">
      <c r="A76">
        <v>74</v>
      </c>
      <c r="B76">
        <v>117</v>
      </c>
      <c r="C76">
        <v>4</v>
      </c>
      <c r="D76">
        <v>3</v>
      </c>
      <c r="E76">
        <v>5</v>
      </c>
      <c r="G76">
        <f t="shared" si="4"/>
        <v>-1.4001060704285453</v>
      </c>
      <c r="H76">
        <f t="shared" si="5"/>
        <v>-1.5409548089261329</v>
      </c>
      <c r="I76">
        <f t="shared" si="6"/>
        <v>-1.2866809693549301</v>
      </c>
      <c r="K76">
        <f t="shared" si="7"/>
        <v>-1.4092472829032028</v>
      </c>
    </row>
    <row r="77" spans="1:11">
      <c r="A77">
        <v>75</v>
      </c>
      <c r="B77">
        <v>69</v>
      </c>
      <c r="C77">
        <v>4</v>
      </c>
      <c r="D77">
        <v>10</v>
      </c>
      <c r="E77">
        <v>66</v>
      </c>
      <c r="G77">
        <f t="shared" si="4"/>
        <v>-1.170769299419639</v>
      </c>
      <c r="H77">
        <f t="shared" si="5"/>
        <v>-0.7887392926368888</v>
      </c>
      <c r="I77">
        <f t="shared" si="6"/>
        <v>6.3229732859826027E-2</v>
      </c>
      <c r="K77">
        <f t="shared" si="7"/>
        <v>-0.63209295306556734</v>
      </c>
    </row>
    <row r="78" spans="1:11">
      <c r="A78">
        <v>76</v>
      </c>
      <c r="B78">
        <v>60</v>
      </c>
      <c r="C78">
        <v>1</v>
      </c>
      <c r="D78">
        <v>0</v>
      </c>
      <c r="E78">
        <v>0</v>
      </c>
      <c r="G78">
        <f t="shared" si="4"/>
        <v>-1.7121314503939897</v>
      </c>
      <c r="H78" t="e">
        <f t="shared" si="5"/>
        <v>#NUM!</v>
      </c>
      <c r="I78" t="e">
        <f t="shared" si="6"/>
        <v>#NUM!</v>
      </c>
      <c r="K78" t="e">
        <f t="shared" si="7"/>
        <v>#NUM!</v>
      </c>
    </row>
    <row r="79" spans="1:11">
      <c r="A79">
        <v>77</v>
      </c>
      <c r="B79">
        <v>274</v>
      </c>
      <c r="C79">
        <v>13</v>
      </c>
      <c r="D79">
        <v>12</v>
      </c>
      <c r="E79">
        <v>16</v>
      </c>
      <c r="G79">
        <f t="shared" si="4"/>
        <v>-1.2577874105238973</v>
      </c>
      <c r="H79">
        <f t="shared" si="5"/>
        <v>-1.3084595186723966</v>
      </c>
      <c r="I79">
        <f t="shared" si="6"/>
        <v>-1.1510956921092506</v>
      </c>
      <c r="K79">
        <f t="shared" si="7"/>
        <v>-1.2391142071018482</v>
      </c>
    </row>
    <row r="80" spans="1:11">
      <c r="A80">
        <v>78</v>
      </c>
      <c r="B80">
        <v>88</v>
      </c>
      <c r="C80">
        <v>22</v>
      </c>
      <c r="D80">
        <v>10</v>
      </c>
      <c r="E80">
        <v>4</v>
      </c>
      <c r="G80">
        <f t="shared" si="4"/>
        <v>-0.53604019133830838</v>
      </c>
      <c r="H80">
        <f t="shared" si="5"/>
        <v>-0.89437287404980215</v>
      </c>
      <c r="I80">
        <f t="shared" si="6"/>
        <v>-1.2598877927669936</v>
      </c>
      <c r="K80">
        <f t="shared" si="7"/>
        <v>-0.89676695271836804</v>
      </c>
    </row>
    <row r="81" spans="1:11">
      <c r="A81">
        <v>79</v>
      </c>
      <c r="B81">
        <v>276</v>
      </c>
      <c r="C81">
        <v>45</v>
      </c>
      <c r="D81">
        <v>17</v>
      </c>
      <c r="E81">
        <v>18</v>
      </c>
      <c r="G81">
        <f t="shared" si="4"/>
        <v>-0.72167676830021998</v>
      </c>
      <c r="H81">
        <f t="shared" si="5"/>
        <v>-1.1603503625865774</v>
      </c>
      <c r="I81">
        <f t="shared" si="6"/>
        <v>-1.1031016889066991</v>
      </c>
      <c r="K81">
        <f t="shared" si="7"/>
        <v>-0.99504293993116555</v>
      </c>
    </row>
    <row r="82" spans="1:11">
      <c r="A82">
        <v>80</v>
      </c>
      <c r="B82">
        <v>165</v>
      </c>
      <c r="C82">
        <v>200</v>
      </c>
      <c r="D82">
        <v>93</v>
      </c>
      <c r="E82">
        <v>101</v>
      </c>
      <c r="G82">
        <f t="shared" si="4"/>
        <v>0.14956585143972892</v>
      </c>
      <c r="H82">
        <f t="shared" si="5"/>
        <v>-0.19889119755960472</v>
      </c>
      <c r="I82">
        <f t="shared" si="6"/>
        <v>-0.1306276823760511</v>
      </c>
      <c r="K82">
        <f t="shared" si="7"/>
        <v>-5.998434283197563E-2</v>
      </c>
    </row>
    <row r="83" spans="1:11">
      <c r="A83">
        <v>81</v>
      </c>
      <c r="B83">
        <v>215</v>
      </c>
      <c r="C83">
        <v>8</v>
      </c>
      <c r="D83">
        <v>5</v>
      </c>
      <c r="E83">
        <v>12</v>
      </c>
      <c r="G83">
        <f t="shared" si="4"/>
        <v>-1.3633286729340079</v>
      </c>
      <c r="H83">
        <f t="shared" si="5"/>
        <v>-1.5833586574792202</v>
      </c>
      <c r="I83">
        <f t="shared" si="6"/>
        <v>-1.1707223258127679</v>
      </c>
      <c r="K83">
        <f t="shared" si="7"/>
        <v>-1.3724698854086654</v>
      </c>
    </row>
    <row r="84" spans="1:11">
      <c r="A84">
        <v>82</v>
      </c>
      <c r="B84">
        <v>97</v>
      </c>
      <c r="C84">
        <v>68</v>
      </c>
      <c r="D84">
        <v>87</v>
      </c>
      <c r="E84">
        <v>194</v>
      </c>
      <c r="G84">
        <f t="shared" si="4"/>
        <v>-8.824302157035456E-2</v>
      </c>
      <c r="H84">
        <f t="shared" si="5"/>
        <v>2.8573164527401773E-3</v>
      </c>
      <c r="I84">
        <f t="shared" si="6"/>
        <v>0.38356488371919384</v>
      </c>
      <c r="K84">
        <f t="shared" si="7"/>
        <v>9.9393059533859809E-2</v>
      </c>
    </row>
    <row r="85" spans="1:11">
      <c r="A85">
        <v>83</v>
      </c>
      <c r="B85">
        <v>53</v>
      </c>
      <c r="C85">
        <v>4</v>
      </c>
      <c r="D85">
        <v>1</v>
      </c>
      <c r="E85">
        <v>2</v>
      </c>
      <c r="G85">
        <f t="shared" si="4"/>
        <v>-1.0561960782831727</v>
      </c>
      <c r="H85">
        <f t="shared" si="5"/>
        <v>-1.6741660715004227</v>
      </c>
      <c r="I85">
        <f t="shared" si="6"/>
        <v>-1.3407109858815953</v>
      </c>
      <c r="K85">
        <f t="shared" si="7"/>
        <v>-1.3570243785550637</v>
      </c>
    </row>
    <row r="86" spans="1:11">
      <c r="A86">
        <v>84</v>
      </c>
      <c r="B86">
        <v>110</v>
      </c>
      <c r="C86">
        <v>0</v>
      </c>
      <c r="D86">
        <v>5</v>
      </c>
      <c r="E86">
        <v>1</v>
      </c>
      <c r="G86" t="e">
        <f t="shared" si="4"/>
        <v>#NUM!</v>
      </c>
      <c r="H86">
        <f t="shared" si="5"/>
        <v>-1.2923128827218398</v>
      </c>
      <c r="I86">
        <f t="shared" si="6"/>
        <v>-1.9588577971030123</v>
      </c>
      <c r="K86" t="e">
        <f t="shared" si="7"/>
        <v>#NUM!</v>
      </c>
    </row>
    <row r="87" spans="1:11">
      <c r="A87">
        <v>85</v>
      </c>
      <c r="B87">
        <v>140</v>
      </c>
      <c r="C87">
        <v>5</v>
      </c>
      <c r="D87">
        <v>8</v>
      </c>
      <c r="E87">
        <v>13</v>
      </c>
      <c r="G87">
        <f t="shared" si="4"/>
        <v>-1.3811382313525653</v>
      </c>
      <c r="H87">
        <f t="shared" si="5"/>
        <v>-1.192928250585928</v>
      </c>
      <c r="I87">
        <f t="shared" si="6"/>
        <v>-0.94964979531618854</v>
      </c>
      <c r="K87">
        <f t="shared" si="7"/>
        <v>-1.1745720924182272</v>
      </c>
    </row>
    <row r="88" spans="1:11">
      <c r="A88">
        <v>86</v>
      </c>
      <c r="B88">
        <v>225</v>
      </c>
      <c r="C88">
        <v>4</v>
      </c>
      <c r="D88">
        <v>5</v>
      </c>
      <c r="E88">
        <v>3</v>
      </c>
      <c r="G88">
        <f t="shared" si="4"/>
        <v>-1.6841027267937463</v>
      </c>
      <c r="H88">
        <f t="shared" si="5"/>
        <v>-1.6031027156749773</v>
      </c>
      <c r="I88">
        <f t="shared" si="6"/>
        <v>-1.7925263753364875</v>
      </c>
      <c r="K88">
        <f t="shared" si="7"/>
        <v>-1.6932439392684036</v>
      </c>
    </row>
    <row r="89" spans="1:11">
      <c r="A89">
        <v>87</v>
      </c>
      <c r="B89">
        <v>147</v>
      </c>
      <c r="C89">
        <v>6</v>
      </c>
      <c r="D89">
        <v>3</v>
      </c>
      <c r="E89">
        <v>2</v>
      </c>
      <c r="G89">
        <f t="shared" si="4"/>
        <v>-1.3231462843748787</v>
      </c>
      <c r="H89">
        <f t="shared" si="5"/>
        <v>-1.6400862819281472</v>
      </c>
      <c r="I89">
        <f t="shared" si="6"/>
        <v>-1.7837524510289824</v>
      </c>
      <c r="K89">
        <f t="shared" si="7"/>
        <v>-1.5823283391106695</v>
      </c>
    </row>
    <row r="90" spans="1:11">
      <c r="A90">
        <v>88</v>
      </c>
      <c r="B90">
        <v>110</v>
      </c>
      <c r="C90">
        <v>33</v>
      </c>
      <c r="D90">
        <v>186</v>
      </c>
      <c r="E90">
        <v>81</v>
      </c>
      <c r="G90">
        <f t="shared" si="4"/>
        <v>-0.4568589452906836</v>
      </c>
      <c r="H90">
        <f t="shared" si="5"/>
        <v>0.27823005716005778</v>
      </c>
      <c r="I90">
        <f t="shared" si="6"/>
        <v>-5.037277822436266E-2</v>
      </c>
      <c r="K90">
        <f t="shared" si="7"/>
        <v>-7.6333888784996154E-2</v>
      </c>
    </row>
    <row r="91" spans="1:11">
      <c r="A91">
        <v>89</v>
      </c>
      <c r="B91">
        <v>72</v>
      </c>
      <c r="C91">
        <v>29</v>
      </c>
      <c r="D91">
        <v>45</v>
      </c>
      <c r="E91">
        <v>69</v>
      </c>
      <c r="G91">
        <f t="shared" si="4"/>
        <v>-0.32891469854265837</v>
      </c>
      <c r="H91">
        <f t="shared" si="5"/>
        <v>-0.15401018455555832</v>
      </c>
      <c r="I91">
        <f t="shared" si="6"/>
        <v>6.4051482361199535E-2</v>
      </c>
      <c r="K91">
        <f t="shared" si="7"/>
        <v>-0.13962446691233907</v>
      </c>
    </row>
    <row r="92" spans="1:11">
      <c r="A92">
        <v>90</v>
      </c>
      <c r="B92">
        <v>226</v>
      </c>
      <c r="C92">
        <v>2</v>
      </c>
      <c r="D92">
        <v>3</v>
      </c>
      <c r="E92">
        <v>4</v>
      </c>
      <c r="G92">
        <f t="shared" si="4"/>
        <v>-1.987058643493766</v>
      </c>
      <c r="H92">
        <f t="shared" si="5"/>
        <v>-1.8268773863273722</v>
      </c>
      <c r="I92">
        <f t="shared" si="6"/>
        <v>-1.6695135597642259</v>
      </c>
      <c r="K92">
        <f t="shared" si="7"/>
        <v>-1.8278165298617879</v>
      </c>
    </row>
    <row r="93" spans="1:11">
      <c r="A93">
        <v>91</v>
      </c>
      <c r="B93">
        <v>284</v>
      </c>
      <c r="C93">
        <v>8</v>
      </c>
      <c r="D93">
        <v>16</v>
      </c>
      <c r="E93">
        <v>35</v>
      </c>
      <c r="G93">
        <f t="shared" si="4"/>
        <v>-1.4842085530654401</v>
      </c>
      <c r="H93">
        <f t="shared" si="5"/>
        <v>-1.1990885592907465</v>
      </c>
      <c r="I93">
        <f t="shared" si="6"/>
        <v>-0.82671540764154938</v>
      </c>
      <c r="K93">
        <f t="shared" si="7"/>
        <v>-1.1700041733325788</v>
      </c>
    </row>
    <row r="94" spans="1:11">
      <c r="A94">
        <v>92</v>
      </c>
      <c r="B94">
        <v>388</v>
      </c>
      <c r="C94">
        <v>16</v>
      </c>
      <c r="D94">
        <v>22</v>
      </c>
      <c r="E94">
        <v>126</v>
      </c>
      <c r="G94">
        <f t="shared" si="4"/>
        <v>-1.3186919429486286</v>
      </c>
      <c r="H94">
        <f t="shared" si="5"/>
        <v>-1.1962992466716347</v>
      </c>
      <c r="I94">
        <f t="shared" si="6"/>
        <v>-0.40592629242143169</v>
      </c>
      <c r="K94">
        <f t="shared" si="7"/>
        <v>-0.97363916068056489</v>
      </c>
    </row>
    <row r="95" spans="1:11">
      <c r="A95">
        <v>93</v>
      </c>
      <c r="B95">
        <v>43</v>
      </c>
      <c r="C95">
        <v>0</v>
      </c>
      <c r="D95">
        <v>0</v>
      </c>
      <c r="E95">
        <v>1</v>
      </c>
      <c r="G95" t="e">
        <f t="shared" si="4"/>
        <v>#NUM!</v>
      </c>
      <c r="H95" t="e">
        <f t="shared" si="5"/>
        <v>#NUM!</v>
      </c>
      <c r="I95">
        <f t="shared" si="6"/>
        <v>-1.5509335675243741</v>
      </c>
      <c r="K95" t="e">
        <f t="shared" si="7"/>
        <v>#NUM!</v>
      </c>
    </row>
    <row r="96" spans="1:11">
      <c r="A96">
        <v>94</v>
      </c>
      <c r="B96">
        <v>262</v>
      </c>
      <c r="C96">
        <v>22</v>
      </c>
      <c r="D96">
        <v>9</v>
      </c>
      <c r="E96">
        <v>11</v>
      </c>
      <c r="G96">
        <f t="shared" si="4"/>
        <v>-1.0098588105078854</v>
      </c>
      <c r="H96">
        <f t="shared" si="5"/>
        <v>-1.4139489837800541</v>
      </c>
      <c r="I96">
        <f t="shared" si="6"/>
        <v>-1.2943737181063077</v>
      </c>
      <c r="K96">
        <f t="shared" si="7"/>
        <v>-1.2393938374647491</v>
      </c>
    </row>
    <row r="97" spans="1:11">
      <c r="A97">
        <v>95</v>
      </c>
      <c r="B97">
        <v>35</v>
      </c>
      <c r="C97">
        <v>261</v>
      </c>
      <c r="D97">
        <v>95</v>
      </c>
      <c r="E97">
        <v>71</v>
      </c>
      <c r="G97">
        <f t="shared" si="4"/>
        <v>0.9385922629776593</v>
      </c>
      <c r="H97">
        <f t="shared" si="5"/>
        <v>0.48376535903893864</v>
      </c>
      <c r="I97">
        <f t="shared" si="6"/>
        <v>0.38972519242401227</v>
      </c>
      <c r="K97">
        <f t="shared" si="7"/>
        <v>0.60402760481353679</v>
      </c>
    </row>
    <row r="98" spans="1:11">
      <c r="A98">
        <v>96</v>
      </c>
      <c r="B98">
        <v>59</v>
      </c>
      <c r="C98">
        <v>1</v>
      </c>
      <c r="D98">
        <v>1</v>
      </c>
      <c r="E98">
        <v>1</v>
      </c>
      <c r="G98">
        <f t="shared" si="4"/>
        <v>-1.7048322116524903</v>
      </c>
      <c r="H98">
        <f t="shared" si="5"/>
        <v>-1.7207422135417778</v>
      </c>
      <c r="I98">
        <f t="shared" si="6"/>
        <v>-1.6883171235869316</v>
      </c>
      <c r="K98">
        <f t="shared" si="7"/>
        <v>-1.7046305162603999</v>
      </c>
    </row>
    <row r="99" spans="1:11">
      <c r="A99">
        <v>97</v>
      </c>
      <c r="B99">
        <v>179</v>
      </c>
      <c r="C99">
        <v>31</v>
      </c>
      <c r="D99">
        <v>3</v>
      </c>
      <c r="E99">
        <v>11</v>
      </c>
      <c r="G99">
        <f t="shared" si="4"/>
        <v>-0.69547153715596643</v>
      </c>
      <c r="H99">
        <f t="shared" si="5"/>
        <v>-1.7256219781598643</v>
      </c>
      <c r="I99">
        <f t="shared" si="6"/>
        <v>-1.1289254577664556</v>
      </c>
      <c r="K99">
        <f t="shared" si="7"/>
        <v>-1.1833396576940955</v>
      </c>
    </row>
    <row r="100" spans="1:11">
      <c r="A100">
        <v>98</v>
      </c>
      <c r="B100">
        <v>66</v>
      </c>
      <c r="C100">
        <v>9</v>
      </c>
      <c r="D100">
        <v>25</v>
      </c>
      <c r="E100">
        <v>7</v>
      </c>
      <c r="G100">
        <f t="shared" si="4"/>
        <v>-0.79928162611288978</v>
      </c>
      <c r="H100">
        <f t="shared" si="5"/>
        <v>-0.37149412876946458</v>
      </c>
      <c r="I100">
        <f t="shared" si="6"/>
        <v>-0.89191100747239915</v>
      </c>
      <c r="K100">
        <f t="shared" si="7"/>
        <v>-0.68756225411825111</v>
      </c>
    </row>
    <row r="101" spans="1:11">
      <c r="A101">
        <v>99</v>
      </c>
      <c r="B101">
        <v>122</v>
      </c>
      <c r="C101">
        <v>1</v>
      </c>
      <c r="D101">
        <v>8</v>
      </c>
      <c r="E101">
        <v>0</v>
      </c>
      <c r="G101">
        <f t="shared" si="4"/>
        <v>-2.0203400306850945</v>
      </c>
      <c r="H101">
        <f t="shared" si="5"/>
        <v>-1.1331600455824382</v>
      </c>
      <c r="I101" t="e">
        <f t="shared" si="6"/>
        <v>#NUM!</v>
      </c>
      <c r="K101" t="e">
        <f t="shared" si="7"/>
        <v>#NUM!</v>
      </c>
    </row>
    <row r="102" spans="1:11">
      <c r="A102">
        <v>100</v>
      </c>
      <c r="B102">
        <v>44</v>
      </c>
      <c r="C102">
        <v>3</v>
      </c>
      <c r="D102">
        <v>0</v>
      </c>
      <c r="E102">
        <v>1</v>
      </c>
      <c r="G102">
        <f t="shared" si="4"/>
        <v>-1.1003116217768711</v>
      </c>
      <c r="H102" t="e">
        <f t="shared" si="5"/>
        <v>#NUM!</v>
      </c>
      <c r="I102">
        <f t="shared" si="6"/>
        <v>-1.5609177884309748</v>
      </c>
      <c r="K102" t="e">
        <f t="shared" si="7"/>
        <v>#NUM!</v>
      </c>
    </row>
    <row r="103" spans="1:11">
      <c r="A103">
        <v>101</v>
      </c>
      <c r="B103">
        <v>220</v>
      </c>
      <c r="C103">
        <v>15</v>
      </c>
      <c r="D103">
        <v>45</v>
      </c>
      <c r="E103">
        <v>24</v>
      </c>
      <c r="G103">
        <f t="shared" si="4"/>
        <v>-1.1003116217768711</v>
      </c>
      <c r="H103">
        <f t="shared" si="5"/>
        <v>-0.63910036894649602</v>
      </c>
      <c r="I103">
        <f t="shared" si="6"/>
        <v>-0.87967655105538756</v>
      </c>
      <c r="K103">
        <f t="shared" si="7"/>
        <v>-0.87302951392625161</v>
      </c>
    </row>
    <row r="104" spans="1:11">
      <c r="A104">
        <v>102</v>
      </c>
      <c r="B104">
        <v>135</v>
      </c>
      <c r="C104">
        <v>3</v>
      </c>
      <c r="D104">
        <v>4</v>
      </c>
      <c r="E104">
        <v>5</v>
      </c>
      <c r="G104">
        <f t="shared" si="4"/>
        <v>-1.5871927137856898</v>
      </c>
      <c r="H104">
        <f t="shared" si="5"/>
        <v>-1.4781639790666772</v>
      </c>
      <c r="I104">
        <f t="shared" si="6"/>
        <v>-1.3488288761037748</v>
      </c>
      <c r="K104">
        <f t="shared" si="7"/>
        <v>-1.4713951896520472</v>
      </c>
    </row>
    <row r="105" spans="1:11">
      <c r="A105">
        <v>103</v>
      </c>
      <c r="B105">
        <v>133</v>
      </c>
      <c r="C105">
        <v>9</v>
      </c>
      <c r="D105">
        <v>4</v>
      </c>
      <c r="E105">
        <v>3</v>
      </c>
      <c r="G105">
        <f t="shared" si="4"/>
        <v>-1.1035893315381071</v>
      </c>
      <c r="H105">
        <f t="shared" si="5"/>
        <v>-1.4716818515387571</v>
      </c>
      <c r="I105">
        <f t="shared" si="6"/>
        <v>-1.5641954981922108</v>
      </c>
      <c r="K105">
        <f t="shared" si="7"/>
        <v>-1.3798222270896918</v>
      </c>
    </row>
    <row r="106" spans="1:11">
      <c r="A106">
        <v>104</v>
      </c>
      <c r="B106">
        <v>17</v>
      </c>
      <c r="C106">
        <v>0</v>
      </c>
      <c r="D106">
        <v>1</v>
      </c>
      <c r="E106">
        <v>0</v>
      </c>
      <c r="G106" t="e">
        <f t="shared" si="4"/>
        <v>#NUM!</v>
      </c>
      <c r="H106">
        <f t="shared" si="5"/>
        <v>-1.1803391232779075</v>
      </c>
      <c r="I106" t="e">
        <f t="shared" si="6"/>
        <v>#NUM!</v>
      </c>
      <c r="K106" t="e">
        <f t="shared" si="7"/>
        <v>#NUM!</v>
      </c>
    </row>
    <row r="107" spans="1:11">
      <c r="A107">
        <v>105</v>
      </c>
      <c r="B107">
        <v>399</v>
      </c>
      <c r="C107">
        <v>45</v>
      </c>
      <c r="D107">
        <v>15</v>
      </c>
      <c r="E107">
        <v>18</v>
      </c>
      <c r="G107">
        <f t="shared" si="4"/>
        <v>-0.88174058192175053</v>
      </c>
      <c r="H107">
        <f t="shared" si="5"/>
        <v>-1.3747718385307006</v>
      </c>
      <c r="I107">
        <f t="shared" si="6"/>
        <v>-1.2631655025282296</v>
      </c>
      <c r="K107">
        <f t="shared" si="7"/>
        <v>-1.1732259743268936</v>
      </c>
    </row>
    <row r="108" spans="1:11">
      <c r="A108">
        <v>106</v>
      </c>
      <c r="B108">
        <v>232</v>
      </c>
      <c r="C108">
        <v>10</v>
      </c>
      <c r="D108">
        <v>8</v>
      </c>
      <c r="E108">
        <v>9</v>
      </c>
      <c r="G108">
        <f t="shared" si="4"/>
        <v>-1.2994681849012457</v>
      </c>
      <c r="H108">
        <f t="shared" si="5"/>
        <v>-1.4122881997985897</v>
      </c>
      <c r="I108">
        <f t="shared" si="6"/>
        <v>-1.3287105873963623</v>
      </c>
      <c r="K108">
        <f t="shared" si="7"/>
        <v>-1.3468223240320658</v>
      </c>
    </row>
    <row r="109" spans="1:11">
      <c r="A109">
        <v>107</v>
      </c>
      <c r="B109">
        <v>85</v>
      </c>
      <c r="C109">
        <v>9</v>
      </c>
      <c r="D109">
        <v>3</v>
      </c>
      <c r="E109">
        <v>8</v>
      </c>
      <c r="G109">
        <f t="shared" si="4"/>
        <v>-0.90915661628531386</v>
      </c>
      <c r="H109">
        <f t="shared" si="5"/>
        <v>-1.4021878728942638</v>
      </c>
      <c r="I109">
        <f t="shared" si="6"/>
        <v>-0.9437940506671364</v>
      </c>
      <c r="K109">
        <f t="shared" si="7"/>
        <v>-1.0850461799489046</v>
      </c>
    </row>
    <row r="110" spans="1:11">
      <c r="A110">
        <v>108</v>
      </c>
      <c r="B110">
        <v>196</v>
      </c>
      <c r="C110">
        <v>6</v>
      </c>
      <c r="D110">
        <v>12</v>
      </c>
      <c r="E110">
        <v>11</v>
      </c>
      <c r="G110">
        <f t="shared" si="4"/>
        <v>-1.4480850209831786</v>
      </c>
      <c r="H110">
        <f t="shared" si="5"/>
        <v>-1.1629650272084848</v>
      </c>
      <c r="I110">
        <f t="shared" si="6"/>
        <v>-1.1683284981430384</v>
      </c>
      <c r="K110">
        <f t="shared" si="7"/>
        <v>-1.2597928487782342</v>
      </c>
    </row>
    <row r="111" spans="1:11">
      <c r="A111">
        <v>109</v>
      </c>
      <c r="B111">
        <v>83</v>
      </c>
      <c r="C111">
        <v>1</v>
      </c>
      <c r="D111">
        <v>2</v>
      </c>
      <c r="E111">
        <v>2</v>
      </c>
      <c r="G111">
        <f t="shared" si="4"/>
        <v>-1.8530582923864201</v>
      </c>
      <c r="H111">
        <f t="shared" si="5"/>
        <v>-1.5679382986117263</v>
      </c>
      <c r="I111">
        <f t="shared" si="6"/>
        <v>-1.5355132086568801</v>
      </c>
      <c r="K111">
        <f t="shared" si="7"/>
        <v>-1.6521699332183422</v>
      </c>
    </row>
    <row r="112" spans="1:11">
      <c r="A112">
        <v>110</v>
      </c>
      <c r="B112">
        <v>142</v>
      </c>
      <c r="C112">
        <v>0</v>
      </c>
      <c r="D112">
        <v>2</v>
      </c>
      <c r="E112">
        <v>1</v>
      </c>
      <c r="G112" t="e">
        <f t="shared" si="4"/>
        <v>#NUM!</v>
      </c>
      <c r="H112">
        <f t="shared" si="5"/>
        <v>-1.8011485506187088</v>
      </c>
      <c r="I112">
        <f t="shared" si="6"/>
        <v>-2.0697534563278435</v>
      </c>
      <c r="K112" t="e">
        <f t="shared" si="7"/>
        <v>#NUM!</v>
      </c>
    </row>
    <row r="113" spans="1:11">
      <c r="A113">
        <v>111</v>
      </c>
      <c r="B113">
        <v>151</v>
      </c>
      <c r="C113">
        <v>2</v>
      </c>
      <c r="D113">
        <v>10</v>
      </c>
      <c r="E113">
        <v>59</v>
      </c>
      <c r="G113">
        <f t="shared" si="4"/>
        <v>-1.8119271516395343</v>
      </c>
      <c r="H113">
        <f t="shared" si="5"/>
        <v>-1.1288671491928031</v>
      </c>
      <c r="I113">
        <f t="shared" si="6"/>
        <v>-0.32559004759581262</v>
      </c>
      <c r="K113">
        <f t="shared" si="7"/>
        <v>-1.0887947828093834</v>
      </c>
    </row>
    <row r="114" spans="1:11">
      <c r="A114">
        <v>112</v>
      </c>
      <c r="B114">
        <v>82</v>
      </c>
      <c r="C114">
        <v>4</v>
      </c>
      <c r="D114">
        <v>2</v>
      </c>
      <c r="E114">
        <v>1</v>
      </c>
      <c r="G114">
        <f t="shared" si="4"/>
        <v>-1.2457340610661003</v>
      </c>
      <c r="H114">
        <f t="shared" si="5"/>
        <v>-1.562674058619369</v>
      </c>
      <c r="I114">
        <f t="shared" si="6"/>
        <v>-1.8312789643285041</v>
      </c>
      <c r="K114">
        <f t="shared" si="7"/>
        <v>-1.5465623613379913</v>
      </c>
    </row>
    <row r="115" spans="1:11">
      <c r="A115">
        <v>113</v>
      </c>
      <c r="B115">
        <v>157</v>
      </c>
      <c r="C115">
        <v>6</v>
      </c>
      <c r="D115">
        <v>8</v>
      </c>
      <c r="E115">
        <v>5</v>
      </c>
      <c r="G115">
        <f t="shared" si="4"/>
        <v>-1.3517286020359363</v>
      </c>
      <c r="H115">
        <f t="shared" si="5"/>
        <v>-1.2426998673169236</v>
      </c>
      <c r="I115">
        <f t="shared" si="6"/>
        <v>-1.4143947600180022</v>
      </c>
      <c r="K115">
        <f t="shared" si="7"/>
        <v>-1.3362744097902874</v>
      </c>
    </row>
    <row r="116" spans="1:11">
      <c r="A116">
        <v>114</v>
      </c>
      <c r="B116">
        <v>27</v>
      </c>
      <c r="C116">
        <v>14</v>
      </c>
      <c r="D116">
        <v>2</v>
      </c>
      <c r="E116">
        <v>5</v>
      </c>
      <c r="G116">
        <f t="shared" si="4"/>
        <v>-0.21921592849109528</v>
      </c>
      <c r="H116">
        <f t="shared" si="5"/>
        <v>-1.0802239703946397</v>
      </c>
      <c r="I116">
        <f t="shared" si="6"/>
        <v>-0.64985887176775581</v>
      </c>
      <c r="K116">
        <f t="shared" si="7"/>
        <v>-0.64976625688449696</v>
      </c>
    </row>
    <row r="117" spans="1:11">
      <c r="A117">
        <v>115</v>
      </c>
      <c r="B117">
        <v>93</v>
      </c>
      <c r="C117">
        <v>59</v>
      </c>
      <c r="D117">
        <v>58</v>
      </c>
      <c r="E117">
        <v>50</v>
      </c>
      <c r="G117">
        <f t="shared" si="4"/>
        <v>-0.13161113692213694</v>
      </c>
      <c r="H117">
        <f t="shared" si="5"/>
        <v>-0.15494515689063132</v>
      </c>
      <c r="I117">
        <f t="shared" si="6"/>
        <v>-0.18697805616270369</v>
      </c>
      <c r="K117">
        <f t="shared" si="7"/>
        <v>-0.15784478332515731</v>
      </c>
    </row>
    <row r="118" spans="1:11">
      <c r="A118">
        <v>116</v>
      </c>
      <c r="B118">
        <v>235</v>
      </c>
      <c r="C118">
        <v>12</v>
      </c>
      <c r="D118">
        <v>15</v>
      </c>
      <c r="E118">
        <v>20</v>
      </c>
      <c r="G118">
        <f t="shared" si="4"/>
        <v>-1.2258668162344575</v>
      </c>
      <c r="H118">
        <f t="shared" si="5"/>
        <v>-1.1448668051156887</v>
      </c>
      <c r="I118">
        <f t="shared" si="6"/>
        <v>-0.98750297855254232</v>
      </c>
      <c r="K118">
        <f t="shared" si="7"/>
        <v>-1.1194121999675628</v>
      </c>
    </row>
    <row r="119" spans="1:11">
      <c r="A119">
        <v>117</v>
      </c>
      <c r="B119">
        <v>357</v>
      </c>
      <c r="C119">
        <v>133</v>
      </c>
      <c r="D119">
        <v>110</v>
      </c>
      <c r="E119">
        <v>64</v>
      </c>
      <c r="G119">
        <f t="shared" si="4"/>
        <v>-0.36279677515545339</v>
      </c>
      <c r="H119">
        <f t="shared" si="5"/>
        <v>-0.46116573285360168</v>
      </c>
      <c r="I119">
        <f t="shared" si="6"/>
        <v>-0.6639533540730933</v>
      </c>
      <c r="K119">
        <f t="shared" si="7"/>
        <v>-0.49597195402738281</v>
      </c>
    </row>
    <row r="120" spans="1:11">
      <c r="A120">
        <v>118</v>
      </c>
      <c r="B120">
        <v>95</v>
      </c>
      <c r="C120">
        <v>5</v>
      </c>
      <c r="D120">
        <v>4</v>
      </c>
      <c r="E120">
        <v>4</v>
      </c>
      <c r="G120">
        <f t="shared" si="4"/>
        <v>-1.2127338009631752</v>
      </c>
      <c r="H120">
        <f t="shared" si="5"/>
        <v>-1.3255538158605189</v>
      </c>
      <c r="I120">
        <f t="shared" si="6"/>
        <v>-1.2931287259056727</v>
      </c>
      <c r="K120">
        <f t="shared" si="7"/>
        <v>-1.2771387809097889</v>
      </c>
    </row>
    <row r="121" spans="1:11">
      <c r="A121">
        <v>119</v>
      </c>
      <c r="B121">
        <v>66</v>
      </c>
      <c r="C121">
        <v>1</v>
      </c>
      <c r="D121">
        <v>1</v>
      </c>
      <c r="E121">
        <v>1</v>
      </c>
      <c r="G121">
        <f t="shared" si="4"/>
        <v>-1.7535241355522146</v>
      </c>
      <c r="H121">
        <f t="shared" si="5"/>
        <v>-1.7694341374415021</v>
      </c>
      <c r="I121">
        <f t="shared" si="6"/>
        <v>-1.737009047486656</v>
      </c>
      <c r="K121">
        <f t="shared" si="7"/>
        <v>-1.7533224401601242</v>
      </c>
    </row>
    <row r="122" spans="1:11">
      <c r="A122">
        <v>120</v>
      </c>
      <c r="B122">
        <v>19</v>
      </c>
      <c r="C122">
        <v>22</v>
      </c>
      <c r="D122">
        <v>9</v>
      </c>
      <c r="E122">
        <v>19</v>
      </c>
      <c r="G122">
        <f t="shared" si="4"/>
        <v>0.1296888798590313</v>
      </c>
      <c r="H122">
        <f t="shared" si="5"/>
        <v>-0.27440129341313763</v>
      </c>
      <c r="I122">
        <f t="shared" si="6"/>
        <v>8.2534888055212655E-2</v>
      </c>
      <c r="K122">
        <f t="shared" si="7"/>
        <v>-2.0725841832964557E-2</v>
      </c>
    </row>
    <row r="123" spans="1:11">
      <c r="A123">
        <v>121</v>
      </c>
      <c r="B123">
        <v>142</v>
      </c>
      <c r="C123">
        <v>32</v>
      </c>
      <c r="D123">
        <v>33</v>
      </c>
      <c r="E123">
        <v>98</v>
      </c>
      <c r="G123">
        <f t="shared" si="4"/>
        <v>-0.58111856607349643</v>
      </c>
      <c r="H123">
        <f t="shared" si="5"/>
        <v>-0.58366460640480244</v>
      </c>
      <c r="I123">
        <f t="shared" si="6"/>
        <v>-7.8527380635348989E-2</v>
      </c>
      <c r="K123">
        <f t="shared" si="7"/>
        <v>-0.41443685103788264</v>
      </c>
    </row>
    <row r="124" spans="1:11">
      <c r="A124">
        <v>122</v>
      </c>
      <c r="B124">
        <v>44</v>
      </c>
      <c r="C124">
        <v>0</v>
      </c>
      <c r="D124">
        <v>2</v>
      </c>
      <c r="E124">
        <v>0</v>
      </c>
      <c r="G124" t="e">
        <f t="shared" si="4"/>
        <v>#NUM!</v>
      </c>
      <c r="H124">
        <f t="shared" si="5"/>
        <v>-1.2923128827218398</v>
      </c>
      <c r="I124" t="e">
        <f t="shared" si="6"/>
        <v>#NUM!</v>
      </c>
      <c r="K124" t="e">
        <f t="shared" si="7"/>
        <v>#NUM!</v>
      </c>
    </row>
    <row r="125" spans="1:11">
      <c r="A125">
        <v>123</v>
      </c>
      <c r="B125">
        <v>35</v>
      </c>
      <c r="C125">
        <v>9</v>
      </c>
      <c r="D125">
        <v>17</v>
      </c>
      <c r="E125">
        <v>19</v>
      </c>
      <c r="G125">
        <f t="shared" si="4"/>
        <v>-0.52380573492129678</v>
      </c>
      <c r="H125">
        <f t="shared" si="5"/>
        <v>-0.26350932487163525</v>
      </c>
      <c r="I125">
        <f t="shared" si="6"/>
        <v>-0.18277955534223406</v>
      </c>
      <c r="K125">
        <f t="shared" si="7"/>
        <v>-0.32336487171172207</v>
      </c>
    </row>
    <row r="126" spans="1:11">
      <c r="A126">
        <v>124</v>
      </c>
      <c r="B126">
        <v>39</v>
      </c>
      <c r="C126">
        <v>14</v>
      </c>
      <c r="D126">
        <v>23</v>
      </c>
      <c r="E126">
        <v>7</v>
      </c>
      <c r="G126">
        <f t="shared" si="4"/>
        <v>-0.37891677135860719</v>
      </c>
      <c r="H126">
        <f t="shared" si="5"/>
        <v>-0.17922697290853984</v>
      </c>
      <c r="I126">
        <f t="shared" si="6"/>
        <v>-0.6634316789570297</v>
      </c>
      <c r="K126">
        <f t="shared" si="7"/>
        <v>-0.40719180774139224</v>
      </c>
    </row>
    <row r="127" spans="1:11">
      <c r="A127">
        <v>125</v>
      </c>
      <c r="B127">
        <v>47</v>
      </c>
      <c r="C127">
        <v>305</v>
      </c>
      <c r="D127">
        <v>2166</v>
      </c>
      <c r="E127">
        <v>223</v>
      </c>
      <c r="G127">
        <f t="shared" si="4"/>
        <v>0.87822178140072238</v>
      </c>
      <c r="H127">
        <f t="shared" si="5"/>
        <v>1.7136703924539505</v>
      </c>
      <c r="I127">
        <f t="shared" si="6"/>
        <v>0.75874189316765595</v>
      </c>
      <c r="K127">
        <f t="shared" si="7"/>
        <v>1.1168780223407764</v>
      </c>
    </row>
    <row r="128" spans="1:11">
      <c r="A128">
        <v>126</v>
      </c>
      <c r="B128">
        <v>117</v>
      </c>
      <c r="C128">
        <v>232</v>
      </c>
      <c r="D128">
        <v>247</v>
      </c>
      <c r="E128">
        <v>210</v>
      </c>
      <c r="G128">
        <f t="shared" si="4"/>
        <v>0.36332192313439204</v>
      </c>
      <c r="H128">
        <f t="shared" si="5"/>
        <v>0.37462088961387058</v>
      </c>
      <c r="I128">
        <f t="shared" si="6"/>
        <v>0.3365683210429703</v>
      </c>
      <c r="K128">
        <f t="shared" si="7"/>
        <v>0.35817037793041101</v>
      </c>
    </row>
    <row r="129" spans="1:11">
      <c r="A129">
        <v>127</v>
      </c>
      <c r="B129">
        <v>159</v>
      </c>
      <c r="C129">
        <v>13</v>
      </c>
      <c r="D129">
        <v>18</v>
      </c>
      <c r="E129">
        <v>11</v>
      </c>
      <c r="G129">
        <f t="shared" si="4"/>
        <v>-1.0214339720239609</v>
      </c>
      <c r="H129">
        <f t="shared" si="5"/>
        <v>-0.89601482111677888</v>
      </c>
      <c r="I129">
        <f t="shared" si="6"/>
        <v>-1.0774695511070138</v>
      </c>
      <c r="K129">
        <f t="shared" si="7"/>
        <v>-0.99830611474925124</v>
      </c>
    </row>
    <row r="130" spans="1:11">
      <c r="A130">
        <v>128</v>
      </c>
      <c r="B130">
        <v>42</v>
      </c>
      <c r="C130">
        <v>22</v>
      </c>
      <c r="D130">
        <v>26</v>
      </c>
      <c r="E130">
        <v>21</v>
      </c>
      <c r="G130">
        <f t="shared" si="4"/>
        <v>-0.2148068095860402</v>
      </c>
      <c r="H130">
        <f t="shared" si="5"/>
        <v>-0.158166144326716</v>
      </c>
      <c r="I130">
        <f t="shared" si="6"/>
        <v>-0.21849510760876856</v>
      </c>
      <c r="K130">
        <f t="shared" si="7"/>
        <v>-0.19715602050717493</v>
      </c>
    </row>
    <row r="131" spans="1:11">
      <c r="A131">
        <v>129</v>
      </c>
      <c r="B131">
        <v>31</v>
      </c>
      <c r="C131">
        <v>37</v>
      </c>
      <c r="D131">
        <v>36</v>
      </c>
      <c r="E131">
        <v>15</v>
      </c>
      <c r="G131">
        <f t="shared" ref="G131:G194" si="8">LOG10(C131/B131)-LOG10(134/156)</f>
        <v>0.14285983022237633</v>
      </c>
      <c r="H131">
        <f t="shared" ref="H131:H194" si="9">LOG10(D131/B131)-LOG10(139/156)</f>
        <v>0.1150506050333811</v>
      </c>
      <c r="I131">
        <f t="shared" ref="I131:I194" si="10">LOG10(E131/B131)-LOG10(129/156)</f>
        <v>-0.23273554672337876</v>
      </c>
      <c r="K131">
        <f t="shared" ref="K131:K194" si="11">AVERAGE(G131:I131)</f>
        <v>8.3916295107928831E-3</v>
      </c>
    </row>
    <row r="132" spans="1:11">
      <c r="A132">
        <v>130</v>
      </c>
      <c r="B132">
        <v>103</v>
      </c>
      <c r="C132">
        <v>11</v>
      </c>
      <c r="D132">
        <v>30</v>
      </c>
      <c r="E132">
        <v>16</v>
      </c>
      <c r="G132">
        <f t="shared" si="8"/>
        <v>-0.90542473955729319</v>
      </c>
      <c r="H132">
        <f t="shared" si="9"/>
        <v>-0.48560617188514327</v>
      </c>
      <c r="I132">
        <f t="shared" si="10"/>
        <v>-0.72618235399403475</v>
      </c>
      <c r="K132">
        <f t="shared" si="11"/>
        <v>-0.70573775514549031</v>
      </c>
    </row>
    <row r="133" spans="1:11">
      <c r="A133">
        <v>131</v>
      </c>
      <c r="B133">
        <v>159</v>
      </c>
      <c r="C133">
        <v>4</v>
      </c>
      <c r="D133">
        <v>3</v>
      </c>
      <c r="E133">
        <v>8</v>
      </c>
      <c r="G133">
        <f t="shared" si="8"/>
        <v>-1.5333173330028351</v>
      </c>
      <c r="H133">
        <f t="shared" si="9"/>
        <v>-1.6741660715004227</v>
      </c>
      <c r="I133">
        <f t="shared" si="10"/>
        <v>-1.2157722492732952</v>
      </c>
      <c r="K133">
        <f t="shared" si="11"/>
        <v>-1.474418551258851</v>
      </c>
    </row>
    <row r="134" spans="1:11">
      <c r="A134">
        <v>132</v>
      </c>
      <c r="B134">
        <v>53</v>
      </c>
      <c r="C134">
        <v>0</v>
      </c>
      <c r="D134">
        <v>0</v>
      </c>
      <c r="E134">
        <v>1</v>
      </c>
      <c r="G134" t="e">
        <f t="shared" si="8"/>
        <v>#NUM!</v>
      </c>
      <c r="H134" t="e">
        <f t="shared" si="9"/>
        <v>#NUM!</v>
      </c>
      <c r="I134">
        <f t="shared" si="10"/>
        <v>-1.6417409815455766</v>
      </c>
      <c r="K134" t="e">
        <f t="shared" si="11"/>
        <v>#NUM!</v>
      </c>
    </row>
    <row r="135" spans="1:11">
      <c r="A135">
        <v>133</v>
      </c>
      <c r="B135">
        <v>206</v>
      </c>
      <c r="C135">
        <v>96</v>
      </c>
      <c r="D135">
        <v>4</v>
      </c>
      <c r="E135">
        <v>5</v>
      </c>
      <c r="G135">
        <f t="shared" si="8"/>
        <v>-0.26557618733993094</v>
      </c>
      <c r="H135">
        <f t="shared" si="9"/>
        <v>-1.6616974309408246</v>
      </c>
      <c r="I135">
        <f t="shared" si="10"/>
        <v>-1.5323623279779219</v>
      </c>
      <c r="K135">
        <f t="shared" si="11"/>
        <v>-1.1532119820862257</v>
      </c>
    </row>
    <row r="136" spans="1:11">
      <c r="A136">
        <v>134</v>
      </c>
      <c r="B136">
        <v>243</v>
      </c>
      <c r="C136">
        <v>18</v>
      </c>
      <c r="D136">
        <v>11</v>
      </c>
      <c r="E136">
        <v>7</v>
      </c>
      <c r="G136">
        <f t="shared" si="8"/>
        <v>-1.0643139685053522</v>
      </c>
      <c r="H136">
        <f t="shared" si="9"/>
        <v>-1.2941037903397208</v>
      </c>
      <c r="I136">
        <f t="shared" si="10"/>
        <v>-1.4579733455288428</v>
      </c>
      <c r="K136">
        <f t="shared" si="11"/>
        <v>-1.2721303681246388</v>
      </c>
    </row>
    <row r="137" spans="1:11">
      <c r="A137">
        <v>135</v>
      </c>
      <c r="B137">
        <v>125</v>
      </c>
      <c r="C137">
        <v>5</v>
      </c>
      <c r="D137">
        <v>2</v>
      </c>
      <c r="E137">
        <v>2</v>
      </c>
      <c r="G137">
        <f t="shared" si="8"/>
        <v>-1.3319202086823836</v>
      </c>
      <c r="H137">
        <f t="shared" si="9"/>
        <v>-1.7457702192437088</v>
      </c>
      <c r="I137">
        <f t="shared" si="10"/>
        <v>-1.7133451292888626</v>
      </c>
      <c r="K137">
        <f t="shared" si="11"/>
        <v>-1.597011852404985</v>
      </c>
    </row>
    <row r="138" spans="1:11">
      <c r="A138">
        <v>136</v>
      </c>
      <c r="B138">
        <v>97</v>
      </c>
      <c r="C138">
        <v>0</v>
      </c>
      <c r="D138">
        <v>2</v>
      </c>
      <c r="E138">
        <v>0</v>
      </c>
      <c r="G138" t="e">
        <f t="shared" si="8"/>
        <v>#NUM!</v>
      </c>
      <c r="H138">
        <f t="shared" si="9"/>
        <v>-1.6356319405018973</v>
      </c>
      <c r="I138" t="e">
        <f t="shared" si="10"/>
        <v>#NUM!</v>
      </c>
      <c r="K138" t="e">
        <f t="shared" si="11"/>
        <v>#NUM!</v>
      </c>
    </row>
    <row r="139" spans="1:11">
      <c r="A139">
        <v>137</v>
      </c>
      <c r="B139">
        <v>145</v>
      </c>
      <c r="C139">
        <v>17</v>
      </c>
      <c r="D139">
        <v>6</v>
      </c>
      <c r="E139">
        <v>13</v>
      </c>
      <c r="G139">
        <f t="shared" si="8"/>
        <v>-0.86489928086704693</v>
      </c>
      <c r="H139">
        <f t="shared" si="9"/>
        <v>-1.3331069537509648</v>
      </c>
      <c r="I139">
        <f t="shared" si="10"/>
        <v>-0.96488976187292541</v>
      </c>
      <c r="K139">
        <f t="shared" si="11"/>
        <v>-1.054298665496979</v>
      </c>
    </row>
    <row r="140" spans="1:11">
      <c r="A140">
        <v>138</v>
      </c>
      <c r="B140">
        <v>119</v>
      </c>
      <c r="C140">
        <v>35</v>
      </c>
      <c r="D140">
        <v>18</v>
      </c>
      <c r="E140">
        <v>16</v>
      </c>
      <c r="G140">
        <f t="shared" si="8"/>
        <v>-0.46545911705260112</v>
      </c>
      <c r="H140">
        <f t="shared" si="9"/>
        <v>-0.77016465818885815</v>
      </c>
      <c r="I140">
        <f t="shared" si="10"/>
        <v>-0.78889209068139332</v>
      </c>
      <c r="K140">
        <f t="shared" si="11"/>
        <v>-0.67483862197428424</v>
      </c>
    </row>
    <row r="141" spans="1:11">
      <c r="A141">
        <v>139</v>
      </c>
      <c r="B141">
        <v>202</v>
      </c>
      <c r="C141">
        <v>16</v>
      </c>
      <c r="D141">
        <v>7</v>
      </c>
      <c r="E141">
        <v>3</v>
      </c>
      <c r="G141">
        <f t="shared" si="8"/>
        <v>-1.035211586801045</v>
      </c>
      <c r="H141">
        <f t="shared" si="9"/>
        <v>-1.4101435313320005</v>
      </c>
      <c r="I141">
        <f t="shared" si="10"/>
        <v>-1.7456952266717487</v>
      </c>
      <c r="K141">
        <f t="shared" si="11"/>
        <v>-1.3970167816015981</v>
      </c>
    </row>
    <row r="142" spans="1:11">
      <c r="A142">
        <v>140</v>
      </c>
      <c r="B142">
        <v>120</v>
      </c>
      <c r="C142">
        <v>4</v>
      </c>
      <c r="D142">
        <v>5</v>
      </c>
      <c r="E142">
        <v>1</v>
      </c>
      <c r="G142">
        <f t="shared" si="8"/>
        <v>-1.4111014547300085</v>
      </c>
      <c r="H142">
        <f t="shared" si="9"/>
        <v>-1.3301014436112397</v>
      </c>
      <c r="I142">
        <f t="shared" si="10"/>
        <v>-1.9966463579924121</v>
      </c>
      <c r="K142">
        <f t="shared" si="11"/>
        <v>-1.5792830854445532</v>
      </c>
    </row>
    <row r="143" spans="1:11">
      <c r="A143">
        <v>141</v>
      </c>
      <c r="B143">
        <v>79</v>
      </c>
      <c r="C143">
        <v>2</v>
      </c>
      <c r="D143">
        <v>2</v>
      </c>
      <c r="E143">
        <v>3</v>
      </c>
      <c r="G143">
        <f t="shared" si="8"/>
        <v>-1.5305772956368064</v>
      </c>
      <c r="H143">
        <f t="shared" si="9"/>
        <v>-1.5464872975260939</v>
      </c>
      <c r="I143">
        <f t="shared" si="10"/>
        <v>-1.3379709485155664</v>
      </c>
      <c r="K143">
        <f t="shared" si="11"/>
        <v>-1.4716785138928223</v>
      </c>
    </row>
    <row r="144" spans="1:11">
      <c r="A144">
        <v>142</v>
      </c>
      <c r="B144">
        <v>167</v>
      </c>
      <c r="C144">
        <v>0</v>
      </c>
      <c r="D144">
        <v>2</v>
      </c>
      <c r="E144">
        <v>4</v>
      </c>
      <c r="G144" t="e">
        <f t="shared" si="8"/>
        <v>#NUM!</v>
      </c>
      <c r="H144">
        <f t="shared" si="9"/>
        <v>-1.8715766773832356</v>
      </c>
      <c r="I144">
        <f t="shared" si="10"/>
        <v>-1.5381215917644082</v>
      </c>
      <c r="K144" t="e">
        <f t="shared" si="11"/>
        <v>#NUM!</v>
      </c>
    </row>
    <row r="145" spans="1:11">
      <c r="A145">
        <v>143</v>
      </c>
      <c r="B145">
        <v>86</v>
      </c>
      <c r="C145">
        <v>44</v>
      </c>
      <c r="D145">
        <v>1</v>
      </c>
      <c r="E145">
        <v>349</v>
      </c>
      <c r="G145">
        <f t="shared" si="8"/>
        <v>-0.22502597476772623</v>
      </c>
      <c r="H145">
        <f t="shared" si="9"/>
        <v>-1.8843886531432013</v>
      </c>
      <c r="I145">
        <f t="shared" si="10"/>
        <v>0.69086186377082492</v>
      </c>
      <c r="K145">
        <f t="shared" si="11"/>
        <v>-0.47285092138003409</v>
      </c>
    </row>
    <row r="146" spans="1:11">
      <c r="A146">
        <v>144</v>
      </c>
      <c r="B146">
        <v>71</v>
      </c>
      <c r="C146">
        <v>27</v>
      </c>
      <c r="D146">
        <v>17</v>
      </c>
      <c r="E146">
        <v>24</v>
      </c>
      <c r="G146">
        <f t="shared" si="8"/>
        <v>-0.35387478457043398</v>
      </c>
      <c r="H146">
        <f t="shared" si="9"/>
        <v>-0.57069962924043482</v>
      </c>
      <c r="I146">
        <f t="shared" si="10"/>
        <v>-0.38851221895225663</v>
      </c>
      <c r="K146">
        <f t="shared" si="11"/>
        <v>-0.43769554425437512</v>
      </c>
    </row>
    <row r="147" spans="1:11">
      <c r="A147">
        <v>145</v>
      </c>
      <c r="B147">
        <v>86</v>
      </c>
      <c r="C147">
        <v>0</v>
      </c>
      <c r="D147">
        <v>4</v>
      </c>
      <c r="E147">
        <v>0</v>
      </c>
      <c r="G147" t="e">
        <f t="shared" si="8"/>
        <v>#NUM!</v>
      </c>
      <c r="H147">
        <f t="shared" si="9"/>
        <v>-1.282328661815239</v>
      </c>
      <c r="I147" t="e">
        <f t="shared" si="10"/>
        <v>#NUM!</v>
      </c>
      <c r="K147" t="e">
        <f t="shared" si="11"/>
        <v>#NUM!</v>
      </c>
    </row>
    <row r="148" spans="1:11">
      <c r="A148">
        <v>146</v>
      </c>
      <c r="B148">
        <v>27</v>
      </c>
      <c r="C148">
        <v>0</v>
      </c>
      <c r="D148">
        <v>2</v>
      </c>
      <c r="E148">
        <v>2</v>
      </c>
      <c r="G148" t="e">
        <f t="shared" si="8"/>
        <v>#NUM!</v>
      </c>
      <c r="H148">
        <f t="shared" si="9"/>
        <v>-1.0802239703946397</v>
      </c>
      <c r="I148">
        <f t="shared" si="10"/>
        <v>-1.0477988804397935</v>
      </c>
      <c r="K148" t="e">
        <f t="shared" si="11"/>
        <v>#NUM!</v>
      </c>
    </row>
    <row r="149" spans="1:11">
      <c r="A149">
        <v>147</v>
      </c>
      <c r="B149">
        <v>89</v>
      </c>
      <c r="C149">
        <v>29</v>
      </c>
      <c r="D149">
        <v>18</v>
      </c>
      <c r="E149">
        <v>16</v>
      </c>
      <c r="G149">
        <f t="shared" si="8"/>
        <v>-0.42097220875630265</v>
      </c>
      <c r="H149">
        <f t="shared" si="9"/>
        <v>-0.64400770344124014</v>
      </c>
      <c r="I149">
        <f t="shared" si="10"/>
        <v>-0.66273513593377531</v>
      </c>
      <c r="K149">
        <f t="shared" si="11"/>
        <v>-0.57590501604377264</v>
      </c>
    </row>
    <row r="150" spans="1:11">
      <c r="A150">
        <v>148</v>
      </c>
      <c r="B150">
        <v>39</v>
      </c>
      <c r="C150">
        <v>12</v>
      </c>
      <c r="D150">
        <v>14</v>
      </c>
      <c r="E150">
        <v>29</v>
      </c>
      <c r="G150">
        <f t="shared" si="8"/>
        <v>-0.44586356098922031</v>
      </c>
      <c r="H150">
        <f t="shared" si="9"/>
        <v>-0.39482677324789472</v>
      </c>
      <c r="I150">
        <f t="shared" si="10"/>
        <v>-4.6131721072330448E-2</v>
      </c>
      <c r="K150">
        <f t="shared" si="11"/>
        <v>-0.29560735176981517</v>
      </c>
    </row>
    <row r="151" spans="1:11">
      <c r="A151">
        <v>149</v>
      </c>
      <c r="B151">
        <v>218</v>
      </c>
      <c r="C151">
        <v>17</v>
      </c>
      <c r="D151">
        <v>17</v>
      </c>
      <c r="E151">
        <v>15</v>
      </c>
      <c r="G151">
        <f t="shared" si="8"/>
        <v>-1.041987772236677</v>
      </c>
      <c r="H151">
        <f t="shared" si="9"/>
        <v>-1.0578977741259645</v>
      </c>
      <c r="I151">
        <f t="shared" si="10"/>
        <v>-1.0798303464937109</v>
      </c>
      <c r="K151">
        <f t="shared" si="11"/>
        <v>-1.0599052976187842</v>
      </c>
    </row>
    <row r="152" spans="1:11">
      <c r="A152">
        <v>150</v>
      </c>
      <c r="B152">
        <v>282</v>
      </c>
      <c r="C152">
        <v>1416</v>
      </c>
      <c r="D152">
        <v>494</v>
      </c>
      <c r="E152">
        <v>994</v>
      </c>
      <c r="G152">
        <f t="shared" si="8"/>
        <v>0.76683394502404312</v>
      </c>
      <c r="H152">
        <f t="shared" si="9"/>
        <v>0.29358763870465232</v>
      </c>
      <c r="I152">
        <f t="shared" si="10"/>
        <v>0.62967216413316496</v>
      </c>
      <c r="K152">
        <f t="shared" si="11"/>
        <v>0.56336458262062017</v>
      </c>
    </row>
    <row r="153" spans="1:11">
      <c r="A153">
        <v>151</v>
      </c>
      <c r="B153">
        <v>249</v>
      </c>
      <c r="C153">
        <v>7</v>
      </c>
      <c r="D153">
        <v>6</v>
      </c>
      <c r="E153">
        <v>4</v>
      </c>
      <c r="G153">
        <f t="shared" si="8"/>
        <v>-1.4850815070918255</v>
      </c>
      <c r="H153">
        <f t="shared" si="9"/>
        <v>-1.5679382986117263</v>
      </c>
      <c r="I153">
        <f t="shared" si="10"/>
        <v>-1.7116044677125615</v>
      </c>
      <c r="K153">
        <f t="shared" si="11"/>
        <v>-1.5882080911387044</v>
      </c>
    </row>
    <row r="154" spans="1:11">
      <c r="A154">
        <v>152</v>
      </c>
      <c r="B154">
        <v>190</v>
      </c>
      <c r="C154">
        <v>5</v>
      </c>
      <c r="D154">
        <v>9</v>
      </c>
      <c r="E154">
        <v>15</v>
      </c>
      <c r="G154">
        <f t="shared" si="8"/>
        <v>-1.5137637966271562</v>
      </c>
      <c r="H154">
        <f t="shared" si="9"/>
        <v>-1.2744012934131377</v>
      </c>
      <c r="I154">
        <f t="shared" si="10"/>
        <v>-1.0201274538419352</v>
      </c>
      <c r="K154">
        <f t="shared" si="11"/>
        <v>-1.269430847960743</v>
      </c>
    </row>
    <row r="155" spans="1:11">
      <c r="A155">
        <v>153</v>
      </c>
      <c r="B155">
        <v>56</v>
      </c>
      <c r="C155">
        <v>1</v>
      </c>
      <c r="D155">
        <v>2</v>
      </c>
      <c r="E155">
        <v>1</v>
      </c>
      <c r="G155">
        <f t="shared" si="8"/>
        <v>-1.6821682270165466</v>
      </c>
      <c r="H155">
        <f t="shared" si="9"/>
        <v>-1.3970482332418528</v>
      </c>
      <c r="I155">
        <f t="shared" si="10"/>
        <v>-1.6656531389509879</v>
      </c>
      <c r="K155">
        <f t="shared" si="11"/>
        <v>-1.5816231997364625</v>
      </c>
    </row>
    <row r="156" spans="1:11">
      <c r="A156">
        <v>154</v>
      </c>
      <c r="B156">
        <v>284</v>
      </c>
      <c r="C156">
        <v>4</v>
      </c>
      <c r="D156">
        <v>4</v>
      </c>
      <c r="E156">
        <v>11</v>
      </c>
      <c r="G156">
        <f t="shared" si="8"/>
        <v>-1.7852385487294213</v>
      </c>
      <c r="H156">
        <f t="shared" si="9"/>
        <v>-1.8011485506187088</v>
      </c>
      <c r="I156">
        <f t="shared" si="10"/>
        <v>-1.3293907668336</v>
      </c>
      <c r="K156">
        <f t="shared" si="11"/>
        <v>-1.6385926220605767</v>
      </c>
    </row>
    <row r="157" spans="1:11">
      <c r="A157">
        <v>155</v>
      </c>
      <c r="B157">
        <v>165</v>
      </c>
      <c r="C157">
        <v>1</v>
      </c>
      <c r="D157">
        <v>3</v>
      </c>
      <c r="E157">
        <v>9</v>
      </c>
      <c r="G157">
        <f t="shared" si="8"/>
        <v>-2.1514641442242524</v>
      </c>
      <c r="H157">
        <f t="shared" si="9"/>
        <v>-1.6902528913938775</v>
      </c>
      <c r="I157">
        <f t="shared" si="10"/>
        <v>-1.1807065467193689</v>
      </c>
      <c r="K157">
        <f t="shared" si="11"/>
        <v>-1.6741411941124997</v>
      </c>
    </row>
    <row r="158" spans="1:11">
      <c r="A158">
        <v>156</v>
      </c>
      <c r="B158">
        <v>140</v>
      </c>
      <c r="C158">
        <v>2</v>
      </c>
      <c r="D158">
        <v>3</v>
      </c>
      <c r="E158">
        <v>3</v>
      </c>
      <c r="G158">
        <f t="shared" si="8"/>
        <v>-1.779078240024603</v>
      </c>
      <c r="H158">
        <f t="shared" si="9"/>
        <v>-1.6188969828582092</v>
      </c>
      <c r="I158">
        <f t="shared" si="10"/>
        <v>-1.586471892903363</v>
      </c>
      <c r="K158">
        <f t="shared" si="11"/>
        <v>-1.6614823719287253</v>
      </c>
    </row>
    <row r="159" spans="1:11">
      <c r="A159">
        <v>157</v>
      </c>
      <c r="B159">
        <v>93</v>
      </c>
      <c r="C159">
        <v>181</v>
      </c>
      <c r="D159">
        <v>208</v>
      </c>
      <c r="E159">
        <v>206</v>
      </c>
      <c r="G159">
        <f t="shared" si="8"/>
        <v>0.35521542630490344</v>
      </c>
      <c r="H159">
        <f t="shared" si="9"/>
        <v>0.39969018450919286</v>
      </c>
      <c r="I159">
        <f t="shared" si="10"/>
        <v>0.42791915987043089</v>
      </c>
      <c r="K159">
        <f t="shared" si="11"/>
        <v>0.39427492356150906</v>
      </c>
    </row>
    <row r="160" spans="1:11">
      <c r="A160">
        <v>158</v>
      </c>
      <c r="B160">
        <v>38</v>
      </c>
      <c r="C160">
        <v>0</v>
      </c>
      <c r="D160">
        <v>1</v>
      </c>
      <c r="E160">
        <v>0</v>
      </c>
      <c r="G160" t="e">
        <f t="shared" si="8"/>
        <v>#NUM!</v>
      </c>
      <c r="H160">
        <f t="shared" si="9"/>
        <v>-1.5296737985164437</v>
      </c>
      <c r="I160" t="e">
        <f t="shared" si="10"/>
        <v>#NUM!</v>
      </c>
      <c r="K160" t="e">
        <f t="shared" si="11"/>
        <v>#NUM!</v>
      </c>
    </row>
    <row r="161" spans="1:11">
      <c r="A161">
        <v>159</v>
      </c>
      <c r="B161">
        <v>89</v>
      </c>
      <c r="C161">
        <v>84</v>
      </c>
      <c r="D161">
        <v>137</v>
      </c>
      <c r="E161">
        <v>101</v>
      </c>
      <c r="G161">
        <f t="shared" si="8"/>
        <v>4.0909079406622861E-2</v>
      </c>
      <c r="H161">
        <f t="shared" si="9"/>
        <v>0.23744035861186047</v>
      </c>
      <c r="I161">
        <f t="shared" si="10"/>
        <v>0.13746625519294248</v>
      </c>
      <c r="K161">
        <f t="shared" si="11"/>
        <v>0.13860523107047526</v>
      </c>
    </row>
    <row r="162" spans="1:11">
      <c r="A162">
        <v>160</v>
      </c>
      <c r="B162">
        <v>58</v>
      </c>
      <c r="C162">
        <v>1</v>
      </c>
      <c r="D162">
        <v>0</v>
      </c>
      <c r="E162">
        <v>0</v>
      </c>
      <c r="G162">
        <f t="shared" si="8"/>
        <v>-1.6974081935732834</v>
      </c>
      <c r="H162" t="e">
        <f t="shared" si="9"/>
        <v>#NUM!</v>
      </c>
      <c r="I162" t="e">
        <f t="shared" si="10"/>
        <v>#NUM!</v>
      </c>
      <c r="K162" t="e">
        <f t="shared" si="11"/>
        <v>#NUM!</v>
      </c>
    </row>
    <row r="163" spans="1:11">
      <c r="A163">
        <v>161</v>
      </c>
      <c r="B163">
        <v>99</v>
      </c>
      <c r="C163">
        <v>3</v>
      </c>
      <c r="D163">
        <v>3</v>
      </c>
      <c r="E163">
        <v>6</v>
      </c>
      <c r="G163">
        <f t="shared" si="8"/>
        <v>-1.4524941398882336</v>
      </c>
      <c r="H163">
        <f t="shared" si="9"/>
        <v>-1.4684041417775211</v>
      </c>
      <c r="I163">
        <f t="shared" si="10"/>
        <v>-1.1349490561586937</v>
      </c>
      <c r="K163">
        <f t="shared" si="11"/>
        <v>-1.3519491126081495</v>
      </c>
    </row>
    <row r="164" spans="1:11">
      <c r="A164">
        <v>162</v>
      </c>
      <c r="B164">
        <v>59</v>
      </c>
      <c r="C164">
        <v>1</v>
      </c>
      <c r="D164">
        <v>3</v>
      </c>
      <c r="E164">
        <v>7</v>
      </c>
      <c r="G164">
        <f t="shared" si="8"/>
        <v>-1.7048322116524903</v>
      </c>
      <c r="H164">
        <f t="shared" si="9"/>
        <v>-1.2436209588221152</v>
      </c>
      <c r="I164">
        <f t="shared" si="10"/>
        <v>-0.84321908357267461</v>
      </c>
      <c r="K164">
        <f t="shared" si="11"/>
        <v>-1.2638907513490933</v>
      </c>
    </row>
    <row r="165" spans="1:11">
      <c r="A165">
        <v>163</v>
      </c>
      <c r="B165">
        <v>109</v>
      </c>
      <c r="C165">
        <v>8</v>
      </c>
      <c r="D165">
        <v>16</v>
      </c>
      <c r="E165">
        <v>7</v>
      </c>
      <c r="G165">
        <f t="shared" si="8"/>
        <v>-1.0683167109590261</v>
      </c>
      <c r="H165">
        <f t="shared" si="9"/>
        <v>-0.78319671718433226</v>
      </c>
      <c r="I165">
        <f t="shared" si="10"/>
        <v>-1.1097935698711543</v>
      </c>
      <c r="K165">
        <f t="shared" si="11"/>
        <v>-0.98710233267150416</v>
      </c>
    </row>
    <row r="166" spans="1:11">
      <c r="A166">
        <v>164</v>
      </c>
      <c r="B166">
        <v>221</v>
      </c>
      <c r="C166">
        <v>47</v>
      </c>
      <c r="D166">
        <v>45</v>
      </c>
      <c r="E166">
        <v>50</v>
      </c>
      <c r="G166">
        <f t="shared" si="8"/>
        <v>-0.60627461575973918</v>
      </c>
      <c r="H166">
        <f t="shared" si="9"/>
        <v>-0.64106996180940046</v>
      </c>
      <c r="I166">
        <f t="shared" si="10"/>
        <v>-0.56288738129387916</v>
      </c>
      <c r="K166">
        <f t="shared" si="11"/>
        <v>-0.6034106529543396</v>
      </c>
    </row>
    <row r="167" spans="1:11">
      <c r="A167">
        <v>165</v>
      </c>
      <c r="B167">
        <v>98</v>
      </c>
      <c r="C167">
        <v>90</v>
      </c>
      <c r="D167">
        <v>140</v>
      </c>
      <c r="E167">
        <v>233</v>
      </c>
      <c r="G167">
        <f t="shared" si="8"/>
        <v>2.9036233736484028E-2</v>
      </c>
      <c r="H167">
        <f t="shared" si="9"/>
        <v>0.20501175808610966</v>
      </c>
      <c r="I167">
        <f t="shared" si="10"/>
        <v>0.45866473338873676</v>
      </c>
      <c r="K167">
        <f t="shared" si="11"/>
        <v>0.23090424173711013</v>
      </c>
    </row>
    <row r="168" spans="1:11">
      <c r="A168">
        <v>166</v>
      </c>
      <c r="B168">
        <v>233</v>
      </c>
      <c r="C168">
        <v>9</v>
      </c>
      <c r="D168">
        <v>5</v>
      </c>
      <c r="E168">
        <v>2</v>
      </c>
      <c r="G168">
        <f t="shared" si="8"/>
        <v>-1.3470936115970402</v>
      </c>
      <c r="H168">
        <f t="shared" si="9"/>
        <v>-1.6182761185896337</v>
      </c>
      <c r="I168">
        <f t="shared" si="10"/>
        <v>-1.983791037306825</v>
      </c>
      <c r="K168">
        <f t="shared" si="11"/>
        <v>-1.6497202558311663</v>
      </c>
    </row>
    <row r="169" spans="1:11">
      <c r="A169">
        <v>167</v>
      </c>
      <c r="B169">
        <v>150</v>
      </c>
      <c r="C169">
        <v>4</v>
      </c>
      <c r="D169">
        <v>1</v>
      </c>
      <c r="E169">
        <v>5</v>
      </c>
      <c r="G169">
        <f t="shared" si="8"/>
        <v>-1.5080114677380649</v>
      </c>
      <c r="H169">
        <f t="shared" si="9"/>
        <v>-2.1259814609553147</v>
      </c>
      <c r="I169">
        <f t="shared" si="10"/>
        <v>-1.3945863666644498</v>
      </c>
      <c r="K169">
        <f t="shared" si="11"/>
        <v>-1.6761930984526099</v>
      </c>
    </row>
    <row r="170" spans="1:11">
      <c r="A170">
        <v>168</v>
      </c>
      <c r="B170">
        <v>69</v>
      </c>
      <c r="C170">
        <v>3</v>
      </c>
      <c r="D170">
        <v>0</v>
      </c>
      <c r="E170">
        <v>2</v>
      </c>
      <c r="G170">
        <f t="shared" si="8"/>
        <v>-1.2957080360279389</v>
      </c>
      <c r="H170" t="e">
        <f t="shared" si="9"/>
        <v>#NUM!</v>
      </c>
      <c r="I170">
        <f t="shared" si="10"/>
        <v>-1.4552842070180616</v>
      </c>
      <c r="K170" t="e">
        <f t="shared" si="11"/>
        <v>#NUM!</v>
      </c>
    </row>
    <row r="171" spans="1:11">
      <c r="A171">
        <v>169</v>
      </c>
      <c r="B171">
        <v>100</v>
      </c>
      <c r="C171">
        <v>0</v>
      </c>
      <c r="D171">
        <v>1</v>
      </c>
      <c r="E171">
        <v>4</v>
      </c>
      <c r="G171" t="e">
        <f t="shared" si="8"/>
        <v>#NUM!</v>
      </c>
      <c r="H171">
        <f t="shared" si="9"/>
        <v>-1.9498902018996336</v>
      </c>
      <c r="I171">
        <f t="shared" si="10"/>
        <v>-1.3154051206168249</v>
      </c>
      <c r="K171" t="e">
        <f t="shared" si="11"/>
        <v>#NUM!</v>
      </c>
    </row>
    <row r="172" spans="1:11">
      <c r="A172">
        <v>170</v>
      </c>
      <c r="B172">
        <v>59</v>
      </c>
      <c r="C172">
        <v>0</v>
      </c>
      <c r="D172">
        <v>4</v>
      </c>
      <c r="E172">
        <v>0</v>
      </c>
      <c r="G172" t="e">
        <f t="shared" si="8"/>
        <v>#NUM!</v>
      </c>
      <c r="H172">
        <f t="shared" si="9"/>
        <v>-1.1186822222138153</v>
      </c>
      <c r="I172" t="e">
        <f t="shared" si="10"/>
        <v>#NUM!</v>
      </c>
      <c r="K172" t="e">
        <f t="shared" si="11"/>
        <v>#NUM!</v>
      </c>
    </row>
    <row r="173" spans="1:11">
      <c r="A173">
        <v>171</v>
      </c>
      <c r="B173">
        <v>58</v>
      </c>
      <c r="C173">
        <v>1</v>
      </c>
      <c r="D173">
        <v>3</v>
      </c>
      <c r="E173">
        <v>5</v>
      </c>
      <c r="G173">
        <f t="shared" si="8"/>
        <v>-1.6974081935732834</v>
      </c>
      <c r="H173">
        <f t="shared" si="9"/>
        <v>-1.2361969407429085</v>
      </c>
      <c r="I173">
        <f t="shared" si="10"/>
        <v>-0.98192310117170567</v>
      </c>
      <c r="K173">
        <f t="shared" si="11"/>
        <v>-1.3051760784959658</v>
      </c>
    </row>
    <row r="174" spans="1:11">
      <c r="A174">
        <v>172</v>
      </c>
      <c r="B174">
        <v>118</v>
      </c>
      <c r="C174">
        <v>665</v>
      </c>
      <c r="D174">
        <v>163</v>
      </c>
      <c r="E174">
        <v>74</v>
      </c>
      <c r="G174">
        <f t="shared" si="8"/>
        <v>0.81695943798663317</v>
      </c>
      <c r="H174">
        <f t="shared" si="9"/>
        <v>0.19041539519819894</v>
      </c>
      <c r="I174">
        <f t="shared" si="10"/>
        <v>-0.12011539951993654</v>
      </c>
      <c r="K174">
        <f t="shared" si="11"/>
        <v>0.29575314455496521</v>
      </c>
    </row>
    <row r="175" spans="1:11">
      <c r="A175">
        <v>173</v>
      </c>
      <c r="B175">
        <v>71</v>
      </c>
      <c r="C175">
        <v>76</v>
      </c>
      <c r="D175">
        <v>214</v>
      </c>
      <c r="E175">
        <v>97</v>
      </c>
      <c r="G175">
        <f t="shared" si="8"/>
        <v>9.5575043551370031E-2</v>
      </c>
      <c r="H175">
        <f t="shared" si="9"/>
        <v>0.52926522273048204</v>
      </c>
      <c r="I175">
        <f t="shared" si="10"/>
        <v>0.21804827360238221</v>
      </c>
      <c r="K175">
        <f t="shared" si="11"/>
        <v>0.28096284662807808</v>
      </c>
    </row>
    <row r="176" spans="1:11">
      <c r="A176">
        <v>174</v>
      </c>
      <c r="B176">
        <v>239</v>
      </c>
      <c r="C176">
        <v>7</v>
      </c>
      <c r="D176">
        <v>10</v>
      </c>
      <c r="E176">
        <v>7</v>
      </c>
      <c r="G176">
        <f t="shared" si="8"/>
        <v>-1.4672800609442269</v>
      </c>
      <c r="H176">
        <f t="shared" si="9"/>
        <v>-1.3282881028477713</v>
      </c>
      <c r="I176">
        <f t="shared" si="10"/>
        <v>-1.4507649728786682</v>
      </c>
      <c r="K176">
        <f t="shared" si="11"/>
        <v>-1.415444378890222</v>
      </c>
    </row>
    <row r="177" spans="1:11">
      <c r="A177">
        <v>175</v>
      </c>
      <c r="B177">
        <v>96</v>
      </c>
      <c r="C177">
        <v>26</v>
      </c>
      <c r="D177">
        <v>28</v>
      </c>
      <c r="E177">
        <v>18</v>
      </c>
      <c r="G177">
        <f t="shared" si="8"/>
        <v>-0.50127808507909644</v>
      </c>
      <c r="H177">
        <f t="shared" si="9"/>
        <v>-0.48500340359698274</v>
      </c>
      <c r="I177">
        <f t="shared" si="10"/>
        <v>-0.6444638398810496</v>
      </c>
      <c r="K177">
        <f t="shared" si="11"/>
        <v>-0.54358177618570958</v>
      </c>
    </row>
    <row r="178" spans="1:11">
      <c r="A178">
        <v>176</v>
      </c>
      <c r="B178">
        <v>120</v>
      </c>
      <c r="C178">
        <v>2</v>
      </c>
      <c r="D178">
        <v>7</v>
      </c>
      <c r="E178">
        <v>0</v>
      </c>
      <c r="G178">
        <f t="shared" si="8"/>
        <v>-1.7121314503939897</v>
      </c>
      <c r="H178">
        <f t="shared" si="9"/>
        <v>-1.1839734079330015</v>
      </c>
      <c r="I178" t="e">
        <f t="shared" si="10"/>
        <v>#NUM!</v>
      </c>
      <c r="K178" t="e">
        <f t="shared" si="11"/>
        <v>#NUM!</v>
      </c>
    </row>
    <row r="179" spans="1:11">
      <c r="A179">
        <v>177</v>
      </c>
      <c r="B179">
        <v>173</v>
      </c>
      <c r="C179">
        <v>6</v>
      </c>
      <c r="D179">
        <v>2</v>
      </c>
      <c r="E179">
        <v>5</v>
      </c>
      <c r="G179">
        <f t="shared" si="8"/>
        <v>-1.3938750527554979</v>
      </c>
      <c r="H179">
        <f t="shared" si="9"/>
        <v>-1.8869063093644478</v>
      </c>
      <c r="I179">
        <f t="shared" si="10"/>
        <v>-1.4565412107375639</v>
      </c>
      <c r="K179">
        <f t="shared" si="11"/>
        <v>-1.5791075242858366</v>
      </c>
    </row>
    <row r="180" spans="1:11">
      <c r="A180">
        <v>178</v>
      </c>
      <c r="B180">
        <v>116</v>
      </c>
      <c r="C180">
        <v>0</v>
      </c>
      <c r="D180">
        <v>0</v>
      </c>
      <c r="E180">
        <v>2</v>
      </c>
      <c r="G180" t="e">
        <f t="shared" si="8"/>
        <v>#NUM!</v>
      </c>
      <c r="H180" t="e">
        <f t="shared" si="9"/>
        <v>#NUM!</v>
      </c>
      <c r="I180">
        <f t="shared" si="10"/>
        <v>-1.6808931055077247</v>
      </c>
      <c r="K180" t="e">
        <f t="shared" si="11"/>
        <v>#NUM!</v>
      </c>
    </row>
    <row r="181" spans="1:11">
      <c r="A181">
        <v>179</v>
      </c>
      <c r="B181">
        <v>256</v>
      </c>
      <c r="C181">
        <v>7</v>
      </c>
      <c r="D181">
        <v>9</v>
      </c>
      <c r="E181">
        <v>1</v>
      </c>
      <c r="G181">
        <f t="shared" si="8"/>
        <v>-1.4971221253079388</v>
      </c>
      <c r="H181">
        <f t="shared" si="9"/>
        <v>-1.4038876577721582</v>
      </c>
      <c r="I181">
        <f t="shared" si="10"/>
        <v>-2.3257050772566368</v>
      </c>
      <c r="K181">
        <f t="shared" si="11"/>
        <v>-1.7422382867789112</v>
      </c>
    </row>
    <row r="182" spans="1:11">
      <c r="A182">
        <v>180</v>
      </c>
      <c r="B182">
        <v>60</v>
      </c>
      <c r="C182">
        <v>5</v>
      </c>
      <c r="D182">
        <v>1</v>
      </c>
      <c r="E182">
        <v>2</v>
      </c>
      <c r="G182">
        <f t="shared" si="8"/>
        <v>-1.013161446057971</v>
      </c>
      <c r="H182">
        <f t="shared" si="9"/>
        <v>-1.7280414522832772</v>
      </c>
      <c r="I182">
        <f t="shared" si="10"/>
        <v>-1.3945863666644498</v>
      </c>
      <c r="K182">
        <f t="shared" si="11"/>
        <v>-1.378596421668566</v>
      </c>
    </row>
    <row r="183" spans="1:11">
      <c r="A183">
        <v>181</v>
      </c>
      <c r="B183">
        <v>105</v>
      </c>
      <c r="C183">
        <v>81</v>
      </c>
      <c r="D183">
        <v>87</v>
      </c>
      <c r="E183">
        <v>121</v>
      </c>
      <c r="G183">
        <f t="shared" si="8"/>
        <v>-4.6684480201634307E-2</v>
      </c>
      <c r="H183">
        <f t="shared" si="9"/>
        <v>-3.156024835095303E-2</v>
      </c>
      <c r="I183">
        <f t="shared" si="10"/>
        <v>0.14413095930172462</v>
      </c>
      <c r="K183">
        <f t="shared" si="11"/>
        <v>2.1962076916379095E-2</v>
      </c>
    </row>
    <row r="184" spans="1:11">
      <c r="A184">
        <v>182</v>
      </c>
      <c r="B184">
        <v>226</v>
      </c>
      <c r="C184">
        <v>1</v>
      </c>
      <c r="D184">
        <v>8</v>
      </c>
      <c r="E184">
        <v>17</v>
      </c>
      <c r="G184">
        <f t="shared" si="8"/>
        <v>-2.2880886391577469</v>
      </c>
      <c r="H184">
        <f t="shared" si="9"/>
        <v>-1.400908654055091</v>
      </c>
      <c r="I184">
        <f t="shared" si="10"/>
        <v>-1.0411246297139143</v>
      </c>
      <c r="K184">
        <f t="shared" si="11"/>
        <v>-1.5767073076422509</v>
      </c>
    </row>
    <row r="185" spans="1:11">
      <c r="A185">
        <v>183</v>
      </c>
      <c r="B185">
        <v>231</v>
      </c>
      <c r="C185">
        <v>6</v>
      </c>
      <c r="D185">
        <v>12</v>
      </c>
      <c r="E185">
        <v>6</v>
      </c>
      <c r="G185">
        <f t="shared" si="8"/>
        <v>-1.5194409295188467</v>
      </c>
      <c r="H185">
        <f t="shared" si="9"/>
        <v>-1.2343209357441531</v>
      </c>
      <c r="I185">
        <f t="shared" si="10"/>
        <v>-1.502925841453288</v>
      </c>
      <c r="K185">
        <f t="shared" si="11"/>
        <v>-1.4188959022387626</v>
      </c>
    </row>
    <row r="186" spans="1:11">
      <c r="A186">
        <v>184</v>
      </c>
      <c r="B186">
        <v>139</v>
      </c>
      <c r="C186">
        <v>3</v>
      </c>
      <c r="D186">
        <v>3</v>
      </c>
      <c r="E186">
        <v>4</v>
      </c>
      <c r="G186">
        <f t="shared" si="8"/>
        <v>-1.5998737455447787</v>
      </c>
      <c r="H186">
        <f t="shared" si="9"/>
        <v>-1.6157837474340662</v>
      </c>
      <c r="I186">
        <f t="shared" si="10"/>
        <v>-1.4584199208709201</v>
      </c>
      <c r="K186">
        <f t="shared" si="11"/>
        <v>-1.5580258046165882</v>
      </c>
    </row>
    <row r="187" spans="1:11">
      <c r="A187">
        <v>185</v>
      </c>
      <c r="B187">
        <v>220</v>
      </c>
      <c r="C187">
        <v>7</v>
      </c>
      <c r="D187">
        <v>15</v>
      </c>
      <c r="E187">
        <v>19</v>
      </c>
      <c r="G187">
        <f t="shared" si="8"/>
        <v>-1.4313048408182956</v>
      </c>
      <c r="H187">
        <f t="shared" si="9"/>
        <v>-1.1162216236661586</v>
      </c>
      <c r="I187">
        <f t="shared" si="10"/>
        <v>-0.98113419181416461</v>
      </c>
      <c r="K187">
        <f t="shared" si="11"/>
        <v>-1.1762202187662061</v>
      </c>
    </row>
    <row r="188" spans="1:11">
      <c r="A188">
        <v>186</v>
      </c>
      <c r="B188">
        <v>189</v>
      </c>
      <c r="C188">
        <v>8</v>
      </c>
      <c r="D188">
        <v>14</v>
      </c>
      <c r="E188">
        <v>9</v>
      </c>
      <c r="G188">
        <f t="shared" si="8"/>
        <v>-1.3073520171916466</v>
      </c>
      <c r="H188">
        <f t="shared" si="9"/>
        <v>-1.0802239703946397</v>
      </c>
      <c r="I188">
        <f t="shared" si="10"/>
        <v>-1.2396844066787067</v>
      </c>
      <c r="K188">
        <f t="shared" si="11"/>
        <v>-1.2090867980883311</v>
      </c>
    </row>
    <row r="189" spans="1:11">
      <c r="A189">
        <v>187</v>
      </c>
      <c r="B189">
        <v>168</v>
      </c>
      <c r="C189">
        <v>7</v>
      </c>
      <c r="D189">
        <v>14</v>
      </c>
      <c r="E189">
        <v>8</v>
      </c>
      <c r="G189">
        <f t="shared" si="8"/>
        <v>-1.3141914417219522</v>
      </c>
      <c r="H189">
        <f t="shared" si="9"/>
        <v>-1.0290714479472585</v>
      </c>
      <c r="I189">
        <f t="shared" si="10"/>
        <v>-1.2396844066787067</v>
      </c>
      <c r="K189">
        <f t="shared" si="11"/>
        <v>-1.1943157654493057</v>
      </c>
    </row>
    <row r="190" spans="1:11">
      <c r="A190">
        <v>188</v>
      </c>
      <c r="B190">
        <v>103</v>
      </c>
      <c r="C190">
        <v>2</v>
      </c>
      <c r="D190">
        <v>4</v>
      </c>
      <c r="E190">
        <v>4</v>
      </c>
      <c r="G190">
        <f t="shared" si="8"/>
        <v>-1.6457874290515371</v>
      </c>
      <c r="H190">
        <f t="shared" si="9"/>
        <v>-1.3606674352768435</v>
      </c>
      <c r="I190">
        <f t="shared" si="10"/>
        <v>-1.3282423453219974</v>
      </c>
      <c r="K190">
        <f t="shared" si="11"/>
        <v>-1.4448990698834594</v>
      </c>
    </row>
    <row r="191" spans="1:11">
      <c r="A191">
        <v>189</v>
      </c>
      <c r="B191">
        <v>53</v>
      </c>
      <c r="C191">
        <v>4</v>
      </c>
      <c r="D191">
        <v>19</v>
      </c>
      <c r="E191">
        <v>10</v>
      </c>
      <c r="G191">
        <f t="shared" si="8"/>
        <v>-1.0561960782831727</v>
      </c>
      <c r="H191">
        <f t="shared" si="9"/>
        <v>-0.39541247054759365</v>
      </c>
      <c r="I191">
        <f t="shared" si="10"/>
        <v>-0.64174098154557635</v>
      </c>
      <c r="K191">
        <f t="shared" si="11"/>
        <v>-0.69778317679211421</v>
      </c>
    </row>
    <row r="192" spans="1:11">
      <c r="A192">
        <v>190</v>
      </c>
      <c r="B192">
        <v>53</v>
      </c>
      <c r="C192">
        <v>28</v>
      </c>
      <c r="D192">
        <v>22</v>
      </c>
      <c r="E192">
        <v>21</v>
      </c>
      <c r="G192">
        <f t="shared" si="8"/>
        <v>-0.21109803826891582</v>
      </c>
      <c r="H192">
        <f t="shared" si="9"/>
        <v>-0.33174339067821629</v>
      </c>
      <c r="I192">
        <f t="shared" si="10"/>
        <v>-0.3195216868116571</v>
      </c>
      <c r="K192">
        <f t="shared" si="11"/>
        <v>-0.28745437191959639</v>
      </c>
    </row>
    <row r="193" spans="1:11">
      <c r="A193">
        <v>191</v>
      </c>
      <c r="B193">
        <v>258</v>
      </c>
      <c r="C193">
        <v>745</v>
      </c>
      <c r="D193">
        <v>4178</v>
      </c>
      <c r="E193">
        <v>256</v>
      </c>
      <c r="G193">
        <f t="shared" si="8"/>
        <v>0.52655636677471662</v>
      </c>
      <c r="H193">
        <f t="shared" si="9"/>
        <v>1.2594585277814261</v>
      </c>
      <c r="I193">
        <f t="shared" si="10"/>
        <v>7.9155147403832046E-2</v>
      </c>
      <c r="K193">
        <f t="shared" si="11"/>
        <v>0.62172334731999157</v>
      </c>
    </row>
    <row r="194" spans="1:11">
      <c r="A194">
        <v>192</v>
      </c>
      <c r="B194">
        <v>184</v>
      </c>
      <c r="C194">
        <v>5</v>
      </c>
      <c r="D194">
        <v>8</v>
      </c>
      <c r="E194">
        <v>2</v>
      </c>
      <c r="G194">
        <f t="shared" si="8"/>
        <v>-1.4998280186838637</v>
      </c>
      <c r="H194">
        <f t="shared" si="9"/>
        <v>-1.3116180379172264</v>
      </c>
      <c r="I194">
        <f t="shared" si="10"/>
        <v>-1.8812529392903428</v>
      </c>
      <c r="K194">
        <f t="shared" si="11"/>
        <v>-1.5642329986304777</v>
      </c>
    </row>
    <row r="195" spans="1:11">
      <c r="A195">
        <v>193</v>
      </c>
      <c r="B195">
        <v>149</v>
      </c>
      <c r="C195">
        <v>4</v>
      </c>
      <c r="D195">
        <v>1</v>
      </c>
      <c r="E195">
        <v>3</v>
      </c>
      <c r="G195">
        <f t="shared" ref="G195:G258" si="12">LOG10(C195/B195)-LOG10(134/156)</f>
        <v>-1.5051064770946578</v>
      </c>
      <c r="H195">
        <f t="shared" ref="H195:H258" si="13">LOG10(D195/B195)-LOG10(139/156)</f>
        <v>-2.1230764703119074</v>
      </c>
      <c r="I195">
        <f t="shared" ref="I195:I258" si="14">LOG10(E195/B195)-LOG10(129/156)</f>
        <v>-1.6135301256373991</v>
      </c>
      <c r="K195">
        <f t="shared" ref="K195:K258" si="15">AVERAGE(G195:I195)</f>
        <v>-1.7472376910146548</v>
      </c>
    </row>
    <row r="196" spans="1:11">
      <c r="A196">
        <v>194</v>
      </c>
      <c r="B196">
        <v>42</v>
      </c>
      <c r="C196">
        <v>36</v>
      </c>
      <c r="D196">
        <v>21</v>
      </c>
      <c r="E196">
        <v>20</v>
      </c>
      <c r="G196">
        <f t="shared" si="12"/>
        <v>-9.2698964095921932E-4</v>
      </c>
      <c r="H196">
        <f t="shared" si="13"/>
        <v>-0.25092019756361472</v>
      </c>
      <c r="I196">
        <f t="shared" si="14"/>
        <v>-0.23968440667870666</v>
      </c>
      <c r="K196">
        <f t="shared" si="15"/>
        <v>-0.16384386462776021</v>
      </c>
    </row>
    <row r="197" spans="1:11">
      <c r="A197">
        <v>195</v>
      </c>
      <c r="B197">
        <v>54</v>
      </c>
      <c r="C197">
        <v>3</v>
      </c>
      <c r="D197">
        <v>1</v>
      </c>
      <c r="E197">
        <v>2</v>
      </c>
      <c r="G197">
        <f t="shared" si="12"/>
        <v>-1.1892527051136521</v>
      </c>
      <c r="H197">
        <f t="shared" si="13"/>
        <v>-1.6822839617226022</v>
      </c>
      <c r="I197">
        <f t="shared" si="14"/>
        <v>-1.3488288761037748</v>
      </c>
      <c r="K197">
        <f t="shared" si="15"/>
        <v>-1.406788514313343</v>
      </c>
    </row>
    <row r="198" spans="1:11">
      <c r="A198">
        <v>196</v>
      </c>
      <c r="B198">
        <v>109</v>
      </c>
      <c r="C198">
        <v>0</v>
      </c>
      <c r="D198">
        <v>2</v>
      </c>
      <c r="E198">
        <v>1</v>
      </c>
      <c r="G198" t="e">
        <f t="shared" si="12"/>
        <v>#NUM!</v>
      </c>
      <c r="H198">
        <f t="shared" si="13"/>
        <v>-1.6862867041762759</v>
      </c>
      <c r="I198">
        <f t="shared" si="14"/>
        <v>-1.9548916098854112</v>
      </c>
      <c r="K198" t="e">
        <f t="shared" si="15"/>
        <v>#NUM!</v>
      </c>
    </row>
    <row r="199" spans="1:11">
      <c r="A199">
        <v>197</v>
      </c>
      <c r="B199">
        <v>89</v>
      </c>
      <c r="C199">
        <v>1847</v>
      </c>
      <c r="D199">
        <v>157</v>
      </c>
      <c r="E199">
        <v>354</v>
      </c>
      <c r="G199">
        <f t="shared" si="12"/>
        <v>1.3830966887849825</v>
      </c>
      <c r="H199">
        <f t="shared" si="13"/>
        <v>0.29661944386468747</v>
      </c>
      <c r="I199">
        <f t="shared" si="14"/>
        <v>0.68214814343608776</v>
      </c>
      <c r="K199">
        <f t="shared" si="15"/>
        <v>0.78728809202858585</v>
      </c>
    </row>
    <row r="200" spans="1:11">
      <c r="A200">
        <v>198</v>
      </c>
      <c r="B200">
        <v>55</v>
      </c>
      <c r="C200">
        <v>35</v>
      </c>
      <c r="D200">
        <v>83</v>
      </c>
      <c r="E200">
        <v>89</v>
      </c>
      <c r="G200">
        <f t="shared" si="12"/>
        <v>-0.1302748451543142</v>
      </c>
      <c r="H200">
        <f t="shared" si="13"/>
        <v>0.22882520098219655</v>
      </c>
      <c r="I200">
        <f t="shared" si="14"/>
        <v>0.29156220520588161</v>
      </c>
      <c r="K200">
        <f t="shared" si="15"/>
        <v>0.13003752034458799</v>
      </c>
    </row>
    <row r="201" spans="1:11">
      <c r="A201">
        <v>199</v>
      </c>
      <c r="B201">
        <v>320</v>
      </c>
      <c r="C201">
        <v>7</v>
      </c>
      <c r="D201">
        <v>5</v>
      </c>
      <c r="E201">
        <v>7</v>
      </c>
      <c r="G201">
        <f t="shared" si="12"/>
        <v>-1.5940321383159952</v>
      </c>
      <c r="H201">
        <f t="shared" si="13"/>
        <v>-1.7560701758835207</v>
      </c>
      <c r="I201">
        <f t="shared" si="14"/>
        <v>-1.5775170502504365</v>
      </c>
      <c r="K201">
        <f t="shared" si="15"/>
        <v>-1.6425397881499844</v>
      </c>
    </row>
    <row r="202" spans="1:11">
      <c r="A202">
        <v>200</v>
      </c>
      <c r="B202">
        <v>71</v>
      </c>
      <c r="C202">
        <v>88</v>
      </c>
      <c r="D202">
        <v>367</v>
      </c>
      <c r="E202">
        <v>100</v>
      </c>
      <c r="G202">
        <f t="shared" si="12"/>
        <v>0.15924412342074731</v>
      </c>
      <c r="H202">
        <f t="shared" si="13"/>
        <v>0.76351751363338061</v>
      </c>
      <c r="I202">
        <f t="shared" si="14"/>
        <v>0.23127653933613734</v>
      </c>
      <c r="K202">
        <f t="shared" si="15"/>
        <v>0.38467939213008845</v>
      </c>
    </row>
    <row r="203" spans="1:11">
      <c r="A203">
        <v>201</v>
      </c>
      <c r="B203">
        <v>45</v>
      </c>
      <c r="C203">
        <v>1</v>
      </c>
      <c r="D203">
        <v>1</v>
      </c>
      <c r="E203">
        <v>2</v>
      </c>
      <c r="G203">
        <f t="shared" si="12"/>
        <v>-1.5871927137856898</v>
      </c>
      <c r="H203">
        <f t="shared" si="13"/>
        <v>-1.6031027156749773</v>
      </c>
      <c r="I203">
        <f t="shared" si="14"/>
        <v>-1.2696476300561499</v>
      </c>
      <c r="K203">
        <f t="shared" si="15"/>
        <v>-1.4866476865056057</v>
      </c>
    </row>
    <row r="204" spans="1:11">
      <c r="A204">
        <v>202</v>
      </c>
      <c r="B204">
        <v>97</v>
      </c>
      <c r="C204">
        <v>0</v>
      </c>
      <c r="D204">
        <v>4</v>
      </c>
      <c r="E204">
        <v>3</v>
      </c>
      <c r="G204" t="e">
        <f t="shared" si="12"/>
        <v>#NUM!</v>
      </c>
      <c r="H204">
        <f t="shared" si="13"/>
        <v>-1.3346019448379161</v>
      </c>
      <c r="I204">
        <f t="shared" si="14"/>
        <v>-1.4271155914913698</v>
      </c>
      <c r="K204" t="e">
        <f t="shared" si="15"/>
        <v>#NUM!</v>
      </c>
    </row>
    <row r="205" spans="1:11">
      <c r="A205">
        <v>203</v>
      </c>
      <c r="B205">
        <v>105</v>
      </c>
      <c r="C205">
        <v>0</v>
      </c>
      <c r="D205">
        <v>2</v>
      </c>
      <c r="E205">
        <v>1</v>
      </c>
      <c r="G205" t="e">
        <f t="shared" si="12"/>
        <v>#NUM!</v>
      </c>
      <c r="H205">
        <f t="shared" si="13"/>
        <v>-1.6700495053055904</v>
      </c>
      <c r="I205">
        <f t="shared" si="14"/>
        <v>-1.9386544110147252</v>
      </c>
      <c r="K205" t="e">
        <f t="shared" si="15"/>
        <v>#NUM!</v>
      </c>
    </row>
    <row r="206" spans="1:11">
      <c r="A206">
        <v>204</v>
      </c>
      <c r="B206">
        <v>104</v>
      </c>
      <c r="C206">
        <v>5</v>
      </c>
      <c r="D206">
        <v>0</v>
      </c>
      <c r="E206">
        <v>1</v>
      </c>
      <c r="G206">
        <f t="shared" si="12"/>
        <v>-1.2520435349731076</v>
      </c>
      <c r="H206" t="e">
        <f t="shared" si="13"/>
        <v>#NUM!</v>
      </c>
      <c r="I206">
        <f t="shared" si="14"/>
        <v>-1.9344984512435677</v>
      </c>
      <c r="K206" t="e">
        <f t="shared" si="15"/>
        <v>#NUM!</v>
      </c>
    </row>
    <row r="207" spans="1:11">
      <c r="A207">
        <v>205</v>
      </c>
      <c r="B207">
        <v>49</v>
      </c>
      <c r="C207">
        <v>132</v>
      </c>
      <c r="D207">
        <v>386</v>
      </c>
      <c r="E207">
        <v>342</v>
      </c>
      <c r="G207">
        <f t="shared" si="12"/>
        <v>0.49639765116699019</v>
      </c>
      <c r="H207">
        <f t="shared" si="13"/>
        <v>0.94650102274360781</v>
      </c>
      <c r="I207">
        <f t="shared" si="14"/>
        <v>0.92636491408283406</v>
      </c>
      <c r="K207">
        <f t="shared" si="15"/>
        <v>0.78975452933114398</v>
      </c>
    </row>
    <row r="208" spans="1:11">
      <c r="A208">
        <v>206</v>
      </c>
      <c r="B208">
        <v>120</v>
      </c>
      <c r="C208">
        <v>9</v>
      </c>
      <c r="D208">
        <v>6</v>
      </c>
      <c r="E208">
        <v>4</v>
      </c>
      <c r="G208">
        <f t="shared" si="12"/>
        <v>-1.058918936618646</v>
      </c>
      <c r="H208">
        <f t="shared" si="13"/>
        <v>-1.2509201975636148</v>
      </c>
      <c r="I208">
        <f t="shared" si="14"/>
        <v>-1.3945863666644498</v>
      </c>
      <c r="K208">
        <f t="shared" si="15"/>
        <v>-1.2348085002822369</v>
      </c>
    </row>
    <row r="209" spans="1:11">
      <c r="A209">
        <v>207</v>
      </c>
      <c r="B209">
        <v>343</v>
      </c>
      <c r="C209">
        <v>27</v>
      </c>
      <c r="D209">
        <v>39</v>
      </c>
      <c r="E209">
        <v>33</v>
      </c>
      <c r="G209">
        <f t="shared" si="12"/>
        <v>-1.0379105558941293</v>
      </c>
      <c r="H209">
        <f t="shared" si="13"/>
        <v>-0.89411971491590481</v>
      </c>
      <c r="I209">
        <f t="shared" si="14"/>
        <v>-0.93424529210967033</v>
      </c>
      <c r="K209">
        <f t="shared" si="15"/>
        <v>-0.95542518763990147</v>
      </c>
    </row>
    <row r="210" spans="1:11">
      <c r="A210">
        <v>208</v>
      </c>
      <c r="B210">
        <v>125</v>
      </c>
      <c r="C210">
        <v>1</v>
      </c>
      <c r="D210">
        <v>11</v>
      </c>
      <c r="E210">
        <v>4</v>
      </c>
      <c r="G210">
        <f t="shared" si="12"/>
        <v>-2.0308902130184023</v>
      </c>
      <c r="H210">
        <f t="shared" si="13"/>
        <v>-1.0054075297494649</v>
      </c>
      <c r="I210">
        <f t="shared" si="14"/>
        <v>-1.4123151336248814</v>
      </c>
      <c r="K210">
        <f t="shared" si="15"/>
        <v>-1.4828709587975828</v>
      </c>
    </row>
    <row r="211" spans="1:11">
      <c r="A211">
        <v>209</v>
      </c>
      <c r="B211">
        <v>15</v>
      </c>
      <c r="C211">
        <v>2</v>
      </c>
      <c r="D211">
        <v>0</v>
      </c>
      <c r="E211">
        <v>1</v>
      </c>
      <c r="G211">
        <f t="shared" si="12"/>
        <v>-0.80904146340204608</v>
      </c>
      <c r="H211" t="e">
        <f t="shared" si="13"/>
        <v>#NUM!</v>
      </c>
      <c r="I211">
        <f t="shared" si="14"/>
        <v>-1.0935563710004688</v>
      </c>
      <c r="K211" t="e">
        <f t="shared" si="15"/>
        <v>#NUM!</v>
      </c>
    </row>
    <row r="212" spans="1:11">
      <c r="A212">
        <v>210</v>
      </c>
      <c r="B212">
        <v>40</v>
      </c>
      <c r="C212">
        <v>2</v>
      </c>
      <c r="D212">
        <v>15</v>
      </c>
      <c r="E212">
        <v>8</v>
      </c>
      <c r="G212">
        <f t="shared" si="12"/>
        <v>-1.2350101956743273</v>
      </c>
      <c r="H212">
        <f t="shared" si="13"/>
        <v>-0.37585893417191468</v>
      </c>
      <c r="I212">
        <f t="shared" si="14"/>
        <v>-0.61643511628080605</v>
      </c>
      <c r="K212">
        <f t="shared" si="15"/>
        <v>-0.74243474870901605</v>
      </c>
    </row>
    <row r="213" spans="1:11">
      <c r="A213">
        <v>211</v>
      </c>
      <c r="B213">
        <v>70</v>
      </c>
      <c r="C213">
        <v>196</v>
      </c>
      <c r="D213">
        <v>106</v>
      </c>
      <c r="E213">
        <v>302</v>
      </c>
      <c r="G213">
        <f t="shared" si="12"/>
        <v>0.51317783133187322</v>
      </c>
      <c r="H213">
        <f t="shared" si="13"/>
        <v>0.23031762335087991</v>
      </c>
      <c r="I213">
        <f t="shared" si="14"/>
        <v>0.71744379099810651</v>
      </c>
      <c r="K213">
        <f t="shared" si="15"/>
        <v>0.48697974856028653</v>
      </c>
    </row>
    <row r="214" spans="1:11">
      <c r="A214">
        <v>212</v>
      </c>
      <c r="B214">
        <v>70</v>
      </c>
      <c r="C214">
        <v>157</v>
      </c>
      <c r="D214">
        <v>133</v>
      </c>
      <c r="E214">
        <v>258</v>
      </c>
      <c r="G214">
        <f t="shared" si="12"/>
        <v>0.41682141238463094</v>
      </c>
      <c r="H214">
        <f t="shared" si="13"/>
        <v>0.32886339905319539</v>
      </c>
      <c r="I214">
        <f t="shared" si="14"/>
        <v>0.64905655400418605</v>
      </c>
      <c r="K214">
        <f t="shared" si="15"/>
        <v>0.46491378848067083</v>
      </c>
    </row>
    <row r="215" spans="1:11">
      <c r="A215">
        <v>213</v>
      </c>
      <c r="B215">
        <v>70</v>
      </c>
      <c r="C215">
        <v>14</v>
      </c>
      <c r="D215">
        <v>61</v>
      </c>
      <c r="E215">
        <v>51</v>
      </c>
      <c r="G215">
        <f t="shared" si="12"/>
        <v>-0.63295020434636473</v>
      </c>
      <c r="H215">
        <f t="shared" si="13"/>
        <v>-9.6584069031232997E-3</v>
      </c>
      <c r="I215">
        <f t="shared" si="14"/>
        <v>-5.4992975861107837E-2</v>
      </c>
      <c r="K215">
        <f t="shared" si="15"/>
        <v>-0.2325338623701986</v>
      </c>
    </row>
    <row r="216" spans="1:11">
      <c r="A216">
        <v>214</v>
      </c>
      <c r="B216">
        <v>117</v>
      </c>
      <c r="C216">
        <v>11</v>
      </c>
      <c r="D216">
        <v>4</v>
      </c>
      <c r="E216">
        <v>12</v>
      </c>
      <c r="G216">
        <f t="shared" si="12"/>
        <v>-0.96077337659828255</v>
      </c>
      <c r="H216">
        <f t="shared" si="13"/>
        <v>-1.4160160723178328</v>
      </c>
      <c r="I216">
        <f t="shared" si="14"/>
        <v>-0.90646972764332412</v>
      </c>
      <c r="K216">
        <f t="shared" si="15"/>
        <v>-1.0944197255198131</v>
      </c>
    </row>
    <row r="217" spans="1:11">
      <c r="A217">
        <v>215</v>
      </c>
      <c r="B217">
        <v>266</v>
      </c>
      <c r="C217">
        <v>9</v>
      </c>
      <c r="D217">
        <v>8</v>
      </c>
      <c r="E217">
        <v>7</v>
      </c>
      <c r="G217">
        <f t="shared" si="12"/>
        <v>-1.4046193272020882</v>
      </c>
      <c r="H217">
        <f t="shared" si="13"/>
        <v>-1.4716818515387571</v>
      </c>
      <c r="I217">
        <f t="shared" si="14"/>
        <v>-1.4972487085615975</v>
      </c>
      <c r="K217">
        <f t="shared" si="15"/>
        <v>-1.4578499624341477</v>
      </c>
    </row>
    <row r="218" spans="1:11">
      <c r="A218">
        <v>216</v>
      </c>
      <c r="B218">
        <v>113</v>
      </c>
      <c r="C218">
        <v>5</v>
      </c>
      <c r="D218">
        <v>8</v>
      </c>
      <c r="E218">
        <v>4</v>
      </c>
      <c r="G218">
        <f t="shared" si="12"/>
        <v>-1.2880886391577471</v>
      </c>
      <c r="H218">
        <f t="shared" si="13"/>
        <v>-1.0998786583911098</v>
      </c>
      <c r="I218">
        <f t="shared" si="14"/>
        <v>-1.3684835641002449</v>
      </c>
      <c r="K218">
        <f t="shared" si="15"/>
        <v>-1.2521502872163672</v>
      </c>
    </row>
    <row r="219" spans="1:11">
      <c r="A219">
        <v>217</v>
      </c>
      <c r="B219">
        <v>166</v>
      </c>
      <c r="C219">
        <v>14</v>
      </c>
      <c r="D219">
        <v>11</v>
      </c>
      <c r="E219">
        <v>12</v>
      </c>
      <c r="G219">
        <f t="shared" si="12"/>
        <v>-1.0079602523721631</v>
      </c>
      <c r="H219">
        <f t="shared" si="13"/>
        <v>-1.1286056047814637</v>
      </c>
      <c r="I219">
        <f t="shared" si="14"/>
        <v>-1.0583919539372177</v>
      </c>
      <c r="K219">
        <f t="shared" si="15"/>
        <v>-1.0649859370302817</v>
      </c>
    </row>
    <row r="220" spans="1:11">
      <c r="A220">
        <v>218</v>
      </c>
      <c r="B220">
        <v>46</v>
      </c>
      <c r="C220">
        <v>0</v>
      </c>
      <c r="D220">
        <v>0</v>
      </c>
      <c r="E220">
        <v>0</v>
      </c>
      <c r="G220" t="e">
        <f t="shared" si="12"/>
        <v>#NUM!</v>
      </c>
      <c r="H220" t="e">
        <f t="shared" si="13"/>
        <v>#NUM!</v>
      </c>
      <c r="I220" t="e">
        <f t="shared" si="14"/>
        <v>#NUM!</v>
      </c>
      <c r="K220" t="e">
        <f t="shared" si="15"/>
        <v>#NUM!</v>
      </c>
    </row>
    <row r="221" spans="1:11">
      <c r="A221">
        <v>219</v>
      </c>
      <c r="B221">
        <v>39</v>
      </c>
      <c r="C221">
        <v>0</v>
      </c>
      <c r="D221">
        <v>0</v>
      </c>
      <c r="E221">
        <v>2</v>
      </c>
      <c r="G221" t="e">
        <f t="shared" si="12"/>
        <v>#NUM!</v>
      </c>
      <c r="H221" t="e">
        <f t="shared" si="13"/>
        <v>#NUM!</v>
      </c>
      <c r="I221">
        <f t="shared" si="14"/>
        <v>-1.2074997233073055</v>
      </c>
      <c r="K221" t="e">
        <f t="shared" si="15"/>
        <v>#NUM!</v>
      </c>
    </row>
    <row r="222" spans="1:11">
      <c r="A222">
        <v>220</v>
      </c>
      <c r="B222">
        <v>106</v>
      </c>
      <c r="C222">
        <v>7</v>
      </c>
      <c r="D222">
        <v>10</v>
      </c>
      <c r="E222">
        <v>3</v>
      </c>
      <c r="G222">
        <f t="shared" si="12"/>
        <v>-1.1141880252608596</v>
      </c>
      <c r="H222">
        <f t="shared" si="13"/>
        <v>-0.97519606716440366</v>
      </c>
      <c r="I222">
        <f t="shared" si="14"/>
        <v>-1.4656497224898952</v>
      </c>
      <c r="K222">
        <f t="shared" si="15"/>
        <v>-1.185011271638386</v>
      </c>
    </row>
    <row r="223" spans="1:11">
      <c r="A223">
        <v>221</v>
      </c>
      <c r="B223">
        <v>18</v>
      </c>
      <c r="C223">
        <v>0</v>
      </c>
      <c r="D223">
        <v>1</v>
      </c>
      <c r="E223">
        <v>2</v>
      </c>
      <c r="G223" t="e">
        <f t="shared" si="12"/>
        <v>#NUM!</v>
      </c>
      <c r="H223">
        <f t="shared" si="13"/>
        <v>-1.2051627070029396</v>
      </c>
      <c r="I223">
        <f t="shared" si="14"/>
        <v>-0.87170762138411217</v>
      </c>
      <c r="K223" t="e">
        <f t="shared" si="15"/>
        <v>#NUM!</v>
      </c>
    </row>
    <row r="224" spans="1:11">
      <c r="A224">
        <v>222</v>
      </c>
      <c r="B224">
        <v>76</v>
      </c>
      <c r="C224">
        <v>0</v>
      </c>
      <c r="D224">
        <v>1</v>
      </c>
      <c r="E224">
        <v>0</v>
      </c>
      <c r="G224" t="e">
        <f t="shared" si="12"/>
        <v>#NUM!</v>
      </c>
      <c r="H224">
        <f t="shared" si="13"/>
        <v>-1.8307037941804249</v>
      </c>
      <c r="I224" t="e">
        <f t="shared" si="14"/>
        <v>#NUM!</v>
      </c>
      <c r="K224" t="e">
        <f t="shared" si="15"/>
        <v>#NUM!</v>
      </c>
    </row>
    <row r="225" spans="1:11">
      <c r="A225">
        <v>223</v>
      </c>
      <c r="B225">
        <v>271</v>
      </c>
      <c r="C225">
        <v>0</v>
      </c>
      <c r="D225">
        <v>2</v>
      </c>
      <c r="E225">
        <v>3</v>
      </c>
      <c r="G225" t="e">
        <f t="shared" si="12"/>
        <v>#NUM!</v>
      </c>
      <c r="H225">
        <f t="shared" si="13"/>
        <v>-2.0818294971100579</v>
      </c>
      <c r="I225">
        <f t="shared" si="14"/>
        <v>-1.8733131480995306</v>
      </c>
      <c r="K225" t="e">
        <f t="shared" si="15"/>
        <v>#NUM!</v>
      </c>
    </row>
    <row r="226" spans="1:11">
      <c r="A226">
        <v>224</v>
      </c>
      <c r="B226">
        <v>63</v>
      </c>
      <c r="C226">
        <v>23</v>
      </c>
      <c r="D226">
        <v>27</v>
      </c>
      <c r="E226">
        <v>9</v>
      </c>
      <c r="G226">
        <f t="shared" si="12"/>
        <v>-0.37159291344633483</v>
      </c>
      <c r="H226">
        <f t="shared" si="13"/>
        <v>-0.31786698719422796</v>
      </c>
      <c r="I226">
        <f t="shared" si="14"/>
        <v>-0.76256315195904412</v>
      </c>
      <c r="K226">
        <f t="shared" si="15"/>
        <v>-0.484007684199869</v>
      </c>
    </row>
    <row r="227" spans="1:11">
      <c r="A227">
        <v>225</v>
      </c>
      <c r="B227">
        <v>168</v>
      </c>
      <c r="C227">
        <v>2</v>
      </c>
      <c r="D227">
        <v>7</v>
      </c>
      <c r="E227">
        <v>2</v>
      </c>
      <c r="G227">
        <f t="shared" si="12"/>
        <v>-1.8582594860722277</v>
      </c>
      <c r="H227">
        <f t="shared" si="13"/>
        <v>-1.3301014436112397</v>
      </c>
      <c r="I227">
        <f t="shared" si="14"/>
        <v>-1.841744398006669</v>
      </c>
      <c r="K227">
        <f t="shared" si="15"/>
        <v>-1.676701775896712</v>
      </c>
    </row>
    <row r="228" spans="1:11">
      <c r="A228">
        <v>226</v>
      </c>
      <c r="B228">
        <v>160</v>
      </c>
      <c r="C228">
        <v>237</v>
      </c>
      <c r="D228">
        <v>247</v>
      </c>
      <c r="E228">
        <v>183</v>
      </c>
      <c r="G228">
        <f t="shared" si="12"/>
        <v>0.2366481633438331</v>
      </c>
      <c r="H228">
        <f t="shared" si="13"/>
        <v>0.23868676870410743</v>
      </c>
      <c r="I228">
        <f t="shared" si="14"/>
        <v>0.14086599512971737</v>
      </c>
      <c r="K228">
        <f t="shared" si="15"/>
        <v>0.20540030905921927</v>
      </c>
    </row>
    <row r="229" spans="1:11">
      <c r="A229">
        <v>227</v>
      </c>
      <c r="B229">
        <v>104</v>
      </c>
      <c r="C229">
        <v>47</v>
      </c>
      <c r="D229">
        <v>147</v>
      </c>
      <c r="E229">
        <v>57</v>
      </c>
      <c r="G229">
        <f t="shared" si="12"/>
        <v>-0.27891568137340889</v>
      </c>
      <c r="H229">
        <f t="shared" si="13"/>
        <v>0.20039379354976228</v>
      </c>
      <c r="I229">
        <f t="shared" si="14"/>
        <v>-0.17862359557107627</v>
      </c>
      <c r="K229">
        <f t="shared" si="15"/>
        <v>-8.5715161131574291E-2</v>
      </c>
    </row>
    <row r="230" spans="1:11">
      <c r="A230">
        <v>228</v>
      </c>
      <c r="B230">
        <v>30</v>
      </c>
      <c r="C230">
        <v>25</v>
      </c>
      <c r="D230">
        <v>19</v>
      </c>
      <c r="E230">
        <v>13</v>
      </c>
      <c r="G230">
        <f t="shared" si="12"/>
        <v>-1.3161446057970802E-2</v>
      </c>
      <c r="H230">
        <f t="shared" si="13"/>
        <v>-0.14825785566646699</v>
      </c>
      <c r="I230">
        <f t="shared" si="14"/>
        <v>-0.28064301435761302</v>
      </c>
      <c r="K230">
        <f t="shared" si="15"/>
        <v>-0.14735410536068361</v>
      </c>
    </row>
    <row r="231" spans="1:11">
      <c r="A231">
        <v>229</v>
      </c>
      <c r="B231">
        <v>28</v>
      </c>
      <c r="C231">
        <v>0</v>
      </c>
      <c r="D231">
        <v>0</v>
      </c>
      <c r="E231">
        <v>1</v>
      </c>
      <c r="G231" t="e">
        <f t="shared" si="12"/>
        <v>#NUM!</v>
      </c>
      <c r="H231" t="e">
        <f t="shared" si="13"/>
        <v>#NUM!</v>
      </c>
      <c r="I231">
        <f t="shared" si="14"/>
        <v>-1.3646231432870066</v>
      </c>
      <c r="K231" t="e">
        <f t="shared" si="15"/>
        <v>#NUM!</v>
      </c>
    </row>
    <row r="232" spans="1:11">
      <c r="A232">
        <v>230</v>
      </c>
      <c r="B232">
        <v>92</v>
      </c>
      <c r="C232">
        <v>42</v>
      </c>
      <c r="D232">
        <v>237</v>
      </c>
      <c r="E232">
        <v>34</v>
      </c>
      <c r="G232">
        <f t="shared" si="12"/>
        <v>-0.27451873695800083</v>
      </c>
      <c r="H232">
        <f t="shared" si="13"/>
        <v>0.46107031676491511</v>
      </c>
      <c r="I232">
        <f t="shared" si="14"/>
        <v>-0.34977402224808751</v>
      </c>
      <c r="K232">
        <f t="shared" si="15"/>
        <v>-5.4407480813724408E-2</v>
      </c>
    </row>
    <row r="233" spans="1:11">
      <c r="A233">
        <v>231</v>
      </c>
      <c r="B233">
        <v>261</v>
      </c>
      <c r="C233">
        <v>6</v>
      </c>
      <c r="D233">
        <v>4</v>
      </c>
      <c r="E233">
        <v>7</v>
      </c>
      <c r="G233">
        <f t="shared" si="12"/>
        <v>-1.5724694569649835</v>
      </c>
      <c r="H233">
        <f t="shared" si="13"/>
        <v>-1.7644707179099521</v>
      </c>
      <c r="I233">
        <f t="shared" si="14"/>
        <v>-1.4890075792688116</v>
      </c>
      <c r="K233">
        <f t="shared" si="15"/>
        <v>-1.6086492513812491</v>
      </c>
    </row>
    <row r="234" spans="1:11">
      <c r="A234">
        <v>232</v>
      </c>
      <c r="B234">
        <v>125</v>
      </c>
      <c r="C234">
        <v>1</v>
      </c>
      <c r="D234">
        <v>5</v>
      </c>
      <c r="E234">
        <v>5</v>
      </c>
      <c r="G234">
        <f t="shared" si="12"/>
        <v>-2.0308902130184023</v>
      </c>
      <c r="H234">
        <f t="shared" si="13"/>
        <v>-1.3478302105716711</v>
      </c>
      <c r="I234">
        <f t="shared" si="14"/>
        <v>-1.3154051206168249</v>
      </c>
      <c r="K234">
        <f t="shared" si="15"/>
        <v>-1.564708514735633</v>
      </c>
    </row>
    <row r="235" spans="1:11">
      <c r="A235">
        <v>233</v>
      </c>
      <c r="B235">
        <v>90</v>
      </c>
      <c r="C235">
        <v>0</v>
      </c>
      <c r="D235">
        <v>1</v>
      </c>
      <c r="E235">
        <v>2</v>
      </c>
      <c r="G235" t="e">
        <f t="shared" si="12"/>
        <v>#NUM!</v>
      </c>
      <c r="H235">
        <f t="shared" si="13"/>
        <v>-1.9041327113389583</v>
      </c>
      <c r="I235">
        <f t="shared" si="14"/>
        <v>-1.5706776257201311</v>
      </c>
      <c r="K235" t="e">
        <f t="shared" si="15"/>
        <v>#NUM!</v>
      </c>
    </row>
    <row r="236" spans="1:11">
      <c r="A236">
        <v>234</v>
      </c>
      <c r="B236">
        <v>316</v>
      </c>
      <c r="C236">
        <v>12</v>
      </c>
      <c r="D236">
        <v>14</v>
      </c>
      <c r="E236">
        <v>8</v>
      </c>
      <c r="G236">
        <f t="shared" si="12"/>
        <v>-1.3544860365811251</v>
      </c>
      <c r="H236">
        <f t="shared" si="13"/>
        <v>-1.3034492488397993</v>
      </c>
      <c r="I236">
        <f t="shared" si="14"/>
        <v>-1.5140622075712478</v>
      </c>
      <c r="K236">
        <f t="shared" si="15"/>
        <v>-1.3906658309973909</v>
      </c>
    </row>
    <row r="237" spans="1:11">
      <c r="A237">
        <v>235</v>
      </c>
      <c r="B237">
        <v>29</v>
      </c>
      <c r="C237">
        <v>0</v>
      </c>
      <c r="D237">
        <v>1</v>
      </c>
      <c r="E237">
        <v>1</v>
      </c>
      <c r="G237" t="e">
        <f t="shared" si="12"/>
        <v>#NUM!</v>
      </c>
      <c r="H237">
        <f t="shared" si="13"/>
        <v>-1.4122881997985897</v>
      </c>
      <c r="I237">
        <f t="shared" si="14"/>
        <v>-1.3798631098437435</v>
      </c>
      <c r="K237" t="e">
        <f t="shared" si="15"/>
        <v>#NUM!</v>
      </c>
    </row>
    <row r="238" spans="1:11">
      <c r="A238">
        <v>236</v>
      </c>
      <c r="B238">
        <v>90</v>
      </c>
      <c r="C238">
        <v>1</v>
      </c>
      <c r="D238">
        <v>1</v>
      </c>
      <c r="E238">
        <v>0</v>
      </c>
      <c r="G238">
        <f t="shared" si="12"/>
        <v>-1.8882227094496709</v>
      </c>
      <c r="H238">
        <f t="shared" si="13"/>
        <v>-1.9041327113389583</v>
      </c>
      <c r="I238" t="e">
        <f t="shared" si="14"/>
        <v>#NUM!</v>
      </c>
      <c r="K238" t="e">
        <f t="shared" si="15"/>
        <v>#NUM!</v>
      </c>
    </row>
    <row r="239" spans="1:11">
      <c r="A239">
        <v>237</v>
      </c>
      <c r="B239">
        <v>203</v>
      </c>
      <c r="C239">
        <v>15</v>
      </c>
      <c r="D239">
        <v>27</v>
      </c>
      <c r="E239">
        <v>26</v>
      </c>
      <c r="G239">
        <f t="shared" si="12"/>
        <v>-1.0653849788678778</v>
      </c>
      <c r="H239">
        <f t="shared" si="13"/>
        <v>-0.82602247565385911</v>
      </c>
      <c r="I239">
        <f t="shared" si="14"/>
        <v>-0.80998780188718222</v>
      </c>
      <c r="K239">
        <f t="shared" si="15"/>
        <v>-0.90046508546963955</v>
      </c>
    </row>
    <row r="240" spans="1:11">
      <c r="A240">
        <v>238</v>
      </c>
      <c r="B240">
        <v>32</v>
      </c>
      <c r="C240">
        <v>0</v>
      </c>
      <c r="D240">
        <v>0</v>
      </c>
      <c r="E240">
        <v>2</v>
      </c>
      <c r="G240" t="e">
        <f t="shared" si="12"/>
        <v>#NUM!</v>
      </c>
      <c r="H240" t="e">
        <f t="shared" si="13"/>
        <v>#NUM!</v>
      </c>
      <c r="I240">
        <f t="shared" si="14"/>
        <v>-1.1215850946007122</v>
      </c>
      <c r="K240" t="e">
        <f t="shared" si="15"/>
        <v>#NUM!</v>
      </c>
    </row>
    <row r="241" spans="1:11">
      <c r="A241">
        <v>239</v>
      </c>
      <c r="B241">
        <v>37</v>
      </c>
      <c r="C241">
        <v>573</v>
      </c>
      <c r="D241">
        <v>53</v>
      </c>
      <c r="E241">
        <v>209</v>
      </c>
      <c r="G241">
        <f t="shared" si="12"/>
        <v>1.255972697890049</v>
      </c>
      <c r="H241">
        <f t="shared" si="13"/>
        <v>0.20618394363416054</v>
      </c>
      <c r="I241">
        <f t="shared" si="14"/>
        <v>0.83447945009927171</v>
      </c>
      <c r="K241">
        <f t="shared" si="15"/>
        <v>0.76554536387449368</v>
      </c>
    </row>
    <row r="242" spans="1:11">
      <c r="A242">
        <v>240</v>
      </c>
      <c r="B242">
        <v>123</v>
      </c>
      <c r="C242">
        <v>3</v>
      </c>
      <c r="D242">
        <v>2</v>
      </c>
      <c r="E242">
        <v>4</v>
      </c>
      <c r="G242">
        <f t="shared" si="12"/>
        <v>-1.5467640567300815</v>
      </c>
      <c r="H242">
        <f t="shared" si="13"/>
        <v>-1.7387653176750502</v>
      </c>
      <c r="I242">
        <f t="shared" si="14"/>
        <v>-1.405310232056223</v>
      </c>
      <c r="K242">
        <f t="shared" si="15"/>
        <v>-1.5636132021537847</v>
      </c>
    </row>
    <row r="243" spans="1:11">
      <c r="A243">
        <v>241</v>
      </c>
      <c r="B243">
        <v>59</v>
      </c>
      <c r="C243">
        <v>6</v>
      </c>
      <c r="D243">
        <v>1</v>
      </c>
      <c r="E243">
        <v>2</v>
      </c>
      <c r="G243">
        <f t="shared" si="12"/>
        <v>-0.92668096126884647</v>
      </c>
      <c r="H243">
        <f t="shared" si="13"/>
        <v>-1.7207422135417778</v>
      </c>
      <c r="I243">
        <f t="shared" si="14"/>
        <v>-1.3872871279229504</v>
      </c>
      <c r="K243">
        <f t="shared" si="15"/>
        <v>-1.344903434244525</v>
      </c>
    </row>
    <row r="244" spans="1:11">
      <c r="A244">
        <v>242</v>
      </c>
      <c r="B244">
        <v>51</v>
      </c>
      <c r="C244">
        <v>3</v>
      </c>
      <c r="D244">
        <v>0</v>
      </c>
      <c r="E244">
        <v>3</v>
      </c>
      <c r="G244">
        <f t="shared" si="12"/>
        <v>-1.16442912138862</v>
      </c>
      <c r="H244" t="e">
        <f t="shared" si="13"/>
        <v>#NUM!</v>
      </c>
      <c r="I244">
        <f t="shared" si="14"/>
        <v>-1.1479140333230613</v>
      </c>
      <c r="K244" t="e">
        <f t="shared" si="15"/>
        <v>#NUM!</v>
      </c>
    </row>
    <row r="245" spans="1:11">
      <c r="A245">
        <v>243</v>
      </c>
      <c r="B245">
        <v>122</v>
      </c>
      <c r="C245">
        <v>0</v>
      </c>
      <c r="D245">
        <v>1</v>
      </c>
      <c r="E245">
        <v>4</v>
      </c>
      <c r="G245" t="e">
        <f t="shared" si="12"/>
        <v>#NUM!</v>
      </c>
      <c r="H245">
        <f t="shared" si="13"/>
        <v>-2.0362500325743818</v>
      </c>
      <c r="I245">
        <f t="shared" si="14"/>
        <v>-1.4017649512915733</v>
      </c>
      <c r="K245" t="e">
        <f t="shared" si="15"/>
        <v>#NUM!</v>
      </c>
    </row>
    <row r="246" spans="1:11">
      <c r="A246">
        <v>244</v>
      </c>
      <c r="B246">
        <v>38</v>
      </c>
      <c r="C246">
        <v>0</v>
      </c>
      <c r="D246">
        <v>0</v>
      </c>
      <c r="E246">
        <v>2</v>
      </c>
      <c r="G246" t="e">
        <f t="shared" si="12"/>
        <v>#NUM!</v>
      </c>
      <c r="H246" t="e">
        <f t="shared" si="13"/>
        <v>#NUM!</v>
      </c>
      <c r="I246">
        <f t="shared" si="14"/>
        <v>-1.1962187128976165</v>
      </c>
      <c r="K246" t="e">
        <f t="shared" si="15"/>
        <v>#NUM!</v>
      </c>
    </row>
    <row r="247" spans="1:11">
      <c r="A247">
        <v>245</v>
      </c>
      <c r="B247">
        <v>363</v>
      </c>
      <c r="C247">
        <v>28</v>
      </c>
      <c r="D247">
        <v>18</v>
      </c>
      <c r="E247">
        <v>21</v>
      </c>
      <c r="G247">
        <f t="shared" si="12"/>
        <v>-1.0467287937042393</v>
      </c>
      <c r="H247">
        <f t="shared" si="13"/>
        <v>-1.25452432183244</v>
      </c>
      <c r="I247">
        <f t="shared" si="14"/>
        <v>-1.1551524422469805</v>
      </c>
      <c r="K247">
        <f t="shared" si="15"/>
        <v>-1.1521351859278866</v>
      </c>
    </row>
    <row r="248" spans="1:11">
      <c r="A248">
        <v>246</v>
      </c>
      <c r="B248">
        <v>161</v>
      </c>
      <c r="C248">
        <v>225</v>
      </c>
      <c r="D248">
        <v>218</v>
      </c>
      <c r="E248">
        <v>105</v>
      </c>
      <c r="G248">
        <f t="shared" si="12"/>
        <v>0.21137644206916678</v>
      </c>
      <c r="H248">
        <f t="shared" si="13"/>
        <v>0.1817404156731216</v>
      </c>
      <c r="I248">
        <f t="shared" si="14"/>
        <v>-0.10310168890669898</v>
      </c>
      <c r="K248">
        <f t="shared" si="15"/>
        <v>9.6671722945196478E-2</v>
      </c>
    </row>
    <row r="249" spans="1:11">
      <c r="A249">
        <v>247</v>
      </c>
      <c r="B249">
        <v>74</v>
      </c>
      <c r="C249">
        <v>14</v>
      </c>
      <c r="D249">
        <v>33</v>
      </c>
      <c r="E249">
        <v>8</v>
      </c>
      <c r="G249">
        <f t="shared" si="12"/>
        <v>-0.65708388406308416</v>
      </c>
      <c r="H249">
        <f t="shared" si="13"/>
        <v>-0.30060798175272224</v>
      </c>
      <c r="I249">
        <f t="shared" si="14"/>
        <v>-0.88360684468381989</v>
      </c>
      <c r="K249">
        <f t="shared" si="15"/>
        <v>-0.61376623683320874</v>
      </c>
    </row>
    <row r="250" spans="1:11">
      <c r="A250">
        <v>248</v>
      </c>
      <c r="B250">
        <v>102</v>
      </c>
      <c r="C250">
        <v>41</v>
      </c>
      <c r="D250">
        <v>199</v>
      </c>
      <c r="E250">
        <v>57</v>
      </c>
      <c r="G250">
        <f t="shared" si="12"/>
        <v>-0.32979651505252805</v>
      </c>
      <c r="H250">
        <f t="shared" si="13"/>
        <v>0.34036270274815555</v>
      </c>
      <c r="I250">
        <f t="shared" si="14"/>
        <v>-0.17019042803421353</v>
      </c>
      <c r="K250">
        <f t="shared" si="15"/>
        <v>-5.3208080112862009E-2</v>
      </c>
    </row>
    <row r="251" spans="1:11">
      <c r="A251">
        <v>249</v>
      </c>
      <c r="B251">
        <v>84</v>
      </c>
      <c r="C251">
        <v>182</v>
      </c>
      <c r="D251">
        <v>122</v>
      </c>
      <c r="E251">
        <v>84</v>
      </c>
      <c r="G251">
        <f t="shared" si="12"/>
        <v>0.4018119019128471</v>
      </c>
      <c r="H251">
        <f t="shared" si="13"/>
        <v>0.21219034271323306</v>
      </c>
      <c r="I251">
        <f t="shared" si="14"/>
        <v>8.2534888055212655E-2</v>
      </c>
      <c r="K251">
        <f t="shared" si="15"/>
        <v>0.23217904422709765</v>
      </c>
    </row>
    <row r="252" spans="1:11">
      <c r="A252">
        <v>250</v>
      </c>
      <c r="B252">
        <v>28</v>
      </c>
      <c r="C252">
        <v>0</v>
      </c>
      <c r="D252">
        <v>2</v>
      </c>
      <c r="E252">
        <v>2</v>
      </c>
      <c r="G252" t="e">
        <f t="shared" si="12"/>
        <v>#NUM!</v>
      </c>
      <c r="H252">
        <f t="shared" si="13"/>
        <v>-1.0960182375778715</v>
      </c>
      <c r="I252">
        <f t="shared" si="14"/>
        <v>-1.0635931476230254</v>
      </c>
      <c r="K252" t="e">
        <f t="shared" si="15"/>
        <v>#NUM!</v>
      </c>
    </row>
    <row r="253" spans="1:11">
      <c r="A253">
        <v>251</v>
      </c>
      <c r="B253">
        <v>170</v>
      </c>
      <c r="C253">
        <v>7837</v>
      </c>
      <c r="D253">
        <v>375</v>
      </c>
      <c r="E253">
        <v>196</v>
      </c>
      <c r="G253">
        <f t="shared" si="12"/>
        <v>1.7297207253793021</v>
      </c>
      <c r="H253">
        <f t="shared" si="13"/>
        <v>0.39369214444981143</v>
      </c>
      <c r="I253">
        <f t="shared" si="14"/>
        <v>0.14434203803341475</v>
      </c>
      <c r="K253">
        <f t="shared" si="15"/>
        <v>0.75591830262084281</v>
      </c>
    </row>
    <row r="254" spans="1:11">
      <c r="A254">
        <v>252</v>
      </c>
      <c r="B254">
        <v>111</v>
      </c>
      <c r="C254">
        <v>0</v>
      </c>
      <c r="D254">
        <v>1</v>
      </c>
      <c r="E254">
        <v>0</v>
      </c>
      <c r="G254" t="e">
        <f t="shared" si="12"/>
        <v>#NUM!</v>
      </c>
      <c r="H254">
        <f t="shared" si="13"/>
        <v>-1.9952131806862912</v>
      </c>
      <c r="I254" t="e">
        <f t="shared" si="14"/>
        <v>#NUM!</v>
      </c>
      <c r="K254" t="e">
        <f t="shared" si="15"/>
        <v>#NUM!</v>
      </c>
    </row>
    <row r="255" spans="1:11">
      <c r="A255">
        <v>253</v>
      </c>
      <c r="B255">
        <v>313</v>
      </c>
      <c r="C255">
        <v>472</v>
      </c>
      <c r="D255">
        <v>424</v>
      </c>
      <c r="E255">
        <v>416</v>
      </c>
      <c r="G255">
        <f t="shared" si="12"/>
        <v>0.24441746107729329</v>
      </c>
      <c r="H255">
        <f t="shared" si="13"/>
        <v>0.18193131714665067</v>
      </c>
      <c r="I255">
        <f t="shared" si="14"/>
        <v>0.20608388113550691</v>
      </c>
      <c r="K255">
        <f t="shared" si="15"/>
        <v>0.2108108864531503</v>
      </c>
    </row>
    <row r="256" spans="1:11">
      <c r="A256">
        <v>254</v>
      </c>
      <c r="B256">
        <v>109</v>
      </c>
      <c r="C256">
        <v>172</v>
      </c>
      <c r="D256">
        <v>65</v>
      </c>
      <c r="E256">
        <v>70</v>
      </c>
      <c r="G256">
        <f t="shared" si="12"/>
        <v>0.26412174895657931</v>
      </c>
      <c r="H256">
        <f t="shared" si="13"/>
        <v>-0.17440334319740158</v>
      </c>
      <c r="I256">
        <f t="shared" si="14"/>
        <v>-0.10979356987115411</v>
      </c>
      <c r="K256">
        <f t="shared" si="15"/>
        <v>-6.6917213706587974E-3</v>
      </c>
    </row>
    <row r="257" spans="1:11">
      <c r="A257">
        <v>255</v>
      </c>
      <c r="B257">
        <v>94</v>
      </c>
      <c r="C257">
        <v>22656</v>
      </c>
      <c r="D257">
        <v>84</v>
      </c>
      <c r="E257">
        <v>83</v>
      </c>
      <c r="G257">
        <f t="shared" si="12"/>
        <v>2.4480751823996303</v>
      </c>
      <c r="H257">
        <f t="shared" si="13"/>
        <v>1.2612305625494674E-3</v>
      </c>
      <c r="I257">
        <f t="shared" si="14"/>
        <v>2.8485126831587895E-2</v>
      </c>
      <c r="K257">
        <f t="shared" si="15"/>
        <v>0.82594051326458917</v>
      </c>
    </row>
    <row r="258" spans="1:11">
      <c r="A258">
        <v>256</v>
      </c>
      <c r="B258">
        <v>54</v>
      </c>
      <c r="C258">
        <v>1</v>
      </c>
      <c r="D258">
        <v>0</v>
      </c>
      <c r="E258">
        <v>0</v>
      </c>
      <c r="G258">
        <f t="shared" si="12"/>
        <v>-1.6663739598333147</v>
      </c>
      <c r="H258" t="e">
        <f t="shared" si="13"/>
        <v>#NUM!</v>
      </c>
      <c r="I258" t="e">
        <f t="shared" si="14"/>
        <v>#NUM!</v>
      </c>
      <c r="K258" t="e">
        <f t="shared" si="15"/>
        <v>#NUM!</v>
      </c>
    </row>
    <row r="259" spans="1:11">
      <c r="A259">
        <v>257</v>
      </c>
      <c r="B259">
        <v>36</v>
      </c>
      <c r="C259">
        <v>129</v>
      </c>
      <c r="D259">
        <v>19</v>
      </c>
      <c r="E259">
        <v>23</v>
      </c>
      <c r="G259">
        <f t="shared" ref="G259:G322" si="16">LOG10(C259/B259)-LOG10(134/156)</f>
        <v>0.62030700952161577</v>
      </c>
      <c r="H259">
        <f t="shared" ref="H259:H322" si="17">LOG10(D259/B259)-LOG10(139/156)</f>
        <v>-0.22743910171409182</v>
      </c>
      <c r="I259">
        <f t="shared" ref="I259:I322" si="18">LOG10(E259/B259)-LOG10(129/156)</f>
        <v>-0.11203977669448177</v>
      </c>
      <c r="K259">
        <f t="shared" ref="K259:K322" si="19">AVERAGE(G259:I259)</f>
        <v>9.3609377037680727E-2</v>
      </c>
    </row>
    <row r="260" spans="1:11">
      <c r="A260">
        <v>258</v>
      </c>
      <c r="B260">
        <v>247</v>
      </c>
      <c r="C260">
        <v>11</v>
      </c>
      <c r="D260">
        <v>8</v>
      </c>
      <c r="E260">
        <v>9</v>
      </c>
      <c r="G260">
        <f t="shared" si="16"/>
        <v>-1.2852844681117868</v>
      </c>
      <c r="H260">
        <f t="shared" si="17"/>
        <v>-1.4394971681673556</v>
      </c>
      <c r="I260">
        <f t="shared" si="18"/>
        <v>-1.3559195557651282</v>
      </c>
      <c r="K260">
        <f t="shared" si="19"/>
        <v>-1.3602337306814236</v>
      </c>
    </row>
    <row r="261" spans="1:11">
      <c r="A261">
        <v>259</v>
      </c>
      <c r="B261">
        <v>157</v>
      </c>
      <c r="C261">
        <v>172</v>
      </c>
      <c r="D261">
        <v>1602</v>
      </c>
      <c r="E261">
        <v>492</v>
      </c>
      <c r="G261">
        <f t="shared" si="16"/>
        <v>0.10564859448796918</v>
      </c>
      <c r="H261">
        <f t="shared" si="17"/>
        <v>1.0588726574393514</v>
      </c>
      <c r="I261">
        <f t="shared" si="18"/>
        <v>0.57860033841333924</v>
      </c>
      <c r="K261">
        <f t="shared" si="19"/>
        <v>0.58104053011355328</v>
      </c>
    </row>
    <row r="262" spans="1:11">
      <c r="A262">
        <v>260</v>
      </c>
      <c r="B262">
        <v>194</v>
      </c>
      <c r="C262">
        <v>288</v>
      </c>
      <c r="D262">
        <v>201</v>
      </c>
      <c r="E262">
        <v>290</v>
      </c>
      <c r="G262">
        <f t="shared" si="16"/>
        <v>0.23761055781865881</v>
      </c>
      <c r="H262">
        <f t="shared" si="17"/>
        <v>6.5504125590629347E-2</v>
      </c>
      <c r="I262">
        <f t="shared" si="18"/>
        <v>0.25713115602394271</v>
      </c>
      <c r="K262">
        <f t="shared" si="19"/>
        <v>0.18674861314441027</v>
      </c>
    </row>
    <row r="263" spans="1:11">
      <c r="A263">
        <v>261</v>
      </c>
      <c r="B263">
        <v>119</v>
      </c>
      <c r="C263">
        <v>5</v>
      </c>
      <c r="D263">
        <v>5</v>
      </c>
      <c r="E263">
        <v>1</v>
      </c>
      <c r="G263">
        <f t="shared" si="16"/>
        <v>-1.3105571570668579</v>
      </c>
      <c r="H263">
        <f t="shared" si="17"/>
        <v>-1.3264671589561454</v>
      </c>
      <c r="I263">
        <f t="shared" si="18"/>
        <v>-1.993012073337318</v>
      </c>
      <c r="K263">
        <f t="shared" si="19"/>
        <v>-1.5433454631201071</v>
      </c>
    </row>
    <row r="264" spans="1:11">
      <c r="A264">
        <v>262</v>
      </c>
      <c r="B264">
        <v>78</v>
      </c>
      <c r="C264">
        <v>7</v>
      </c>
      <c r="D264">
        <v>2</v>
      </c>
      <c r="E264">
        <v>0</v>
      </c>
      <c r="G264">
        <f t="shared" si="16"/>
        <v>-0.98097676268656964</v>
      </c>
      <c r="H264">
        <f t="shared" si="17"/>
        <v>-1.5409548089261329</v>
      </c>
      <c r="I264" t="e">
        <f t="shared" si="18"/>
        <v>#NUM!</v>
      </c>
      <c r="K264" t="e">
        <f t="shared" si="19"/>
        <v>#NUM!</v>
      </c>
    </row>
    <row r="265" spans="1:11">
      <c r="A265">
        <v>263</v>
      </c>
      <c r="B265">
        <v>111</v>
      </c>
      <c r="C265">
        <v>8</v>
      </c>
      <c r="D265">
        <v>13</v>
      </c>
      <c r="E265">
        <v>22</v>
      </c>
      <c r="G265">
        <f t="shared" si="16"/>
        <v>-1.0762131918050599</v>
      </c>
      <c r="H265">
        <f t="shared" si="17"/>
        <v>-0.88126982837945411</v>
      </c>
      <c r="I265">
        <f t="shared" si="18"/>
        <v>-0.6203654099092385</v>
      </c>
      <c r="K265">
        <f t="shared" si="19"/>
        <v>-0.85928281003125084</v>
      </c>
    </row>
    <row r="266" spans="1:11">
      <c r="A266">
        <v>264</v>
      </c>
      <c r="B266">
        <v>47</v>
      </c>
      <c r="C266">
        <v>4</v>
      </c>
      <c r="D266">
        <v>3</v>
      </c>
      <c r="E266">
        <v>0</v>
      </c>
      <c r="G266">
        <f t="shared" si="16"/>
        <v>-1.0040180666181011</v>
      </c>
      <c r="H266">
        <f t="shared" si="17"/>
        <v>-1.1448668051156887</v>
      </c>
      <c r="I266" t="e">
        <f t="shared" si="18"/>
        <v>#NUM!</v>
      </c>
      <c r="K266" t="e">
        <f t="shared" si="19"/>
        <v>#NUM!</v>
      </c>
    </row>
    <row r="267" spans="1:11">
      <c r="A267">
        <v>265</v>
      </c>
      <c r="B267">
        <v>118</v>
      </c>
      <c r="C267">
        <v>0</v>
      </c>
      <c r="D267">
        <v>1</v>
      </c>
      <c r="E267">
        <v>6</v>
      </c>
      <c r="G267" t="e">
        <f t="shared" si="16"/>
        <v>#NUM!</v>
      </c>
      <c r="H267">
        <f t="shared" si="17"/>
        <v>-2.0217722092057588</v>
      </c>
      <c r="I267">
        <f t="shared" si="18"/>
        <v>-1.211195868867269</v>
      </c>
      <c r="K267" t="e">
        <f t="shared" si="19"/>
        <v>#NUM!</v>
      </c>
    </row>
    <row r="268" spans="1:11">
      <c r="A268">
        <v>266</v>
      </c>
      <c r="B268">
        <v>38</v>
      </c>
      <c r="C268">
        <v>1</v>
      </c>
      <c r="D268">
        <v>2</v>
      </c>
      <c r="E268">
        <v>1</v>
      </c>
      <c r="G268">
        <f t="shared" si="16"/>
        <v>-1.5137637966271562</v>
      </c>
      <c r="H268">
        <f t="shared" si="17"/>
        <v>-1.2286438028524627</v>
      </c>
      <c r="I268">
        <f t="shared" si="18"/>
        <v>-1.4972487085615975</v>
      </c>
      <c r="K268">
        <f t="shared" si="19"/>
        <v>-1.4132187693470721</v>
      </c>
    </row>
    <row r="269" spans="1:11">
      <c r="A269">
        <v>267</v>
      </c>
      <c r="B269">
        <v>113</v>
      </c>
      <c r="C269">
        <v>2</v>
      </c>
      <c r="D269">
        <v>0</v>
      </c>
      <c r="E269">
        <v>0</v>
      </c>
      <c r="G269">
        <f t="shared" si="16"/>
        <v>-1.6860286478297846</v>
      </c>
      <c r="H269" t="e">
        <f t="shared" si="17"/>
        <v>#NUM!</v>
      </c>
      <c r="I269" t="e">
        <f t="shared" si="18"/>
        <v>#NUM!</v>
      </c>
      <c r="K269" t="e">
        <f t="shared" si="19"/>
        <v>#NUM!</v>
      </c>
    </row>
    <row r="270" spans="1:11">
      <c r="A270">
        <v>268</v>
      </c>
      <c r="B270">
        <v>240</v>
      </c>
      <c r="C270">
        <v>9</v>
      </c>
      <c r="D270">
        <v>12</v>
      </c>
      <c r="E270">
        <v>2</v>
      </c>
      <c r="G270">
        <f t="shared" si="16"/>
        <v>-1.3599489322826273</v>
      </c>
      <c r="H270">
        <f t="shared" si="17"/>
        <v>-1.2509201975636148</v>
      </c>
      <c r="I270">
        <f t="shared" si="18"/>
        <v>-1.9966463579924121</v>
      </c>
      <c r="K270">
        <f t="shared" si="19"/>
        <v>-1.5358384959462181</v>
      </c>
    </row>
    <row r="271" spans="1:11">
      <c r="A271">
        <v>269</v>
      </c>
      <c r="B271">
        <v>184</v>
      </c>
      <c r="C271">
        <v>2</v>
      </c>
      <c r="D271">
        <v>7</v>
      </c>
      <c r="E271">
        <v>5</v>
      </c>
      <c r="G271">
        <f t="shared" si="16"/>
        <v>-1.8977680273559014</v>
      </c>
      <c r="H271">
        <f t="shared" si="17"/>
        <v>-1.3696099848949133</v>
      </c>
      <c r="I271">
        <f t="shared" si="18"/>
        <v>-1.483312930618305</v>
      </c>
      <c r="K271">
        <f t="shared" si="19"/>
        <v>-1.5835636476230397</v>
      </c>
    </row>
    <row r="272" spans="1:11">
      <c r="A272">
        <v>270</v>
      </c>
      <c r="B272">
        <v>199</v>
      </c>
      <c r="C272">
        <v>158</v>
      </c>
      <c r="D272">
        <v>220</v>
      </c>
      <c r="E272">
        <v>234</v>
      </c>
      <c r="G272">
        <f t="shared" si="16"/>
        <v>-3.417618946563003E-2</v>
      </c>
      <c r="H272">
        <f t="shared" si="17"/>
        <v>9.3679402512866036E-2</v>
      </c>
      <c r="I272">
        <f t="shared" si="18"/>
        <v>0.15289766905564883</v>
      </c>
      <c r="K272">
        <f t="shared" si="19"/>
        <v>7.0800294034294942E-2</v>
      </c>
    </row>
    <row r="273" spans="1:11">
      <c r="A273">
        <v>271</v>
      </c>
      <c r="B273">
        <v>222</v>
      </c>
      <c r="C273">
        <v>473</v>
      </c>
      <c r="D273">
        <v>2497</v>
      </c>
      <c r="E273">
        <v>525</v>
      </c>
      <c r="G273">
        <f t="shared" si="16"/>
        <v>0.39452796627682701</v>
      </c>
      <c r="H273">
        <f t="shared" si="17"/>
        <v>1.1011753660010757</v>
      </c>
      <c r="I273">
        <f t="shared" si="18"/>
        <v>0.45634121701053088</v>
      </c>
      <c r="K273">
        <f t="shared" si="19"/>
        <v>0.65068151642947791</v>
      </c>
    </row>
    <row r="274" spans="1:11">
      <c r="A274">
        <v>272</v>
      </c>
      <c r="B274">
        <v>285</v>
      </c>
      <c r="C274">
        <v>10</v>
      </c>
      <c r="D274">
        <v>51</v>
      </c>
      <c r="E274">
        <v>32</v>
      </c>
      <c r="G274">
        <f t="shared" si="16"/>
        <v>-1.3888250600188563</v>
      </c>
      <c r="H274">
        <f t="shared" si="17"/>
        <v>-0.6971648858102073</v>
      </c>
      <c r="I274">
        <f t="shared" si="18"/>
        <v>-0.86715999363339147</v>
      </c>
      <c r="K274">
        <f t="shared" si="19"/>
        <v>-0.98438331315415173</v>
      </c>
    </row>
    <row r="275" spans="1:11">
      <c r="A275">
        <v>273</v>
      </c>
      <c r="B275">
        <v>107</v>
      </c>
      <c r="C275">
        <v>3</v>
      </c>
      <c r="D275">
        <v>7</v>
      </c>
      <c r="E275">
        <v>1</v>
      </c>
      <c r="G275">
        <f t="shared" si="16"/>
        <v>-1.4862427229758932</v>
      </c>
      <c r="H275">
        <f t="shared" si="17"/>
        <v>-1.1341759395705864</v>
      </c>
      <c r="I275">
        <f t="shared" si="18"/>
        <v>-1.9468488896299971</v>
      </c>
      <c r="K275">
        <f t="shared" si="19"/>
        <v>-1.5224225173921591</v>
      </c>
    </row>
    <row r="276" spans="1:11">
      <c r="A276">
        <v>274</v>
      </c>
      <c r="B276">
        <v>93</v>
      </c>
      <c r="C276">
        <v>2</v>
      </c>
      <c r="D276">
        <v>1</v>
      </c>
      <c r="E276">
        <v>2</v>
      </c>
      <c r="G276">
        <f t="shared" si="16"/>
        <v>-1.6014331529003001</v>
      </c>
      <c r="H276">
        <f t="shared" si="17"/>
        <v>-1.9183731504535686</v>
      </c>
      <c r="I276">
        <f t="shared" si="18"/>
        <v>-1.5849180648347414</v>
      </c>
      <c r="K276">
        <f t="shared" si="19"/>
        <v>-1.7015747893962034</v>
      </c>
    </row>
    <row r="277" spans="1:11">
      <c r="A277">
        <v>275</v>
      </c>
      <c r="B277">
        <v>62</v>
      </c>
      <c r="C277">
        <v>0</v>
      </c>
      <c r="D277">
        <v>1</v>
      </c>
      <c r="E277">
        <v>0</v>
      </c>
      <c r="G277" t="e">
        <f t="shared" si="16"/>
        <v>#NUM!</v>
      </c>
      <c r="H277">
        <f t="shared" si="17"/>
        <v>-1.7422818913978875</v>
      </c>
      <c r="I277" t="e">
        <f t="shared" si="18"/>
        <v>#NUM!</v>
      </c>
      <c r="K277" t="e">
        <f t="shared" si="19"/>
        <v>#NUM!</v>
      </c>
    </row>
    <row r="278" spans="1:11">
      <c r="A278">
        <v>276</v>
      </c>
      <c r="B278">
        <v>31</v>
      </c>
      <c r="C278">
        <v>8</v>
      </c>
      <c r="D278">
        <v>4</v>
      </c>
      <c r="E278">
        <v>4</v>
      </c>
      <c r="G278">
        <f t="shared" si="16"/>
        <v>-0.52225190685267509</v>
      </c>
      <c r="H278">
        <f t="shared" si="17"/>
        <v>-0.83919190440594382</v>
      </c>
      <c r="I278">
        <f t="shared" si="18"/>
        <v>-0.80676681445109766</v>
      </c>
      <c r="K278">
        <f t="shared" si="19"/>
        <v>-0.72273687523657226</v>
      </c>
    </row>
    <row r="279" spans="1:11">
      <c r="A279">
        <v>277</v>
      </c>
      <c r="B279">
        <v>16</v>
      </c>
      <c r="C279">
        <v>0</v>
      </c>
      <c r="D279">
        <v>0</v>
      </c>
      <c r="E279">
        <v>0</v>
      </c>
      <c r="G279" t="e">
        <f t="shared" si="16"/>
        <v>#NUM!</v>
      </c>
      <c r="H279" t="e">
        <f t="shared" si="17"/>
        <v>#NUM!</v>
      </c>
      <c r="I279" t="e">
        <f t="shared" si="18"/>
        <v>#NUM!</v>
      </c>
      <c r="K279" t="e">
        <f t="shared" si="19"/>
        <v>#NUM!</v>
      </c>
    </row>
    <row r="280" spans="1:11">
      <c r="A280">
        <v>278</v>
      </c>
      <c r="B280">
        <v>18</v>
      </c>
      <c r="C280">
        <v>3</v>
      </c>
      <c r="D280">
        <v>1</v>
      </c>
      <c r="E280">
        <v>0</v>
      </c>
      <c r="G280">
        <f t="shared" si="16"/>
        <v>-0.71213145039398962</v>
      </c>
      <c r="H280">
        <f t="shared" si="17"/>
        <v>-1.2051627070029396</v>
      </c>
      <c r="I280" t="e">
        <f t="shared" si="18"/>
        <v>#NUM!</v>
      </c>
      <c r="K280" t="e">
        <f t="shared" si="19"/>
        <v>#NUM!</v>
      </c>
    </row>
    <row r="281" spans="1:11">
      <c r="A281">
        <v>279</v>
      </c>
      <c r="B281">
        <v>52</v>
      </c>
      <c r="C281">
        <v>6</v>
      </c>
      <c r="D281">
        <v>2</v>
      </c>
      <c r="E281">
        <v>2</v>
      </c>
      <c r="G281">
        <f t="shared" si="16"/>
        <v>-0.87183229326150147</v>
      </c>
      <c r="H281">
        <f t="shared" si="17"/>
        <v>-1.3648635498704516</v>
      </c>
      <c r="I281">
        <f t="shared" si="18"/>
        <v>-1.3324384599156054</v>
      </c>
      <c r="K281">
        <f t="shared" si="19"/>
        <v>-1.1897114343491861</v>
      </c>
    </row>
    <row r="282" spans="1:11">
      <c r="A282">
        <v>280</v>
      </c>
      <c r="B282">
        <v>179</v>
      </c>
      <c r="C282">
        <v>17</v>
      </c>
      <c r="D282">
        <v>10</v>
      </c>
      <c r="E282">
        <v>11</v>
      </c>
      <c r="G282">
        <f t="shared" si="16"/>
        <v>-0.95638430961196519</v>
      </c>
      <c r="H282">
        <f t="shared" si="17"/>
        <v>-1.2027432328795267</v>
      </c>
      <c r="I282">
        <f t="shared" si="18"/>
        <v>-1.1289254577664556</v>
      </c>
      <c r="K282">
        <f t="shared" si="19"/>
        <v>-1.0960176667526491</v>
      </c>
    </row>
    <row r="283" spans="1:11">
      <c r="A283">
        <v>281</v>
      </c>
      <c r="B283">
        <v>210</v>
      </c>
      <c r="C283">
        <v>5</v>
      </c>
      <c r="D283">
        <v>9</v>
      </c>
      <c r="E283">
        <v>6</v>
      </c>
      <c r="G283">
        <f t="shared" si="16"/>
        <v>-1.5572294904082467</v>
      </c>
      <c r="H283">
        <f t="shared" si="17"/>
        <v>-1.3178669871942279</v>
      </c>
      <c r="I283">
        <f t="shared" si="18"/>
        <v>-1.4615331562950631</v>
      </c>
      <c r="K283">
        <f t="shared" si="19"/>
        <v>-1.4455432112991791</v>
      </c>
    </row>
    <row r="284" spans="1:11">
      <c r="A284">
        <v>282</v>
      </c>
      <c r="B284">
        <v>60</v>
      </c>
      <c r="C284">
        <v>13</v>
      </c>
      <c r="D284">
        <v>6</v>
      </c>
      <c r="E284">
        <v>13</v>
      </c>
      <c r="G284">
        <f t="shared" si="16"/>
        <v>-0.59818809808715279</v>
      </c>
      <c r="H284">
        <f t="shared" si="17"/>
        <v>-0.94989020189963347</v>
      </c>
      <c r="I284">
        <f t="shared" si="18"/>
        <v>-0.58167301002159411</v>
      </c>
      <c r="K284">
        <f t="shared" si="19"/>
        <v>-0.70991710333612679</v>
      </c>
    </row>
    <row r="285" spans="1:11">
      <c r="A285">
        <v>283</v>
      </c>
      <c r="B285">
        <v>54</v>
      </c>
      <c r="C285">
        <v>0</v>
      </c>
      <c r="D285">
        <v>3</v>
      </c>
      <c r="E285">
        <v>3</v>
      </c>
      <c r="G285" t="e">
        <f t="shared" si="16"/>
        <v>#NUM!</v>
      </c>
      <c r="H285">
        <f t="shared" si="17"/>
        <v>-1.2051627070029396</v>
      </c>
      <c r="I285">
        <f t="shared" si="18"/>
        <v>-1.1727376170480934</v>
      </c>
      <c r="K285" t="e">
        <f t="shared" si="19"/>
        <v>#NUM!</v>
      </c>
    </row>
    <row r="286" spans="1:11">
      <c r="A286">
        <v>284</v>
      </c>
      <c r="B286">
        <v>90</v>
      </c>
      <c r="C286">
        <v>0</v>
      </c>
      <c r="D286">
        <v>3</v>
      </c>
      <c r="E286">
        <v>5</v>
      </c>
      <c r="G286" t="e">
        <f t="shared" si="16"/>
        <v>#NUM!</v>
      </c>
      <c r="H286">
        <f t="shared" si="17"/>
        <v>-1.427011456619296</v>
      </c>
      <c r="I286">
        <f t="shared" si="18"/>
        <v>-1.1727376170480934</v>
      </c>
      <c r="K286" t="e">
        <f t="shared" si="19"/>
        <v>#NUM!</v>
      </c>
    </row>
    <row r="287" spans="1:11">
      <c r="A287">
        <v>285</v>
      </c>
      <c r="B287">
        <v>192</v>
      </c>
      <c r="C287">
        <v>14</v>
      </c>
      <c r="D287">
        <v>4</v>
      </c>
      <c r="E287">
        <v>6</v>
      </c>
      <c r="G287">
        <f t="shared" si="16"/>
        <v>-1.0711533930356576</v>
      </c>
      <c r="H287">
        <f t="shared" si="17"/>
        <v>-1.6311314392752208</v>
      </c>
      <c r="I287">
        <f t="shared" si="18"/>
        <v>-1.4226150902646935</v>
      </c>
      <c r="K287">
        <f t="shared" si="19"/>
        <v>-1.3749666408585242</v>
      </c>
    </row>
    <row r="288" spans="1:11">
      <c r="A288">
        <v>286</v>
      </c>
      <c r="B288">
        <v>28</v>
      </c>
      <c r="C288">
        <v>4</v>
      </c>
      <c r="D288">
        <v>0</v>
      </c>
      <c r="E288">
        <v>1</v>
      </c>
      <c r="G288">
        <f t="shared" si="16"/>
        <v>-0.7790782400246028</v>
      </c>
      <c r="H288" t="e">
        <f t="shared" si="17"/>
        <v>#NUM!</v>
      </c>
      <c r="I288">
        <f t="shared" si="18"/>
        <v>-1.3646231432870066</v>
      </c>
      <c r="K288" t="e">
        <f t="shared" si="19"/>
        <v>#NUM!</v>
      </c>
    </row>
    <row r="289" spans="1:11">
      <c r="A289">
        <v>287</v>
      </c>
      <c r="B289">
        <v>112</v>
      </c>
      <c r="C289">
        <v>4</v>
      </c>
      <c r="D289">
        <v>4</v>
      </c>
      <c r="E289">
        <v>4</v>
      </c>
      <c r="G289">
        <f t="shared" si="16"/>
        <v>-1.3811382313525653</v>
      </c>
      <c r="H289">
        <f t="shared" si="17"/>
        <v>-1.3970482332418528</v>
      </c>
      <c r="I289">
        <f t="shared" si="18"/>
        <v>-1.3646231432870066</v>
      </c>
      <c r="K289">
        <f t="shared" si="19"/>
        <v>-1.3809365359604751</v>
      </c>
    </row>
    <row r="290" spans="1:11">
      <c r="A290">
        <v>288</v>
      </c>
      <c r="B290">
        <v>83</v>
      </c>
      <c r="C290">
        <v>9</v>
      </c>
      <c r="D290">
        <v>5</v>
      </c>
      <c r="E290">
        <v>2</v>
      </c>
      <c r="G290">
        <f t="shared" si="16"/>
        <v>-0.89881578294709497</v>
      </c>
      <c r="H290">
        <f t="shared" si="17"/>
        <v>-1.1699982899396886</v>
      </c>
      <c r="I290">
        <f t="shared" si="18"/>
        <v>-1.5355132086568801</v>
      </c>
      <c r="K290">
        <f t="shared" si="19"/>
        <v>-1.2014424271812212</v>
      </c>
    </row>
    <row r="291" spans="1:11">
      <c r="A291">
        <v>289</v>
      </c>
      <c r="B291">
        <v>28</v>
      </c>
      <c r="C291">
        <v>36</v>
      </c>
      <c r="D291">
        <v>8</v>
      </c>
      <c r="E291">
        <v>3</v>
      </c>
      <c r="G291">
        <f t="shared" si="16"/>
        <v>0.17516426941472207</v>
      </c>
      <c r="H291">
        <f t="shared" si="17"/>
        <v>-0.49395824624990919</v>
      </c>
      <c r="I291">
        <f t="shared" si="18"/>
        <v>-0.88750188856734413</v>
      </c>
      <c r="K291">
        <f t="shared" si="19"/>
        <v>-0.40209862180084377</v>
      </c>
    </row>
    <row r="292" spans="1:11">
      <c r="A292">
        <v>290</v>
      </c>
      <c r="B292">
        <v>90</v>
      </c>
      <c r="C292">
        <v>1</v>
      </c>
      <c r="D292">
        <v>3</v>
      </c>
      <c r="E292">
        <v>3</v>
      </c>
      <c r="G292">
        <f t="shared" si="16"/>
        <v>-1.8882227094496709</v>
      </c>
      <c r="H292">
        <f t="shared" si="17"/>
        <v>-1.427011456619296</v>
      </c>
      <c r="I292">
        <f t="shared" si="18"/>
        <v>-1.3945863666644498</v>
      </c>
      <c r="K292">
        <f t="shared" si="19"/>
        <v>-1.5699401775778057</v>
      </c>
    </row>
    <row r="293" spans="1:11">
      <c r="A293">
        <v>291</v>
      </c>
      <c r="B293">
        <v>52</v>
      </c>
      <c r="C293">
        <v>0</v>
      </c>
      <c r="D293">
        <v>1</v>
      </c>
      <c r="E293">
        <v>0</v>
      </c>
      <c r="G293" t="e">
        <f t="shared" si="16"/>
        <v>#NUM!</v>
      </c>
      <c r="H293">
        <f t="shared" si="17"/>
        <v>-1.6658935455344328</v>
      </c>
      <c r="I293" t="e">
        <f t="shared" si="18"/>
        <v>#NUM!</v>
      </c>
      <c r="K293" t="e">
        <f t="shared" si="19"/>
        <v>#NUM!</v>
      </c>
    </row>
    <row r="294" spans="1:11">
      <c r="A294">
        <v>292</v>
      </c>
      <c r="B294">
        <v>121</v>
      </c>
      <c r="C294">
        <v>238</v>
      </c>
      <c r="D294">
        <v>514</v>
      </c>
      <c r="E294">
        <v>331</v>
      </c>
      <c r="G294">
        <f t="shared" si="16"/>
        <v>0.35981138672971591</v>
      </c>
      <c r="H294">
        <f t="shared" si="17"/>
        <v>0.67828754677919212</v>
      </c>
      <c r="I294">
        <f t="shared" si="18"/>
        <v>0.51957751151448128</v>
      </c>
      <c r="K294">
        <f t="shared" si="19"/>
        <v>0.51922548167446314</v>
      </c>
    </row>
    <row r="295" spans="1:11">
      <c r="A295">
        <v>293</v>
      </c>
      <c r="B295">
        <v>79</v>
      </c>
      <c r="C295">
        <v>124</v>
      </c>
      <c r="D295">
        <v>65</v>
      </c>
      <c r="E295">
        <v>116</v>
      </c>
      <c r="G295">
        <f t="shared" si="16"/>
        <v>0.26181439386144761</v>
      </c>
      <c r="H295">
        <f t="shared" si="17"/>
        <v>-3.4603936547219341E-2</v>
      </c>
      <c r="I295">
        <f t="shared" si="18"/>
        <v>0.24936578599168974</v>
      </c>
      <c r="K295">
        <f t="shared" si="19"/>
        <v>0.15885874776863934</v>
      </c>
    </row>
    <row r="296" spans="1:11">
      <c r="A296">
        <v>294</v>
      </c>
      <c r="B296">
        <v>65</v>
      </c>
      <c r="C296">
        <v>199</v>
      </c>
      <c r="D296">
        <v>2612</v>
      </c>
      <c r="E296">
        <v>120</v>
      </c>
      <c r="G296">
        <f t="shared" si="16"/>
        <v>0.55195951975650503</v>
      </c>
      <c r="H296">
        <f t="shared" si="17"/>
        <v>1.6541696140605471</v>
      </c>
      <c r="I296">
        <f t="shared" si="18"/>
        <v>0.34880277745998189</v>
      </c>
      <c r="K296">
        <f t="shared" si="19"/>
        <v>0.85164397042567808</v>
      </c>
    </row>
    <row r="297" spans="1:11">
      <c r="A297">
        <v>295</v>
      </c>
      <c r="B297">
        <v>42</v>
      </c>
      <c r="C297">
        <v>1</v>
      </c>
      <c r="D297">
        <v>3</v>
      </c>
      <c r="E297">
        <v>2</v>
      </c>
      <c r="G297">
        <f t="shared" si="16"/>
        <v>-1.5572294904082467</v>
      </c>
      <c r="H297">
        <f t="shared" si="17"/>
        <v>-1.0960182375778715</v>
      </c>
      <c r="I297">
        <f t="shared" si="18"/>
        <v>-1.2396844066787067</v>
      </c>
      <c r="K297">
        <f t="shared" si="19"/>
        <v>-1.2976440448882749</v>
      </c>
    </row>
    <row r="298" spans="1:11">
      <c r="A298">
        <v>296</v>
      </c>
      <c r="B298">
        <v>9</v>
      </c>
      <c r="C298">
        <v>106</v>
      </c>
      <c r="D298">
        <v>38</v>
      </c>
      <c r="E298">
        <v>45</v>
      </c>
      <c r="G298">
        <f t="shared" si="16"/>
        <v>1.1370831558150993</v>
      </c>
      <c r="H298">
        <f t="shared" si="17"/>
        <v>0.67565088527785178</v>
      </c>
      <c r="I298">
        <f t="shared" si="18"/>
        <v>0.78150489239123155</v>
      </c>
      <c r="K298">
        <f t="shared" si="19"/>
        <v>0.86474631116139422</v>
      </c>
    </row>
    <row r="299" spans="1:11">
      <c r="A299">
        <v>297</v>
      </c>
      <c r="B299">
        <v>108</v>
      </c>
      <c r="C299">
        <v>10</v>
      </c>
      <c r="D299">
        <v>34</v>
      </c>
      <c r="E299">
        <v>18</v>
      </c>
      <c r="G299">
        <f t="shared" si="16"/>
        <v>-0.96740395549729563</v>
      </c>
      <c r="H299">
        <f t="shared" si="17"/>
        <v>-0.45183504034432814</v>
      </c>
      <c r="I299">
        <f t="shared" si="18"/>
        <v>-0.69561636232843094</v>
      </c>
      <c r="K299">
        <f t="shared" si="19"/>
        <v>-0.70495178605668496</v>
      </c>
    </row>
    <row r="300" spans="1:11">
      <c r="A300">
        <v>298</v>
      </c>
      <c r="B300">
        <v>302</v>
      </c>
      <c r="C300">
        <v>8</v>
      </c>
      <c r="D300">
        <v>7</v>
      </c>
      <c r="E300">
        <v>4</v>
      </c>
      <c r="G300">
        <f t="shared" si="16"/>
        <v>-1.5108971559755531</v>
      </c>
      <c r="H300">
        <f t="shared" si="17"/>
        <v>-1.5847991048425274</v>
      </c>
      <c r="I300">
        <f t="shared" si="18"/>
        <v>-1.7954120635739756</v>
      </c>
      <c r="K300">
        <f t="shared" si="19"/>
        <v>-1.6303694414640184</v>
      </c>
    </row>
    <row r="301" spans="1:11">
      <c r="A301">
        <v>299</v>
      </c>
      <c r="B301">
        <v>83</v>
      </c>
      <c r="C301">
        <v>6</v>
      </c>
      <c r="D301">
        <v>2</v>
      </c>
      <c r="E301">
        <v>7</v>
      </c>
      <c r="G301">
        <f t="shared" si="16"/>
        <v>-1.0749070420027764</v>
      </c>
      <c r="H301">
        <f t="shared" si="17"/>
        <v>-1.5679382986117263</v>
      </c>
      <c r="I301">
        <f t="shared" si="18"/>
        <v>-0.99144516430660434</v>
      </c>
      <c r="K301">
        <f t="shared" si="19"/>
        <v>-1.2114301683070356</v>
      </c>
    </row>
    <row r="302" spans="1:11">
      <c r="A302">
        <v>300</v>
      </c>
      <c r="B302">
        <v>48</v>
      </c>
      <c r="C302">
        <v>3</v>
      </c>
      <c r="D302">
        <v>0</v>
      </c>
      <c r="E302">
        <v>2</v>
      </c>
      <c r="G302">
        <f t="shared" si="16"/>
        <v>-1.1381001826662709</v>
      </c>
      <c r="H302" t="e">
        <f t="shared" si="17"/>
        <v>#NUM!</v>
      </c>
      <c r="I302">
        <f t="shared" si="18"/>
        <v>-1.2976763536563936</v>
      </c>
      <c r="K302" t="e">
        <f t="shared" si="19"/>
        <v>#NUM!</v>
      </c>
    </row>
    <row r="303" spans="1:11">
      <c r="A303">
        <v>301</v>
      </c>
      <c r="B303">
        <v>40</v>
      </c>
      <c r="C303">
        <v>0</v>
      </c>
      <c r="D303">
        <v>2</v>
      </c>
      <c r="E303">
        <v>0</v>
      </c>
      <c r="G303" t="e">
        <f t="shared" si="16"/>
        <v>#NUM!</v>
      </c>
      <c r="H303">
        <f t="shared" si="17"/>
        <v>-1.2509201975636148</v>
      </c>
      <c r="I303" t="e">
        <f t="shared" si="18"/>
        <v>#NUM!</v>
      </c>
      <c r="K303" t="e">
        <f t="shared" si="19"/>
        <v>#NUM!</v>
      </c>
    </row>
    <row r="304" spans="1:11">
      <c r="A304">
        <v>302</v>
      </c>
      <c r="B304">
        <v>47</v>
      </c>
      <c r="C304">
        <v>185</v>
      </c>
      <c r="D304">
        <v>195</v>
      </c>
      <c r="E304">
        <v>117</v>
      </c>
      <c r="G304">
        <f t="shared" si="16"/>
        <v>0.66109367045695033</v>
      </c>
      <c r="H304">
        <f t="shared" si="17"/>
        <v>0.66804655152716708</v>
      </c>
      <c r="I304">
        <f t="shared" si="18"/>
        <v>0.47862289186565682</v>
      </c>
      <c r="K304">
        <f t="shared" si="19"/>
        <v>0.60258770461659139</v>
      </c>
    </row>
    <row r="305" spans="1:11">
      <c r="A305">
        <v>303</v>
      </c>
      <c r="B305">
        <v>33</v>
      </c>
      <c r="C305">
        <v>186</v>
      </c>
      <c r="D305">
        <v>63</v>
      </c>
      <c r="E305">
        <v>51</v>
      </c>
      <c r="G305">
        <f t="shared" si="16"/>
        <v>0.81701880432968288</v>
      </c>
      <c r="H305">
        <f t="shared" si="17"/>
        <v>0.3309364076760607</v>
      </c>
      <c r="I305">
        <f t="shared" si="18"/>
        <v>0.27159112427526155</v>
      </c>
      <c r="K305">
        <f t="shared" si="19"/>
        <v>0.47318211209366839</v>
      </c>
    </row>
    <row r="306" spans="1:11">
      <c r="A306">
        <v>304</v>
      </c>
      <c r="B306">
        <v>112</v>
      </c>
      <c r="C306">
        <v>2</v>
      </c>
      <c r="D306">
        <v>1</v>
      </c>
      <c r="E306">
        <v>4</v>
      </c>
      <c r="G306">
        <f t="shared" si="16"/>
        <v>-1.6821682270165466</v>
      </c>
      <c r="H306">
        <f t="shared" si="17"/>
        <v>-1.9991082245698151</v>
      </c>
      <c r="I306">
        <f t="shared" si="18"/>
        <v>-1.3646231432870066</v>
      </c>
      <c r="K306">
        <f t="shared" si="19"/>
        <v>-1.6819665316244563</v>
      </c>
    </row>
    <row r="307" spans="1:11">
      <c r="A307">
        <v>305</v>
      </c>
      <c r="B307">
        <v>42</v>
      </c>
      <c r="C307">
        <v>0</v>
      </c>
      <c r="D307">
        <v>1</v>
      </c>
      <c r="E307">
        <v>1</v>
      </c>
      <c r="G307" t="e">
        <f t="shared" si="16"/>
        <v>#NUM!</v>
      </c>
      <c r="H307">
        <f t="shared" si="17"/>
        <v>-1.5731394922975341</v>
      </c>
      <c r="I307">
        <f t="shared" si="18"/>
        <v>-1.540714402342688</v>
      </c>
      <c r="K307" t="e">
        <f t="shared" si="19"/>
        <v>#NUM!</v>
      </c>
    </row>
    <row r="308" spans="1:11">
      <c r="A308">
        <v>306</v>
      </c>
      <c r="B308">
        <v>185</v>
      </c>
      <c r="C308">
        <v>0</v>
      </c>
      <c r="D308">
        <v>3</v>
      </c>
      <c r="E308">
        <v>2</v>
      </c>
      <c r="G308" t="e">
        <f t="shared" si="16"/>
        <v>#NUM!</v>
      </c>
      <c r="H308">
        <f t="shared" si="17"/>
        <v>-1.7399406755829849</v>
      </c>
      <c r="I308">
        <f t="shared" si="18"/>
        <v>-1.8836068446838199</v>
      </c>
      <c r="K308" t="e">
        <f t="shared" si="19"/>
        <v>#NUM!</v>
      </c>
    </row>
    <row r="309" spans="1:11">
      <c r="A309">
        <v>307</v>
      </c>
      <c r="B309">
        <v>30</v>
      </c>
      <c r="C309">
        <v>11</v>
      </c>
      <c r="D309">
        <v>10</v>
      </c>
      <c r="E309">
        <v>6</v>
      </c>
      <c r="G309">
        <f t="shared" si="16"/>
        <v>-0.36970876957178339</v>
      </c>
      <c r="H309">
        <f t="shared" si="17"/>
        <v>-0.42701145661929596</v>
      </c>
      <c r="I309">
        <f t="shared" si="18"/>
        <v>-0.61643511628080605</v>
      </c>
      <c r="K309">
        <f t="shared" si="19"/>
        <v>-0.47105178082396176</v>
      </c>
    </row>
    <row r="310" spans="1:11">
      <c r="A310">
        <v>308</v>
      </c>
      <c r="B310">
        <v>282</v>
      </c>
      <c r="C310">
        <v>20</v>
      </c>
      <c r="D310">
        <v>15</v>
      </c>
      <c r="E310">
        <v>15</v>
      </c>
      <c r="G310">
        <f t="shared" si="16"/>
        <v>-1.083199312665726</v>
      </c>
      <c r="H310">
        <f t="shared" si="17"/>
        <v>-1.2240480511633134</v>
      </c>
      <c r="I310">
        <f t="shared" si="18"/>
        <v>-1.1916229612084672</v>
      </c>
      <c r="K310">
        <f t="shared" si="19"/>
        <v>-1.1662901083458355</v>
      </c>
    </row>
    <row r="311" spans="1:11">
      <c r="A311">
        <v>309</v>
      </c>
      <c r="B311">
        <v>47</v>
      </c>
      <c r="C311">
        <v>36</v>
      </c>
      <c r="D311">
        <v>6</v>
      </c>
      <c r="E311">
        <v>20</v>
      </c>
      <c r="G311">
        <f t="shared" si="16"/>
        <v>-4.97755571787762E-2</v>
      </c>
      <c r="H311">
        <f t="shared" si="17"/>
        <v>-0.84383680945170736</v>
      </c>
      <c r="I311">
        <f t="shared" si="18"/>
        <v>-0.28853297421652363</v>
      </c>
      <c r="K311">
        <f t="shared" si="19"/>
        <v>-0.39404844694900243</v>
      </c>
    </row>
    <row r="312" spans="1:11">
      <c r="A312">
        <v>310</v>
      </c>
      <c r="B312">
        <v>59</v>
      </c>
      <c r="C312">
        <v>11</v>
      </c>
      <c r="D312">
        <v>15</v>
      </c>
      <c r="E312">
        <v>6</v>
      </c>
      <c r="G312">
        <f t="shared" si="16"/>
        <v>-0.66343952649426507</v>
      </c>
      <c r="H312">
        <f t="shared" si="17"/>
        <v>-0.54465095448609646</v>
      </c>
      <c r="I312">
        <f t="shared" si="18"/>
        <v>-0.91016587320328779</v>
      </c>
      <c r="K312">
        <f t="shared" si="19"/>
        <v>-0.7060854513945497</v>
      </c>
    </row>
    <row r="313" spans="1:11">
      <c r="A313">
        <v>311</v>
      </c>
      <c r="B313">
        <v>25</v>
      </c>
      <c r="C313">
        <v>1</v>
      </c>
      <c r="D313">
        <v>0</v>
      </c>
      <c r="E313">
        <v>0</v>
      </c>
      <c r="G313">
        <f t="shared" si="16"/>
        <v>-1.3319202086823836</v>
      </c>
      <c r="H313" t="e">
        <f t="shared" si="17"/>
        <v>#NUM!</v>
      </c>
      <c r="I313" t="e">
        <f t="shared" si="18"/>
        <v>#NUM!</v>
      </c>
      <c r="K313" t="e">
        <f t="shared" si="19"/>
        <v>#NUM!</v>
      </c>
    </row>
    <row r="314" spans="1:11">
      <c r="A314">
        <v>312</v>
      </c>
      <c r="B314">
        <v>24</v>
      </c>
      <c r="C314">
        <v>1</v>
      </c>
      <c r="D314">
        <v>1</v>
      </c>
      <c r="E314">
        <v>0</v>
      </c>
      <c r="G314">
        <f t="shared" si="16"/>
        <v>-1.3141914417219522</v>
      </c>
      <c r="H314">
        <f t="shared" si="17"/>
        <v>-1.3301014436112397</v>
      </c>
      <c r="I314" t="e">
        <f t="shared" si="18"/>
        <v>#NUM!</v>
      </c>
      <c r="K314" t="e">
        <f t="shared" si="19"/>
        <v>#NUM!</v>
      </c>
    </row>
    <row r="315" spans="1:11">
      <c r="A315">
        <v>313</v>
      </c>
      <c r="B315">
        <v>235</v>
      </c>
      <c r="C315">
        <v>386</v>
      </c>
      <c r="D315">
        <v>830</v>
      </c>
      <c r="E315">
        <v>2261</v>
      </c>
      <c r="G315">
        <f t="shared" si="16"/>
        <v>0.28153924238967265</v>
      </c>
      <c r="H315">
        <f t="shared" si="17"/>
        <v>0.59812002820470411</v>
      </c>
      <c r="I315">
        <f t="shared" si="18"/>
        <v>1.065767588128836</v>
      </c>
      <c r="K315">
        <f t="shared" si="19"/>
        <v>0.64847561957440425</v>
      </c>
    </row>
    <row r="316" spans="1:11">
      <c r="A316">
        <v>314</v>
      </c>
      <c r="B316">
        <v>102</v>
      </c>
      <c r="C316">
        <v>0</v>
      </c>
      <c r="D316">
        <v>2</v>
      </c>
      <c r="E316">
        <v>2</v>
      </c>
      <c r="G316" t="e">
        <f t="shared" si="16"/>
        <v>#NUM!</v>
      </c>
      <c r="H316">
        <f t="shared" si="17"/>
        <v>-1.6574603779975698</v>
      </c>
      <c r="I316">
        <f t="shared" si="18"/>
        <v>-1.6250352880427237</v>
      </c>
      <c r="K316" t="e">
        <f t="shared" si="19"/>
        <v>#NUM!</v>
      </c>
    </row>
    <row r="317" spans="1:11">
      <c r="A317">
        <v>315</v>
      </c>
      <c r="B317">
        <v>67</v>
      </c>
      <c r="C317">
        <v>0</v>
      </c>
      <c r="D317">
        <v>0</v>
      </c>
      <c r="E317">
        <v>0</v>
      </c>
      <c r="G317" t="e">
        <f t="shared" si="16"/>
        <v>#NUM!</v>
      </c>
      <c r="H317" t="e">
        <f t="shared" si="17"/>
        <v>#NUM!</v>
      </c>
      <c r="I317" t="e">
        <f t="shared" si="18"/>
        <v>#NUM!</v>
      </c>
      <c r="K317" t="e">
        <f t="shared" si="19"/>
        <v>#NUM!</v>
      </c>
    </row>
    <row r="318" spans="1:11">
      <c r="A318">
        <v>316</v>
      </c>
      <c r="B318">
        <v>36</v>
      </c>
      <c r="C318">
        <v>0</v>
      </c>
      <c r="D318">
        <v>2</v>
      </c>
      <c r="E318">
        <v>1</v>
      </c>
      <c r="G318" t="e">
        <f t="shared" si="16"/>
        <v>#NUM!</v>
      </c>
      <c r="H318">
        <f t="shared" si="17"/>
        <v>-1.2051627070029396</v>
      </c>
      <c r="I318">
        <f t="shared" si="18"/>
        <v>-1.4737676127120747</v>
      </c>
      <c r="K318" t="e">
        <f t="shared" si="19"/>
        <v>#NUM!</v>
      </c>
    </row>
    <row r="319" spans="1:11">
      <c r="A319">
        <v>317</v>
      </c>
      <c r="B319">
        <v>46</v>
      </c>
      <c r="C319">
        <v>0</v>
      </c>
      <c r="D319">
        <v>1</v>
      </c>
      <c r="E319">
        <v>1</v>
      </c>
      <c r="G319" t="e">
        <f t="shared" si="16"/>
        <v>#NUM!</v>
      </c>
      <c r="H319">
        <f t="shared" si="17"/>
        <v>-1.6126480335812077</v>
      </c>
      <c r="I319">
        <f t="shared" si="18"/>
        <v>-1.5802229436263615</v>
      </c>
      <c r="K319" t="e">
        <f t="shared" si="19"/>
        <v>#NUM!</v>
      </c>
    </row>
    <row r="320" spans="1:11">
      <c r="A320">
        <v>318</v>
      </c>
      <c r="B320">
        <v>145</v>
      </c>
      <c r="C320">
        <v>1</v>
      </c>
      <c r="D320">
        <v>1</v>
      </c>
      <c r="E320">
        <v>2</v>
      </c>
      <c r="G320">
        <f t="shared" si="16"/>
        <v>-2.0953482022453209</v>
      </c>
      <c r="H320">
        <f t="shared" si="17"/>
        <v>-2.1112582041346082</v>
      </c>
      <c r="I320">
        <f t="shared" si="18"/>
        <v>-1.7778031185157812</v>
      </c>
      <c r="K320">
        <f t="shared" si="19"/>
        <v>-1.9948031749652368</v>
      </c>
    </row>
    <row r="321" spans="1:11">
      <c r="A321">
        <v>319</v>
      </c>
      <c r="B321">
        <v>174</v>
      </c>
      <c r="C321">
        <v>7</v>
      </c>
      <c r="D321">
        <v>4</v>
      </c>
      <c r="E321">
        <v>9</v>
      </c>
      <c r="G321">
        <f t="shared" si="16"/>
        <v>-1.3294314082786889</v>
      </c>
      <c r="H321">
        <f t="shared" si="17"/>
        <v>-1.588379458854271</v>
      </c>
      <c r="I321">
        <f t="shared" si="18"/>
        <v>-1.2037718507880624</v>
      </c>
      <c r="K321">
        <f t="shared" si="19"/>
        <v>-1.3738609059736742</v>
      </c>
    </row>
    <row r="322" spans="1:11">
      <c r="A322">
        <v>320</v>
      </c>
      <c r="B322">
        <v>105</v>
      </c>
      <c r="C322">
        <v>0</v>
      </c>
      <c r="D322">
        <v>4</v>
      </c>
      <c r="E322">
        <v>3</v>
      </c>
      <c r="G322" t="e">
        <f t="shared" si="16"/>
        <v>#NUM!</v>
      </c>
      <c r="H322">
        <f t="shared" si="17"/>
        <v>-1.3690195096416091</v>
      </c>
      <c r="I322">
        <f t="shared" si="18"/>
        <v>-1.4615331562950631</v>
      </c>
      <c r="K322" t="e">
        <f t="shared" si="19"/>
        <v>#NUM!</v>
      </c>
    </row>
    <row r="323" spans="1:11">
      <c r="A323">
        <v>321</v>
      </c>
      <c r="B323">
        <v>111</v>
      </c>
      <c r="C323">
        <v>4</v>
      </c>
      <c r="D323">
        <v>5</v>
      </c>
      <c r="E323">
        <v>2</v>
      </c>
      <c r="G323">
        <f t="shared" ref="G323:G386" si="20">LOG10(C323/B323)-LOG10(134/156)</f>
        <v>-1.3772431874690412</v>
      </c>
      <c r="H323">
        <f t="shared" ref="H323:H386" si="21">LOG10(D323/B323)-LOG10(139/156)</f>
        <v>-1.2962431763502722</v>
      </c>
      <c r="I323">
        <f t="shared" ref="I323:I386" si="22">LOG10(E323/B323)-LOG10(129/156)</f>
        <v>-1.6617580950674637</v>
      </c>
      <c r="K323">
        <f t="shared" ref="K323:K386" si="23">AVERAGE(G323:I323)</f>
        <v>-1.4450814862955923</v>
      </c>
    </row>
    <row r="324" spans="1:11">
      <c r="A324">
        <v>322</v>
      </c>
      <c r="B324">
        <v>94</v>
      </c>
      <c r="C324">
        <v>7</v>
      </c>
      <c r="D324">
        <v>61</v>
      </c>
      <c r="E324">
        <v>15</v>
      </c>
      <c r="G324">
        <f t="shared" si="20"/>
        <v>-1.0620100135957879</v>
      </c>
      <c r="H324">
        <f t="shared" si="21"/>
        <v>-0.13768822048856516</v>
      </c>
      <c r="I324">
        <f t="shared" si="22"/>
        <v>-0.71450170648880473</v>
      </c>
      <c r="K324">
        <f t="shared" si="23"/>
        <v>-0.6380666468577193</v>
      </c>
    </row>
    <row r="325" spans="1:11">
      <c r="A325">
        <v>323</v>
      </c>
      <c r="B325">
        <v>134</v>
      </c>
      <c r="C325">
        <v>6</v>
      </c>
      <c r="D325">
        <v>9</v>
      </c>
      <c r="E325">
        <v>3</v>
      </c>
      <c r="G325">
        <f t="shared" si="20"/>
        <v>-1.2829337479915102</v>
      </c>
      <c r="H325">
        <f t="shared" si="21"/>
        <v>-1.1227524908251163</v>
      </c>
      <c r="I325">
        <f t="shared" si="22"/>
        <v>-1.5674486555899327</v>
      </c>
      <c r="K325">
        <f t="shared" si="23"/>
        <v>-1.3243782981355197</v>
      </c>
    </row>
    <row r="326" spans="1:11">
      <c r="A326">
        <v>324</v>
      </c>
      <c r="B326">
        <v>42</v>
      </c>
      <c r="C326">
        <v>20</v>
      </c>
      <c r="D326">
        <v>23</v>
      </c>
      <c r="E326">
        <v>37</v>
      </c>
      <c r="G326">
        <f t="shared" si="20"/>
        <v>-0.25619949474426529</v>
      </c>
      <c r="H326">
        <f t="shared" si="21"/>
        <v>-0.21141165627994107</v>
      </c>
      <c r="I326">
        <f t="shared" si="22"/>
        <v>2.7487321724307179E-2</v>
      </c>
      <c r="K326">
        <f t="shared" si="23"/>
        <v>-0.1467079430999664</v>
      </c>
    </row>
    <row r="327" spans="1:11">
      <c r="A327">
        <v>325</v>
      </c>
      <c r="B327">
        <v>38</v>
      </c>
      <c r="C327">
        <v>2</v>
      </c>
      <c r="D327">
        <v>2</v>
      </c>
      <c r="E327">
        <v>1</v>
      </c>
      <c r="G327">
        <f t="shared" si="20"/>
        <v>-1.2127338009631752</v>
      </c>
      <c r="H327">
        <f t="shared" si="21"/>
        <v>-1.2286438028524627</v>
      </c>
      <c r="I327">
        <f t="shared" si="22"/>
        <v>-1.4972487085615975</v>
      </c>
      <c r="K327">
        <f t="shared" si="23"/>
        <v>-1.3128754374590785</v>
      </c>
    </row>
    <row r="328" spans="1:11">
      <c r="A328">
        <v>326</v>
      </c>
      <c r="B328">
        <v>61</v>
      </c>
      <c r="C328">
        <v>3</v>
      </c>
      <c r="D328">
        <v>2</v>
      </c>
      <c r="E328">
        <v>4</v>
      </c>
      <c r="G328">
        <f t="shared" si="20"/>
        <v>-1.2421887803014506</v>
      </c>
      <c r="H328">
        <f t="shared" si="21"/>
        <v>-1.4341900412464195</v>
      </c>
      <c r="I328">
        <f t="shared" si="22"/>
        <v>-1.100734955627592</v>
      </c>
      <c r="K328">
        <f t="shared" si="23"/>
        <v>-1.2590379257251543</v>
      </c>
    </row>
    <row r="329" spans="1:11">
      <c r="A329">
        <v>327</v>
      </c>
      <c r="B329">
        <v>78</v>
      </c>
      <c r="C329">
        <v>1</v>
      </c>
      <c r="D329">
        <v>5</v>
      </c>
      <c r="E329">
        <v>3</v>
      </c>
      <c r="G329">
        <f t="shared" si="20"/>
        <v>-1.8260748027008264</v>
      </c>
      <c r="H329">
        <f t="shared" si="21"/>
        <v>-1.1430148002540952</v>
      </c>
      <c r="I329">
        <f t="shared" si="22"/>
        <v>-1.3324384599156054</v>
      </c>
      <c r="K329">
        <f t="shared" si="23"/>
        <v>-1.4338426876235093</v>
      </c>
    </row>
    <row r="330" spans="1:11">
      <c r="A330">
        <v>328</v>
      </c>
      <c r="B330">
        <v>19</v>
      </c>
      <c r="C330">
        <v>0</v>
      </c>
      <c r="D330">
        <v>1</v>
      </c>
      <c r="E330">
        <v>2</v>
      </c>
      <c r="G330" t="e">
        <f t="shared" si="20"/>
        <v>#NUM!</v>
      </c>
      <c r="H330">
        <f t="shared" si="21"/>
        <v>-1.2286438028524627</v>
      </c>
      <c r="I330">
        <f t="shared" si="22"/>
        <v>-0.89518871723363513</v>
      </c>
      <c r="K330" t="e">
        <f t="shared" si="23"/>
        <v>#NUM!</v>
      </c>
    </row>
    <row r="331" spans="1:11">
      <c r="A331">
        <v>329</v>
      </c>
      <c r="B331">
        <v>174</v>
      </c>
      <c r="C331">
        <v>43</v>
      </c>
      <c r="D331">
        <v>252</v>
      </c>
      <c r="E331">
        <v>73</v>
      </c>
      <c r="G331">
        <f t="shared" si="20"/>
        <v>-0.54106099271335917</v>
      </c>
      <c r="H331">
        <f t="shared" si="21"/>
        <v>0.21096109059931084</v>
      </c>
      <c r="I331">
        <f t="shared" si="22"/>
        <v>-0.29469150010693118</v>
      </c>
      <c r="K331">
        <f t="shared" si="23"/>
        <v>-0.20826380074032649</v>
      </c>
    </row>
    <row r="332" spans="1:11">
      <c r="A332">
        <v>330</v>
      </c>
      <c r="B332">
        <v>201</v>
      </c>
      <c r="C332">
        <v>11</v>
      </c>
      <c r="D332">
        <v>21</v>
      </c>
      <c r="E332">
        <v>9</v>
      </c>
      <c r="G332">
        <f t="shared" si="20"/>
        <v>-1.19578357227261</v>
      </c>
      <c r="H332">
        <f t="shared" si="21"/>
        <v>-0.93086696458620311</v>
      </c>
      <c r="I332">
        <f t="shared" si="22"/>
        <v>-1.2664186599259515</v>
      </c>
      <c r="K332">
        <f t="shared" si="23"/>
        <v>-1.1310230655949216</v>
      </c>
    </row>
    <row r="333" spans="1:11">
      <c r="A333">
        <v>331</v>
      </c>
      <c r="B333">
        <v>28</v>
      </c>
      <c r="C333">
        <v>0</v>
      </c>
      <c r="D333">
        <v>2</v>
      </c>
      <c r="E333">
        <v>1</v>
      </c>
      <c r="G333" t="e">
        <f t="shared" si="20"/>
        <v>#NUM!</v>
      </c>
      <c r="H333">
        <f t="shared" si="21"/>
        <v>-1.0960182375778715</v>
      </c>
      <c r="I333">
        <f t="shared" si="22"/>
        <v>-1.3646231432870066</v>
      </c>
      <c r="K333" t="e">
        <f t="shared" si="23"/>
        <v>#NUM!</v>
      </c>
    </row>
    <row r="334" spans="1:11">
      <c r="A334">
        <v>332</v>
      </c>
      <c r="B334">
        <v>57</v>
      </c>
      <c r="C334">
        <v>1</v>
      </c>
      <c r="D334">
        <v>4</v>
      </c>
      <c r="E334">
        <v>2</v>
      </c>
      <c r="G334">
        <f t="shared" si="20"/>
        <v>-1.6898550556828376</v>
      </c>
      <c r="H334">
        <f t="shared" si="21"/>
        <v>-1.1037050662441625</v>
      </c>
      <c r="I334">
        <f t="shared" si="22"/>
        <v>-1.3723099719532976</v>
      </c>
      <c r="K334">
        <f t="shared" si="23"/>
        <v>-1.3886233646267661</v>
      </c>
    </row>
    <row r="335" spans="1:11">
      <c r="A335">
        <v>333</v>
      </c>
      <c r="B335">
        <v>175</v>
      </c>
      <c r="C335">
        <v>2</v>
      </c>
      <c r="D335">
        <v>12</v>
      </c>
      <c r="E335">
        <v>9</v>
      </c>
      <c r="G335">
        <f t="shared" si="20"/>
        <v>-1.8759882530326593</v>
      </c>
      <c r="H335">
        <f t="shared" si="21"/>
        <v>-1.1137470045383031</v>
      </c>
      <c r="I335">
        <f t="shared" si="22"/>
        <v>-1.2062606511917571</v>
      </c>
      <c r="K335">
        <f t="shared" si="23"/>
        <v>-1.3986653029209064</v>
      </c>
    </row>
    <row r="336" spans="1:11">
      <c r="A336">
        <v>334</v>
      </c>
      <c r="B336">
        <v>97</v>
      </c>
      <c r="C336">
        <v>120</v>
      </c>
      <c r="D336">
        <v>438</v>
      </c>
      <c r="E336">
        <v>83</v>
      </c>
      <c r="G336">
        <f t="shared" si="20"/>
        <v>0.15842931177103398</v>
      </c>
      <c r="H336">
        <f t="shared" si="21"/>
        <v>0.70481217433822119</v>
      </c>
      <c r="I336">
        <f t="shared" si="22"/>
        <v>1.4841246165041691E-2</v>
      </c>
      <c r="K336">
        <f t="shared" si="23"/>
        <v>0.2926942440914323</v>
      </c>
    </row>
    <row r="337" spans="1:11">
      <c r="A337">
        <v>335</v>
      </c>
      <c r="B337">
        <v>73</v>
      </c>
      <c r="C337">
        <v>1</v>
      </c>
      <c r="D337">
        <v>0</v>
      </c>
      <c r="E337">
        <v>1</v>
      </c>
      <c r="G337">
        <f t="shared" si="20"/>
        <v>-1.797303060130802</v>
      </c>
      <c r="H337" t="e">
        <f t="shared" si="21"/>
        <v>#NUM!</v>
      </c>
      <c r="I337">
        <f t="shared" si="22"/>
        <v>-1.7807879720652433</v>
      </c>
      <c r="K337" t="e">
        <f t="shared" si="23"/>
        <v>#NUM!</v>
      </c>
    </row>
    <row r="338" spans="1:11">
      <c r="A338">
        <v>336</v>
      </c>
      <c r="B338">
        <v>72</v>
      </c>
      <c r="C338">
        <v>0</v>
      </c>
      <c r="D338">
        <v>1</v>
      </c>
      <c r="E338">
        <v>1</v>
      </c>
      <c r="G338" t="e">
        <f t="shared" si="20"/>
        <v>#NUM!</v>
      </c>
      <c r="H338">
        <f t="shared" si="21"/>
        <v>-1.8072226983309021</v>
      </c>
      <c r="I338">
        <f t="shared" si="22"/>
        <v>-1.7747976083760559</v>
      </c>
      <c r="K338" t="e">
        <f t="shared" si="23"/>
        <v>#NUM!</v>
      </c>
    </row>
    <row r="339" spans="1:11">
      <c r="A339">
        <v>337</v>
      </c>
      <c r="B339">
        <v>136</v>
      </c>
      <c r="C339">
        <v>36</v>
      </c>
      <c r="D339">
        <v>14</v>
      </c>
      <c r="E339">
        <v>16</v>
      </c>
      <c r="G339">
        <f t="shared" si="20"/>
        <v>-0.51121660761327625</v>
      </c>
      <c r="H339">
        <f t="shared" si="21"/>
        <v>-0.93730107459161294</v>
      </c>
      <c r="I339">
        <f t="shared" si="22"/>
        <v>-0.84688403765908005</v>
      </c>
      <c r="K339">
        <f t="shared" si="23"/>
        <v>-0.76513390662132308</v>
      </c>
    </row>
    <row r="340" spans="1:11">
      <c r="A340">
        <v>338</v>
      </c>
      <c r="B340">
        <v>121</v>
      </c>
      <c r="C340">
        <v>2</v>
      </c>
      <c r="D340">
        <v>2</v>
      </c>
      <c r="E340">
        <v>3</v>
      </c>
      <c r="G340">
        <f t="shared" si="20"/>
        <v>-1.7157355746628149</v>
      </c>
      <c r="H340">
        <f t="shared" si="21"/>
        <v>-1.7316455765521024</v>
      </c>
      <c r="I340">
        <f t="shared" si="22"/>
        <v>-1.5231292275415751</v>
      </c>
      <c r="K340">
        <f t="shared" si="23"/>
        <v>-1.6568367929188306</v>
      </c>
    </row>
    <row r="341" spans="1:11">
      <c r="A341">
        <v>339</v>
      </c>
      <c r="B341">
        <v>60</v>
      </c>
      <c r="C341">
        <v>895</v>
      </c>
      <c r="D341">
        <v>5894</v>
      </c>
      <c r="E341">
        <v>297</v>
      </c>
      <c r="G341">
        <f t="shared" si="20"/>
        <v>1.2396915849219223</v>
      </c>
      <c r="H341">
        <f t="shared" si="21"/>
        <v>2.0423686792306293</v>
      </c>
      <c r="I341">
        <f t="shared" si="22"/>
        <v>0.77714008698878145</v>
      </c>
      <c r="K341">
        <f t="shared" si="23"/>
        <v>1.3530667837137778</v>
      </c>
    </row>
    <row r="342" spans="1:11">
      <c r="A342">
        <v>340</v>
      </c>
      <c r="B342">
        <v>58</v>
      </c>
      <c r="C342">
        <v>6</v>
      </c>
      <c r="D342">
        <v>4</v>
      </c>
      <c r="E342">
        <v>19</v>
      </c>
      <c r="G342">
        <f t="shared" si="20"/>
        <v>-0.91925694318963969</v>
      </c>
      <c r="H342">
        <f t="shared" si="21"/>
        <v>-1.1112582041346084</v>
      </c>
      <c r="I342">
        <f t="shared" si="22"/>
        <v>-0.40213950455489572</v>
      </c>
      <c r="K342">
        <f t="shared" si="23"/>
        <v>-0.81088488395971459</v>
      </c>
    </row>
    <row r="343" spans="1:11">
      <c r="A343">
        <v>341</v>
      </c>
      <c r="B343">
        <v>150</v>
      </c>
      <c r="C343">
        <v>3</v>
      </c>
      <c r="D343">
        <v>3</v>
      </c>
      <c r="E343">
        <v>3</v>
      </c>
      <c r="G343">
        <f t="shared" si="20"/>
        <v>-1.6329502043463648</v>
      </c>
      <c r="H343">
        <f t="shared" si="21"/>
        <v>-1.6488602062356523</v>
      </c>
      <c r="I343">
        <f t="shared" si="22"/>
        <v>-1.6164351162808062</v>
      </c>
      <c r="K343">
        <f t="shared" si="23"/>
        <v>-1.6327485089542746</v>
      </c>
    </row>
    <row r="344" spans="1:11">
      <c r="A344">
        <v>342</v>
      </c>
      <c r="B344">
        <v>26</v>
      </c>
      <c r="C344">
        <v>0</v>
      </c>
      <c r="D344">
        <v>0</v>
      </c>
      <c r="E344">
        <v>1</v>
      </c>
      <c r="G344" t="e">
        <f t="shared" si="20"/>
        <v>#NUM!</v>
      </c>
      <c r="H344" t="e">
        <f t="shared" si="21"/>
        <v>#NUM!</v>
      </c>
      <c r="I344">
        <f t="shared" si="22"/>
        <v>-1.3324384599156054</v>
      </c>
      <c r="K344" t="e">
        <f t="shared" si="23"/>
        <v>#NUM!</v>
      </c>
    </row>
    <row r="345" spans="1:11">
      <c r="A345">
        <v>343</v>
      </c>
      <c r="B345">
        <v>49</v>
      </c>
      <c r="C345">
        <v>0</v>
      </c>
      <c r="D345">
        <v>1</v>
      </c>
      <c r="E345">
        <v>1</v>
      </c>
      <c r="G345" t="e">
        <f t="shared" si="20"/>
        <v>#NUM!</v>
      </c>
      <c r="H345">
        <f t="shared" si="21"/>
        <v>-1.6400862819281472</v>
      </c>
      <c r="I345">
        <f t="shared" si="22"/>
        <v>-1.607661191973301</v>
      </c>
      <c r="K345" t="e">
        <f t="shared" si="23"/>
        <v>#NUM!</v>
      </c>
    </row>
    <row r="346" spans="1:11">
      <c r="A346">
        <v>344</v>
      </c>
      <c r="B346">
        <v>143</v>
      </c>
      <c r="C346">
        <v>1</v>
      </c>
      <c r="D346">
        <v>8</v>
      </c>
      <c r="E346">
        <v>3</v>
      </c>
      <c r="G346">
        <f t="shared" si="20"/>
        <v>-2.089316237475408</v>
      </c>
      <c r="H346">
        <f t="shared" si="21"/>
        <v>-1.2021362523727519</v>
      </c>
      <c r="I346">
        <f t="shared" si="22"/>
        <v>-1.5956798946901867</v>
      </c>
      <c r="K346">
        <f t="shared" si="23"/>
        <v>-1.6290441281794488</v>
      </c>
    </row>
    <row r="347" spans="1:11">
      <c r="A347">
        <v>345</v>
      </c>
      <c r="B347">
        <v>227</v>
      </c>
      <c r="C347">
        <v>382</v>
      </c>
      <c r="D347">
        <v>126</v>
      </c>
      <c r="E347">
        <v>53</v>
      </c>
      <c r="G347">
        <f t="shared" si="20"/>
        <v>0.29205730570824001</v>
      </c>
      <c r="H347">
        <f t="shared" si="21"/>
        <v>-0.20554551397519338</v>
      </c>
      <c r="I347">
        <f t="shared" si="22"/>
        <v>-0.549215099537121</v>
      </c>
      <c r="K347">
        <f t="shared" si="23"/>
        <v>-0.15423443593469147</v>
      </c>
    </row>
    <row r="348" spans="1:11">
      <c r="A348">
        <v>346</v>
      </c>
      <c r="B348">
        <v>96</v>
      </c>
      <c r="C348">
        <v>1</v>
      </c>
      <c r="D348">
        <v>5</v>
      </c>
      <c r="E348">
        <v>1</v>
      </c>
      <c r="G348">
        <f t="shared" si="20"/>
        <v>-1.9162514330499145</v>
      </c>
      <c r="H348">
        <f t="shared" si="21"/>
        <v>-1.2331914306031833</v>
      </c>
      <c r="I348">
        <f t="shared" si="22"/>
        <v>-1.8997363449843558</v>
      </c>
      <c r="K348">
        <f t="shared" si="23"/>
        <v>-1.6830597362124846</v>
      </c>
    </row>
    <row r="349" spans="1:11">
      <c r="A349">
        <v>347</v>
      </c>
      <c r="B349">
        <v>23</v>
      </c>
      <c r="C349">
        <v>0</v>
      </c>
      <c r="D349">
        <v>2</v>
      </c>
      <c r="E349">
        <v>1</v>
      </c>
      <c r="G349" t="e">
        <f t="shared" si="20"/>
        <v>#NUM!</v>
      </c>
      <c r="H349">
        <f t="shared" si="21"/>
        <v>-1.0105880422532452</v>
      </c>
      <c r="I349">
        <f t="shared" si="22"/>
        <v>-1.2791929479623803</v>
      </c>
      <c r="K349" t="e">
        <f t="shared" si="23"/>
        <v>#NUM!</v>
      </c>
    </row>
    <row r="350" spans="1:11">
      <c r="A350">
        <v>348</v>
      </c>
      <c r="B350">
        <v>77</v>
      </c>
      <c r="C350">
        <v>133</v>
      </c>
      <c r="D350">
        <v>1167</v>
      </c>
      <c r="E350">
        <v>202</v>
      </c>
      <c r="G350">
        <f t="shared" si="20"/>
        <v>0.3033807157842579</v>
      </c>
      <c r="H350">
        <f t="shared" si="21"/>
        <v>1.2306899289732547</v>
      </c>
      <c r="I350">
        <f t="shared" si="22"/>
        <v>0.50139553232935463</v>
      </c>
      <c r="K350">
        <f t="shared" si="23"/>
        <v>0.67848872569562246</v>
      </c>
    </row>
    <row r="351" spans="1:11">
      <c r="A351">
        <v>349</v>
      </c>
      <c r="B351">
        <v>15</v>
      </c>
      <c r="C351">
        <v>0</v>
      </c>
      <c r="D351">
        <v>0</v>
      </c>
      <c r="E351">
        <v>2</v>
      </c>
      <c r="G351" t="e">
        <f t="shared" si="20"/>
        <v>#NUM!</v>
      </c>
      <c r="H351" t="e">
        <f t="shared" si="21"/>
        <v>#NUM!</v>
      </c>
      <c r="I351">
        <f t="shared" si="22"/>
        <v>-0.7925263753364874</v>
      </c>
      <c r="K351" t="e">
        <f t="shared" si="23"/>
        <v>#NUM!</v>
      </c>
    </row>
    <row r="352" spans="1:11">
      <c r="A352">
        <v>350</v>
      </c>
      <c r="B352">
        <v>100</v>
      </c>
      <c r="C352">
        <v>1</v>
      </c>
      <c r="D352">
        <v>2</v>
      </c>
      <c r="E352">
        <v>4</v>
      </c>
      <c r="G352">
        <f t="shared" si="20"/>
        <v>-1.9339802000103461</v>
      </c>
      <c r="H352">
        <f t="shared" si="21"/>
        <v>-1.6488602062356523</v>
      </c>
      <c r="I352">
        <f t="shared" si="22"/>
        <v>-1.3154051206168249</v>
      </c>
      <c r="K352">
        <f t="shared" si="23"/>
        <v>-1.6327485089542746</v>
      </c>
    </row>
    <row r="353" spans="1:11">
      <c r="A353">
        <v>351</v>
      </c>
      <c r="B353">
        <v>54</v>
      </c>
      <c r="C353">
        <v>2</v>
      </c>
      <c r="D353">
        <v>0</v>
      </c>
      <c r="E353">
        <v>1</v>
      </c>
      <c r="G353">
        <f t="shared" si="20"/>
        <v>-1.3653439641693335</v>
      </c>
      <c r="H353" t="e">
        <f t="shared" si="21"/>
        <v>#NUM!</v>
      </c>
      <c r="I353">
        <f t="shared" si="22"/>
        <v>-1.649858871767756</v>
      </c>
      <c r="K353" t="e">
        <f t="shared" si="23"/>
        <v>#NUM!</v>
      </c>
    </row>
    <row r="354" spans="1:11">
      <c r="A354">
        <v>352</v>
      </c>
      <c r="B354">
        <v>94</v>
      </c>
      <c r="C354">
        <v>0</v>
      </c>
      <c r="D354">
        <v>7</v>
      </c>
      <c r="E354">
        <v>10</v>
      </c>
      <c r="G354" t="e">
        <f t="shared" si="20"/>
        <v>#NUM!</v>
      </c>
      <c r="H354">
        <f t="shared" si="21"/>
        <v>-1.0779200154850754</v>
      </c>
      <c r="I354">
        <f t="shared" si="22"/>
        <v>-0.89059296554448597</v>
      </c>
      <c r="K354" t="e">
        <f t="shared" si="23"/>
        <v>#NUM!</v>
      </c>
    </row>
    <row r="355" spans="1:11">
      <c r="A355">
        <v>353</v>
      </c>
      <c r="B355">
        <v>57</v>
      </c>
      <c r="C355">
        <v>5</v>
      </c>
      <c r="D355">
        <v>0</v>
      </c>
      <c r="E355">
        <v>0</v>
      </c>
      <c r="G355">
        <f t="shared" si="20"/>
        <v>-0.9908850513468187</v>
      </c>
      <c r="H355" t="e">
        <f t="shared" si="21"/>
        <v>#NUM!</v>
      </c>
      <c r="I355" t="e">
        <f t="shared" si="22"/>
        <v>#NUM!</v>
      </c>
      <c r="K355" t="e">
        <f t="shared" si="23"/>
        <v>#NUM!</v>
      </c>
    </row>
    <row r="356" spans="1:11">
      <c r="A356">
        <v>354</v>
      </c>
      <c r="B356">
        <v>118</v>
      </c>
      <c r="C356">
        <v>760</v>
      </c>
      <c r="D356">
        <v>160</v>
      </c>
      <c r="E356">
        <v>233</v>
      </c>
      <c r="G356">
        <f t="shared" si="20"/>
        <v>0.87495138496432001</v>
      </c>
      <c r="H356">
        <f t="shared" si="21"/>
        <v>0.18234777345016584</v>
      </c>
      <c r="I356">
        <f t="shared" si="22"/>
        <v>0.37800880177510626</v>
      </c>
      <c r="K356">
        <f t="shared" si="23"/>
        <v>0.47843598672986404</v>
      </c>
    </row>
    <row r="357" spans="1:11">
      <c r="A357">
        <v>355</v>
      </c>
      <c r="B357">
        <v>67</v>
      </c>
      <c r="C357">
        <v>0</v>
      </c>
      <c r="D357">
        <v>1</v>
      </c>
      <c r="E357">
        <v>0</v>
      </c>
      <c r="G357" t="e">
        <f t="shared" si="20"/>
        <v>#NUM!</v>
      </c>
      <c r="H357">
        <f t="shared" si="21"/>
        <v>-1.77596500460046</v>
      </c>
      <c r="I357" t="e">
        <f t="shared" si="22"/>
        <v>#NUM!</v>
      </c>
      <c r="K357" t="e">
        <f t="shared" si="23"/>
        <v>#NUM!</v>
      </c>
    </row>
    <row r="358" spans="1:11">
      <c r="A358">
        <v>356</v>
      </c>
      <c r="B358">
        <v>70</v>
      </c>
      <c r="C358">
        <v>10</v>
      </c>
      <c r="D358">
        <v>2</v>
      </c>
      <c r="E358">
        <v>18</v>
      </c>
      <c r="G358">
        <f t="shared" si="20"/>
        <v>-0.7790782400246028</v>
      </c>
      <c r="H358">
        <f t="shared" si="21"/>
        <v>-1.4939582462499092</v>
      </c>
      <c r="I358">
        <f t="shared" si="22"/>
        <v>-0.5072906468557381</v>
      </c>
      <c r="K358">
        <f t="shared" si="23"/>
        <v>-0.92677571104341672</v>
      </c>
    </row>
    <row r="359" spans="1:11">
      <c r="A359">
        <v>357</v>
      </c>
      <c r="B359">
        <v>58</v>
      </c>
      <c r="C359">
        <v>14</v>
      </c>
      <c r="D359">
        <v>3</v>
      </c>
      <c r="E359">
        <v>16</v>
      </c>
      <c r="G359">
        <f t="shared" si="20"/>
        <v>-0.55128015789504525</v>
      </c>
      <c r="H359">
        <f t="shared" si="21"/>
        <v>-1.2361969407429085</v>
      </c>
      <c r="I359">
        <f t="shared" si="22"/>
        <v>-0.4767731228517999</v>
      </c>
      <c r="K359">
        <f t="shared" si="23"/>
        <v>-0.75475007382991788</v>
      </c>
    </row>
    <row r="360" spans="1:11">
      <c r="A360">
        <v>358</v>
      </c>
      <c r="B360">
        <v>25</v>
      </c>
      <c r="C360">
        <v>5</v>
      </c>
      <c r="D360">
        <v>2</v>
      </c>
      <c r="E360">
        <v>2</v>
      </c>
      <c r="G360">
        <f t="shared" si="20"/>
        <v>-0.63295020434636473</v>
      </c>
      <c r="H360">
        <f t="shared" si="21"/>
        <v>-1.04680021490769</v>
      </c>
      <c r="I360">
        <f t="shared" si="22"/>
        <v>-1.0143751249528439</v>
      </c>
      <c r="K360">
        <f t="shared" si="23"/>
        <v>-0.89804184806896625</v>
      </c>
    </row>
    <row r="361" spans="1:11">
      <c r="A361">
        <v>359</v>
      </c>
      <c r="B361">
        <v>82</v>
      </c>
      <c r="C361">
        <v>138</v>
      </c>
      <c r="D361">
        <v>40</v>
      </c>
      <c r="E361">
        <v>91</v>
      </c>
      <c r="G361">
        <f t="shared" si="20"/>
        <v>0.29208503400717378</v>
      </c>
      <c r="H361">
        <f t="shared" si="21"/>
        <v>-0.26164406295538783</v>
      </c>
      <c r="I361">
        <f t="shared" si="22"/>
        <v>0.12776242799258961</v>
      </c>
      <c r="K361">
        <f t="shared" si="23"/>
        <v>5.2734466348125182E-2</v>
      </c>
    </row>
    <row r="362" spans="1:11">
      <c r="A362">
        <v>360</v>
      </c>
      <c r="B362">
        <v>64</v>
      </c>
      <c r="C362">
        <v>83</v>
      </c>
      <c r="D362">
        <v>208</v>
      </c>
      <c r="E362">
        <v>86</v>
      </c>
      <c r="G362">
        <f t="shared" si="20"/>
        <v>0.17891791838184073</v>
      </c>
      <c r="H362">
        <f t="shared" si="21"/>
        <v>0.56199315907924086</v>
      </c>
      <c r="I362">
        <f t="shared" si="22"/>
        <v>0.21085336531489318</v>
      </c>
      <c r="K362">
        <f t="shared" si="23"/>
        <v>0.31725481425865826</v>
      </c>
    </row>
    <row r="363" spans="1:11">
      <c r="A363">
        <v>361</v>
      </c>
      <c r="B363">
        <v>36</v>
      </c>
      <c r="C363">
        <v>8</v>
      </c>
      <c r="D363">
        <v>8</v>
      </c>
      <c r="E363">
        <v>4</v>
      </c>
      <c r="G363">
        <f t="shared" si="20"/>
        <v>-0.58719271378568971</v>
      </c>
      <c r="H363">
        <f t="shared" si="21"/>
        <v>-0.6031027156749772</v>
      </c>
      <c r="I363">
        <f t="shared" si="22"/>
        <v>-0.87170762138411217</v>
      </c>
      <c r="K363">
        <f t="shared" si="23"/>
        <v>-0.68733435028159295</v>
      </c>
    </row>
    <row r="364" spans="1:11">
      <c r="A364">
        <v>362</v>
      </c>
      <c r="B364">
        <v>89</v>
      </c>
      <c r="C364">
        <v>60</v>
      </c>
      <c r="D364">
        <v>891</v>
      </c>
      <c r="E364">
        <v>334</v>
      </c>
      <c r="G364">
        <f t="shared" si="20"/>
        <v>-0.10521895627161516</v>
      </c>
      <c r="H364">
        <f t="shared" si="21"/>
        <v>1.0505974954923285</v>
      </c>
      <c r="I364">
        <f t="shared" si="22"/>
        <v>0.65689134822186435</v>
      </c>
      <c r="K364">
        <f t="shared" si="23"/>
        <v>0.53408996248085927</v>
      </c>
    </row>
    <row r="365" spans="1:11">
      <c r="A365">
        <v>363</v>
      </c>
      <c r="B365">
        <v>48</v>
      </c>
      <c r="C365">
        <v>6</v>
      </c>
      <c r="D365">
        <v>10</v>
      </c>
      <c r="E365">
        <v>10</v>
      </c>
      <c r="G365">
        <f t="shared" si="20"/>
        <v>-0.83707018700228952</v>
      </c>
      <c r="H365">
        <f t="shared" si="21"/>
        <v>-0.63113143927522064</v>
      </c>
      <c r="I365">
        <f t="shared" si="22"/>
        <v>-0.59870634932037448</v>
      </c>
      <c r="K365">
        <f t="shared" si="23"/>
        <v>-0.68896932519929488</v>
      </c>
    </row>
    <row r="366" spans="1:11">
      <c r="A366">
        <v>364</v>
      </c>
      <c r="B366">
        <v>69</v>
      </c>
      <c r="C366">
        <v>4</v>
      </c>
      <c r="D366">
        <v>0</v>
      </c>
      <c r="E366">
        <v>3</v>
      </c>
      <c r="G366">
        <f t="shared" si="20"/>
        <v>-1.170769299419639</v>
      </c>
      <c r="H366" t="e">
        <f t="shared" si="21"/>
        <v>#NUM!</v>
      </c>
      <c r="I366">
        <f t="shared" si="22"/>
        <v>-1.2791929479623803</v>
      </c>
      <c r="K366" t="e">
        <f t="shared" si="23"/>
        <v>#NUM!</v>
      </c>
    </row>
    <row r="367" spans="1:11">
      <c r="A367">
        <v>365</v>
      </c>
      <c r="B367">
        <v>60</v>
      </c>
      <c r="C367">
        <v>164</v>
      </c>
      <c r="D367">
        <v>64</v>
      </c>
      <c r="E367">
        <v>96</v>
      </c>
      <c r="G367">
        <f t="shared" si="20"/>
        <v>0.50271239765370823</v>
      </c>
      <c r="H367">
        <f t="shared" si="21"/>
        <v>7.8138521700610031E-2</v>
      </c>
      <c r="I367">
        <f t="shared" si="22"/>
        <v>0.28665487071113743</v>
      </c>
      <c r="K367">
        <f t="shared" si="23"/>
        <v>0.28916859668848521</v>
      </c>
    </row>
    <row r="368" spans="1:11">
      <c r="A368">
        <v>366</v>
      </c>
      <c r="B368">
        <v>28</v>
      </c>
      <c r="C368">
        <v>22</v>
      </c>
      <c r="D368">
        <v>30</v>
      </c>
      <c r="E368">
        <v>30</v>
      </c>
      <c r="G368">
        <f t="shared" si="20"/>
        <v>-3.8715550530358994E-2</v>
      </c>
      <c r="H368">
        <f t="shared" si="21"/>
        <v>8.0073021477809689E-2</v>
      </c>
      <c r="I368">
        <f t="shared" si="22"/>
        <v>0.11249811143265585</v>
      </c>
      <c r="K368">
        <f t="shared" si="23"/>
        <v>5.1285194126702183E-2</v>
      </c>
    </row>
    <row r="369" spans="1:11">
      <c r="A369">
        <v>367</v>
      </c>
      <c r="B369">
        <v>77</v>
      </c>
      <c r="C369">
        <v>8</v>
      </c>
      <c r="D369">
        <v>13</v>
      </c>
      <c r="E369">
        <v>9</v>
      </c>
      <c r="G369">
        <f t="shared" si="20"/>
        <v>-0.91738093819088429</v>
      </c>
      <c r="H369">
        <f t="shared" si="21"/>
        <v>-0.72243757476527859</v>
      </c>
      <c r="I369">
        <f t="shared" si="22"/>
        <v>-0.84971332767794427</v>
      </c>
      <c r="K369">
        <f t="shared" si="23"/>
        <v>-0.82984394687803575</v>
      </c>
    </row>
    <row r="370" spans="1:11">
      <c r="A370">
        <v>368</v>
      </c>
      <c r="B370">
        <v>92</v>
      </c>
      <c r="C370">
        <v>105</v>
      </c>
      <c r="D370">
        <v>11</v>
      </c>
      <c r="E370">
        <v>568</v>
      </c>
      <c r="G370">
        <f t="shared" si="20"/>
        <v>0.12342127171403679</v>
      </c>
      <c r="H370">
        <f t="shared" si="21"/>
        <v>-0.87228534408696368</v>
      </c>
      <c r="I370">
        <f t="shared" si="22"/>
        <v>0.87309539642067624</v>
      </c>
      <c r="K370">
        <f t="shared" si="23"/>
        <v>4.1410441349249795E-2</v>
      </c>
    </row>
    <row r="371" spans="1:11">
      <c r="A371">
        <v>369</v>
      </c>
      <c r="B371">
        <v>120</v>
      </c>
      <c r="C371">
        <v>36</v>
      </c>
      <c r="D371">
        <v>43</v>
      </c>
      <c r="E371">
        <v>52</v>
      </c>
      <c r="G371">
        <f t="shared" si="20"/>
        <v>-0.4568589452906836</v>
      </c>
      <c r="H371">
        <f t="shared" si="21"/>
        <v>-0.39560299236767182</v>
      </c>
      <c r="I371">
        <f t="shared" si="22"/>
        <v>-0.28064301435761302</v>
      </c>
      <c r="K371">
        <f t="shared" si="23"/>
        <v>-0.37770165067198946</v>
      </c>
    </row>
    <row r="372" spans="1:11">
      <c r="A372">
        <v>370</v>
      </c>
      <c r="B372">
        <v>74</v>
      </c>
      <c r="C372">
        <v>170</v>
      </c>
      <c r="D372">
        <v>181</v>
      </c>
      <c r="E372">
        <v>158</v>
      </c>
      <c r="G372">
        <f t="shared" si="20"/>
        <v>0.42723700163695177</v>
      </c>
      <c r="H372">
        <f t="shared" si="21"/>
        <v>0.43855665323857479</v>
      </c>
      <c r="I372">
        <f t="shared" si="22"/>
        <v>0.41196025527865904</v>
      </c>
      <c r="K372">
        <f t="shared" si="23"/>
        <v>0.42591797005139514</v>
      </c>
    </row>
    <row r="373" spans="1:11">
      <c r="A373">
        <v>371</v>
      </c>
      <c r="B373">
        <v>94</v>
      </c>
      <c r="C373">
        <v>59</v>
      </c>
      <c r="D373">
        <v>127</v>
      </c>
      <c r="E373">
        <v>434</v>
      </c>
      <c r="G373">
        <f t="shared" si="20"/>
        <v>-0.13625604196790048</v>
      </c>
      <c r="H373">
        <f t="shared" si="21"/>
        <v>0.18078566545662467</v>
      </c>
      <c r="I373">
        <f t="shared" si="22"/>
        <v>0.74689676396802474</v>
      </c>
      <c r="K373">
        <f t="shared" si="23"/>
        <v>0.26380879581891631</v>
      </c>
    </row>
    <row r="374" spans="1:11">
      <c r="A374">
        <v>372</v>
      </c>
      <c r="B374">
        <v>44</v>
      </c>
      <c r="C374">
        <v>1</v>
      </c>
      <c r="D374">
        <v>1</v>
      </c>
      <c r="E374">
        <v>0</v>
      </c>
      <c r="G374">
        <f t="shared" si="20"/>
        <v>-1.5774328764965335</v>
      </c>
      <c r="H374">
        <f t="shared" si="21"/>
        <v>-1.593342878385821</v>
      </c>
      <c r="I374" t="e">
        <f t="shared" si="22"/>
        <v>#NUM!</v>
      </c>
      <c r="K374" t="e">
        <f t="shared" si="23"/>
        <v>#NUM!</v>
      </c>
    </row>
    <row r="375" spans="1:11">
      <c r="A375">
        <v>373</v>
      </c>
      <c r="B375">
        <v>78</v>
      </c>
      <c r="C375">
        <v>0</v>
      </c>
      <c r="D375">
        <v>4</v>
      </c>
      <c r="E375">
        <v>1</v>
      </c>
      <c r="G375" t="e">
        <f t="shared" si="20"/>
        <v>#NUM!</v>
      </c>
      <c r="H375">
        <f t="shared" si="21"/>
        <v>-1.2399248132621516</v>
      </c>
      <c r="I375">
        <f t="shared" si="22"/>
        <v>-1.8095597146352678</v>
      </c>
      <c r="K375" t="e">
        <f t="shared" si="23"/>
        <v>#NUM!</v>
      </c>
    </row>
    <row r="376" spans="1:11">
      <c r="A376">
        <v>374</v>
      </c>
      <c r="B376">
        <v>25</v>
      </c>
      <c r="C376">
        <v>2</v>
      </c>
      <c r="D376">
        <v>8</v>
      </c>
      <c r="E376">
        <v>43</v>
      </c>
      <c r="G376">
        <f t="shared" si="20"/>
        <v>-1.0308902130184026</v>
      </c>
      <c r="H376">
        <f t="shared" si="21"/>
        <v>-0.44474022357972753</v>
      </c>
      <c r="I376">
        <f t="shared" si="22"/>
        <v>0.31806333496276157</v>
      </c>
      <c r="K376">
        <f t="shared" si="23"/>
        <v>-0.38585570054512286</v>
      </c>
    </row>
    <row r="377" spans="1:11">
      <c r="A377">
        <v>375</v>
      </c>
      <c r="B377">
        <v>101</v>
      </c>
      <c r="C377">
        <v>37</v>
      </c>
      <c r="D377">
        <v>76</v>
      </c>
      <c r="E377">
        <v>93</v>
      </c>
      <c r="G377">
        <f t="shared" si="20"/>
        <v>-0.37009984972599358</v>
      </c>
      <c r="H377">
        <f t="shared" si="21"/>
        <v>-7.3397983401484734E-2</v>
      </c>
      <c r="I377">
        <f t="shared" si="22"/>
        <v>4.669646282650522E-2</v>
      </c>
      <c r="K377">
        <f t="shared" si="23"/>
        <v>-0.13226712343365768</v>
      </c>
    </row>
    <row r="378" spans="1:11">
      <c r="A378">
        <v>376</v>
      </c>
      <c r="B378">
        <v>69</v>
      </c>
      <c r="C378">
        <v>4</v>
      </c>
      <c r="D378">
        <v>5</v>
      </c>
      <c r="E378">
        <v>7</v>
      </c>
      <c r="G378">
        <f t="shared" si="20"/>
        <v>-1.170769299419639</v>
      </c>
      <c r="H378">
        <f t="shared" si="21"/>
        <v>-1.0897692883008701</v>
      </c>
      <c r="I378">
        <f t="shared" si="22"/>
        <v>-0.91121616266778571</v>
      </c>
      <c r="K378">
        <f t="shared" si="23"/>
        <v>-1.0572515834627649</v>
      </c>
    </row>
    <row r="379" spans="1:11">
      <c r="A379">
        <v>377</v>
      </c>
      <c r="B379">
        <v>129</v>
      </c>
      <c r="C379">
        <v>5</v>
      </c>
      <c r="D379">
        <v>4</v>
      </c>
      <c r="E379">
        <v>0</v>
      </c>
      <c r="G379">
        <f t="shared" si="20"/>
        <v>-1.3455999059735764</v>
      </c>
      <c r="H379">
        <f t="shared" si="21"/>
        <v>-1.4584199208709201</v>
      </c>
      <c r="I379" t="e">
        <f t="shared" si="22"/>
        <v>#NUM!</v>
      </c>
      <c r="K379" t="e">
        <f t="shared" si="23"/>
        <v>#NUM!</v>
      </c>
    </row>
    <row r="380" spans="1:11">
      <c r="A380">
        <v>378</v>
      </c>
      <c r="B380">
        <v>34</v>
      </c>
      <c r="C380">
        <v>1</v>
      </c>
      <c r="D380">
        <v>1</v>
      </c>
      <c r="E380">
        <v>3</v>
      </c>
      <c r="G380">
        <f t="shared" si="20"/>
        <v>-1.4654591170526012</v>
      </c>
      <c r="H380">
        <f t="shared" si="21"/>
        <v>-1.4813691189418887</v>
      </c>
      <c r="I380">
        <f t="shared" si="22"/>
        <v>-0.97182277426738006</v>
      </c>
      <c r="K380">
        <f t="shared" si="23"/>
        <v>-1.3062170034206233</v>
      </c>
    </row>
    <row r="381" spans="1:11">
      <c r="A381">
        <v>379</v>
      </c>
      <c r="B381">
        <v>122</v>
      </c>
      <c r="C381">
        <v>6</v>
      </c>
      <c r="D381">
        <v>3</v>
      </c>
      <c r="E381">
        <v>4</v>
      </c>
      <c r="G381">
        <f t="shared" si="20"/>
        <v>-1.2421887803014506</v>
      </c>
      <c r="H381">
        <f t="shared" si="21"/>
        <v>-1.5591287778547194</v>
      </c>
      <c r="I381">
        <f t="shared" si="22"/>
        <v>-1.4017649512915733</v>
      </c>
      <c r="K381">
        <f t="shared" si="23"/>
        <v>-1.4010275031492478</v>
      </c>
    </row>
    <row r="382" spans="1:11">
      <c r="A382">
        <v>380</v>
      </c>
      <c r="B382">
        <v>26</v>
      </c>
      <c r="C382">
        <v>30</v>
      </c>
      <c r="D382">
        <v>60</v>
      </c>
      <c r="E382">
        <v>42</v>
      </c>
      <c r="G382">
        <f t="shared" si="20"/>
        <v>0.12816770673849842</v>
      </c>
      <c r="H382">
        <f t="shared" si="21"/>
        <v>0.41328770051319208</v>
      </c>
      <c r="I382">
        <f t="shared" si="22"/>
        <v>0.29081083048229517</v>
      </c>
      <c r="K382">
        <f t="shared" si="23"/>
        <v>0.27742207924466189</v>
      </c>
    </row>
    <row r="383" spans="1:11">
      <c r="A383">
        <v>381</v>
      </c>
      <c r="B383">
        <v>107</v>
      </c>
      <c r="C383">
        <v>29</v>
      </c>
      <c r="D383">
        <v>350</v>
      </c>
      <c r="E383">
        <v>406</v>
      </c>
      <c r="G383">
        <f t="shared" si="20"/>
        <v>-0.50096597979659963</v>
      </c>
      <c r="H383">
        <f t="shared" si="21"/>
        <v>0.56479406476543259</v>
      </c>
      <c r="I383">
        <f t="shared" si="22"/>
        <v>0.66167714394719723</v>
      </c>
      <c r="K383">
        <f t="shared" si="23"/>
        <v>0.2418350763053434</v>
      </c>
    </row>
    <row r="384" spans="1:11">
      <c r="A384">
        <v>382</v>
      </c>
      <c r="B384">
        <v>51</v>
      </c>
      <c r="C384">
        <v>3</v>
      </c>
      <c r="D384">
        <v>15</v>
      </c>
      <c r="E384">
        <v>7</v>
      </c>
      <c r="G384">
        <f t="shared" si="20"/>
        <v>-1.16442912138862</v>
      </c>
      <c r="H384">
        <f t="shared" si="21"/>
        <v>-0.48136911894188866</v>
      </c>
      <c r="I384">
        <f t="shared" si="22"/>
        <v>-0.77993724802846676</v>
      </c>
      <c r="K384">
        <f t="shared" si="23"/>
        <v>-0.80857849611965849</v>
      </c>
    </row>
    <row r="385" spans="1:11">
      <c r="A385">
        <v>383</v>
      </c>
      <c r="B385">
        <v>80</v>
      </c>
      <c r="C385">
        <v>15</v>
      </c>
      <c r="D385">
        <v>8</v>
      </c>
      <c r="E385">
        <v>5</v>
      </c>
      <c r="G385">
        <f t="shared" si="20"/>
        <v>-0.66097892794660829</v>
      </c>
      <c r="H385">
        <f t="shared" si="21"/>
        <v>-0.94989020189963347</v>
      </c>
      <c r="I385">
        <f t="shared" si="22"/>
        <v>-1.1215850946007122</v>
      </c>
      <c r="K385">
        <f t="shared" si="23"/>
        <v>-0.91081807481565136</v>
      </c>
    </row>
    <row r="386" spans="1:11">
      <c r="A386">
        <v>384</v>
      </c>
      <c r="B386">
        <v>34</v>
      </c>
      <c r="C386">
        <v>22</v>
      </c>
      <c r="D386">
        <v>146</v>
      </c>
      <c r="E386">
        <v>115</v>
      </c>
      <c r="G386">
        <f t="shared" si="20"/>
        <v>-0.12303643623039485</v>
      </c>
      <c r="H386">
        <f t="shared" si="21"/>
        <v>0.68298373684254854</v>
      </c>
      <c r="I386">
        <f t="shared" si="22"/>
        <v>0.61175381136656926</v>
      </c>
      <c r="K386">
        <f t="shared" si="23"/>
        <v>0.39056703732624093</v>
      </c>
    </row>
    <row r="387" spans="1:11">
      <c r="A387">
        <v>385</v>
      </c>
      <c r="B387">
        <v>69</v>
      </c>
      <c r="C387">
        <v>30</v>
      </c>
      <c r="D387">
        <v>83</v>
      </c>
      <c r="E387">
        <v>68</v>
      </c>
      <c r="G387">
        <f t="shared" ref="G387:G450" si="24">LOG10(C387/B387)-LOG10(134/156)</f>
        <v>-0.29570803602793888</v>
      </c>
      <c r="H387">
        <f t="shared" ref="H387:H450" si="25">LOG10(D387/B387)-LOG10(139/156)</f>
        <v>0.13033879973918508</v>
      </c>
      <c r="I387">
        <f t="shared" ref="I387:I450" si="26">LOG10(E387/B387)-LOG10(129/156)</f>
        <v>7.6194710024193674E-2</v>
      </c>
      <c r="K387">
        <f t="shared" ref="K387:K450" si="27">AVERAGE(G387:I387)</f>
        <v>-2.9724842088186709E-2</v>
      </c>
    </row>
    <row r="388" spans="1:11">
      <c r="A388">
        <v>386</v>
      </c>
      <c r="B388">
        <v>70</v>
      </c>
      <c r="C388">
        <v>151</v>
      </c>
      <c r="D388">
        <v>148</v>
      </c>
      <c r="E388">
        <v>151</v>
      </c>
      <c r="G388">
        <f t="shared" si="24"/>
        <v>0.39989870726856658</v>
      </c>
      <c r="H388">
        <f t="shared" si="25"/>
        <v>0.37527347348106704</v>
      </c>
      <c r="I388">
        <f t="shared" si="26"/>
        <v>0.4164137953341252</v>
      </c>
      <c r="K388">
        <f t="shared" si="27"/>
        <v>0.39719532536125296</v>
      </c>
    </row>
    <row r="389" spans="1:11">
      <c r="A389">
        <v>387</v>
      </c>
      <c r="B389">
        <v>62</v>
      </c>
      <c r="C389">
        <v>43</v>
      </c>
      <c r="D389">
        <v>89</v>
      </c>
      <c r="E389">
        <v>103</v>
      </c>
      <c r="G389">
        <f t="shared" si="24"/>
        <v>-9.2903433929013304E-2</v>
      </c>
      <c r="H389">
        <f t="shared" si="25"/>
        <v>0.20710811524702544</v>
      </c>
      <c r="I389">
        <f t="shared" si="26"/>
        <v>0.30298042326213098</v>
      </c>
      <c r="K389">
        <f t="shared" si="27"/>
        <v>0.13906170152671438</v>
      </c>
    </row>
    <row r="390" spans="1:11">
      <c r="A390">
        <v>388</v>
      </c>
      <c r="B390">
        <v>128</v>
      </c>
      <c r="C390">
        <v>82</v>
      </c>
      <c r="D390">
        <v>93</v>
      </c>
      <c r="E390">
        <v>161</v>
      </c>
      <c r="G390">
        <f t="shared" si="24"/>
        <v>-0.12737631727449766</v>
      </c>
      <c r="H390">
        <f t="shared" si="25"/>
        <v>-8.8617222993566766E-2</v>
      </c>
      <c r="I390">
        <f t="shared" si="26"/>
        <v>0.18215079443919399</v>
      </c>
      <c r="K390">
        <f t="shared" si="27"/>
        <v>-1.1280915276290151E-2</v>
      </c>
    </row>
    <row r="391" spans="1:11">
      <c r="A391">
        <v>389</v>
      </c>
      <c r="B391">
        <v>110</v>
      </c>
      <c r="C391">
        <v>61</v>
      </c>
      <c r="D391">
        <v>1270</v>
      </c>
      <c r="E391">
        <v>38</v>
      </c>
      <c r="G391">
        <f t="shared" si="24"/>
        <v>-0.19004305015780398</v>
      </c>
      <c r="H391">
        <f t="shared" si="25"/>
        <v>1.1125208338980983</v>
      </c>
      <c r="I391">
        <f t="shared" si="26"/>
        <v>-0.37907420048620222</v>
      </c>
      <c r="K391">
        <f t="shared" si="27"/>
        <v>0.18113452775136404</v>
      </c>
    </row>
    <row r="392" spans="1:11">
      <c r="A392">
        <v>390</v>
      </c>
      <c r="B392">
        <v>101</v>
      </c>
      <c r="C392">
        <v>0</v>
      </c>
      <c r="D392">
        <v>2</v>
      </c>
      <c r="E392">
        <v>2</v>
      </c>
      <c r="G392" t="e">
        <f t="shared" si="24"/>
        <v>#NUM!</v>
      </c>
      <c r="H392">
        <f t="shared" si="25"/>
        <v>-1.653181580018295</v>
      </c>
      <c r="I392">
        <f t="shared" si="26"/>
        <v>-1.6207564900634488</v>
      </c>
      <c r="K392" t="e">
        <f t="shared" si="27"/>
        <v>#NUM!</v>
      </c>
    </row>
    <row r="393" spans="1:11">
      <c r="A393">
        <v>391</v>
      </c>
      <c r="B393">
        <v>101</v>
      </c>
      <c r="C393">
        <v>11</v>
      </c>
      <c r="D393">
        <v>24</v>
      </c>
      <c r="E393">
        <v>49</v>
      </c>
      <c r="G393">
        <f t="shared" si="24"/>
        <v>-0.89690888863476348</v>
      </c>
      <c r="H393">
        <f t="shared" si="25"/>
        <v>-0.57400033397067007</v>
      </c>
      <c r="I393">
        <f t="shared" si="26"/>
        <v>-0.23159040569891626</v>
      </c>
      <c r="K393">
        <f t="shared" si="27"/>
        <v>-0.56749987610144992</v>
      </c>
    </row>
    <row r="394" spans="1:11">
      <c r="A394">
        <v>392</v>
      </c>
      <c r="B394">
        <v>225</v>
      </c>
      <c r="C394">
        <v>292</v>
      </c>
      <c r="D394">
        <v>349</v>
      </c>
      <c r="E394">
        <v>12278</v>
      </c>
      <c r="G394">
        <f t="shared" si="24"/>
        <v>0.17922013332670977</v>
      </c>
      <c r="H394">
        <f t="shared" si="25"/>
        <v>0.2407527069481839</v>
      </c>
      <c r="I394">
        <f t="shared" si="26"/>
        <v>1.8194799989881285</v>
      </c>
      <c r="K394">
        <f t="shared" si="27"/>
        <v>0.74648427975434073</v>
      </c>
    </row>
    <row r="395" spans="1:11">
      <c r="A395">
        <v>393</v>
      </c>
      <c r="B395">
        <v>48</v>
      </c>
      <c r="C395">
        <v>7</v>
      </c>
      <c r="D395">
        <v>3</v>
      </c>
      <c r="E395">
        <v>5</v>
      </c>
      <c r="G395">
        <f t="shared" si="24"/>
        <v>-0.77012339737167634</v>
      </c>
      <c r="H395">
        <f t="shared" si="25"/>
        <v>-1.1540101845555584</v>
      </c>
      <c r="I395">
        <f t="shared" si="26"/>
        <v>-0.89973634498435573</v>
      </c>
      <c r="K395">
        <f t="shared" si="27"/>
        <v>-0.94128997563719674</v>
      </c>
    </row>
    <row r="396" spans="1:11">
      <c r="A396">
        <v>394</v>
      </c>
      <c r="B396">
        <v>112</v>
      </c>
      <c r="C396">
        <v>215</v>
      </c>
      <c r="D396">
        <v>308</v>
      </c>
      <c r="E396">
        <v>190</v>
      </c>
      <c r="G396">
        <f t="shared" si="24"/>
        <v>0.34924023723507774</v>
      </c>
      <c r="H396">
        <f t="shared" si="25"/>
        <v>0.48944249193062911</v>
      </c>
      <c r="I396">
        <f t="shared" si="26"/>
        <v>0.31207046633786001</v>
      </c>
      <c r="K396">
        <f t="shared" si="27"/>
        <v>0.38358439850118892</v>
      </c>
    </row>
    <row r="397" spans="1:11">
      <c r="A397">
        <v>395</v>
      </c>
      <c r="B397">
        <v>55</v>
      </c>
      <c r="C397">
        <v>0</v>
      </c>
      <c r="D397">
        <v>2</v>
      </c>
      <c r="E397">
        <v>0</v>
      </c>
      <c r="G397" t="e">
        <f t="shared" si="24"/>
        <v>#NUM!</v>
      </c>
      <c r="H397">
        <f t="shared" si="25"/>
        <v>-1.3892228957298962</v>
      </c>
      <c r="I397" t="e">
        <f t="shared" si="26"/>
        <v>#NUM!</v>
      </c>
      <c r="K397" t="e">
        <f t="shared" si="27"/>
        <v>#NUM!</v>
      </c>
    </row>
    <row r="398" spans="1:11">
      <c r="A398">
        <v>396</v>
      </c>
      <c r="B398">
        <v>40</v>
      </c>
      <c r="C398">
        <v>3</v>
      </c>
      <c r="D398">
        <v>9</v>
      </c>
      <c r="E398">
        <v>3</v>
      </c>
      <c r="G398">
        <f t="shared" si="24"/>
        <v>-1.058918936618646</v>
      </c>
      <c r="H398">
        <f t="shared" si="25"/>
        <v>-0.59770768378827099</v>
      </c>
      <c r="I398">
        <f t="shared" si="26"/>
        <v>-1.0424038485530873</v>
      </c>
      <c r="K398">
        <f t="shared" si="27"/>
        <v>-0.89967682298666818</v>
      </c>
    </row>
    <row r="399" spans="1:11">
      <c r="A399">
        <v>397</v>
      </c>
      <c r="B399">
        <v>94</v>
      </c>
      <c r="C399">
        <v>34</v>
      </c>
      <c r="D399">
        <v>201</v>
      </c>
      <c r="E399">
        <v>50</v>
      </c>
      <c r="G399">
        <f t="shared" si="24"/>
        <v>-0.37562913656778951</v>
      </c>
      <c r="H399">
        <f t="shared" si="25"/>
        <v>0.38017800192115664</v>
      </c>
      <c r="I399">
        <f t="shared" si="26"/>
        <v>-0.19162296120846722</v>
      </c>
      <c r="K399">
        <f t="shared" si="27"/>
        <v>-6.2358031951700033E-2</v>
      </c>
    </row>
    <row r="400" spans="1:11">
      <c r="A400">
        <v>398</v>
      </c>
      <c r="B400">
        <v>58</v>
      </c>
      <c r="C400">
        <v>14</v>
      </c>
      <c r="D400">
        <v>135</v>
      </c>
      <c r="E400">
        <v>42</v>
      </c>
      <c r="G400">
        <f t="shared" si="24"/>
        <v>-0.55128015789504525</v>
      </c>
      <c r="H400">
        <f t="shared" si="25"/>
        <v>0.4170155730324353</v>
      </c>
      <c r="I400">
        <f t="shared" si="26"/>
        <v>-5.7643815109824151E-2</v>
      </c>
      <c r="K400">
        <f t="shared" si="27"/>
        <v>-6.3969466657478033E-2</v>
      </c>
    </row>
    <row r="401" spans="1:11">
      <c r="A401">
        <v>399</v>
      </c>
      <c r="B401">
        <v>53</v>
      </c>
      <c r="C401">
        <v>3</v>
      </c>
      <c r="D401">
        <v>1</v>
      </c>
      <c r="E401">
        <v>1</v>
      </c>
      <c r="G401">
        <f t="shared" si="24"/>
        <v>-1.1811348148914727</v>
      </c>
      <c r="H401">
        <f t="shared" si="25"/>
        <v>-1.6741660715004227</v>
      </c>
      <c r="I401">
        <f t="shared" si="26"/>
        <v>-1.6417409815455766</v>
      </c>
      <c r="K401">
        <f t="shared" si="27"/>
        <v>-1.4990139559791575</v>
      </c>
    </row>
    <row r="402" spans="1:11">
      <c r="A402">
        <v>400</v>
      </c>
      <c r="B402">
        <v>48</v>
      </c>
      <c r="C402">
        <v>237</v>
      </c>
      <c r="D402">
        <v>190</v>
      </c>
      <c r="E402">
        <v>38</v>
      </c>
      <c r="G402">
        <f t="shared" si="24"/>
        <v>0.75952690862417072</v>
      </c>
      <c r="H402">
        <f t="shared" si="25"/>
        <v>0.64762216167760833</v>
      </c>
      <c r="I402">
        <f t="shared" si="26"/>
        <v>-1.892275270356443E-2</v>
      </c>
      <c r="K402">
        <f t="shared" si="27"/>
        <v>0.46274210586607151</v>
      </c>
    </row>
    <row r="403" spans="1:11">
      <c r="A403">
        <v>401</v>
      </c>
      <c r="B403">
        <v>73</v>
      </c>
      <c r="C403">
        <v>1</v>
      </c>
      <c r="D403">
        <v>2</v>
      </c>
      <c r="E403">
        <v>1</v>
      </c>
      <c r="G403">
        <f t="shared" si="24"/>
        <v>-1.797303060130802</v>
      </c>
      <c r="H403">
        <f t="shared" si="25"/>
        <v>-1.5121830663561082</v>
      </c>
      <c r="I403">
        <f t="shared" si="26"/>
        <v>-1.7807879720652433</v>
      </c>
      <c r="K403">
        <f t="shared" si="27"/>
        <v>-1.6967580328507179</v>
      </c>
    </row>
    <row r="404" spans="1:11">
      <c r="A404">
        <v>402</v>
      </c>
      <c r="B404">
        <v>74</v>
      </c>
      <c r="C404">
        <v>462</v>
      </c>
      <c r="D404">
        <v>708</v>
      </c>
      <c r="E404">
        <v>1234</v>
      </c>
      <c r="G404">
        <f t="shared" si="24"/>
        <v>0.86143005581480336</v>
      </c>
      <c r="H404">
        <f t="shared" si="25"/>
        <v>1.0309113360591593</v>
      </c>
      <c r="I404">
        <f t="shared" si="26"/>
        <v>1.3046183280214594</v>
      </c>
      <c r="K404">
        <f t="shared" si="27"/>
        <v>1.0656532399651406</v>
      </c>
    </row>
    <row r="405" spans="1:11">
      <c r="A405">
        <v>403</v>
      </c>
      <c r="B405">
        <v>111</v>
      </c>
      <c r="C405">
        <v>1</v>
      </c>
      <c r="D405">
        <v>2</v>
      </c>
      <c r="E405">
        <v>4</v>
      </c>
      <c r="G405">
        <f t="shared" si="24"/>
        <v>-1.9793031787970037</v>
      </c>
      <c r="H405">
        <f t="shared" si="25"/>
        <v>-1.6941831850223099</v>
      </c>
      <c r="I405">
        <f t="shared" si="26"/>
        <v>-1.3607280994034825</v>
      </c>
      <c r="K405">
        <f t="shared" si="27"/>
        <v>-1.6780714877409322</v>
      </c>
    </row>
    <row r="406" spans="1:11">
      <c r="A406">
        <v>404</v>
      </c>
      <c r="B406">
        <v>42</v>
      </c>
      <c r="C406">
        <v>106</v>
      </c>
      <c r="D406">
        <v>86</v>
      </c>
      <c r="E406">
        <v>45</v>
      </c>
      <c r="G406">
        <f t="shared" si="24"/>
        <v>0.46807637485652376</v>
      </c>
      <c r="H406">
        <f t="shared" si="25"/>
        <v>0.3613589589460337</v>
      </c>
      <c r="I406">
        <f t="shared" si="26"/>
        <v>0.11249811143265585</v>
      </c>
      <c r="K406">
        <f t="shared" si="27"/>
        <v>0.31397781507840444</v>
      </c>
    </row>
    <row r="407" spans="1:11">
      <c r="A407">
        <v>405</v>
      </c>
      <c r="B407">
        <v>63</v>
      </c>
      <c r="C407">
        <v>2</v>
      </c>
      <c r="D407">
        <v>0</v>
      </c>
      <c r="E407">
        <v>1</v>
      </c>
      <c r="G407">
        <f t="shared" si="24"/>
        <v>-1.4322907537999465</v>
      </c>
      <c r="H407" t="e">
        <f t="shared" si="25"/>
        <v>#NUM!</v>
      </c>
      <c r="I407">
        <f t="shared" si="26"/>
        <v>-1.7168056613983691</v>
      </c>
      <c r="K407" t="e">
        <f t="shared" si="27"/>
        <v>#NUM!</v>
      </c>
    </row>
    <row r="408" spans="1:11">
      <c r="A408">
        <v>406</v>
      </c>
      <c r="B408">
        <v>106</v>
      </c>
      <c r="C408">
        <v>3</v>
      </c>
      <c r="D408">
        <v>1</v>
      </c>
      <c r="E408">
        <v>0</v>
      </c>
      <c r="G408">
        <f t="shared" si="24"/>
        <v>-1.4821648105554539</v>
      </c>
      <c r="H408">
        <f t="shared" si="25"/>
        <v>-1.975196067164404</v>
      </c>
      <c r="I408" t="e">
        <f t="shared" si="26"/>
        <v>#NUM!</v>
      </c>
      <c r="K408" t="e">
        <f t="shared" si="27"/>
        <v>#NUM!</v>
      </c>
    </row>
    <row r="409" spans="1:11">
      <c r="A409">
        <v>407</v>
      </c>
      <c r="B409">
        <v>28</v>
      </c>
      <c r="C409">
        <v>1</v>
      </c>
      <c r="D409">
        <v>6</v>
      </c>
      <c r="E409">
        <v>8</v>
      </c>
      <c r="G409">
        <f t="shared" si="24"/>
        <v>-1.3811382313525653</v>
      </c>
      <c r="H409">
        <f t="shared" si="25"/>
        <v>-0.61889698285820904</v>
      </c>
      <c r="I409">
        <f t="shared" si="26"/>
        <v>-0.46153315629506303</v>
      </c>
      <c r="K409">
        <f t="shared" si="27"/>
        <v>-0.8205227901686124</v>
      </c>
    </row>
    <row r="410" spans="1:11">
      <c r="A410">
        <v>408</v>
      </c>
      <c r="B410">
        <v>32</v>
      </c>
      <c r="C410">
        <v>44</v>
      </c>
      <c r="D410">
        <v>22</v>
      </c>
      <c r="E410">
        <v>27</v>
      </c>
      <c r="G410">
        <f t="shared" si="24"/>
        <v>0.20432249815593545</v>
      </c>
      <c r="H410">
        <f t="shared" si="25"/>
        <v>-0.11261749939733325</v>
      </c>
      <c r="I410">
        <f t="shared" si="26"/>
        <v>8.7486738942939846E-3</v>
      </c>
      <c r="K410">
        <f t="shared" si="27"/>
        <v>3.3484557550965396E-2</v>
      </c>
    </row>
    <row r="411" spans="1:11">
      <c r="A411">
        <v>409</v>
      </c>
      <c r="B411">
        <v>91</v>
      </c>
      <c r="C411">
        <v>23</v>
      </c>
      <c r="D411">
        <v>90</v>
      </c>
      <c r="E411">
        <v>2119</v>
      </c>
      <c r="G411">
        <f t="shared" si="24"/>
        <v>-0.53129375631384668</v>
      </c>
      <c r="H411">
        <f t="shared" si="25"/>
        <v>4.5310915218597779E-2</v>
      </c>
      <c r="I411">
        <f t="shared" si="26"/>
        <v>1.4496244524449136</v>
      </c>
      <c r="K411">
        <f t="shared" si="27"/>
        <v>0.32121387044988819</v>
      </c>
    </row>
    <row r="412" spans="1:11">
      <c r="A412">
        <v>410</v>
      </c>
      <c r="B412">
        <v>103</v>
      </c>
      <c r="C412">
        <v>9413</v>
      </c>
      <c r="D412">
        <v>9901</v>
      </c>
      <c r="E412">
        <v>2057</v>
      </c>
      <c r="G412">
        <f t="shared" si="24"/>
        <v>2.0269106339725091</v>
      </c>
      <c r="H412">
        <f t="shared" si="25"/>
        <v>2.0329516339068165</v>
      </c>
      <c r="I412">
        <f t="shared" si="26"/>
        <v>1.3829319550447645</v>
      </c>
      <c r="K412">
        <f t="shared" si="27"/>
        <v>1.8142647409746966</v>
      </c>
    </row>
    <row r="413" spans="1:11">
      <c r="A413">
        <v>411</v>
      </c>
      <c r="B413">
        <v>58</v>
      </c>
      <c r="C413">
        <v>0</v>
      </c>
      <c r="D413">
        <v>0</v>
      </c>
      <c r="E413">
        <v>1</v>
      </c>
      <c r="G413" t="e">
        <f t="shared" si="24"/>
        <v>#NUM!</v>
      </c>
      <c r="H413" t="e">
        <f t="shared" si="25"/>
        <v>#NUM!</v>
      </c>
      <c r="I413">
        <f t="shared" si="26"/>
        <v>-1.6808931055077247</v>
      </c>
      <c r="K413" t="e">
        <f t="shared" si="27"/>
        <v>#NUM!</v>
      </c>
    </row>
    <row r="414" spans="1:11">
      <c r="A414">
        <v>412</v>
      </c>
      <c r="B414">
        <v>119</v>
      </c>
      <c r="C414">
        <v>152</v>
      </c>
      <c r="D414">
        <v>1244</v>
      </c>
      <c r="E414">
        <v>238</v>
      </c>
      <c r="G414">
        <f t="shared" si="24"/>
        <v>0.17231642654189577</v>
      </c>
      <c r="H414">
        <f t="shared" si="25"/>
        <v>1.0693832170626356</v>
      </c>
      <c r="I414">
        <f t="shared" si="26"/>
        <v>0.38356488371919384</v>
      </c>
      <c r="K414">
        <f t="shared" si="27"/>
        <v>0.54175484244124172</v>
      </c>
    </row>
    <row r="415" spans="1:11">
      <c r="A415">
        <v>413</v>
      </c>
      <c r="B415">
        <v>64</v>
      </c>
      <c r="C415">
        <v>77</v>
      </c>
      <c r="D415">
        <v>40</v>
      </c>
      <c r="E415">
        <v>19</v>
      </c>
      <c r="G415">
        <f t="shared" si="24"/>
        <v>0.1463305511782487</v>
      </c>
      <c r="H415">
        <f t="shared" si="25"/>
        <v>-0.15401018455555832</v>
      </c>
      <c r="I415">
        <f t="shared" si="26"/>
        <v>-0.44489148497584557</v>
      </c>
      <c r="K415">
        <f t="shared" si="27"/>
        <v>-0.15085703945105175</v>
      </c>
    </row>
    <row r="416" spans="1:11">
      <c r="A416">
        <v>414</v>
      </c>
      <c r="B416">
        <v>87</v>
      </c>
      <c r="C416">
        <v>13</v>
      </c>
      <c r="D416">
        <v>25</v>
      </c>
      <c r="E416">
        <v>17</v>
      </c>
      <c r="G416">
        <f t="shared" si="24"/>
        <v>-0.75955610032212773</v>
      </c>
      <c r="H416">
        <f t="shared" si="25"/>
        <v>-0.49146944584621449</v>
      </c>
      <c r="I416">
        <f t="shared" si="26"/>
        <v>-0.62653544318513188</v>
      </c>
      <c r="K416">
        <f t="shared" si="27"/>
        <v>-0.62585366311782475</v>
      </c>
    </row>
    <row r="417" spans="1:11">
      <c r="A417">
        <v>415</v>
      </c>
      <c r="B417">
        <v>84</v>
      </c>
      <c r="C417">
        <v>50</v>
      </c>
      <c r="D417">
        <v>106</v>
      </c>
      <c r="E417">
        <v>33</v>
      </c>
      <c r="G417">
        <f t="shared" si="24"/>
        <v>-0.15928948173620888</v>
      </c>
      <c r="H417">
        <f t="shared" si="25"/>
        <v>0.15113637730325508</v>
      </c>
      <c r="I417">
        <f t="shared" si="26"/>
        <v>-0.32323045812878154</v>
      </c>
      <c r="K417">
        <f t="shared" si="27"/>
        <v>-0.11046118752057844</v>
      </c>
    </row>
    <row r="418" spans="1:11">
      <c r="A418">
        <v>416</v>
      </c>
      <c r="B418">
        <v>53</v>
      </c>
      <c r="C418">
        <v>0</v>
      </c>
      <c r="D418">
        <v>1</v>
      </c>
      <c r="E418">
        <v>1</v>
      </c>
      <c r="G418" t="e">
        <f t="shared" si="24"/>
        <v>#NUM!</v>
      </c>
      <c r="H418">
        <f t="shared" si="25"/>
        <v>-1.6741660715004227</v>
      </c>
      <c r="I418">
        <f t="shared" si="26"/>
        <v>-1.6417409815455766</v>
      </c>
      <c r="K418" t="e">
        <f t="shared" si="27"/>
        <v>#NUM!</v>
      </c>
    </row>
    <row r="419" spans="1:11">
      <c r="A419">
        <v>417</v>
      </c>
      <c r="B419">
        <v>37</v>
      </c>
      <c r="C419">
        <v>0</v>
      </c>
      <c r="D419">
        <v>0</v>
      </c>
      <c r="E419">
        <v>0</v>
      </c>
      <c r="G419" t="e">
        <f t="shared" si="24"/>
        <v>#NUM!</v>
      </c>
      <c r="H419" t="e">
        <f t="shared" si="25"/>
        <v>#NUM!</v>
      </c>
      <c r="I419" t="e">
        <f t="shared" si="26"/>
        <v>#NUM!</v>
      </c>
      <c r="K419" t="e">
        <f t="shared" si="27"/>
        <v>#NUM!</v>
      </c>
    </row>
    <row r="420" spans="1:11">
      <c r="A420">
        <v>418</v>
      </c>
      <c r="B420">
        <v>164</v>
      </c>
      <c r="C420">
        <v>226</v>
      </c>
      <c r="D420">
        <v>441</v>
      </c>
      <c r="E420">
        <v>183</v>
      </c>
      <c r="G420">
        <f t="shared" si="24"/>
        <v>0.20528439108935698</v>
      </c>
      <c r="H420">
        <f t="shared" si="25"/>
        <v>0.47970453952050712</v>
      </c>
      <c r="I420">
        <f t="shared" si="26"/>
        <v>0.13014212973794428</v>
      </c>
      <c r="K420">
        <f t="shared" si="27"/>
        <v>0.27171035344926947</v>
      </c>
    </row>
    <row r="421" spans="1:11">
      <c r="A421">
        <v>419</v>
      </c>
      <c r="B421">
        <v>47</v>
      </c>
      <c r="C421">
        <v>22</v>
      </c>
      <c r="D421">
        <v>27</v>
      </c>
      <c r="E421">
        <v>79</v>
      </c>
      <c r="G421">
        <f t="shared" si="24"/>
        <v>-0.26365537712385723</v>
      </c>
      <c r="H421">
        <f t="shared" si="25"/>
        <v>-0.19062429567636363</v>
      </c>
      <c r="I421">
        <f t="shared" si="26"/>
        <v>0.30806412140993666</v>
      </c>
      <c r="K421">
        <f t="shared" si="27"/>
        <v>-4.8738517130094729E-2</v>
      </c>
    </row>
    <row r="422" spans="1:11">
      <c r="A422">
        <v>420</v>
      </c>
      <c r="B422">
        <v>101</v>
      </c>
      <c r="C422">
        <v>1</v>
      </c>
      <c r="D422">
        <v>0</v>
      </c>
      <c r="E422">
        <v>3</v>
      </c>
      <c r="G422">
        <f t="shared" si="24"/>
        <v>-1.9383015737929887</v>
      </c>
      <c r="H422" t="e">
        <f t="shared" si="25"/>
        <v>#NUM!</v>
      </c>
      <c r="I422">
        <f t="shared" si="26"/>
        <v>-1.4446652310077677</v>
      </c>
      <c r="K422" t="e">
        <f t="shared" si="27"/>
        <v>#NUM!</v>
      </c>
    </row>
    <row r="423" spans="1:11">
      <c r="A423">
        <v>421</v>
      </c>
      <c r="B423">
        <v>97</v>
      </c>
      <c r="C423">
        <v>2</v>
      </c>
      <c r="D423">
        <v>1</v>
      </c>
      <c r="E423">
        <v>1</v>
      </c>
      <c r="G423">
        <f t="shared" si="24"/>
        <v>-1.6197219386126098</v>
      </c>
      <c r="H423">
        <f t="shared" si="25"/>
        <v>-1.9366619361658783</v>
      </c>
      <c r="I423">
        <f t="shared" si="26"/>
        <v>-1.9042368462110322</v>
      </c>
      <c r="K423">
        <f t="shared" si="27"/>
        <v>-1.8202069069965068</v>
      </c>
    </row>
    <row r="424" spans="1:11">
      <c r="A424">
        <v>422</v>
      </c>
      <c r="B424">
        <v>24</v>
      </c>
      <c r="C424">
        <v>3</v>
      </c>
      <c r="D424">
        <v>4</v>
      </c>
      <c r="E424">
        <v>4</v>
      </c>
      <c r="G424">
        <f t="shared" si="24"/>
        <v>-0.83707018700228952</v>
      </c>
      <c r="H424">
        <f t="shared" si="25"/>
        <v>-0.7280414522832771</v>
      </c>
      <c r="I424">
        <f t="shared" si="26"/>
        <v>-0.69561636232843094</v>
      </c>
      <c r="K424">
        <f t="shared" si="27"/>
        <v>-0.75357600053799922</v>
      </c>
    </row>
    <row r="425" spans="1:11">
      <c r="A425">
        <v>423</v>
      </c>
      <c r="B425">
        <v>11</v>
      </c>
      <c r="C425">
        <v>0</v>
      </c>
      <c r="D425">
        <v>0</v>
      </c>
      <c r="E425">
        <v>0</v>
      </c>
      <c r="G425" t="e">
        <f t="shared" si="24"/>
        <v>#NUM!</v>
      </c>
      <c r="H425" t="e">
        <f t="shared" si="25"/>
        <v>#NUM!</v>
      </c>
      <c r="I425" t="e">
        <f t="shared" si="26"/>
        <v>#NUM!</v>
      </c>
      <c r="K425" t="e">
        <f t="shared" si="27"/>
        <v>#NUM!</v>
      </c>
    </row>
    <row r="426" spans="1:11">
      <c r="A426">
        <v>424</v>
      </c>
      <c r="B426">
        <v>67</v>
      </c>
      <c r="C426">
        <v>0</v>
      </c>
      <c r="D426">
        <v>0</v>
      </c>
      <c r="E426">
        <v>2</v>
      </c>
      <c r="G426" t="e">
        <f t="shared" si="24"/>
        <v>#NUM!</v>
      </c>
      <c r="H426" t="e">
        <f t="shared" si="25"/>
        <v>#NUM!</v>
      </c>
      <c r="I426">
        <f t="shared" si="26"/>
        <v>-1.4425099189816326</v>
      </c>
      <c r="K426" t="e">
        <f t="shared" si="27"/>
        <v>#NUM!</v>
      </c>
    </row>
    <row r="427" spans="1:11">
      <c r="A427">
        <v>425</v>
      </c>
      <c r="B427">
        <v>13</v>
      </c>
      <c r="C427">
        <v>0</v>
      </c>
      <c r="D427">
        <v>0</v>
      </c>
      <c r="E427">
        <v>1</v>
      </c>
      <c r="G427" t="e">
        <f t="shared" si="24"/>
        <v>#NUM!</v>
      </c>
      <c r="H427" t="e">
        <f t="shared" si="25"/>
        <v>#NUM!</v>
      </c>
      <c r="I427">
        <f t="shared" si="26"/>
        <v>-1.0314084642516241</v>
      </c>
      <c r="K427" t="e">
        <f t="shared" si="27"/>
        <v>#NUM!</v>
      </c>
    </row>
    <row r="428" spans="1:11">
      <c r="A428">
        <v>426</v>
      </c>
      <c r="B428">
        <v>41</v>
      </c>
      <c r="C428">
        <v>0</v>
      </c>
      <c r="D428">
        <v>2</v>
      </c>
      <c r="E428">
        <v>1</v>
      </c>
      <c r="G428" t="e">
        <f t="shared" si="24"/>
        <v>#NUM!</v>
      </c>
      <c r="H428">
        <f t="shared" si="25"/>
        <v>-1.2616440629553878</v>
      </c>
      <c r="I428">
        <f t="shared" si="26"/>
        <v>-1.5302489686645229</v>
      </c>
      <c r="K428" t="e">
        <f t="shared" si="27"/>
        <v>#NUM!</v>
      </c>
    </row>
    <row r="429" spans="1:11">
      <c r="A429">
        <v>427</v>
      </c>
      <c r="B429">
        <v>19</v>
      </c>
      <c r="C429">
        <v>2</v>
      </c>
      <c r="D429">
        <v>0</v>
      </c>
      <c r="E429">
        <v>0</v>
      </c>
      <c r="G429">
        <f t="shared" si="24"/>
        <v>-0.91170380529919381</v>
      </c>
      <c r="H429" t="e">
        <f t="shared" si="25"/>
        <v>#NUM!</v>
      </c>
      <c r="I429" t="e">
        <f t="shared" si="26"/>
        <v>#NUM!</v>
      </c>
      <c r="K429" t="e">
        <f t="shared" si="27"/>
        <v>#NUM!</v>
      </c>
    </row>
    <row r="430" spans="1:11">
      <c r="A430">
        <v>428</v>
      </c>
      <c r="B430">
        <v>89</v>
      </c>
      <c r="C430">
        <v>22</v>
      </c>
      <c r="D430">
        <v>49</v>
      </c>
      <c r="E430">
        <v>29</v>
      </c>
      <c r="G430">
        <f t="shared" si="24"/>
        <v>-0.5409475258330525</v>
      </c>
      <c r="H430">
        <f t="shared" si="25"/>
        <v>-0.20908412851603264</v>
      </c>
      <c r="I430">
        <f t="shared" si="26"/>
        <v>-0.40445712069074402</v>
      </c>
      <c r="K430">
        <f t="shared" si="27"/>
        <v>-0.38482959167994307</v>
      </c>
    </row>
    <row r="431" spans="1:11">
      <c r="A431">
        <v>429</v>
      </c>
      <c r="B431">
        <v>46</v>
      </c>
      <c r="C431">
        <v>909</v>
      </c>
      <c r="D431">
        <v>36</v>
      </c>
      <c r="E431">
        <v>58</v>
      </c>
      <c r="G431">
        <f t="shared" si="24"/>
        <v>1.3618258515300472</v>
      </c>
      <c r="H431">
        <f t="shared" si="25"/>
        <v>-5.6345532813920296E-2</v>
      </c>
      <c r="I431">
        <f t="shared" si="26"/>
        <v>0.18320504993657588</v>
      </c>
      <c r="K431">
        <f t="shared" si="27"/>
        <v>0.49622845621756762</v>
      </c>
    </row>
    <row r="432" spans="1:11">
      <c r="A432">
        <v>430</v>
      </c>
      <c r="B432">
        <v>50</v>
      </c>
      <c r="C432">
        <v>389</v>
      </c>
      <c r="D432">
        <v>23</v>
      </c>
      <c r="E432">
        <v>15</v>
      </c>
      <c r="G432">
        <f t="shared" si="24"/>
        <v>0.956999396979343</v>
      </c>
      <c r="H432">
        <f t="shared" si="25"/>
        <v>-0.28713237021805943</v>
      </c>
      <c r="I432">
        <f t="shared" si="26"/>
        <v>-0.44034385722512498</v>
      </c>
      <c r="K432">
        <f t="shared" si="27"/>
        <v>7.6507723178719553E-2</v>
      </c>
    </row>
    <row r="433" spans="1:11">
      <c r="A433">
        <v>431</v>
      </c>
      <c r="B433">
        <v>127</v>
      </c>
      <c r="C433">
        <v>18</v>
      </c>
      <c r="D433">
        <v>17</v>
      </c>
      <c r="E433">
        <v>12</v>
      </c>
      <c r="G433">
        <f t="shared" si="24"/>
        <v>-0.78251141586299677</v>
      </c>
      <c r="H433">
        <f t="shared" si="25"/>
        <v>-0.82324500147731638</v>
      </c>
      <c r="I433">
        <f t="shared" si="26"/>
        <v>-0.94208758685311944</v>
      </c>
      <c r="K433">
        <f t="shared" si="27"/>
        <v>-0.8492813347311442</v>
      </c>
    </row>
    <row r="434" spans="1:11">
      <c r="A434">
        <v>432</v>
      </c>
      <c r="B434">
        <v>61</v>
      </c>
      <c r="C434">
        <v>0</v>
      </c>
      <c r="D434">
        <v>3</v>
      </c>
      <c r="E434">
        <v>4</v>
      </c>
      <c r="G434" t="e">
        <f t="shared" si="24"/>
        <v>#NUM!</v>
      </c>
      <c r="H434">
        <f t="shared" si="25"/>
        <v>-1.2580987821907381</v>
      </c>
      <c r="I434">
        <f t="shared" si="26"/>
        <v>-1.100734955627592</v>
      </c>
      <c r="K434" t="e">
        <f t="shared" si="27"/>
        <v>#NUM!</v>
      </c>
    </row>
    <row r="435" spans="1:11">
      <c r="A435">
        <v>433</v>
      </c>
      <c r="B435">
        <v>46</v>
      </c>
      <c r="C435">
        <v>5</v>
      </c>
      <c r="D435">
        <v>9</v>
      </c>
      <c r="E435">
        <v>3</v>
      </c>
      <c r="G435">
        <f t="shared" si="24"/>
        <v>-0.89776802735590122</v>
      </c>
      <c r="H435">
        <f t="shared" si="25"/>
        <v>-0.65840552414188269</v>
      </c>
      <c r="I435">
        <f t="shared" si="26"/>
        <v>-1.1031016889066991</v>
      </c>
      <c r="K435">
        <f t="shared" si="27"/>
        <v>-0.88642508013482768</v>
      </c>
    </row>
    <row r="436" spans="1:11">
      <c r="A436">
        <v>434</v>
      </c>
      <c r="B436">
        <v>57</v>
      </c>
      <c r="C436">
        <v>2</v>
      </c>
      <c r="D436">
        <v>0</v>
      </c>
      <c r="E436">
        <v>1</v>
      </c>
      <c r="G436">
        <f t="shared" si="24"/>
        <v>-1.3888250600188563</v>
      </c>
      <c r="H436" t="e">
        <f t="shared" si="25"/>
        <v>#NUM!</v>
      </c>
      <c r="I436">
        <f t="shared" si="26"/>
        <v>-1.6733399676172789</v>
      </c>
      <c r="K436" t="e">
        <f t="shared" si="27"/>
        <v>#NUM!</v>
      </c>
    </row>
    <row r="437" spans="1:11">
      <c r="A437">
        <v>435</v>
      </c>
      <c r="B437">
        <v>32</v>
      </c>
      <c r="C437">
        <v>7</v>
      </c>
      <c r="D437">
        <v>7</v>
      </c>
      <c r="E437">
        <v>49</v>
      </c>
      <c r="G437">
        <f t="shared" si="24"/>
        <v>-0.59403213831599511</v>
      </c>
      <c r="H437">
        <f t="shared" si="25"/>
        <v>-0.60994214020528259</v>
      </c>
      <c r="I437">
        <f t="shared" si="26"/>
        <v>0.26758098976382033</v>
      </c>
      <c r="K437">
        <f t="shared" si="27"/>
        <v>-0.31213109625248575</v>
      </c>
    </row>
    <row r="438" spans="1:11">
      <c r="A438">
        <v>436</v>
      </c>
      <c r="B438">
        <v>33</v>
      </c>
      <c r="C438">
        <v>15</v>
      </c>
      <c r="D438">
        <v>15</v>
      </c>
      <c r="E438">
        <v>19</v>
      </c>
      <c r="G438">
        <f t="shared" si="24"/>
        <v>-0.27640288083255221</v>
      </c>
      <c r="H438">
        <f t="shared" si="25"/>
        <v>-0.29231288272183975</v>
      </c>
      <c r="I438">
        <f t="shared" si="26"/>
        <v>-0.15722545086984585</v>
      </c>
      <c r="K438">
        <f t="shared" si="27"/>
        <v>-0.24198040480807928</v>
      </c>
    </row>
    <row r="439" spans="1:11">
      <c r="A439">
        <v>437</v>
      </c>
      <c r="B439">
        <v>110</v>
      </c>
      <c r="C439">
        <v>5</v>
      </c>
      <c r="D439">
        <v>3</v>
      </c>
      <c r="E439">
        <v>0</v>
      </c>
      <c r="G439">
        <f t="shared" si="24"/>
        <v>-1.2764028808325523</v>
      </c>
      <c r="H439">
        <f t="shared" si="25"/>
        <v>-1.5141616323381961</v>
      </c>
      <c r="I439" t="e">
        <f t="shared" si="26"/>
        <v>#NUM!</v>
      </c>
      <c r="K439" t="e">
        <f t="shared" si="27"/>
        <v>#NUM!</v>
      </c>
    </row>
    <row r="440" spans="1:11">
      <c r="A440">
        <v>438</v>
      </c>
      <c r="B440">
        <v>58</v>
      </c>
      <c r="C440">
        <v>2</v>
      </c>
      <c r="D440">
        <v>5</v>
      </c>
      <c r="E440">
        <v>0</v>
      </c>
      <c r="G440">
        <f t="shared" si="24"/>
        <v>-1.3963781979093022</v>
      </c>
      <c r="H440">
        <f t="shared" si="25"/>
        <v>-1.0143481911265519</v>
      </c>
      <c r="I440" t="e">
        <f t="shared" si="26"/>
        <v>#NUM!</v>
      </c>
      <c r="K440" t="e">
        <f t="shared" si="27"/>
        <v>#NUM!</v>
      </c>
    </row>
    <row r="441" spans="1:11">
      <c r="A441">
        <v>439</v>
      </c>
      <c r="B441">
        <v>188</v>
      </c>
      <c r="C441">
        <v>29</v>
      </c>
      <c r="D441">
        <v>18</v>
      </c>
      <c r="E441">
        <v>23</v>
      </c>
      <c r="G441">
        <f t="shared" si="24"/>
        <v>-0.74574005137506971</v>
      </c>
      <c r="H441">
        <f t="shared" si="25"/>
        <v>-0.96877554606000726</v>
      </c>
      <c r="I441">
        <f t="shared" si="26"/>
        <v>-0.82989512519087427</v>
      </c>
      <c r="K441">
        <f t="shared" si="27"/>
        <v>-0.84813690754198368</v>
      </c>
    </row>
    <row r="442" spans="1:11">
      <c r="A442">
        <v>440</v>
      </c>
      <c r="B442">
        <v>27</v>
      </c>
      <c r="C442">
        <v>7</v>
      </c>
      <c r="D442">
        <v>11</v>
      </c>
      <c r="E442">
        <v>6</v>
      </c>
      <c r="G442">
        <f t="shared" si="24"/>
        <v>-0.52024592415507653</v>
      </c>
      <c r="H442">
        <f t="shared" si="25"/>
        <v>-0.3398612809003958</v>
      </c>
      <c r="I442">
        <f t="shared" si="26"/>
        <v>-0.57067762572013103</v>
      </c>
      <c r="K442">
        <f t="shared" si="27"/>
        <v>-0.47692827692520118</v>
      </c>
    </row>
    <row r="443" spans="1:11">
      <c r="A443">
        <v>441</v>
      </c>
      <c r="B443">
        <v>100</v>
      </c>
      <c r="C443">
        <v>2</v>
      </c>
      <c r="D443">
        <v>0</v>
      </c>
      <c r="E443">
        <v>2</v>
      </c>
      <c r="G443">
        <f t="shared" si="24"/>
        <v>-1.6329502043463648</v>
      </c>
      <c r="H443" t="e">
        <f t="shared" si="25"/>
        <v>#NUM!</v>
      </c>
      <c r="I443">
        <f t="shared" si="26"/>
        <v>-1.6164351162808062</v>
      </c>
      <c r="K443" t="e">
        <f t="shared" si="27"/>
        <v>#NUM!</v>
      </c>
    </row>
    <row r="444" spans="1:11">
      <c r="A444">
        <v>442</v>
      </c>
      <c r="B444">
        <v>38</v>
      </c>
      <c r="C444">
        <v>3</v>
      </c>
      <c r="D444">
        <v>2</v>
      </c>
      <c r="E444">
        <v>1</v>
      </c>
      <c r="G444">
        <f t="shared" si="24"/>
        <v>-1.0366425419074938</v>
      </c>
      <c r="H444">
        <f t="shared" si="25"/>
        <v>-1.2286438028524627</v>
      </c>
      <c r="I444">
        <f t="shared" si="26"/>
        <v>-1.4972487085615975</v>
      </c>
      <c r="K444">
        <f t="shared" si="27"/>
        <v>-1.2541783511071847</v>
      </c>
    </row>
    <row r="445" spans="1:11">
      <c r="A445">
        <v>443</v>
      </c>
      <c r="B445">
        <v>33</v>
      </c>
      <c r="C445">
        <v>101</v>
      </c>
      <c r="D445">
        <v>30</v>
      </c>
      <c r="E445">
        <v>383</v>
      </c>
      <c r="G445">
        <f t="shared" si="24"/>
        <v>0.55182723389440913</v>
      </c>
      <c r="H445">
        <f t="shared" si="25"/>
        <v>8.7171129421414334E-3</v>
      </c>
      <c r="I445">
        <f t="shared" si="26"/>
        <v>1.1472197221459479</v>
      </c>
      <c r="K445">
        <f t="shared" si="27"/>
        <v>0.56925468966083281</v>
      </c>
    </row>
    <row r="446" spans="1:11">
      <c r="A446">
        <v>444</v>
      </c>
      <c r="B446">
        <v>31</v>
      </c>
      <c r="C446">
        <v>0</v>
      </c>
      <c r="D446">
        <v>0</v>
      </c>
      <c r="E446">
        <v>1</v>
      </c>
      <c r="G446" t="e">
        <f t="shared" si="24"/>
        <v>#NUM!</v>
      </c>
      <c r="H446" t="e">
        <f t="shared" si="25"/>
        <v>#NUM!</v>
      </c>
      <c r="I446">
        <f t="shared" si="26"/>
        <v>-1.4088268057790601</v>
      </c>
      <c r="K446" t="e">
        <f t="shared" si="27"/>
        <v>#NUM!</v>
      </c>
    </row>
    <row r="447" spans="1:11">
      <c r="A447">
        <v>445</v>
      </c>
      <c r="B447">
        <v>63</v>
      </c>
      <c r="C447">
        <v>33</v>
      </c>
      <c r="D447">
        <v>39</v>
      </c>
      <c r="E447">
        <v>28</v>
      </c>
      <c r="G447">
        <f t="shared" si="24"/>
        <v>-0.2148068095860402</v>
      </c>
      <c r="H447">
        <f t="shared" si="25"/>
        <v>-0.158166144326716</v>
      </c>
      <c r="I447">
        <f t="shared" si="26"/>
        <v>-0.26964763005614989</v>
      </c>
      <c r="K447">
        <f t="shared" si="27"/>
        <v>-0.21420686132296871</v>
      </c>
    </row>
    <row r="448" spans="1:11">
      <c r="A448">
        <v>446</v>
      </c>
      <c r="B448">
        <v>82</v>
      </c>
      <c r="C448">
        <v>78</v>
      </c>
      <c r="D448">
        <v>109</v>
      </c>
      <c r="E448">
        <v>32</v>
      </c>
      <c r="G448">
        <f t="shared" si="24"/>
        <v>4.430055029641769E-2</v>
      </c>
      <c r="H448">
        <f t="shared" si="25"/>
        <v>0.17372244365727346</v>
      </c>
      <c r="I448">
        <f t="shared" si="26"/>
        <v>-0.32612898600859808</v>
      </c>
      <c r="K448">
        <f t="shared" si="27"/>
        <v>-3.6035330684968975E-2</v>
      </c>
    </row>
    <row r="449" spans="1:11">
      <c r="A449">
        <v>447</v>
      </c>
      <c r="B449">
        <v>46</v>
      </c>
      <c r="C449">
        <v>4</v>
      </c>
      <c r="D449">
        <v>0</v>
      </c>
      <c r="E449">
        <v>0</v>
      </c>
      <c r="G449">
        <f t="shared" si="24"/>
        <v>-0.99467804036395757</v>
      </c>
      <c r="H449" t="e">
        <f t="shared" si="25"/>
        <v>#NUM!</v>
      </c>
      <c r="I449" t="e">
        <f t="shared" si="26"/>
        <v>#NUM!</v>
      </c>
      <c r="K449" t="e">
        <f t="shared" si="27"/>
        <v>#NUM!</v>
      </c>
    </row>
    <row r="450" spans="1:11">
      <c r="A450">
        <v>448</v>
      </c>
      <c r="B450">
        <v>51</v>
      </c>
      <c r="C450">
        <v>5</v>
      </c>
      <c r="D450">
        <v>8</v>
      </c>
      <c r="E450">
        <v>4</v>
      </c>
      <c r="G450">
        <f t="shared" si="24"/>
        <v>-0.9425803717722635</v>
      </c>
      <c r="H450">
        <f t="shared" si="25"/>
        <v>-0.75437039100562631</v>
      </c>
      <c r="I450">
        <f t="shared" si="26"/>
        <v>-1.0229752967147614</v>
      </c>
      <c r="K450">
        <f t="shared" si="27"/>
        <v>-0.90664201983088377</v>
      </c>
    </row>
    <row r="451" spans="1:11">
      <c r="A451">
        <v>449</v>
      </c>
      <c r="B451">
        <v>45</v>
      </c>
      <c r="C451">
        <v>7</v>
      </c>
      <c r="D451">
        <v>8</v>
      </c>
      <c r="E451">
        <v>20</v>
      </c>
      <c r="G451">
        <f t="shared" ref="G451:G514" si="28">LOG10(C451/B451)-LOG10(134/156)</f>
        <v>-0.74209467377143279</v>
      </c>
      <c r="H451">
        <f t="shared" ref="H451:H514" si="29">LOG10(D451/B451)-LOG10(139/156)</f>
        <v>-0.70001272868303355</v>
      </c>
      <c r="I451">
        <f t="shared" ref="I451:I514" si="30">LOG10(E451/B451)-LOG10(129/156)</f>
        <v>-0.26964763005614989</v>
      </c>
      <c r="K451">
        <f t="shared" ref="K451:K514" si="31">AVERAGE(G451:I451)</f>
        <v>-0.57058501083687208</v>
      </c>
    </row>
    <row r="452" spans="1:11">
      <c r="A452">
        <v>450</v>
      </c>
      <c r="B452">
        <v>55</v>
      </c>
      <c r="C452">
        <v>3</v>
      </c>
      <c r="D452">
        <v>2</v>
      </c>
      <c r="E452">
        <v>0</v>
      </c>
      <c r="G452">
        <f t="shared" si="28"/>
        <v>-1.1972216347849276</v>
      </c>
      <c r="H452">
        <f t="shared" si="29"/>
        <v>-1.3892228957298962</v>
      </c>
      <c r="I452" t="e">
        <f t="shared" si="30"/>
        <v>#NUM!</v>
      </c>
      <c r="K452" t="e">
        <f t="shared" si="31"/>
        <v>#NUM!</v>
      </c>
    </row>
    <row r="453" spans="1:11">
      <c r="A453">
        <v>451</v>
      </c>
      <c r="B453">
        <v>44</v>
      </c>
      <c r="C453">
        <v>37</v>
      </c>
      <c r="D453">
        <v>43</v>
      </c>
      <c r="E453">
        <v>1058</v>
      </c>
      <c r="G453">
        <f t="shared" si="28"/>
        <v>-9.2311524295384112E-3</v>
      </c>
      <c r="H453">
        <f t="shared" si="29"/>
        <v>4.0125577193765596E-2</v>
      </c>
      <c r="I453">
        <f t="shared" si="30"/>
        <v>1.4635678792681921</v>
      </c>
      <c r="K453">
        <f t="shared" si="31"/>
        <v>0.49815410134413973</v>
      </c>
    </row>
    <row r="454" spans="1:11">
      <c r="A454">
        <v>452</v>
      </c>
      <c r="B454">
        <v>219</v>
      </c>
      <c r="C454">
        <v>0</v>
      </c>
      <c r="D454">
        <v>6</v>
      </c>
      <c r="E454">
        <v>8</v>
      </c>
      <c r="G454" t="e">
        <f t="shared" si="28"/>
        <v>#NUM!</v>
      </c>
      <c r="H454">
        <f t="shared" si="29"/>
        <v>-1.5121830663561082</v>
      </c>
      <c r="I454">
        <f t="shared" si="30"/>
        <v>-1.3548192397929621</v>
      </c>
      <c r="K454" t="e">
        <f t="shared" si="31"/>
        <v>#NUM!</v>
      </c>
    </row>
    <row r="455" spans="1:11">
      <c r="A455">
        <v>453</v>
      </c>
      <c r="B455">
        <v>71</v>
      </c>
      <c r="C455">
        <v>20</v>
      </c>
      <c r="D455">
        <v>11</v>
      </c>
      <c r="E455">
        <v>24</v>
      </c>
      <c r="G455">
        <f t="shared" si="28"/>
        <v>-0.48420855306544008</v>
      </c>
      <c r="H455">
        <f t="shared" si="29"/>
        <v>-0.75975586546048379</v>
      </c>
      <c r="I455">
        <f t="shared" si="30"/>
        <v>-0.38851221895225663</v>
      </c>
      <c r="K455">
        <f t="shared" si="31"/>
        <v>-0.54415887915939354</v>
      </c>
    </row>
    <row r="456" spans="1:11">
      <c r="A456">
        <v>454</v>
      </c>
      <c r="B456">
        <v>67</v>
      </c>
      <c r="C456">
        <v>1</v>
      </c>
      <c r="D456">
        <v>0</v>
      </c>
      <c r="E456">
        <v>0</v>
      </c>
      <c r="G456">
        <f t="shared" si="28"/>
        <v>-1.7600550027111725</v>
      </c>
      <c r="H456" t="e">
        <f t="shared" si="29"/>
        <v>#NUM!</v>
      </c>
      <c r="I456" t="e">
        <f t="shared" si="30"/>
        <v>#NUM!</v>
      </c>
      <c r="K456" t="e">
        <f t="shared" si="31"/>
        <v>#NUM!</v>
      </c>
    </row>
    <row r="457" spans="1:11">
      <c r="A457">
        <v>455</v>
      </c>
      <c r="B457">
        <v>42</v>
      </c>
      <c r="C457">
        <v>0</v>
      </c>
      <c r="D457">
        <v>2</v>
      </c>
      <c r="E457">
        <v>1</v>
      </c>
      <c r="G457" t="e">
        <f t="shared" si="28"/>
        <v>#NUM!</v>
      </c>
      <c r="H457">
        <f t="shared" si="29"/>
        <v>-1.2721094966335529</v>
      </c>
      <c r="I457">
        <f t="shared" si="30"/>
        <v>-1.540714402342688</v>
      </c>
      <c r="K457" t="e">
        <f t="shared" si="31"/>
        <v>#NUM!</v>
      </c>
    </row>
    <row r="458" spans="1:11">
      <c r="A458">
        <v>456</v>
      </c>
      <c r="B458">
        <v>83</v>
      </c>
      <c r="C458">
        <v>1</v>
      </c>
      <c r="D458">
        <v>0</v>
      </c>
      <c r="E458">
        <v>5</v>
      </c>
      <c r="G458">
        <f t="shared" si="28"/>
        <v>-1.8530582923864201</v>
      </c>
      <c r="H458" t="e">
        <f t="shared" si="29"/>
        <v>#NUM!</v>
      </c>
      <c r="I458">
        <f t="shared" si="30"/>
        <v>-1.1375731999848424</v>
      </c>
      <c r="K458" t="e">
        <f t="shared" si="31"/>
        <v>#NUM!</v>
      </c>
    </row>
    <row r="459" spans="1:11">
      <c r="A459">
        <v>457</v>
      </c>
      <c r="B459">
        <v>40</v>
      </c>
      <c r="C459">
        <v>39</v>
      </c>
      <c r="D459">
        <v>33</v>
      </c>
      <c r="E459">
        <v>48</v>
      </c>
      <c r="G459">
        <f t="shared" si="28"/>
        <v>5.502441568819081E-2</v>
      </c>
      <c r="H459">
        <f t="shared" si="29"/>
        <v>-3.3436253349708442E-2</v>
      </c>
      <c r="I459">
        <f t="shared" si="30"/>
        <v>0.16171613410283747</v>
      </c>
      <c r="K459">
        <f t="shared" si="31"/>
        <v>6.1101432147106616E-2</v>
      </c>
    </row>
    <row r="460" spans="1:11">
      <c r="A460">
        <v>458</v>
      </c>
      <c r="B460">
        <v>55</v>
      </c>
      <c r="C460">
        <v>11</v>
      </c>
      <c r="D460">
        <v>9</v>
      </c>
      <c r="E460">
        <v>17</v>
      </c>
      <c r="G460">
        <f t="shared" si="28"/>
        <v>-0.63295020434636473</v>
      </c>
      <c r="H460">
        <f t="shared" si="29"/>
        <v>-0.73601038195455248</v>
      </c>
      <c r="I460">
        <f t="shared" si="30"/>
        <v>-0.42737888006075725</v>
      </c>
      <c r="K460">
        <f t="shared" si="31"/>
        <v>-0.59877982212055814</v>
      </c>
    </row>
    <row r="461" spans="1:11">
      <c r="A461">
        <v>459</v>
      </c>
      <c r="B461">
        <v>22</v>
      </c>
      <c r="C461">
        <v>2</v>
      </c>
      <c r="D461">
        <v>2</v>
      </c>
      <c r="E461">
        <v>5</v>
      </c>
      <c r="G461">
        <f t="shared" si="28"/>
        <v>-0.9753728851685709</v>
      </c>
      <c r="H461">
        <f t="shared" si="29"/>
        <v>-0.99128288705785839</v>
      </c>
      <c r="I461">
        <f t="shared" si="30"/>
        <v>-0.56091778843097473</v>
      </c>
      <c r="K461">
        <f t="shared" si="31"/>
        <v>-0.8425245202191346</v>
      </c>
    </row>
    <row r="462" spans="1:11">
      <c r="A462">
        <v>460</v>
      </c>
      <c r="B462">
        <v>21</v>
      </c>
      <c r="C462">
        <v>26</v>
      </c>
      <c r="D462">
        <v>53</v>
      </c>
      <c r="E462">
        <v>209</v>
      </c>
      <c r="G462">
        <f t="shared" si="28"/>
        <v>0.15877385322655271</v>
      </c>
      <c r="H462">
        <f t="shared" si="29"/>
        <v>0.45216637296723622</v>
      </c>
      <c r="I462">
        <f t="shared" si="30"/>
        <v>1.0804618794323473</v>
      </c>
      <c r="K462">
        <f t="shared" si="31"/>
        <v>0.56380070187537878</v>
      </c>
    </row>
    <row r="463" spans="1:11">
      <c r="A463">
        <v>461</v>
      </c>
      <c r="B463">
        <v>37</v>
      </c>
      <c r="C463">
        <v>108</v>
      </c>
      <c r="D463">
        <v>120</v>
      </c>
      <c r="E463">
        <v>206</v>
      </c>
      <c r="G463">
        <f t="shared" si="28"/>
        <v>0.53124183140960868</v>
      </c>
      <c r="H463">
        <f t="shared" si="29"/>
        <v>0.56108932008099643</v>
      </c>
      <c r="I463">
        <f t="shared" si="30"/>
        <v>0.82820038435737109</v>
      </c>
      <c r="K463">
        <f t="shared" si="31"/>
        <v>0.6401771786159921</v>
      </c>
    </row>
    <row r="464" spans="1:11">
      <c r="A464">
        <v>462</v>
      </c>
      <c r="B464">
        <v>63</v>
      </c>
      <c r="C464">
        <v>123</v>
      </c>
      <c r="D464">
        <v>148</v>
      </c>
      <c r="E464">
        <v>51</v>
      </c>
      <c r="G464">
        <f t="shared" si="28"/>
        <v>0.35658436197547022</v>
      </c>
      <c r="H464">
        <f t="shared" si="29"/>
        <v>0.42103096404174217</v>
      </c>
      <c r="I464">
        <f t="shared" si="30"/>
        <v>-9.2354853004326803E-3</v>
      </c>
      <c r="K464">
        <f t="shared" si="31"/>
        <v>0.25612661357225991</v>
      </c>
    </row>
    <row r="465" spans="1:11">
      <c r="A465">
        <v>463</v>
      </c>
      <c r="B465">
        <v>78</v>
      </c>
      <c r="C465">
        <v>2</v>
      </c>
      <c r="D465">
        <v>0</v>
      </c>
      <c r="E465">
        <v>0</v>
      </c>
      <c r="G465">
        <f t="shared" si="28"/>
        <v>-1.5250448070368454</v>
      </c>
      <c r="H465" t="e">
        <f t="shared" si="29"/>
        <v>#NUM!</v>
      </c>
      <c r="I465" t="e">
        <f t="shared" si="30"/>
        <v>#NUM!</v>
      </c>
      <c r="K465" t="e">
        <f t="shared" si="31"/>
        <v>#NUM!</v>
      </c>
    </row>
    <row r="466" spans="1:11">
      <c r="A466">
        <v>464</v>
      </c>
      <c r="B466">
        <v>104</v>
      </c>
      <c r="C466">
        <v>87</v>
      </c>
      <c r="D466">
        <v>118</v>
      </c>
      <c r="E466">
        <v>93</v>
      </c>
      <c r="G466">
        <f t="shared" si="28"/>
        <v>-1.149428669050781E-2</v>
      </c>
      <c r="H466">
        <f t="shared" si="29"/>
        <v>0.10495846610771151</v>
      </c>
      <c r="I466">
        <f t="shared" si="30"/>
        <v>3.3984497310367436E-2</v>
      </c>
      <c r="K466">
        <f t="shared" si="31"/>
        <v>4.2482892242523711E-2</v>
      </c>
    </row>
    <row r="467" spans="1:11">
      <c r="A467">
        <v>465</v>
      </c>
      <c r="B467">
        <v>63</v>
      </c>
      <c r="C467">
        <v>233</v>
      </c>
      <c r="D467">
        <v>210</v>
      </c>
      <c r="E467">
        <v>128</v>
      </c>
      <c r="G467">
        <f t="shared" si="28"/>
        <v>0.63403517156209133</v>
      </c>
      <c r="H467">
        <f t="shared" si="29"/>
        <v>0.57298854338070415</v>
      </c>
      <c r="I467">
        <f t="shared" si="30"/>
        <v>0.39040430824949929</v>
      </c>
      <c r="K467">
        <f t="shared" si="31"/>
        <v>0.53247600773076498</v>
      </c>
    </row>
    <row r="468" spans="1:11">
      <c r="A468">
        <v>466</v>
      </c>
      <c r="B468">
        <v>60</v>
      </c>
      <c r="C468">
        <v>4</v>
      </c>
      <c r="D468">
        <v>4</v>
      </c>
      <c r="E468">
        <v>7</v>
      </c>
      <c r="G468">
        <f t="shared" si="28"/>
        <v>-1.1100714590660274</v>
      </c>
      <c r="H468">
        <f t="shared" si="29"/>
        <v>-1.1259814609553149</v>
      </c>
      <c r="I468">
        <f t="shared" si="30"/>
        <v>-0.85051832231417412</v>
      </c>
      <c r="K468">
        <f t="shared" si="31"/>
        <v>-1.0288570807785056</v>
      </c>
    </row>
    <row r="469" spans="1:11">
      <c r="A469">
        <v>467</v>
      </c>
      <c r="B469">
        <v>46</v>
      </c>
      <c r="C469">
        <v>0</v>
      </c>
      <c r="D469">
        <v>1</v>
      </c>
      <c r="E469">
        <v>2</v>
      </c>
      <c r="G469" t="e">
        <f t="shared" si="28"/>
        <v>#NUM!</v>
      </c>
      <c r="H469">
        <f t="shared" si="29"/>
        <v>-1.6126480335812077</v>
      </c>
      <c r="I469">
        <f t="shared" si="30"/>
        <v>-1.2791929479623803</v>
      </c>
      <c r="K469" t="e">
        <f t="shared" si="31"/>
        <v>#NUM!</v>
      </c>
    </row>
    <row r="470" spans="1:11">
      <c r="A470">
        <v>468</v>
      </c>
      <c r="B470">
        <v>39</v>
      </c>
      <c r="C470">
        <v>0</v>
      </c>
      <c r="D470">
        <v>3</v>
      </c>
      <c r="E470">
        <v>0</v>
      </c>
      <c r="G470" t="e">
        <f t="shared" si="28"/>
        <v>#NUM!</v>
      </c>
      <c r="H470">
        <f t="shared" si="29"/>
        <v>-1.0638335542064703</v>
      </c>
      <c r="I470" t="e">
        <f t="shared" si="30"/>
        <v>#NUM!</v>
      </c>
      <c r="K470" t="e">
        <f t="shared" si="31"/>
        <v>#NUM!</v>
      </c>
    </row>
    <row r="471" spans="1:11">
      <c r="A471">
        <v>469</v>
      </c>
      <c r="B471">
        <v>12</v>
      </c>
      <c r="C471">
        <v>0</v>
      </c>
      <c r="D471">
        <v>1</v>
      </c>
      <c r="E471">
        <v>0</v>
      </c>
      <c r="G471" t="e">
        <f t="shared" si="28"/>
        <v>#NUM!</v>
      </c>
      <c r="H471">
        <f t="shared" si="29"/>
        <v>-1.0290714479472585</v>
      </c>
      <c r="I471" t="e">
        <f t="shared" si="30"/>
        <v>#NUM!</v>
      </c>
      <c r="K471" t="e">
        <f t="shared" si="31"/>
        <v>#NUM!</v>
      </c>
    </row>
    <row r="472" spans="1:11">
      <c r="A472">
        <v>470</v>
      </c>
      <c r="B472">
        <v>98</v>
      </c>
      <c r="C472">
        <v>114</v>
      </c>
      <c r="D472">
        <v>265</v>
      </c>
      <c r="E472">
        <v>145</v>
      </c>
      <c r="G472">
        <f t="shared" si="28"/>
        <v>0.13169857563363174</v>
      </c>
      <c r="H472">
        <f t="shared" si="29"/>
        <v>0.48212959634467945</v>
      </c>
      <c r="I472">
        <f t="shared" si="30"/>
        <v>0.2526768145976927</v>
      </c>
      <c r="K472">
        <f t="shared" si="31"/>
        <v>0.28883499552533465</v>
      </c>
    </row>
    <row r="473" spans="1:11">
      <c r="A473">
        <v>471</v>
      </c>
      <c r="B473">
        <v>136</v>
      </c>
      <c r="C473">
        <v>3</v>
      </c>
      <c r="D473">
        <v>13</v>
      </c>
      <c r="E473">
        <v>7</v>
      </c>
      <c r="G473">
        <f t="shared" si="28"/>
        <v>-1.5903978536609011</v>
      </c>
      <c r="H473">
        <f t="shared" si="29"/>
        <v>-0.96948575796301417</v>
      </c>
      <c r="I473">
        <f t="shared" si="30"/>
        <v>-1.2059059803007481</v>
      </c>
      <c r="K473">
        <f t="shared" si="31"/>
        <v>-1.2552631973082211</v>
      </c>
    </row>
    <row r="474" spans="1:11">
      <c r="A474">
        <v>472</v>
      </c>
      <c r="B474">
        <v>76</v>
      </c>
      <c r="C474">
        <v>15</v>
      </c>
      <c r="D474">
        <v>46</v>
      </c>
      <c r="E474">
        <v>41</v>
      </c>
      <c r="G474">
        <f t="shared" si="28"/>
        <v>-0.63870253323545612</v>
      </c>
      <c r="H474">
        <f t="shared" si="29"/>
        <v>-0.1679459624988508</v>
      </c>
      <c r="I474">
        <f t="shared" si="30"/>
        <v>-0.18549484750584322</v>
      </c>
      <c r="K474">
        <f t="shared" si="31"/>
        <v>-0.33071444774671671</v>
      </c>
    </row>
    <row r="475" spans="1:11">
      <c r="A475">
        <v>473</v>
      </c>
      <c r="B475">
        <v>93</v>
      </c>
      <c r="C475">
        <v>104</v>
      </c>
      <c r="D475">
        <v>49</v>
      </c>
      <c r="E475">
        <v>118</v>
      </c>
      <c r="G475">
        <f t="shared" si="28"/>
        <v>0.1145701907344992</v>
      </c>
      <c r="H475">
        <f t="shared" si="29"/>
        <v>-0.22817707042505497</v>
      </c>
      <c r="I475">
        <f t="shared" si="30"/>
        <v>0.18593394680740291</v>
      </c>
      <c r="K475">
        <f t="shared" si="31"/>
        <v>2.4109022372282379E-2</v>
      </c>
    </row>
    <row r="476" spans="1:11">
      <c r="A476">
        <v>474</v>
      </c>
      <c r="B476">
        <v>12</v>
      </c>
      <c r="C476">
        <v>0</v>
      </c>
      <c r="D476">
        <v>0</v>
      </c>
      <c r="E476">
        <v>0</v>
      </c>
      <c r="G476" t="e">
        <f t="shared" si="28"/>
        <v>#NUM!</v>
      </c>
      <c r="H476" t="e">
        <f t="shared" si="29"/>
        <v>#NUM!</v>
      </c>
      <c r="I476" t="e">
        <f t="shared" si="30"/>
        <v>#NUM!</v>
      </c>
      <c r="K476" t="e">
        <f t="shared" si="31"/>
        <v>#NUM!</v>
      </c>
    </row>
    <row r="477" spans="1:11">
      <c r="A477">
        <v>475</v>
      </c>
      <c r="B477">
        <v>55</v>
      </c>
      <c r="C477">
        <v>4</v>
      </c>
      <c r="D477">
        <v>0</v>
      </c>
      <c r="E477">
        <v>0</v>
      </c>
      <c r="G477">
        <f t="shared" si="28"/>
        <v>-1.0722828981766275</v>
      </c>
      <c r="H477" t="e">
        <f t="shared" si="29"/>
        <v>#NUM!</v>
      </c>
      <c r="I477" t="e">
        <f t="shared" si="30"/>
        <v>#NUM!</v>
      </c>
      <c r="K477" t="e">
        <f t="shared" si="31"/>
        <v>#NUM!</v>
      </c>
    </row>
    <row r="478" spans="1:11">
      <c r="A478">
        <v>476</v>
      </c>
      <c r="B478">
        <v>156</v>
      </c>
      <c r="C478">
        <v>2801</v>
      </c>
      <c r="D478">
        <v>82</v>
      </c>
      <c r="E478">
        <v>183</v>
      </c>
      <c r="G478">
        <f t="shared" si="28"/>
        <v>1.3202083104587605</v>
      </c>
      <c r="H478">
        <f t="shared" si="29"/>
        <v>-0.22920094787037842</v>
      </c>
      <c r="I478">
        <f t="shared" si="30"/>
        <v>0.15186137943118055</v>
      </c>
      <c r="K478">
        <f t="shared" si="31"/>
        <v>0.4142895806731875</v>
      </c>
    </row>
    <row r="479" spans="1:11">
      <c r="A479">
        <v>477</v>
      </c>
      <c r="B479">
        <v>81</v>
      </c>
      <c r="C479">
        <v>47</v>
      </c>
      <c r="D479">
        <v>31</v>
      </c>
      <c r="E479">
        <v>92</v>
      </c>
      <c r="G479">
        <f t="shared" si="28"/>
        <v>-0.17036736095327826</v>
      </c>
      <c r="H479">
        <f t="shared" si="29"/>
        <v>-0.36701352694401063</v>
      </c>
      <c r="I479">
        <f t="shared" si="30"/>
        <v>0.13783769652211814</v>
      </c>
      <c r="K479">
        <f t="shared" si="31"/>
        <v>-0.13318106379172359</v>
      </c>
    </row>
    <row r="480" spans="1:11">
      <c r="A480">
        <v>478</v>
      </c>
      <c r="B480">
        <v>33</v>
      </c>
      <c r="C480">
        <v>4</v>
      </c>
      <c r="D480">
        <v>1</v>
      </c>
      <c r="E480">
        <v>6</v>
      </c>
      <c r="G480">
        <f t="shared" si="28"/>
        <v>-0.85043414856027111</v>
      </c>
      <c r="H480">
        <f t="shared" si="29"/>
        <v>-1.4684041417775211</v>
      </c>
      <c r="I480">
        <f t="shared" si="30"/>
        <v>-0.65782780143903119</v>
      </c>
      <c r="K480">
        <f t="shared" si="31"/>
        <v>-0.99222203059227454</v>
      </c>
    </row>
    <row r="481" spans="1:11">
      <c r="A481">
        <v>479</v>
      </c>
      <c r="B481">
        <v>77</v>
      </c>
      <c r="C481">
        <v>89</v>
      </c>
      <c r="D481">
        <v>72</v>
      </c>
      <c r="E481">
        <v>290</v>
      </c>
      <c r="G481">
        <f t="shared" si="28"/>
        <v>0.12891908146208492</v>
      </c>
      <c r="H481">
        <f t="shared" si="29"/>
        <v>2.0951569359153068E-2</v>
      </c>
      <c r="I481">
        <f t="shared" si="30"/>
        <v>0.65844216078168694</v>
      </c>
      <c r="K481">
        <f t="shared" si="31"/>
        <v>0.26943760386764165</v>
      </c>
    </row>
    <row r="482" spans="1:11">
      <c r="A482">
        <v>480</v>
      </c>
      <c r="B482">
        <v>49</v>
      </c>
      <c r="C482">
        <v>12</v>
      </c>
      <c r="D482">
        <v>8</v>
      </c>
      <c r="E482">
        <v>11</v>
      </c>
      <c r="G482">
        <f t="shared" si="28"/>
        <v>-0.54499503399123483</v>
      </c>
      <c r="H482">
        <f t="shared" si="29"/>
        <v>-0.73699629493620356</v>
      </c>
      <c r="I482">
        <f t="shared" si="30"/>
        <v>-0.5662685068150759</v>
      </c>
      <c r="K482">
        <f t="shared" si="31"/>
        <v>-0.61608661191417136</v>
      </c>
    </row>
    <row r="483" spans="1:11">
      <c r="A483">
        <v>481</v>
      </c>
      <c r="B483">
        <v>83</v>
      </c>
      <c r="C483">
        <v>0</v>
      </c>
      <c r="D483">
        <v>2</v>
      </c>
      <c r="E483">
        <v>2</v>
      </c>
      <c r="G483" t="e">
        <f t="shared" si="28"/>
        <v>#NUM!</v>
      </c>
      <c r="H483">
        <f t="shared" si="29"/>
        <v>-1.5679382986117263</v>
      </c>
      <c r="I483">
        <f t="shared" si="30"/>
        <v>-1.5355132086568801</v>
      </c>
      <c r="K483" t="e">
        <f t="shared" si="31"/>
        <v>#NUM!</v>
      </c>
    </row>
    <row r="484" spans="1:11">
      <c r="A484">
        <v>482</v>
      </c>
      <c r="B484">
        <v>175</v>
      </c>
      <c r="C484">
        <v>5</v>
      </c>
      <c r="D484">
        <v>3</v>
      </c>
      <c r="E484">
        <v>0</v>
      </c>
      <c r="G484">
        <f t="shared" si="28"/>
        <v>-1.4780482443606218</v>
      </c>
      <c r="H484">
        <f t="shared" si="29"/>
        <v>-1.7158069958662656</v>
      </c>
      <c r="I484" t="e">
        <f t="shared" si="30"/>
        <v>#NUM!</v>
      </c>
      <c r="K484" t="e">
        <f t="shared" si="31"/>
        <v>#NUM!</v>
      </c>
    </row>
    <row r="485" spans="1:11">
      <c r="A485">
        <v>483</v>
      </c>
      <c r="B485">
        <v>31</v>
      </c>
      <c r="C485">
        <v>0</v>
      </c>
      <c r="D485">
        <v>2</v>
      </c>
      <c r="E485">
        <v>0</v>
      </c>
      <c r="G485" t="e">
        <f t="shared" si="28"/>
        <v>#NUM!</v>
      </c>
      <c r="H485">
        <f t="shared" si="29"/>
        <v>-1.140221900069925</v>
      </c>
      <c r="I485" t="e">
        <f t="shared" si="30"/>
        <v>#NUM!</v>
      </c>
      <c r="K485" t="e">
        <f t="shared" si="31"/>
        <v>#NUM!</v>
      </c>
    </row>
    <row r="486" spans="1:11">
      <c r="A486">
        <v>484</v>
      </c>
      <c r="B486">
        <v>44</v>
      </c>
      <c r="C486">
        <v>51</v>
      </c>
      <c r="D486">
        <v>65</v>
      </c>
      <c r="E486">
        <v>53</v>
      </c>
      <c r="G486">
        <f t="shared" si="28"/>
        <v>0.13013729960140297</v>
      </c>
      <c r="H486">
        <f t="shared" si="29"/>
        <v>0.21957047825703463</v>
      </c>
      <c r="I486">
        <f t="shared" si="30"/>
        <v>0.16335808116981429</v>
      </c>
      <c r="K486">
        <f t="shared" si="31"/>
        <v>0.17102195300941728</v>
      </c>
    </row>
    <row r="487" spans="1:11">
      <c r="A487">
        <v>485</v>
      </c>
      <c r="B487">
        <v>20</v>
      </c>
      <c r="C487">
        <v>8</v>
      </c>
      <c r="D487">
        <v>21</v>
      </c>
      <c r="E487">
        <v>10</v>
      </c>
      <c r="G487">
        <f t="shared" si="28"/>
        <v>-0.33192020868238359</v>
      </c>
      <c r="H487">
        <f t="shared" si="29"/>
        <v>7.1299097170304582E-2</v>
      </c>
      <c r="I487">
        <f t="shared" si="30"/>
        <v>-0.21849510760876856</v>
      </c>
      <c r="K487">
        <f t="shared" si="31"/>
        <v>-0.15970540637361585</v>
      </c>
    </row>
    <row r="488" spans="1:11">
      <c r="A488">
        <v>486</v>
      </c>
      <c r="B488">
        <v>58</v>
      </c>
      <c r="C488">
        <v>11</v>
      </c>
      <c r="D488">
        <v>14</v>
      </c>
      <c r="E488">
        <v>20</v>
      </c>
      <c r="G488">
        <f t="shared" si="28"/>
        <v>-0.65601550841505829</v>
      </c>
      <c r="H488">
        <f t="shared" si="29"/>
        <v>-0.56719015978433274</v>
      </c>
      <c r="I488">
        <f t="shared" si="30"/>
        <v>-0.37986310984374344</v>
      </c>
      <c r="K488">
        <f t="shared" si="31"/>
        <v>-0.53435625934771147</v>
      </c>
    </row>
    <row r="489" spans="1:11">
      <c r="A489">
        <v>487</v>
      </c>
      <c r="B489">
        <v>145</v>
      </c>
      <c r="C489">
        <v>5</v>
      </c>
      <c r="D489">
        <v>6</v>
      </c>
      <c r="E489">
        <v>13</v>
      </c>
      <c r="G489">
        <f t="shared" si="28"/>
        <v>-1.3963781979093022</v>
      </c>
      <c r="H489">
        <f t="shared" si="29"/>
        <v>-1.3331069537509648</v>
      </c>
      <c r="I489">
        <f t="shared" si="30"/>
        <v>-0.96488976187292541</v>
      </c>
      <c r="K489">
        <f t="shared" si="31"/>
        <v>-1.2314583045110641</v>
      </c>
    </row>
    <row r="490" spans="1:11">
      <c r="A490">
        <v>488</v>
      </c>
      <c r="B490">
        <v>84</v>
      </c>
      <c r="C490">
        <v>3</v>
      </c>
      <c r="D490">
        <v>0</v>
      </c>
      <c r="E490">
        <v>3</v>
      </c>
      <c r="G490">
        <f t="shared" si="28"/>
        <v>-1.3811382313525653</v>
      </c>
      <c r="H490" t="e">
        <f t="shared" si="29"/>
        <v>#NUM!</v>
      </c>
      <c r="I490">
        <f t="shared" si="30"/>
        <v>-1.3646231432870066</v>
      </c>
      <c r="K490" t="e">
        <f t="shared" si="31"/>
        <v>#NUM!</v>
      </c>
    </row>
    <row r="491" spans="1:11">
      <c r="A491">
        <v>489</v>
      </c>
      <c r="B491">
        <v>18</v>
      </c>
      <c r="C491">
        <v>153</v>
      </c>
      <c r="D491">
        <v>17</v>
      </c>
      <c r="E491">
        <v>54</v>
      </c>
      <c r="G491">
        <f t="shared" si="28"/>
        <v>0.99543872570394676</v>
      </c>
      <c r="H491">
        <f t="shared" si="29"/>
        <v>2.5286214375334338E-2</v>
      </c>
      <c r="I491">
        <f t="shared" si="30"/>
        <v>0.55965614277487508</v>
      </c>
      <c r="K491">
        <f t="shared" si="31"/>
        <v>0.52679369428471867</v>
      </c>
    </row>
    <row r="492" spans="1:11">
      <c r="A492">
        <v>490</v>
      </c>
      <c r="B492">
        <v>25</v>
      </c>
      <c r="C492">
        <v>7</v>
      </c>
      <c r="D492">
        <v>0</v>
      </c>
      <c r="E492">
        <v>6</v>
      </c>
      <c r="G492">
        <f t="shared" si="28"/>
        <v>-0.48682216866812678</v>
      </c>
      <c r="H492" t="e">
        <f t="shared" si="29"/>
        <v>#NUM!</v>
      </c>
      <c r="I492">
        <f t="shared" si="30"/>
        <v>-0.53725387023318127</v>
      </c>
      <c r="K492" t="e">
        <f t="shared" si="31"/>
        <v>#NUM!</v>
      </c>
    </row>
    <row r="493" spans="1:11">
      <c r="A493">
        <v>491</v>
      </c>
      <c r="B493">
        <v>28</v>
      </c>
      <c r="C493">
        <v>1199</v>
      </c>
      <c r="D493">
        <v>21</v>
      </c>
      <c r="E493">
        <v>22</v>
      </c>
      <c r="G493">
        <f t="shared" si="28"/>
        <v>1.6976809517462834</v>
      </c>
      <c r="H493">
        <f t="shared" si="29"/>
        <v>-7.4828938507933457E-2</v>
      </c>
      <c r="I493">
        <f t="shared" si="30"/>
        <v>-2.2200462464800341E-2</v>
      </c>
      <c r="K493">
        <f t="shared" si="31"/>
        <v>0.53355051692451649</v>
      </c>
    </row>
    <row r="494" spans="1:11">
      <c r="A494">
        <v>492</v>
      </c>
      <c r="B494">
        <v>20</v>
      </c>
      <c r="C494">
        <v>2</v>
      </c>
      <c r="D494">
        <v>10</v>
      </c>
      <c r="E494">
        <v>3</v>
      </c>
      <c r="G494">
        <f t="shared" si="28"/>
        <v>-0.93398020001034598</v>
      </c>
      <c r="H494">
        <f t="shared" si="29"/>
        <v>-0.25092019756361472</v>
      </c>
      <c r="I494">
        <f t="shared" si="30"/>
        <v>-0.74137385288910607</v>
      </c>
      <c r="K494">
        <f t="shared" si="31"/>
        <v>-0.64209141682102222</v>
      </c>
    </row>
    <row r="495" spans="1:11">
      <c r="A495">
        <v>493</v>
      </c>
      <c r="B495">
        <v>30</v>
      </c>
      <c r="C495">
        <v>500</v>
      </c>
      <c r="D495">
        <v>673</v>
      </c>
      <c r="E495">
        <v>89</v>
      </c>
      <c r="G495">
        <f t="shared" si="28"/>
        <v>1.2878685496060103</v>
      </c>
      <c r="H495">
        <f t="shared" si="29"/>
        <v>1.4010036076046808</v>
      </c>
      <c r="I495">
        <f t="shared" si="30"/>
        <v>0.554803639980463</v>
      </c>
      <c r="K495">
        <f t="shared" si="31"/>
        <v>1.0812252657303847</v>
      </c>
    </row>
    <row r="496" spans="1:11">
      <c r="A496">
        <v>494</v>
      </c>
      <c r="B496">
        <v>33</v>
      </c>
      <c r="C496">
        <v>1</v>
      </c>
      <c r="D496">
        <v>0</v>
      </c>
      <c r="E496">
        <v>1</v>
      </c>
      <c r="G496">
        <f t="shared" si="28"/>
        <v>-1.4524941398882336</v>
      </c>
      <c r="H496" t="e">
        <f t="shared" si="29"/>
        <v>#NUM!</v>
      </c>
      <c r="I496">
        <f t="shared" si="30"/>
        <v>-1.4359790518226749</v>
      </c>
      <c r="K496" t="e">
        <f t="shared" si="31"/>
        <v>#NUM!</v>
      </c>
    </row>
    <row r="497" spans="1:11">
      <c r="A497">
        <v>495</v>
      </c>
      <c r="B497">
        <v>42</v>
      </c>
      <c r="C497">
        <v>7</v>
      </c>
      <c r="D497">
        <v>5</v>
      </c>
      <c r="E497">
        <v>15</v>
      </c>
      <c r="G497">
        <f t="shared" si="28"/>
        <v>-0.71213145039398962</v>
      </c>
      <c r="H497">
        <f t="shared" si="29"/>
        <v>-0.87416948796151517</v>
      </c>
      <c r="I497">
        <f t="shared" si="30"/>
        <v>-0.36462314328700657</v>
      </c>
      <c r="K497">
        <f t="shared" si="31"/>
        <v>-0.65030802721417047</v>
      </c>
    </row>
    <row r="498" spans="1:11">
      <c r="A498">
        <v>496</v>
      </c>
      <c r="B498">
        <v>37</v>
      </c>
      <c r="C498">
        <v>6</v>
      </c>
      <c r="D498">
        <v>27</v>
      </c>
      <c r="E498">
        <v>12</v>
      </c>
      <c r="G498">
        <f t="shared" si="28"/>
        <v>-0.72403067369369734</v>
      </c>
      <c r="H498">
        <f t="shared" si="29"/>
        <v>-8.6728161807641216E-2</v>
      </c>
      <c r="I498">
        <f t="shared" si="30"/>
        <v>-0.40648558996415751</v>
      </c>
      <c r="K498">
        <f t="shared" si="31"/>
        <v>-0.40574814182183205</v>
      </c>
    </row>
    <row r="499" spans="1:11">
      <c r="A499">
        <v>497</v>
      </c>
      <c r="B499">
        <v>145</v>
      </c>
      <c r="C499">
        <v>11</v>
      </c>
      <c r="D499">
        <v>5</v>
      </c>
      <c r="E499">
        <v>5</v>
      </c>
      <c r="G499">
        <f t="shared" si="28"/>
        <v>-1.053955517087096</v>
      </c>
      <c r="H499">
        <f t="shared" si="29"/>
        <v>-1.4122881997985897</v>
      </c>
      <c r="I499">
        <f t="shared" si="30"/>
        <v>-1.3798631098437435</v>
      </c>
      <c r="K499">
        <f t="shared" si="31"/>
        <v>-1.2820356089098095</v>
      </c>
    </row>
    <row r="500" spans="1:11">
      <c r="A500">
        <v>498</v>
      </c>
      <c r="B500">
        <v>48</v>
      </c>
      <c r="C500">
        <v>4</v>
      </c>
      <c r="D500">
        <v>1</v>
      </c>
      <c r="E500">
        <v>1</v>
      </c>
      <c r="G500">
        <f t="shared" si="28"/>
        <v>-1.013161446057971</v>
      </c>
      <c r="H500">
        <f t="shared" si="29"/>
        <v>-1.6311314392752208</v>
      </c>
      <c r="I500">
        <f t="shared" si="30"/>
        <v>-1.5987063493203746</v>
      </c>
      <c r="K500">
        <f t="shared" si="31"/>
        <v>-1.4143330782178554</v>
      </c>
    </row>
    <row r="501" spans="1:11">
      <c r="A501">
        <v>499</v>
      </c>
      <c r="B501">
        <v>43</v>
      </c>
      <c r="C501">
        <v>31</v>
      </c>
      <c r="D501">
        <v>14</v>
      </c>
      <c r="E501">
        <v>10</v>
      </c>
      <c r="G501">
        <f t="shared" si="28"/>
        <v>-7.6086961755659863E-2</v>
      </c>
      <c r="H501">
        <f t="shared" si="29"/>
        <v>-0.43723062180098199</v>
      </c>
      <c r="I501">
        <f t="shared" si="30"/>
        <v>-0.55093356752437384</v>
      </c>
      <c r="K501">
        <f t="shared" si="31"/>
        <v>-0.3547503836936719</v>
      </c>
    </row>
    <row r="502" spans="1:11">
      <c r="A502">
        <v>500</v>
      </c>
      <c r="B502">
        <v>82</v>
      </c>
      <c r="C502">
        <v>83</v>
      </c>
      <c r="D502">
        <v>28</v>
      </c>
      <c r="E502">
        <v>32</v>
      </c>
      <c r="G502">
        <f t="shared" si="28"/>
        <v>7.1284039982011216E-2</v>
      </c>
      <c r="H502">
        <f t="shared" si="29"/>
        <v>-0.41654602294113097</v>
      </c>
      <c r="I502">
        <f t="shared" si="30"/>
        <v>-0.32612898600859808</v>
      </c>
      <c r="K502">
        <f t="shared" si="31"/>
        <v>-0.22379698965590591</v>
      </c>
    </row>
    <row r="503" spans="1:11">
      <c r="A503">
        <v>501</v>
      </c>
      <c r="B503">
        <v>36</v>
      </c>
      <c r="C503">
        <v>1</v>
      </c>
      <c r="D503">
        <v>86</v>
      </c>
      <c r="E503">
        <v>9</v>
      </c>
      <c r="G503">
        <f t="shared" si="28"/>
        <v>-1.4902827007776334</v>
      </c>
      <c r="H503">
        <f t="shared" si="29"/>
        <v>0.42830574857664694</v>
      </c>
      <c r="I503">
        <f t="shared" si="30"/>
        <v>-0.5195251032727497</v>
      </c>
      <c r="K503">
        <f t="shared" si="31"/>
        <v>-0.52716735182457874</v>
      </c>
    </row>
    <row r="504" spans="1:11">
      <c r="A504">
        <v>502</v>
      </c>
      <c r="B504">
        <v>77</v>
      </c>
      <c r="C504">
        <v>4</v>
      </c>
      <c r="D504">
        <v>10</v>
      </c>
      <c r="E504">
        <v>4</v>
      </c>
      <c r="G504">
        <f t="shared" si="28"/>
        <v>-1.2184109338548657</v>
      </c>
      <c r="H504">
        <f t="shared" si="29"/>
        <v>-0.83638092707211542</v>
      </c>
      <c r="I504">
        <f t="shared" si="30"/>
        <v>-1.201895845789307</v>
      </c>
      <c r="K504">
        <f t="shared" si="31"/>
        <v>-1.0855625689054293</v>
      </c>
    </row>
    <row r="505" spans="1:11">
      <c r="A505">
        <v>503</v>
      </c>
      <c r="B505">
        <v>64</v>
      </c>
      <c r="C505">
        <v>121</v>
      </c>
      <c r="D505">
        <v>441</v>
      </c>
      <c r="E505">
        <v>113</v>
      </c>
      <c r="G505">
        <f t="shared" si="28"/>
        <v>0.34262519632221694</v>
      </c>
      <c r="H505">
        <f t="shared" si="29"/>
        <v>0.88836841358431795</v>
      </c>
      <c r="I505">
        <f t="shared" si="30"/>
        <v>0.32943335755474523</v>
      </c>
      <c r="K505">
        <f t="shared" si="31"/>
        <v>0.52014232248709336</v>
      </c>
    </row>
    <row r="506" spans="1:11">
      <c r="A506">
        <v>504</v>
      </c>
      <c r="B506">
        <v>82</v>
      </c>
      <c r="C506">
        <v>0</v>
      </c>
      <c r="D506">
        <v>2</v>
      </c>
      <c r="E506">
        <v>2</v>
      </c>
      <c r="G506" t="e">
        <f t="shared" si="28"/>
        <v>#NUM!</v>
      </c>
      <c r="H506">
        <f t="shared" si="29"/>
        <v>-1.562674058619369</v>
      </c>
      <c r="I506">
        <f t="shared" si="30"/>
        <v>-1.5302489686645229</v>
      </c>
      <c r="K506" t="e">
        <f t="shared" si="31"/>
        <v>#NUM!</v>
      </c>
    </row>
    <row r="507" spans="1:11">
      <c r="A507">
        <v>505</v>
      </c>
      <c r="B507">
        <v>116</v>
      </c>
      <c r="C507">
        <v>1</v>
      </c>
      <c r="D507">
        <v>0</v>
      </c>
      <c r="E507">
        <v>2</v>
      </c>
      <c r="G507">
        <f t="shared" si="28"/>
        <v>-1.9984381892372647</v>
      </c>
      <c r="H507" t="e">
        <f t="shared" si="29"/>
        <v>#NUM!</v>
      </c>
      <c r="I507">
        <f t="shared" si="30"/>
        <v>-1.6808931055077247</v>
      </c>
      <c r="K507" t="e">
        <f t="shared" si="31"/>
        <v>#NUM!</v>
      </c>
    </row>
    <row r="508" spans="1:11">
      <c r="A508">
        <v>506</v>
      </c>
      <c r="B508">
        <v>49</v>
      </c>
      <c r="C508">
        <v>0</v>
      </c>
      <c r="D508">
        <v>1</v>
      </c>
      <c r="E508">
        <v>0</v>
      </c>
      <c r="G508" t="e">
        <f t="shared" si="28"/>
        <v>#NUM!</v>
      </c>
      <c r="H508">
        <f t="shared" si="29"/>
        <v>-1.6400862819281472</v>
      </c>
      <c r="I508" t="e">
        <f t="shared" si="30"/>
        <v>#NUM!</v>
      </c>
      <c r="K508" t="e">
        <f t="shared" si="31"/>
        <v>#NUM!</v>
      </c>
    </row>
    <row r="509" spans="1:11">
      <c r="A509">
        <v>507</v>
      </c>
      <c r="B509">
        <v>77</v>
      </c>
      <c r="C509">
        <v>36</v>
      </c>
      <c r="D509">
        <v>30</v>
      </c>
      <c r="E509">
        <v>43</v>
      </c>
      <c r="G509">
        <f t="shared" si="28"/>
        <v>-0.26416842441554061</v>
      </c>
      <c r="H509">
        <f t="shared" si="29"/>
        <v>-0.35925967235245293</v>
      </c>
      <c r="I509">
        <f t="shared" si="30"/>
        <v>-0.17048738153768273</v>
      </c>
      <c r="K509">
        <f t="shared" si="31"/>
        <v>-0.26463849276855872</v>
      </c>
    </row>
    <row r="510" spans="1:11">
      <c r="A510">
        <v>508</v>
      </c>
      <c r="B510">
        <v>52</v>
      </c>
      <c r="C510">
        <v>0</v>
      </c>
      <c r="D510">
        <v>1</v>
      </c>
      <c r="E510">
        <v>3</v>
      </c>
      <c r="G510" t="e">
        <f t="shared" si="28"/>
        <v>#NUM!</v>
      </c>
      <c r="H510">
        <f t="shared" si="29"/>
        <v>-1.6658935455344328</v>
      </c>
      <c r="I510">
        <f t="shared" si="30"/>
        <v>-1.156347200859924</v>
      </c>
      <c r="K510" t="e">
        <f t="shared" si="31"/>
        <v>#NUM!</v>
      </c>
    </row>
    <row r="511" spans="1:11">
      <c r="A511">
        <v>509</v>
      </c>
      <c r="B511">
        <v>111</v>
      </c>
      <c r="C511">
        <v>8</v>
      </c>
      <c r="D511">
        <v>21</v>
      </c>
      <c r="E511">
        <v>4</v>
      </c>
      <c r="G511">
        <f t="shared" si="28"/>
        <v>-1.0762131918050599</v>
      </c>
      <c r="H511">
        <f t="shared" si="29"/>
        <v>-0.67299388595237164</v>
      </c>
      <c r="I511">
        <f t="shared" si="30"/>
        <v>-1.3607280994034825</v>
      </c>
      <c r="K511">
        <f t="shared" si="31"/>
        <v>-1.036645059053638</v>
      </c>
    </row>
    <row r="512" spans="1:11">
      <c r="A512">
        <v>510</v>
      </c>
      <c r="B512">
        <v>114</v>
      </c>
      <c r="C512">
        <v>10</v>
      </c>
      <c r="D512">
        <v>17</v>
      </c>
      <c r="E512">
        <v>26</v>
      </c>
      <c r="G512">
        <f t="shared" si="28"/>
        <v>-0.9908850513468187</v>
      </c>
      <c r="H512">
        <f t="shared" si="29"/>
        <v>-0.77634613185783219</v>
      </c>
      <c r="I512">
        <f t="shared" si="30"/>
        <v>-0.55939661531044194</v>
      </c>
      <c r="K512">
        <f t="shared" si="31"/>
        <v>-0.77554259950503079</v>
      </c>
    </row>
    <row r="513" spans="1:11">
      <c r="A513">
        <v>511</v>
      </c>
      <c r="B513">
        <v>47</v>
      </c>
      <c r="C513">
        <v>0</v>
      </c>
      <c r="D513">
        <v>5</v>
      </c>
      <c r="E513">
        <v>6</v>
      </c>
      <c r="G513" t="e">
        <f t="shared" si="28"/>
        <v>#NUM!</v>
      </c>
      <c r="H513">
        <f t="shared" si="29"/>
        <v>-0.92301805549933214</v>
      </c>
      <c r="I513">
        <f t="shared" si="30"/>
        <v>-0.81141171949686119</v>
      </c>
      <c r="K513" t="e">
        <f t="shared" si="31"/>
        <v>#NUM!</v>
      </c>
    </row>
    <row r="514" spans="1:11">
      <c r="A514">
        <v>512</v>
      </c>
      <c r="B514">
        <v>97</v>
      </c>
      <c r="C514">
        <v>149</v>
      </c>
      <c r="D514">
        <v>183</v>
      </c>
      <c r="E514">
        <v>73</v>
      </c>
      <c r="G514">
        <f t="shared" si="28"/>
        <v>0.25243433413568322</v>
      </c>
      <c r="H514">
        <f t="shared" si="29"/>
        <v>0.32578915356455107</v>
      </c>
      <c r="I514">
        <f t="shared" si="30"/>
        <v>-4.0913986090576296E-2</v>
      </c>
      <c r="K514">
        <f t="shared" si="31"/>
        <v>0.17910316720321937</v>
      </c>
    </row>
    <row r="515" spans="1:11">
      <c r="A515">
        <v>513</v>
      </c>
      <c r="B515">
        <v>63</v>
      </c>
      <c r="C515">
        <v>1</v>
      </c>
      <c r="D515">
        <v>8</v>
      </c>
      <c r="E515">
        <v>1</v>
      </c>
      <c r="G515">
        <f t="shared" ref="G515:G578" si="32">LOG10(C515/B515)-LOG10(134/156)</f>
        <v>-1.7333207494639278</v>
      </c>
      <c r="H515">
        <f t="shared" ref="H515:H578" si="33">LOG10(D515/B515)-LOG10(139/156)</f>
        <v>-0.84614076436127161</v>
      </c>
      <c r="I515">
        <f t="shared" ref="I515:I578" si="34">LOG10(E515/B515)-LOG10(129/156)</f>
        <v>-1.7168056613983691</v>
      </c>
      <c r="K515">
        <f t="shared" ref="K515:K578" si="35">AVERAGE(G515:I515)</f>
        <v>-1.4320890584078561</v>
      </c>
    </row>
    <row r="516" spans="1:11">
      <c r="A516">
        <v>514</v>
      </c>
      <c r="B516">
        <v>70</v>
      </c>
      <c r="C516">
        <v>26</v>
      </c>
      <c r="D516">
        <v>46</v>
      </c>
      <c r="E516">
        <v>15</v>
      </c>
      <c r="G516">
        <f t="shared" si="32"/>
        <v>-0.36410489205378482</v>
      </c>
      <c r="H516">
        <f t="shared" si="33"/>
        <v>-0.13223041023231624</v>
      </c>
      <c r="I516">
        <f t="shared" si="34"/>
        <v>-0.58647189290336288</v>
      </c>
      <c r="K516">
        <f t="shared" si="35"/>
        <v>-0.36093573172982135</v>
      </c>
    </row>
    <row r="517" spans="1:11">
      <c r="A517">
        <v>515</v>
      </c>
      <c r="B517">
        <v>95</v>
      </c>
      <c r="C517">
        <v>106</v>
      </c>
      <c r="D517">
        <v>28</v>
      </c>
      <c r="E517">
        <v>29</v>
      </c>
      <c r="G517">
        <f t="shared" si="32"/>
        <v>0.11360205996557644</v>
      </c>
      <c r="H517">
        <f t="shared" si="33"/>
        <v>-0.48045577584626215</v>
      </c>
      <c r="I517">
        <f t="shared" si="34"/>
        <v>-0.432790719334679</v>
      </c>
      <c r="K517">
        <f t="shared" si="35"/>
        <v>-0.2665481450717882</v>
      </c>
    </row>
    <row r="518" spans="1:11">
      <c r="A518">
        <v>516</v>
      </c>
      <c r="B518">
        <v>99</v>
      </c>
      <c r="C518">
        <v>5</v>
      </c>
      <c r="D518">
        <v>13</v>
      </c>
      <c r="E518">
        <v>10</v>
      </c>
      <c r="G518">
        <f t="shared" si="32"/>
        <v>-1.2306453902718772</v>
      </c>
      <c r="H518">
        <f t="shared" si="33"/>
        <v>-0.83158204419034654</v>
      </c>
      <c r="I518">
        <f t="shared" si="34"/>
        <v>-0.9131003065423372</v>
      </c>
      <c r="K518">
        <f t="shared" si="35"/>
        <v>-0.99177591366818696</v>
      </c>
    </row>
    <row r="519" spans="1:11">
      <c r="A519">
        <v>517</v>
      </c>
      <c r="B519">
        <v>184</v>
      </c>
      <c r="C519">
        <v>0</v>
      </c>
      <c r="D519">
        <v>0</v>
      </c>
      <c r="E519">
        <v>3</v>
      </c>
      <c r="G519" t="e">
        <f t="shared" si="32"/>
        <v>#NUM!</v>
      </c>
      <c r="H519" t="e">
        <f t="shared" si="33"/>
        <v>#NUM!</v>
      </c>
      <c r="I519">
        <f t="shared" si="34"/>
        <v>-1.7051616802346614</v>
      </c>
      <c r="K519" t="e">
        <f t="shared" si="35"/>
        <v>#NUM!</v>
      </c>
    </row>
    <row r="520" spans="1:11">
      <c r="A520">
        <v>518</v>
      </c>
      <c r="B520">
        <v>43</v>
      </c>
      <c r="C520">
        <v>0</v>
      </c>
      <c r="D520">
        <v>0</v>
      </c>
      <c r="E520">
        <v>1</v>
      </c>
      <c r="G520" t="e">
        <f t="shared" si="32"/>
        <v>#NUM!</v>
      </c>
      <c r="H520" t="e">
        <f t="shared" si="33"/>
        <v>#NUM!</v>
      </c>
      <c r="I520">
        <f t="shared" si="34"/>
        <v>-1.5509335675243741</v>
      </c>
      <c r="K520" t="e">
        <f t="shared" si="35"/>
        <v>#NUM!</v>
      </c>
    </row>
    <row r="521" spans="1:11">
      <c r="A521">
        <v>519</v>
      </c>
      <c r="B521">
        <v>45</v>
      </c>
      <c r="C521">
        <v>26</v>
      </c>
      <c r="D521">
        <v>49</v>
      </c>
      <c r="E521">
        <v>10</v>
      </c>
      <c r="G521">
        <f t="shared" si="32"/>
        <v>-0.17221936581487174</v>
      </c>
      <c r="H521">
        <f t="shared" si="33"/>
        <v>8.7093364353536429E-2</v>
      </c>
      <c r="I521">
        <f t="shared" si="34"/>
        <v>-0.57067762572013103</v>
      </c>
      <c r="K521">
        <f t="shared" si="35"/>
        <v>-0.21860120906048877</v>
      </c>
    </row>
    <row r="522" spans="1:11">
      <c r="A522">
        <v>520</v>
      </c>
      <c r="B522">
        <v>46</v>
      </c>
      <c r="C522">
        <v>22</v>
      </c>
      <c r="D522">
        <v>134</v>
      </c>
      <c r="E522">
        <v>22</v>
      </c>
      <c r="G522">
        <f t="shared" si="32"/>
        <v>-0.2543153508697138</v>
      </c>
      <c r="H522">
        <f t="shared" si="33"/>
        <v>0.51445676478360003</v>
      </c>
      <c r="I522">
        <f t="shared" si="34"/>
        <v>-0.23780026280415517</v>
      </c>
      <c r="K522">
        <f t="shared" si="35"/>
        <v>7.4470503699103534E-3</v>
      </c>
    </row>
    <row r="523" spans="1:11">
      <c r="A523">
        <v>521</v>
      </c>
      <c r="B523">
        <v>94</v>
      </c>
      <c r="C523">
        <v>138</v>
      </c>
      <c r="D523">
        <v>66</v>
      </c>
      <c r="E523">
        <v>37</v>
      </c>
      <c r="G523">
        <f t="shared" si="32"/>
        <v>0.23277103279119188</v>
      </c>
      <c r="H523">
        <f t="shared" si="33"/>
        <v>-0.10347411995746349</v>
      </c>
      <c r="I523">
        <f t="shared" si="34"/>
        <v>-0.32239124147749099</v>
      </c>
      <c r="K523">
        <f t="shared" si="35"/>
        <v>-6.4364776214587527E-2</v>
      </c>
    </row>
    <row r="524" spans="1:11">
      <c r="A524">
        <v>522</v>
      </c>
      <c r="B524">
        <v>36</v>
      </c>
      <c r="C524">
        <v>17</v>
      </c>
      <c r="D524">
        <v>29</v>
      </c>
      <c r="E524">
        <v>17</v>
      </c>
      <c r="G524">
        <f t="shared" si="32"/>
        <v>-0.25983377939935931</v>
      </c>
      <c r="H524">
        <f t="shared" si="33"/>
        <v>-4.3794704767964668E-2</v>
      </c>
      <c r="I524">
        <f t="shared" si="34"/>
        <v>-0.24331869133380069</v>
      </c>
      <c r="K524">
        <f t="shared" si="35"/>
        <v>-0.18231572516704153</v>
      </c>
    </row>
    <row r="525" spans="1:11">
      <c r="A525">
        <v>523</v>
      </c>
      <c r="B525">
        <v>21</v>
      </c>
      <c r="C525">
        <v>0</v>
      </c>
      <c r="D525">
        <v>2</v>
      </c>
      <c r="E525">
        <v>0</v>
      </c>
      <c r="G525" t="e">
        <f t="shared" si="32"/>
        <v>#NUM!</v>
      </c>
      <c r="H525">
        <f t="shared" si="33"/>
        <v>-0.97107950096957152</v>
      </c>
      <c r="I525" t="e">
        <f t="shared" si="34"/>
        <v>#NUM!</v>
      </c>
      <c r="K525" t="e">
        <f t="shared" si="35"/>
        <v>#NUM!</v>
      </c>
    </row>
    <row r="526" spans="1:11">
      <c r="A526">
        <v>524</v>
      </c>
      <c r="B526">
        <v>46</v>
      </c>
      <c r="C526">
        <v>49</v>
      </c>
      <c r="D526">
        <v>117</v>
      </c>
      <c r="E526">
        <v>434</v>
      </c>
      <c r="G526">
        <f t="shared" si="32"/>
        <v>9.3458048336593616E-2</v>
      </c>
      <c r="H526">
        <f t="shared" si="33"/>
        <v>0.45553782816495408</v>
      </c>
      <c r="I526">
        <f t="shared" si="34"/>
        <v>1.0572667858861493</v>
      </c>
      <c r="K526">
        <f t="shared" si="35"/>
        <v>0.53542088746256566</v>
      </c>
    </row>
    <row r="527" spans="1:11">
      <c r="A527">
        <v>525</v>
      </c>
      <c r="B527">
        <v>78</v>
      </c>
      <c r="C527">
        <v>2</v>
      </c>
      <c r="D527">
        <v>0</v>
      </c>
      <c r="E527">
        <v>2</v>
      </c>
      <c r="G527">
        <f t="shared" si="32"/>
        <v>-1.5250448070368454</v>
      </c>
      <c r="H527" t="e">
        <f t="shared" si="33"/>
        <v>#NUM!</v>
      </c>
      <c r="I527">
        <f t="shared" si="34"/>
        <v>-1.5085297189712867</v>
      </c>
      <c r="K527" t="e">
        <f t="shared" si="35"/>
        <v>#NUM!</v>
      </c>
    </row>
    <row r="528" spans="1:11">
      <c r="A528">
        <v>526</v>
      </c>
      <c r="B528">
        <v>42</v>
      </c>
      <c r="C528">
        <v>4</v>
      </c>
      <c r="D528">
        <v>2</v>
      </c>
      <c r="E528">
        <v>2</v>
      </c>
      <c r="G528">
        <f t="shared" si="32"/>
        <v>-0.95516949908028403</v>
      </c>
      <c r="H528">
        <f t="shared" si="33"/>
        <v>-1.2721094966335529</v>
      </c>
      <c r="I528">
        <f t="shared" si="34"/>
        <v>-1.2396844066787067</v>
      </c>
      <c r="K528">
        <f t="shared" si="35"/>
        <v>-1.1556544674641811</v>
      </c>
    </row>
    <row r="529" spans="1:11">
      <c r="A529">
        <v>527</v>
      </c>
      <c r="B529">
        <v>32</v>
      </c>
      <c r="C529">
        <v>1</v>
      </c>
      <c r="D529">
        <v>2</v>
      </c>
      <c r="E529">
        <v>4</v>
      </c>
      <c r="G529">
        <f t="shared" si="32"/>
        <v>-1.4391301783302521</v>
      </c>
      <c r="H529">
        <f t="shared" si="33"/>
        <v>-1.1540101845555584</v>
      </c>
      <c r="I529">
        <f t="shared" si="34"/>
        <v>-0.82055509893673084</v>
      </c>
      <c r="K529">
        <f t="shared" si="35"/>
        <v>-1.1378984872741804</v>
      </c>
    </row>
    <row r="530" spans="1:11">
      <c r="A530">
        <v>528</v>
      </c>
      <c r="B530">
        <v>22</v>
      </c>
      <c r="C530">
        <v>12</v>
      </c>
      <c r="D530">
        <v>13</v>
      </c>
      <c r="E530">
        <v>18</v>
      </c>
      <c r="G530">
        <f t="shared" si="32"/>
        <v>-0.19722163478492744</v>
      </c>
      <c r="H530">
        <f t="shared" si="33"/>
        <v>-0.17836953041500297</v>
      </c>
      <c r="I530">
        <f t="shared" si="34"/>
        <v>-4.6152876636874895E-3</v>
      </c>
      <c r="K530">
        <f t="shared" si="35"/>
        <v>-0.12673548428787262</v>
      </c>
    </row>
    <row r="531" spans="1:11">
      <c r="A531">
        <v>529</v>
      </c>
      <c r="B531">
        <v>72</v>
      </c>
      <c r="C531">
        <v>260</v>
      </c>
      <c r="D531">
        <v>103</v>
      </c>
      <c r="E531">
        <v>67</v>
      </c>
      <c r="G531">
        <f t="shared" si="32"/>
        <v>0.62366065152920358</v>
      </c>
      <c r="H531">
        <f t="shared" si="33"/>
        <v>0.20561452637427025</v>
      </c>
      <c r="I531">
        <f t="shared" si="34"/>
        <v>5.1277194324770639E-2</v>
      </c>
      <c r="K531">
        <f t="shared" si="35"/>
        <v>0.29351745740941482</v>
      </c>
    </row>
    <row r="532" spans="1:11">
      <c r="A532">
        <v>530</v>
      </c>
      <c r="B532">
        <v>40</v>
      </c>
      <c r="C532">
        <v>34</v>
      </c>
      <c r="D532">
        <v>22</v>
      </c>
      <c r="E532">
        <v>49</v>
      </c>
      <c r="G532">
        <f t="shared" si="32"/>
        <v>-4.5612742960532832E-3</v>
      </c>
      <c r="H532">
        <f t="shared" si="33"/>
        <v>-0.20952751240538964</v>
      </c>
      <c r="I532">
        <f t="shared" si="34"/>
        <v>0.17067097675576395</v>
      </c>
      <c r="K532">
        <f t="shared" si="35"/>
        <v>-1.4472603315226326E-2</v>
      </c>
    </row>
    <row r="533" spans="1:11">
      <c r="A533">
        <v>531</v>
      </c>
      <c r="B533">
        <v>28</v>
      </c>
      <c r="C533">
        <v>0</v>
      </c>
      <c r="D533">
        <v>2</v>
      </c>
      <c r="E533">
        <v>5</v>
      </c>
      <c r="G533" t="e">
        <f t="shared" si="32"/>
        <v>#NUM!</v>
      </c>
      <c r="H533">
        <f t="shared" si="33"/>
        <v>-1.0960182375778715</v>
      </c>
      <c r="I533">
        <f t="shared" si="34"/>
        <v>-0.66565313895098766</v>
      </c>
      <c r="K533" t="e">
        <f t="shared" si="35"/>
        <v>#NUM!</v>
      </c>
    </row>
    <row r="534" spans="1:11">
      <c r="A534">
        <v>532</v>
      </c>
      <c r="B534">
        <v>130</v>
      </c>
      <c r="C534">
        <v>118</v>
      </c>
      <c r="D534">
        <v>287</v>
      </c>
      <c r="E534">
        <v>61</v>
      </c>
      <c r="G534">
        <f t="shared" si="32"/>
        <v>2.3958454988942612E-2</v>
      </c>
      <c r="H534">
        <f t="shared" si="33"/>
        <v>0.39404834252752208</v>
      </c>
      <c r="I534">
        <f t="shared" si="34"/>
        <v>-0.24607862924085711</v>
      </c>
      <c r="K534">
        <f t="shared" si="35"/>
        <v>5.7309389425202528E-2</v>
      </c>
    </row>
    <row r="535" spans="1:11">
      <c r="A535">
        <v>533</v>
      </c>
      <c r="B535">
        <v>155</v>
      </c>
      <c r="C535">
        <v>29</v>
      </c>
      <c r="D535">
        <v>38</v>
      </c>
      <c r="E535">
        <v>32</v>
      </c>
      <c r="G535">
        <f t="shared" si="32"/>
        <v>-0.6619139002816814</v>
      </c>
      <c r="H535">
        <f t="shared" si="33"/>
        <v>-0.56043830345311485</v>
      </c>
      <c r="I535">
        <f t="shared" si="34"/>
        <v>-0.60264683179517287</v>
      </c>
      <c r="K535">
        <f t="shared" si="35"/>
        <v>-0.60833301184332311</v>
      </c>
    </row>
    <row r="536" spans="1:11">
      <c r="A536">
        <v>534</v>
      </c>
      <c r="B536">
        <v>67</v>
      </c>
      <c r="C536">
        <v>64</v>
      </c>
      <c r="D536">
        <v>77</v>
      </c>
      <c r="E536">
        <v>131</v>
      </c>
      <c r="G536">
        <f t="shared" si="32"/>
        <v>4.6124971272714727E-2</v>
      </c>
      <c r="H536">
        <f t="shared" si="33"/>
        <v>0.11052572057202192</v>
      </c>
      <c r="I536">
        <f t="shared" si="34"/>
        <v>0.37373138101015047</v>
      </c>
      <c r="K536">
        <f t="shared" si="35"/>
        <v>0.17679402428496238</v>
      </c>
    </row>
    <row r="537" spans="1:11">
      <c r="A537">
        <v>535</v>
      </c>
      <c r="B537">
        <v>44</v>
      </c>
      <c r="C537">
        <v>108</v>
      </c>
      <c r="D537">
        <v>102</v>
      </c>
      <c r="E537">
        <v>23</v>
      </c>
      <c r="G537">
        <f t="shared" si="32"/>
        <v>0.45599087899041629</v>
      </c>
      <c r="H537">
        <f t="shared" si="33"/>
        <v>0.41525729337609663</v>
      </c>
      <c r="I537">
        <f t="shared" si="34"/>
        <v>-0.19918995241338194</v>
      </c>
      <c r="K537">
        <f t="shared" si="35"/>
        <v>0.22401940665104361</v>
      </c>
    </row>
    <row r="538" spans="1:11">
      <c r="A538">
        <v>536</v>
      </c>
      <c r="B538">
        <v>97</v>
      </c>
      <c r="C538">
        <v>32</v>
      </c>
      <c r="D538">
        <v>44</v>
      </c>
      <c r="E538">
        <v>23</v>
      </c>
      <c r="G538">
        <f t="shared" si="32"/>
        <v>-0.41560195595668487</v>
      </c>
      <c r="H538">
        <f t="shared" si="33"/>
        <v>-0.29320925967969097</v>
      </c>
      <c r="I538">
        <f t="shared" si="34"/>
        <v>-0.54250901019343933</v>
      </c>
      <c r="K538">
        <f t="shared" si="35"/>
        <v>-0.41710674194327169</v>
      </c>
    </row>
    <row r="539" spans="1:11">
      <c r="A539">
        <v>537</v>
      </c>
      <c r="B539">
        <v>134</v>
      </c>
      <c r="C539">
        <v>17</v>
      </c>
      <c r="D539">
        <v>20</v>
      </c>
      <c r="E539">
        <v>27</v>
      </c>
      <c r="G539">
        <f t="shared" si="32"/>
        <v>-0.83063607699687969</v>
      </c>
      <c r="H539">
        <f t="shared" si="33"/>
        <v>-0.77596500460045992</v>
      </c>
      <c r="I539">
        <f t="shared" si="34"/>
        <v>-0.61320614615060764</v>
      </c>
      <c r="K539">
        <f t="shared" si="35"/>
        <v>-0.73993574258264905</v>
      </c>
    </row>
    <row r="540" spans="1:11">
      <c r="A540">
        <v>538</v>
      </c>
      <c r="B540">
        <v>45</v>
      </c>
      <c r="C540">
        <v>2334</v>
      </c>
      <c r="D540">
        <v>37</v>
      </c>
      <c r="E540">
        <v>14</v>
      </c>
      <c r="G540">
        <f t="shared" si="32"/>
        <v>1.7809081379236615</v>
      </c>
      <c r="H540">
        <f t="shared" si="33"/>
        <v>-3.4900991607982212E-2</v>
      </c>
      <c r="I540">
        <f t="shared" si="34"/>
        <v>-0.42454959004189302</v>
      </c>
      <c r="K540">
        <f t="shared" si="35"/>
        <v>0.44048585209126206</v>
      </c>
    </row>
    <row r="541" spans="1:11">
      <c r="A541">
        <v>539</v>
      </c>
      <c r="B541">
        <v>68</v>
      </c>
      <c r="C541">
        <v>19</v>
      </c>
      <c r="D541">
        <v>36</v>
      </c>
      <c r="E541">
        <v>36</v>
      </c>
      <c r="G541">
        <f t="shared" si="32"/>
        <v>-0.48773551176375329</v>
      </c>
      <c r="H541">
        <f t="shared" si="33"/>
        <v>-0.22609661383858259</v>
      </c>
      <c r="I541">
        <f t="shared" si="34"/>
        <v>-0.19367152388373643</v>
      </c>
      <c r="K541">
        <f t="shared" si="35"/>
        <v>-0.30250121649535744</v>
      </c>
    </row>
    <row r="542" spans="1:11">
      <c r="A542">
        <v>540</v>
      </c>
      <c r="B542">
        <v>40</v>
      </c>
      <c r="C542">
        <v>3</v>
      </c>
      <c r="D542">
        <v>0</v>
      </c>
      <c r="E542">
        <v>4</v>
      </c>
      <c r="G542">
        <f t="shared" si="32"/>
        <v>-1.058918936618646</v>
      </c>
      <c r="H542" t="e">
        <f t="shared" si="33"/>
        <v>#NUM!</v>
      </c>
      <c r="I542">
        <f t="shared" si="34"/>
        <v>-0.9174651119447873</v>
      </c>
      <c r="K542" t="e">
        <f t="shared" si="35"/>
        <v>#NUM!</v>
      </c>
    </row>
    <row r="543" spans="1:11">
      <c r="A543">
        <v>541</v>
      </c>
      <c r="B543">
        <v>94</v>
      </c>
      <c r="C543">
        <v>0</v>
      </c>
      <c r="D543">
        <v>4</v>
      </c>
      <c r="E543">
        <v>1</v>
      </c>
      <c r="G543" t="e">
        <f t="shared" si="32"/>
        <v>#NUM!</v>
      </c>
      <c r="H543">
        <f t="shared" si="33"/>
        <v>-1.3209580641713699</v>
      </c>
      <c r="I543">
        <f t="shared" si="34"/>
        <v>-1.8905929655444862</v>
      </c>
      <c r="K543" t="e">
        <f t="shared" si="35"/>
        <v>#NUM!</v>
      </c>
    </row>
    <row r="544" spans="1:11">
      <c r="A544">
        <v>542</v>
      </c>
      <c r="B544">
        <v>57</v>
      </c>
      <c r="C544">
        <v>18</v>
      </c>
      <c r="D544">
        <v>47</v>
      </c>
      <c r="E544">
        <v>133</v>
      </c>
      <c r="G544">
        <f t="shared" si="32"/>
        <v>-0.43458255057953132</v>
      </c>
      <c r="H544">
        <f t="shared" si="33"/>
        <v>-3.3667199636407436E-2</v>
      </c>
      <c r="I544">
        <f t="shared" si="34"/>
        <v>0.45051167334980707</v>
      </c>
      <c r="K544">
        <f t="shared" si="35"/>
        <v>-5.9126922887105526E-3</v>
      </c>
    </row>
    <row r="545" spans="1:11">
      <c r="A545">
        <v>543</v>
      </c>
      <c r="B545">
        <v>32</v>
      </c>
      <c r="C545">
        <v>4</v>
      </c>
      <c r="D545">
        <v>1</v>
      </c>
      <c r="E545">
        <v>11</v>
      </c>
      <c r="G545">
        <f t="shared" si="32"/>
        <v>-0.83707018700228952</v>
      </c>
      <c r="H545">
        <f t="shared" si="33"/>
        <v>-1.4550401802195396</v>
      </c>
      <c r="I545">
        <f t="shared" si="34"/>
        <v>-0.38122240510646832</v>
      </c>
      <c r="K545">
        <f t="shared" si="35"/>
        <v>-0.89111092410943249</v>
      </c>
    </row>
    <row r="546" spans="1:11">
      <c r="A546">
        <v>544</v>
      </c>
      <c r="B546">
        <v>56</v>
      </c>
      <c r="C546">
        <v>0</v>
      </c>
      <c r="D546">
        <v>1</v>
      </c>
      <c r="E546">
        <v>1</v>
      </c>
      <c r="G546" t="e">
        <f t="shared" si="32"/>
        <v>#NUM!</v>
      </c>
      <c r="H546">
        <f t="shared" si="33"/>
        <v>-1.698078228905834</v>
      </c>
      <c r="I546">
        <f t="shared" si="34"/>
        <v>-1.6656531389509879</v>
      </c>
      <c r="K546" t="e">
        <f t="shared" si="35"/>
        <v>#NUM!</v>
      </c>
    </row>
    <row r="547" spans="1:11">
      <c r="A547">
        <v>545</v>
      </c>
      <c r="B547">
        <v>29</v>
      </c>
      <c r="C547">
        <v>0</v>
      </c>
      <c r="D547">
        <v>1</v>
      </c>
      <c r="E547">
        <v>0</v>
      </c>
      <c r="G547" t="e">
        <f t="shared" si="32"/>
        <v>#NUM!</v>
      </c>
      <c r="H547">
        <f t="shared" si="33"/>
        <v>-1.4122881997985897</v>
      </c>
      <c r="I547" t="e">
        <f t="shared" si="34"/>
        <v>#NUM!</v>
      </c>
      <c r="K547" t="e">
        <f t="shared" si="35"/>
        <v>#NUM!</v>
      </c>
    </row>
    <row r="548" spans="1:11">
      <c r="A548">
        <v>546</v>
      </c>
      <c r="B548">
        <v>51</v>
      </c>
      <c r="C548">
        <v>1</v>
      </c>
      <c r="D548">
        <v>1</v>
      </c>
      <c r="E548">
        <v>1</v>
      </c>
      <c r="G548">
        <f t="shared" si="32"/>
        <v>-1.6415503761082824</v>
      </c>
      <c r="H548">
        <f t="shared" si="33"/>
        <v>-1.6574603779975698</v>
      </c>
      <c r="I548">
        <f t="shared" si="34"/>
        <v>-1.6250352880427237</v>
      </c>
      <c r="K548">
        <f t="shared" si="35"/>
        <v>-1.6413486807161919</v>
      </c>
    </row>
    <row r="549" spans="1:11">
      <c r="A549">
        <v>547</v>
      </c>
      <c r="B549">
        <v>72</v>
      </c>
      <c r="C549">
        <v>1</v>
      </c>
      <c r="D549">
        <v>3</v>
      </c>
      <c r="E549">
        <v>2</v>
      </c>
      <c r="G549">
        <f t="shared" si="32"/>
        <v>-1.7913126964416146</v>
      </c>
      <c r="H549">
        <f t="shared" si="33"/>
        <v>-1.3301014436112397</v>
      </c>
      <c r="I549">
        <f t="shared" si="34"/>
        <v>-1.4737676127120747</v>
      </c>
      <c r="K549">
        <f t="shared" si="35"/>
        <v>-1.5317272509216429</v>
      </c>
    </row>
    <row r="550" spans="1:11">
      <c r="A550">
        <v>548</v>
      </c>
      <c r="B550">
        <v>114</v>
      </c>
      <c r="C550">
        <v>1</v>
      </c>
      <c r="D550">
        <v>2</v>
      </c>
      <c r="E550">
        <v>1</v>
      </c>
      <c r="G550">
        <f t="shared" si="32"/>
        <v>-1.9908850513468188</v>
      </c>
      <c r="H550">
        <f t="shared" si="33"/>
        <v>-1.705765057572125</v>
      </c>
      <c r="I550">
        <f t="shared" si="34"/>
        <v>-1.9743699632812601</v>
      </c>
      <c r="K550">
        <f t="shared" si="35"/>
        <v>-1.8903400240667347</v>
      </c>
    </row>
    <row r="551" spans="1:11">
      <c r="A551">
        <v>549</v>
      </c>
      <c r="B551">
        <v>28</v>
      </c>
      <c r="C551">
        <v>0</v>
      </c>
      <c r="D551">
        <v>2</v>
      </c>
      <c r="E551">
        <v>1</v>
      </c>
      <c r="G551" t="e">
        <f t="shared" si="32"/>
        <v>#NUM!</v>
      </c>
      <c r="H551">
        <f t="shared" si="33"/>
        <v>-1.0960182375778715</v>
      </c>
      <c r="I551">
        <f t="shared" si="34"/>
        <v>-1.3646231432870066</v>
      </c>
      <c r="K551" t="e">
        <f t="shared" si="35"/>
        <v>#NUM!</v>
      </c>
    </row>
    <row r="552" spans="1:11">
      <c r="A552">
        <v>550</v>
      </c>
      <c r="B552">
        <v>68</v>
      </c>
      <c r="C552">
        <v>1</v>
      </c>
      <c r="D552">
        <v>1</v>
      </c>
      <c r="E552">
        <v>0</v>
      </c>
      <c r="G552">
        <f t="shared" si="32"/>
        <v>-1.7664891127165825</v>
      </c>
      <c r="H552">
        <f t="shared" si="33"/>
        <v>-1.78239911460587</v>
      </c>
      <c r="I552" t="e">
        <f t="shared" si="34"/>
        <v>#NUM!</v>
      </c>
      <c r="K552" t="e">
        <f t="shared" si="35"/>
        <v>#NUM!</v>
      </c>
    </row>
    <row r="553" spans="1:11">
      <c r="A553">
        <v>551</v>
      </c>
      <c r="B553">
        <v>120</v>
      </c>
      <c r="C553">
        <v>3</v>
      </c>
      <c r="D553">
        <v>2</v>
      </c>
      <c r="E553">
        <v>1</v>
      </c>
      <c r="G553">
        <f t="shared" si="32"/>
        <v>-1.5360401913383084</v>
      </c>
      <c r="H553">
        <f t="shared" si="33"/>
        <v>-1.7280414522832772</v>
      </c>
      <c r="I553">
        <f t="shared" si="34"/>
        <v>-1.9966463579924121</v>
      </c>
      <c r="K553">
        <f t="shared" si="35"/>
        <v>-1.753576000537999</v>
      </c>
    </row>
    <row r="554" spans="1:11">
      <c r="A554">
        <v>552</v>
      </c>
      <c r="B554">
        <v>144</v>
      </c>
      <c r="C554">
        <v>1</v>
      </c>
      <c r="D554">
        <v>2</v>
      </c>
      <c r="E554">
        <v>4</v>
      </c>
      <c r="G554">
        <f t="shared" si="32"/>
        <v>-2.0923426921055959</v>
      </c>
      <c r="H554">
        <f t="shared" si="33"/>
        <v>-1.8072226983309021</v>
      </c>
      <c r="I554">
        <f t="shared" si="34"/>
        <v>-1.4737676127120747</v>
      </c>
      <c r="K554">
        <f t="shared" si="35"/>
        <v>-1.7911110010495241</v>
      </c>
    </row>
    <row r="555" spans="1:11">
      <c r="A555">
        <v>553</v>
      </c>
      <c r="B555">
        <v>13</v>
      </c>
      <c r="C555">
        <v>0</v>
      </c>
      <c r="D555">
        <v>0</v>
      </c>
      <c r="E555">
        <v>0</v>
      </c>
      <c r="G555" t="e">
        <f t="shared" si="32"/>
        <v>#NUM!</v>
      </c>
      <c r="H555" t="e">
        <f t="shared" si="33"/>
        <v>#NUM!</v>
      </c>
      <c r="I555" t="e">
        <f t="shared" si="34"/>
        <v>#NUM!</v>
      </c>
      <c r="K555" t="e">
        <f t="shared" si="35"/>
        <v>#NUM!</v>
      </c>
    </row>
    <row r="556" spans="1:11">
      <c r="A556">
        <v>554</v>
      </c>
      <c r="B556">
        <v>96</v>
      </c>
      <c r="C556">
        <v>0</v>
      </c>
      <c r="D556">
        <v>0</v>
      </c>
      <c r="E556">
        <v>1</v>
      </c>
      <c r="G556" t="e">
        <f t="shared" si="32"/>
        <v>#NUM!</v>
      </c>
      <c r="H556" t="e">
        <f t="shared" si="33"/>
        <v>#NUM!</v>
      </c>
      <c r="I556">
        <f t="shared" si="34"/>
        <v>-1.8997363449843558</v>
      </c>
      <c r="K556" t="e">
        <f t="shared" si="35"/>
        <v>#NUM!</v>
      </c>
    </row>
    <row r="557" spans="1:11">
      <c r="A557">
        <v>555</v>
      </c>
      <c r="B557">
        <v>218</v>
      </c>
      <c r="C557">
        <v>0</v>
      </c>
      <c r="D557">
        <v>2</v>
      </c>
      <c r="E557">
        <v>7</v>
      </c>
      <c r="G557" t="e">
        <f t="shared" si="32"/>
        <v>#NUM!</v>
      </c>
      <c r="H557">
        <f t="shared" si="33"/>
        <v>-1.9873166998402574</v>
      </c>
      <c r="I557">
        <f t="shared" si="34"/>
        <v>-1.4108235655351353</v>
      </c>
      <c r="K557" t="e">
        <f t="shared" si="35"/>
        <v>#NUM!</v>
      </c>
    </row>
    <row r="558" spans="1:11">
      <c r="A558">
        <v>556</v>
      </c>
      <c r="B558">
        <v>87</v>
      </c>
      <c r="C558">
        <v>0</v>
      </c>
      <c r="D558">
        <v>1</v>
      </c>
      <c r="E558">
        <v>0</v>
      </c>
      <c r="G558" t="e">
        <f t="shared" si="32"/>
        <v>#NUM!</v>
      </c>
      <c r="H558">
        <f t="shared" si="33"/>
        <v>-1.889409454518252</v>
      </c>
      <c r="I558" t="e">
        <f t="shared" si="34"/>
        <v>#NUM!</v>
      </c>
      <c r="K558" t="e">
        <f t="shared" si="35"/>
        <v>#NUM!</v>
      </c>
    </row>
    <row r="559" spans="1:11">
      <c r="A559">
        <v>557</v>
      </c>
      <c r="B559">
        <v>68</v>
      </c>
      <c r="C559">
        <v>0</v>
      </c>
      <c r="D559">
        <v>1</v>
      </c>
      <c r="E559">
        <v>3</v>
      </c>
      <c r="G559" t="e">
        <f t="shared" si="32"/>
        <v>#NUM!</v>
      </c>
      <c r="H559">
        <f t="shared" si="33"/>
        <v>-1.78239911460587</v>
      </c>
      <c r="I559">
        <f t="shared" si="34"/>
        <v>-1.2728527699313612</v>
      </c>
      <c r="K559" t="e">
        <f t="shared" si="35"/>
        <v>#NUM!</v>
      </c>
    </row>
    <row r="560" spans="1:11">
      <c r="A560">
        <v>558</v>
      </c>
      <c r="B560">
        <v>127</v>
      </c>
      <c r="C560">
        <v>1</v>
      </c>
      <c r="D560">
        <v>0</v>
      </c>
      <c r="E560">
        <v>0</v>
      </c>
      <c r="G560">
        <f t="shared" si="32"/>
        <v>-2.0377839209663029</v>
      </c>
      <c r="H560" t="e">
        <f t="shared" si="33"/>
        <v>#NUM!</v>
      </c>
      <c r="I560" t="e">
        <f t="shared" si="34"/>
        <v>#NUM!</v>
      </c>
      <c r="K560" t="e">
        <f t="shared" si="35"/>
        <v>#NUM!</v>
      </c>
    </row>
    <row r="561" spans="1:11">
      <c r="A561">
        <v>559</v>
      </c>
      <c r="B561">
        <v>60</v>
      </c>
      <c r="C561">
        <v>1</v>
      </c>
      <c r="D561">
        <v>1</v>
      </c>
      <c r="E561">
        <v>3</v>
      </c>
      <c r="G561">
        <f t="shared" si="32"/>
        <v>-1.7121314503939897</v>
      </c>
      <c r="H561">
        <f t="shared" si="33"/>
        <v>-1.7280414522832772</v>
      </c>
      <c r="I561">
        <f t="shared" si="34"/>
        <v>-1.2184951076087687</v>
      </c>
      <c r="K561">
        <f t="shared" si="35"/>
        <v>-1.5528893367620118</v>
      </c>
    </row>
    <row r="562" spans="1:11">
      <c r="A562">
        <v>560</v>
      </c>
      <c r="B562">
        <v>142</v>
      </c>
      <c r="C562">
        <v>3</v>
      </c>
      <c r="D562">
        <v>0</v>
      </c>
      <c r="E562">
        <v>4</v>
      </c>
      <c r="G562">
        <f t="shared" si="32"/>
        <v>-1.6091472896737402</v>
      </c>
      <c r="H562" t="e">
        <f t="shared" si="33"/>
        <v>#NUM!</v>
      </c>
      <c r="I562">
        <f t="shared" si="34"/>
        <v>-1.4676934649998814</v>
      </c>
      <c r="K562" t="e">
        <f t="shared" si="35"/>
        <v>#NUM!</v>
      </c>
    </row>
    <row r="563" spans="1:11">
      <c r="A563">
        <v>561</v>
      </c>
      <c r="B563">
        <v>40</v>
      </c>
      <c r="C563">
        <v>2</v>
      </c>
      <c r="D563">
        <v>0</v>
      </c>
      <c r="E563">
        <v>2</v>
      </c>
      <c r="G563">
        <f t="shared" si="32"/>
        <v>-1.2350101956743273</v>
      </c>
      <c r="H563" t="e">
        <f t="shared" si="33"/>
        <v>#NUM!</v>
      </c>
      <c r="I563">
        <f t="shared" si="34"/>
        <v>-1.2184951076087687</v>
      </c>
      <c r="K563" t="e">
        <f t="shared" si="35"/>
        <v>#NUM!</v>
      </c>
    </row>
    <row r="564" spans="1:11">
      <c r="A564">
        <v>562</v>
      </c>
      <c r="B564">
        <v>20</v>
      </c>
      <c r="C564">
        <v>1</v>
      </c>
      <c r="D564">
        <v>0</v>
      </c>
      <c r="E564">
        <v>1</v>
      </c>
      <c r="G564">
        <f t="shared" si="32"/>
        <v>-1.2350101956743273</v>
      </c>
      <c r="H564" t="e">
        <f t="shared" si="33"/>
        <v>#NUM!</v>
      </c>
      <c r="I564">
        <f t="shared" si="34"/>
        <v>-1.2184951076087687</v>
      </c>
      <c r="K564" t="e">
        <f t="shared" si="35"/>
        <v>#NUM!</v>
      </c>
    </row>
    <row r="565" spans="1:11">
      <c r="A565">
        <v>563</v>
      </c>
      <c r="B565">
        <v>32</v>
      </c>
      <c r="C565">
        <v>0</v>
      </c>
      <c r="D565">
        <v>0</v>
      </c>
      <c r="E565">
        <v>0</v>
      </c>
      <c r="G565" t="e">
        <f t="shared" si="32"/>
        <v>#NUM!</v>
      </c>
      <c r="H565" t="e">
        <f t="shared" si="33"/>
        <v>#NUM!</v>
      </c>
      <c r="I565" t="e">
        <f t="shared" si="34"/>
        <v>#NUM!</v>
      </c>
      <c r="K565" t="e">
        <f t="shared" si="35"/>
        <v>#NUM!</v>
      </c>
    </row>
    <row r="566" spans="1:11">
      <c r="A566">
        <v>564</v>
      </c>
      <c r="B566">
        <v>7</v>
      </c>
      <c r="C566">
        <v>2</v>
      </c>
      <c r="D566">
        <v>2</v>
      </c>
      <c r="E566">
        <v>0</v>
      </c>
      <c r="G566">
        <f t="shared" si="32"/>
        <v>-0.47804824436062165</v>
      </c>
      <c r="H566">
        <f t="shared" si="33"/>
        <v>-0.49395824624990919</v>
      </c>
      <c r="I566" t="e">
        <f t="shared" si="34"/>
        <v>#NUM!</v>
      </c>
      <c r="K566" t="e">
        <f t="shared" si="35"/>
        <v>#NUM!</v>
      </c>
    </row>
    <row r="567" spans="1:11">
      <c r="A567">
        <v>565</v>
      </c>
      <c r="B567">
        <v>126</v>
      </c>
      <c r="C567">
        <v>1</v>
      </c>
      <c r="D567">
        <v>2</v>
      </c>
      <c r="E567">
        <v>1</v>
      </c>
      <c r="G567">
        <f t="shared" si="32"/>
        <v>-2.034350745127909</v>
      </c>
      <c r="H567">
        <f t="shared" si="33"/>
        <v>-1.7492307513532153</v>
      </c>
      <c r="I567">
        <f t="shared" si="34"/>
        <v>-2.0178356570623501</v>
      </c>
      <c r="K567">
        <f t="shared" si="35"/>
        <v>-1.933805717847825</v>
      </c>
    </row>
    <row r="568" spans="1:11">
      <c r="A568">
        <v>566</v>
      </c>
      <c r="B568">
        <v>141</v>
      </c>
      <c r="C568">
        <v>5</v>
      </c>
      <c r="D568">
        <v>2</v>
      </c>
      <c r="E568">
        <v>1</v>
      </c>
      <c r="G568">
        <f t="shared" si="32"/>
        <v>-1.3842293083297073</v>
      </c>
      <c r="H568">
        <f t="shared" si="33"/>
        <v>-1.7980793188910322</v>
      </c>
      <c r="I568">
        <f t="shared" si="34"/>
        <v>-2.0666842246001673</v>
      </c>
      <c r="K568">
        <f t="shared" si="35"/>
        <v>-1.7496642839403023</v>
      </c>
    </row>
    <row r="569" spans="1:11">
      <c r="A569">
        <v>567</v>
      </c>
      <c r="B569">
        <v>6</v>
      </c>
      <c r="C569">
        <v>0</v>
      </c>
      <c r="D569">
        <v>0</v>
      </c>
      <c r="E569">
        <v>1</v>
      </c>
      <c r="G569" t="e">
        <f t="shared" si="32"/>
        <v>#NUM!</v>
      </c>
      <c r="H569" t="e">
        <f t="shared" si="33"/>
        <v>#NUM!</v>
      </c>
      <c r="I569">
        <f t="shared" si="34"/>
        <v>-0.69561636232843094</v>
      </c>
      <c r="K569" t="e">
        <f t="shared" si="35"/>
        <v>#NUM!</v>
      </c>
    </row>
    <row r="570" spans="1:11">
      <c r="A570">
        <v>568</v>
      </c>
      <c r="B570">
        <v>103</v>
      </c>
      <c r="C570">
        <v>0</v>
      </c>
      <c r="D570">
        <v>0</v>
      </c>
      <c r="E570">
        <v>1</v>
      </c>
      <c r="G570" t="e">
        <f t="shared" si="32"/>
        <v>#NUM!</v>
      </c>
      <c r="H570" t="e">
        <f t="shared" si="33"/>
        <v>#NUM!</v>
      </c>
      <c r="I570">
        <f t="shared" si="34"/>
        <v>-1.9303023366499599</v>
      </c>
      <c r="K570" t="e">
        <f t="shared" si="35"/>
        <v>#NUM!</v>
      </c>
    </row>
    <row r="571" spans="1:11">
      <c r="A571">
        <v>569</v>
      </c>
      <c r="B571">
        <v>30</v>
      </c>
      <c r="C571">
        <v>2</v>
      </c>
      <c r="D571">
        <v>2</v>
      </c>
      <c r="E571">
        <v>3</v>
      </c>
      <c r="G571">
        <f t="shared" si="32"/>
        <v>-1.1100714590660274</v>
      </c>
      <c r="H571">
        <f t="shared" si="33"/>
        <v>-1.1259814609553149</v>
      </c>
      <c r="I571">
        <f t="shared" si="34"/>
        <v>-0.9174651119447873</v>
      </c>
      <c r="K571">
        <f t="shared" si="35"/>
        <v>-1.0511726773220433</v>
      </c>
    </row>
    <row r="572" spans="1:11">
      <c r="A572">
        <v>570</v>
      </c>
      <c r="B572">
        <v>58</v>
      </c>
      <c r="C572">
        <v>0</v>
      </c>
      <c r="D572">
        <v>1</v>
      </c>
      <c r="E572">
        <v>0</v>
      </c>
      <c r="G572" t="e">
        <f t="shared" si="32"/>
        <v>#NUM!</v>
      </c>
      <c r="H572">
        <f t="shared" si="33"/>
        <v>-1.7133181954625709</v>
      </c>
      <c r="I572" t="e">
        <f t="shared" si="34"/>
        <v>#NUM!</v>
      </c>
      <c r="K572" t="e">
        <f t="shared" si="35"/>
        <v>#NUM!</v>
      </c>
    </row>
    <row r="573" spans="1:11">
      <c r="A573">
        <v>571</v>
      </c>
      <c r="B573">
        <v>64</v>
      </c>
      <c r="C573">
        <v>0</v>
      </c>
      <c r="D573">
        <v>1</v>
      </c>
      <c r="E573">
        <v>0</v>
      </c>
      <c r="G573" t="e">
        <f t="shared" si="32"/>
        <v>#NUM!</v>
      </c>
      <c r="H573">
        <f t="shared" si="33"/>
        <v>-1.7560701758835207</v>
      </c>
      <c r="I573" t="e">
        <f t="shared" si="34"/>
        <v>#NUM!</v>
      </c>
      <c r="K573" t="e">
        <f t="shared" si="35"/>
        <v>#NUM!</v>
      </c>
    </row>
    <row r="574" spans="1:11">
      <c r="A574">
        <v>572</v>
      </c>
      <c r="B574">
        <v>14</v>
      </c>
      <c r="C574">
        <v>0</v>
      </c>
      <c r="D574">
        <v>1</v>
      </c>
      <c r="E574">
        <v>0</v>
      </c>
      <c r="G574" t="e">
        <f t="shared" si="32"/>
        <v>#NUM!</v>
      </c>
      <c r="H574">
        <f t="shared" si="33"/>
        <v>-1.0960182375778715</v>
      </c>
      <c r="I574" t="e">
        <f t="shared" si="34"/>
        <v>#NUM!</v>
      </c>
      <c r="K574" t="e">
        <f t="shared" si="35"/>
        <v>#NUM!</v>
      </c>
    </row>
    <row r="575" spans="1:11">
      <c r="A575">
        <v>573</v>
      </c>
      <c r="B575">
        <v>63</v>
      </c>
      <c r="C575">
        <v>0</v>
      </c>
      <c r="D575">
        <v>1</v>
      </c>
      <c r="E575">
        <v>0</v>
      </c>
      <c r="G575" t="e">
        <f t="shared" si="32"/>
        <v>#NUM!</v>
      </c>
      <c r="H575">
        <f t="shared" si="33"/>
        <v>-1.7492307513532153</v>
      </c>
      <c r="I575" t="e">
        <f t="shared" si="34"/>
        <v>#NUM!</v>
      </c>
      <c r="K575" t="e">
        <f t="shared" si="35"/>
        <v>#NUM!</v>
      </c>
    </row>
    <row r="576" spans="1:11">
      <c r="A576">
        <v>574</v>
      </c>
      <c r="B576">
        <v>81</v>
      </c>
      <c r="C576">
        <v>6</v>
      </c>
      <c r="D576">
        <v>4</v>
      </c>
      <c r="E576">
        <v>1</v>
      </c>
      <c r="G576">
        <f t="shared" si="32"/>
        <v>-1.0643139685053522</v>
      </c>
      <c r="H576">
        <f t="shared" si="33"/>
        <v>-1.256315229450321</v>
      </c>
      <c r="I576">
        <f t="shared" si="34"/>
        <v>-1.8259501308234372</v>
      </c>
      <c r="K576">
        <f t="shared" si="35"/>
        <v>-1.3821931095930369</v>
      </c>
    </row>
    <row r="577" spans="1:11">
      <c r="A577">
        <v>575</v>
      </c>
      <c r="B577">
        <v>29</v>
      </c>
      <c r="C577">
        <v>0</v>
      </c>
      <c r="D577">
        <v>1</v>
      </c>
      <c r="E577">
        <v>0</v>
      </c>
      <c r="G577" t="e">
        <f t="shared" si="32"/>
        <v>#NUM!</v>
      </c>
      <c r="H577">
        <f t="shared" si="33"/>
        <v>-1.4122881997985897</v>
      </c>
      <c r="I577" t="e">
        <f t="shared" si="34"/>
        <v>#NUM!</v>
      </c>
      <c r="K577" t="e">
        <f t="shared" si="35"/>
        <v>#NUM!</v>
      </c>
    </row>
    <row r="578" spans="1:11">
      <c r="A578">
        <v>576</v>
      </c>
      <c r="B578">
        <v>71</v>
      </c>
      <c r="C578">
        <v>0</v>
      </c>
      <c r="D578">
        <v>0</v>
      </c>
      <c r="E578">
        <v>0</v>
      </c>
      <c r="G578" t="e">
        <f t="shared" si="32"/>
        <v>#NUM!</v>
      </c>
      <c r="H578" t="e">
        <f t="shared" si="33"/>
        <v>#NUM!</v>
      </c>
      <c r="I578" t="e">
        <f t="shared" si="34"/>
        <v>#NUM!</v>
      </c>
      <c r="K578" t="e">
        <f t="shared" si="35"/>
        <v>#NUM!</v>
      </c>
    </row>
    <row r="579" spans="1:11">
      <c r="A579">
        <v>577</v>
      </c>
      <c r="B579">
        <v>109</v>
      </c>
      <c r="C579">
        <v>2</v>
      </c>
      <c r="D579">
        <v>0</v>
      </c>
      <c r="E579">
        <v>0</v>
      </c>
      <c r="G579">
        <f t="shared" ref="G579:G642" si="36">LOG10(C579/B579)-LOG10(134/156)</f>
        <v>-1.6703767022869884</v>
      </c>
      <c r="H579" t="e">
        <f t="shared" ref="H579:H642" si="37">LOG10(D579/B579)-LOG10(139/156)</f>
        <v>#NUM!</v>
      </c>
      <c r="I579" t="e">
        <f t="shared" ref="I579:I642" si="38">LOG10(E579/B579)-LOG10(129/156)</f>
        <v>#NUM!</v>
      </c>
      <c r="K579" t="e">
        <f t="shared" ref="K579:K642" si="39">AVERAGE(G579:I579)</f>
        <v>#NUM!</v>
      </c>
    </row>
    <row r="580" spans="1:11">
      <c r="A580">
        <v>578</v>
      </c>
      <c r="B580">
        <v>46</v>
      </c>
      <c r="C580">
        <v>0</v>
      </c>
      <c r="D580">
        <v>2</v>
      </c>
      <c r="E580">
        <v>1</v>
      </c>
      <c r="G580" t="e">
        <f t="shared" si="36"/>
        <v>#NUM!</v>
      </c>
      <c r="H580">
        <f t="shared" si="37"/>
        <v>-1.3116180379172264</v>
      </c>
      <c r="I580">
        <f t="shared" si="38"/>
        <v>-1.5802229436263615</v>
      </c>
      <c r="K580" t="e">
        <f t="shared" si="39"/>
        <v>#NUM!</v>
      </c>
    </row>
    <row r="581" spans="1:11">
      <c r="A581">
        <v>579</v>
      </c>
      <c r="B581">
        <v>92</v>
      </c>
      <c r="C581">
        <v>7</v>
      </c>
      <c r="D581">
        <v>11</v>
      </c>
      <c r="E581">
        <v>20</v>
      </c>
      <c r="G581">
        <f t="shared" si="36"/>
        <v>-1.0526699873416445</v>
      </c>
      <c r="H581">
        <f t="shared" si="37"/>
        <v>-0.87228534408696368</v>
      </c>
      <c r="I581">
        <f t="shared" si="38"/>
        <v>-0.5802229436263614</v>
      </c>
      <c r="K581">
        <f t="shared" si="39"/>
        <v>-0.83505942501832331</v>
      </c>
    </row>
    <row r="582" spans="1:11">
      <c r="A582">
        <v>580</v>
      </c>
      <c r="B582">
        <v>53</v>
      </c>
      <c r="C582">
        <v>0</v>
      </c>
      <c r="D582">
        <v>3</v>
      </c>
      <c r="E582">
        <v>0</v>
      </c>
      <c r="G582" t="e">
        <f t="shared" si="36"/>
        <v>#NUM!</v>
      </c>
      <c r="H582">
        <f t="shared" si="37"/>
        <v>-1.1970448167807601</v>
      </c>
      <c r="I582" t="e">
        <f t="shared" si="38"/>
        <v>#NUM!</v>
      </c>
      <c r="K582" t="e">
        <f t="shared" si="39"/>
        <v>#NUM!</v>
      </c>
    </row>
    <row r="583" spans="1:11">
      <c r="A583">
        <v>581</v>
      </c>
      <c r="B583">
        <v>26</v>
      </c>
      <c r="C583">
        <v>0</v>
      </c>
      <c r="D583">
        <v>0</v>
      </c>
      <c r="E583">
        <v>0</v>
      </c>
      <c r="G583" t="e">
        <f t="shared" si="36"/>
        <v>#NUM!</v>
      </c>
      <c r="H583" t="e">
        <f t="shared" si="37"/>
        <v>#NUM!</v>
      </c>
      <c r="I583" t="e">
        <f t="shared" si="38"/>
        <v>#NUM!</v>
      </c>
      <c r="K583" t="e">
        <f t="shared" si="39"/>
        <v>#NUM!</v>
      </c>
    </row>
    <row r="584" spans="1:11">
      <c r="A584">
        <v>582</v>
      </c>
      <c r="B584">
        <v>15</v>
      </c>
      <c r="C584">
        <v>0</v>
      </c>
      <c r="D584">
        <v>1</v>
      </c>
      <c r="E584">
        <v>0</v>
      </c>
      <c r="G584" t="e">
        <f t="shared" si="36"/>
        <v>#NUM!</v>
      </c>
      <c r="H584">
        <f t="shared" si="37"/>
        <v>-1.1259814609553149</v>
      </c>
      <c r="I584" t="e">
        <f t="shared" si="38"/>
        <v>#NUM!</v>
      </c>
      <c r="K584" t="e">
        <f t="shared" si="39"/>
        <v>#NUM!</v>
      </c>
    </row>
    <row r="585" spans="1:11">
      <c r="A585">
        <v>583</v>
      </c>
      <c r="B585">
        <v>42</v>
      </c>
      <c r="C585">
        <v>0</v>
      </c>
      <c r="D585">
        <v>0</v>
      </c>
      <c r="E585">
        <v>0</v>
      </c>
      <c r="G585" t="e">
        <f t="shared" si="36"/>
        <v>#NUM!</v>
      </c>
      <c r="H585" t="e">
        <f t="shared" si="37"/>
        <v>#NUM!</v>
      </c>
      <c r="I585" t="e">
        <f t="shared" si="38"/>
        <v>#NUM!</v>
      </c>
      <c r="K585" t="e">
        <f t="shared" si="39"/>
        <v>#NUM!</v>
      </c>
    </row>
    <row r="586" spans="1:11">
      <c r="A586">
        <v>584</v>
      </c>
      <c r="B586">
        <v>181</v>
      </c>
      <c r="C586">
        <v>1</v>
      </c>
      <c r="D586">
        <v>2</v>
      </c>
      <c r="E586">
        <v>3</v>
      </c>
      <c r="G586">
        <f t="shared" si="36"/>
        <v>-2.1916587748795306</v>
      </c>
      <c r="H586">
        <f t="shared" si="37"/>
        <v>-1.9065387811048369</v>
      </c>
      <c r="I586">
        <f t="shared" si="38"/>
        <v>-1.6980224320943096</v>
      </c>
      <c r="K586">
        <f t="shared" si="39"/>
        <v>-1.9320733293595591</v>
      </c>
    </row>
    <row r="587" spans="1:11">
      <c r="A587">
        <v>585</v>
      </c>
      <c r="B587">
        <v>26</v>
      </c>
      <c r="C587">
        <v>2</v>
      </c>
      <c r="D587">
        <v>1</v>
      </c>
      <c r="E587">
        <v>1</v>
      </c>
      <c r="G587">
        <f t="shared" si="36"/>
        <v>-1.0479235523171828</v>
      </c>
      <c r="H587">
        <f t="shared" si="37"/>
        <v>-1.3648635498704516</v>
      </c>
      <c r="I587">
        <f t="shared" si="38"/>
        <v>-1.3324384599156054</v>
      </c>
      <c r="K587">
        <f t="shared" si="39"/>
        <v>-1.2484085207010798</v>
      </c>
    </row>
    <row r="588" spans="1:11">
      <c r="A588">
        <v>586</v>
      </c>
      <c r="B588">
        <v>124</v>
      </c>
      <c r="C588">
        <v>1</v>
      </c>
      <c r="D588">
        <v>0</v>
      </c>
      <c r="E588">
        <v>0</v>
      </c>
      <c r="G588">
        <f t="shared" si="36"/>
        <v>-2.0274018851725812</v>
      </c>
      <c r="H588" t="e">
        <f t="shared" si="37"/>
        <v>#NUM!</v>
      </c>
      <c r="I588" t="e">
        <f t="shared" si="38"/>
        <v>#NUM!</v>
      </c>
      <c r="K588" t="e">
        <f t="shared" si="39"/>
        <v>#NUM!</v>
      </c>
    </row>
    <row r="589" spans="1:11">
      <c r="A589">
        <v>587</v>
      </c>
      <c r="B589">
        <v>54</v>
      </c>
      <c r="C589">
        <v>0</v>
      </c>
      <c r="D589">
        <v>0</v>
      </c>
      <c r="E589">
        <v>0</v>
      </c>
      <c r="G589" t="e">
        <f t="shared" si="36"/>
        <v>#NUM!</v>
      </c>
      <c r="H589" t="e">
        <f t="shared" si="37"/>
        <v>#NUM!</v>
      </c>
      <c r="I589" t="e">
        <f t="shared" si="38"/>
        <v>#NUM!</v>
      </c>
      <c r="K589" t="e">
        <f t="shared" si="39"/>
        <v>#NUM!</v>
      </c>
    </row>
    <row r="590" spans="1:11">
      <c r="A590">
        <v>588</v>
      </c>
      <c r="B590">
        <v>73</v>
      </c>
      <c r="C590">
        <v>125</v>
      </c>
      <c r="D590">
        <v>151</v>
      </c>
      <c r="E590">
        <v>96</v>
      </c>
      <c r="G590">
        <f t="shared" si="36"/>
        <v>0.29960695287725453</v>
      </c>
      <c r="H590">
        <f t="shared" si="37"/>
        <v>0.36576388527307996</v>
      </c>
      <c r="I590">
        <f t="shared" si="38"/>
        <v>0.20148326097432515</v>
      </c>
      <c r="K590">
        <f t="shared" si="39"/>
        <v>0.28895136637488655</v>
      </c>
    </row>
    <row r="591" spans="1:11">
      <c r="A591">
        <v>589</v>
      </c>
      <c r="B591">
        <v>72</v>
      </c>
      <c r="C591">
        <v>1</v>
      </c>
      <c r="D591">
        <v>1</v>
      </c>
      <c r="E591">
        <v>0</v>
      </c>
      <c r="G591">
        <f t="shared" si="36"/>
        <v>-1.7913126964416146</v>
      </c>
      <c r="H591">
        <f t="shared" si="37"/>
        <v>-1.8072226983309021</v>
      </c>
      <c r="I591" t="e">
        <f t="shared" si="38"/>
        <v>#NUM!</v>
      </c>
      <c r="K591" t="e">
        <f t="shared" si="39"/>
        <v>#NUM!</v>
      </c>
    </row>
    <row r="592" spans="1:11">
      <c r="A592">
        <v>590</v>
      </c>
      <c r="B592">
        <v>182</v>
      </c>
      <c r="C592">
        <v>5</v>
      </c>
      <c r="D592">
        <v>1</v>
      </c>
      <c r="E592">
        <v>1</v>
      </c>
      <c r="G592">
        <f t="shared" si="36"/>
        <v>-1.495081583659402</v>
      </c>
      <c r="H592">
        <f t="shared" si="37"/>
        <v>-2.209961589884708</v>
      </c>
      <c r="I592">
        <f t="shared" si="38"/>
        <v>-2.1775364999298619</v>
      </c>
      <c r="K592">
        <f t="shared" si="39"/>
        <v>-1.9608598911579904</v>
      </c>
    </row>
    <row r="593" spans="1:11">
      <c r="A593">
        <v>591</v>
      </c>
      <c r="B593">
        <v>213</v>
      </c>
      <c r="C593">
        <v>3</v>
      </c>
      <c r="D593">
        <v>3</v>
      </c>
      <c r="E593">
        <v>2</v>
      </c>
      <c r="G593">
        <f t="shared" si="36"/>
        <v>-1.7852385487294213</v>
      </c>
      <c r="H593">
        <f t="shared" si="37"/>
        <v>-1.8011485506187088</v>
      </c>
      <c r="I593">
        <f t="shared" si="38"/>
        <v>-1.9448147197195438</v>
      </c>
      <c r="K593">
        <f t="shared" si="39"/>
        <v>-1.8437339396892245</v>
      </c>
    </row>
    <row r="594" spans="1:11">
      <c r="A594">
        <v>592</v>
      </c>
      <c r="B594">
        <v>46</v>
      </c>
      <c r="C594">
        <v>5</v>
      </c>
      <c r="D594">
        <v>2</v>
      </c>
      <c r="E594">
        <v>1</v>
      </c>
      <c r="G594">
        <f t="shared" si="36"/>
        <v>-0.89776802735590122</v>
      </c>
      <c r="H594">
        <f t="shared" si="37"/>
        <v>-1.3116180379172264</v>
      </c>
      <c r="I594">
        <f t="shared" si="38"/>
        <v>-1.5802229436263615</v>
      </c>
      <c r="K594">
        <f t="shared" si="39"/>
        <v>-1.2632030029664965</v>
      </c>
    </row>
    <row r="595" spans="1:11">
      <c r="A595">
        <v>593</v>
      </c>
      <c r="B595">
        <v>207</v>
      </c>
      <c r="C595">
        <v>9</v>
      </c>
      <c r="D595">
        <v>1</v>
      </c>
      <c r="E595">
        <v>0</v>
      </c>
      <c r="G595">
        <f t="shared" si="36"/>
        <v>-1.2957080360279389</v>
      </c>
      <c r="H595">
        <f t="shared" si="37"/>
        <v>-2.2658605473565512</v>
      </c>
      <c r="I595" t="e">
        <f t="shared" si="38"/>
        <v>#NUM!</v>
      </c>
      <c r="K595" t="e">
        <f t="shared" si="39"/>
        <v>#NUM!</v>
      </c>
    </row>
    <row r="596" spans="1:11">
      <c r="A596">
        <v>594</v>
      </c>
      <c r="B596">
        <v>11</v>
      </c>
      <c r="C596">
        <v>0</v>
      </c>
      <c r="D596">
        <v>1</v>
      </c>
      <c r="E596">
        <v>1</v>
      </c>
      <c r="G596" t="e">
        <f t="shared" si="36"/>
        <v>#NUM!</v>
      </c>
      <c r="H596">
        <f t="shared" si="37"/>
        <v>-0.99128288705785839</v>
      </c>
      <c r="I596">
        <f t="shared" si="38"/>
        <v>-0.95885779710301222</v>
      </c>
      <c r="K596" t="e">
        <f t="shared" si="39"/>
        <v>#NUM!</v>
      </c>
    </row>
    <row r="597" spans="1:11">
      <c r="A597">
        <v>595</v>
      </c>
      <c r="B597">
        <v>27</v>
      </c>
      <c r="C597">
        <v>0</v>
      </c>
      <c r="D597">
        <v>1</v>
      </c>
      <c r="E597">
        <v>1</v>
      </c>
      <c r="G597" t="e">
        <f t="shared" si="36"/>
        <v>#NUM!</v>
      </c>
      <c r="H597">
        <f t="shared" si="37"/>
        <v>-1.3812539660586209</v>
      </c>
      <c r="I597">
        <f t="shared" si="38"/>
        <v>-1.3488288761037748</v>
      </c>
      <c r="K597" t="e">
        <f t="shared" si="39"/>
        <v>#NUM!</v>
      </c>
    </row>
    <row r="598" spans="1:11">
      <c r="A598">
        <v>596</v>
      </c>
      <c r="B598">
        <v>10</v>
      </c>
      <c r="C598">
        <v>0</v>
      </c>
      <c r="D598">
        <v>0</v>
      </c>
      <c r="E598">
        <v>0</v>
      </c>
      <c r="G598" t="e">
        <f t="shared" si="36"/>
        <v>#NUM!</v>
      </c>
      <c r="H598" t="e">
        <f t="shared" si="37"/>
        <v>#NUM!</v>
      </c>
      <c r="I598" t="e">
        <f t="shared" si="38"/>
        <v>#NUM!</v>
      </c>
      <c r="K598" t="e">
        <f t="shared" si="39"/>
        <v>#NUM!</v>
      </c>
    </row>
    <row r="599" spans="1:11">
      <c r="A599">
        <v>597</v>
      </c>
      <c r="B599">
        <v>107</v>
      </c>
      <c r="C599">
        <v>1</v>
      </c>
      <c r="D599">
        <v>1</v>
      </c>
      <c r="E599">
        <v>2</v>
      </c>
      <c r="G599">
        <f t="shared" si="36"/>
        <v>-1.9633639776955558</v>
      </c>
      <c r="H599">
        <f t="shared" si="37"/>
        <v>-1.9792739795848433</v>
      </c>
      <c r="I599">
        <f t="shared" si="38"/>
        <v>-1.6458188939660159</v>
      </c>
      <c r="K599">
        <f t="shared" si="39"/>
        <v>-1.8628189504154717</v>
      </c>
    </row>
    <row r="600" spans="1:11">
      <c r="A600">
        <v>598</v>
      </c>
      <c r="B600">
        <v>104</v>
      </c>
      <c r="C600">
        <v>0</v>
      </c>
      <c r="D600">
        <v>0</v>
      </c>
      <c r="E600">
        <v>1</v>
      </c>
      <c r="G600" t="e">
        <f t="shared" si="36"/>
        <v>#NUM!</v>
      </c>
      <c r="H600" t="e">
        <f t="shared" si="37"/>
        <v>#NUM!</v>
      </c>
      <c r="I600">
        <f t="shared" si="38"/>
        <v>-1.9344984512435677</v>
      </c>
      <c r="K600" t="e">
        <f t="shared" si="39"/>
        <v>#NUM!</v>
      </c>
    </row>
    <row r="601" spans="1:11">
      <c r="A601">
        <v>599</v>
      </c>
      <c r="B601">
        <v>14</v>
      </c>
      <c r="C601">
        <v>0</v>
      </c>
      <c r="D601">
        <v>0</v>
      </c>
      <c r="E601">
        <v>0</v>
      </c>
      <c r="G601" t="e">
        <f t="shared" si="36"/>
        <v>#NUM!</v>
      </c>
      <c r="H601" t="e">
        <f t="shared" si="37"/>
        <v>#NUM!</v>
      </c>
      <c r="I601" t="e">
        <f t="shared" si="38"/>
        <v>#NUM!</v>
      </c>
      <c r="K601" t="e">
        <f t="shared" si="39"/>
        <v>#NUM!</v>
      </c>
    </row>
    <row r="602" spans="1:11">
      <c r="A602">
        <v>600</v>
      </c>
      <c r="B602">
        <v>90</v>
      </c>
      <c r="C602">
        <v>0</v>
      </c>
      <c r="D602">
        <v>1</v>
      </c>
      <c r="E602">
        <v>1</v>
      </c>
      <c r="G602" t="e">
        <f t="shared" si="36"/>
        <v>#NUM!</v>
      </c>
      <c r="H602">
        <f t="shared" si="37"/>
        <v>-1.9041327113389583</v>
      </c>
      <c r="I602">
        <f t="shared" si="38"/>
        <v>-1.8717076213841122</v>
      </c>
      <c r="K602" t="e">
        <f t="shared" si="39"/>
        <v>#NUM!</v>
      </c>
    </row>
    <row r="603" spans="1:11">
      <c r="A603">
        <v>601</v>
      </c>
      <c r="B603">
        <v>67</v>
      </c>
      <c r="C603">
        <v>1</v>
      </c>
      <c r="D603">
        <v>0</v>
      </c>
      <c r="E603">
        <v>0</v>
      </c>
      <c r="G603">
        <f t="shared" si="36"/>
        <v>-1.7600550027111725</v>
      </c>
      <c r="H603" t="e">
        <f t="shared" si="37"/>
        <v>#NUM!</v>
      </c>
      <c r="I603" t="e">
        <f t="shared" si="38"/>
        <v>#NUM!</v>
      </c>
      <c r="K603" t="e">
        <f t="shared" si="39"/>
        <v>#NUM!</v>
      </c>
    </row>
    <row r="604" spans="1:11">
      <c r="A604">
        <v>602</v>
      </c>
      <c r="B604">
        <v>42</v>
      </c>
      <c r="C604">
        <v>0</v>
      </c>
      <c r="D604">
        <v>0</v>
      </c>
      <c r="E604">
        <v>1</v>
      </c>
      <c r="G604" t="e">
        <f t="shared" si="36"/>
        <v>#NUM!</v>
      </c>
      <c r="H604" t="e">
        <f t="shared" si="37"/>
        <v>#NUM!</v>
      </c>
      <c r="I604">
        <f t="shared" si="38"/>
        <v>-1.540714402342688</v>
      </c>
      <c r="K604" t="e">
        <f t="shared" si="39"/>
        <v>#NUM!</v>
      </c>
    </row>
    <row r="605" spans="1:11">
      <c r="A605">
        <v>603</v>
      </c>
      <c r="B605">
        <v>202</v>
      </c>
      <c r="C605">
        <v>0</v>
      </c>
      <c r="D605">
        <v>1</v>
      </c>
      <c r="E605">
        <v>2</v>
      </c>
      <c r="G605" t="e">
        <f t="shared" si="36"/>
        <v>#NUM!</v>
      </c>
      <c r="H605">
        <f t="shared" si="37"/>
        <v>-2.2552415713462572</v>
      </c>
      <c r="I605">
        <f t="shared" si="38"/>
        <v>-1.92178648572743</v>
      </c>
      <c r="K605" t="e">
        <f t="shared" si="39"/>
        <v>#NUM!</v>
      </c>
    </row>
    <row r="606" spans="1:11">
      <c r="A606">
        <v>604</v>
      </c>
      <c r="B606">
        <v>17</v>
      </c>
      <c r="C606">
        <v>17</v>
      </c>
      <c r="D606">
        <v>8</v>
      </c>
      <c r="E606">
        <v>7</v>
      </c>
      <c r="G606">
        <f t="shared" si="36"/>
        <v>6.6019799989654002E-2</v>
      </c>
      <c r="H606">
        <f t="shared" si="37"/>
        <v>-0.27724913628596387</v>
      </c>
      <c r="I606">
        <f t="shared" si="38"/>
        <v>-0.30281599330880449</v>
      </c>
      <c r="K606">
        <f t="shared" si="39"/>
        <v>-0.17134844320170481</v>
      </c>
    </row>
    <row r="607" spans="1:11">
      <c r="A607">
        <v>605</v>
      </c>
      <c r="B607">
        <v>81</v>
      </c>
      <c r="C607">
        <v>0</v>
      </c>
      <c r="D607">
        <v>0</v>
      </c>
      <c r="E607">
        <v>0</v>
      </c>
      <c r="G607" t="e">
        <f t="shared" si="36"/>
        <v>#NUM!</v>
      </c>
      <c r="H607" t="e">
        <f t="shared" si="37"/>
        <v>#NUM!</v>
      </c>
      <c r="I607" t="e">
        <f t="shared" si="38"/>
        <v>#NUM!</v>
      </c>
      <c r="K607" t="e">
        <f t="shared" si="39"/>
        <v>#NUM!</v>
      </c>
    </row>
    <row r="608" spans="1:11">
      <c r="A608">
        <v>606</v>
      </c>
      <c r="B608">
        <v>59</v>
      </c>
      <c r="C608">
        <v>0</v>
      </c>
      <c r="D608">
        <v>3</v>
      </c>
      <c r="E608">
        <v>0</v>
      </c>
      <c r="G608" t="e">
        <f t="shared" si="36"/>
        <v>#NUM!</v>
      </c>
      <c r="H608">
        <f t="shared" si="37"/>
        <v>-1.2436209588221152</v>
      </c>
      <c r="I608" t="e">
        <f t="shared" si="38"/>
        <v>#NUM!</v>
      </c>
      <c r="K608" t="e">
        <f t="shared" si="39"/>
        <v>#NUM!</v>
      </c>
    </row>
    <row r="609" spans="1:11">
      <c r="A609">
        <v>607</v>
      </c>
      <c r="B609">
        <v>56</v>
      </c>
      <c r="C609">
        <v>1</v>
      </c>
      <c r="D609">
        <v>1</v>
      </c>
      <c r="E609">
        <v>1</v>
      </c>
      <c r="G609">
        <f t="shared" si="36"/>
        <v>-1.6821682270165466</v>
      </c>
      <c r="H609">
        <f t="shared" si="37"/>
        <v>-1.698078228905834</v>
      </c>
      <c r="I609">
        <f t="shared" si="38"/>
        <v>-1.6656531389509879</v>
      </c>
      <c r="K609">
        <f t="shared" si="39"/>
        <v>-1.6819665316244563</v>
      </c>
    </row>
    <row r="610" spans="1:11">
      <c r="A610">
        <v>608</v>
      </c>
      <c r="B610">
        <v>100</v>
      </c>
      <c r="C610">
        <v>0</v>
      </c>
      <c r="D610">
        <v>1</v>
      </c>
      <c r="E610">
        <v>0</v>
      </c>
      <c r="G610" t="e">
        <f t="shared" si="36"/>
        <v>#NUM!</v>
      </c>
      <c r="H610">
        <f t="shared" si="37"/>
        <v>-1.9498902018996336</v>
      </c>
      <c r="I610" t="e">
        <f t="shared" si="38"/>
        <v>#NUM!</v>
      </c>
      <c r="K610" t="e">
        <f t="shared" si="39"/>
        <v>#NUM!</v>
      </c>
    </row>
    <row r="611" spans="1:11">
      <c r="A611">
        <v>609</v>
      </c>
      <c r="B611">
        <v>134</v>
      </c>
      <c r="C611">
        <v>3</v>
      </c>
      <c r="D611">
        <v>3</v>
      </c>
      <c r="E611">
        <v>4</v>
      </c>
      <c r="G611">
        <f t="shared" si="36"/>
        <v>-1.5839637436554914</v>
      </c>
      <c r="H611">
        <f t="shared" si="37"/>
        <v>-1.5998737455447789</v>
      </c>
      <c r="I611">
        <f t="shared" si="38"/>
        <v>-1.4425099189816326</v>
      </c>
      <c r="K611">
        <f t="shared" si="39"/>
        <v>-1.5421158027273008</v>
      </c>
    </row>
    <row r="612" spans="1:11">
      <c r="A612">
        <v>610</v>
      </c>
      <c r="B612">
        <v>35</v>
      </c>
      <c r="C612">
        <v>0</v>
      </c>
      <c r="D612">
        <v>2</v>
      </c>
      <c r="E612">
        <v>0</v>
      </c>
      <c r="G612" t="e">
        <f t="shared" si="36"/>
        <v>#NUM!</v>
      </c>
      <c r="H612">
        <f t="shared" si="37"/>
        <v>-1.192928250585928</v>
      </c>
      <c r="I612" t="e">
        <f t="shared" si="38"/>
        <v>#NUM!</v>
      </c>
      <c r="K612" t="e">
        <f t="shared" si="39"/>
        <v>#NUM!</v>
      </c>
    </row>
    <row r="613" spans="1:11">
      <c r="A613">
        <v>611</v>
      </c>
      <c r="B613">
        <v>79</v>
      </c>
      <c r="C613">
        <v>1</v>
      </c>
      <c r="D613">
        <v>7</v>
      </c>
      <c r="E613">
        <v>0</v>
      </c>
      <c r="G613">
        <f t="shared" si="36"/>
        <v>-1.8316072913007875</v>
      </c>
      <c r="H613">
        <f t="shared" si="37"/>
        <v>-1.0024192531758183</v>
      </c>
      <c r="I613" t="e">
        <f t="shared" si="38"/>
        <v>#NUM!</v>
      </c>
      <c r="K613" t="e">
        <f t="shared" si="39"/>
        <v>#NUM!</v>
      </c>
    </row>
    <row r="614" spans="1:11">
      <c r="A614">
        <v>612</v>
      </c>
      <c r="B614">
        <v>151</v>
      </c>
      <c r="C614">
        <v>7</v>
      </c>
      <c r="D614">
        <v>2</v>
      </c>
      <c r="E614">
        <v>1</v>
      </c>
      <c r="G614">
        <f t="shared" si="36"/>
        <v>-1.2678591072892587</v>
      </c>
      <c r="H614">
        <f t="shared" si="37"/>
        <v>-1.8278371535288218</v>
      </c>
      <c r="I614">
        <f t="shared" si="38"/>
        <v>-2.0964420592379565</v>
      </c>
      <c r="K614">
        <f t="shared" si="39"/>
        <v>-1.7307127733520122</v>
      </c>
    </row>
    <row r="615" spans="1:11">
      <c r="A615">
        <v>613</v>
      </c>
      <c r="B615">
        <v>19</v>
      </c>
      <c r="C615">
        <v>0</v>
      </c>
      <c r="D615">
        <v>0</v>
      </c>
      <c r="E615">
        <v>0</v>
      </c>
      <c r="G615" t="e">
        <f t="shared" si="36"/>
        <v>#NUM!</v>
      </c>
      <c r="H615" t="e">
        <f t="shared" si="37"/>
        <v>#NUM!</v>
      </c>
      <c r="I615" t="e">
        <f t="shared" si="38"/>
        <v>#NUM!</v>
      </c>
      <c r="K615" t="e">
        <f t="shared" si="39"/>
        <v>#NUM!</v>
      </c>
    </row>
    <row r="616" spans="1:11">
      <c r="A616">
        <v>614</v>
      </c>
      <c r="B616">
        <v>16</v>
      </c>
      <c r="C616">
        <v>0</v>
      </c>
      <c r="D616">
        <v>0</v>
      </c>
      <c r="E616">
        <v>0</v>
      </c>
      <c r="G616" t="e">
        <f t="shared" si="36"/>
        <v>#NUM!</v>
      </c>
      <c r="H616" t="e">
        <f t="shared" si="37"/>
        <v>#NUM!</v>
      </c>
      <c r="I616" t="e">
        <f t="shared" si="38"/>
        <v>#NUM!</v>
      </c>
      <c r="K616" t="e">
        <f t="shared" si="39"/>
        <v>#NUM!</v>
      </c>
    </row>
    <row r="617" spans="1:11">
      <c r="A617">
        <v>615</v>
      </c>
      <c r="B617">
        <v>63</v>
      </c>
      <c r="C617">
        <v>0</v>
      </c>
      <c r="D617">
        <v>0</v>
      </c>
      <c r="E617">
        <v>1</v>
      </c>
      <c r="G617" t="e">
        <f t="shared" si="36"/>
        <v>#NUM!</v>
      </c>
      <c r="H617" t="e">
        <f t="shared" si="37"/>
        <v>#NUM!</v>
      </c>
      <c r="I617">
        <f t="shared" si="38"/>
        <v>-1.7168056613983691</v>
      </c>
      <c r="K617" t="e">
        <f t="shared" si="39"/>
        <v>#NUM!</v>
      </c>
    </row>
    <row r="618" spans="1:11">
      <c r="A618">
        <v>616</v>
      </c>
      <c r="B618">
        <v>63</v>
      </c>
      <c r="C618">
        <v>0</v>
      </c>
      <c r="D618">
        <v>0</v>
      </c>
      <c r="E618">
        <v>1</v>
      </c>
      <c r="G618" t="e">
        <f t="shared" si="36"/>
        <v>#NUM!</v>
      </c>
      <c r="H618" t="e">
        <f t="shared" si="37"/>
        <v>#NUM!</v>
      </c>
      <c r="I618">
        <f t="shared" si="38"/>
        <v>-1.7168056613983691</v>
      </c>
      <c r="K618" t="e">
        <f t="shared" si="39"/>
        <v>#NUM!</v>
      </c>
    </row>
    <row r="619" spans="1:11">
      <c r="A619">
        <v>617</v>
      </c>
      <c r="B619">
        <v>58</v>
      </c>
      <c r="C619">
        <v>9</v>
      </c>
      <c r="D619">
        <v>4</v>
      </c>
      <c r="E619">
        <v>1</v>
      </c>
      <c r="G619">
        <f t="shared" si="36"/>
        <v>-0.74316568413395834</v>
      </c>
      <c r="H619">
        <f t="shared" si="37"/>
        <v>-1.1112582041346084</v>
      </c>
      <c r="I619">
        <f t="shared" si="38"/>
        <v>-1.6808931055077247</v>
      </c>
      <c r="K619">
        <f t="shared" si="39"/>
        <v>-1.1784389979254304</v>
      </c>
    </row>
    <row r="620" spans="1:11">
      <c r="A620">
        <v>618</v>
      </c>
      <c r="B620">
        <v>23</v>
      </c>
      <c r="C620">
        <v>1</v>
      </c>
      <c r="D620">
        <v>0</v>
      </c>
      <c r="E620">
        <v>0</v>
      </c>
      <c r="G620">
        <f t="shared" si="36"/>
        <v>-1.2957080360279389</v>
      </c>
      <c r="H620" t="e">
        <f t="shared" si="37"/>
        <v>#NUM!</v>
      </c>
      <c r="I620" t="e">
        <f t="shared" si="38"/>
        <v>#NUM!</v>
      </c>
      <c r="K620" t="e">
        <f t="shared" si="39"/>
        <v>#NUM!</v>
      </c>
    </row>
    <row r="621" spans="1:11">
      <c r="A621">
        <v>619</v>
      </c>
      <c r="B621">
        <v>63</v>
      </c>
      <c r="C621">
        <v>0</v>
      </c>
      <c r="D621">
        <v>0</v>
      </c>
      <c r="E621">
        <v>0</v>
      </c>
      <c r="G621" t="e">
        <f t="shared" si="36"/>
        <v>#NUM!</v>
      </c>
      <c r="H621" t="e">
        <f t="shared" si="37"/>
        <v>#NUM!</v>
      </c>
      <c r="I621" t="e">
        <f t="shared" si="38"/>
        <v>#NUM!</v>
      </c>
      <c r="K621" t="e">
        <f t="shared" si="39"/>
        <v>#NUM!</v>
      </c>
    </row>
    <row r="622" spans="1:11">
      <c r="A622">
        <v>620</v>
      </c>
      <c r="B622">
        <v>58</v>
      </c>
      <c r="C622">
        <v>0</v>
      </c>
      <c r="D622">
        <v>0</v>
      </c>
      <c r="E622">
        <v>0</v>
      </c>
      <c r="G622" t="e">
        <f t="shared" si="36"/>
        <v>#NUM!</v>
      </c>
      <c r="H622" t="e">
        <f t="shared" si="37"/>
        <v>#NUM!</v>
      </c>
      <c r="I622" t="e">
        <f t="shared" si="38"/>
        <v>#NUM!</v>
      </c>
      <c r="K622" t="e">
        <f t="shared" si="39"/>
        <v>#NUM!</v>
      </c>
    </row>
    <row r="623" spans="1:11">
      <c r="A623">
        <v>621</v>
      </c>
      <c r="B623">
        <v>77</v>
      </c>
      <c r="C623">
        <v>0</v>
      </c>
      <c r="D623">
        <v>1</v>
      </c>
      <c r="E623">
        <v>0</v>
      </c>
      <c r="G623" t="e">
        <f t="shared" si="36"/>
        <v>#NUM!</v>
      </c>
      <c r="H623">
        <f t="shared" si="37"/>
        <v>-1.8363809270721154</v>
      </c>
      <c r="I623" t="e">
        <f t="shared" si="38"/>
        <v>#NUM!</v>
      </c>
      <c r="K623" t="e">
        <f t="shared" si="39"/>
        <v>#NUM!</v>
      </c>
    </row>
    <row r="624" spans="1:11">
      <c r="A624">
        <v>622</v>
      </c>
      <c r="B624">
        <v>179</v>
      </c>
      <c r="C624">
        <v>1</v>
      </c>
      <c r="D624">
        <v>1</v>
      </c>
      <c r="E624">
        <v>0</v>
      </c>
      <c r="G624">
        <f t="shared" si="36"/>
        <v>-2.1868332309902394</v>
      </c>
      <c r="H624">
        <f t="shared" si="37"/>
        <v>-2.2027432328795267</v>
      </c>
      <c r="I624" t="e">
        <f t="shared" si="38"/>
        <v>#NUM!</v>
      </c>
      <c r="K624" t="e">
        <f t="shared" si="39"/>
        <v>#NUM!</v>
      </c>
    </row>
    <row r="625" spans="1:11">
      <c r="A625">
        <v>623</v>
      </c>
      <c r="B625">
        <v>63</v>
      </c>
      <c r="C625">
        <v>250</v>
      </c>
      <c r="D625">
        <v>182</v>
      </c>
      <c r="E625">
        <v>165</v>
      </c>
      <c r="G625">
        <f t="shared" si="36"/>
        <v>0.66461925920810994</v>
      </c>
      <c r="H625">
        <f t="shared" si="37"/>
        <v>0.51084063663185963</v>
      </c>
      <c r="I625">
        <f t="shared" si="38"/>
        <v>0.50067828281553728</v>
      </c>
      <c r="K625">
        <f t="shared" si="39"/>
        <v>0.55871272621850221</v>
      </c>
    </row>
    <row r="626" spans="1:11">
      <c r="A626">
        <v>624</v>
      </c>
      <c r="B626">
        <v>78</v>
      </c>
      <c r="C626">
        <v>0</v>
      </c>
      <c r="D626">
        <v>2</v>
      </c>
      <c r="E626">
        <v>2</v>
      </c>
      <c r="G626" t="e">
        <f t="shared" si="36"/>
        <v>#NUM!</v>
      </c>
      <c r="H626">
        <f t="shared" si="37"/>
        <v>-1.5409548089261329</v>
      </c>
      <c r="I626">
        <f t="shared" si="38"/>
        <v>-1.5085297189712867</v>
      </c>
      <c r="K626" t="e">
        <f t="shared" si="39"/>
        <v>#NUM!</v>
      </c>
    </row>
    <row r="627" spans="1:11">
      <c r="A627">
        <v>625</v>
      </c>
      <c r="B627">
        <v>125</v>
      </c>
      <c r="C627">
        <v>0</v>
      </c>
      <c r="D627">
        <v>1</v>
      </c>
      <c r="E627">
        <v>3</v>
      </c>
      <c r="G627" t="e">
        <f t="shared" si="36"/>
        <v>#NUM!</v>
      </c>
      <c r="H627">
        <f t="shared" si="37"/>
        <v>-2.0468002149076896</v>
      </c>
      <c r="I627">
        <f t="shared" si="38"/>
        <v>-1.5372538702331813</v>
      </c>
      <c r="K627" t="e">
        <f t="shared" si="39"/>
        <v>#NUM!</v>
      </c>
    </row>
    <row r="628" spans="1:11">
      <c r="A628">
        <v>626</v>
      </c>
      <c r="B628">
        <v>35</v>
      </c>
      <c r="C628">
        <v>0</v>
      </c>
      <c r="D628">
        <v>0</v>
      </c>
      <c r="E628">
        <v>0</v>
      </c>
      <c r="G628" t="e">
        <f t="shared" si="36"/>
        <v>#NUM!</v>
      </c>
      <c r="H628" t="e">
        <f t="shared" si="37"/>
        <v>#NUM!</v>
      </c>
      <c r="I628" t="e">
        <f t="shared" si="38"/>
        <v>#NUM!</v>
      </c>
      <c r="K628" t="e">
        <f t="shared" si="39"/>
        <v>#NUM!</v>
      </c>
    </row>
    <row r="629" spans="1:11">
      <c r="A629">
        <v>627</v>
      </c>
      <c r="B629">
        <v>41</v>
      </c>
      <c r="C629">
        <v>0</v>
      </c>
      <c r="D629">
        <v>0</v>
      </c>
      <c r="E629">
        <v>1</v>
      </c>
      <c r="G629" t="e">
        <f t="shared" si="36"/>
        <v>#NUM!</v>
      </c>
      <c r="H629" t="e">
        <f t="shared" si="37"/>
        <v>#NUM!</v>
      </c>
      <c r="I629">
        <f t="shared" si="38"/>
        <v>-1.5302489686645229</v>
      </c>
      <c r="K629" t="e">
        <f t="shared" si="39"/>
        <v>#NUM!</v>
      </c>
    </row>
    <row r="630" spans="1:11">
      <c r="A630">
        <v>628</v>
      </c>
      <c r="B630">
        <v>55</v>
      </c>
      <c r="C630">
        <v>0</v>
      </c>
      <c r="D630">
        <v>1</v>
      </c>
      <c r="E630">
        <v>0</v>
      </c>
      <c r="G630" t="e">
        <f t="shared" si="36"/>
        <v>#NUM!</v>
      </c>
      <c r="H630">
        <f t="shared" si="37"/>
        <v>-1.6902528913938775</v>
      </c>
      <c r="I630" t="e">
        <f t="shared" si="38"/>
        <v>#NUM!</v>
      </c>
      <c r="K630" t="e">
        <f t="shared" si="39"/>
        <v>#NUM!</v>
      </c>
    </row>
    <row r="631" spans="1:11">
      <c r="A631">
        <v>629</v>
      </c>
      <c r="B631">
        <v>114</v>
      </c>
      <c r="C631">
        <v>162</v>
      </c>
      <c r="D631">
        <v>192</v>
      </c>
      <c r="E631">
        <v>163</v>
      </c>
      <c r="G631">
        <f t="shared" si="36"/>
        <v>0.21862996319581235</v>
      </c>
      <c r="H631">
        <f t="shared" si="37"/>
        <v>0.27650617546744349</v>
      </c>
      <c r="I631">
        <f t="shared" si="38"/>
        <v>0.23781764112269788</v>
      </c>
      <c r="K631">
        <f t="shared" si="39"/>
        <v>0.24431792659531792</v>
      </c>
    </row>
    <row r="632" spans="1:11">
      <c r="A632">
        <v>630</v>
      </c>
      <c r="B632">
        <v>76</v>
      </c>
      <c r="C632">
        <v>2</v>
      </c>
      <c r="D632">
        <v>1</v>
      </c>
      <c r="E632">
        <v>5</v>
      </c>
      <c r="G632">
        <f t="shared" si="36"/>
        <v>-1.5137637966271562</v>
      </c>
      <c r="H632">
        <f t="shared" si="37"/>
        <v>-1.8307037941804249</v>
      </c>
      <c r="I632">
        <f t="shared" si="38"/>
        <v>-1.09930869988956</v>
      </c>
      <c r="K632">
        <f t="shared" si="39"/>
        <v>-1.481258763565714</v>
      </c>
    </row>
    <row r="633" spans="1:11">
      <c r="A633">
        <v>631</v>
      </c>
      <c r="B633">
        <v>165</v>
      </c>
      <c r="C633">
        <v>12</v>
      </c>
      <c r="D633">
        <v>10</v>
      </c>
      <c r="E633">
        <v>13</v>
      </c>
      <c r="G633">
        <f t="shared" si="36"/>
        <v>-1.0722828981766275</v>
      </c>
      <c r="H633">
        <f t="shared" si="37"/>
        <v>-1.1673741461135398</v>
      </c>
      <c r="I633">
        <f t="shared" si="38"/>
        <v>-1.021005703851857</v>
      </c>
      <c r="K633">
        <f t="shared" si="39"/>
        <v>-1.0868875827140081</v>
      </c>
    </row>
    <row r="634" spans="1:11">
      <c r="A634">
        <v>632</v>
      </c>
      <c r="B634">
        <v>152</v>
      </c>
      <c r="C634">
        <v>5</v>
      </c>
      <c r="D634">
        <v>4</v>
      </c>
      <c r="E634">
        <v>3</v>
      </c>
      <c r="G634">
        <f t="shared" si="36"/>
        <v>-1.4168537836191</v>
      </c>
      <c r="H634">
        <f t="shared" si="37"/>
        <v>-1.5296737985164437</v>
      </c>
      <c r="I634">
        <f t="shared" si="38"/>
        <v>-1.6221874451698977</v>
      </c>
      <c r="K634">
        <f t="shared" si="39"/>
        <v>-1.5229050091018139</v>
      </c>
    </row>
    <row r="635" spans="1:11">
      <c r="A635">
        <v>633</v>
      </c>
      <c r="B635">
        <v>82</v>
      </c>
      <c r="C635">
        <v>24</v>
      </c>
      <c r="D635">
        <v>31</v>
      </c>
      <c r="E635">
        <v>11</v>
      </c>
      <c r="G635">
        <f t="shared" si="36"/>
        <v>-0.46758281068245666</v>
      </c>
      <c r="H635">
        <f t="shared" si="37"/>
        <v>-0.37234236044907754</v>
      </c>
      <c r="I635">
        <f t="shared" si="38"/>
        <v>-0.78988627917027887</v>
      </c>
      <c r="K635">
        <f t="shared" si="39"/>
        <v>-0.54327048343393769</v>
      </c>
    </row>
    <row r="636" spans="1:11">
      <c r="A636">
        <v>634</v>
      </c>
      <c r="B636">
        <v>21</v>
      </c>
      <c r="C636">
        <v>0</v>
      </c>
      <c r="D636">
        <v>0</v>
      </c>
      <c r="E636">
        <v>0</v>
      </c>
      <c r="G636" t="e">
        <f t="shared" si="36"/>
        <v>#NUM!</v>
      </c>
      <c r="H636" t="e">
        <f t="shared" si="37"/>
        <v>#NUM!</v>
      </c>
      <c r="I636" t="e">
        <f t="shared" si="38"/>
        <v>#NUM!</v>
      </c>
      <c r="K636" t="e">
        <f t="shared" si="39"/>
        <v>#NUM!</v>
      </c>
    </row>
    <row r="637" spans="1:11">
      <c r="A637">
        <v>635</v>
      </c>
      <c r="B637">
        <v>23</v>
      </c>
      <c r="C637">
        <v>1</v>
      </c>
      <c r="D637">
        <v>1</v>
      </c>
      <c r="E637">
        <v>2</v>
      </c>
      <c r="G637">
        <f t="shared" si="36"/>
        <v>-1.2957080360279389</v>
      </c>
      <c r="H637">
        <f t="shared" si="37"/>
        <v>-1.3116180379172264</v>
      </c>
      <c r="I637">
        <f t="shared" si="38"/>
        <v>-0.97816295229839889</v>
      </c>
      <c r="K637">
        <f t="shared" si="39"/>
        <v>-1.1951630087478546</v>
      </c>
    </row>
    <row r="638" spans="1:11">
      <c r="A638">
        <v>636</v>
      </c>
      <c r="B638">
        <v>168</v>
      </c>
      <c r="C638">
        <v>1</v>
      </c>
      <c r="D638">
        <v>1</v>
      </c>
      <c r="E638">
        <v>3</v>
      </c>
      <c r="G638">
        <f t="shared" si="36"/>
        <v>-2.1592894817362089</v>
      </c>
      <c r="H638">
        <f t="shared" si="37"/>
        <v>-2.1751994836254962</v>
      </c>
      <c r="I638">
        <f t="shared" si="38"/>
        <v>-1.6656531389509879</v>
      </c>
      <c r="K638">
        <f t="shared" si="39"/>
        <v>-2.0000473681042314</v>
      </c>
    </row>
    <row r="639" spans="1:11">
      <c r="A639">
        <v>637</v>
      </c>
      <c r="B639">
        <v>2</v>
      </c>
      <c r="C639">
        <v>0</v>
      </c>
      <c r="D639">
        <v>0</v>
      </c>
      <c r="E639">
        <v>0</v>
      </c>
      <c r="G639" t="e">
        <f t="shared" si="36"/>
        <v>#NUM!</v>
      </c>
      <c r="H639" t="e">
        <f t="shared" si="37"/>
        <v>#NUM!</v>
      </c>
      <c r="I639" t="e">
        <f t="shared" si="38"/>
        <v>#NUM!</v>
      </c>
      <c r="K639" t="e">
        <f t="shared" si="39"/>
        <v>#NUM!</v>
      </c>
    </row>
    <row r="640" spans="1:11">
      <c r="A640">
        <v>638</v>
      </c>
      <c r="B640">
        <v>65</v>
      </c>
      <c r="C640">
        <v>0</v>
      </c>
      <c r="D640">
        <v>1</v>
      </c>
      <c r="E640">
        <v>2</v>
      </c>
      <c r="G640" t="e">
        <f t="shared" si="36"/>
        <v>#NUM!</v>
      </c>
      <c r="H640">
        <f t="shared" si="37"/>
        <v>-1.762803558542489</v>
      </c>
      <c r="I640">
        <f t="shared" si="38"/>
        <v>-1.4293484729236619</v>
      </c>
      <c r="K640" t="e">
        <f t="shared" si="39"/>
        <v>#NUM!</v>
      </c>
    </row>
    <row r="641" spans="1:11">
      <c r="A641">
        <v>639</v>
      </c>
      <c r="B641">
        <v>8</v>
      </c>
      <c r="C641">
        <v>0</v>
      </c>
      <c r="D641">
        <v>0</v>
      </c>
      <c r="E641">
        <v>0</v>
      </c>
      <c r="G641" t="e">
        <f t="shared" si="36"/>
        <v>#NUM!</v>
      </c>
      <c r="H641" t="e">
        <f t="shared" si="37"/>
        <v>#NUM!</v>
      </c>
      <c r="I641" t="e">
        <f t="shared" si="38"/>
        <v>#NUM!</v>
      </c>
      <c r="K641" t="e">
        <f t="shared" si="39"/>
        <v>#NUM!</v>
      </c>
    </row>
    <row r="642" spans="1:11">
      <c r="A642">
        <v>640</v>
      </c>
      <c r="B642">
        <v>14</v>
      </c>
      <c r="C642">
        <v>0</v>
      </c>
      <c r="D642">
        <v>0</v>
      </c>
      <c r="E642">
        <v>0</v>
      </c>
      <c r="G642" t="e">
        <f t="shared" si="36"/>
        <v>#NUM!</v>
      </c>
      <c r="H642" t="e">
        <f t="shared" si="37"/>
        <v>#NUM!</v>
      </c>
      <c r="I642" t="e">
        <f t="shared" si="38"/>
        <v>#NUM!</v>
      </c>
      <c r="K642" t="e">
        <f t="shared" si="39"/>
        <v>#NUM!</v>
      </c>
    </row>
    <row r="643" spans="1:11">
      <c r="A643">
        <v>641</v>
      </c>
      <c r="B643">
        <v>162</v>
      </c>
      <c r="C643">
        <v>0</v>
      </c>
      <c r="D643">
        <v>0</v>
      </c>
      <c r="E643">
        <v>2</v>
      </c>
      <c r="G643" t="e">
        <f t="shared" ref="G643:G706" si="40">LOG10(C643/B643)-LOG10(134/156)</f>
        <v>#NUM!</v>
      </c>
      <c r="H643" t="e">
        <f t="shared" ref="H643:H706" si="41">LOG10(D643/B643)-LOG10(139/156)</f>
        <v>#NUM!</v>
      </c>
      <c r="I643">
        <f t="shared" ref="I643:I706" si="42">LOG10(E643/B643)-LOG10(129/156)</f>
        <v>-1.8259501308234372</v>
      </c>
      <c r="K643" t="e">
        <f t="shared" ref="K643:K706" si="43">AVERAGE(G643:I643)</f>
        <v>#NUM!</v>
      </c>
    </row>
    <row r="644" spans="1:11">
      <c r="A644">
        <v>642</v>
      </c>
      <c r="B644">
        <v>98</v>
      </c>
      <c r="C644">
        <v>0</v>
      </c>
      <c r="D644">
        <v>0</v>
      </c>
      <c r="E644">
        <v>1</v>
      </c>
      <c r="G644" t="e">
        <f t="shared" si="40"/>
        <v>#NUM!</v>
      </c>
      <c r="H644" t="e">
        <f t="shared" si="41"/>
        <v>#NUM!</v>
      </c>
      <c r="I644">
        <f t="shared" si="42"/>
        <v>-1.9086911876372823</v>
      </c>
      <c r="K644" t="e">
        <f t="shared" si="43"/>
        <v>#NUM!</v>
      </c>
    </row>
    <row r="645" spans="1:11">
      <c r="A645">
        <v>643</v>
      </c>
      <c r="B645">
        <v>63</v>
      </c>
      <c r="C645">
        <v>1</v>
      </c>
      <c r="D645">
        <v>1</v>
      </c>
      <c r="E645">
        <v>1</v>
      </c>
      <c r="G645">
        <f t="shared" si="40"/>
        <v>-1.7333207494639278</v>
      </c>
      <c r="H645">
        <f t="shared" si="41"/>
        <v>-1.7492307513532153</v>
      </c>
      <c r="I645">
        <f t="shared" si="42"/>
        <v>-1.7168056613983691</v>
      </c>
      <c r="K645">
        <f t="shared" si="43"/>
        <v>-1.7331190540718373</v>
      </c>
    </row>
    <row r="646" spans="1:11">
      <c r="A646">
        <v>644</v>
      </c>
      <c r="B646">
        <v>55</v>
      </c>
      <c r="C646">
        <v>3</v>
      </c>
      <c r="D646">
        <v>0</v>
      </c>
      <c r="E646">
        <v>2</v>
      </c>
      <c r="G646">
        <f t="shared" si="40"/>
        <v>-1.1972216347849276</v>
      </c>
      <c r="H646" t="e">
        <f t="shared" si="41"/>
        <v>#NUM!</v>
      </c>
      <c r="I646">
        <f t="shared" si="42"/>
        <v>-1.35679780577505</v>
      </c>
      <c r="K646" t="e">
        <f t="shared" si="43"/>
        <v>#NUM!</v>
      </c>
    </row>
    <row r="647" spans="1:11">
      <c r="A647">
        <v>645</v>
      </c>
      <c r="B647">
        <v>61</v>
      </c>
      <c r="C647">
        <v>0</v>
      </c>
      <c r="D647">
        <v>4</v>
      </c>
      <c r="E647">
        <v>0</v>
      </c>
      <c r="G647" t="e">
        <f t="shared" si="40"/>
        <v>#NUM!</v>
      </c>
      <c r="H647">
        <f t="shared" si="41"/>
        <v>-1.1331600455824382</v>
      </c>
      <c r="I647" t="e">
        <f t="shared" si="42"/>
        <v>#NUM!</v>
      </c>
      <c r="K647" t="e">
        <f t="shared" si="43"/>
        <v>#NUM!</v>
      </c>
    </row>
    <row r="648" spans="1:11">
      <c r="A648">
        <v>646</v>
      </c>
      <c r="B648">
        <v>55</v>
      </c>
      <c r="C648">
        <v>2</v>
      </c>
      <c r="D648">
        <v>0</v>
      </c>
      <c r="E648">
        <v>3</v>
      </c>
      <c r="G648">
        <f t="shared" si="40"/>
        <v>-1.3733128938406087</v>
      </c>
      <c r="H648" t="e">
        <f t="shared" si="41"/>
        <v>#NUM!</v>
      </c>
      <c r="I648">
        <f t="shared" si="42"/>
        <v>-1.1807065467193689</v>
      </c>
      <c r="K648" t="e">
        <f t="shared" si="43"/>
        <v>#NUM!</v>
      </c>
    </row>
    <row r="649" spans="1:11">
      <c r="A649">
        <v>647</v>
      </c>
      <c r="B649">
        <v>30</v>
      </c>
      <c r="C649">
        <v>1</v>
      </c>
      <c r="D649">
        <v>1</v>
      </c>
      <c r="E649">
        <v>0</v>
      </c>
      <c r="G649">
        <f t="shared" si="40"/>
        <v>-1.4111014547300085</v>
      </c>
      <c r="H649">
        <f t="shared" si="41"/>
        <v>-1.427011456619296</v>
      </c>
      <c r="I649" t="e">
        <f t="shared" si="42"/>
        <v>#NUM!</v>
      </c>
      <c r="K649" t="e">
        <f t="shared" si="43"/>
        <v>#NUM!</v>
      </c>
    </row>
    <row r="650" spans="1:11">
      <c r="A650">
        <v>648</v>
      </c>
      <c r="B650">
        <v>62</v>
      </c>
      <c r="C650">
        <v>0</v>
      </c>
      <c r="D650">
        <v>0</v>
      </c>
      <c r="E650">
        <v>0</v>
      </c>
      <c r="G650" t="e">
        <f t="shared" si="40"/>
        <v>#NUM!</v>
      </c>
      <c r="H650" t="e">
        <f t="shared" si="41"/>
        <v>#NUM!</v>
      </c>
      <c r="I650" t="e">
        <f t="shared" si="42"/>
        <v>#NUM!</v>
      </c>
      <c r="K650" t="e">
        <f t="shared" si="43"/>
        <v>#NUM!</v>
      </c>
    </row>
    <row r="651" spans="1:11">
      <c r="A651">
        <v>649</v>
      </c>
      <c r="B651">
        <v>20</v>
      </c>
      <c r="C651">
        <v>0</v>
      </c>
      <c r="D651">
        <v>0</v>
      </c>
      <c r="E651">
        <v>0</v>
      </c>
      <c r="G651" t="e">
        <f t="shared" si="40"/>
        <v>#NUM!</v>
      </c>
      <c r="H651" t="e">
        <f t="shared" si="41"/>
        <v>#NUM!</v>
      </c>
      <c r="I651" t="e">
        <f t="shared" si="42"/>
        <v>#NUM!</v>
      </c>
      <c r="K651" t="e">
        <f t="shared" si="43"/>
        <v>#NUM!</v>
      </c>
    </row>
    <row r="652" spans="1:11">
      <c r="A652">
        <v>650</v>
      </c>
      <c r="B652">
        <v>163</v>
      </c>
      <c r="C652">
        <v>39</v>
      </c>
      <c r="D652">
        <v>1237</v>
      </c>
      <c r="E652">
        <v>21</v>
      </c>
      <c r="G652">
        <f t="shared" si="40"/>
        <v>-0.55510319738780456</v>
      </c>
      <c r="H652">
        <f t="shared" si="41"/>
        <v>0.93029189332552942</v>
      </c>
      <c r="I652">
        <f t="shared" si="42"/>
        <v>-0.80743342161482579</v>
      </c>
      <c r="K652">
        <f t="shared" si="43"/>
        <v>-0.14408157522570031</v>
      </c>
    </row>
    <row r="653" spans="1:11">
      <c r="A653">
        <v>651</v>
      </c>
      <c r="B653">
        <v>119</v>
      </c>
      <c r="C653">
        <v>1</v>
      </c>
      <c r="D653">
        <v>2</v>
      </c>
      <c r="E653">
        <v>4</v>
      </c>
      <c r="G653">
        <f t="shared" si="40"/>
        <v>-2.0095271614028767</v>
      </c>
      <c r="H653">
        <f t="shared" si="41"/>
        <v>-1.7244071676281831</v>
      </c>
      <c r="I653">
        <f t="shared" si="42"/>
        <v>-1.3909520820093557</v>
      </c>
      <c r="K653">
        <f t="shared" si="43"/>
        <v>-1.7082954703468054</v>
      </c>
    </row>
    <row r="654" spans="1:11">
      <c r="A654">
        <v>652</v>
      </c>
      <c r="B654">
        <v>58</v>
      </c>
      <c r="C654">
        <v>3</v>
      </c>
      <c r="D654">
        <v>1</v>
      </c>
      <c r="E654">
        <v>1</v>
      </c>
      <c r="G654">
        <f t="shared" si="40"/>
        <v>-1.2202869388536211</v>
      </c>
      <c r="H654">
        <f t="shared" si="41"/>
        <v>-1.7133181954625709</v>
      </c>
      <c r="I654">
        <f t="shared" si="42"/>
        <v>-1.6808931055077247</v>
      </c>
      <c r="K654">
        <f t="shared" si="43"/>
        <v>-1.5381660799413055</v>
      </c>
    </row>
    <row r="655" spans="1:11">
      <c r="A655">
        <v>653</v>
      </c>
      <c r="B655">
        <v>58</v>
      </c>
      <c r="C655">
        <v>0</v>
      </c>
      <c r="D655">
        <v>0</v>
      </c>
      <c r="E655">
        <v>0</v>
      </c>
      <c r="G655" t="e">
        <f t="shared" si="40"/>
        <v>#NUM!</v>
      </c>
      <c r="H655" t="e">
        <f t="shared" si="41"/>
        <v>#NUM!</v>
      </c>
      <c r="I655" t="e">
        <f t="shared" si="42"/>
        <v>#NUM!</v>
      </c>
      <c r="K655" t="e">
        <f t="shared" si="43"/>
        <v>#NUM!</v>
      </c>
    </row>
    <row r="656" spans="1:11">
      <c r="A656">
        <v>654</v>
      </c>
      <c r="B656">
        <v>55</v>
      </c>
      <c r="C656">
        <v>8</v>
      </c>
      <c r="D656">
        <v>7</v>
      </c>
      <c r="E656">
        <v>2</v>
      </c>
      <c r="G656">
        <f t="shared" si="40"/>
        <v>-0.77125290251264622</v>
      </c>
      <c r="H656">
        <f t="shared" si="41"/>
        <v>-0.84515485137962054</v>
      </c>
      <c r="I656">
        <f t="shared" si="42"/>
        <v>-1.35679780577505</v>
      </c>
      <c r="K656">
        <f t="shared" si="43"/>
        <v>-0.99106851988910571</v>
      </c>
    </row>
    <row r="657" spans="1:11">
      <c r="A657">
        <v>655</v>
      </c>
      <c r="B657">
        <v>195</v>
      </c>
      <c r="C657">
        <v>2</v>
      </c>
      <c r="D657">
        <v>3</v>
      </c>
      <c r="E657">
        <v>0</v>
      </c>
      <c r="G657">
        <f t="shared" si="40"/>
        <v>-1.9229848157088829</v>
      </c>
      <c r="H657">
        <f t="shared" si="41"/>
        <v>-1.762803558542489</v>
      </c>
      <c r="I657" t="e">
        <f t="shared" si="42"/>
        <v>#NUM!</v>
      </c>
      <c r="K657" t="e">
        <f t="shared" si="43"/>
        <v>#NUM!</v>
      </c>
    </row>
    <row r="658" spans="1:11">
      <c r="A658">
        <v>656</v>
      </c>
      <c r="B658">
        <v>41</v>
      </c>
      <c r="C658">
        <v>480</v>
      </c>
      <c r="D658">
        <v>341</v>
      </c>
      <c r="E658">
        <v>256</v>
      </c>
      <c r="G658">
        <f t="shared" si="40"/>
        <v>1.1344771806455056</v>
      </c>
      <c r="H658">
        <f t="shared" si="41"/>
        <v>0.97008032037312875</v>
      </c>
      <c r="I658">
        <f t="shared" si="42"/>
        <v>0.87799099664732683</v>
      </c>
      <c r="K658">
        <f t="shared" si="43"/>
        <v>0.99418283255532047</v>
      </c>
    </row>
    <row r="659" spans="1:11">
      <c r="A659">
        <v>657</v>
      </c>
      <c r="B659">
        <v>24</v>
      </c>
      <c r="C659">
        <v>0</v>
      </c>
      <c r="D659">
        <v>0</v>
      </c>
      <c r="E659">
        <v>1</v>
      </c>
      <c r="G659" t="e">
        <f t="shared" si="40"/>
        <v>#NUM!</v>
      </c>
      <c r="H659" t="e">
        <f t="shared" si="41"/>
        <v>#NUM!</v>
      </c>
      <c r="I659">
        <f t="shared" si="42"/>
        <v>-1.2976763536563936</v>
      </c>
      <c r="K659" t="e">
        <f t="shared" si="43"/>
        <v>#NUM!</v>
      </c>
    </row>
    <row r="660" spans="1:11">
      <c r="A660">
        <v>658</v>
      </c>
      <c r="B660">
        <v>152</v>
      </c>
      <c r="C660">
        <v>1</v>
      </c>
      <c r="D660">
        <v>2</v>
      </c>
      <c r="E660">
        <v>2</v>
      </c>
      <c r="G660">
        <f t="shared" si="40"/>
        <v>-2.1158237879551187</v>
      </c>
      <c r="H660">
        <f t="shared" si="41"/>
        <v>-1.8307037941804249</v>
      </c>
      <c r="I660">
        <f t="shared" si="42"/>
        <v>-1.7982787042255788</v>
      </c>
      <c r="K660">
        <f t="shared" si="43"/>
        <v>-1.914935428787041</v>
      </c>
    </row>
    <row r="661" spans="1:11">
      <c r="A661">
        <v>659</v>
      </c>
      <c r="B661">
        <v>29</v>
      </c>
      <c r="C661">
        <v>0</v>
      </c>
      <c r="D661">
        <v>1</v>
      </c>
      <c r="E661">
        <v>2</v>
      </c>
      <c r="G661" t="e">
        <f t="shared" si="40"/>
        <v>#NUM!</v>
      </c>
      <c r="H661">
        <f t="shared" si="41"/>
        <v>-1.4122881997985897</v>
      </c>
      <c r="I661">
        <f t="shared" si="42"/>
        <v>-1.0788331141797622</v>
      </c>
      <c r="K661" t="e">
        <f t="shared" si="43"/>
        <v>#NUM!</v>
      </c>
    </row>
    <row r="662" spans="1:11">
      <c r="A662">
        <v>660</v>
      </c>
      <c r="B662">
        <v>193</v>
      </c>
      <c r="C662">
        <v>1</v>
      </c>
      <c r="D662">
        <v>0</v>
      </c>
      <c r="E662">
        <v>1</v>
      </c>
      <c r="G662">
        <f t="shared" si="40"/>
        <v>-2.21953750901812</v>
      </c>
      <c r="H662" t="e">
        <f t="shared" si="41"/>
        <v>#NUM!</v>
      </c>
      <c r="I662">
        <f t="shared" si="42"/>
        <v>-2.2030224209525611</v>
      </c>
      <c r="K662" t="e">
        <f t="shared" si="43"/>
        <v>#NUM!</v>
      </c>
    </row>
    <row r="663" spans="1:11">
      <c r="A663">
        <v>661</v>
      </c>
      <c r="B663">
        <v>140</v>
      </c>
      <c r="C663">
        <v>0</v>
      </c>
      <c r="D663">
        <v>1</v>
      </c>
      <c r="E663">
        <v>1</v>
      </c>
      <c r="G663" t="e">
        <f t="shared" si="40"/>
        <v>#NUM!</v>
      </c>
      <c r="H663">
        <f t="shared" si="41"/>
        <v>-2.0960182375778715</v>
      </c>
      <c r="I663">
        <f t="shared" si="42"/>
        <v>-2.0635931476230254</v>
      </c>
      <c r="K663" t="e">
        <f t="shared" si="43"/>
        <v>#NUM!</v>
      </c>
    </row>
    <row r="664" spans="1:11">
      <c r="A664">
        <v>662</v>
      </c>
      <c r="B664">
        <v>7</v>
      </c>
      <c r="C664">
        <v>0</v>
      </c>
      <c r="D664">
        <v>0</v>
      </c>
      <c r="E664">
        <v>1</v>
      </c>
      <c r="G664" t="e">
        <f t="shared" si="40"/>
        <v>#NUM!</v>
      </c>
      <c r="H664" t="e">
        <f t="shared" si="41"/>
        <v>#NUM!</v>
      </c>
      <c r="I664">
        <f t="shared" si="42"/>
        <v>-0.76256315195904412</v>
      </c>
      <c r="K664" t="e">
        <f t="shared" si="43"/>
        <v>#NUM!</v>
      </c>
    </row>
    <row r="665" spans="1:11">
      <c r="A665">
        <v>663</v>
      </c>
      <c r="B665">
        <v>59</v>
      </c>
      <c r="C665">
        <v>1</v>
      </c>
      <c r="D665">
        <v>0</v>
      </c>
      <c r="E665">
        <v>1</v>
      </c>
      <c r="G665">
        <f t="shared" si="40"/>
        <v>-1.7048322116524903</v>
      </c>
      <c r="H665" t="e">
        <f t="shared" si="41"/>
        <v>#NUM!</v>
      </c>
      <c r="I665">
        <f t="shared" si="42"/>
        <v>-1.6883171235869316</v>
      </c>
      <c r="K665" t="e">
        <f t="shared" si="43"/>
        <v>#NUM!</v>
      </c>
    </row>
    <row r="666" spans="1:11">
      <c r="A666">
        <v>664</v>
      </c>
      <c r="B666">
        <v>53</v>
      </c>
      <c r="C666">
        <v>0</v>
      </c>
      <c r="D666">
        <v>1</v>
      </c>
      <c r="E666">
        <v>0</v>
      </c>
      <c r="G666" t="e">
        <f t="shared" si="40"/>
        <v>#NUM!</v>
      </c>
      <c r="H666">
        <f t="shared" si="41"/>
        <v>-1.6741660715004227</v>
      </c>
      <c r="I666" t="e">
        <f t="shared" si="42"/>
        <v>#NUM!</v>
      </c>
      <c r="K666" t="e">
        <f t="shared" si="43"/>
        <v>#NUM!</v>
      </c>
    </row>
    <row r="667" spans="1:11">
      <c r="A667">
        <v>665</v>
      </c>
      <c r="B667">
        <v>107</v>
      </c>
      <c r="C667">
        <v>3</v>
      </c>
      <c r="D667">
        <v>2</v>
      </c>
      <c r="E667">
        <v>0</v>
      </c>
      <c r="G667">
        <f t="shared" si="40"/>
        <v>-1.4862427229758932</v>
      </c>
      <c r="H667">
        <f t="shared" si="41"/>
        <v>-1.678243983920862</v>
      </c>
      <c r="I667" t="e">
        <f t="shared" si="42"/>
        <v>#NUM!</v>
      </c>
      <c r="K667" t="e">
        <f t="shared" si="43"/>
        <v>#NUM!</v>
      </c>
    </row>
    <row r="668" spans="1:11">
      <c r="A668">
        <v>666</v>
      </c>
      <c r="B668">
        <v>69</v>
      </c>
      <c r="C668">
        <v>0</v>
      </c>
      <c r="D668">
        <v>0</v>
      </c>
      <c r="E668">
        <v>0</v>
      </c>
      <c r="G668" t="e">
        <f t="shared" si="40"/>
        <v>#NUM!</v>
      </c>
      <c r="H668" t="e">
        <f t="shared" si="41"/>
        <v>#NUM!</v>
      </c>
      <c r="I668" t="e">
        <f t="shared" si="42"/>
        <v>#NUM!</v>
      </c>
      <c r="K668" t="e">
        <f t="shared" si="43"/>
        <v>#NUM!</v>
      </c>
    </row>
    <row r="669" spans="1:11">
      <c r="A669">
        <v>667</v>
      </c>
      <c r="B669">
        <v>62</v>
      </c>
      <c r="C669">
        <v>0</v>
      </c>
      <c r="D669">
        <v>0</v>
      </c>
      <c r="E669">
        <v>0</v>
      </c>
      <c r="G669" t="e">
        <f t="shared" si="40"/>
        <v>#NUM!</v>
      </c>
      <c r="H669" t="e">
        <f t="shared" si="41"/>
        <v>#NUM!</v>
      </c>
      <c r="I669" t="e">
        <f t="shared" si="42"/>
        <v>#NUM!</v>
      </c>
      <c r="K669" t="e">
        <f t="shared" si="43"/>
        <v>#NUM!</v>
      </c>
    </row>
    <row r="670" spans="1:11">
      <c r="A670">
        <v>668</v>
      </c>
      <c r="B670">
        <v>39</v>
      </c>
      <c r="C670">
        <v>0</v>
      </c>
      <c r="D670">
        <v>0</v>
      </c>
      <c r="E670">
        <v>0</v>
      </c>
      <c r="G670" t="e">
        <f t="shared" si="40"/>
        <v>#NUM!</v>
      </c>
      <c r="H670" t="e">
        <f t="shared" si="41"/>
        <v>#NUM!</v>
      </c>
      <c r="I670" t="e">
        <f t="shared" si="42"/>
        <v>#NUM!</v>
      </c>
      <c r="K670" t="e">
        <f t="shared" si="43"/>
        <v>#NUM!</v>
      </c>
    </row>
    <row r="671" spans="1:11">
      <c r="A671">
        <v>669</v>
      </c>
      <c r="B671">
        <v>61</v>
      </c>
      <c r="C671">
        <v>0</v>
      </c>
      <c r="D671">
        <v>0</v>
      </c>
      <c r="E671">
        <v>1</v>
      </c>
      <c r="G671" t="e">
        <f t="shared" si="40"/>
        <v>#NUM!</v>
      </c>
      <c r="H671" t="e">
        <f t="shared" si="41"/>
        <v>#NUM!</v>
      </c>
      <c r="I671">
        <f t="shared" si="42"/>
        <v>-1.7027949469555543</v>
      </c>
      <c r="K671" t="e">
        <f t="shared" si="43"/>
        <v>#NUM!</v>
      </c>
    </row>
    <row r="672" spans="1:11">
      <c r="A672">
        <v>670</v>
      </c>
      <c r="B672">
        <v>14</v>
      </c>
      <c r="C672">
        <v>0</v>
      </c>
      <c r="D672">
        <v>0</v>
      </c>
      <c r="E672">
        <v>0</v>
      </c>
      <c r="G672" t="e">
        <f t="shared" si="40"/>
        <v>#NUM!</v>
      </c>
      <c r="H672" t="e">
        <f t="shared" si="41"/>
        <v>#NUM!</v>
      </c>
      <c r="I672" t="e">
        <f t="shared" si="42"/>
        <v>#NUM!</v>
      </c>
      <c r="K672" t="e">
        <f t="shared" si="43"/>
        <v>#NUM!</v>
      </c>
    </row>
    <row r="673" spans="1:11">
      <c r="A673">
        <v>671</v>
      </c>
      <c r="B673">
        <v>87</v>
      </c>
      <c r="C673">
        <v>4</v>
      </c>
      <c r="D673">
        <v>1</v>
      </c>
      <c r="E673">
        <v>0</v>
      </c>
      <c r="G673">
        <f t="shared" si="40"/>
        <v>-1.2714394613010023</v>
      </c>
      <c r="H673">
        <f t="shared" si="41"/>
        <v>-1.889409454518252</v>
      </c>
      <c r="I673" t="e">
        <f t="shared" si="42"/>
        <v>#NUM!</v>
      </c>
      <c r="K673" t="e">
        <f t="shared" si="43"/>
        <v>#NUM!</v>
      </c>
    </row>
    <row r="674" spans="1:11">
      <c r="A674">
        <v>672</v>
      </c>
      <c r="B674">
        <v>8</v>
      </c>
      <c r="C674">
        <v>0</v>
      </c>
      <c r="D674">
        <v>0</v>
      </c>
      <c r="E674">
        <v>0</v>
      </c>
      <c r="G674" t="e">
        <f t="shared" si="40"/>
        <v>#NUM!</v>
      </c>
      <c r="H674" t="e">
        <f t="shared" si="41"/>
        <v>#NUM!</v>
      </c>
      <c r="I674" t="e">
        <f t="shared" si="42"/>
        <v>#NUM!</v>
      </c>
      <c r="K674" t="e">
        <f t="shared" si="43"/>
        <v>#NUM!</v>
      </c>
    </row>
    <row r="675" spans="1:11">
      <c r="A675">
        <v>673</v>
      </c>
      <c r="B675">
        <v>61</v>
      </c>
      <c r="C675">
        <v>0</v>
      </c>
      <c r="D675">
        <v>0</v>
      </c>
      <c r="E675">
        <v>0</v>
      </c>
      <c r="G675" t="e">
        <f t="shared" si="40"/>
        <v>#NUM!</v>
      </c>
      <c r="H675" t="e">
        <f t="shared" si="41"/>
        <v>#NUM!</v>
      </c>
      <c r="I675" t="e">
        <f t="shared" si="42"/>
        <v>#NUM!</v>
      </c>
      <c r="K675" t="e">
        <f t="shared" si="43"/>
        <v>#NUM!</v>
      </c>
    </row>
    <row r="676" spans="1:11">
      <c r="A676">
        <v>674</v>
      </c>
      <c r="B676">
        <v>122</v>
      </c>
      <c r="C676">
        <v>0</v>
      </c>
      <c r="D676">
        <v>1</v>
      </c>
      <c r="E676">
        <v>3</v>
      </c>
      <c r="G676" t="e">
        <f t="shared" si="40"/>
        <v>#NUM!</v>
      </c>
      <c r="H676">
        <f t="shared" si="41"/>
        <v>-2.0362500325743818</v>
      </c>
      <c r="I676">
        <f t="shared" si="42"/>
        <v>-1.5267036878998732</v>
      </c>
      <c r="K676" t="e">
        <f t="shared" si="43"/>
        <v>#NUM!</v>
      </c>
    </row>
    <row r="677" spans="1:11">
      <c r="A677">
        <v>675</v>
      </c>
      <c r="B677">
        <v>40</v>
      </c>
      <c r="C677">
        <v>0</v>
      </c>
      <c r="D677">
        <v>1</v>
      </c>
      <c r="E677">
        <v>0</v>
      </c>
      <c r="G677" t="e">
        <f t="shared" si="40"/>
        <v>#NUM!</v>
      </c>
      <c r="H677">
        <f t="shared" si="41"/>
        <v>-1.5519501932275959</v>
      </c>
      <c r="I677" t="e">
        <f t="shared" si="42"/>
        <v>#NUM!</v>
      </c>
      <c r="K677" t="e">
        <f t="shared" si="43"/>
        <v>#NUM!</v>
      </c>
    </row>
    <row r="678" spans="1:11">
      <c r="A678">
        <v>676</v>
      </c>
      <c r="B678">
        <v>93</v>
      </c>
      <c r="C678">
        <v>0</v>
      </c>
      <c r="D678">
        <v>0</v>
      </c>
      <c r="E678">
        <v>0</v>
      </c>
      <c r="G678" t="e">
        <f t="shared" si="40"/>
        <v>#NUM!</v>
      </c>
      <c r="H678" t="e">
        <f t="shared" si="41"/>
        <v>#NUM!</v>
      </c>
      <c r="I678" t="e">
        <f t="shared" si="42"/>
        <v>#NUM!</v>
      </c>
      <c r="K678" t="e">
        <f t="shared" si="43"/>
        <v>#NUM!</v>
      </c>
    </row>
    <row r="679" spans="1:11">
      <c r="A679">
        <v>677</v>
      </c>
      <c r="B679">
        <v>67</v>
      </c>
      <c r="C679">
        <v>1</v>
      </c>
      <c r="D679">
        <v>5</v>
      </c>
      <c r="E679">
        <v>13</v>
      </c>
      <c r="G679">
        <f t="shared" si="40"/>
        <v>-1.7600550027111725</v>
      </c>
      <c r="H679">
        <f t="shared" si="41"/>
        <v>-1.0769950002644413</v>
      </c>
      <c r="I679">
        <f t="shared" si="42"/>
        <v>-0.62959656233877692</v>
      </c>
      <c r="K679">
        <f t="shared" si="43"/>
        <v>-1.155548855104797</v>
      </c>
    </row>
    <row r="680" spans="1:11">
      <c r="A680">
        <v>678</v>
      </c>
      <c r="B680">
        <v>138</v>
      </c>
      <c r="C680">
        <v>1</v>
      </c>
      <c r="D680">
        <v>2</v>
      </c>
      <c r="E680">
        <v>5</v>
      </c>
      <c r="G680">
        <f t="shared" si="40"/>
        <v>-2.0738592864115826</v>
      </c>
      <c r="H680">
        <f t="shared" si="41"/>
        <v>-1.7887392926368888</v>
      </c>
      <c r="I680">
        <f t="shared" si="42"/>
        <v>-1.3583741940100051</v>
      </c>
      <c r="K680">
        <f t="shared" si="43"/>
        <v>-1.7403242576861588</v>
      </c>
    </row>
    <row r="681" spans="1:11">
      <c r="A681">
        <v>679</v>
      </c>
      <c r="B681">
        <v>32</v>
      </c>
      <c r="C681">
        <v>0</v>
      </c>
      <c r="D681">
        <v>0</v>
      </c>
      <c r="E681">
        <v>0</v>
      </c>
      <c r="G681" t="e">
        <f t="shared" si="40"/>
        <v>#NUM!</v>
      </c>
      <c r="H681" t="e">
        <f t="shared" si="41"/>
        <v>#NUM!</v>
      </c>
      <c r="I681" t="e">
        <f t="shared" si="42"/>
        <v>#NUM!</v>
      </c>
      <c r="K681" t="e">
        <f t="shared" si="43"/>
        <v>#NUM!</v>
      </c>
    </row>
    <row r="682" spans="1:11">
      <c r="A682">
        <v>680</v>
      </c>
      <c r="B682">
        <v>5</v>
      </c>
      <c r="C682">
        <v>0</v>
      </c>
      <c r="D682">
        <v>0</v>
      </c>
      <c r="E682">
        <v>0</v>
      </c>
      <c r="G682" t="e">
        <f t="shared" si="40"/>
        <v>#NUM!</v>
      </c>
      <c r="H682" t="e">
        <f t="shared" si="41"/>
        <v>#NUM!</v>
      </c>
      <c r="I682" t="e">
        <f t="shared" si="42"/>
        <v>#NUM!</v>
      </c>
      <c r="K682" t="e">
        <f t="shared" si="43"/>
        <v>#NUM!</v>
      </c>
    </row>
    <row r="683" spans="1:11">
      <c r="A683">
        <v>681</v>
      </c>
      <c r="B683">
        <v>16</v>
      </c>
      <c r="C683">
        <v>0</v>
      </c>
      <c r="D683">
        <v>1</v>
      </c>
      <c r="E683">
        <v>0</v>
      </c>
      <c r="G683" t="e">
        <f t="shared" si="40"/>
        <v>#NUM!</v>
      </c>
      <c r="H683">
        <f t="shared" si="41"/>
        <v>-1.1540101845555584</v>
      </c>
      <c r="I683" t="e">
        <f t="shared" si="42"/>
        <v>#NUM!</v>
      </c>
      <c r="K683" t="e">
        <f t="shared" si="43"/>
        <v>#NUM!</v>
      </c>
    </row>
    <row r="684" spans="1:11">
      <c r="A684">
        <v>682</v>
      </c>
      <c r="B684">
        <v>41</v>
      </c>
      <c r="C684">
        <v>1</v>
      </c>
      <c r="D684">
        <v>1</v>
      </c>
      <c r="E684">
        <v>0</v>
      </c>
      <c r="G684">
        <f t="shared" si="40"/>
        <v>-1.5467640567300815</v>
      </c>
      <c r="H684">
        <f t="shared" si="41"/>
        <v>-1.562674058619369</v>
      </c>
      <c r="I684" t="e">
        <f t="shared" si="42"/>
        <v>#NUM!</v>
      </c>
      <c r="K684" t="e">
        <f t="shared" si="43"/>
        <v>#NUM!</v>
      </c>
    </row>
    <row r="685" spans="1:11">
      <c r="A685">
        <v>683</v>
      </c>
      <c r="B685">
        <v>14</v>
      </c>
      <c r="C685">
        <v>0</v>
      </c>
      <c r="D685">
        <v>0</v>
      </c>
      <c r="E685">
        <v>0</v>
      </c>
      <c r="G685" t="e">
        <f t="shared" si="40"/>
        <v>#NUM!</v>
      </c>
      <c r="H685" t="e">
        <f t="shared" si="41"/>
        <v>#NUM!</v>
      </c>
      <c r="I685" t="e">
        <f t="shared" si="42"/>
        <v>#NUM!</v>
      </c>
      <c r="K685" t="e">
        <f t="shared" si="43"/>
        <v>#NUM!</v>
      </c>
    </row>
    <row r="686" spans="1:11">
      <c r="A686">
        <v>684</v>
      </c>
      <c r="B686">
        <v>60</v>
      </c>
      <c r="C686">
        <v>1</v>
      </c>
      <c r="D686">
        <v>0</v>
      </c>
      <c r="E686">
        <v>0</v>
      </c>
      <c r="G686">
        <f t="shared" si="40"/>
        <v>-1.7121314503939897</v>
      </c>
      <c r="H686" t="e">
        <f t="shared" si="41"/>
        <v>#NUM!</v>
      </c>
      <c r="I686" t="e">
        <f t="shared" si="42"/>
        <v>#NUM!</v>
      </c>
      <c r="K686" t="e">
        <f t="shared" si="43"/>
        <v>#NUM!</v>
      </c>
    </row>
    <row r="687" spans="1:11">
      <c r="A687">
        <v>685</v>
      </c>
      <c r="B687">
        <v>79</v>
      </c>
      <c r="C687">
        <v>0</v>
      </c>
      <c r="D687">
        <v>0</v>
      </c>
      <c r="E687">
        <v>0</v>
      </c>
      <c r="G687" t="e">
        <f t="shared" si="40"/>
        <v>#NUM!</v>
      </c>
      <c r="H687" t="e">
        <f t="shared" si="41"/>
        <v>#NUM!</v>
      </c>
      <c r="I687" t="e">
        <f t="shared" si="42"/>
        <v>#NUM!</v>
      </c>
      <c r="K687" t="e">
        <f t="shared" si="43"/>
        <v>#NUM!</v>
      </c>
    </row>
    <row r="688" spans="1:11">
      <c r="A688">
        <v>686</v>
      </c>
      <c r="B688">
        <v>47</v>
      </c>
      <c r="C688">
        <v>0</v>
      </c>
      <c r="D688">
        <v>0</v>
      </c>
      <c r="E688">
        <v>1</v>
      </c>
      <c r="G688" t="e">
        <f t="shared" si="40"/>
        <v>#NUM!</v>
      </c>
      <c r="H688" t="e">
        <f t="shared" si="41"/>
        <v>#NUM!</v>
      </c>
      <c r="I688">
        <f t="shared" si="42"/>
        <v>-1.5895629698805049</v>
      </c>
      <c r="K688" t="e">
        <f t="shared" si="43"/>
        <v>#NUM!</v>
      </c>
    </row>
    <row r="689" spans="1:11">
      <c r="A689">
        <v>687</v>
      </c>
      <c r="B689">
        <v>23</v>
      </c>
      <c r="C689">
        <v>0</v>
      </c>
      <c r="D689">
        <v>0</v>
      </c>
      <c r="E689">
        <v>2</v>
      </c>
      <c r="G689" t="e">
        <f t="shared" si="40"/>
        <v>#NUM!</v>
      </c>
      <c r="H689" t="e">
        <f t="shared" si="41"/>
        <v>#NUM!</v>
      </c>
      <c r="I689">
        <f t="shared" si="42"/>
        <v>-0.97816295229839889</v>
      </c>
      <c r="K689" t="e">
        <f t="shared" si="43"/>
        <v>#NUM!</v>
      </c>
    </row>
    <row r="690" spans="1:11">
      <c r="A690">
        <v>688</v>
      </c>
      <c r="B690">
        <v>134</v>
      </c>
      <c r="C690">
        <v>24</v>
      </c>
      <c r="D690">
        <v>91</v>
      </c>
      <c r="E690">
        <v>18</v>
      </c>
      <c r="G690">
        <f t="shared" si="40"/>
        <v>-0.68087375666354766</v>
      </c>
      <c r="H690">
        <f t="shared" si="41"/>
        <v>-0.11795360794334757</v>
      </c>
      <c r="I690">
        <f t="shared" si="42"/>
        <v>-0.78929740520628888</v>
      </c>
      <c r="K690">
        <f t="shared" si="43"/>
        <v>-0.52937492327106128</v>
      </c>
    </row>
    <row r="691" spans="1:11">
      <c r="A691">
        <v>689</v>
      </c>
      <c r="B691">
        <v>12</v>
      </c>
      <c r="C691">
        <v>1</v>
      </c>
      <c r="D691">
        <v>0</v>
      </c>
      <c r="E691">
        <v>0</v>
      </c>
      <c r="G691">
        <f t="shared" si="40"/>
        <v>-1.013161446057971</v>
      </c>
      <c r="H691" t="e">
        <f t="shared" si="41"/>
        <v>#NUM!</v>
      </c>
      <c r="I691" t="e">
        <f t="shared" si="42"/>
        <v>#NUM!</v>
      </c>
      <c r="K691" t="e">
        <f t="shared" si="43"/>
        <v>#NUM!</v>
      </c>
    </row>
    <row r="692" spans="1:11">
      <c r="A692">
        <v>690</v>
      </c>
      <c r="B692">
        <v>109</v>
      </c>
      <c r="C692">
        <v>2</v>
      </c>
      <c r="D692">
        <v>1</v>
      </c>
      <c r="E692">
        <v>0</v>
      </c>
      <c r="G692">
        <f t="shared" si="40"/>
        <v>-1.6703767022869884</v>
      </c>
      <c r="H692">
        <f t="shared" si="41"/>
        <v>-1.9873166998402574</v>
      </c>
      <c r="I692" t="e">
        <f t="shared" si="42"/>
        <v>#NUM!</v>
      </c>
      <c r="K692" t="e">
        <f t="shared" si="43"/>
        <v>#NUM!</v>
      </c>
    </row>
    <row r="693" spans="1:11">
      <c r="A693">
        <v>691</v>
      </c>
      <c r="B693">
        <v>102</v>
      </c>
      <c r="C693">
        <v>0</v>
      </c>
      <c r="D693">
        <v>0</v>
      </c>
      <c r="E693">
        <v>1</v>
      </c>
      <c r="G693" t="e">
        <f t="shared" si="40"/>
        <v>#NUM!</v>
      </c>
      <c r="H693" t="e">
        <f t="shared" si="41"/>
        <v>#NUM!</v>
      </c>
      <c r="I693">
        <f t="shared" si="42"/>
        <v>-1.9260652837067049</v>
      </c>
      <c r="K693" t="e">
        <f t="shared" si="43"/>
        <v>#NUM!</v>
      </c>
    </row>
    <row r="694" spans="1:11">
      <c r="A694">
        <v>692</v>
      </c>
      <c r="B694">
        <v>25</v>
      </c>
      <c r="C694">
        <v>2</v>
      </c>
      <c r="D694">
        <v>0</v>
      </c>
      <c r="E694">
        <v>0</v>
      </c>
      <c r="G694">
        <f t="shared" si="40"/>
        <v>-1.0308902130184026</v>
      </c>
      <c r="H694" t="e">
        <f t="shared" si="41"/>
        <v>#NUM!</v>
      </c>
      <c r="I694" t="e">
        <f t="shared" si="42"/>
        <v>#NUM!</v>
      </c>
      <c r="K694" t="e">
        <f t="shared" si="43"/>
        <v>#NUM!</v>
      </c>
    </row>
    <row r="695" spans="1:11">
      <c r="A695">
        <v>693</v>
      </c>
      <c r="B695">
        <v>10</v>
      </c>
      <c r="C695">
        <v>0</v>
      </c>
      <c r="D695">
        <v>0</v>
      </c>
      <c r="E695">
        <v>0</v>
      </c>
      <c r="G695" t="e">
        <f t="shared" si="40"/>
        <v>#NUM!</v>
      </c>
      <c r="H695" t="e">
        <f t="shared" si="41"/>
        <v>#NUM!</v>
      </c>
      <c r="I695" t="e">
        <f t="shared" si="42"/>
        <v>#NUM!</v>
      </c>
      <c r="K695" t="e">
        <f t="shared" si="43"/>
        <v>#NUM!</v>
      </c>
    </row>
    <row r="696" spans="1:11">
      <c r="A696">
        <v>694</v>
      </c>
      <c r="B696">
        <v>167</v>
      </c>
      <c r="C696">
        <v>1</v>
      </c>
      <c r="D696">
        <v>0</v>
      </c>
      <c r="E696">
        <v>0</v>
      </c>
      <c r="G696">
        <f t="shared" si="40"/>
        <v>-2.1566966711579294</v>
      </c>
      <c r="H696" t="e">
        <f t="shared" si="41"/>
        <v>#NUM!</v>
      </c>
      <c r="I696" t="e">
        <f t="shared" si="42"/>
        <v>#NUM!</v>
      </c>
      <c r="K696" t="e">
        <f t="shared" si="43"/>
        <v>#NUM!</v>
      </c>
    </row>
    <row r="697" spans="1:11">
      <c r="A697">
        <v>695</v>
      </c>
      <c r="B697">
        <v>122</v>
      </c>
      <c r="C697">
        <v>0</v>
      </c>
      <c r="D697">
        <v>3</v>
      </c>
      <c r="E697">
        <v>0</v>
      </c>
      <c r="G697" t="e">
        <f t="shared" si="40"/>
        <v>#NUM!</v>
      </c>
      <c r="H697">
        <f t="shared" si="41"/>
        <v>-1.5591287778547194</v>
      </c>
      <c r="I697" t="e">
        <f t="shared" si="42"/>
        <v>#NUM!</v>
      </c>
      <c r="K697" t="e">
        <f t="shared" si="43"/>
        <v>#NUM!</v>
      </c>
    </row>
    <row r="698" spans="1:11">
      <c r="A698">
        <v>696</v>
      </c>
      <c r="B698">
        <v>46</v>
      </c>
      <c r="C698">
        <v>26</v>
      </c>
      <c r="D698">
        <v>16</v>
      </c>
      <c r="E698">
        <v>237</v>
      </c>
      <c r="G698">
        <f t="shared" si="40"/>
        <v>-0.18176468372110216</v>
      </c>
      <c r="H698">
        <f t="shared" si="41"/>
        <v>-0.40852805092528283</v>
      </c>
      <c r="I698">
        <f t="shared" si="42"/>
        <v>0.79452540238374247</v>
      </c>
      <c r="K698">
        <f t="shared" si="43"/>
        <v>6.80775559124525E-2</v>
      </c>
    </row>
    <row r="699" spans="1:11">
      <c r="A699">
        <v>697</v>
      </c>
      <c r="B699">
        <v>109</v>
      </c>
      <c r="C699">
        <v>0</v>
      </c>
      <c r="D699">
        <v>1</v>
      </c>
      <c r="E699">
        <v>0</v>
      </c>
      <c r="G699" t="e">
        <f t="shared" si="40"/>
        <v>#NUM!</v>
      </c>
      <c r="H699">
        <f t="shared" si="41"/>
        <v>-1.9873166998402574</v>
      </c>
      <c r="I699" t="e">
        <f t="shared" si="42"/>
        <v>#NUM!</v>
      </c>
      <c r="K699" t="e">
        <f t="shared" si="43"/>
        <v>#NUM!</v>
      </c>
    </row>
    <row r="700" spans="1:11">
      <c r="A700">
        <v>698</v>
      </c>
      <c r="B700">
        <v>22</v>
      </c>
      <c r="C700">
        <v>1</v>
      </c>
      <c r="D700">
        <v>1</v>
      </c>
      <c r="E700">
        <v>0</v>
      </c>
      <c r="G700">
        <f t="shared" si="40"/>
        <v>-1.2764028808325523</v>
      </c>
      <c r="H700">
        <f t="shared" si="41"/>
        <v>-1.2923128827218398</v>
      </c>
      <c r="I700" t="e">
        <f t="shared" si="42"/>
        <v>#NUM!</v>
      </c>
      <c r="K700" t="e">
        <f t="shared" si="43"/>
        <v>#NUM!</v>
      </c>
    </row>
    <row r="701" spans="1:11">
      <c r="A701">
        <v>699</v>
      </c>
      <c r="B701">
        <v>99</v>
      </c>
      <c r="C701">
        <v>2</v>
      </c>
      <c r="D701">
        <v>1</v>
      </c>
      <c r="E701">
        <v>0</v>
      </c>
      <c r="G701">
        <f t="shared" si="40"/>
        <v>-1.6285853989439147</v>
      </c>
      <c r="H701">
        <f t="shared" si="41"/>
        <v>-1.9455253964971835</v>
      </c>
      <c r="I701" t="e">
        <f t="shared" si="42"/>
        <v>#NUM!</v>
      </c>
      <c r="K701" t="e">
        <f t="shared" si="43"/>
        <v>#NUM!</v>
      </c>
    </row>
    <row r="702" spans="1:11">
      <c r="A702">
        <v>700</v>
      </c>
      <c r="B702">
        <v>135</v>
      </c>
      <c r="C702">
        <v>1</v>
      </c>
      <c r="D702">
        <v>1</v>
      </c>
      <c r="E702">
        <v>5</v>
      </c>
      <c r="G702">
        <f t="shared" si="40"/>
        <v>-2.0643139685053522</v>
      </c>
      <c r="H702">
        <f t="shared" si="41"/>
        <v>-2.0802239703946395</v>
      </c>
      <c r="I702">
        <f t="shared" si="42"/>
        <v>-1.3488288761037748</v>
      </c>
      <c r="K702">
        <f t="shared" si="43"/>
        <v>-1.8311222716679223</v>
      </c>
    </row>
    <row r="703" spans="1:11">
      <c r="A703">
        <v>701</v>
      </c>
      <c r="B703">
        <v>33</v>
      </c>
      <c r="C703">
        <v>1</v>
      </c>
      <c r="D703">
        <v>0</v>
      </c>
      <c r="E703">
        <v>0</v>
      </c>
      <c r="G703">
        <f t="shared" si="40"/>
        <v>-1.4524941398882336</v>
      </c>
      <c r="H703" t="e">
        <f t="shared" si="41"/>
        <v>#NUM!</v>
      </c>
      <c r="I703" t="e">
        <f t="shared" si="42"/>
        <v>#NUM!</v>
      </c>
      <c r="K703" t="e">
        <f t="shared" si="43"/>
        <v>#NUM!</v>
      </c>
    </row>
    <row r="704" spans="1:11">
      <c r="A704">
        <v>702</v>
      </c>
      <c r="B704">
        <v>56</v>
      </c>
      <c r="C704">
        <v>0</v>
      </c>
      <c r="D704">
        <v>1</v>
      </c>
      <c r="E704">
        <v>0</v>
      </c>
      <c r="G704" t="e">
        <f t="shared" si="40"/>
        <v>#NUM!</v>
      </c>
      <c r="H704">
        <f t="shared" si="41"/>
        <v>-1.698078228905834</v>
      </c>
      <c r="I704" t="e">
        <f t="shared" si="42"/>
        <v>#NUM!</v>
      </c>
      <c r="K704" t="e">
        <f t="shared" si="43"/>
        <v>#NUM!</v>
      </c>
    </row>
    <row r="705" spans="1:11">
      <c r="A705">
        <v>703</v>
      </c>
      <c r="B705">
        <v>62</v>
      </c>
      <c r="C705">
        <v>0</v>
      </c>
      <c r="D705">
        <v>0</v>
      </c>
      <c r="E705">
        <v>0</v>
      </c>
      <c r="G705" t="e">
        <f t="shared" si="40"/>
        <v>#NUM!</v>
      </c>
      <c r="H705" t="e">
        <f t="shared" si="41"/>
        <v>#NUM!</v>
      </c>
      <c r="I705" t="e">
        <f t="shared" si="42"/>
        <v>#NUM!</v>
      </c>
      <c r="K705" t="e">
        <f t="shared" si="43"/>
        <v>#NUM!</v>
      </c>
    </row>
    <row r="706" spans="1:11">
      <c r="A706">
        <v>704</v>
      </c>
      <c r="B706">
        <v>93</v>
      </c>
      <c r="C706">
        <v>0</v>
      </c>
      <c r="D706">
        <v>1</v>
      </c>
      <c r="E706">
        <v>4</v>
      </c>
      <c r="G706" t="e">
        <f t="shared" si="40"/>
        <v>#NUM!</v>
      </c>
      <c r="H706">
        <f t="shared" si="41"/>
        <v>-1.9183731504535686</v>
      </c>
      <c r="I706">
        <f t="shared" si="42"/>
        <v>-1.2838880691707601</v>
      </c>
      <c r="K706" t="e">
        <f t="shared" si="43"/>
        <v>#NUM!</v>
      </c>
    </row>
    <row r="707" spans="1:11">
      <c r="A707">
        <v>705</v>
      </c>
      <c r="B707">
        <v>13</v>
      </c>
      <c r="C707">
        <v>0</v>
      </c>
      <c r="D707">
        <v>0</v>
      </c>
      <c r="E707">
        <v>0</v>
      </c>
      <c r="G707" t="e">
        <f t="shared" ref="G707:G770" si="44">LOG10(C707/B707)-LOG10(134/156)</f>
        <v>#NUM!</v>
      </c>
      <c r="H707" t="e">
        <f t="shared" ref="H707:H770" si="45">LOG10(D707/B707)-LOG10(139/156)</f>
        <v>#NUM!</v>
      </c>
      <c r="I707" t="e">
        <f t="shared" ref="I707:I770" si="46">LOG10(E707/B707)-LOG10(129/156)</f>
        <v>#NUM!</v>
      </c>
      <c r="K707" t="e">
        <f t="shared" ref="K707:K770" si="47">AVERAGE(G707:I707)</f>
        <v>#NUM!</v>
      </c>
    </row>
    <row r="708" spans="1:11">
      <c r="A708">
        <v>706</v>
      </c>
      <c r="B708">
        <v>34</v>
      </c>
      <c r="C708">
        <v>0</v>
      </c>
      <c r="D708">
        <v>1</v>
      </c>
      <c r="E708">
        <v>5</v>
      </c>
      <c r="G708" t="e">
        <f t="shared" si="44"/>
        <v>#NUM!</v>
      </c>
      <c r="H708">
        <f t="shared" si="45"/>
        <v>-1.4813691189418887</v>
      </c>
      <c r="I708">
        <f t="shared" si="46"/>
        <v>-0.74997402465102359</v>
      </c>
      <c r="K708" t="e">
        <f t="shared" si="47"/>
        <v>#NUM!</v>
      </c>
    </row>
    <row r="709" spans="1:11">
      <c r="A709">
        <v>707</v>
      </c>
      <c r="B709">
        <v>197</v>
      </c>
      <c r="C709">
        <v>2</v>
      </c>
      <c r="D709">
        <v>1</v>
      </c>
      <c r="E709">
        <v>4</v>
      </c>
      <c r="G709">
        <f t="shared" si="44"/>
        <v>-1.927416430507958</v>
      </c>
      <c r="H709">
        <f t="shared" si="45"/>
        <v>-2.2443564280612263</v>
      </c>
      <c r="I709">
        <f t="shared" si="46"/>
        <v>-1.609871346778418</v>
      </c>
      <c r="K709">
        <f t="shared" si="47"/>
        <v>-1.9272147351158673</v>
      </c>
    </row>
    <row r="710" spans="1:11">
      <c r="A710">
        <v>708</v>
      </c>
      <c r="B710">
        <v>26</v>
      </c>
      <c r="C710">
        <v>19</v>
      </c>
      <c r="D710">
        <v>2</v>
      </c>
      <c r="E710">
        <v>3</v>
      </c>
      <c r="G710">
        <f t="shared" si="44"/>
        <v>-7.0199947028335027E-2</v>
      </c>
      <c r="H710">
        <f t="shared" si="45"/>
        <v>-1.0638335542064703</v>
      </c>
      <c r="I710">
        <f t="shared" si="46"/>
        <v>-0.85531720519594279</v>
      </c>
      <c r="K710">
        <f t="shared" si="47"/>
        <v>-0.66311690214358265</v>
      </c>
    </row>
    <row r="711" spans="1:11">
      <c r="A711">
        <v>709</v>
      </c>
      <c r="B711">
        <v>122</v>
      </c>
      <c r="C711">
        <v>0</v>
      </c>
      <c r="D711">
        <v>4</v>
      </c>
      <c r="E711">
        <v>2</v>
      </c>
      <c r="G711" t="e">
        <f t="shared" si="44"/>
        <v>#NUM!</v>
      </c>
      <c r="H711">
        <f t="shared" si="45"/>
        <v>-1.4341900412464195</v>
      </c>
      <c r="I711">
        <f t="shared" si="46"/>
        <v>-1.7027949469555543</v>
      </c>
      <c r="K711" t="e">
        <f t="shared" si="47"/>
        <v>#NUM!</v>
      </c>
    </row>
    <row r="712" spans="1:11">
      <c r="A712">
        <v>710</v>
      </c>
      <c r="B712">
        <v>41</v>
      </c>
      <c r="C712">
        <v>0</v>
      </c>
      <c r="D712">
        <v>0</v>
      </c>
      <c r="E712">
        <v>0</v>
      </c>
      <c r="G712" t="e">
        <f t="shared" si="44"/>
        <v>#NUM!</v>
      </c>
      <c r="H712" t="e">
        <f t="shared" si="45"/>
        <v>#NUM!</v>
      </c>
      <c r="I712" t="e">
        <f t="shared" si="46"/>
        <v>#NUM!</v>
      </c>
      <c r="K712" t="e">
        <f t="shared" si="47"/>
        <v>#NUM!</v>
      </c>
    </row>
    <row r="713" spans="1:11">
      <c r="A713">
        <v>711</v>
      </c>
      <c r="B713">
        <v>84</v>
      </c>
      <c r="C713">
        <v>1</v>
      </c>
      <c r="D713">
        <v>0</v>
      </c>
      <c r="E713">
        <v>0</v>
      </c>
      <c r="G713">
        <f t="shared" si="44"/>
        <v>-1.8582594860722277</v>
      </c>
      <c r="H713" t="e">
        <f t="shared" si="45"/>
        <v>#NUM!</v>
      </c>
      <c r="I713" t="e">
        <f t="shared" si="46"/>
        <v>#NUM!</v>
      </c>
      <c r="K713" t="e">
        <f t="shared" si="47"/>
        <v>#NUM!</v>
      </c>
    </row>
    <row r="714" spans="1:11">
      <c r="A714">
        <v>712</v>
      </c>
      <c r="B714">
        <v>29</v>
      </c>
      <c r="C714">
        <v>0</v>
      </c>
      <c r="D714">
        <v>1</v>
      </c>
      <c r="E714">
        <v>1</v>
      </c>
      <c r="G714" t="e">
        <f t="shared" si="44"/>
        <v>#NUM!</v>
      </c>
      <c r="H714">
        <f t="shared" si="45"/>
        <v>-1.4122881997985897</v>
      </c>
      <c r="I714">
        <f t="shared" si="46"/>
        <v>-1.3798631098437435</v>
      </c>
      <c r="K714" t="e">
        <f t="shared" si="47"/>
        <v>#NUM!</v>
      </c>
    </row>
    <row r="715" spans="1:11">
      <c r="A715">
        <v>713</v>
      </c>
      <c r="B715">
        <v>47</v>
      </c>
      <c r="C715">
        <v>2</v>
      </c>
      <c r="D715">
        <v>2</v>
      </c>
      <c r="E715">
        <v>1</v>
      </c>
      <c r="G715">
        <f t="shared" si="44"/>
        <v>-1.3050480622820824</v>
      </c>
      <c r="H715">
        <f t="shared" si="45"/>
        <v>-1.3209580641713699</v>
      </c>
      <c r="I715">
        <f t="shared" si="46"/>
        <v>-1.5895629698805049</v>
      </c>
      <c r="K715">
        <f t="shared" si="47"/>
        <v>-1.4051896987779857</v>
      </c>
    </row>
    <row r="716" spans="1:11">
      <c r="A716">
        <v>714</v>
      </c>
      <c r="B716">
        <v>73</v>
      </c>
      <c r="C716">
        <v>3</v>
      </c>
      <c r="D716">
        <v>0</v>
      </c>
      <c r="E716">
        <v>1</v>
      </c>
      <c r="G716">
        <f t="shared" si="44"/>
        <v>-1.3201818054111396</v>
      </c>
      <c r="H716" t="e">
        <f t="shared" si="45"/>
        <v>#NUM!</v>
      </c>
      <c r="I716">
        <f t="shared" si="46"/>
        <v>-1.7807879720652433</v>
      </c>
      <c r="K716" t="e">
        <f t="shared" si="47"/>
        <v>#NUM!</v>
      </c>
    </row>
    <row r="717" spans="1:11">
      <c r="A717">
        <v>715</v>
      </c>
      <c r="B717">
        <v>58</v>
      </c>
      <c r="C717">
        <v>1</v>
      </c>
      <c r="D717">
        <v>1</v>
      </c>
      <c r="E717">
        <v>0</v>
      </c>
      <c r="G717">
        <f t="shared" si="44"/>
        <v>-1.6974081935732834</v>
      </c>
      <c r="H717">
        <f t="shared" si="45"/>
        <v>-1.7133181954625709</v>
      </c>
      <c r="I717" t="e">
        <f t="shared" si="46"/>
        <v>#NUM!</v>
      </c>
      <c r="K717" t="e">
        <f t="shared" si="47"/>
        <v>#NUM!</v>
      </c>
    </row>
    <row r="718" spans="1:11">
      <c r="A718">
        <v>716</v>
      </c>
      <c r="B718">
        <v>92</v>
      </c>
      <c r="C718">
        <v>0</v>
      </c>
      <c r="D718">
        <v>0</v>
      </c>
      <c r="E718">
        <v>0</v>
      </c>
      <c r="G718" t="e">
        <f t="shared" si="44"/>
        <v>#NUM!</v>
      </c>
      <c r="H718" t="e">
        <f t="shared" si="45"/>
        <v>#NUM!</v>
      </c>
      <c r="I718" t="e">
        <f t="shared" si="46"/>
        <v>#NUM!</v>
      </c>
      <c r="K718" t="e">
        <f t="shared" si="47"/>
        <v>#NUM!</v>
      </c>
    </row>
    <row r="719" spans="1:11">
      <c r="A719">
        <v>717</v>
      </c>
      <c r="B719">
        <v>47</v>
      </c>
      <c r="C719">
        <v>40</v>
      </c>
      <c r="D719">
        <v>44</v>
      </c>
      <c r="E719">
        <v>26</v>
      </c>
      <c r="G719">
        <f t="shared" si="44"/>
        <v>-4.018066618101071E-3</v>
      </c>
      <c r="H719">
        <f t="shared" si="45"/>
        <v>2.1464616650836467E-2</v>
      </c>
      <c r="I719">
        <f t="shared" si="46"/>
        <v>-0.17458962190968685</v>
      </c>
      <c r="K719">
        <f t="shared" si="47"/>
        <v>-5.2381023958983815E-2</v>
      </c>
    </row>
    <row r="720" spans="1:11">
      <c r="A720">
        <v>718</v>
      </c>
      <c r="B720">
        <v>77</v>
      </c>
      <c r="C720">
        <v>0</v>
      </c>
      <c r="D720">
        <v>2</v>
      </c>
      <c r="E720">
        <v>0</v>
      </c>
      <c r="G720" t="e">
        <f t="shared" si="44"/>
        <v>#NUM!</v>
      </c>
      <c r="H720">
        <f t="shared" si="45"/>
        <v>-1.5353509314081342</v>
      </c>
      <c r="I720" t="e">
        <f t="shared" si="46"/>
        <v>#NUM!</v>
      </c>
      <c r="K720" t="e">
        <f t="shared" si="47"/>
        <v>#NUM!</v>
      </c>
    </row>
    <row r="721" spans="1:11">
      <c r="A721">
        <v>719</v>
      </c>
      <c r="B721">
        <v>40</v>
      </c>
      <c r="C721">
        <v>0</v>
      </c>
      <c r="D721">
        <v>0</v>
      </c>
      <c r="E721">
        <v>0</v>
      </c>
      <c r="G721" t="e">
        <f t="shared" si="44"/>
        <v>#NUM!</v>
      </c>
      <c r="H721" t="e">
        <f t="shared" si="45"/>
        <v>#NUM!</v>
      </c>
      <c r="I721" t="e">
        <f t="shared" si="46"/>
        <v>#NUM!</v>
      </c>
      <c r="K721" t="e">
        <f t="shared" si="47"/>
        <v>#NUM!</v>
      </c>
    </row>
    <row r="722" spans="1:11">
      <c r="A722">
        <v>720</v>
      </c>
      <c r="B722">
        <v>36</v>
      </c>
      <c r="C722">
        <v>0</v>
      </c>
      <c r="D722">
        <v>0</v>
      </c>
      <c r="E722">
        <v>1</v>
      </c>
      <c r="G722" t="e">
        <f t="shared" si="44"/>
        <v>#NUM!</v>
      </c>
      <c r="H722" t="e">
        <f t="shared" si="45"/>
        <v>#NUM!</v>
      </c>
      <c r="I722">
        <f t="shared" si="46"/>
        <v>-1.4737676127120747</v>
      </c>
      <c r="K722" t="e">
        <f t="shared" si="47"/>
        <v>#NUM!</v>
      </c>
    </row>
    <row r="723" spans="1:11">
      <c r="A723">
        <v>721</v>
      </c>
      <c r="B723">
        <v>57</v>
      </c>
      <c r="C723">
        <v>5</v>
      </c>
      <c r="D723">
        <v>1</v>
      </c>
      <c r="E723">
        <v>2</v>
      </c>
      <c r="G723">
        <f t="shared" si="44"/>
        <v>-0.9908850513468187</v>
      </c>
      <c r="H723">
        <f t="shared" si="45"/>
        <v>-1.705765057572125</v>
      </c>
      <c r="I723">
        <f t="shared" si="46"/>
        <v>-1.3723099719532976</v>
      </c>
      <c r="K723">
        <f t="shared" si="47"/>
        <v>-1.3563200269574136</v>
      </c>
    </row>
    <row r="724" spans="1:11">
      <c r="A724">
        <v>722</v>
      </c>
      <c r="B724">
        <v>25</v>
      </c>
      <c r="C724">
        <v>0</v>
      </c>
      <c r="D724">
        <v>0</v>
      </c>
      <c r="E724">
        <v>0</v>
      </c>
      <c r="G724" t="e">
        <f t="shared" si="44"/>
        <v>#NUM!</v>
      </c>
      <c r="H724" t="e">
        <f t="shared" si="45"/>
        <v>#NUM!</v>
      </c>
      <c r="I724" t="e">
        <f t="shared" si="46"/>
        <v>#NUM!</v>
      </c>
      <c r="K724" t="e">
        <f t="shared" si="47"/>
        <v>#NUM!</v>
      </c>
    </row>
    <row r="725" spans="1:11">
      <c r="A725">
        <v>723</v>
      </c>
      <c r="B725">
        <v>34</v>
      </c>
      <c r="C725">
        <v>0</v>
      </c>
      <c r="D725">
        <v>0</v>
      </c>
      <c r="E725">
        <v>1</v>
      </c>
      <c r="G725" t="e">
        <f t="shared" si="44"/>
        <v>#NUM!</v>
      </c>
      <c r="H725" t="e">
        <f t="shared" si="45"/>
        <v>#NUM!</v>
      </c>
      <c r="I725">
        <f t="shared" si="46"/>
        <v>-1.4489440289870426</v>
      </c>
      <c r="K725" t="e">
        <f t="shared" si="47"/>
        <v>#NUM!</v>
      </c>
    </row>
    <row r="726" spans="1:11">
      <c r="A726">
        <v>724</v>
      </c>
      <c r="B726">
        <v>73</v>
      </c>
      <c r="C726">
        <v>20</v>
      </c>
      <c r="D726">
        <v>21</v>
      </c>
      <c r="E726">
        <v>11</v>
      </c>
      <c r="G726">
        <f t="shared" si="44"/>
        <v>-0.49627306446682073</v>
      </c>
      <c r="H726">
        <f t="shared" si="45"/>
        <v>-0.49099376728617022</v>
      </c>
      <c r="I726">
        <f t="shared" si="46"/>
        <v>-0.73939528690701817</v>
      </c>
      <c r="K726">
        <f t="shared" si="47"/>
        <v>-0.57555403955333639</v>
      </c>
    </row>
    <row r="727" spans="1:11">
      <c r="A727">
        <v>725</v>
      </c>
      <c r="B727">
        <v>57</v>
      </c>
      <c r="C727">
        <v>57</v>
      </c>
      <c r="D727">
        <v>45</v>
      </c>
      <c r="E727">
        <v>218</v>
      </c>
      <c r="G727">
        <f t="shared" si="44"/>
        <v>6.6019799989654002E-2</v>
      </c>
      <c r="H727">
        <f t="shared" si="45"/>
        <v>-5.2552543796781218E-2</v>
      </c>
      <c r="I727">
        <f t="shared" si="46"/>
        <v>0.66511652598732607</v>
      </c>
      <c r="K727">
        <f t="shared" si="47"/>
        <v>0.22619459406006628</v>
      </c>
    </row>
    <row r="728" spans="1:11">
      <c r="A728">
        <v>726</v>
      </c>
      <c r="B728">
        <v>28</v>
      </c>
      <c r="C728">
        <v>0</v>
      </c>
      <c r="D728">
        <v>0</v>
      </c>
      <c r="E728">
        <v>0</v>
      </c>
      <c r="G728" t="e">
        <f t="shared" si="44"/>
        <v>#NUM!</v>
      </c>
      <c r="H728" t="e">
        <f t="shared" si="45"/>
        <v>#NUM!</v>
      </c>
      <c r="I728" t="e">
        <f t="shared" si="46"/>
        <v>#NUM!</v>
      </c>
      <c r="K728" t="e">
        <f t="shared" si="47"/>
        <v>#NUM!</v>
      </c>
    </row>
    <row r="729" spans="1:11">
      <c r="A729">
        <v>727</v>
      </c>
      <c r="B729">
        <v>45</v>
      </c>
      <c r="C729">
        <v>26</v>
      </c>
      <c r="D729">
        <v>64</v>
      </c>
      <c r="E729">
        <v>40</v>
      </c>
      <c r="G729">
        <f t="shared" si="44"/>
        <v>-0.17221936581487174</v>
      </c>
      <c r="H729">
        <f t="shared" si="45"/>
        <v>0.20307725830890999</v>
      </c>
      <c r="I729">
        <f t="shared" si="46"/>
        <v>3.1382365607831343E-2</v>
      </c>
      <c r="K729">
        <f t="shared" si="47"/>
        <v>2.0746752700623199E-2</v>
      </c>
    </row>
    <row r="730" spans="1:11">
      <c r="A730">
        <v>728</v>
      </c>
      <c r="B730">
        <v>166</v>
      </c>
      <c r="C730">
        <v>97</v>
      </c>
      <c r="D730">
        <v>95</v>
      </c>
      <c r="E730">
        <v>90</v>
      </c>
      <c r="G730">
        <f t="shared" si="44"/>
        <v>-0.16731655378415622</v>
      </c>
      <c r="H730">
        <f t="shared" si="45"/>
        <v>-0.19227468465084085</v>
      </c>
      <c r="I730">
        <f t="shared" si="46"/>
        <v>-0.18333069054551759</v>
      </c>
      <c r="K730">
        <f t="shared" si="47"/>
        <v>-0.18097397632683823</v>
      </c>
    </row>
    <row r="731" spans="1:11">
      <c r="A731">
        <v>729</v>
      </c>
      <c r="B731">
        <v>139</v>
      </c>
      <c r="C731">
        <v>19</v>
      </c>
      <c r="D731">
        <v>30</v>
      </c>
      <c r="E731">
        <v>12</v>
      </c>
      <c r="G731">
        <f t="shared" si="44"/>
        <v>-0.79824139931161209</v>
      </c>
      <c r="H731">
        <f t="shared" si="45"/>
        <v>-0.61578374743406616</v>
      </c>
      <c r="I731">
        <f t="shared" si="46"/>
        <v>-0.9812986661512576</v>
      </c>
      <c r="K731">
        <f t="shared" si="47"/>
        <v>-0.79844127096564532</v>
      </c>
    </row>
    <row r="732" spans="1:11">
      <c r="A732">
        <v>730</v>
      </c>
      <c r="B732">
        <v>89</v>
      </c>
      <c r="C732">
        <v>10</v>
      </c>
      <c r="D732">
        <v>6</v>
      </c>
      <c r="E732">
        <v>7</v>
      </c>
      <c r="G732">
        <f t="shared" si="44"/>
        <v>-0.88337020665525878</v>
      </c>
      <c r="H732">
        <f t="shared" si="45"/>
        <v>-1.1211289581609027</v>
      </c>
      <c r="I732">
        <f t="shared" si="46"/>
        <v>-1.0217570785754433</v>
      </c>
      <c r="K732">
        <f t="shared" si="47"/>
        <v>-1.0087520811305348</v>
      </c>
    </row>
    <row r="733" spans="1:11">
      <c r="A733">
        <v>731</v>
      </c>
      <c r="B733">
        <v>175</v>
      </c>
      <c r="C733">
        <v>33</v>
      </c>
      <c r="D733">
        <v>438</v>
      </c>
      <c r="E733">
        <v>27</v>
      </c>
      <c r="G733">
        <f t="shared" si="44"/>
        <v>-0.65850430881875288</v>
      </c>
      <c r="H733">
        <f t="shared" si="45"/>
        <v>0.44854585991817153</v>
      </c>
      <c r="I733">
        <f t="shared" si="46"/>
        <v>-0.72913939647209447</v>
      </c>
      <c r="K733">
        <f t="shared" si="47"/>
        <v>-0.31303261512422526</v>
      </c>
    </row>
    <row r="734" spans="1:11">
      <c r="A734">
        <v>732</v>
      </c>
      <c r="B734">
        <v>151</v>
      </c>
      <c r="C734">
        <v>110</v>
      </c>
      <c r="D734">
        <v>101</v>
      </c>
      <c r="E734">
        <v>92</v>
      </c>
      <c r="G734">
        <f t="shared" si="44"/>
        <v>-7.1564462145290428E-2</v>
      </c>
      <c r="H734">
        <f t="shared" si="45"/>
        <v>-0.12454577541016039</v>
      </c>
      <c r="I734">
        <f t="shared" si="46"/>
        <v>-0.1326542318924015</v>
      </c>
      <c r="K734">
        <f t="shared" si="47"/>
        <v>-0.10958815648261744</v>
      </c>
    </row>
    <row r="735" spans="1:11">
      <c r="A735">
        <v>733</v>
      </c>
      <c r="B735">
        <v>10</v>
      </c>
      <c r="C735">
        <v>0</v>
      </c>
      <c r="D735">
        <v>0</v>
      </c>
      <c r="E735">
        <v>0</v>
      </c>
      <c r="G735" t="e">
        <f t="shared" si="44"/>
        <v>#NUM!</v>
      </c>
      <c r="H735" t="e">
        <f t="shared" si="45"/>
        <v>#NUM!</v>
      </c>
      <c r="I735" t="e">
        <f t="shared" si="46"/>
        <v>#NUM!</v>
      </c>
      <c r="K735" t="e">
        <f t="shared" si="47"/>
        <v>#NUM!</v>
      </c>
    </row>
    <row r="736" spans="1:11">
      <c r="A736">
        <v>734</v>
      </c>
      <c r="B736">
        <v>108</v>
      </c>
      <c r="C736">
        <v>6</v>
      </c>
      <c r="D736">
        <v>10</v>
      </c>
      <c r="E736">
        <v>11</v>
      </c>
      <c r="G736">
        <f t="shared" si="44"/>
        <v>-1.1892527051136521</v>
      </c>
      <c r="H736">
        <f t="shared" si="45"/>
        <v>-0.98331395738658312</v>
      </c>
      <c r="I736">
        <f t="shared" si="46"/>
        <v>-0.90949618227351203</v>
      </c>
      <c r="K736">
        <f t="shared" si="47"/>
        <v>-1.0273542815912491</v>
      </c>
    </row>
    <row r="737" spans="1:11">
      <c r="A737">
        <v>735</v>
      </c>
      <c r="B737">
        <v>136</v>
      </c>
      <c r="C737">
        <v>138</v>
      </c>
      <c r="D737">
        <v>104</v>
      </c>
      <c r="E737">
        <v>112</v>
      </c>
      <c r="G737">
        <f t="shared" si="44"/>
        <v>7.2359978020672983E-2</v>
      </c>
      <c r="H737">
        <f t="shared" si="45"/>
        <v>-6.6395770971070703E-2</v>
      </c>
      <c r="I737">
        <f t="shared" si="46"/>
        <v>-1.7859976448232756E-3</v>
      </c>
      <c r="K737">
        <f t="shared" si="47"/>
        <v>1.3927364682596681E-3</v>
      </c>
    </row>
    <row r="738" spans="1:11">
      <c r="A738">
        <v>736</v>
      </c>
      <c r="B738">
        <v>120</v>
      </c>
      <c r="C738">
        <v>81</v>
      </c>
      <c r="D738">
        <v>215</v>
      </c>
      <c r="E738">
        <v>53</v>
      </c>
      <c r="G738">
        <f t="shared" si="44"/>
        <v>-0.10467642717932106</v>
      </c>
      <c r="H738">
        <f t="shared" si="45"/>
        <v>0.30336701196834698</v>
      </c>
      <c r="I738">
        <f t="shared" si="46"/>
        <v>-0.27237048839162314</v>
      </c>
      <c r="K738">
        <f t="shared" si="47"/>
        <v>-2.4559967867532412E-2</v>
      </c>
    </row>
    <row r="739" spans="1:11">
      <c r="A739">
        <v>737</v>
      </c>
      <c r="B739">
        <v>222</v>
      </c>
      <c r="C739">
        <v>8</v>
      </c>
      <c r="D739">
        <v>30</v>
      </c>
      <c r="E739">
        <v>37</v>
      </c>
      <c r="G739">
        <f t="shared" si="44"/>
        <v>-1.3772431874690412</v>
      </c>
      <c r="H739">
        <f t="shared" si="45"/>
        <v>-0.8191219216306096</v>
      </c>
      <c r="I739">
        <f t="shared" si="46"/>
        <v>-0.69561636232843094</v>
      </c>
      <c r="K739">
        <f t="shared" si="47"/>
        <v>-0.96399382380936061</v>
      </c>
    </row>
    <row r="740" spans="1:11">
      <c r="A740">
        <v>738</v>
      </c>
      <c r="B740">
        <v>79</v>
      </c>
      <c r="C740">
        <v>7</v>
      </c>
      <c r="D740">
        <v>8</v>
      </c>
      <c r="E740">
        <v>10</v>
      </c>
      <c r="G740">
        <f t="shared" si="44"/>
        <v>-0.98650925128653066</v>
      </c>
      <c r="H740">
        <f t="shared" si="45"/>
        <v>-0.94442730619813131</v>
      </c>
      <c r="I740">
        <f t="shared" si="46"/>
        <v>-0.81509220323522869</v>
      </c>
      <c r="K740">
        <f t="shared" si="47"/>
        <v>-0.91534292023996355</v>
      </c>
    </row>
    <row r="741" spans="1:11">
      <c r="A741">
        <v>739</v>
      </c>
      <c r="B741">
        <v>119</v>
      </c>
      <c r="C741">
        <v>64</v>
      </c>
      <c r="D741">
        <v>68</v>
      </c>
      <c r="E741">
        <v>122</v>
      </c>
      <c r="G741">
        <f t="shared" si="44"/>
        <v>-0.20334718741898961</v>
      </c>
      <c r="H741">
        <f t="shared" si="45"/>
        <v>-0.192928250585928</v>
      </c>
      <c r="I741">
        <f t="shared" si="46"/>
        <v>9.3347757337430087E-2</v>
      </c>
      <c r="K741">
        <f t="shared" si="47"/>
        <v>-0.10097589355582919</v>
      </c>
    </row>
    <row r="742" spans="1:11">
      <c r="A742">
        <v>740</v>
      </c>
      <c r="B742">
        <v>77</v>
      </c>
      <c r="C742">
        <v>104</v>
      </c>
      <c r="D742">
        <v>56</v>
      </c>
      <c r="E742">
        <v>51</v>
      </c>
      <c r="G742">
        <f t="shared" si="44"/>
        <v>0.19656241411595249</v>
      </c>
      <c r="H742">
        <f t="shared" si="45"/>
        <v>-8.8192900065914945E-2</v>
      </c>
      <c r="I742">
        <f t="shared" si="46"/>
        <v>-9.6385661019332838E-2</v>
      </c>
      <c r="K742">
        <f t="shared" si="47"/>
        <v>3.9946176769015684E-3</v>
      </c>
    </row>
    <row r="743" spans="1:11">
      <c r="A743">
        <v>741</v>
      </c>
      <c r="B743">
        <v>38</v>
      </c>
      <c r="C743">
        <v>0</v>
      </c>
      <c r="D743">
        <v>1</v>
      </c>
      <c r="E743">
        <v>2</v>
      </c>
      <c r="G743" t="e">
        <f t="shared" si="44"/>
        <v>#NUM!</v>
      </c>
      <c r="H743">
        <f t="shared" si="45"/>
        <v>-1.5296737985164437</v>
      </c>
      <c r="I743">
        <f t="shared" si="46"/>
        <v>-1.1962187128976165</v>
      </c>
      <c r="K743" t="e">
        <f t="shared" si="47"/>
        <v>#NUM!</v>
      </c>
    </row>
    <row r="744" spans="1:11">
      <c r="A744">
        <v>742</v>
      </c>
      <c r="B744">
        <v>201</v>
      </c>
      <c r="C744">
        <v>35</v>
      </c>
      <c r="D744">
        <v>1944</v>
      </c>
      <c r="E744">
        <v>59</v>
      </c>
      <c r="G744">
        <f t="shared" si="44"/>
        <v>-0.69310821308055914</v>
      </c>
      <c r="H744">
        <f t="shared" si="45"/>
        <v>1.0356100012701333</v>
      </c>
      <c r="I744">
        <f t="shared" si="46"/>
        <v>-0.44980915772313207</v>
      </c>
      <c r="K744">
        <f t="shared" si="47"/>
        <v>-3.5769123177852656E-2</v>
      </c>
    </row>
    <row r="745" spans="1:11">
      <c r="A745">
        <v>743</v>
      </c>
      <c r="B745">
        <v>93</v>
      </c>
      <c r="C745">
        <v>31</v>
      </c>
      <c r="D745">
        <v>443</v>
      </c>
      <c r="E745">
        <v>38</v>
      </c>
      <c r="G745">
        <f t="shared" si="44"/>
        <v>-0.41110145473000842</v>
      </c>
      <c r="H745">
        <f t="shared" si="45"/>
        <v>0.72803057576950103</v>
      </c>
      <c r="I745">
        <f t="shared" si="46"/>
        <v>-0.30616446388191232</v>
      </c>
      <c r="K745">
        <f t="shared" si="47"/>
        <v>3.5882190525267643E-3</v>
      </c>
    </row>
    <row r="746" spans="1:11">
      <c r="A746">
        <v>744</v>
      </c>
      <c r="B746">
        <v>65</v>
      </c>
      <c r="C746">
        <v>7</v>
      </c>
      <c r="D746">
        <v>10</v>
      </c>
      <c r="E746">
        <v>6</v>
      </c>
      <c r="G746">
        <f t="shared" si="44"/>
        <v>-0.90179551663894475</v>
      </c>
      <c r="H746">
        <f t="shared" si="45"/>
        <v>-0.76280355854248905</v>
      </c>
      <c r="I746">
        <f t="shared" si="46"/>
        <v>-0.95222721820399914</v>
      </c>
      <c r="K746">
        <f t="shared" si="47"/>
        <v>-0.87227543112847761</v>
      </c>
    </row>
    <row r="747" spans="1:11">
      <c r="A747">
        <v>745</v>
      </c>
      <c r="B747">
        <v>187</v>
      </c>
      <c r="C747">
        <v>20</v>
      </c>
      <c r="D747">
        <v>15</v>
      </c>
      <c r="E747">
        <v>24</v>
      </c>
      <c r="G747">
        <f t="shared" si="44"/>
        <v>-0.90479181088286376</v>
      </c>
      <c r="H747">
        <f t="shared" si="45"/>
        <v>-1.0456405493804513</v>
      </c>
      <c r="I747">
        <f t="shared" si="46"/>
        <v>-0.80909547676968019</v>
      </c>
      <c r="K747">
        <f t="shared" si="47"/>
        <v>-0.91984261234433173</v>
      </c>
    </row>
    <row r="748" spans="1:11">
      <c r="A748">
        <v>746</v>
      </c>
      <c r="B748">
        <v>118</v>
      </c>
      <c r="C748">
        <v>59</v>
      </c>
      <c r="D748">
        <v>257</v>
      </c>
      <c r="E748">
        <v>64</v>
      </c>
      <c r="G748">
        <f t="shared" si="44"/>
        <v>-0.23501019567432718</v>
      </c>
      <c r="H748">
        <f t="shared" si="45"/>
        <v>0.38816091412553561</v>
      </c>
      <c r="I748">
        <f t="shared" si="46"/>
        <v>-0.1831671452670256</v>
      </c>
      <c r="K748">
        <f t="shared" si="47"/>
        <v>-1.0005475605272393E-2</v>
      </c>
    </row>
    <row r="749" spans="1:11">
      <c r="A749">
        <v>747</v>
      </c>
      <c r="B749">
        <v>48</v>
      </c>
      <c r="C749">
        <v>15</v>
      </c>
      <c r="D749">
        <v>7</v>
      </c>
      <c r="E749">
        <v>6</v>
      </c>
      <c r="G749">
        <f t="shared" si="44"/>
        <v>-0.43913017833025192</v>
      </c>
      <c r="H749">
        <f t="shared" si="45"/>
        <v>-0.78603339926096383</v>
      </c>
      <c r="I749">
        <f t="shared" si="46"/>
        <v>-0.82055509893673084</v>
      </c>
      <c r="K749">
        <f t="shared" si="47"/>
        <v>-0.68190622550931546</v>
      </c>
    </row>
    <row r="750" spans="1:11">
      <c r="A750">
        <v>748</v>
      </c>
      <c r="B750">
        <v>109</v>
      </c>
      <c r="C750">
        <v>46</v>
      </c>
      <c r="D750">
        <v>35</v>
      </c>
      <c r="E750">
        <v>34</v>
      </c>
      <c r="G750">
        <f t="shared" si="44"/>
        <v>-0.30864886626939553</v>
      </c>
      <c r="H750">
        <f t="shared" si="45"/>
        <v>-0.44324865548998149</v>
      </c>
      <c r="I750">
        <f t="shared" si="46"/>
        <v>-0.4234126928431558</v>
      </c>
      <c r="K750">
        <f t="shared" si="47"/>
        <v>-0.39177007153417764</v>
      </c>
    </row>
    <row r="751" spans="1:11">
      <c r="A751">
        <v>749</v>
      </c>
      <c r="B751">
        <v>7</v>
      </c>
      <c r="C751">
        <v>0</v>
      </c>
      <c r="D751">
        <v>0</v>
      </c>
      <c r="E751">
        <v>0</v>
      </c>
      <c r="G751" t="e">
        <f t="shared" si="44"/>
        <v>#NUM!</v>
      </c>
      <c r="H751" t="e">
        <f t="shared" si="45"/>
        <v>#NUM!</v>
      </c>
      <c r="I751" t="e">
        <f t="shared" si="46"/>
        <v>#NUM!</v>
      </c>
      <c r="K751" t="e">
        <f t="shared" si="47"/>
        <v>#NUM!</v>
      </c>
    </row>
    <row r="752" spans="1:11">
      <c r="A752">
        <v>750</v>
      </c>
      <c r="B752">
        <v>111</v>
      </c>
      <c r="C752">
        <v>0</v>
      </c>
      <c r="D752">
        <v>1</v>
      </c>
      <c r="E752">
        <v>3</v>
      </c>
      <c r="G752" t="e">
        <f t="shared" si="44"/>
        <v>#NUM!</v>
      </c>
      <c r="H752">
        <f t="shared" si="45"/>
        <v>-1.9952131806862912</v>
      </c>
      <c r="I752">
        <f t="shared" si="46"/>
        <v>-1.4856668360117824</v>
      </c>
      <c r="K752" t="e">
        <f t="shared" si="47"/>
        <v>#NUM!</v>
      </c>
    </row>
    <row r="753" spans="1:11">
      <c r="A753">
        <v>751</v>
      </c>
      <c r="B753">
        <v>60</v>
      </c>
      <c r="C753">
        <v>0</v>
      </c>
      <c r="D753">
        <v>1</v>
      </c>
      <c r="E753">
        <v>1</v>
      </c>
      <c r="G753" t="e">
        <f t="shared" si="44"/>
        <v>#NUM!</v>
      </c>
      <c r="H753">
        <f t="shared" si="45"/>
        <v>-1.7280414522832772</v>
      </c>
      <c r="I753">
        <f t="shared" si="46"/>
        <v>-1.695616362328431</v>
      </c>
      <c r="K753" t="e">
        <f t="shared" si="47"/>
        <v>#NUM!</v>
      </c>
    </row>
    <row r="754" spans="1:11">
      <c r="A754">
        <v>752</v>
      </c>
      <c r="B754">
        <v>41</v>
      </c>
      <c r="C754">
        <v>69</v>
      </c>
      <c r="D754">
        <v>40</v>
      </c>
      <c r="E754">
        <v>204</v>
      </c>
      <c r="G754">
        <f t="shared" si="44"/>
        <v>0.29208503400717378</v>
      </c>
      <c r="H754">
        <f t="shared" si="45"/>
        <v>3.9385932708593377E-2</v>
      </c>
      <c r="I754">
        <f t="shared" si="46"/>
        <v>0.7793811987613759</v>
      </c>
      <c r="K754">
        <f t="shared" si="47"/>
        <v>0.37028405515904766</v>
      </c>
    </row>
    <row r="755" spans="1:11">
      <c r="A755">
        <v>753</v>
      </c>
      <c r="B755">
        <v>49</v>
      </c>
      <c r="C755">
        <v>21</v>
      </c>
      <c r="D755">
        <v>45</v>
      </c>
      <c r="E755">
        <v>23</v>
      </c>
      <c r="G755">
        <f t="shared" si="44"/>
        <v>-0.30195698530494042</v>
      </c>
      <c r="H755">
        <f t="shared" si="45"/>
        <v>1.3126231847196516E-2</v>
      </c>
      <c r="I755">
        <f t="shared" si="46"/>
        <v>-0.24593335595570814</v>
      </c>
      <c r="K755">
        <f t="shared" si="47"/>
        <v>-0.17825470313781736</v>
      </c>
    </row>
    <row r="756" spans="1:11">
      <c r="A756">
        <v>754</v>
      </c>
      <c r="B756">
        <v>71</v>
      </c>
      <c r="C756">
        <v>103</v>
      </c>
      <c r="D756">
        <v>130</v>
      </c>
      <c r="E756">
        <v>101</v>
      </c>
      <c r="G756">
        <f t="shared" si="44"/>
        <v>0.22759867597575095</v>
      </c>
      <c r="H756">
        <f t="shared" si="45"/>
        <v>0.31279480168812795</v>
      </c>
      <c r="I756">
        <f t="shared" si="46"/>
        <v>0.23559791311877998</v>
      </c>
      <c r="K756">
        <f t="shared" si="47"/>
        <v>0.25866379692755298</v>
      </c>
    </row>
    <row r="757" spans="1:11">
      <c r="A757">
        <v>755</v>
      </c>
      <c r="B757">
        <v>80</v>
      </c>
      <c r="C757">
        <v>18</v>
      </c>
      <c r="D757">
        <v>4</v>
      </c>
      <c r="E757">
        <v>18</v>
      </c>
      <c r="G757">
        <f t="shared" si="44"/>
        <v>-0.58179768189898351</v>
      </c>
      <c r="H757">
        <f t="shared" si="45"/>
        <v>-1.2509201975636148</v>
      </c>
      <c r="I757">
        <f t="shared" si="46"/>
        <v>-0.56528259383342483</v>
      </c>
      <c r="K757">
        <f t="shared" si="47"/>
        <v>-0.79933349109867446</v>
      </c>
    </row>
    <row r="758" spans="1:11">
      <c r="A758">
        <v>756</v>
      </c>
      <c r="B758">
        <v>198</v>
      </c>
      <c r="C758">
        <v>76</v>
      </c>
      <c r="D758">
        <v>101</v>
      </c>
      <c r="E758">
        <v>261</v>
      </c>
      <c r="G758">
        <f t="shared" si="44"/>
        <v>-0.34983179799108577</v>
      </c>
      <c r="H758">
        <f t="shared" si="45"/>
        <v>-0.2422340183785221</v>
      </c>
      <c r="I758">
        <f t="shared" si="46"/>
        <v>0.2025102051319625</v>
      </c>
      <c r="K758">
        <f t="shared" si="47"/>
        <v>-0.12985187041254845</v>
      </c>
    </row>
    <row r="759" spans="1:11">
      <c r="A759">
        <v>757</v>
      </c>
      <c r="B759">
        <v>71</v>
      </c>
      <c r="C759">
        <v>62</v>
      </c>
      <c r="D759">
        <v>63</v>
      </c>
      <c r="E759">
        <v>304</v>
      </c>
      <c r="G759">
        <f t="shared" si="44"/>
        <v>7.1531407688325624E-3</v>
      </c>
      <c r="H759">
        <f t="shared" si="45"/>
        <v>-1.8080011651270683E-3</v>
      </c>
      <c r="I759">
        <f t="shared" si="46"/>
        <v>0.71415012294489111</v>
      </c>
      <c r="K759">
        <f t="shared" si="47"/>
        <v>0.23983175418286554</v>
      </c>
    </row>
    <row r="760" spans="1:11">
      <c r="A760">
        <v>758</v>
      </c>
      <c r="B760">
        <v>40</v>
      </c>
      <c r="C760">
        <v>33</v>
      </c>
      <c r="D760">
        <v>20</v>
      </c>
      <c r="E760">
        <v>143</v>
      </c>
      <c r="G760">
        <f t="shared" si="44"/>
        <v>-1.752625146042093E-2</v>
      </c>
      <c r="H760">
        <f t="shared" si="45"/>
        <v>-0.25092019756361472</v>
      </c>
      <c r="I760">
        <f t="shared" si="46"/>
        <v>0.63581093419231216</v>
      </c>
      <c r="K760">
        <f t="shared" si="47"/>
        <v>0.12245482838942551</v>
      </c>
    </row>
    <row r="761" spans="1:11">
      <c r="A761">
        <v>759</v>
      </c>
      <c r="B761">
        <v>113</v>
      </c>
      <c r="C761">
        <v>11</v>
      </c>
      <c r="D761">
        <v>15</v>
      </c>
      <c r="E761">
        <v>13</v>
      </c>
      <c r="G761">
        <f t="shared" si="44"/>
        <v>-0.94566595833554057</v>
      </c>
      <c r="H761">
        <f t="shared" si="45"/>
        <v>-0.82687738632737195</v>
      </c>
      <c r="I761">
        <f t="shared" si="46"/>
        <v>-0.85660020312137031</v>
      </c>
      <c r="K761">
        <f t="shared" si="47"/>
        <v>-0.87638118259476094</v>
      </c>
    </row>
    <row r="762" spans="1:11">
      <c r="A762">
        <v>760</v>
      </c>
      <c r="B762">
        <v>151</v>
      </c>
      <c r="C762">
        <v>182</v>
      </c>
      <c r="D762">
        <v>226</v>
      </c>
      <c r="E762">
        <v>4064</v>
      </c>
      <c r="G762">
        <f t="shared" si="44"/>
        <v>0.14711424068155934</v>
      </c>
      <c r="H762">
        <f t="shared" si="45"/>
        <v>0.22524128995459802</v>
      </c>
      <c r="I762">
        <f t="shared" si="46"/>
        <v>1.5125116400379059</v>
      </c>
      <c r="K762">
        <f t="shared" si="47"/>
        <v>0.62828905689135439</v>
      </c>
    </row>
    <row r="763" spans="1:11">
      <c r="A763">
        <v>761</v>
      </c>
      <c r="B763">
        <v>130</v>
      </c>
      <c r="C763">
        <v>28</v>
      </c>
      <c r="D763">
        <v>31</v>
      </c>
      <c r="E763">
        <v>41</v>
      </c>
      <c r="G763">
        <f t="shared" si="44"/>
        <v>-0.6007655209749635</v>
      </c>
      <c r="H763">
        <f t="shared" si="45"/>
        <v>-0.57247186037219755</v>
      </c>
      <c r="I763">
        <f t="shared" si="46"/>
        <v>-0.41862460753188863</v>
      </c>
      <c r="K763">
        <f t="shared" si="47"/>
        <v>-0.53062066295968324</v>
      </c>
    </row>
    <row r="764" spans="1:11">
      <c r="A764">
        <v>762</v>
      </c>
      <c r="B764">
        <v>77</v>
      </c>
      <c r="C764">
        <v>29</v>
      </c>
      <c r="D764">
        <v>182</v>
      </c>
      <c r="E764">
        <v>26</v>
      </c>
      <c r="G764">
        <f t="shared" si="44"/>
        <v>-0.35807292728387174</v>
      </c>
      <c r="H764">
        <f t="shared" si="45"/>
        <v>0.42369046091295942</v>
      </c>
      <c r="I764">
        <f t="shared" si="46"/>
        <v>-0.38898248914645128</v>
      </c>
      <c r="K764">
        <f t="shared" si="47"/>
        <v>-0.10778831850578786</v>
      </c>
    </row>
    <row r="765" spans="1:11">
      <c r="A765">
        <v>763</v>
      </c>
      <c r="B765">
        <v>85</v>
      </c>
      <c r="C765">
        <v>287</v>
      </c>
      <c r="D765">
        <v>54</v>
      </c>
      <c r="E765">
        <v>54</v>
      </c>
      <c r="G765">
        <f t="shared" si="44"/>
        <v>0.59448277100935365</v>
      </c>
      <c r="H765">
        <f t="shared" si="45"/>
        <v>-0.14691536779095776</v>
      </c>
      <c r="I765">
        <f t="shared" si="46"/>
        <v>-0.11449027783611158</v>
      </c>
      <c r="K765">
        <f t="shared" si="47"/>
        <v>0.11102570846076143</v>
      </c>
    </row>
    <row r="766" spans="1:11">
      <c r="A766">
        <v>764</v>
      </c>
      <c r="B766">
        <v>168</v>
      </c>
      <c r="C766">
        <v>175</v>
      </c>
      <c r="D766">
        <v>211</v>
      </c>
      <c r="E766">
        <v>431</v>
      </c>
      <c r="G766">
        <f t="shared" si="44"/>
        <v>8.3748566950085618E-2</v>
      </c>
      <c r="H766">
        <f t="shared" si="45"/>
        <v>0.14908297167219631</v>
      </c>
      <c r="I766">
        <f t="shared" si="46"/>
        <v>0.49170287649008143</v>
      </c>
      <c r="K766">
        <f t="shared" si="47"/>
        <v>0.24151147170412113</v>
      </c>
    </row>
    <row r="767" spans="1:11">
      <c r="A767">
        <v>765</v>
      </c>
      <c r="B767">
        <v>6</v>
      </c>
      <c r="C767">
        <v>0</v>
      </c>
      <c r="D767">
        <v>0</v>
      </c>
      <c r="E767">
        <v>0</v>
      </c>
      <c r="G767" t="e">
        <f t="shared" si="44"/>
        <v>#NUM!</v>
      </c>
      <c r="H767" t="e">
        <f t="shared" si="45"/>
        <v>#NUM!</v>
      </c>
      <c r="I767" t="e">
        <f t="shared" si="46"/>
        <v>#NUM!</v>
      </c>
      <c r="K767" t="e">
        <f t="shared" si="47"/>
        <v>#NUM!</v>
      </c>
    </row>
    <row r="768" spans="1:11">
      <c r="A768">
        <v>766</v>
      </c>
      <c r="B768">
        <v>154</v>
      </c>
      <c r="C768">
        <v>116</v>
      </c>
      <c r="D768">
        <v>112</v>
      </c>
      <c r="E768">
        <v>164</v>
      </c>
      <c r="G768">
        <f t="shared" si="44"/>
        <v>-5.7042931619890574E-2</v>
      </c>
      <c r="H768">
        <f t="shared" si="45"/>
        <v>-8.8192900065914945E-2</v>
      </c>
      <c r="I768">
        <f t="shared" si="46"/>
        <v>0.10985801526644744</v>
      </c>
      <c r="K768">
        <f t="shared" si="47"/>
        <v>-1.1792605473119356E-2</v>
      </c>
    </row>
    <row r="769" spans="1:11">
      <c r="A769">
        <v>767</v>
      </c>
      <c r="B769">
        <v>87</v>
      </c>
      <c r="C769">
        <v>131</v>
      </c>
      <c r="D769">
        <v>1187</v>
      </c>
      <c r="E769">
        <v>652</v>
      </c>
      <c r="G769">
        <f t="shared" si="44"/>
        <v>0.24377184302679977</v>
      </c>
      <c r="H769">
        <f t="shared" si="45"/>
        <v>1.1850412644363391</v>
      </c>
      <c r="I769">
        <f t="shared" si="46"/>
        <v>0.95726323116851442</v>
      </c>
      <c r="K769">
        <f t="shared" si="47"/>
        <v>0.79535877954388434</v>
      </c>
    </row>
    <row r="770" spans="1:11">
      <c r="A770">
        <v>768</v>
      </c>
      <c r="B770">
        <v>101</v>
      </c>
      <c r="C770">
        <v>78</v>
      </c>
      <c r="D770">
        <v>457</v>
      </c>
      <c r="E770">
        <v>37</v>
      </c>
      <c r="G770">
        <f t="shared" si="44"/>
        <v>-4.6206971102508154E-2</v>
      </c>
      <c r="H770">
        <f t="shared" si="45"/>
        <v>0.70570462438757409</v>
      </c>
      <c r="I770">
        <f t="shared" si="46"/>
        <v>-0.35358476166043495</v>
      </c>
      <c r="K770">
        <f t="shared" si="47"/>
        <v>0.10197096387487699</v>
      </c>
    </row>
    <row r="771" spans="1:11">
      <c r="A771">
        <v>769</v>
      </c>
      <c r="B771">
        <v>129</v>
      </c>
      <c r="C771">
        <v>163</v>
      </c>
      <c r="D771">
        <v>18</v>
      </c>
      <c r="E771">
        <v>32</v>
      </c>
      <c r="G771">
        <f t="shared" ref="G771:G834" si="48">LOG10(C771/B771)-LOG10(134/156)</f>
        <v>0.16761769409436283</v>
      </c>
      <c r="H771">
        <f t="shared" ref="H771:H834" si="49">LOG10(D771/B771)-LOG10(139/156)</f>
        <v>-0.80520740709557637</v>
      </c>
      <c r="I771">
        <f t="shared" ref="I771:I834" si="50">LOG10(E771/B771)-LOG10(129/156)</f>
        <v>-0.52290484392413028</v>
      </c>
      <c r="K771">
        <f t="shared" ref="K771:K834" si="51">AVERAGE(G771:I771)</f>
        <v>-0.38683151897511464</v>
      </c>
    </row>
    <row r="772" spans="1:11">
      <c r="A772">
        <v>770</v>
      </c>
      <c r="B772">
        <v>61</v>
      </c>
      <c r="C772">
        <v>12</v>
      </c>
      <c r="D772">
        <v>5</v>
      </c>
      <c r="E772">
        <v>6</v>
      </c>
      <c r="G772">
        <f t="shared" si="48"/>
        <v>-0.64012878897348824</v>
      </c>
      <c r="H772">
        <f t="shared" si="49"/>
        <v>-1.0362500325743818</v>
      </c>
      <c r="I772">
        <f t="shared" si="50"/>
        <v>-0.92464369657191081</v>
      </c>
      <c r="K772">
        <f t="shared" si="51"/>
        <v>-0.86700750603992693</v>
      </c>
    </row>
    <row r="773" spans="1:11">
      <c r="A773">
        <v>771</v>
      </c>
      <c r="B773">
        <v>146</v>
      </c>
      <c r="C773">
        <v>5</v>
      </c>
      <c r="D773">
        <v>14</v>
      </c>
      <c r="E773">
        <v>28</v>
      </c>
      <c r="G773">
        <f t="shared" si="48"/>
        <v>-1.3993630514587645</v>
      </c>
      <c r="H773">
        <f t="shared" si="49"/>
        <v>-0.96811502200583266</v>
      </c>
      <c r="I773">
        <f t="shared" si="50"/>
        <v>-0.63465993638700524</v>
      </c>
      <c r="K773">
        <f t="shared" si="51"/>
        <v>-1.0007126699505342</v>
      </c>
    </row>
    <row r="774" spans="1:11">
      <c r="A774">
        <v>772</v>
      </c>
      <c r="B774">
        <v>126</v>
      </c>
      <c r="C774">
        <v>8</v>
      </c>
      <c r="D774">
        <v>5</v>
      </c>
      <c r="E774">
        <v>14</v>
      </c>
      <c r="G774">
        <f t="shared" si="48"/>
        <v>-1.1312607581359655</v>
      </c>
      <c r="H774">
        <f t="shared" si="49"/>
        <v>-1.3512907426811778</v>
      </c>
      <c r="I774">
        <f t="shared" si="50"/>
        <v>-0.87170762138411217</v>
      </c>
      <c r="K774">
        <f t="shared" si="51"/>
        <v>-1.118086374067085</v>
      </c>
    </row>
    <row r="775" spans="1:11">
      <c r="A775">
        <v>773</v>
      </c>
      <c r="B775">
        <v>77</v>
      </c>
      <c r="C775">
        <v>40</v>
      </c>
      <c r="D775">
        <v>45</v>
      </c>
      <c r="E775">
        <v>20</v>
      </c>
      <c r="G775">
        <f t="shared" si="48"/>
        <v>-0.21841093385486549</v>
      </c>
      <c r="H775">
        <f t="shared" si="49"/>
        <v>-0.18316841329677175</v>
      </c>
      <c r="I775">
        <f t="shared" si="50"/>
        <v>-0.502925841453288</v>
      </c>
      <c r="K775">
        <f t="shared" si="51"/>
        <v>-0.30150172953497506</v>
      </c>
    </row>
    <row r="776" spans="1:11">
      <c r="A776">
        <v>774</v>
      </c>
      <c r="B776">
        <v>137</v>
      </c>
      <c r="C776">
        <v>159</v>
      </c>
      <c r="D776">
        <v>113</v>
      </c>
      <c r="E776">
        <v>136</v>
      </c>
      <c r="G776">
        <f t="shared" si="48"/>
        <v>0.13069635715369871</v>
      </c>
      <c r="H776">
        <f t="shared" si="49"/>
        <v>-3.3532325572620564E-2</v>
      </c>
      <c r="I776">
        <f t="shared" si="50"/>
        <v>7.9353229269023398E-2</v>
      </c>
      <c r="K776">
        <f t="shared" si="51"/>
        <v>5.8839086950033849E-2</v>
      </c>
    </row>
    <row r="777" spans="1:11">
      <c r="A777">
        <v>775</v>
      </c>
      <c r="B777">
        <v>58</v>
      </c>
      <c r="C777">
        <v>33</v>
      </c>
      <c r="D777">
        <v>1157</v>
      </c>
      <c r="E777">
        <v>62</v>
      </c>
      <c r="G777">
        <f t="shared" si="48"/>
        <v>-0.1788942536953958</v>
      </c>
      <c r="H777">
        <f t="shared" si="49"/>
        <v>1.3500151634891786</v>
      </c>
      <c r="I777">
        <f t="shared" si="50"/>
        <v>0.11149858399052921</v>
      </c>
      <c r="K777">
        <f t="shared" si="51"/>
        <v>0.4275398312614373</v>
      </c>
    </row>
    <row r="778" spans="1:11">
      <c r="A778">
        <v>776</v>
      </c>
      <c r="B778">
        <v>142</v>
      </c>
      <c r="C778">
        <v>12</v>
      </c>
      <c r="D778">
        <v>11</v>
      </c>
      <c r="E778">
        <v>14</v>
      </c>
      <c r="G778">
        <f t="shared" si="48"/>
        <v>-1.0070872983457777</v>
      </c>
      <c r="H778">
        <f t="shared" si="49"/>
        <v>-1.0607858611244652</v>
      </c>
      <c r="I778">
        <f t="shared" si="50"/>
        <v>-0.92362542064960584</v>
      </c>
      <c r="K778">
        <f t="shared" si="51"/>
        <v>-0.99716619337328283</v>
      </c>
    </row>
    <row r="779" spans="1:11">
      <c r="A779">
        <v>777</v>
      </c>
      <c r="B779">
        <v>12</v>
      </c>
      <c r="C779">
        <v>0</v>
      </c>
      <c r="D779">
        <v>2</v>
      </c>
      <c r="E779">
        <v>6</v>
      </c>
      <c r="G779" t="e">
        <f t="shared" si="48"/>
        <v>#NUM!</v>
      </c>
      <c r="H779">
        <f t="shared" si="49"/>
        <v>-0.7280414522832771</v>
      </c>
      <c r="I779">
        <f t="shared" si="50"/>
        <v>-0.21849510760876856</v>
      </c>
      <c r="K779" t="e">
        <f t="shared" si="51"/>
        <v>#NUM!</v>
      </c>
    </row>
    <row r="780" spans="1:11">
      <c r="A780">
        <v>778</v>
      </c>
      <c r="B780">
        <v>133</v>
      </c>
      <c r="C780">
        <v>7</v>
      </c>
      <c r="D780">
        <v>9</v>
      </c>
      <c r="E780">
        <v>2</v>
      </c>
      <c r="G780">
        <f t="shared" si="48"/>
        <v>-1.2127338009631752</v>
      </c>
      <c r="H780">
        <f t="shared" si="49"/>
        <v>-1.1194993334273946</v>
      </c>
      <c r="I780">
        <f t="shared" si="50"/>
        <v>-1.7402867572478919</v>
      </c>
      <c r="K780">
        <f t="shared" si="51"/>
        <v>-1.3575066305461538</v>
      </c>
    </row>
    <row r="781" spans="1:11">
      <c r="A781">
        <v>779</v>
      </c>
      <c r="B781">
        <v>85</v>
      </c>
      <c r="C781">
        <v>6</v>
      </c>
      <c r="D781">
        <v>6</v>
      </c>
      <c r="E781">
        <v>5</v>
      </c>
      <c r="G781">
        <f t="shared" si="48"/>
        <v>-1.0852478753409951</v>
      </c>
      <c r="H781">
        <f t="shared" si="49"/>
        <v>-1.1011578772302826</v>
      </c>
      <c r="I781">
        <f t="shared" si="50"/>
        <v>-1.1479140333230613</v>
      </c>
      <c r="K781">
        <f t="shared" si="51"/>
        <v>-1.1114399286314465</v>
      </c>
    </row>
    <row r="782" spans="1:11">
      <c r="A782">
        <v>780</v>
      </c>
      <c r="B782">
        <v>240</v>
      </c>
      <c r="C782">
        <v>113</v>
      </c>
      <c r="D782">
        <v>119</v>
      </c>
      <c r="E782">
        <v>264</v>
      </c>
      <c r="G782">
        <f t="shared" si="48"/>
        <v>-0.26111299823853229</v>
      </c>
      <c r="H782">
        <f t="shared" si="49"/>
        <v>-0.2545544822187088</v>
      </c>
      <c r="I782">
        <f t="shared" si="50"/>
        <v>0.12392757321343773</v>
      </c>
      <c r="K782">
        <f t="shared" si="51"/>
        <v>-0.13057996908126779</v>
      </c>
    </row>
    <row r="783" spans="1:11">
      <c r="A783">
        <v>781</v>
      </c>
      <c r="B783">
        <v>96</v>
      </c>
      <c r="C783">
        <v>2</v>
      </c>
      <c r="D783">
        <v>2</v>
      </c>
      <c r="E783">
        <v>2</v>
      </c>
      <c r="G783">
        <f t="shared" si="48"/>
        <v>-1.6152214373859333</v>
      </c>
      <c r="H783">
        <f t="shared" si="49"/>
        <v>-1.6311314392752208</v>
      </c>
      <c r="I783">
        <f t="shared" si="50"/>
        <v>-1.5987063493203746</v>
      </c>
      <c r="K783">
        <f t="shared" si="51"/>
        <v>-1.6150197419938428</v>
      </c>
    </row>
    <row r="784" spans="1:11">
      <c r="A784">
        <v>782</v>
      </c>
      <c r="B784">
        <v>139</v>
      </c>
      <c r="C784">
        <v>24</v>
      </c>
      <c r="D784">
        <v>13</v>
      </c>
      <c r="E784">
        <v>23</v>
      </c>
      <c r="G784">
        <f t="shared" si="48"/>
        <v>-0.69678375855283503</v>
      </c>
      <c r="H784">
        <f t="shared" si="49"/>
        <v>-0.97896164984689171</v>
      </c>
      <c r="I784">
        <f t="shared" si="50"/>
        <v>-0.69875207618128954</v>
      </c>
      <c r="K784">
        <f t="shared" si="51"/>
        <v>-0.79149916152700539</v>
      </c>
    </row>
    <row r="785" spans="1:11">
      <c r="A785">
        <v>783</v>
      </c>
      <c r="B785">
        <v>62</v>
      </c>
      <c r="C785">
        <v>12</v>
      </c>
      <c r="D785">
        <v>33</v>
      </c>
      <c r="E785">
        <v>16</v>
      </c>
      <c r="G785">
        <f t="shared" si="48"/>
        <v>-0.64719064346097499</v>
      </c>
      <c r="H785">
        <f t="shared" si="49"/>
        <v>-0.22376795151999995</v>
      </c>
      <c r="I785">
        <f t="shared" si="50"/>
        <v>-0.5057368187871164</v>
      </c>
      <c r="K785">
        <f t="shared" si="51"/>
        <v>-0.45889847125603045</v>
      </c>
    </row>
    <row r="786" spans="1:11">
      <c r="A786">
        <v>784</v>
      </c>
      <c r="B786">
        <v>33</v>
      </c>
      <c r="C786">
        <v>0</v>
      </c>
      <c r="D786">
        <v>0</v>
      </c>
      <c r="E786">
        <v>1</v>
      </c>
      <c r="G786" t="e">
        <f t="shared" si="48"/>
        <v>#NUM!</v>
      </c>
      <c r="H786" t="e">
        <f t="shared" si="49"/>
        <v>#NUM!</v>
      </c>
      <c r="I786">
        <f t="shared" si="50"/>
        <v>-1.4359790518226749</v>
      </c>
      <c r="K786" t="e">
        <f t="shared" si="51"/>
        <v>#NUM!</v>
      </c>
    </row>
    <row r="787" spans="1:11">
      <c r="A787">
        <v>785</v>
      </c>
      <c r="B787">
        <v>60</v>
      </c>
      <c r="C787">
        <v>11</v>
      </c>
      <c r="D787">
        <v>31</v>
      </c>
      <c r="E787">
        <v>24</v>
      </c>
      <c r="G787">
        <f t="shared" si="48"/>
        <v>-0.67073876523576459</v>
      </c>
      <c r="H787">
        <f t="shared" si="49"/>
        <v>-0.23667975844900441</v>
      </c>
      <c r="I787">
        <f t="shared" si="50"/>
        <v>-0.31540512061682496</v>
      </c>
      <c r="K787">
        <f t="shared" si="51"/>
        <v>-0.40760788143386462</v>
      </c>
    </row>
    <row r="788" spans="1:11">
      <c r="A788">
        <v>786</v>
      </c>
      <c r="B788">
        <v>54</v>
      </c>
      <c r="C788">
        <v>50</v>
      </c>
      <c r="D788">
        <v>31</v>
      </c>
      <c r="E788">
        <v>290</v>
      </c>
      <c r="G788">
        <f t="shared" si="48"/>
        <v>3.2596044502704299E-2</v>
      </c>
      <c r="H788">
        <f t="shared" si="49"/>
        <v>-0.19092226788832933</v>
      </c>
      <c r="I788">
        <f t="shared" si="50"/>
        <v>0.81253912613120027</v>
      </c>
      <c r="K788">
        <f t="shared" si="51"/>
        <v>0.2180709675818584</v>
      </c>
    </row>
    <row r="789" spans="1:11">
      <c r="A789">
        <v>787</v>
      </c>
      <c r="B789">
        <v>123</v>
      </c>
      <c r="C789">
        <v>5</v>
      </c>
      <c r="D789">
        <v>9</v>
      </c>
      <c r="E789">
        <v>8</v>
      </c>
      <c r="G789">
        <f t="shared" si="48"/>
        <v>-1.3249153071137252</v>
      </c>
      <c r="H789">
        <f t="shared" si="49"/>
        <v>-1.0855528038997067</v>
      </c>
      <c r="I789">
        <f t="shared" si="50"/>
        <v>-1.1042802363922417</v>
      </c>
      <c r="K789">
        <f t="shared" si="51"/>
        <v>-1.1715827824685581</v>
      </c>
    </row>
    <row r="790" spans="1:11">
      <c r="A790">
        <v>788</v>
      </c>
      <c r="B790">
        <v>85</v>
      </c>
      <c r="C790">
        <v>100</v>
      </c>
      <c r="D790">
        <v>34</v>
      </c>
      <c r="E790">
        <v>66</v>
      </c>
      <c r="G790">
        <f t="shared" si="48"/>
        <v>0.13660087427536127</v>
      </c>
      <c r="H790">
        <f t="shared" si="49"/>
        <v>-0.34783021057167113</v>
      </c>
      <c r="I790">
        <f t="shared" si="50"/>
        <v>-2.7340102117211398E-2</v>
      </c>
      <c r="K790">
        <f t="shared" si="51"/>
        <v>-7.9523146137840409E-2</v>
      </c>
    </row>
    <row r="791" spans="1:11">
      <c r="A791">
        <v>789</v>
      </c>
      <c r="B791">
        <v>216</v>
      </c>
      <c r="C791">
        <v>725</v>
      </c>
      <c r="D791">
        <v>203</v>
      </c>
      <c r="E791">
        <v>92</v>
      </c>
      <c r="G791">
        <f t="shared" si="48"/>
        <v>0.5919040554097168</v>
      </c>
      <c r="H791">
        <f t="shared" si="49"/>
        <v>2.3152084862648491E-2</v>
      </c>
      <c r="I791">
        <f t="shared" si="50"/>
        <v>-0.28813103575016297</v>
      </c>
      <c r="K791">
        <f t="shared" si="51"/>
        <v>0.10897503484073412</v>
      </c>
    </row>
    <row r="792" spans="1:11">
      <c r="A792">
        <v>790</v>
      </c>
      <c r="B792">
        <v>63</v>
      </c>
      <c r="C792">
        <v>93</v>
      </c>
      <c r="D792">
        <v>41</v>
      </c>
      <c r="E792">
        <v>28</v>
      </c>
      <c r="G792">
        <f t="shared" si="48"/>
        <v>0.23516219909000746</v>
      </c>
      <c r="H792">
        <f t="shared" si="49"/>
        <v>-0.1364468946334797</v>
      </c>
      <c r="I792">
        <f t="shared" si="50"/>
        <v>-0.26964763005614989</v>
      </c>
      <c r="K792">
        <f t="shared" si="51"/>
        <v>-5.6977441866540711E-2</v>
      </c>
    </row>
    <row r="793" spans="1:11">
      <c r="A793">
        <v>791</v>
      </c>
      <c r="B793">
        <v>75</v>
      </c>
      <c r="C793">
        <v>3</v>
      </c>
      <c r="D793">
        <v>6</v>
      </c>
      <c r="E793">
        <v>14</v>
      </c>
      <c r="G793">
        <f t="shared" si="48"/>
        <v>-1.3319202086823836</v>
      </c>
      <c r="H793">
        <f t="shared" si="49"/>
        <v>-1.04680021490769</v>
      </c>
      <c r="I793">
        <f t="shared" si="50"/>
        <v>-0.64639833965824933</v>
      </c>
      <c r="K793">
        <f t="shared" si="51"/>
        <v>-1.0083729210827743</v>
      </c>
    </row>
    <row r="794" spans="1:11">
      <c r="A794">
        <v>792</v>
      </c>
      <c r="B794">
        <v>68</v>
      </c>
      <c r="C794">
        <v>48</v>
      </c>
      <c r="D794">
        <v>18</v>
      </c>
      <c r="E794">
        <v>25</v>
      </c>
      <c r="G794">
        <f t="shared" si="48"/>
        <v>-8.524787534099508E-2</v>
      </c>
      <c r="H794">
        <f t="shared" si="49"/>
        <v>-0.52712660950256374</v>
      </c>
      <c r="I794">
        <f t="shared" si="50"/>
        <v>-0.35203401597898604</v>
      </c>
      <c r="K794">
        <f t="shared" si="51"/>
        <v>-0.32146950027418164</v>
      </c>
    </row>
    <row r="795" spans="1:11">
      <c r="A795">
        <v>793</v>
      </c>
      <c r="B795">
        <v>103</v>
      </c>
      <c r="C795">
        <v>27</v>
      </c>
      <c r="D795">
        <v>43</v>
      </c>
      <c r="E795">
        <v>50</v>
      </c>
      <c r="G795">
        <f t="shared" si="48"/>
        <v>-0.51545366055653086</v>
      </c>
      <c r="H795">
        <f t="shared" si="49"/>
        <v>-0.32925897102521923</v>
      </c>
      <c r="I795">
        <f t="shared" si="50"/>
        <v>-0.23133233231394074</v>
      </c>
      <c r="K795">
        <f t="shared" si="51"/>
        <v>-0.35868165463189694</v>
      </c>
    </row>
    <row r="796" spans="1:11">
      <c r="A796">
        <v>794</v>
      </c>
      <c r="B796">
        <v>84</v>
      </c>
      <c r="C796">
        <v>64</v>
      </c>
      <c r="D796">
        <v>74</v>
      </c>
      <c r="E796">
        <v>154</v>
      </c>
      <c r="G796">
        <f t="shared" si="48"/>
        <v>-5.207951208834051E-2</v>
      </c>
      <c r="H796">
        <f t="shared" si="49"/>
        <v>-4.9377682305389858E-3</v>
      </c>
      <c r="I796">
        <f t="shared" si="50"/>
        <v>0.34577632282979404</v>
      </c>
      <c r="K796">
        <f t="shared" si="51"/>
        <v>9.6253014170304851E-2</v>
      </c>
    </row>
    <row r="797" spans="1:11">
      <c r="A797">
        <v>795</v>
      </c>
      <c r="B797">
        <v>53</v>
      </c>
      <c r="C797">
        <v>5</v>
      </c>
      <c r="D797">
        <v>12</v>
      </c>
      <c r="E797">
        <v>13</v>
      </c>
      <c r="G797">
        <f t="shared" si="48"/>
        <v>-0.95928606527511617</v>
      </c>
      <c r="H797">
        <f t="shared" si="49"/>
        <v>-0.59498482545279763</v>
      </c>
      <c r="I797">
        <f t="shared" si="50"/>
        <v>-0.52779762923873963</v>
      </c>
      <c r="K797">
        <f t="shared" si="51"/>
        <v>-0.69402283998888448</v>
      </c>
    </row>
    <row r="798" spans="1:11">
      <c r="A798">
        <v>796</v>
      </c>
      <c r="B798">
        <v>146</v>
      </c>
      <c r="C798">
        <v>22</v>
      </c>
      <c r="D798">
        <v>28</v>
      </c>
      <c r="E798">
        <v>26</v>
      </c>
      <c r="G798">
        <f t="shared" si="48"/>
        <v>-0.75591037497257685</v>
      </c>
      <c r="H798">
        <f t="shared" si="49"/>
        <v>-0.66708502634185141</v>
      </c>
      <c r="I798">
        <f t="shared" si="50"/>
        <v>-0.66684461975840648</v>
      </c>
      <c r="K798">
        <f t="shared" si="51"/>
        <v>-0.69661334035761158</v>
      </c>
    </row>
    <row r="799" spans="1:11">
      <c r="A799">
        <v>797</v>
      </c>
      <c r="B799">
        <v>94</v>
      </c>
      <c r="C799">
        <v>98</v>
      </c>
      <c r="D799">
        <v>257</v>
      </c>
      <c r="E799">
        <v>1017</v>
      </c>
      <c r="G799">
        <f t="shared" si="48"/>
        <v>8.4118022082450228E-2</v>
      </c>
      <c r="H799">
        <f t="shared" si="49"/>
        <v>0.48691506783196231</v>
      </c>
      <c r="I799">
        <f t="shared" si="50"/>
        <v>1.1167279873782585</v>
      </c>
      <c r="K799">
        <f t="shared" si="51"/>
        <v>0.5625870257642237</v>
      </c>
    </row>
    <row r="800" spans="1:11">
      <c r="A800">
        <v>798</v>
      </c>
      <c r="B800">
        <v>112</v>
      </c>
      <c r="C800">
        <v>26</v>
      </c>
      <c r="D800">
        <v>89</v>
      </c>
      <c r="E800">
        <v>22</v>
      </c>
      <c r="G800">
        <f t="shared" si="48"/>
        <v>-0.56822487470970962</v>
      </c>
      <c r="H800">
        <f t="shared" si="49"/>
        <v>-4.9718217924902358E-2</v>
      </c>
      <c r="I800">
        <f t="shared" si="50"/>
        <v>-0.62426045379276274</v>
      </c>
      <c r="K800">
        <f t="shared" si="51"/>
        <v>-0.41406784880912495</v>
      </c>
    </row>
    <row r="801" spans="1:11">
      <c r="A801">
        <v>799</v>
      </c>
      <c r="B801">
        <v>121</v>
      </c>
      <c r="C801">
        <v>71</v>
      </c>
      <c r="D801">
        <v>157</v>
      </c>
      <c r="E801">
        <v>105</v>
      </c>
      <c r="G801">
        <f t="shared" si="48"/>
        <v>-0.16550722160772074</v>
      </c>
      <c r="H801">
        <f t="shared" si="49"/>
        <v>0.1632240801931501</v>
      </c>
      <c r="I801">
        <f t="shared" si="50"/>
        <v>2.0938816808700647E-2</v>
      </c>
      <c r="K801">
        <f t="shared" si="51"/>
        <v>6.2185584647100013E-3</v>
      </c>
    </row>
    <row r="802" spans="1:11">
      <c r="A802">
        <v>800</v>
      </c>
      <c r="B802">
        <v>153</v>
      </c>
      <c r="C802">
        <v>75</v>
      </c>
      <c r="D802">
        <v>291</v>
      </c>
      <c r="E802">
        <v>91</v>
      </c>
      <c r="G802">
        <f t="shared" si="48"/>
        <v>-0.24361036743624476</v>
      </c>
      <c r="H802">
        <f t="shared" si="49"/>
        <v>0.32931135626867492</v>
      </c>
      <c r="I802">
        <f t="shared" si="50"/>
        <v>-0.14311515044129253</v>
      </c>
      <c r="K802">
        <f t="shared" si="51"/>
        <v>-1.9138053869620791E-2</v>
      </c>
    </row>
    <row r="803" spans="1:11">
      <c r="A803">
        <v>801</v>
      </c>
      <c r="B803">
        <v>179</v>
      </c>
      <c r="C803">
        <v>329</v>
      </c>
      <c r="D803">
        <v>208</v>
      </c>
      <c r="E803">
        <v>250</v>
      </c>
      <c r="G803">
        <f t="shared" si="48"/>
        <v>0.3303626669597351</v>
      </c>
      <c r="H803">
        <f t="shared" si="49"/>
        <v>0.11532010208323491</v>
      </c>
      <c r="I803">
        <f t="shared" si="50"/>
        <v>0.2276218657473571</v>
      </c>
      <c r="K803">
        <f t="shared" si="51"/>
        <v>0.22443487826344236</v>
      </c>
    </row>
    <row r="804" spans="1:11">
      <c r="A804">
        <v>802</v>
      </c>
      <c r="B804">
        <v>97</v>
      </c>
      <c r="C804">
        <v>4</v>
      </c>
      <c r="D804">
        <v>0</v>
      </c>
      <c r="E804">
        <v>1</v>
      </c>
      <c r="G804">
        <f t="shared" si="48"/>
        <v>-1.3186919429486286</v>
      </c>
      <c r="H804" t="e">
        <f t="shared" si="49"/>
        <v>#NUM!</v>
      </c>
      <c r="I804">
        <f t="shared" si="50"/>
        <v>-1.9042368462110322</v>
      </c>
      <c r="K804" t="e">
        <f t="shared" si="51"/>
        <v>#NUM!</v>
      </c>
    </row>
    <row r="805" spans="1:11">
      <c r="A805">
        <v>803</v>
      </c>
      <c r="B805">
        <v>124</v>
      </c>
      <c r="C805">
        <v>5</v>
      </c>
      <c r="D805">
        <v>114</v>
      </c>
      <c r="E805">
        <v>47</v>
      </c>
      <c r="G805">
        <f t="shared" si="48"/>
        <v>-1.3284318808365623</v>
      </c>
      <c r="H805">
        <f t="shared" si="49"/>
        <v>1.3592964274603998E-2</v>
      </c>
      <c r="I805">
        <f t="shared" si="50"/>
        <v>-0.33878893917130498</v>
      </c>
      <c r="K805">
        <f t="shared" si="51"/>
        <v>-0.55120928524442114</v>
      </c>
    </row>
    <row r="806" spans="1:11">
      <c r="A806">
        <v>804</v>
      </c>
      <c r="B806">
        <v>62</v>
      </c>
      <c r="C806">
        <v>2</v>
      </c>
      <c r="D806">
        <v>0</v>
      </c>
      <c r="E806">
        <v>3</v>
      </c>
      <c r="G806">
        <f t="shared" si="48"/>
        <v>-1.4253418938446187</v>
      </c>
      <c r="H806" t="e">
        <f t="shared" si="49"/>
        <v>#NUM!</v>
      </c>
      <c r="I806">
        <f t="shared" si="50"/>
        <v>-1.2327355467233789</v>
      </c>
      <c r="K806" t="e">
        <f t="shared" si="51"/>
        <v>#NUM!</v>
      </c>
    </row>
    <row r="807" spans="1:11">
      <c r="A807">
        <v>805</v>
      </c>
      <c r="B807">
        <v>171</v>
      </c>
      <c r="C807">
        <v>46</v>
      </c>
      <c r="D807">
        <v>81</v>
      </c>
      <c r="E807">
        <v>50</v>
      </c>
      <c r="G807">
        <f t="shared" si="48"/>
        <v>-0.50421847872092573</v>
      </c>
      <c r="H807">
        <f t="shared" si="49"/>
        <v>-0.27440129341313763</v>
      </c>
      <c r="I807">
        <f t="shared" si="50"/>
        <v>-0.45149121800092246</v>
      </c>
      <c r="K807">
        <f t="shared" si="51"/>
        <v>-0.41003699671166194</v>
      </c>
    </row>
    <row r="808" spans="1:11">
      <c r="A808">
        <v>806</v>
      </c>
      <c r="B808">
        <v>132</v>
      </c>
      <c r="C808">
        <v>14</v>
      </c>
      <c r="D808">
        <v>17</v>
      </c>
      <c r="E808">
        <v>28</v>
      </c>
      <c r="G808">
        <f t="shared" si="48"/>
        <v>-0.90842609553795783</v>
      </c>
      <c r="H808">
        <f t="shared" si="49"/>
        <v>-0.84001521172720939</v>
      </c>
      <c r="I808">
        <f t="shared" si="50"/>
        <v>-0.5908810118084179</v>
      </c>
      <c r="K808">
        <f t="shared" si="51"/>
        <v>-0.77977410635786171</v>
      </c>
    </row>
    <row r="809" spans="1:11">
      <c r="A809">
        <v>807</v>
      </c>
      <c r="B809">
        <v>167</v>
      </c>
      <c r="C809">
        <v>63</v>
      </c>
      <c r="D809">
        <v>163</v>
      </c>
      <c r="E809">
        <v>98</v>
      </c>
      <c r="G809">
        <f t="shared" si="48"/>
        <v>-0.35735612170434761</v>
      </c>
      <c r="H809">
        <f t="shared" si="49"/>
        <v>3.9580931356741032E-2</v>
      </c>
      <c r="I809">
        <f t="shared" si="50"/>
        <v>-0.14895550739987579</v>
      </c>
      <c r="K809">
        <f t="shared" si="51"/>
        <v>-0.15557689924916079</v>
      </c>
    </row>
    <row r="810" spans="1:11">
      <c r="A810">
        <v>808</v>
      </c>
      <c r="B810">
        <v>103</v>
      </c>
      <c r="C810">
        <v>25</v>
      </c>
      <c r="D810">
        <v>110</v>
      </c>
      <c r="E810">
        <v>44</v>
      </c>
      <c r="G810">
        <f t="shared" si="48"/>
        <v>-0.54887741604348061</v>
      </c>
      <c r="H810">
        <f t="shared" si="49"/>
        <v>7.8665258553419312E-2</v>
      </c>
      <c r="I810">
        <f t="shared" si="50"/>
        <v>-0.28684966016377217</v>
      </c>
      <c r="K810">
        <f t="shared" si="51"/>
        <v>-0.25235393921794452</v>
      </c>
    </row>
    <row r="811" spans="1:11">
      <c r="A811">
        <v>809</v>
      </c>
      <c r="B811">
        <v>168</v>
      </c>
      <c r="C811">
        <v>2148</v>
      </c>
      <c r="D811">
        <v>1746</v>
      </c>
      <c r="E811">
        <v>1859</v>
      </c>
      <c r="G811">
        <f t="shared" si="48"/>
        <v>1.172744795291309</v>
      </c>
      <c r="H811">
        <f t="shared" si="49"/>
        <v>1.0668447557440546</v>
      </c>
      <c r="I811">
        <f t="shared" si="50"/>
        <v>1.1265049961012483</v>
      </c>
      <c r="K811">
        <f t="shared" si="51"/>
        <v>1.1220315157122041</v>
      </c>
    </row>
    <row r="812" spans="1:11">
      <c r="A812">
        <v>810</v>
      </c>
      <c r="B812">
        <v>110</v>
      </c>
      <c r="C812">
        <v>200</v>
      </c>
      <c r="D812">
        <v>295</v>
      </c>
      <c r="E812">
        <v>133</v>
      </c>
      <c r="G812">
        <f t="shared" si="48"/>
        <v>0.32565711049541013</v>
      </c>
      <c r="H812">
        <f t="shared" si="49"/>
        <v>0.47853912892030442</v>
      </c>
      <c r="I812">
        <f t="shared" si="50"/>
        <v>0.16499384386407337</v>
      </c>
      <c r="K812">
        <f t="shared" si="51"/>
        <v>0.32306336109326261</v>
      </c>
    </row>
    <row r="813" spans="1:11">
      <c r="A813">
        <v>811</v>
      </c>
      <c r="B813">
        <v>71</v>
      </c>
      <c r="C813">
        <v>0</v>
      </c>
      <c r="D813">
        <v>4</v>
      </c>
      <c r="E813">
        <v>2</v>
      </c>
      <c r="G813" t="e">
        <f t="shared" si="48"/>
        <v>#NUM!</v>
      </c>
      <c r="H813">
        <f t="shared" si="49"/>
        <v>-1.1990885592907465</v>
      </c>
      <c r="I813">
        <f t="shared" si="50"/>
        <v>-1.4676934649998814</v>
      </c>
      <c r="K813" t="e">
        <f t="shared" si="51"/>
        <v>#NUM!</v>
      </c>
    </row>
    <row r="814" spans="1:11">
      <c r="A814">
        <v>812</v>
      </c>
      <c r="B814">
        <v>220</v>
      </c>
      <c r="C814">
        <v>6</v>
      </c>
      <c r="D814">
        <v>11</v>
      </c>
      <c r="E814">
        <v>10</v>
      </c>
      <c r="G814">
        <f t="shared" si="48"/>
        <v>-1.4982516304489086</v>
      </c>
      <c r="H814">
        <f t="shared" si="49"/>
        <v>-1.2509201975636148</v>
      </c>
      <c r="I814">
        <f t="shared" si="50"/>
        <v>-1.2598877927669936</v>
      </c>
      <c r="K814">
        <f t="shared" si="51"/>
        <v>-1.3363532069265058</v>
      </c>
    </row>
    <row r="815" spans="1:11">
      <c r="A815">
        <v>813</v>
      </c>
      <c r="B815">
        <v>21</v>
      </c>
      <c r="C815">
        <v>0</v>
      </c>
      <c r="D815">
        <v>1</v>
      </c>
      <c r="E815">
        <v>0</v>
      </c>
      <c r="G815" t="e">
        <f t="shared" si="48"/>
        <v>#NUM!</v>
      </c>
      <c r="H815">
        <f t="shared" si="49"/>
        <v>-1.2721094966335529</v>
      </c>
      <c r="I815" t="e">
        <f t="shared" si="50"/>
        <v>#NUM!</v>
      </c>
      <c r="K815" t="e">
        <f t="shared" si="51"/>
        <v>#NUM!</v>
      </c>
    </row>
    <row r="816" spans="1:11">
      <c r="A816">
        <v>814</v>
      </c>
      <c r="B816">
        <v>105</v>
      </c>
      <c r="C816">
        <v>765</v>
      </c>
      <c r="D816">
        <v>736</v>
      </c>
      <c r="E816">
        <v>441</v>
      </c>
      <c r="G816">
        <f t="shared" si="48"/>
        <v>0.92849193607333358</v>
      </c>
      <c r="H816">
        <f t="shared" si="49"/>
        <v>0.89579831336792726</v>
      </c>
      <c r="I816">
        <f t="shared" si="50"/>
        <v>0.70578417845311314</v>
      </c>
      <c r="K816">
        <f t="shared" si="51"/>
        <v>0.84335814263145803</v>
      </c>
    </row>
    <row r="817" spans="1:11">
      <c r="A817">
        <v>815</v>
      </c>
      <c r="B817">
        <v>54</v>
      </c>
      <c r="C817">
        <v>2925</v>
      </c>
      <c r="D817">
        <v>435</v>
      </c>
      <c r="E817">
        <v>118</v>
      </c>
      <c r="G817">
        <f t="shared" si="48"/>
        <v>1.7997519105848847</v>
      </c>
      <c r="H817">
        <f t="shared" si="49"/>
        <v>0.95620529523203535</v>
      </c>
      <c r="I817">
        <f t="shared" si="50"/>
        <v>0.42202313553836951</v>
      </c>
      <c r="K817">
        <f t="shared" si="51"/>
        <v>1.0593267804517632</v>
      </c>
    </row>
    <row r="818" spans="1:11">
      <c r="A818">
        <v>816</v>
      </c>
      <c r="B818">
        <v>242</v>
      </c>
      <c r="C818">
        <v>18</v>
      </c>
      <c r="D818">
        <v>11</v>
      </c>
      <c r="E818">
        <v>13</v>
      </c>
      <c r="G818">
        <f t="shared" si="48"/>
        <v>-1.0625230608874714</v>
      </c>
      <c r="H818">
        <f t="shared" si="49"/>
        <v>-1.2923128827218398</v>
      </c>
      <c r="I818">
        <f t="shared" si="50"/>
        <v>-1.187337125618382</v>
      </c>
      <c r="K818">
        <f t="shared" si="51"/>
        <v>-1.1807243564092309</v>
      </c>
    </row>
    <row r="819" spans="1:11">
      <c r="A819">
        <v>817</v>
      </c>
      <c r="B819">
        <v>135</v>
      </c>
      <c r="C819">
        <v>56</v>
      </c>
      <c r="D819">
        <v>50</v>
      </c>
      <c r="E819">
        <v>69</v>
      </c>
      <c r="G819">
        <f t="shared" si="48"/>
        <v>-0.31612594149915169</v>
      </c>
      <c r="H819">
        <f t="shared" si="49"/>
        <v>-0.38125396605862089</v>
      </c>
      <c r="I819">
        <f t="shared" si="50"/>
        <v>-0.20894978970253819</v>
      </c>
      <c r="K819">
        <f t="shared" si="51"/>
        <v>-0.30210989908677027</v>
      </c>
    </row>
    <row r="820" spans="1:11">
      <c r="A820">
        <v>818</v>
      </c>
      <c r="B820">
        <v>96</v>
      </c>
      <c r="C820">
        <v>7</v>
      </c>
      <c r="D820">
        <v>3</v>
      </c>
      <c r="E820">
        <v>2</v>
      </c>
      <c r="G820">
        <f t="shared" si="48"/>
        <v>-1.0711533930356576</v>
      </c>
      <c r="H820">
        <f t="shared" si="49"/>
        <v>-1.4550401802195396</v>
      </c>
      <c r="I820">
        <f t="shared" si="50"/>
        <v>-1.5987063493203746</v>
      </c>
      <c r="K820">
        <f t="shared" si="51"/>
        <v>-1.3749666408585239</v>
      </c>
    </row>
    <row r="821" spans="1:11">
      <c r="A821">
        <v>819</v>
      </c>
      <c r="B821">
        <v>71</v>
      </c>
      <c r="C821">
        <v>75</v>
      </c>
      <c r="D821">
        <v>124</v>
      </c>
      <c r="E821">
        <v>64</v>
      </c>
      <c r="G821">
        <f t="shared" si="48"/>
        <v>8.982271466227873E-2</v>
      </c>
      <c r="H821">
        <f t="shared" si="49"/>
        <v>0.29227313454352627</v>
      </c>
      <c r="I821">
        <f t="shared" si="50"/>
        <v>3.7456513320024552E-2</v>
      </c>
      <c r="K821">
        <f t="shared" si="51"/>
        <v>0.13985078750860983</v>
      </c>
    </row>
    <row r="822" spans="1:11">
      <c r="A822">
        <v>820</v>
      </c>
      <c r="B822">
        <v>165</v>
      </c>
      <c r="C822">
        <v>99</v>
      </c>
      <c r="D822">
        <v>179</v>
      </c>
      <c r="E822">
        <v>87</v>
      </c>
      <c r="G822">
        <f t="shared" si="48"/>
        <v>-0.15582894962670241</v>
      </c>
      <c r="H822">
        <f t="shared" si="49"/>
        <v>8.5478884866353411E-2</v>
      </c>
      <c r="I822">
        <f t="shared" si="50"/>
        <v>-0.19542980354007516</v>
      </c>
      <c r="K822">
        <f t="shared" si="51"/>
        <v>-8.859328943347472E-2</v>
      </c>
    </row>
    <row r="823" spans="1:11">
      <c r="A823">
        <v>821</v>
      </c>
      <c r="B823">
        <v>104</v>
      </c>
      <c r="C823">
        <v>20</v>
      </c>
      <c r="D823">
        <v>156</v>
      </c>
      <c r="E823">
        <v>23</v>
      </c>
      <c r="G823">
        <f t="shared" si="48"/>
        <v>-0.6499835436451451</v>
      </c>
      <c r="H823">
        <f t="shared" si="49"/>
        <v>0.22620105715604771</v>
      </c>
      <c r="I823">
        <f t="shared" si="50"/>
        <v>-0.57277061522597483</v>
      </c>
      <c r="K823">
        <f t="shared" si="51"/>
        <v>-0.33218436723835737</v>
      </c>
    </row>
    <row r="824" spans="1:11">
      <c r="A824">
        <v>822</v>
      </c>
      <c r="B824">
        <v>46</v>
      </c>
      <c r="C824">
        <v>0</v>
      </c>
      <c r="D824">
        <v>1</v>
      </c>
      <c r="E824">
        <v>2</v>
      </c>
      <c r="G824" t="e">
        <f t="shared" si="48"/>
        <v>#NUM!</v>
      </c>
      <c r="H824">
        <f t="shared" si="49"/>
        <v>-1.6126480335812077</v>
      </c>
      <c r="I824">
        <f t="shared" si="50"/>
        <v>-1.2791929479623803</v>
      </c>
      <c r="K824" t="e">
        <f t="shared" si="51"/>
        <v>#NUM!</v>
      </c>
    </row>
    <row r="825" spans="1:11">
      <c r="A825">
        <v>823</v>
      </c>
      <c r="B825">
        <v>86</v>
      </c>
      <c r="C825">
        <v>406</v>
      </c>
      <c r="D825">
        <v>915</v>
      </c>
      <c r="E825">
        <v>229</v>
      </c>
      <c r="G825">
        <f t="shared" si="48"/>
        <v>0.74004738232328049</v>
      </c>
      <c r="H825">
        <f t="shared" si="49"/>
        <v>1.077032440923247</v>
      </c>
      <c r="I825">
        <f t="shared" si="50"/>
        <v>0.50787191915153296</v>
      </c>
      <c r="K825">
        <f t="shared" si="51"/>
        <v>0.77498391413268675</v>
      </c>
    </row>
    <row r="826" spans="1:11">
      <c r="A826">
        <v>824</v>
      </c>
      <c r="B826">
        <v>138</v>
      </c>
      <c r="C826">
        <v>11</v>
      </c>
      <c r="D826">
        <v>16</v>
      </c>
      <c r="E826">
        <v>17</v>
      </c>
      <c r="G826">
        <f t="shared" si="48"/>
        <v>-1.0324666012533577</v>
      </c>
      <c r="H826">
        <f t="shared" si="49"/>
        <v>-0.88564930564494515</v>
      </c>
      <c r="I826">
        <f t="shared" si="50"/>
        <v>-0.82689527696774989</v>
      </c>
      <c r="K826">
        <f t="shared" si="51"/>
        <v>-0.91500372795535101</v>
      </c>
    </row>
    <row r="827" spans="1:11">
      <c r="A827">
        <v>825</v>
      </c>
      <c r="B827">
        <v>157</v>
      </c>
      <c r="C827">
        <v>54</v>
      </c>
      <c r="D827">
        <v>174</v>
      </c>
      <c r="E827">
        <v>88</v>
      </c>
      <c r="G827">
        <f t="shared" si="48"/>
        <v>-0.39748609259661122</v>
      </c>
      <c r="H827">
        <f t="shared" si="49"/>
        <v>9.4759393973732467E-2</v>
      </c>
      <c r="I827">
        <f t="shared" si="50"/>
        <v>-0.16888209220385247</v>
      </c>
      <c r="K827">
        <f t="shared" si="51"/>
        <v>-0.15720293027557708</v>
      </c>
    </row>
    <row r="828" spans="1:11">
      <c r="A828">
        <v>826</v>
      </c>
      <c r="B828">
        <v>73</v>
      </c>
      <c r="C828">
        <v>79</v>
      </c>
      <c r="D828">
        <v>96</v>
      </c>
      <c r="E828">
        <v>98</v>
      </c>
      <c r="G828">
        <f t="shared" si="48"/>
        <v>0.10032403115963957</v>
      </c>
      <c r="H828">
        <f t="shared" si="49"/>
        <v>0.16905817101947898</v>
      </c>
      <c r="I828">
        <f t="shared" si="50"/>
        <v>0.21043810362725163</v>
      </c>
      <c r="K828">
        <f t="shared" si="51"/>
        <v>0.15994010193545674</v>
      </c>
    </row>
    <row r="829" spans="1:11">
      <c r="A829">
        <v>827</v>
      </c>
      <c r="B829">
        <v>146</v>
      </c>
      <c r="C829">
        <v>1</v>
      </c>
      <c r="D829">
        <v>5</v>
      </c>
      <c r="E829">
        <v>3</v>
      </c>
      <c r="G829">
        <f t="shared" si="48"/>
        <v>-2.0983330557947832</v>
      </c>
      <c r="H829">
        <f t="shared" si="49"/>
        <v>-1.415273053348052</v>
      </c>
      <c r="I829">
        <f t="shared" si="50"/>
        <v>-1.6046967130095622</v>
      </c>
      <c r="K829">
        <f t="shared" si="51"/>
        <v>-1.7061009407174659</v>
      </c>
    </row>
    <row r="830" spans="1:11">
      <c r="A830">
        <v>828</v>
      </c>
      <c r="B830">
        <v>82</v>
      </c>
      <c r="C830">
        <v>16</v>
      </c>
      <c r="D830">
        <v>46</v>
      </c>
      <c r="E830">
        <v>17</v>
      </c>
      <c r="G830">
        <f t="shared" si="48"/>
        <v>-0.6436740697381379</v>
      </c>
      <c r="H830">
        <f t="shared" si="49"/>
        <v>-0.20094622260177608</v>
      </c>
      <c r="I830">
        <f t="shared" si="50"/>
        <v>-0.60083004295023013</v>
      </c>
      <c r="K830">
        <f t="shared" si="51"/>
        <v>-0.48181677843004805</v>
      </c>
    </row>
    <row r="831" spans="1:11">
      <c r="A831">
        <v>829</v>
      </c>
      <c r="B831">
        <v>88</v>
      </c>
      <c r="C831">
        <v>71</v>
      </c>
      <c r="D831">
        <v>71</v>
      </c>
      <c r="E831">
        <v>56</v>
      </c>
      <c r="G831">
        <f t="shared" si="48"/>
        <v>-2.7204523441439366E-2</v>
      </c>
      <c r="H831">
        <f t="shared" si="49"/>
        <v>-4.3114525330726877E-2</v>
      </c>
      <c r="I831">
        <f t="shared" si="50"/>
        <v>-0.11375975708875556</v>
      </c>
      <c r="K831">
        <f t="shared" si="51"/>
        <v>-6.1359601953640597E-2</v>
      </c>
    </row>
    <row r="832" spans="1:11">
      <c r="A832">
        <v>830</v>
      </c>
      <c r="B832">
        <v>55</v>
      </c>
      <c r="C832">
        <v>31</v>
      </c>
      <c r="D832">
        <v>15</v>
      </c>
      <c r="E832">
        <v>305</v>
      </c>
      <c r="G832">
        <f t="shared" si="48"/>
        <v>-0.18298119567031718</v>
      </c>
      <c r="H832">
        <f t="shared" si="49"/>
        <v>-0.51416163233819612</v>
      </c>
      <c r="I832">
        <f t="shared" si="50"/>
        <v>0.8264720379077547</v>
      </c>
      <c r="K832">
        <f t="shared" si="51"/>
        <v>4.3109736633080487E-2</v>
      </c>
    </row>
    <row r="833" spans="1:11">
      <c r="A833">
        <v>831</v>
      </c>
      <c r="B833">
        <v>70</v>
      </c>
      <c r="C833">
        <v>4</v>
      </c>
      <c r="D833">
        <v>17</v>
      </c>
      <c r="E833">
        <v>7</v>
      </c>
      <c r="G833">
        <f t="shared" si="48"/>
        <v>-1.1770182486966405</v>
      </c>
      <c r="H833">
        <f t="shared" si="49"/>
        <v>-0.5645393205356164</v>
      </c>
      <c r="I833">
        <f t="shared" si="50"/>
        <v>-0.9174651119447873</v>
      </c>
      <c r="K833">
        <f t="shared" si="51"/>
        <v>-0.88634089372568148</v>
      </c>
    </row>
    <row r="834" spans="1:11">
      <c r="A834">
        <v>832</v>
      </c>
      <c r="B834">
        <v>118</v>
      </c>
      <c r="C834">
        <v>53</v>
      </c>
      <c r="D834">
        <v>32</v>
      </c>
      <c r="E834">
        <v>37</v>
      </c>
      <c r="G834">
        <f t="shared" si="48"/>
        <v>-0.28158633771568231</v>
      </c>
      <c r="H834">
        <f t="shared" si="49"/>
        <v>-0.51662223088585291</v>
      </c>
      <c r="I834">
        <f t="shared" si="50"/>
        <v>-0.42114539518391775</v>
      </c>
      <c r="K834">
        <f t="shared" si="51"/>
        <v>-0.40645132126181766</v>
      </c>
    </row>
    <row r="835" spans="1:11">
      <c r="A835">
        <v>833</v>
      </c>
      <c r="B835">
        <v>101</v>
      </c>
      <c r="C835">
        <v>7</v>
      </c>
      <c r="D835">
        <v>23</v>
      </c>
      <c r="E835">
        <v>95</v>
      </c>
      <c r="G835">
        <f t="shared" ref="G835:G898" si="52">LOG10(C835/B835)-LOG10(134/156)</f>
        <v>-1.0932035337787318</v>
      </c>
      <c r="H835">
        <f t="shared" ref="H835:H898" si="53">LOG10(D835/B835)-LOG10(139/156)</f>
        <v>-0.59248373966468315</v>
      </c>
      <c r="I835">
        <f t="shared" ref="I835:I898" si="54">LOG10(E835/B835)-LOG10(129/156)</f>
        <v>5.5937119561417822E-2</v>
      </c>
      <c r="K835">
        <f t="shared" ref="K835:K898" si="55">AVERAGE(G835:I835)</f>
        <v>-0.54325005129399906</v>
      </c>
    </row>
    <row r="836" spans="1:11">
      <c r="A836">
        <v>834</v>
      </c>
      <c r="B836">
        <v>119</v>
      </c>
      <c r="C836">
        <v>4</v>
      </c>
      <c r="D836">
        <v>6</v>
      </c>
      <c r="E836">
        <v>11</v>
      </c>
      <c r="G836">
        <f t="shared" si="52"/>
        <v>-1.4074671700749144</v>
      </c>
      <c r="H836">
        <f t="shared" si="53"/>
        <v>-1.2472859129085208</v>
      </c>
      <c r="I836">
        <f t="shared" si="54"/>
        <v>-0.95161938817909297</v>
      </c>
      <c r="K836">
        <f t="shared" si="55"/>
        <v>-1.2021241570541761</v>
      </c>
    </row>
    <row r="837" spans="1:11">
      <c r="A837">
        <v>835</v>
      </c>
      <c r="B837">
        <v>144</v>
      </c>
      <c r="C837">
        <v>43</v>
      </c>
      <c r="D837">
        <v>328</v>
      </c>
      <c r="E837">
        <v>85</v>
      </c>
      <c r="G837">
        <f t="shared" si="52"/>
        <v>-0.45887423652600912</v>
      </c>
      <c r="H837">
        <f t="shared" si="53"/>
        <v>0.40762114971679586</v>
      </c>
      <c r="I837">
        <f t="shared" si="54"/>
        <v>-0.14640867832574428</v>
      </c>
      <c r="K837">
        <f t="shared" si="55"/>
        <v>-6.588725504498584E-2</v>
      </c>
    </row>
    <row r="838" spans="1:11">
      <c r="A838">
        <v>836</v>
      </c>
      <c r="B838">
        <v>41</v>
      </c>
      <c r="C838">
        <v>21</v>
      </c>
      <c r="D838">
        <v>52</v>
      </c>
      <c r="E838">
        <v>23</v>
      </c>
      <c r="G838">
        <f t="shared" si="52"/>
        <v>-0.22454476199616219</v>
      </c>
      <c r="H838">
        <f t="shared" si="53"/>
        <v>0.15332928501543017</v>
      </c>
      <c r="I838">
        <f t="shared" si="54"/>
        <v>-0.16852113264692992</v>
      </c>
      <c r="K838">
        <f t="shared" si="55"/>
        <v>-7.9912203209220642E-2</v>
      </c>
    </row>
    <row r="839" spans="1:11">
      <c r="A839">
        <v>837</v>
      </c>
      <c r="B839">
        <v>34</v>
      </c>
      <c r="C839">
        <v>2</v>
      </c>
      <c r="D839">
        <v>2</v>
      </c>
      <c r="E839">
        <v>5</v>
      </c>
      <c r="G839">
        <f t="shared" si="52"/>
        <v>-1.16442912138862</v>
      </c>
      <c r="H839">
        <f t="shared" si="53"/>
        <v>-1.1803391232779075</v>
      </c>
      <c r="I839">
        <f t="shared" si="54"/>
        <v>-0.74997402465102359</v>
      </c>
      <c r="K839">
        <f t="shared" si="55"/>
        <v>-1.0315807564391835</v>
      </c>
    </row>
    <row r="840" spans="1:11">
      <c r="A840">
        <v>838</v>
      </c>
      <c r="B840">
        <v>71</v>
      </c>
      <c r="C840">
        <v>159</v>
      </c>
      <c r="D840">
        <v>53</v>
      </c>
      <c r="E840">
        <v>249</v>
      </c>
      <c r="G840">
        <f t="shared" si="52"/>
        <v>0.41615857559103026</v>
      </c>
      <c r="H840">
        <f t="shared" si="53"/>
        <v>-7.6872681017919761E-2</v>
      </c>
      <c r="I840">
        <f t="shared" si="54"/>
        <v>0.6274758864318738</v>
      </c>
      <c r="K840">
        <f t="shared" si="55"/>
        <v>0.32225392700166139</v>
      </c>
    </row>
    <row r="841" spans="1:11">
      <c r="A841">
        <v>839</v>
      </c>
      <c r="B841">
        <v>60</v>
      </c>
      <c r="C841">
        <v>76</v>
      </c>
      <c r="D841">
        <v>83</v>
      </c>
      <c r="E841">
        <v>115</v>
      </c>
      <c r="G841">
        <f t="shared" si="52"/>
        <v>0.1686821418868017</v>
      </c>
      <c r="H841">
        <f t="shared" si="53"/>
        <v>0.19103664009279675</v>
      </c>
      <c r="I841">
        <f t="shared" si="54"/>
        <v>0.36508147802518071</v>
      </c>
      <c r="K841">
        <f t="shared" si="55"/>
        <v>0.24160008666825972</v>
      </c>
    </row>
    <row r="842" spans="1:11">
      <c r="A842">
        <v>840</v>
      </c>
      <c r="B842">
        <v>256</v>
      </c>
      <c r="C842">
        <v>141</v>
      </c>
      <c r="D842">
        <v>282</v>
      </c>
      <c r="E842">
        <v>264</v>
      </c>
      <c r="G842">
        <f t="shared" si="52"/>
        <v>-0.19300105266681566</v>
      </c>
      <c r="H842">
        <f t="shared" si="53"/>
        <v>9.2118941107878022E-2</v>
      </c>
      <c r="I842">
        <f t="shared" si="54"/>
        <v>9.5898849613194156E-2</v>
      </c>
      <c r="K842">
        <f t="shared" si="55"/>
        <v>-1.6610873152478288E-3</v>
      </c>
    </row>
    <row r="843" spans="1:11">
      <c r="A843">
        <v>841</v>
      </c>
      <c r="B843">
        <v>58</v>
      </c>
      <c r="C843">
        <v>0</v>
      </c>
      <c r="D843">
        <v>2</v>
      </c>
      <c r="E843">
        <v>3</v>
      </c>
      <c r="G843" t="e">
        <f t="shared" si="52"/>
        <v>#NUM!</v>
      </c>
      <c r="H843">
        <f t="shared" si="53"/>
        <v>-1.4122881997985897</v>
      </c>
      <c r="I843">
        <f t="shared" si="54"/>
        <v>-1.2037718507880624</v>
      </c>
      <c r="K843" t="e">
        <f t="shared" si="55"/>
        <v>#NUM!</v>
      </c>
    </row>
    <row r="844" spans="1:11">
      <c r="A844">
        <v>842</v>
      </c>
      <c r="B844">
        <v>113</v>
      </c>
      <c r="C844">
        <v>18</v>
      </c>
      <c r="D844">
        <v>21</v>
      </c>
      <c r="E844">
        <v>31</v>
      </c>
      <c r="G844">
        <f t="shared" si="52"/>
        <v>-0.7317861383904597</v>
      </c>
      <c r="H844">
        <f t="shared" si="53"/>
        <v>-0.68074935064913389</v>
      </c>
      <c r="I844">
        <f t="shared" si="54"/>
        <v>-0.47918186159393444</v>
      </c>
      <c r="K844">
        <f t="shared" si="55"/>
        <v>-0.63057245021117603</v>
      </c>
    </row>
    <row r="845" spans="1:11">
      <c r="A845">
        <v>843</v>
      </c>
      <c r="B845">
        <v>31</v>
      </c>
      <c r="C845">
        <v>2</v>
      </c>
      <c r="D845">
        <v>1</v>
      </c>
      <c r="E845">
        <v>1</v>
      </c>
      <c r="G845">
        <f t="shared" si="52"/>
        <v>-1.1243118981806375</v>
      </c>
      <c r="H845">
        <f t="shared" si="53"/>
        <v>-1.4412518957339062</v>
      </c>
      <c r="I845">
        <f t="shared" si="54"/>
        <v>-1.4088268057790601</v>
      </c>
      <c r="K845">
        <f t="shared" si="55"/>
        <v>-1.3247968665645347</v>
      </c>
    </row>
    <row r="846" spans="1:11">
      <c r="A846">
        <v>844</v>
      </c>
      <c r="B846">
        <v>82</v>
      </c>
      <c r="C846">
        <v>289</v>
      </c>
      <c r="D846">
        <v>194</v>
      </c>
      <c r="E846">
        <v>101</v>
      </c>
      <c r="G846">
        <f t="shared" si="52"/>
        <v>0.61310379036248519</v>
      </c>
      <c r="H846">
        <f t="shared" si="53"/>
        <v>0.42409767564687584</v>
      </c>
      <c r="I846">
        <f t="shared" si="54"/>
        <v>0.17304240945413851</v>
      </c>
      <c r="K846">
        <f t="shared" si="55"/>
        <v>0.40341462515449983</v>
      </c>
    </row>
    <row r="847" spans="1:11">
      <c r="A847">
        <v>845</v>
      </c>
      <c r="B847">
        <v>125</v>
      </c>
      <c r="C847">
        <v>12</v>
      </c>
      <c r="D847">
        <v>56</v>
      </c>
      <c r="E847">
        <v>19</v>
      </c>
      <c r="G847">
        <f t="shared" si="52"/>
        <v>-0.95170896697077756</v>
      </c>
      <c r="H847">
        <f t="shared" si="53"/>
        <v>-0.29861218790148952</v>
      </c>
      <c r="I847">
        <f t="shared" si="54"/>
        <v>-0.73562152400001479</v>
      </c>
      <c r="K847">
        <f t="shared" si="55"/>
        <v>-0.66198089295742724</v>
      </c>
    </row>
    <row r="848" spans="1:11">
      <c r="A848">
        <v>846</v>
      </c>
      <c r="B848">
        <v>53</v>
      </c>
      <c r="C848">
        <v>0</v>
      </c>
      <c r="D848">
        <v>0</v>
      </c>
      <c r="E848">
        <v>0</v>
      </c>
      <c r="G848" t="e">
        <f t="shared" si="52"/>
        <v>#NUM!</v>
      </c>
      <c r="H848" t="e">
        <f t="shared" si="53"/>
        <v>#NUM!</v>
      </c>
      <c r="I848" t="e">
        <f t="shared" si="54"/>
        <v>#NUM!</v>
      </c>
      <c r="K848" t="e">
        <f t="shared" si="55"/>
        <v>#NUM!</v>
      </c>
    </row>
    <row r="849" spans="1:11">
      <c r="A849">
        <v>847</v>
      </c>
      <c r="B849">
        <v>72</v>
      </c>
      <c r="C849">
        <v>7</v>
      </c>
      <c r="D849">
        <v>1497</v>
      </c>
      <c r="E849">
        <v>13</v>
      </c>
      <c r="G849">
        <f t="shared" si="52"/>
        <v>-0.94621465642735758</v>
      </c>
      <c r="H849">
        <f t="shared" si="53"/>
        <v>1.3679991020121502</v>
      </c>
      <c r="I849">
        <f t="shared" si="54"/>
        <v>-0.66085425606921899</v>
      </c>
      <c r="K849">
        <f t="shared" si="55"/>
        <v>-7.9689936828142113E-2</v>
      </c>
    </row>
    <row r="850" spans="1:11">
      <c r="A850">
        <v>848</v>
      </c>
      <c r="B850">
        <v>76</v>
      </c>
      <c r="C850">
        <v>12</v>
      </c>
      <c r="D850">
        <v>121</v>
      </c>
      <c r="E850">
        <v>22</v>
      </c>
      <c r="G850">
        <f t="shared" si="52"/>
        <v>-0.73561254624351258</v>
      </c>
      <c r="H850">
        <f t="shared" si="53"/>
        <v>0.25208157613602522</v>
      </c>
      <c r="I850">
        <f t="shared" si="54"/>
        <v>-0.45585602340337245</v>
      </c>
      <c r="K850">
        <f t="shared" si="55"/>
        <v>-0.3131289978369533</v>
      </c>
    </row>
    <row r="851" spans="1:11">
      <c r="A851">
        <v>849</v>
      </c>
      <c r="B851">
        <v>67</v>
      </c>
      <c r="C851">
        <v>43</v>
      </c>
      <c r="D851">
        <v>22</v>
      </c>
      <c r="E851">
        <v>122</v>
      </c>
      <c r="G851">
        <f t="shared" si="52"/>
        <v>-0.1265865471315859</v>
      </c>
      <c r="H851">
        <f t="shared" si="53"/>
        <v>-0.43354232377825369</v>
      </c>
      <c r="I851">
        <f t="shared" si="54"/>
        <v>0.34281991602913442</v>
      </c>
      <c r="K851">
        <f t="shared" si="55"/>
        <v>-7.2436318293568377E-2</v>
      </c>
    </row>
    <row r="852" spans="1:11">
      <c r="A852">
        <v>850</v>
      </c>
      <c r="B852">
        <v>96</v>
      </c>
      <c r="C852">
        <v>177</v>
      </c>
      <c r="D852">
        <v>6722</v>
      </c>
      <c r="E852">
        <v>93</v>
      </c>
      <c r="G852">
        <f t="shared" si="52"/>
        <v>0.33172183331189226</v>
      </c>
      <c r="H852">
        <f t="shared" si="53"/>
        <v>1.8953370731942567</v>
      </c>
      <c r="I852">
        <f t="shared" si="54"/>
        <v>6.8746603569579359E-2</v>
      </c>
      <c r="K852">
        <f t="shared" si="55"/>
        <v>0.76526850335857599</v>
      </c>
    </row>
    <row r="853" spans="1:11">
      <c r="A853">
        <v>851</v>
      </c>
      <c r="B853">
        <v>25</v>
      </c>
      <c r="C853">
        <v>1</v>
      </c>
      <c r="D853">
        <v>1</v>
      </c>
      <c r="E853">
        <v>2</v>
      </c>
      <c r="G853">
        <f t="shared" si="52"/>
        <v>-1.3319202086823836</v>
      </c>
      <c r="H853">
        <f t="shared" si="53"/>
        <v>-1.3478302105716711</v>
      </c>
      <c r="I853">
        <f t="shared" si="54"/>
        <v>-1.0143751249528439</v>
      </c>
      <c r="K853">
        <f t="shared" si="55"/>
        <v>-1.2313751814022995</v>
      </c>
    </row>
    <row r="854" spans="1:11">
      <c r="A854">
        <v>852</v>
      </c>
      <c r="B854">
        <v>147</v>
      </c>
      <c r="C854">
        <v>2</v>
      </c>
      <c r="D854">
        <v>11</v>
      </c>
      <c r="E854">
        <v>55</v>
      </c>
      <c r="G854">
        <f t="shared" si="52"/>
        <v>-1.8002675390945411</v>
      </c>
      <c r="H854">
        <f t="shared" si="53"/>
        <v>-1.0758148514895847</v>
      </c>
      <c r="I854">
        <f t="shared" si="54"/>
        <v>-0.34441975719871959</v>
      </c>
      <c r="K854">
        <f t="shared" si="55"/>
        <v>-1.0735007159276151</v>
      </c>
    </row>
    <row r="855" spans="1:11">
      <c r="A855">
        <v>853</v>
      </c>
      <c r="B855">
        <v>168</v>
      </c>
      <c r="C855">
        <v>101</v>
      </c>
      <c r="D855">
        <v>112</v>
      </c>
      <c r="E855">
        <v>86</v>
      </c>
      <c r="G855">
        <f t="shared" si="52"/>
        <v>-0.1549681079535663</v>
      </c>
      <c r="H855">
        <f t="shared" si="53"/>
        <v>-0.12598146095531476</v>
      </c>
      <c r="I855">
        <f t="shared" si="54"/>
        <v>-0.20827594242708253</v>
      </c>
      <c r="K855">
        <f t="shared" si="55"/>
        <v>-0.16307517044532119</v>
      </c>
    </row>
    <row r="856" spans="1:11">
      <c r="A856">
        <v>854</v>
      </c>
      <c r="B856">
        <v>214</v>
      </c>
      <c r="C856">
        <v>278</v>
      </c>
      <c r="D856">
        <v>98</v>
      </c>
      <c r="E856">
        <v>100</v>
      </c>
      <c r="G856">
        <f t="shared" si="52"/>
        <v>0.17965082255853945</v>
      </c>
      <c r="H856">
        <f t="shared" si="53"/>
        <v>-0.28907789955632951</v>
      </c>
      <c r="I856">
        <f t="shared" si="54"/>
        <v>-0.24787888529397822</v>
      </c>
      <c r="K856">
        <f t="shared" si="55"/>
        <v>-0.11910198743058942</v>
      </c>
    </row>
    <row r="857" spans="1:11">
      <c r="A857">
        <v>855</v>
      </c>
      <c r="B857">
        <v>128</v>
      </c>
      <c r="C857">
        <v>67</v>
      </c>
      <c r="D857">
        <v>32</v>
      </c>
      <c r="E857">
        <v>35</v>
      </c>
      <c r="G857">
        <f t="shared" si="52"/>
        <v>-0.21511536695738792</v>
      </c>
      <c r="H857">
        <f t="shared" si="53"/>
        <v>-0.55195019322759586</v>
      </c>
      <c r="I857">
        <f t="shared" si="54"/>
        <v>-0.48060703724238013</v>
      </c>
      <c r="K857">
        <f t="shared" si="55"/>
        <v>-0.41589086580912132</v>
      </c>
    </row>
    <row r="858" spans="1:11">
      <c r="A858">
        <v>856</v>
      </c>
      <c r="B858">
        <v>131</v>
      </c>
      <c r="C858">
        <v>6</v>
      </c>
      <c r="D858">
        <v>52</v>
      </c>
      <c r="E858">
        <v>35</v>
      </c>
      <c r="G858">
        <f t="shared" si="52"/>
        <v>-1.2731002452824667</v>
      </c>
      <c r="H858">
        <f t="shared" si="53"/>
        <v>-0.35115815392059863</v>
      </c>
      <c r="I858">
        <f t="shared" si="54"/>
        <v>-0.49066836325027602</v>
      </c>
      <c r="K858">
        <f t="shared" si="55"/>
        <v>-0.70497558748444711</v>
      </c>
    </row>
    <row r="859" spans="1:11">
      <c r="A859">
        <v>857</v>
      </c>
      <c r="B859">
        <v>110</v>
      </c>
      <c r="C859">
        <v>28</v>
      </c>
      <c r="D859">
        <v>16</v>
      </c>
      <c r="E859">
        <v>35</v>
      </c>
      <c r="G859">
        <f t="shared" si="52"/>
        <v>-0.5282148538263518</v>
      </c>
      <c r="H859">
        <f t="shared" si="53"/>
        <v>-0.78716290440193371</v>
      </c>
      <c r="I859">
        <f t="shared" si="54"/>
        <v>-0.41478975275273677</v>
      </c>
      <c r="K859">
        <f t="shared" si="55"/>
        <v>-0.57672250366034072</v>
      </c>
    </row>
    <row r="860" spans="1:11">
      <c r="A860">
        <v>858</v>
      </c>
      <c r="B860">
        <v>94</v>
      </c>
      <c r="C860">
        <v>16</v>
      </c>
      <c r="D860">
        <v>11</v>
      </c>
      <c r="E860">
        <v>96</v>
      </c>
      <c r="G860">
        <f t="shared" si="52"/>
        <v>-0.70298807095411986</v>
      </c>
      <c r="H860">
        <f t="shared" si="53"/>
        <v>-0.88162537034110711</v>
      </c>
      <c r="I860">
        <f t="shared" si="54"/>
        <v>9.1678267495082372E-2</v>
      </c>
      <c r="K860">
        <f t="shared" si="55"/>
        <v>-0.49764505793338154</v>
      </c>
    </row>
    <row r="861" spans="1:11">
      <c r="A861">
        <v>859</v>
      </c>
      <c r="B861">
        <v>58</v>
      </c>
      <c r="C861">
        <v>202</v>
      </c>
      <c r="D861">
        <v>105</v>
      </c>
      <c r="E861">
        <v>45</v>
      </c>
      <c r="G861">
        <f t="shared" si="52"/>
        <v>0.60794317587334046</v>
      </c>
      <c r="H861">
        <f t="shared" si="53"/>
        <v>0.30787110360736725</v>
      </c>
      <c r="I861">
        <f t="shared" si="54"/>
        <v>-2.7680591732380952E-2</v>
      </c>
      <c r="K861">
        <f t="shared" si="55"/>
        <v>0.29604456258277562</v>
      </c>
    </row>
    <row r="862" spans="1:11">
      <c r="A862">
        <v>860</v>
      </c>
      <c r="B862">
        <v>22</v>
      </c>
      <c r="C862">
        <v>0</v>
      </c>
      <c r="D862">
        <v>0</v>
      </c>
      <c r="E862">
        <v>0</v>
      </c>
      <c r="G862" t="e">
        <f t="shared" si="52"/>
        <v>#NUM!</v>
      </c>
      <c r="H862" t="e">
        <f t="shared" si="53"/>
        <v>#NUM!</v>
      </c>
      <c r="I862" t="e">
        <f t="shared" si="54"/>
        <v>#NUM!</v>
      </c>
      <c r="K862" t="e">
        <f t="shared" si="55"/>
        <v>#NUM!</v>
      </c>
    </row>
    <row r="863" spans="1:11">
      <c r="A863">
        <v>861</v>
      </c>
      <c r="B863">
        <v>90</v>
      </c>
      <c r="C863">
        <v>168</v>
      </c>
      <c r="D863">
        <v>171</v>
      </c>
      <c r="E863">
        <v>116</v>
      </c>
      <c r="G863">
        <f t="shared" si="52"/>
        <v>0.33708657227619199</v>
      </c>
      <c r="H863">
        <f t="shared" si="53"/>
        <v>0.32886339905319539</v>
      </c>
      <c r="I863">
        <f t="shared" si="54"/>
        <v>0.1927503678428063</v>
      </c>
      <c r="K863">
        <f t="shared" si="55"/>
        <v>0.28623344639073123</v>
      </c>
    </row>
    <row r="864" spans="1:11">
      <c r="A864">
        <v>862</v>
      </c>
      <c r="B864">
        <v>55</v>
      </c>
      <c r="C864">
        <v>42</v>
      </c>
      <c r="D864">
        <v>62</v>
      </c>
      <c r="E864">
        <v>63</v>
      </c>
      <c r="G864">
        <f t="shared" si="52"/>
        <v>-5.1093599106689369E-2</v>
      </c>
      <c r="H864">
        <f t="shared" si="53"/>
        <v>0.10213879810437648</v>
      </c>
      <c r="I864">
        <f t="shared" si="54"/>
        <v>0.14151274801455055</v>
      </c>
      <c r="K864">
        <f t="shared" si="55"/>
        <v>6.4185982337412559E-2</v>
      </c>
    </row>
    <row r="865" spans="1:11">
      <c r="A865">
        <v>863</v>
      </c>
      <c r="B865">
        <v>99</v>
      </c>
      <c r="C865">
        <v>50</v>
      </c>
      <c r="D865">
        <v>40</v>
      </c>
      <c r="E865">
        <v>61</v>
      </c>
      <c r="G865">
        <f t="shared" si="52"/>
        <v>-0.23064539027187708</v>
      </c>
      <c r="H865">
        <f t="shared" si="53"/>
        <v>-0.34346540516922108</v>
      </c>
      <c r="I865">
        <f t="shared" si="54"/>
        <v>-0.12777047153157023</v>
      </c>
      <c r="K865">
        <f t="shared" si="55"/>
        <v>-0.23396042232422279</v>
      </c>
    </row>
    <row r="866" spans="1:11">
      <c r="A866">
        <v>864</v>
      </c>
      <c r="B866">
        <v>54</v>
      </c>
      <c r="C866">
        <v>38</v>
      </c>
      <c r="D866">
        <v>61</v>
      </c>
      <c r="E866">
        <v>73</v>
      </c>
      <c r="G866">
        <f t="shared" si="52"/>
        <v>-8.6590363216504332E-2</v>
      </c>
      <c r="H866">
        <f t="shared" si="53"/>
        <v>0.10304587328816497</v>
      </c>
      <c r="I866">
        <f t="shared" si="54"/>
        <v>0.21346398835270003</v>
      </c>
      <c r="K866">
        <f t="shared" si="55"/>
        <v>7.6639832808120215E-2</v>
      </c>
    </row>
    <row r="867" spans="1:11">
      <c r="A867">
        <v>865</v>
      </c>
      <c r="B867">
        <v>141</v>
      </c>
      <c r="C867">
        <v>28</v>
      </c>
      <c r="D867">
        <v>18</v>
      </c>
      <c r="E867">
        <v>49</v>
      </c>
      <c r="G867">
        <f t="shared" si="52"/>
        <v>-0.63604128132350668</v>
      </c>
      <c r="H867">
        <f t="shared" si="53"/>
        <v>-0.84383680945170736</v>
      </c>
      <c r="I867">
        <f t="shared" si="54"/>
        <v>-0.37648814457165358</v>
      </c>
      <c r="K867">
        <f t="shared" si="55"/>
        <v>-0.61878874511562254</v>
      </c>
    </row>
    <row r="868" spans="1:11">
      <c r="A868">
        <v>866</v>
      </c>
      <c r="B868">
        <v>44</v>
      </c>
      <c r="C868">
        <v>3</v>
      </c>
      <c r="D868">
        <v>1</v>
      </c>
      <c r="E868">
        <v>4</v>
      </c>
      <c r="G868">
        <f t="shared" si="52"/>
        <v>-1.1003116217768711</v>
      </c>
      <c r="H868">
        <f t="shared" si="53"/>
        <v>-1.593342878385821</v>
      </c>
      <c r="I868">
        <f t="shared" si="54"/>
        <v>-0.95885779710301222</v>
      </c>
      <c r="K868">
        <f t="shared" si="55"/>
        <v>-1.2175040990885682</v>
      </c>
    </row>
    <row r="869" spans="1:11">
      <c r="A869">
        <v>867</v>
      </c>
      <c r="B869">
        <v>40</v>
      </c>
      <c r="C869">
        <v>0</v>
      </c>
      <c r="D869">
        <v>2</v>
      </c>
      <c r="E869">
        <v>1</v>
      </c>
      <c r="G869" t="e">
        <f t="shared" si="52"/>
        <v>#NUM!</v>
      </c>
      <c r="H869">
        <f t="shared" si="53"/>
        <v>-1.2509201975636148</v>
      </c>
      <c r="I869">
        <f t="shared" si="54"/>
        <v>-1.5195251032727497</v>
      </c>
      <c r="K869" t="e">
        <f t="shared" si="55"/>
        <v>#NUM!</v>
      </c>
    </row>
    <row r="870" spans="1:11">
      <c r="A870">
        <v>868</v>
      </c>
      <c r="B870">
        <v>42</v>
      </c>
      <c r="C870">
        <v>0</v>
      </c>
      <c r="D870">
        <v>0</v>
      </c>
      <c r="E870">
        <v>0</v>
      </c>
      <c r="G870" t="e">
        <f t="shared" si="52"/>
        <v>#NUM!</v>
      </c>
      <c r="H870" t="e">
        <f t="shared" si="53"/>
        <v>#NUM!</v>
      </c>
      <c r="I870" t="e">
        <f t="shared" si="54"/>
        <v>#NUM!</v>
      </c>
      <c r="K870" t="e">
        <f t="shared" si="55"/>
        <v>#NUM!</v>
      </c>
    </row>
    <row r="871" spans="1:11">
      <c r="A871">
        <v>869</v>
      </c>
      <c r="B871">
        <v>130</v>
      </c>
      <c r="C871">
        <v>148</v>
      </c>
      <c r="D871">
        <v>83</v>
      </c>
      <c r="E871">
        <v>320</v>
      </c>
      <c r="G871">
        <f t="shared" si="52"/>
        <v>0.12233816307777459</v>
      </c>
      <c r="H871">
        <f t="shared" si="53"/>
        <v>-0.14475546183039639</v>
      </c>
      <c r="I871">
        <f t="shared" si="54"/>
        <v>0.47374151406828185</v>
      </c>
      <c r="K871">
        <f t="shared" si="55"/>
        <v>0.15044140510522</v>
      </c>
    </row>
    <row r="872" spans="1:11">
      <c r="A872">
        <v>870</v>
      </c>
      <c r="B872">
        <v>44</v>
      </c>
      <c r="C872">
        <v>1</v>
      </c>
      <c r="D872">
        <v>0</v>
      </c>
      <c r="E872">
        <v>0</v>
      </c>
      <c r="G872">
        <f t="shared" si="52"/>
        <v>-1.5774328764965335</v>
      </c>
      <c r="H872" t="e">
        <f t="shared" si="53"/>
        <v>#NUM!</v>
      </c>
      <c r="I872" t="e">
        <f t="shared" si="54"/>
        <v>#NUM!</v>
      </c>
      <c r="K872" t="e">
        <f t="shared" si="55"/>
        <v>#NUM!</v>
      </c>
    </row>
    <row r="873" spans="1:11">
      <c r="A873">
        <v>871</v>
      </c>
      <c r="B873">
        <v>87</v>
      </c>
      <c r="C873">
        <v>92</v>
      </c>
      <c r="D873">
        <v>249</v>
      </c>
      <c r="E873">
        <v>52</v>
      </c>
      <c r="G873">
        <f t="shared" si="52"/>
        <v>9.0288374716590764E-2</v>
      </c>
      <c r="H873">
        <f t="shared" si="53"/>
        <v>0.5067898925774843</v>
      </c>
      <c r="I873">
        <f t="shared" si="54"/>
        <v>-0.14098102092860665</v>
      </c>
      <c r="K873">
        <f t="shared" si="55"/>
        <v>0.15203241545515614</v>
      </c>
    </row>
    <row r="874" spans="1:11">
      <c r="A874">
        <v>872</v>
      </c>
      <c r="B874">
        <v>13</v>
      </c>
      <c r="C874">
        <v>0</v>
      </c>
      <c r="D874">
        <v>1</v>
      </c>
      <c r="E874">
        <v>1</v>
      </c>
      <c r="G874" t="e">
        <f t="shared" si="52"/>
        <v>#NUM!</v>
      </c>
      <c r="H874">
        <f t="shared" si="53"/>
        <v>-1.0638335542064703</v>
      </c>
      <c r="I874">
        <f t="shared" si="54"/>
        <v>-1.0314084642516241</v>
      </c>
      <c r="K874" t="e">
        <f t="shared" si="55"/>
        <v>#NUM!</v>
      </c>
    </row>
    <row r="875" spans="1:11">
      <c r="A875">
        <v>873</v>
      </c>
      <c r="B875">
        <v>52</v>
      </c>
      <c r="C875">
        <v>51</v>
      </c>
      <c r="D875">
        <v>102</v>
      </c>
      <c r="E875">
        <v>31</v>
      </c>
      <c r="G875">
        <f t="shared" si="52"/>
        <v>5.7586632452791192E-2</v>
      </c>
      <c r="H875">
        <f t="shared" si="53"/>
        <v>0.34270662622748488</v>
      </c>
      <c r="I875">
        <f t="shared" si="54"/>
        <v>-0.14210676174531384</v>
      </c>
      <c r="K875">
        <f t="shared" si="55"/>
        <v>8.6062165644987421E-2</v>
      </c>
    </row>
    <row r="876" spans="1:11">
      <c r="A876">
        <v>874</v>
      </c>
      <c r="B876">
        <v>224</v>
      </c>
      <c r="C876">
        <v>127</v>
      </c>
      <c r="D876">
        <v>112</v>
      </c>
      <c r="E876">
        <v>265</v>
      </c>
      <c r="G876">
        <f t="shared" si="52"/>
        <v>-0.18042449738855193</v>
      </c>
      <c r="H876">
        <f t="shared" si="53"/>
        <v>-0.25092019756361472</v>
      </c>
      <c r="I876">
        <f t="shared" si="54"/>
        <v>0.15553274365785766</v>
      </c>
      <c r="K876">
        <f t="shared" si="55"/>
        <v>-9.1937317098103002E-2</v>
      </c>
    </row>
    <row r="877" spans="1:11">
      <c r="A877">
        <v>875</v>
      </c>
      <c r="B877">
        <v>41</v>
      </c>
      <c r="C877">
        <v>5</v>
      </c>
      <c r="D877">
        <v>3</v>
      </c>
      <c r="E877">
        <v>6</v>
      </c>
      <c r="G877">
        <f t="shared" si="52"/>
        <v>-0.84779405239406269</v>
      </c>
      <c r="H877">
        <f t="shared" si="53"/>
        <v>-1.0855528038997067</v>
      </c>
      <c r="I877">
        <f t="shared" si="54"/>
        <v>-0.75209771828087923</v>
      </c>
      <c r="K877">
        <f t="shared" si="55"/>
        <v>-0.8951481915248829</v>
      </c>
    </row>
    <row r="878" spans="1:11">
      <c r="A878">
        <v>876</v>
      </c>
      <c r="B878">
        <v>76</v>
      </c>
      <c r="C878">
        <v>40</v>
      </c>
      <c r="D878">
        <v>22</v>
      </c>
      <c r="E878">
        <v>15</v>
      </c>
      <c r="G878">
        <f t="shared" si="52"/>
        <v>-0.21273380096317496</v>
      </c>
      <c r="H878">
        <f t="shared" si="53"/>
        <v>-0.48828111335821861</v>
      </c>
      <c r="I878">
        <f t="shared" si="54"/>
        <v>-0.62218744516989744</v>
      </c>
      <c r="K878">
        <f t="shared" si="55"/>
        <v>-0.44106745316376367</v>
      </c>
    </row>
    <row r="879" spans="1:11">
      <c r="A879">
        <v>877</v>
      </c>
      <c r="B879">
        <v>90</v>
      </c>
      <c r="C879">
        <v>11</v>
      </c>
      <c r="D879">
        <v>6</v>
      </c>
      <c r="E879">
        <v>25</v>
      </c>
      <c r="G879">
        <f t="shared" si="52"/>
        <v>-0.84683002429144583</v>
      </c>
      <c r="H879">
        <f t="shared" si="53"/>
        <v>-1.1259814609553149</v>
      </c>
      <c r="I879">
        <f t="shared" si="54"/>
        <v>-0.47376761271207463</v>
      </c>
      <c r="K879">
        <f t="shared" si="55"/>
        <v>-0.81552636598627837</v>
      </c>
    </row>
    <row r="880" spans="1:11">
      <c r="A880">
        <v>878</v>
      </c>
      <c r="B880">
        <v>93</v>
      </c>
      <c r="C880">
        <v>59</v>
      </c>
      <c r="D880">
        <v>242</v>
      </c>
      <c r="E880">
        <v>43</v>
      </c>
      <c r="G880">
        <f t="shared" si="52"/>
        <v>-0.13161113692213694</v>
      </c>
      <c r="H880">
        <f t="shared" si="53"/>
        <v>0.4654422155268626</v>
      </c>
      <c r="I880">
        <f t="shared" si="54"/>
        <v>-0.25247960491913596</v>
      </c>
      <c r="K880">
        <f t="shared" si="55"/>
        <v>2.7117157895196569E-2</v>
      </c>
    </row>
    <row r="881" spans="1:11">
      <c r="A881">
        <v>879</v>
      </c>
      <c r="B881">
        <v>119</v>
      </c>
      <c r="C881">
        <v>10</v>
      </c>
      <c r="D881">
        <v>14</v>
      </c>
      <c r="E881">
        <v>520</v>
      </c>
      <c r="G881">
        <f t="shared" si="52"/>
        <v>-1.0095271614028769</v>
      </c>
      <c r="H881">
        <f t="shared" si="53"/>
        <v>-0.87930912761392621</v>
      </c>
      <c r="I881">
        <f t="shared" si="54"/>
        <v>0.722991270297481</v>
      </c>
      <c r="K881">
        <f t="shared" si="55"/>
        <v>-0.38861500623977402</v>
      </c>
    </row>
    <row r="882" spans="1:11">
      <c r="A882">
        <v>880</v>
      </c>
      <c r="B882">
        <v>99</v>
      </c>
      <c r="C882">
        <v>19</v>
      </c>
      <c r="D882">
        <v>16</v>
      </c>
      <c r="E882">
        <v>10</v>
      </c>
      <c r="G882">
        <f t="shared" si="52"/>
        <v>-0.65086179365506702</v>
      </c>
      <c r="H882">
        <f t="shared" si="53"/>
        <v>-0.74140541384125858</v>
      </c>
      <c r="I882">
        <f t="shared" si="54"/>
        <v>-0.9131003065423372</v>
      </c>
      <c r="K882">
        <f t="shared" si="55"/>
        <v>-0.76845583801288753</v>
      </c>
    </row>
    <row r="883" spans="1:11">
      <c r="A883">
        <v>881</v>
      </c>
      <c r="B883">
        <v>31</v>
      </c>
      <c r="C883">
        <v>0</v>
      </c>
      <c r="D883">
        <v>0</v>
      </c>
      <c r="E883">
        <v>0</v>
      </c>
      <c r="G883" t="e">
        <f t="shared" si="52"/>
        <v>#NUM!</v>
      </c>
      <c r="H883" t="e">
        <f t="shared" si="53"/>
        <v>#NUM!</v>
      </c>
      <c r="I883" t="e">
        <f t="shared" si="54"/>
        <v>#NUM!</v>
      </c>
      <c r="K883" t="e">
        <f t="shared" si="55"/>
        <v>#NUM!</v>
      </c>
    </row>
    <row r="884" spans="1:11">
      <c r="A884">
        <v>882</v>
      </c>
      <c r="B884">
        <v>128</v>
      </c>
      <c r="C884">
        <v>181</v>
      </c>
      <c r="D884">
        <v>283</v>
      </c>
      <c r="E884">
        <v>82</v>
      </c>
      <c r="G884">
        <f t="shared" si="52"/>
        <v>0.21648840521097013</v>
      </c>
      <c r="H884">
        <f t="shared" si="53"/>
        <v>0.39468626397678835</v>
      </c>
      <c r="I884">
        <f t="shared" si="54"/>
        <v>-0.11086122920893902</v>
      </c>
      <c r="K884">
        <f t="shared" si="55"/>
        <v>0.16677114665960646</v>
      </c>
    </row>
    <row r="885" spans="1:11">
      <c r="A885">
        <v>883</v>
      </c>
      <c r="B885">
        <v>30</v>
      </c>
      <c r="C885">
        <v>27</v>
      </c>
      <c r="D885">
        <v>78</v>
      </c>
      <c r="E885">
        <v>39</v>
      </c>
      <c r="G885">
        <f t="shared" si="52"/>
        <v>2.0262309428978886E-2</v>
      </c>
      <c r="H885">
        <f t="shared" si="53"/>
        <v>0.46508314607118445</v>
      </c>
      <c r="I885">
        <f t="shared" si="54"/>
        <v>0.19647824036204944</v>
      </c>
      <c r="K885">
        <f t="shared" si="55"/>
        <v>0.22727456528740428</v>
      </c>
    </row>
    <row r="886" spans="1:11">
      <c r="A886">
        <v>884</v>
      </c>
      <c r="B886">
        <v>136</v>
      </c>
      <c r="C886">
        <v>12</v>
      </c>
      <c r="D886">
        <v>33</v>
      </c>
      <c r="E886">
        <v>24</v>
      </c>
      <c r="G886">
        <f t="shared" si="52"/>
        <v>-0.98833786233293874</v>
      </c>
      <c r="H886">
        <f t="shared" si="53"/>
        <v>-0.56491517039196348</v>
      </c>
      <c r="I886">
        <f t="shared" si="54"/>
        <v>-0.67079277860339881</v>
      </c>
      <c r="K886">
        <f t="shared" si="55"/>
        <v>-0.74134860377610023</v>
      </c>
    </row>
    <row r="887" spans="1:11">
      <c r="A887">
        <v>885</v>
      </c>
      <c r="B887">
        <v>8</v>
      </c>
      <c r="C887">
        <v>0</v>
      </c>
      <c r="D887">
        <v>0</v>
      </c>
      <c r="E887">
        <v>0</v>
      </c>
      <c r="G887" t="e">
        <f t="shared" si="52"/>
        <v>#NUM!</v>
      </c>
      <c r="H887" t="e">
        <f t="shared" si="53"/>
        <v>#NUM!</v>
      </c>
      <c r="I887" t="e">
        <f t="shared" si="54"/>
        <v>#NUM!</v>
      </c>
      <c r="K887" t="e">
        <f t="shared" si="55"/>
        <v>#NUM!</v>
      </c>
    </row>
    <row r="888" spans="1:11">
      <c r="A888">
        <v>886</v>
      </c>
      <c r="B888">
        <v>90</v>
      </c>
      <c r="C888">
        <v>199</v>
      </c>
      <c r="D888">
        <v>40</v>
      </c>
      <c r="E888">
        <v>67</v>
      </c>
      <c r="G888">
        <f t="shared" si="52"/>
        <v>0.4106303669600358</v>
      </c>
      <c r="H888">
        <f t="shared" si="53"/>
        <v>-0.30207272001099605</v>
      </c>
      <c r="I888">
        <f t="shared" si="54"/>
        <v>-4.5632818683285767E-2</v>
      </c>
      <c r="K888">
        <f t="shared" si="55"/>
        <v>2.0974942755251327E-2</v>
      </c>
    </row>
    <row r="889" spans="1:11">
      <c r="A889">
        <v>887</v>
      </c>
      <c r="B889">
        <v>207</v>
      </c>
      <c r="C889">
        <v>342</v>
      </c>
      <c r="D889">
        <v>406</v>
      </c>
      <c r="E889">
        <v>779</v>
      </c>
      <c r="G889">
        <f t="shared" si="52"/>
        <v>0.28407556058887129</v>
      </c>
      <c r="H889">
        <f t="shared" si="53"/>
        <v>0.34266548622064286</v>
      </c>
      <c r="I889">
        <f t="shared" si="54"/>
        <v>0.65810200027085941</v>
      </c>
      <c r="K889">
        <f t="shared" si="55"/>
        <v>0.42828101569345783</v>
      </c>
    </row>
    <row r="890" spans="1:11">
      <c r="A890">
        <v>888</v>
      </c>
      <c r="B890">
        <v>50</v>
      </c>
      <c r="C890">
        <v>6</v>
      </c>
      <c r="D890">
        <v>9</v>
      </c>
      <c r="E890">
        <v>8</v>
      </c>
      <c r="G890">
        <f t="shared" si="52"/>
        <v>-0.85479895396272121</v>
      </c>
      <c r="H890">
        <f t="shared" si="53"/>
        <v>-0.69461769679632746</v>
      </c>
      <c r="I890">
        <f t="shared" si="54"/>
        <v>-0.71334512928886251</v>
      </c>
      <c r="K890">
        <f t="shared" si="55"/>
        <v>-0.75425392668263713</v>
      </c>
    </row>
    <row r="891" spans="1:11">
      <c r="A891">
        <v>889</v>
      </c>
      <c r="B891">
        <v>136</v>
      </c>
      <c r="C891">
        <v>91</v>
      </c>
      <c r="D891">
        <v>52</v>
      </c>
      <c r="E891">
        <v>326</v>
      </c>
      <c r="G891">
        <f t="shared" si="52"/>
        <v>-0.10847771605946994</v>
      </c>
      <c r="H891">
        <f t="shared" si="53"/>
        <v>-0.36742576663505189</v>
      </c>
      <c r="I891">
        <f t="shared" si="54"/>
        <v>0.46221357975293409</v>
      </c>
      <c r="K891">
        <f t="shared" si="55"/>
        <v>-4.563300980529243E-3</v>
      </c>
    </row>
    <row r="892" spans="1:11">
      <c r="A892">
        <v>890</v>
      </c>
      <c r="B892">
        <v>56</v>
      </c>
      <c r="C892">
        <v>22</v>
      </c>
      <c r="D892">
        <v>37</v>
      </c>
      <c r="E892">
        <v>26</v>
      </c>
      <c r="G892">
        <f t="shared" si="52"/>
        <v>-0.33974554619434016</v>
      </c>
      <c r="H892">
        <f t="shared" si="53"/>
        <v>-0.12987650483883895</v>
      </c>
      <c r="I892">
        <f t="shared" si="54"/>
        <v>-0.25067979098016979</v>
      </c>
      <c r="K892">
        <f t="shared" si="55"/>
        <v>-0.24010061400444963</v>
      </c>
    </row>
    <row r="893" spans="1:11">
      <c r="A893">
        <v>891</v>
      </c>
      <c r="B893">
        <v>155</v>
      </c>
      <c r="C893">
        <v>1</v>
      </c>
      <c r="D893">
        <v>11</v>
      </c>
      <c r="E893">
        <v>25</v>
      </c>
      <c r="G893">
        <f t="shared" si="52"/>
        <v>-2.1243118981806375</v>
      </c>
      <c r="H893">
        <f t="shared" si="53"/>
        <v>-1.0988292149117</v>
      </c>
      <c r="I893">
        <f t="shared" si="54"/>
        <v>-0.7098568014430412</v>
      </c>
      <c r="K893">
        <f t="shared" si="55"/>
        <v>-1.3109993048451261</v>
      </c>
    </row>
    <row r="894" spans="1:11">
      <c r="A894">
        <v>892</v>
      </c>
      <c r="B894">
        <v>11</v>
      </c>
      <c r="C894">
        <v>0</v>
      </c>
      <c r="D894">
        <v>2</v>
      </c>
      <c r="E894">
        <v>1</v>
      </c>
      <c r="G894" t="e">
        <f t="shared" si="52"/>
        <v>#NUM!</v>
      </c>
      <c r="H894">
        <f t="shared" si="53"/>
        <v>-0.69025289139387735</v>
      </c>
      <c r="I894">
        <f t="shared" si="54"/>
        <v>-0.95885779710301222</v>
      </c>
      <c r="K894" t="e">
        <f t="shared" si="55"/>
        <v>#NUM!</v>
      </c>
    </row>
    <row r="895" spans="1:11">
      <c r="A895">
        <v>893</v>
      </c>
      <c r="B895">
        <v>87</v>
      </c>
      <c r="C895">
        <v>2</v>
      </c>
      <c r="D895">
        <v>6</v>
      </c>
      <c r="E895">
        <v>5</v>
      </c>
      <c r="G895">
        <f t="shared" si="52"/>
        <v>-1.5724694569649835</v>
      </c>
      <c r="H895">
        <f t="shared" si="53"/>
        <v>-1.1112582041346084</v>
      </c>
      <c r="I895">
        <f t="shared" si="54"/>
        <v>-1.1580143602273871</v>
      </c>
      <c r="K895">
        <f t="shared" si="55"/>
        <v>-1.2805806737756598</v>
      </c>
    </row>
    <row r="896" spans="1:11">
      <c r="A896">
        <v>894</v>
      </c>
      <c r="B896">
        <v>112</v>
      </c>
      <c r="C896">
        <v>4</v>
      </c>
      <c r="D896">
        <v>6</v>
      </c>
      <c r="E896">
        <v>3</v>
      </c>
      <c r="G896">
        <f t="shared" si="52"/>
        <v>-1.3811382313525653</v>
      </c>
      <c r="H896">
        <f t="shared" si="53"/>
        <v>-1.2209569741861717</v>
      </c>
      <c r="I896">
        <f t="shared" si="54"/>
        <v>-1.4895618798953065</v>
      </c>
      <c r="K896">
        <f t="shared" si="55"/>
        <v>-1.3638856951446812</v>
      </c>
    </row>
    <row r="897" spans="1:11">
      <c r="A897">
        <v>895</v>
      </c>
      <c r="B897">
        <v>87</v>
      </c>
      <c r="C897">
        <v>0</v>
      </c>
      <c r="D897">
        <v>5</v>
      </c>
      <c r="E897">
        <v>6</v>
      </c>
      <c r="G897" t="e">
        <f t="shared" si="52"/>
        <v>#NUM!</v>
      </c>
      <c r="H897">
        <f t="shared" si="53"/>
        <v>-1.1904394501822333</v>
      </c>
      <c r="I897">
        <f t="shared" si="54"/>
        <v>-1.0788331141797622</v>
      </c>
      <c r="K897" t="e">
        <f t="shared" si="55"/>
        <v>#NUM!</v>
      </c>
    </row>
    <row r="898" spans="1:11">
      <c r="A898">
        <v>896</v>
      </c>
      <c r="B898">
        <v>93</v>
      </c>
      <c r="C898">
        <v>96</v>
      </c>
      <c r="D898">
        <v>16</v>
      </c>
      <c r="E898">
        <v>18</v>
      </c>
      <c r="G898">
        <f t="shared" si="52"/>
        <v>7.9808084475287283E-2</v>
      </c>
      <c r="H898">
        <f t="shared" si="53"/>
        <v>-0.71425316779764381</v>
      </c>
      <c r="I898">
        <f t="shared" si="54"/>
        <v>-0.63067555539541631</v>
      </c>
      <c r="K898">
        <f t="shared" si="55"/>
        <v>-0.42170687957259095</v>
      </c>
    </row>
    <row r="899" spans="1:11">
      <c r="A899">
        <v>897</v>
      </c>
      <c r="B899">
        <v>105</v>
      </c>
      <c r="C899">
        <v>9</v>
      </c>
      <c r="D899">
        <v>35</v>
      </c>
      <c r="E899">
        <v>16</v>
      </c>
      <c r="G899">
        <f t="shared" ref="G899:G910" si="56">LOG10(C899/B899)-LOG10(134/156)</f>
        <v>-1.0009269896409594</v>
      </c>
      <c r="H899">
        <f t="shared" ref="H899:H910" si="57">LOG10(D899/B899)-LOG10(139/156)</f>
        <v>-0.42701145661929596</v>
      </c>
      <c r="I899">
        <f t="shared" ref="I899:I910" si="58">LOG10(E899/B899)-LOG10(129/156)</f>
        <v>-0.73453442835880056</v>
      </c>
      <c r="K899">
        <f t="shared" ref="K899:K910" si="59">AVERAGE(G899:I899)</f>
        <v>-0.7208242915396853</v>
      </c>
    </row>
    <row r="900" spans="1:11">
      <c r="A900">
        <v>898</v>
      </c>
      <c r="B900">
        <v>83</v>
      </c>
      <c r="C900">
        <v>29</v>
      </c>
      <c r="D900">
        <v>16</v>
      </c>
      <c r="E900">
        <v>20</v>
      </c>
      <c r="G900">
        <f t="shared" si="56"/>
        <v>-0.39066029448746376</v>
      </c>
      <c r="H900">
        <f t="shared" si="57"/>
        <v>-0.66484831161978253</v>
      </c>
      <c r="I900">
        <f t="shared" si="58"/>
        <v>-0.53551320865688001</v>
      </c>
      <c r="K900">
        <f t="shared" si="59"/>
        <v>-0.53034060492137547</v>
      </c>
    </row>
    <row r="901" spans="1:11">
      <c r="A901">
        <v>899</v>
      </c>
      <c r="B901">
        <v>149</v>
      </c>
      <c r="C901">
        <v>6453</v>
      </c>
      <c r="D901">
        <v>18</v>
      </c>
      <c r="E901">
        <v>31</v>
      </c>
      <c r="G901">
        <f t="shared" si="56"/>
        <v>1.7025951966845048</v>
      </c>
      <c r="H901">
        <f t="shared" si="57"/>
        <v>-0.86780396520860137</v>
      </c>
      <c r="I901">
        <f t="shared" si="58"/>
        <v>-0.59928968652278869</v>
      </c>
      <c r="K901">
        <f t="shared" si="59"/>
        <v>7.8500514984371564E-2</v>
      </c>
    </row>
    <row r="902" spans="1:11">
      <c r="A902">
        <v>900</v>
      </c>
      <c r="B902">
        <v>79</v>
      </c>
      <c r="C902">
        <v>181</v>
      </c>
      <c r="D902">
        <v>111</v>
      </c>
      <c r="E902">
        <v>67</v>
      </c>
      <c r="G902">
        <f t="shared" si="56"/>
        <v>0.42607128356839713</v>
      </c>
      <c r="H902">
        <f t="shared" si="57"/>
        <v>0.19780568559658246</v>
      </c>
      <c r="I902">
        <f t="shared" si="58"/>
        <v>1.0982599465597639E-2</v>
      </c>
      <c r="K902">
        <f t="shared" si="59"/>
        <v>0.21161985621019241</v>
      </c>
    </row>
    <row r="903" spans="1:11">
      <c r="A903">
        <v>901</v>
      </c>
      <c r="B903">
        <v>65</v>
      </c>
      <c r="C903">
        <v>9</v>
      </c>
      <c r="D903">
        <v>14</v>
      </c>
      <c r="E903">
        <v>20</v>
      </c>
      <c r="G903">
        <f t="shared" si="56"/>
        <v>-0.79265104721387669</v>
      </c>
      <c r="H903">
        <f t="shared" si="57"/>
        <v>-0.61667552286425098</v>
      </c>
      <c r="I903">
        <f t="shared" si="58"/>
        <v>-0.42934847292366168</v>
      </c>
      <c r="K903">
        <f t="shared" si="59"/>
        <v>-0.61289168100059643</v>
      </c>
    </row>
    <row r="904" spans="1:11">
      <c r="A904">
        <v>902</v>
      </c>
      <c r="B904">
        <v>24</v>
      </c>
      <c r="C904">
        <v>0</v>
      </c>
      <c r="D904">
        <v>0</v>
      </c>
      <c r="E904">
        <v>0</v>
      </c>
      <c r="G904" t="e">
        <f t="shared" si="56"/>
        <v>#NUM!</v>
      </c>
      <c r="H904" t="e">
        <f t="shared" si="57"/>
        <v>#NUM!</v>
      </c>
      <c r="I904" t="e">
        <f t="shared" si="58"/>
        <v>#NUM!</v>
      </c>
      <c r="K904" t="e">
        <f t="shared" si="59"/>
        <v>#NUM!</v>
      </c>
    </row>
    <row r="905" spans="1:11">
      <c r="A905">
        <v>903</v>
      </c>
      <c r="B905">
        <v>95</v>
      </c>
      <c r="C905">
        <v>32</v>
      </c>
      <c r="D905">
        <v>25</v>
      </c>
      <c r="E905">
        <v>29</v>
      </c>
      <c r="G905">
        <f t="shared" si="56"/>
        <v>-0.40655382697928777</v>
      </c>
      <c r="H905">
        <f t="shared" si="57"/>
        <v>-0.52967379851644369</v>
      </c>
      <c r="I905">
        <f t="shared" si="58"/>
        <v>-0.432790719334679</v>
      </c>
      <c r="K905">
        <f t="shared" si="59"/>
        <v>-0.45633944827680351</v>
      </c>
    </row>
    <row r="906" spans="1:11">
      <c r="A906">
        <v>904</v>
      </c>
      <c r="B906">
        <v>42</v>
      </c>
      <c r="C906">
        <v>17</v>
      </c>
      <c r="D906">
        <v>5</v>
      </c>
      <c r="E906">
        <v>8</v>
      </c>
      <c r="G906">
        <f t="shared" si="56"/>
        <v>-0.32678056902997249</v>
      </c>
      <c r="H906">
        <f t="shared" si="57"/>
        <v>-0.87416948796151517</v>
      </c>
      <c r="I906">
        <f t="shared" si="58"/>
        <v>-0.63762441535074421</v>
      </c>
      <c r="K906">
        <f t="shared" si="59"/>
        <v>-0.61285815744741068</v>
      </c>
    </row>
    <row r="907" spans="1:11">
      <c r="A907">
        <v>905</v>
      </c>
      <c r="B907">
        <v>122</v>
      </c>
      <c r="C907">
        <v>72</v>
      </c>
      <c r="D907">
        <v>89</v>
      </c>
      <c r="E907">
        <v>70</v>
      </c>
      <c r="G907">
        <f t="shared" si="56"/>
        <v>-0.16300753425382575</v>
      </c>
      <c r="H907">
        <f t="shared" si="57"/>
        <v>-8.686002592946894E-2</v>
      </c>
      <c r="I907">
        <f t="shared" si="58"/>
        <v>-0.15872690260527877</v>
      </c>
      <c r="K907">
        <f t="shared" si="59"/>
        <v>-0.13619815426285783</v>
      </c>
    </row>
    <row r="908" spans="1:11">
      <c r="A908">
        <v>906</v>
      </c>
      <c r="B908">
        <v>50</v>
      </c>
      <c r="C908">
        <v>1</v>
      </c>
      <c r="D908">
        <v>3</v>
      </c>
      <c r="E908">
        <v>2</v>
      </c>
      <c r="G908">
        <f t="shared" si="56"/>
        <v>-1.6329502043463648</v>
      </c>
      <c r="H908">
        <f t="shared" si="57"/>
        <v>-1.1717389515159899</v>
      </c>
      <c r="I908">
        <f t="shared" si="58"/>
        <v>-1.3154051206168249</v>
      </c>
      <c r="K908">
        <f t="shared" si="59"/>
        <v>-1.3733647588263933</v>
      </c>
    </row>
    <row r="909" spans="1:11">
      <c r="A909">
        <v>907</v>
      </c>
      <c r="B909">
        <v>69</v>
      </c>
      <c r="C909">
        <v>3</v>
      </c>
      <c r="D909">
        <v>3</v>
      </c>
      <c r="E909">
        <v>5</v>
      </c>
      <c r="G909">
        <f t="shared" si="56"/>
        <v>-1.2957080360279389</v>
      </c>
      <c r="H909">
        <f t="shared" si="57"/>
        <v>-1.3116180379172264</v>
      </c>
      <c r="I909">
        <f t="shared" si="58"/>
        <v>-1.0573441983460239</v>
      </c>
      <c r="K909">
        <f t="shared" si="59"/>
        <v>-1.2215567574303963</v>
      </c>
    </row>
    <row r="910" spans="1:11">
      <c r="A910">
        <v>908</v>
      </c>
      <c r="B910">
        <v>132</v>
      </c>
      <c r="C910">
        <v>126</v>
      </c>
      <c r="D910">
        <v>144</v>
      </c>
      <c r="E910">
        <v>106</v>
      </c>
      <c r="G910">
        <f t="shared" si="56"/>
        <v>4.5816413901367051E-2</v>
      </c>
      <c r="H910">
        <f t="shared" si="57"/>
        <v>8.7898358989766251E-2</v>
      </c>
      <c r="I910">
        <f t="shared" si="58"/>
        <v>-1.2733177885867003E-2</v>
      </c>
      <c r="K910">
        <f t="shared" si="59"/>
        <v>4.0327198335088771E-2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65C1-33DA-424C-A671-0B9E5E6E8173}">
  <dimension ref="A1:N910"/>
  <sheetViews>
    <sheetView workbookViewId="0">
      <selection activeCell="M3" sqref="M3:M910"/>
    </sheetView>
  </sheetViews>
  <sheetFormatPr baseColWidth="10" defaultRowHeight="18"/>
  <cols>
    <col min="13" max="13" width="49.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</v>
      </c>
      <c r="H1" t="s">
        <v>3</v>
      </c>
      <c r="I1" t="s">
        <v>4</v>
      </c>
      <c r="K1" t="s">
        <v>5</v>
      </c>
      <c r="M1" t="s">
        <v>0</v>
      </c>
      <c r="N1" t="s">
        <v>6</v>
      </c>
    </row>
    <row r="2" spans="1:14">
      <c r="A2" t="s">
        <v>7</v>
      </c>
      <c r="B2">
        <v>156</v>
      </c>
      <c r="C2">
        <v>134</v>
      </c>
      <c r="D2">
        <v>139</v>
      </c>
      <c r="E2">
        <v>129</v>
      </c>
      <c r="G2">
        <v>0</v>
      </c>
      <c r="H2">
        <v>0</v>
      </c>
      <c r="I2">
        <v>0</v>
      </c>
      <c r="K2">
        <v>0</v>
      </c>
    </row>
    <row r="3" spans="1:14">
      <c r="A3">
        <v>1</v>
      </c>
      <c r="B3">
        <v>87</v>
      </c>
      <c r="C3">
        <v>170</v>
      </c>
      <c r="D3">
        <v>303</v>
      </c>
      <c r="E3">
        <v>1969</v>
      </c>
      <c r="G3">
        <v>0.35694946874930944</v>
      </c>
      <c r="H3">
        <v>0.59203317398405297</v>
      </c>
      <c r="I3">
        <v>1.4372613515747124</v>
      </c>
      <c r="K3">
        <v>0.79541466476935829</v>
      </c>
      <c r="M3" t="s">
        <v>8</v>
      </c>
    </row>
    <row r="4" spans="1:14">
      <c r="A4">
        <v>2</v>
      </c>
      <c r="B4">
        <v>30</v>
      </c>
      <c r="C4">
        <v>0</v>
      </c>
      <c r="D4">
        <v>0</v>
      </c>
      <c r="E4">
        <v>0</v>
      </c>
      <c r="G4">
        <v>-1.8</v>
      </c>
      <c r="H4">
        <v>-1.8</v>
      </c>
      <c r="I4">
        <v>-1.8</v>
      </c>
      <c r="K4">
        <v>-1.8</v>
      </c>
      <c r="M4" t="s">
        <v>9</v>
      </c>
    </row>
    <row r="5" spans="1:14">
      <c r="A5">
        <v>3</v>
      </c>
      <c r="B5">
        <v>53</v>
      </c>
      <c r="C5">
        <v>259</v>
      </c>
      <c r="D5">
        <v>11</v>
      </c>
      <c r="E5">
        <v>116</v>
      </c>
      <c r="G5">
        <v>0.75504369447011677</v>
      </c>
      <c r="H5">
        <v>-0.63277338634219749</v>
      </c>
      <c r="I5">
        <v>0.42271700768134207</v>
      </c>
      <c r="K5">
        <v>0.18166243860308709</v>
      </c>
      <c r="M5" t="s">
        <v>10</v>
      </c>
    </row>
    <row r="6" spans="1:14">
      <c r="A6">
        <v>4</v>
      </c>
      <c r="B6">
        <v>53</v>
      </c>
      <c r="C6">
        <v>10</v>
      </c>
      <c r="D6">
        <v>13</v>
      </c>
      <c r="E6">
        <v>23</v>
      </c>
      <c r="G6">
        <v>-0.65825606961113503</v>
      </c>
      <c r="H6">
        <v>-0.56022271919358579</v>
      </c>
      <c r="I6">
        <v>-0.28001314552798351</v>
      </c>
      <c r="K6">
        <v>-0.49949731144423476</v>
      </c>
      <c r="M6" t="s">
        <v>11</v>
      </c>
    </row>
    <row r="7" spans="1:14">
      <c r="A7">
        <v>5</v>
      </c>
      <c r="B7">
        <v>46</v>
      </c>
      <c r="C7">
        <v>4</v>
      </c>
      <c r="D7">
        <v>23</v>
      </c>
      <c r="E7">
        <v>8</v>
      </c>
      <c r="G7">
        <v>-0.99467804036395757</v>
      </c>
      <c r="H7">
        <v>-0.25092019756361472</v>
      </c>
      <c r="I7">
        <v>-0.67713295663441786</v>
      </c>
      <c r="K7">
        <v>-0.64091039818733009</v>
      </c>
      <c r="M7" t="s">
        <v>12</v>
      </c>
    </row>
    <row r="8" spans="1:14">
      <c r="A8">
        <v>6</v>
      </c>
      <c r="B8">
        <v>16</v>
      </c>
      <c r="C8">
        <v>0</v>
      </c>
      <c r="D8">
        <v>0</v>
      </c>
      <c r="E8">
        <v>0</v>
      </c>
      <c r="G8">
        <v>-1.8</v>
      </c>
      <c r="H8">
        <v>-1.8</v>
      </c>
      <c r="I8">
        <v>-1.8</v>
      </c>
      <c r="K8">
        <v>-1.8</v>
      </c>
      <c r="M8" t="s">
        <v>13</v>
      </c>
    </row>
    <row r="9" spans="1:14">
      <c r="A9">
        <v>7</v>
      </c>
      <c r="B9">
        <v>93</v>
      </c>
      <c r="C9">
        <v>4</v>
      </c>
      <c r="D9">
        <v>3</v>
      </c>
      <c r="E9">
        <v>3</v>
      </c>
      <c r="G9">
        <v>-1.3004031572363188</v>
      </c>
      <c r="H9">
        <v>-1.4412518957339062</v>
      </c>
      <c r="I9">
        <v>-1.4088268057790601</v>
      </c>
      <c r="K9">
        <v>-1.3834939529164283</v>
      </c>
      <c r="M9" t="s">
        <v>14</v>
      </c>
    </row>
    <row r="10" spans="1:14">
      <c r="A10">
        <v>8</v>
      </c>
      <c r="B10">
        <v>313</v>
      </c>
      <c r="C10">
        <v>42</v>
      </c>
      <c r="D10">
        <v>61</v>
      </c>
      <c r="E10">
        <v>12</v>
      </c>
      <c r="G10">
        <v>-0.80627524715889398</v>
      </c>
      <c r="H10">
        <v>-0.66010470443531488</v>
      </c>
      <c r="I10">
        <v>-1.3338282034436111</v>
      </c>
      <c r="K10">
        <v>-0.93340271834594002</v>
      </c>
      <c r="M10" t="s">
        <v>15</v>
      </c>
    </row>
    <row r="11" spans="1:14">
      <c r="A11">
        <v>9</v>
      </c>
      <c r="B11">
        <v>82</v>
      </c>
      <c r="C11">
        <v>3</v>
      </c>
      <c r="D11">
        <v>2</v>
      </c>
      <c r="E11">
        <v>2</v>
      </c>
      <c r="G11">
        <v>-1.3706727976744004</v>
      </c>
      <c r="H11">
        <v>-1.562674058619369</v>
      </c>
      <c r="I11">
        <v>-1.5302489686645229</v>
      </c>
      <c r="K11">
        <v>-1.4878652749860974</v>
      </c>
      <c r="M11" t="s">
        <v>16</v>
      </c>
    </row>
    <row r="12" spans="1:14">
      <c r="A12">
        <v>10</v>
      </c>
      <c r="B12">
        <v>69</v>
      </c>
      <c r="C12">
        <v>10</v>
      </c>
      <c r="D12">
        <v>6</v>
      </c>
      <c r="E12">
        <v>9</v>
      </c>
      <c r="G12">
        <v>-0.77282929074760132</v>
      </c>
      <c r="H12">
        <v>-1.0105880422532452</v>
      </c>
      <c r="I12">
        <v>-0.80207169324271776</v>
      </c>
      <c r="K12">
        <v>-0.86182967541452138</v>
      </c>
      <c r="M12" t="s">
        <v>17</v>
      </c>
    </row>
    <row r="13" spans="1:14">
      <c r="A13">
        <v>11</v>
      </c>
      <c r="B13">
        <v>76</v>
      </c>
      <c r="C13">
        <v>1</v>
      </c>
      <c r="D13">
        <v>1</v>
      </c>
      <c r="E13">
        <v>2</v>
      </c>
      <c r="G13">
        <v>-1.8147937922911375</v>
      </c>
      <c r="H13">
        <v>-1.8307037941804249</v>
      </c>
      <c r="I13">
        <v>-1.4972487085615975</v>
      </c>
      <c r="K13">
        <v>-1.7142487650110534</v>
      </c>
      <c r="M13" t="s">
        <v>18</v>
      </c>
    </row>
    <row r="14" spans="1:14">
      <c r="A14">
        <v>12</v>
      </c>
      <c r="B14">
        <v>140</v>
      </c>
      <c r="C14">
        <v>11</v>
      </c>
      <c r="D14">
        <v>20</v>
      </c>
      <c r="E14">
        <v>16</v>
      </c>
      <c r="G14">
        <v>-1.0387155505303591</v>
      </c>
      <c r="H14">
        <v>-0.79498824191389028</v>
      </c>
      <c r="I14">
        <v>-0.85947316496710058</v>
      </c>
      <c r="K14">
        <v>-0.89772565247045</v>
      </c>
      <c r="M14" t="s">
        <v>19</v>
      </c>
    </row>
    <row r="15" spans="1:14">
      <c r="A15">
        <v>13</v>
      </c>
      <c r="B15">
        <v>88</v>
      </c>
      <c r="C15">
        <v>24</v>
      </c>
      <c r="D15">
        <v>30</v>
      </c>
      <c r="E15">
        <v>42</v>
      </c>
      <c r="G15">
        <v>-0.49825163044890863</v>
      </c>
      <c r="H15">
        <v>-0.41725161933013977</v>
      </c>
      <c r="I15">
        <v>-0.23869849369705548</v>
      </c>
      <c r="K15">
        <v>-0.38473391449203459</v>
      </c>
      <c r="M15" t="s">
        <v>20</v>
      </c>
    </row>
    <row r="16" spans="1:14">
      <c r="A16">
        <v>14</v>
      </c>
      <c r="B16">
        <v>37</v>
      </c>
      <c r="C16">
        <v>24</v>
      </c>
      <c r="D16">
        <v>23</v>
      </c>
      <c r="E16">
        <v>21</v>
      </c>
      <c r="G16">
        <v>-0.12197068236573495</v>
      </c>
      <c r="H16">
        <v>-0.15636408994903567</v>
      </c>
      <c r="I16">
        <v>-0.1634475412778631</v>
      </c>
      <c r="K16">
        <v>-0.14726077119754458</v>
      </c>
      <c r="M16" t="s">
        <v>21</v>
      </c>
    </row>
    <row r="17" spans="1:13">
      <c r="A17">
        <v>15</v>
      </c>
      <c r="B17">
        <v>187</v>
      </c>
      <c r="C17">
        <v>95</v>
      </c>
      <c r="D17">
        <v>29</v>
      </c>
      <c r="E17">
        <v>19</v>
      </c>
      <c r="G17">
        <v>-0.22809820125799718</v>
      </c>
      <c r="H17">
        <v>-0.7593338105371763</v>
      </c>
      <c r="I17">
        <v>-0.91055311752845725</v>
      </c>
      <c r="K17">
        <v>-0.63266170977454361</v>
      </c>
      <c r="M17" t="s">
        <v>22</v>
      </c>
    </row>
    <row r="18" spans="1:13">
      <c r="A18">
        <v>16</v>
      </c>
      <c r="B18">
        <v>99</v>
      </c>
      <c r="C18">
        <v>83</v>
      </c>
      <c r="D18">
        <v>57</v>
      </c>
      <c r="E18">
        <v>43</v>
      </c>
      <c r="G18">
        <v>-1.0537302231822032E-2</v>
      </c>
      <c r="H18">
        <v>-0.18965054082469202</v>
      </c>
      <c r="I18">
        <v>-0.27963185096275073</v>
      </c>
      <c r="K18">
        <v>-0.15993989800642158</v>
      </c>
      <c r="M18" t="s">
        <v>23</v>
      </c>
    </row>
    <row r="19" spans="1:13">
      <c r="A19">
        <v>17</v>
      </c>
      <c r="B19">
        <v>668</v>
      </c>
      <c r="C19">
        <v>85</v>
      </c>
      <c r="D19">
        <v>96</v>
      </c>
      <c r="E19">
        <v>36</v>
      </c>
      <c r="G19">
        <v>-0.82933773677159894</v>
      </c>
      <c r="H19">
        <v>-0.79239543133561074</v>
      </c>
      <c r="I19">
        <v>-1.1859390736530457</v>
      </c>
      <c r="K19">
        <v>-0.93589074725341848</v>
      </c>
      <c r="M19" t="s">
        <v>24</v>
      </c>
    </row>
    <row r="20" spans="1:13">
      <c r="A20">
        <v>18</v>
      </c>
      <c r="B20">
        <v>156</v>
      </c>
      <c r="C20">
        <v>6</v>
      </c>
      <c r="D20">
        <v>6</v>
      </c>
      <c r="E20">
        <v>7</v>
      </c>
      <c r="G20">
        <v>-1.3489535479811641</v>
      </c>
      <c r="H20">
        <v>-1.3648635498704516</v>
      </c>
      <c r="I20">
        <v>-1.2654916702849921</v>
      </c>
      <c r="K20">
        <v>-1.3264362560455358</v>
      </c>
      <c r="M20" t="s">
        <v>25</v>
      </c>
    </row>
    <row r="21" spans="1:13">
      <c r="A21">
        <v>19</v>
      </c>
      <c r="B21">
        <v>34</v>
      </c>
      <c r="C21">
        <v>5</v>
      </c>
      <c r="D21">
        <v>10</v>
      </c>
      <c r="E21">
        <v>16</v>
      </c>
      <c r="G21">
        <v>-0.76648911271658227</v>
      </c>
      <c r="H21">
        <v>-0.48136911894188866</v>
      </c>
      <c r="I21">
        <v>-0.24482404633111771</v>
      </c>
      <c r="K21">
        <v>-0.49756075932986293</v>
      </c>
      <c r="M21" t="s">
        <v>26</v>
      </c>
    </row>
    <row r="22" spans="1:13">
      <c r="A22">
        <v>20</v>
      </c>
      <c r="B22">
        <v>45</v>
      </c>
      <c r="C22">
        <v>0</v>
      </c>
      <c r="D22">
        <v>0</v>
      </c>
      <c r="E22">
        <v>3</v>
      </c>
      <c r="G22">
        <v>-1.8</v>
      </c>
      <c r="H22">
        <v>-1.8</v>
      </c>
      <c r="I22">
        <v>-1.0935563710004688</v>
      </c>
      <c r="K22">
        <v>-1.8</v>
      </c>
      <c r="M22" t="s">
        <v>27</v>
      </c>
    </row>
    <row r="23" spans="1:13">
      <c r="A23">
        <v>21</v>
      </c>
      <c r="B23">
        <v>92</v>
      </c>
      <c r="C23">
        <v>0</v>
      </c>
      <c r="D23">
        <v>3</v>
      </c>
      <c r="E23">
        <v>1</v>
      </c>
      <c r="G23">
        <v>-1.8</v>
      </c>
      <c r="H23">
        <v>-1.4365567745255263</v>
      </c>
      <c r="I23">
        <v>-1.8812529392903428</v>
      </c>
      <c r="K23">
        <v>-1.8</v>
      </c>
      <c r="M23" t="s">
        <v>28</v>
      </c>
    </row>
    <row r="24" spans="1:13">
      <c r="A24">
        <v>22</v>
      </c>
      <c r="B24">
        <v>91</v>
      </c>
      <c r="C24">
        <v>97</v>
      </c>
      <c r="D24">
        <v>72</v>
      </c>
      <c r="E24">
        <v>45</v>
      </c>
      <c r="G24">
        <v>9.3750141934805242E-2</v>
      </c>
      <c r="H24">
        <v>-5.1599097789458676E-2</v>
      </c>
      <c r="I24">
        <v>-0.22329399049053728</v>
      </c>
      <c r="K24">
        <v>-6.0380982115063569E-2</v>
      </c>
      <c r="M24" t="s">
        <v>29</v>
      </c>
    </row>
    <row r="25" spans="1:13">
      <c r="A25">
        <v>23</v>
      </c>
      <c r="B25">
        <v>109</v>
      </c>
      <c r="C25">
        <v>15</v>
      </c>
      <c r="D25">
        <v>6</v>
      </c>
      <c r="E25">
        <v>5</v>
      </c>
      <c r="G25">
        <v>-0.79531543889528833</v>
      </c>
      <c r="H25">
        <v>-1.2091654494566135</v>
      </c>
      <c r="I25">
        <v>-1.2559216055493923</v>
      </c>
      <c r="K25">
        <v>-1.0868008313004314</v>
      </c>
      <c r="M25" t="s">
        <v>30</v>
      </c>
    </row>
    <row r="26" spans="1:13">
      <c r="A26">
        <v>24</v>
      </c>
      <c r="B26">
        <v>65</v>
      </c>
      <c r="C26">
        <v>69</v>
      </c>
      <c r="D26">
        <v>159</v>
      </c>
      <c r="E26">
        <v>167</v>
      </c>
      <c r="G26">
        <v>9.1955534084053742E-2</v>
      </c>
      <c r="H26">
        <v>0.43859356577796244</v>
      </c>
      <c r="I26">
        <v>0.49233800255994037</v>
      </c>
      <c r="K26">
        <v>0.34096236747398551</v>
      </c>
      <c r="M26" t="s">
        <v>31</v>
      </c>
    </row>
    <row r="27" spans="1:13">
      <c r="A27">
        <v>25</v>
      </c>
      <c r="B27">
        <v>288</v>
      </c>
      <c r="C27">
        <v>21</v>
      </c>
      <c r="D27">
        <v>16</v>
      </c>
      <c r="E27">
        <v>19</v>
      </c>
      <c r="G27">
        <v>-1.0711533930356576</v>
      </c>
      <c r="H27">
        <v>-1.2051627070029396</v>
      </c>
      <c r="I27">
        <v>-1.0981039987511894</v>
      </c>
      <c r="K27">
        <v>-1.1248066995965955</v>
      </c>
      <c r="M27" t="s">
        <v>32</v>
      </c>
    </row>
    <row r="28" spans="1:13">
      <c r="A28">
        <v>26</v>
      </c>
      <c r="B28">
        <v>99</v>
      </c>
      <c r="C28">
        <v>3</v>
      </c>
      <c r="D28">
        <v>4</v>
      </c>
      <c r="E28">
        <v>12</v>
      </c>
      <c r="G28">
        <v>-1.4524941398882336</v>
      </c>
      <c r="H28">
        <v>-1.343465405169221</v>
      </c>
      <c r="I28">
        <v>-0.83391906049471243</v>
      </c>
      <c r="K28">
        <v>-1.2099595351840557</v>
      </c>
      <c r="M28" t="s">
        <v>33</v>
      </c>
    </row>
    <row r="29" spans="1:13">
      <c r="A29">
        <v>27</v>
      </c>
      <c r="B29">
        <v>56</v>
      </c>
      <c r="C29">
        <v>3</v>
      </c>
      <c r="D29">
        <v>6</v>
      </c>
      <c r="E29">
        <v>18</v>
      </c>
      <c r="G29">
        <v>-1.2050469722968842</v>
      </c>
      <c r="H29">
        <v>-0.9199269785221903</v>
      </c>
      <c r="I29">
        <v>-0.4103806338476817</v>
      </c>
      <c r="K29">
        <v>-0.84511819488891871</v>
      </c>
      <c r="M29" t="s">
        <v>34</v>
      </c>
    </row>
    <row r="30" spans="1:13">
      <c r="A30">
        <v>28</v>
      </c>
      <c r="B30">
        <v>70</v>
      </c>
      <c r="C30">
        <v>0</v>
      </c>
      <c r="D30">
        <v>2</v>
      </c>
      <c r="E30">
        <v>2</v>
      </c>
      <c r="G30">
        <v>-1.8</v>
      </c>
      <c r="H30">
        <v>-1.4939582462499092</v>
      </c>
      <c r="I30">
        <v>-1.4615331562950631</v>
      </c>
      <c r="K30">
        <v>-1.8</v>
      </c>
      <c r="M30" t="s">
        <v>35</v>
      </c>
    </row>
    <row r="31" spans="1:13">
      <c r="A31">
        <v>29</v>
      </c>
      <c r="B31">
        <v>202</v>
      </c>
      <c r="C31">
        <v>56</v>
      </c>
      <c r="D31">
        <v>93</v>
      </c>
      <c r="E31">
        <v>91</v>
      </c>
      <c r="G31">
        <v>-0.4911435424507693</v>
      </c>
      <c r="H31">
        <v>-0.28675862279232217</v>
      </c>
      <c r="I31">
        <v>-0.26377508907031749</v>
      </c>
      <c r="K31">
        <v>-0.34722575143780299</v>
      </c>
      <c r="M31" t="s">
        <v>36</v>
      </c>
    </row>
    <row r="32" spans="1:13">
      <c r="A32">
        <v>30</v>
      </c>
      <c r="B32">
        <v>50</v>
      </c>
      <c r="C32">
        <v>0</v>
      </c>
      <c r="D32">
        <v>2</v>
      </c>
      <c r="E32">
        <v>2</v>
      </c>
      <c r="G32">
        <v>-1.8</v>
      </c>
      <c r="H32">
        <v>-1.3478302105716711</v>
      </c>
      <c r="I32">
        <v>-1.3154051206168249</v>
      </c>
      <c r="K32">
        <v>-1.8</v>
      </c>
      <c r="M32" t="s">
        <v>37</v>
      </c>
    </row>
    <row r="33" spans="1:13">
      <c r="A33">
        <v>31</v>
      </c>
      <c r="B33">
        <v>93</v>
      </c>
      <c r="C33">
        <v>6</v>
      </c>
      <c r="D33">
        <v>2</v>
      </c>
      <c r="E33">
        <v>0</v>
      </c>
      <c r="G33">
        <v>-1.1243118981806375</v>
      </c>
      <c r="H33">
        <v>-1.6173431547895876</v>
      </c>
      <c r="I33">
        <v>-1.8</v>
      </c>
      <c r="K33">
        <v>-1.8</v>
      </c>
      <c r="M33" t="s">
        <v>38</v>
      </c>
    </row>
    <row r="34" spans="1:13">
      <c r="A34">
        <v>32</v>
      </c>
      <c r="B34">
        <v>59</v>
      </c>
      <c r="C34">
        <v>18</v>
      </c>
      <c r="D34">
        <v>34</v>
      </c>
      <c r="E34">
        <v>22</v>
      </c>
      <c r="G34">
        <v>-0.44955970654918409</v>
      </c>
      <c r="H34">
        <v>-0.18926329649952256</v>
      </c>
      <c r="I34">
        <v>-0.34589444276472531</v>
      </c>
      <c r="K34">
        <v>-0.32823914860447734</v>
      </c>
      <c r="M34" t="s">
        <v>39</v>
      </c>
    </row>
    <row r="35" spans="1:13">
      <c r="A35">
        <v>33</v>
      </c>
      <c r="B35">
        <v>155</v>
      </c>
      <c r="C35">
        <v>1</v>
      </c>
      <c r="D35">
        <v>0</v>
      </c>
      <c r="E35">
        <v>4</v>
      </c>
      <c r="G35">
        <v>-2.1243118981806375</v>
      </c>
      <c r="H35">
        <v>-1.8</v>
      </c>
      <c r="I35">
        <v>-1.5057368187871165</v>
      </c>
      <c r="K35">
        <v>-1.8</v>
      </c>
      <c r="M35" t="s">
        <v>40</v>
      </c>
    </row>
    <row r="36" spans="1:13">
      <c r="A36">
        <v>34</v>
      </c>
      <c r="B36">
        <v>69</v>
      </c>
      <c r="C36">
        <v>24</v>
      </c>
      <c r="D36">
        <v>1</v>
      </c>
      <c r="E36">
        <v>0</v>
      </c>
      <c r="G36">
        <v>-0.39261804903599529</v>
      </c>
      <c r="H36">
        <v>-1.7887392926368888</v>
      </c>
      <c r="I36">
        <v>-1.8</v>
      </c>
      <c r="K36">
        <v>-1.8</v>
      </c>
      <c r="M36" t="s">
        <v>41</v>
      </c>
    </row>
    <row r="37" spans="1:13">
      <c r="A37">
        <v>35</v>
      </c>
      <c r="B37">
        <v>182</v>
      </c>
      <c r="C37">
        <v>8</v>
      </c>
      <c r="D37">
        <v>7</v>
      </c>
      <c r="E37">
        <v>10</v>
      </c>
      <c r="G37">
        <v>-1.2909616010034772</v>
      </c>
      <c r="H37">
        <v>-1.3648635498704516</v>
      </c>
      <c r="I37">
        <v>-1.1775364999298623</v>
      </c>
      <c r="K37">
        <v>-1.277787216934597</v>
      </c>
      <c r="M37" t="s">
        <v>42</v>
      </c>
    </row>
    <row r="38" spans="1:13">
      <c r="A38">
        <v>36</v>
      </c>
      <c r="B38">
        <v>158</v>
      </c>
      <c r="C38">
        <v>1001</v>
      </c>
      <c r="D38">
        <v>739</v>
      </c>
      <c r="E38">
        <v>237</v>
      </c>
      <c r="G38">
        <v>0.86779679051455005</v>
      </c>
      <c r="H38">
        <v>0.72009714954076964</v>
      </c>
      <c r="I38">
        <v>0.25862614711089388</v>
      </c>
      <c r="K38">
        <v>0.61550669572207117</v>
      </c>
      <c r="M38" t="s">
        <v>43</v>
      </c>
    </row>
    <row r="39" spans="1:13">
      <c r="A39">
        <v>37</v>
      </c>
      <c r="B39">
        <v>139</v>
      </c>
      <c r="C39">
        <v>284</v>
      </c>
      <c r="D39">
        <v>859</v>
      </c>
      <c r="E39">
        <v>441</v>
      </c>
      <c r="G39">
        <v>0.37632333978259663</v>
      </c>
      <c r="H39">
        <v>0.84108816167751377</v>
      </c>
      <c r="I39">
        <v>0.58395867726895612</v>
      </c>
      <c r="K39">
        <v>0.60045672624302215</v>
      </c>
      <c r="M39" t="s">
        <v>44</v>
      </c>
    </row>
    <row r="40" spans="1:13">
      <c r="A40">
        <v>38</v>
      </c>
      <c r="B40">
        <v>301</v>
      </c>
      <c r="C40">
        <v>12</v>
      </c>
      <c r="D40">
        <v>12</v>
      </c>
      <c r="E40">
        <v>11</v>
      </c>
      <c r="G40">
        <v>-1.3333654495565646</v>
      </c>
      <c r="H40">
        <v>-1.349275451445852</v>
      </c>
      <c r="I40">
        <v>-1.3546389223804056</v>
      </c>
      <c r="K40">
        <v>-1.3457599411276073</v>
      </c>
      <c r="M40" t="s">
        <v>45</v>
      </c>
    </row>
    <row r="41" spans="1:13">
      <c r="A41">
        <v>39</v>
      </c>
      <c r="B41">
        <v>85</v>
      </c>
      <c r="C41">
        <v>0</v>
      </c>
      <c r="D41">
        <v>0</v>
      </c>
      <c r="E41">
        <v>1</v>
      </c>
      <c r="G41">
        <v>-1.8</v>
      </c>
      <c r="H41">
        <v>-1.8</v>
      </c>
      <c r="I41">
        <v>-1.84688403765908</v>
      </c>
      <c r="K41">
        <v>-1.8</v>
      </c>
      <c r="M41" t="s">
        <v>46</v>
      </c>
    </row>
    <row r="42" spans="1:13">
      <c r="A42">
        <v>40</v>
      </c>
      <c r="B42">
        <v>219</v>
      </c>
      <c r="C42">
        <v>15</v>
      </c>
      <c r="D42">
        <v>11</v>
      </c>
      <c r="E42">
        <v>39</v>
      </c>
      <c r="G42">
        <v>-1.0983330557947832</v>
      </c>
      <c r="H42">
        <v>-1.2489416315815269</v>
      </c>
      <c r="I42">
        <v>-0.66684461975840648</v>
      </c>
      <c r="K42">
        <v>-1.0047064357115723</v>
      </c>
      <c r="M42" t="s">
        <v>47</v>
      </c>
    </row>
    <row r="43" spans="1:13">
      <c r="A43">
        <v>41</v>
      </c>
      <c r="B43">
        <v>125</v>
      </c>
      <c r="C43">
        <v>7</v>
      </c>
      <c r="D43">
        <v>5</v>
      </c>
      <c r="E43">
        <v>29</v>
      </c>
      <c r="G43">
        <v>-1.1857921730041456</v>
      </c>
      <c r="H43">
        <v>-1.3478302105716711</v>
      </c>
      <c r="I43">
        <v>-0.55197712705388757</v>
      </c>
      <c r="K43">
        <v>-1.0285331702099014</v>
      </c>
      <c r="M43" t="s">
        <v>48</v>
      </c>
    </row>
    <row r="44" spans="1:13">
      <c r="A44">
        <v>42</v>
      </c>
      <c r="B44">
        <v>194</v>
      </c>
      <c r="C44">
        <v>1332</v>
      </c>
      <c r="D44">
        <v>473</v>
      </c>
      <c r="E44">
        <v>199</v>
      </c>
      <c r="G44">
        <v>0.90272229489371025</v>
      </c>
      <c r="H44">
        <v>0.43716920890795202</v>
      </c>
      <c r="I44">
        <v>9.3586234534693225E-2</v>
      </c>
      <c r="K44">
        <v>0.47782591277878517</v>
      </c>
      <c r="M44" t="s">
        <v>49</v>
      </c>
    </row>
    <row r="45" spans="1:13">
      <c r="A45">
        <v>43</v>
      </c>
      <c r="B45">
        <v>13</v>
      </c>
      <c r="C45">
        <v>0</v>
      </c>
      <c r="D45">
        <v>2</v>
      </c>
      <c r="E45">
        <v>0</v>
      </c>
      <c r="G45">
        <v>-1.8</v>
      </c>
      <c r="H45">
        <v>-0.76280355854248905</v>
      </c>
      <c r="I45">
        <v>-1.8</v>
      </c>
      <c r="K45">
        <v>-1.8</v>
      </c>
      <c r="M45" t="s">
        <v>50</v>
      </c>
    </row>
    <row r="46" spans="1:13">
      <c r="A46">
        <v>44</v>
      </c>
      <c r="B46">
        <v>99</v>
      </c>
      <c r="C46">
        <v>327</v>
      </c>
      <c r="D46">
        <v>6956</v>
      </c>
      <c r="E46">
        <v>331</v>
      </c>
      <c r="G46">
        <v>0.58493235805239019</v>
      </c>
      <c r="H46">
        <v>1.8968341768334913</v>
      </c>
      <c r="I46">
        <v>0.60672768723338155</v>
      </c>
      <c r="K46">
        <v>1.0294980740397544</v>
      </c>
      <c r="M46" t="s">
        <v>51</v>
      </c>
    </row>
    <row r="47" spans="1:13">
      <c r="A47">
        <v>45</v>
      </c>
      <c r="B47">
        <v>190</v>
      </c>
      <c r="C47">
        <v>39</v>
      </c>
      <c r="D47">
        <v>21</v>
      </c>
      <c r="E47">
        <v>11</v>
      </c>
      <c r="G47">
        <v>-0.62166919393667575</v>
      </c>
      <c r="H47">
        <v>-0.90642450811854314</v>
      </c>
      <c r="I47">
        <v>-1.1548260277393914</v>
      </c>
      <c r="K47">
        <v>-0.89430657659820356</v>
      </c>
      <c r="M47" t="s">
        <v>52</v>
      </c>
    </row>
    <row r="48" spans="1:13">
      <c r="A48">
        <v>46</v>
      </c>
      <c r="B48">
        <v>146</v>
      </c>
      <c r="C48">
        <v>8</v>
      </c>
      <c r="D48">
        <v>22</v>
      </c>
      <c r="E48">
        <v>62</v>
      </c>
      <c r="G48">
        <v>-1.1952430688028397</v>
      </c>
      <c r="H48">
        <v>-0.77182037686186433</v>
      </c>
      <c r="I48">
        <v>-0.28942627823097061</v>
      </c>
      <c r="K48">
        <v>-0.75216324129855827</v>
      </c>
      <c r="M48" t="s">
        <v>53</v>
      </c>
    </row>
    <row r="49" spans="1:13">
      <c r="A49">
        <v>47</v>
      </c>
      <c r="B49">
        <v>193</v>
      </c>
      <c r="C49">
        <v>115</v>
      </c>
      <c r="D49">
        <v>89</v>
      </c>
      <c r="E49">
        <v>50</v>
      </c>
      <c r="G49">
        <v>-0.15883966866450805</v>
      </c>
      <c r="H49">
        <v>-0.28605750426249454</v>
      </c>
      <c r="I49">
        <v>-0.50405241661654232</v>
      </c>
      <c r="K49">
        <v>-0.3163165298478483</v>
      </c>
      <c r="M49" t="s">
        <v>54</v>
      </c>
    </row>
    <row r="50" spans="1:13">
      <c r="A50">
        <v>48</v>
      </c>
      <c r="B50">
        <v>86</v>
      </c>
      <c r="C50">
        <v>56</v>
      </c>
      <c r="D50">
        <v>44</v>
      </c>
      <c r="E50">
        <v>25</v>
      </c>
      <c r="G50">
        <v>-0.12029062424771327</v>
      </c>
      <c r="H50">
        <v>-0.24093597665701377</v>
      </c>
      <c r="I50">
        <v>-0.45402355451631743</v>
      </c>
      <c r="K50">
        <v>-0.27175005180701484</v>
      </c>
      <c r="M50" t="s">
        <v>55</v>
      </c>
    </row>
    <row r="51" spans="1:13">
      <c r="A51">
        <v>49</v>
      </c>
      <c r="B51">
        <v>31</v>
      </c>
      <c r="C51">
        <v>1</v>
      </c>
      <c r="D51">
        <v>0</v>
      </c>
      <c r="E51">
        <v>0</v>
      </c>
      <c r="G51">
        <v>-1.4253418938446187</v>
      </c>
      <c r="H51">
        <v>-1.8</v>
      </c>
      <c r="I51">
        <v>-1.8</v>
      </c>
      <c r="K51">
        <v>-1.8</v>
      </c>
      <c r="M51" t="s">
        <v>56</v>
      </c>
    </row>
    <row r="52" spans="1:13">
      <c r="A52">
        <v>50</v>
      </c>
      <c r="B52">
        <v>146</v>
      </c>
      <c r="C52">
        <v>1</v>
      </c>
      <c r="D52">
        <v>3</v>
      </c>
      <c r="E52">
        <v>1</v>
      </c>
      <c r="G52">
        <v>-2.0983330557947832</v>
      </c>
      <c r="H52">
        <v>-1.6371218029644083</v>
      </c>
      <c r="I52">
        <v>-2.0818179677292243</v>
      </c>
      <c r="K52">
        <v>-1.9390909421628055</v>
      </c>
      <c r="M52" t="s">
        <v>57</v>
      </c>
    </row>
    <row r="53" spans="1:13">
      <c r="A53">
        <v>51</v>
      </c>
      <c r="B53">
        <v>106</v>
      </c>
      <c r="C53">
        <v>24</v>
      </c>
      <c r="D53">
        <v>9</v>
      </c>
      <c r="E53">
        <v>9</v>
      </c>
      <c r="G53">
        <v>-0.57907482356351014</v>
      </c>
      <c r="H53">
        <v>-1.020953557725079</v>
      </c>
      <c r="I53">
        <v>-0.98852846777023273</v>
      </c>
      <c r="K53">
        <v>-0.86285228301960737</v>
      </c>
      <c r="M53" t="s">
        <v>58</v>
      </c>
    </row>
    <row r="54" spans="1:13">
      <c r="A54">
        <v>52</v>
      </c>
      <c r="B54">
        <v>146</v>
      </c>
      <c r="C54">
        <v>24</v>
      </c>
      <c r="D54">
        <v>73</v>
      </c>
      <c r="E54">
        <v>48</v>
      </c>
      <c r="G54">
        <v>-0.7181218140831771</v>
      </c>
      <c r="H54">
        <v>-0.25092019756361472</v>
      </c>
      <c r="I54">
        <v>-0.40057673035363728</v>
      </c>
      <c r="K54">
        <v>-0.45653958066680972</v>
      </c>
      <c r="M54" t="s">
        <v>59</v>
      </c>
    </row>
    <row r="55" spans="1:13">
      <c r="A55">
        <v>53</v>
      </c>
      <c r="B55">
        <v>216</v>
      </c>
      <c r="C55">
        <v>75</v>
      </c>
      <c r="D55">
        <v>14</v>
      </c>
      <c r="E55">
        <v>2</v>
      </c>
      <c r="G55">
        <v>-0.39337268776957685</v>
      </c>
      <c r="H55">
        <v>-1.1382159173723265</v>
      </c>
      <c r="I55">
        <v>-1.9508888674317373</v>
      </c>
      <c r="K55">
        <v>-1.1608258241912137</v>
      </c>
      <c r="M55" t="s">
        <v>60</v>
      </c>
    </row>
    <row r="56" spans="1:13">
      <c r="A56">
        <v>54</v>
      </c>
      <c r="B56">
        <v>108</v>
      </c>
      <c r="C56">
        <v>0</v>
      </c>
      <c r="D56">
        <v>4</v>
      </c>
      <c r="E56">
        <v>0</v>
      </c>
      <c r="G56">
        <v>-1.8</v>
      </c>
      <c r="H56">
        <v>-1.3812539660586209</v>
      </c>
      <c r="I56">
        <v>-1.8</v>
      </c>
      <c r="K56">
        <v>-1.8</v>
      </c>
      <c r="M56" t="s">
        <v>61</v>
      </c>
    </row>
    <row r="57" spans="1:13">
      <c r="A57">
        <v>55</v>
      </c>
      <c r="B57">
        <v>210</v>
      </c>
      <c r="C57">
        <v>169</v>
      </c>
      <c r="D57">
        <v>352</v>
      </c>
      <c r="E57">
        <v>69</v>
      </c>
      <c r="G57">
        <v>-2.8312790130591708E-2</v>
      </c>
      <c r="H57">
        <v>0.27443316684457825</v>
      </c>
      <c r="I57">
        <v>-0.40083531594145133</v>
      </c>
      <c r="K57">
        <v>-5.1571646409154931E-2</v>
      </c>
      <c r="M57" t="s">
        <v>62</v>
      </c>
    </row>
    <row r="58" spans="1:13">
      <c r="A58">
        <v>56</v>
      </c>
      <c r="B58">
        <v>83</v>
      </c>
      <c r="C58">
        <v>2</v>
      </c>
      <c r="D58">
        <v>3</v>
      </c>
      <c r="E58">
        <v>1</v>
      </c>
      <c r="G58">
        <v>-1.5520282967224388</v>
      </c>
      <c r="H58">
        <v>-1.3918470395560452</v>
      </c>
      <c r="I58">
        <v>-1.8365432043208614</v>
      </c>
      <c r="K58">
        <v>-1.5934728468664485</v>
      </c>
      <c r="M58" t="s">
        <v>63</v>
      </c>
    </row>
    <row r="59" spans="1:13">
      <c r="A59">
        <v>57</v>
      </c>
      <c r="B59">
        <v>66</v>
      </c>
      <c r="C59">
        <v>1</v>
      </c>
      <c r="D59">
        <v>3</v>
      </c>
      <c r="E59">
        <v>2</v>
      </c>
      <c r="G59">
        <v>-1.7535241355522146</v>
      </c>
      <c r="H59">
        <v>-1.2923128827218398</v>
      </c>
      <c r="I59">
        <v>-1.4359790518226749</v>
      </c>
      <c r="K59">
        <v>-1.4939386900322431</v>
      </c>
      <c r="M59" t="s">
        <v>64</v>
      </c>
    </row>
    <row r="60" spans="1:13">
      <c r="A60">
        <v>58</v>
      </c>
      <c r="B60">
        <v>221</v>
      </c>
      <c r="C60">
        <v>6</v>
      </c>
      <c r="D60">
        <v>1</v>
      </c>
      <c r="E60">
        <v>2</v>
      </c>
      <c r="G60">
        <v>-1.5002212233118131</v>
      </c>
      <c r="H60">
        <v>-2.294282475584744</v>
      </c>
      <c r="I60">
        <v>-1.9608273899659168</v>
      </c>
      <c r="K60">
        <v>-1.9184436962874913</v>
      </c>
      <c r="M60" t="s">
        <v>65</v>
      </c>
    </row>
    <row r="61" spans="1:13">
      <c r="A61">
        <v>59</v>
      </c>
      <c r="B61">
        <v>235</v>
      </c>
      <c r="C61">
        <v>11</v>
      </c>
      <c r="D61">
        <v>16</v>
      </c>
      <c r="E61">
        <v>15</v>
      </c>
      <c r="G61">
        <v>-1.2636553771238574</v>
      </c>
      <c r="H61">
        <v>-1.1168380815154451</v>
      </c>
      <c r="I61">
        <v>-1.1124417151608426</v>
      </c>
      <c r="K61">
        <v>-1.1643117246000483</v>
      </c>
      <c r="M61" t="s">
        <v>66</v>
      </c>
    </row>
    <row r="62" spans="1:13">
      <c r="A62">
        <v>60</v>
      </c>
      <c r="B62">
        <v>296</v>
      </c>
      <c r="C62">
        <v>10</v>
      </c>
      <c r="D62">
        <v>16</v>
      </c>
      <c r="E62">
        <v>6</v>
      </c>
      <c r="G62">
        <v>-1.4052719110692846</v>
      </c>
      <c r="H62">
        <v>-1.2170619303026473</v>
      </c>
      <c r="I62">
        <v>-1.6106055726200823</v>
      </c>
      <c r="K62">
        <v>-1.4109798046640047</v>
      </c>
      <c r="M62" t="s">
        <v>67</v>
      </c>
    </row>
    <row r="63" spans="1:13">
      <c r="A63">
        <v>61</v>
      </c>
      <c r="B63">
        <v>95</v>
      </c>
      <c r="C63">
        <v>50</v>
      </c>
      <c r="D63">
        <v>29</v>
      </c>
      <c r="E63">
        <v>78</v>
      </c>
      <c r="G63">
        <v>-0.21273380096317496</v>
      </c>
      <c r="H63">
        <v>-0.46521580928952516</v>
      </c>
      <c r="I63">
        <v>-3.0941145431547107E-3</v>
      </c>
      <c r="K63">
        <v>-0.22701457493195157</v>
      </c>
      <c r="M63" t="s">
        <v>68</v>
      </c>
    </row>
    <row r="64" spans="1:13">
      <c r="A64">
        <v>62</v>
      </c>
      <c r="B64">
        <v>184</v>
      </c>
      <c r="C64">
        <v>7</v>
      </c>
      <c r="D64">
        <v>6</v>
      </c>
      <c r="E64">
        <v>3</v>
      </c>
      <c r="G64">
        <v>-1.3536999830056258</v>
      </c>
      <c r="H64">
        <v>-1.4365567745255263</v>
      </c>
      <c r="I64">
        <v>-1.7051616802346614</v>
      </c>
      <c r="K64">
        <v>-1.4984728125886047</v>
      </c>
      <c r="M64" t="s">
        <v>69</v>
      </c>
    </row>
    <row r="65" spans="1:13">
      <c r="A65">
        <v>63</v>
      </c>
      <c r="B65">
        <v>81</v>
      </c>
      <c r="C65">
        <v>8</v>
      </c>
      <c r="D65">
        <v>9</v>
      </c>
      <c r="E65">
        <v>2</v>
      </c>
      <c r="G65">
        <v>-0.93937523189705219</v>
      </c>
      <c r="H65">
        <v>-0.90413271133895834</v>
      </c>
      <c r="I65">
        <v>-1.5249201351594559</v>
      </c>
      <c r="K65">
        <v>-1.1228093594651554</v>
      </c>
      <c r="M65" t="s">
        <v>70</v>
      </c>
    </row>
    <row r="66" spans="1:13">
      <c r="A66">
        <v>64</v>
      </c>
      <c r="B66">
        <v>154</v>
      </c>
      <c r="C66">
        <v>246</v>
      </c>
      <c r="D66">
        <v>642</v>
      </c>
      <c r="E66">
        <v>377</v>
      </c>
      <c r="G66">
        <v>0.26943418625657006</v>
      </c>
      <c r="H66">
        <v>0.67012410533275668</v>
      </c>
      <c r="I66">
        <v>0.4713555174245424</v>
      </c>
      <c r="K66">
        <v>0.47030460300462301</v>
      </c>
      <c r="M66" t="s">
        <v>71</v>
      </c>
    </row>
    <row r="67" spans="1:13">
      <c r="A67">
        <v>65</v>
      </c>
      <c r="B67">
        <v>158</v>
      </c>
      <c r="C67">
        <v>142</v>
      </c>
      <c r="D67">
        <v>233</v>
      </c>
      <c r="E67">
        <v>101</v>
      </c>
      <c r="G67">
        <v>1.9651057418287869E-2</v>
      </c>
      <c r="H67">
        <v>0.21880863217196289</v>
      </c>
      <c r="I67">
        <v>-0.11180082511656743</v>
      </c>
      <c r="K67">
        <v>4.2219621491227786E-2</v>
      </c>
      <c r="M67" t="s">
        <v>72</v>
      </c>
    </row>
    <row r="68" spans="1:13">
      <c r="A68">
        <v>66</v>
      </c>
      <c r="B68">
        <v>89</v>
      </c>
      <c r="C68">
        <v>0</v>
      </c>
      <c r="D68">
        <v>1</v>
      </c>
      <c r="E68">
        <v>2</v>
      </c>
      <c r="G68">
        <v>-1.8</v>
      </c>
      <c r="H68">
        <v>-1.8992802085445464</v>
      </c>
      <c r="I68">
        <v>-1.565825122925719</v>
      </c>
      <c r="K68">
        <v>-1.8</v>
      </c>
      <c r="M68" t="s">
        <v>73</v>
      </c>
    </row>
    <row r="69" spans="1:13">
      <c r="A69">
        <v>67</v>
      </c>
      <c r="B69">
        <v>46</v>
      </c>
      <c r="C69">
        <v>6</v>
      </c>
      <c r="D69">
        <v>4</v>
      </c>
      <c r="E69">
        <v>10</v>
      </c>
      <c r="G69">
        <v>-0.81858678130827645</v>
      </c>
      <c r="H69">
        <v>-1.0105880422532452</v>
      </c>
      <c r="I69">
        <v>-0.5802229436263614</v>
      </c>
      <c r="K69">
        <v>-0.80313258906262774</v>
      </c>
      <c r="M69" t="s">
        <v>74</v>
      </c>
    </row>
    <row r="70" spans="1:13">
      <c r="A70">
        <v>68</v>
      </c>
      <c r="B70">
        <v>23</v>
      </c>
      <c r="C70">
        <v>1</v>
      </c>
      <c r="D70">
        <v>1</v>
      </c>
      <c r="E70">
        <v>0</v>
      </c>
      <c r="G70">
        <v>-1.2957080360279389</v>
      </c>
      <c r="H70">
        <v>-1.3116180379172264</v>
      </c>
      <c r="I70">
        <v>-1.8</v>
      </c>
      <c r="K70">
        <v>-1.8</v>
      </c>
      <c r="M70" t="s">
        <v>75</v>
      </c>
    </row>
    <row r="71" spans="1:13">
      <c r="A71">
        <v>69</v>
      </c>
      <c r="B71">
        <v>228</v>
      </c>
      <c r="C71">
        <v>28</v>
      </c>
      <c r="D71">
        <v>59</v>
      </c>
      <c r="E71">
        <v>17</v>
      </c>
      <c r="G71">
        <v>-0.84475701566858052</v>
      </c>
      <c r="H71">
        <v>-0.53697303725794299</v>
      </c>
      <c r="I71">
        <v>-1.0449510375669673</v>
      </c>
      <c r="K71">
        <v>-0.80889369683116363</v>
      </c>
      <c r="M71" t="s">
        <v>76</v>
      </c>
    </row>
    <row r="72" spans="1:13">
      <c r="A72">
        <v>70</v>
      </c>
      <c r="B72">
        <v>81</v>
      </c>
      <c r="C72">
        <v>103</v>
      </c>
      <c r="D72">
        <v>102</v>
      </c>
      <c r="E72">
        <v>66</v>
      </c>
      <c r="G72">
        <v>0.17037200581617651</v>
      </c>
      <c r="H72">
        <v>0.15022495098363431</v>
      </c>
      <c r="I72">
        <v>-6.4061952815684386E-3</v>
      </c>
      <c r="K72">
        <v>0.10473025383941413</v>
      </c>
      <c r="M72" t="s">
        <v>77</v>
      </c>
    </row>
    <row r="73" spans="1:13">
      <c r="A73">
        <v>71</v>
      </c>
      <c r="B73">
        <v>154</v>
      </c>
      <c r="C73">
        <v>3</v>
      </c>
      <c r="D73">
        <v>1</v>
      </c>
      <c r="E73">
        <v>4</v>
      </c>
      <c r="G73">
        <v>-1.6443796661271468</v>
      </c>
      <c r="H73">
        <v>-2.1374109227360965</v>
      </c>
      <c r="I73">
        <v>-1.502925841453288</v>
      </c>
      <c r="K73">
        <v>-1.7615721434388438</v>
      </c>
      <c r="M73" t="s">
        <v>78</v>
      </c>
    </row>
    <row r="74" spans="1:13">
      <c r="A74">
        <v>72</v>
      </c>
      <c r="B74">
        <v>238</v>
      </c>
      <c r="C74">
        <v>4</v>
      </c>
      <c r="D74">
        <v>5</v>
      </c>
      <c r="E74">
        <v>6</v>
      </c>
      <c r="G74">
        <v>-1.7084971657388957</v>
      </c>
      <c r="H74">
        <v>-1.6274971546201267</v>
      </c>
      <c r="I74">
        <v>-1.5158908186176556</v>
      </c>
      <c r="K74">
        <v>-1.6172950463255595</v>
      </c>
      <c r="M74" t="s">
        <v>79</v>
      </c>
    </row>
    <row r="75" spans="1:13">
      <c r="A75">
        <v>73</v>
      </c>
      <c r="B75">
        <v>222</v>
      </c>
      <c r="C75">
        <v>2</v>
      </c>
      <c r="D75">
        <v>7</v>
      </c>
      <c r="E75">
        <v>4</v>
      </c>
      <c r="G75">
        <v>-1.9793031787970037</v>
      </c>
      <c r="H75">
        <v>-1.4511451363360155</v>
      </c>
      <c r="I75">
        <v>-1.6617580950674637</v>
      </c>
      <c r="K75">
        <v>-1.6974021367334944</v>
      </c>
      <c r="M75" t="s">
        <v>80</v>
      </c>
    </row>
    <row r="76" spans="1:13">
      <c r="A76">
        <v>74</v>
      </c>
      <c r="B76">
        <v>117</v>
      </c>
      <c r="C76">
        <v>4</v>
      </c>
      <c r="D76">
        <v>3</v>
      </c>
      <c r="E76">
        <v>5</v>
      </c>
      <c r="G76">
        <v>-1.4001060704285453</v>
      </c>
      <c r="H76">
        <v>-1.5409548089261329</v>
      </c>
      <c r="I76">
        <v>-1.2866809693549301</v>
      </c>
      <c r="K76">
        <v>-1.4092472829032028</v>
      </c>
      <c r="M76" t="s">
        <v>81</v>
      </c>
    </row>
    <row r="77" spans="1:13">
      <c r="A77">
        <v>75</v>
      </c>
      <c r="B77">
        <v>69</v>
      </c>
      <c r="C77">
        <v>4</v>
      </c>
      <c r="D77">
        <v>10</v>
      </c>
      <c r="E77">
        <v>66</v>
      </c>
      <c r="G77">
        <v>-1.170769299419639</v>
      </c>
      <c r="H77">
        <v>-0.7887392926368888</v>
      </c>
      <c r="I77">
        <v>6.3229732859826027E-2</v>
      </c>
      <c r="K77">
        <v>-0.63209295306556734</v>
      </c>
      <c r="M77" t="s">
        <v>82</v>
      </c>
    </row>
    <row r="78" spans="1:13">
      <c r="A78">
        <v>76</v>
      </c>
      <c r="B78">
        <v>60</v>
      </c>
      <c r="C78">
        <v>1</v>
      </c>
      <c r="D78">
        <v>0</v>
      </c>
      <c r="E78">
        <v>0</v>
      </c>
      <c r="G78">
        <v>-1.7121314503939897</v>
      </c>
      <c r="H78">
        <v>-1.8</v>
      </c>
      <c r="I78">
        <v>-1.8</v>
      </c>
      <c r="K78">
        <v>-1.8</v>
      </c>
      <c r="M78" t="s">
        <v>83</v>
      </c>
    </row>
    <row r="79" spans="1:13">
      <c r="A79">
        <v>77</v>
      </c>
      <c r="B79">
        <v>274</v>
      </c>
      <c r="C79">
        <v>13</v>
      </c>
      <c r="D79">
        <v>12</v>
      </c>
      <c r="E79">
        <v>16</v>
      </c>
      <c r="G79">
        <v>-1.2577874105238973</v>
      </c>
      <c r="H79">
        <v>-1.3084595186723966</v>
      </c>
      <c r="I79">
        <v>-1.1510956921092506</v>
      </c>
      <c r="K79">
        <v>-1.2391142071018482</v>
      </c>
      <c r="M79" t="s">
        <v>84</v>
      </c>
    </row>
    <row r="80" spans="1:13">
      <c r="A80">
        <v>78</v>
      </c>
      <c r="B80">
        <v>88</v>
      </c>
      <c r="C80">
        <v>22</v>
      </c>
      <c r="D80">
        <v>10</v>
      </c>
      <c r="E80">
        <v>4</v>
      </c>
      <c r="G80">
        <v>-0.53604019133830838</v>
      </c>
      <c r="H80">
        <v>-0.89437287404980215</v>
      </c>
      <c r="I80">
        <v>-1.2598877927669936</v>
      </c>
      <c r="K80">
        <v>-0.89676695271836804</v>
      </c>
      <c r="M80" t="s">
        <v>85</v>
      </c>
    </row>
    <row r="81" spans="1:13">
      <c r="A81">
        <v>79</v>
      </c>
      <c r="B81">
        <v>276</v>
      </c>
      <c r="C81">
        <v>45</v>
      </c>
      <c r="D81">
        <v>17</v>
      </c>
      <c r="E81">
        <v>18</v>
      </c>
      <c r="G81">
        <v>-0.72167676830021998</v>
      </c>
      <c r="H81">
        <v>-1.1603503625865774</v>
      </c>
      <c r="I81">
        <v>-1.1031016889066991</v>
      </c>
      <c r="K81">
        <v>-0.99504293993116555</v>
      </c>
      <c r="M81" t="s">
        <v>86</v>
      </c>
    </row>
    <row r="82" spans="1:13">
      <c r="A82">
        <v>80</v>
      </c>
      <c r="B82">
        <v>165</v>
      </c>
      <c r="C82">
        <v>200</v>
      </c>
      <c r="D82">
        <v>93</v>
      </c>
      <c r="E82">
        <v>101</v>
      </c>
      <c r="G82">
        <v>0.14956585143972892</v>
      </c>
      <c r="H82">
        <v>-0.19889119755960472</v>
      </c>
      <c r="I82">
        <v>-0.1306276823760511</v>
      </c>
      <c r="K82">
        <v>-5.998434283197563E-2</v>
      </c>
      <c r="M82" t="s">
        <v>87</v>
      </c>
    </row>
    <row r="83" spans="1:13">
      <c r="A83">
        <v>81</v>
      </c>
      <c r="B83">
        <v>215</v>
      </c>
      <c r="C83">
        <v>8</v>
      </c>
      <c r="D83">
        <v>5</v>
      </c>
      <c r="E83">
        <v>12</v>
      </c>
      <c r="G83">
        <v>-1.3633286729340079</v>
      </c>
      <c r="H83">
        <v>-1.5833586574792202</v>
      </c>
      <c r="I83">
        <v>-1.1707223258127679</v>
      </c>
      <c r="K83">
        <v>-1.3724698854086654</v>
      </c>
      <c r="M83" t="s">
        <v>88</v>
      </c>
    </row>
    <row r="84" spans="1:13">
      <c r="A84">
        <v>82</v>
      </c>
      <c r="B84">
        <v>97</v>
      </c>
      <c r="C84">
        <v>68</v>
      </c>
      <c r="D84">
        <v>87</v>
      </c>
      <c r="E84">
        <v>194</v>
      </c>
      <c r="G84">
        <v>-8.824302157035456E-2</v>
      </c>
      <c r="H84">
        <v>2.8573164527401773E-3</v>
      </c>
      <c r="I84">
        <v>0.38356488371919384</v>
      </c>
      <c r="K84">
        <v>9.9393059533859809E-2</v>
      </c>
      <c r="M84" t="s">
        <v>89</v>
      </c>
    </row>
    <row r="85" spans="1:13">
      <c r="A85">
        <v>83</v>
      </c>
      <c r="B85">
        <v>53</v>
      </c>
      <c r="C85">
        <v>4</v>
      </c>
      <c r="D85">
        <v>1</v>
      </c>
      <c r="E85">
        <v>2</v>
      </c>
      <c r="G85">
        <v>-1.0561960782831727</v>
      </c>
      <c r="H85">
        <v>-1.6741660715004227</v>
      </c>
      <c r="I85">
        <v>-1.3407109858815953</v>
      </c>
      <c r="K85">
        <v>-1.3570243785550637</v>
      </c>
      <c r="M85" t="s">
        <v>90</v>
      </c>
    </row>
    <row r="86" spans="1:13">
      <c r="A86">
        <v>84</v>
      </c>
      <c r="B86">
        <v>110</v>
      </c>
      <c r="C86">
        <v>0</v>
      </c>
      <c r="D86">
        <v>5</v>
      </c>
      <c r="E86">
        <v>1</v>
      </c>
      <c r="G86">
        <v>-1.8</v>
      </c>
      <c r="H86">
        <v>-1.2923128827218398</v>
      </c>
      <c r="I86">
        <v>-1.9588577971030123</v>
      </c>
      <c r="K86">
        <v>-1.8</v>
      </c>
      <c r="M86" t="s">
        <v>91</v>
      </c>
    </row>
    <row r="87" spans="1:13">
      <c r="A87">
        <v>85</v>
      </c>
      <c r="B87">
        <v>140</v>
      </c>
      <c r="C87">
        <v>5</v>
      </c>
      <c r="D87">
        <v>8</v>
      </c>
      <c r="E87">
        <v>13</v>
      </c>
      <c r="G87">
        <v>-1.3811382313525653</v>
      </c>
      <c r="H87">
        <v>-1.192928250585928</v>
      </c>
      <c r="I87">
        <v>-0.94964979531618854</v>
      </c>
      <c r="K87">
        <v>-1.1745720924182272</v>
      </c>
      <c r="M87" t="s">
        <v>92</v>
      </c>
    </row>
    <row r="88" spans="1:13">
      <c r="A88">
        <v>86</v>
      </c>
      <c r="B88">
        <v>225</v>
      </c>
      <c r="C88">
        <v>4</v>
      </c>
      <c r="D88">
        <v>5</v>
      </c>
      <c r="E88">
        <v>3</v>
      </c>
      <c r="G88">
        <v>-1.6841027267937463</v>
      </c>
      <c r="H88">
        <v>-1.6031027156749773</v>
      </c>
      <c r="I88">
        <v>-1.7925263753364875</v>
      </c>
      <c r="K88">
        <v>-1.6932439392684036</v>
      </c>
      <c r="M88" t="s">
        <v>93</v>
      </c>
    </row>
    <row r="89" spans="1:13">
      <c r="A89">
        <v>87</v>
      </c>
      <c r="B89">
        <v>147</v>
      </c>
      <c r="C89">
        <v>6</v>
      </c>
      <c r="D89">
        <v>3</v>
      </c>
      <c r="E89">
        <v>2</v>
      </c>
      <c r="G89">
        <v>-1.3231462843748787</v>
      </c>
      <c r="H89">
        <v>-1.6400862819281472</v>
      </c>
      <c r="I89">
        <v>-1.7837524510289824</v>
      </c>
      <c r="K89">
        <v>-1.5823283391106695</v>
      </c>
      <c r="M89" t="s">
        <v>94</v>
      </c>
    </row>
    <row r="90" spans="1:13">
      <c r="A90">
        <v>88</v>
      </c>
      <c r="B90">
        <v>110</v>
      </c>
      <c r="C90">
        <v>33</v>
      </c>
      <c r="D90">
        <v>186</v>
      </c>
      <c r="E90">
        <v>81</v>
      </c>
      <c r="G90">
        <v>-0.4568589452906836</v>
      </c>
      <c r="H90">
        <v>0.27823005716005778</v>
      </c>
      <c r="I90">
        <v>-5.037277822436266E-2</v>
      </c>
      <c r="K90">
        <v>-7.6333888784996154E-2</v>
      </c>
      <c r="M90" t="s">
        <v>95</v>
      </c>
    </row>
    <row r="91" spans="1:13">
      <c r="A91">
        <v>89</v>
      </c>
      <c r="B91">
        <v>72</v>
      </c>
      <c r="C91">
        <v>29</v>
      </c>
      <c r="D91">
        <v>45</v>
      </c>
      <c r="E91">
        <v>69</v>
      </c>
      <c r="G91">
        <v>-0.32891469854265837</v>
      </c>
      <c r="H91">
        <v>-0.15401018455555832</v>
      </c>
      <c r="I91">
        <v>6.4051482361199535E-2</v>
      </c>
      <c r="K91">
        <v>-0.13962446691233907</v>
      </c>
      <c r="M91" t="s">
        <v>96</v>
      </c>
    </row>
    <row r="92" spans="1:13">
      <c r="A92">
        <v>90</v>
      </c>
      <c r="B92">
        <v>226</v>
      </c>
      <c r="C92">
        <v>2</v>
      </c>
      <c r="D92">
        <v>3</v>
      </c>
      <c r="E92">
        <v>4</v>
      </c>
      <c r="G92">
        <v>-1.987058643493766</v>
      </c>
      <c r="H92">
        <v>-1.8268773863273722</v>
      </c>
      <c r="I92">
        <v>-1.6695135597642259</v>
      </c>
      <c r="K92">
        <v>-1.8278165298617879</v>
      </c>
      <c r="M92" t="s">
        <v>97</v>
      </c>
    </row>
    <row r="93" spans="1:13">
      <c r="A93">
        <v>91</v>
      </c>
      <c r="B93">
        <v>284</v>
      </c>
      <c r="C93">
        <v>8</v>
      </c>
      <c r="D93">
        <v>16</v>
      </c>
      <c r="E93">
        <v>35</v>
      </c>
      <c r="G93">
        <v>-1.4842085530654401</v>
      </c>
      <c r="H93">
        <v>-1.1990885592907465</v>
      </c>
      <c r="I93">
        <v>-0.82671540764154938</v>
      </c>
      <c r="K93">
        <v>-1.1700041733325788</v>
      </c>
      <c r="M93" t="s">
        <v>98</v>
      </c>
    </row>
    <row r="94" spans="1:13">
      <c r="A94">
        <v>92</v>
      </c>
      <c r="B94">
        <v>388</v>
      </c>
      <c r="C94">
        <v>16</v>
      </c>
      <c r="D94">
        <v>22</v>
      </c>
      <c r="E94">
        <v>126</v>
      </c>
      <c r="G94">
        <v>-1.3186919429486286</v>
      </c>
      <c r="H94">
        <v>-1.1962992466716347</v>
      </c>
      <c r="I94">
        <v>-0.40592629242143169</v>
      </c>
      <c r="K94">
        <v>-0.97363916068056489</v>
      </c>
      <c r="M94" t="s">
        <v>99</v>
      </c>
    </row>
    <row r="95" spans="1:13">
      <c r="A95">
        <v>93</v>
      </c>
      <c r="B95">
        <v>43</v>
      </c>
      <c r="C95">
        <v>0</v>
      </c>
      <c r="D95">
        <v>0</v>
      </c>
      <c r="E95">
        <v>1</v>
      </c>
      <c r="G95">
        <v>-1.8</v>
      </c>
      <c r="H95">
        <v>-1.8</v>
      </c>
      <c r="I95">
        <v>-1.5509335675243741</v>
      </c>
      <c r="K95">
        <v>-1.8</v>
      </c>
      <c r="M95" t="s">
        <v>100</v>
      </c>
    </row>
    <row r="96" spans="1:13">
      <c r="A96">
        <v>94</v>
      </c>
      <c r="B96">
        <v>262</v>
      </c>
      <c r="C96">
        <v>22</v>
      </c>
      <c r="D96">
        <v>9</v>
      </c>
      <c r="E96">
        <v>11</v>
      </c>
      <c r="G96">
        <v>-1.0098588105078854</v>
      </c>
      <c r="H96">
        <v>-1.4139489837800541</v>
      </c>
      <c r="I96">
        <v>-1.2943737181063077</v>
      </c>
      <c r="K96">
        <v>-1.2393938374647491</v>
      </c>
      <c r="M96" t="s">
        <v>101</v>
      </c>
    </row>
    <row r="97" spans="1:13">
      <c r="A97">
        <v>95</v>
      </c>
      <c r="B97">
        <v>35</v>
      </c>
      <c r="C97">
        <v>261</v>
      </c>
      <c r="D97">
        <v>95</v>
      </c>
      <c r="E97">
        <v>71</v>
      </c>
      <c r="G97">
        <v>0.9385922629776593</v>
      </c>
      <c r="H97">
        <v>0.48376535903893864</v>
      </c>
      <c r="I97">
        <v>0.38972519242401227</v>
      </c>
      <c r="K97">
        <v>0.60402760481353679</v>
      </c>
      <c r="M97" t="s">
        <v>102</v>
      </c>
    </row>
    <row r="98" spans="1:13">
      <c r="A98">
        <v>96</v>
      </c>
      <c r="B98">
        <v>59</v>
      </c>
      <c r="C98">
        <v>1</v>
      </c>
      <c r="D98">
        <v>1</v>
      </c>
      <c r="E98">
        <v>1</v>
      </c>
      <c r="G98">
        <v>-1.7048322116524903</v>
      </c>
      <c r="H98">
        <v>-1.7207422135417778</v>
      </c>
      <c r="I98">
        <v>-1.6883171235869316</v>
      </c>
      <c r="K98">
        <v>-1.7046305162603999</v>
      </c>
      <c r="M98" t="s">
        <v>103</v>
      </c>
    </row>
    <row r="99" spans="1:13">
      <c r="A99">
        <v>97</v>
      </c>
      <c r="B99">
        <v>179</v>
      </c>
      <c r="C99">
        <v>31</v>
      </c>
      <c r="D99">
        <v>3</v>
      </c>
      <c r="E99">
        <v>11</v>
      </c>
      <c r="G99">
        <v>-0.69547153715596643</v>
      </c>
      <c r="H99">
        <v>-1.7256219781598643</v>
      </c>
      <c r="I99">
        <v>-1.1289254577664556</v>
      </c>
      <c r="K99">
        <v>-1.1833396576940955</v>
      </c>
      <c r="M99" t="s">
        <v>104</v>
      </c>
    </row>
    <row r="100" spans="1:13">
      <c r="A100">
        <v>98</v>
      </c>
      <c r="B100">
        <v>66</v>
      </c>
      <c r="C100">
        <v>9</v>
      </c>
      <c r="D100">
        <v>25</v>
      </c>
      <c r="E100">
        <v>7</v>
      </c>
      <c r="G100">
        <v>-0.79928162611288978</v>
      </c>
      <c r="H100">
        <v>-0.37149412876946458</v>
      </c>
      <c r="I100">
        <v>-0.89191100747239915</v>
      </c>
      <c r="K100">
        <v>-0.68756225411825111</v>
      </c>
      <c r="M100" t="s">
        <v>105</v>
      </c>
    </row>
    <row r="101" spans="1:13">
      <c r="A101">
        <v>99</v>
      </c>
      <c r="B101">
        <v>122</v>
      </c>
      <c r="C101">
        <v>1</v>
      </c>
      <c r="D101">
        <v>8</v>
      </c>
      <c r="E101">
        <v>0</v>
      </c>
      <c r="G101">
        <v>-2.0203400306850945</v>
      </c>
      <c r="H101">
        <v>-1.1331600455824382</v>
      </c>
      <c r="I101">
        <v>-1.8</v>
      </c>
      <c r="K101">
        <v>-1.8</v>
      </c>
      <c r="M101" t="s">
        <v>106</v>
      </c>
    </row>
    <row r="102" spans="1:13">
      <c r="A102">
        <v>100</v>
      </c>
      <c r="B102">
        <v>44</v>
      </c>
      <c r="C102">
        <v>3</v>
      </c>
      <c r="D102">
        <v>0</v>
      </c>
      <c r="E102">
        <v>1</v>
      </c>
      <c r="G102">
        <v>-1.1003116217768711</v>
      </c>
      <c r="H102">
        <v>-1.8</v>
      </c>
      <c r="I102">
        <v>-1.5609177884309748</v>
      </c>
      <c r="K102">
        <v>-1.8</v>
      </c>
      <c r="M102" t="s">
        <v>107</v>
      </c>
    </row>
    <row r="103" spans="1:13">
      <c r="A103">
        <v>101</v>
      </c>
      <c r="B103">
        <v>220</v>
      </c>
      <c r="C103">
        <v>15</v>
      </c>
      <c r="D103">
        <v>45</v>
      </c>
      <c r="E103">
        <v>24</v>
      </c>
      <c r="G103">
        <v>-1.1003116217768711</v>
      </c>
      <c r="H103">
        <v>-0.63910036894649602</v>
      </c>
      <c r="I103">
        <v>-0.87967655105538756</v>
      </c>
      <c r="K103">
        <v>-0.87302951392625161</v>
      </c>
      <c r="M103" t="s">
        <v>108</v>
      </c>
    </row>
    <row r="104" spans="1:13">
      <c r="A104">
        <v>102</v>
      </c>
      <c r="B104">
        <v>135</v>
      </c>
      <c r="C104">
        <v>3</v>
      </c>
      <c r="D104">
        <v>4</v>
      </c>
      <c r="E104">
        <v>5</v>
      </c>
      <c r="G104">
        <v>-1.5871927137856898</v>
      </c>
      <c r="H104">
        <v>-1.4781639790666772</v>
      </c>
      <c r="I104">
        <v>-1.3488288761037748</v>
      </c>
      <c r="K104">
        <v>-1.4713951896520472</v>
      </c>
      <c r="M104" t="s">
        <v>109</v>
      </c>
    </row>
    <row r="105" spans="1:13">
      <c r="A105">
        <v>103</v>
      </c>
      <c r="B105">
        <v>133</v>
      </c>
      <c r="C105">
        <v>9</v>
      </c>
      <c r="D105">
        <v>4</v>
      </c>
      <c r="E105">
        <v>3</v>
      </c>
      <c r="G105">
        <v>-1.1035893315381071</v>
      </c>
      <c r="H105">
        <v>-1.4716818515387571</v>
      </c>
      <c r="I105">
        <v>-1.5641954981922108</v>
      </c>
      <c r="K105">
        <v>-1.3798222270896918</v>
      </c>
      <c r="M105" t="s">
        <v>110</v>
      </c>
    </row>
    <row r="106" spans="1:13">
      <c r="A106">
        <v>104</v>
      </c>
      <c r="B106">
        <v>17</v>
      </c>
      <c r="C106">
        <v>0</v>
      </c>
      <c r="D106">
        <v>1</v>
      </c>
      <c r="E106">
        <v>0</v>
      </c>
      <c r="G106">
        <v>-1.8</v>
      </c>
      <c r="H106">
        <v>-1.1803391232779075</v>
      </c>
      <c r="I106">
        <v>-1.8</v>
      </c>
      <c r="K106">
        <v>-1.8</v>
      </c>
      <c r="M106" t="s">
        <v>111</v>
      </c>
    </row>
    <row r="107" spans="1:13">
      <c r="A107">
        <v>105</v>
      </c>
      <c r="B107">
        <v>399</v>
      </c>
      <c r="C107">
        <v>45</v>
      </c>
      <c r="D107">
        <v>15</v>
      </c>
      <c r="E107">
        <v>18</v>
      </c>
      <c r="G107">
        <v>-0.88174058192175053</v>
      </c>
      <c r="H107">
        <v>-1.3747718385307006</v>
      </c>
      <c r="I107">
        <v>-1.2631655025282296</v>
      </c>
      <c r="K107">
        <v>-1.1732259743268936</v>
      </c>
      <c r="M107" t="s">
        <v>112</v>
      </c>
    </row>
    <row r="108" spans="1:13">
      <c r="A108">
        <v>106</v>
      </c>
      <c r="B108">
        <v>232</v>
      </c>
      <c r="C108">
        <v>10</v>
      </c>
      <c r="D108">
        <v>8</v>
      </c>
      <c r="E108">
        <v>9</v>
      </c>
      <c r="G108">
        <v>-1.2994681849012457</v>
      </c>
      <c r="H108">
        <v>-1.4122881997985897</v>
      </c>
      <c r="I108">
        <v>-1.3287105873963623</v>
      </c>
      <c r="K108">
        <v>-1.3468223240320658</v>
      </c>
      <c r="M108" t="s">
        <v>113</v>
      </c>
    </row>
    <row r="109" spans="1:13">
      <c r="A109">
        <v>107</v>
      </c>
      <c r="B109">
        <v>85</v>
      </c>
      <c r="C109">
        <v>9</v>
      </c>
      <c r="D109">
        <v>3</v>
      </c>
      <c r="E109">
        <v>8</v>
      </c>
      <c r="G109">
        <v>-0.90915661628531386</v>
      </c>
      <c r="H109">
        <v>-1.4021878728942638</v>
      </c>
      <c r="I109">
        <v>-0.9437940506671364</v>
      </c>
      <c r="K109">
        <v>-1.0850461799489046</v>
      </c>
      <c r="M109" t="s">
        <v>114</v>
      </c>
    </row>
    <row r="110" spans="1:13">
      <c r="A110">
        <v>108</v>
      </c>
      <c r="B110">
        <v>196</v>
      </c>
      <c r="C110">
        <v>6</v>
      </c>
      <c r="D110">
        <v>12</v>
      </c>
      <c r="E110">
        <v>11</v>
      </c>
      <c r="G110">
        <v>-1.4480850209831786</v>
      </c>
      <c r="H110">
        <v>-1.1629650272084848</v>
      </c>
      <c r="I110">
        <v>-1.1683284981430384</v>
      </c>
      <c r="K110">
        <v>-1.2597928487782342</v>
      </c>
      <c r="M110" t="s">
        <v>115</v>
      </c>
    </row>
    <row r="111" spans="1:13">
      <c r="A111">
        <v>109</v>
      </c>
      <c r="B111">
        <v>83</v>
      </c>
      <c r="C111">
        <v>1</v>
      </c>
      <c r="D111">
        <v>2</v>
      </c>
      <c r="E111">
        <v>2</v>
      </c>
      <c r="G111">
        <v>-1.8530582923864201</v>
      </c>
      <c r="H111">
        <v>-1.5679382986117263</v>
      </c>
      <c r="I111">
        <v>-1.5355132086568801</v>
      </c>
      <c r="K111">
        <v>-1.6521699332183422</v>
      </c>
      <c r="M111" t="s">
        <v>116</v>
      </c>
    </row>
    <row r="112" spans="1:13">
      <c r="A112">
        <v>110</v>
      </c>
      <c r="B112">
        <v>142</v>
      </c>
      <c r="C112">
        <v>0</v>
      </c>
      <c r="D112">
        <v>2</v>
      </c>
      <c r="E112">
        <v>1</v>
      </c>
      <c r="G112">
        <v>-1.8</v>
      </c>
      <c r="H112">
        <v>-1.8011485506187088</v>
      </c>
      <c r="I112">
        <v>-2.0697534563278435</v>
      </c>
      <c r="K112">
        <v>-1.8</v>
      </c>
      <c r="M112" t="s">
        <v>117</v>
      </c>
    </row>
    <row r="113" spans="1:13">
      <c r="A113">
        <v>111</v>
      </c>
      <c r="B113">
        <v>151</v>
      </c>
      <c r="C113">
        <v>2</v>
      </c>
      <c r="D113">
        <v>10</v>
      </c>
      <c r="E113">
        <v>59</v>
      </c>
      <c r="G113">
        <v>-1.8119271516395343</v>
      </c>
      <c r="H113">
        <v>-1.1288671491928031</v>
      </c>
      <c r="I113">
        <v>-0.32559004759581262</v>
      </c>
      <c r="K113">
        <v>-1.0887947828093834</v>
      </c>
      <c r="M113" t="s">
        <v>118</v>
      </c>
    </row>
    <row r="114" spans="1:13">
      <c r="A114">
        <v>112</v>
      </c>
      <c r="B114">
        <v>82</v>
      </c>
      <c r="C114">
        <v>4</v>
      </c>
      <c r="D114">
        <v>2</v>
      </c>
      <c r="E114">
        <v>1</v>
      </c>
      <c r="G114">
        <v>-1.2457340610661003</v>
      </c>
      <c r="H114">
        <v>-1.562674058619369</v>
      </c>
      <c r="I114">
        <v>-1.8312789643285041</v>
      </c>
      <c r="K114">
        <v>-1.5465623613379913</v>
      </c>
      <c r="M114" t="s">
        <v>119</v>
      </c>
    </row>
    <row r="115" spans="1:13">
      <c r="A115">
        <v>113</v>
      </c>
      <c r="B115">
        <v>157</v>
      </c>
      <c r="C115">
        <v>6</v>
      </c>
      <c r="D115">
        <v>8</v>
      </c>
      <c r="E115">
        <v>5</v>
      </c>
      <c r="G115">
        <v>-1.3517286020359363</v>
      </c>
      <c r="H115">
        <v>-1.2426998673169236</v>
      </c>
      <c r="I115">
        <v>-1.4143947600180022</v>
      </c>
      <c r="K115">
        <v>-1.3362744097902874</v>
      </c>
      <c r="M115" t="s">
        <v>120</v>
      </c>
    </row>
    <row r="116" spans="1:13">
      <c r="A116">
        <v>114</v>
      </c>
      <c r="B116">
        <v>27</v>
      </c>
      <c r="C116">
        <v>14</v>
      </c>
      <c r="D116">
        <v>2</v>
      </c>
      <c r="E116">
        <v>5</v>
      </c>
      <c r="G116">
        <v>-0.21921592849109528</v>
      </c>
      <c r="H116">
        <v>-1.0802239703946397</v>
      </c>
      <c r="I116">
        <v>-0.64985887176775581</v>
      </c>
      <c r="K116">
        <v>-0.64976625688449696</v>
      </c>
      <c r="M116" t="s">
        <v>121</v>
      </c>
    </row>
    <row r="117" spans="1:13">
      <c r="A117">
        <v>115</v>
      </c>
      <c r="B117">
        <v>93</v>
      </c>
      <c r="C117">
        <v>59</v>
      </c>
      <c r="D117">
        <v>58</v>
      </c>
      <c r="E117">
        <v>50</v>
      </c>
      <c r="G117">
        <v>-0.13161113692213694</v>
      </c>
      <c r="H117">
        <v>-0.15494515689063132</v>
      </c>
      <c r="I117">
        <v>-0.18697805616270369</v>
      </c>
      <c r="K117">
        <v>-0.15784478332515731</v>
      </c>
      <c r="M117" t="s">
        <v>122</v>
      </c>
    </row>
    <row r="118" spans="1:13">
      <c r="A118">
        <v>116</v>
      </c>
      <c r="B118">
        <v>235</v>
      </c>
      <c r="C118">
        <v>12</v>
      </c>
      <c r="D118">
        <v>15</v>
      </c>
      <c r="E118">
        <v>20</v>
      </c>
      <c r="G118">
        <v>-1.2258668162344575</v>
      </c>
      <c r="H118">
        <v>-1.1448668051156887</v>
      </c>
      <c r="I118">
        <v>-0.98750297855254232</v>
      </c>
      <c r="K118">
        <v>-1.1194121999675628</v>
      </c>
      <c r="M118" t="s">
        <v>123</v>
      </c>
    </row>
    <row r="119" spans="1:13">
      <c r="A119">
        <v>117</v>
      </c>
      <c r="B119">
        <v>357</v>
      </c>
      <c r="C119">
        <v>133</v>
      </c>
      <c r="D119">
        <v>110</v>
      </c>
      <c r="E119">
        <v>64</v>
      </c>
      <c r="G119">
        <v>-0.36279677515545339</v>
      </c>
      <c r="H119">
        <v>-0.46116573285360168</v>
      </c>
      <c r="I119">
        <v>-0.6639533540730933</v>
      </c>
      <c r="K119">
        <v>-0.49597195402738281</v>
      </c>
      <c r="M119" t="s">
        <v>124</v>
      </c>
    </row>
    <row r="120" spans="1:13">
      <c r="A120">
        <v>118</v>
      </c>
      <c r="B120">
        <v>95</v>
      </c>
      <c r="C120">
        <v>5</v>
      </c>
      <c r="D120">
        <v>4</v>
      </c>
      <c r="E120">
        <v>4</v>
      </c>
      <c r="G120">
        <v>-1.2127338009631752</v>
      </c>
      <c r="H120">
        <v>-1.3255538158605189</v>
      </c>
      <c r="I120">
        <v>-1.2931287259056727</v>
      </c>
      <c r="K120">
        <v>-1.2771387809097889</v>
      </c>
      <c r="M120" t="s">
        <v>125</v>
      </c>
    </row>
    <row r="121" spans="1:13">
      <c r="A121">
        <v>119</v>
      </c>
      <c r="B121">
        <v>66</v>
      </c>
      <c r="C121">
        <v>1</v>
      </c>
      <c r="D121">
        <v>1</v>
      </c>
      <c r="E121">
        <v>1</v>
      </c>
      <c r="G121">
        <v>-1.7535241355522146</v>
      </c>
      <c r="H121">
        <v>-1.7694341374415021</v>
      </c>
      <c r="I121">
        <v>-1.737009047486656</v>
      </c>
      <c r="K121">
        <v>-1.7533224401601242</v>
      </c>
      <c r="M121" t="s">
        <v>126</v>
      </c>
    </row>
    <row r="122" spans="1:13">
      <c r="A122">
        <v>120</v>
      </c>
      <c r="B122">
        <v>19</v>
      </c>
      <c r="C122">
        <v>22</v>
      </c>
      <c r="D122">
        <v>9</v>
      </c>
      <c r="E122">
        <v>19</v>
      </c>
      <c r="G122">
        <v>0.1296888798590313</v>
      </c>
      <c r="H122">
        <v>-0.27440129341313763</v>
      </c>
      <c r="I122">
        <v>8.2534888055212655E-2</v>
      </c>
      <c r="K122">
        <v>-2.0725841832964557E-2</v>
      </c>
      <c r="M122" t="s">
        <v>127</v>
      </c>
    </row>
    <row r="123" spans="1:13">
      <c r="A123">
        <v>121</v>
      </c>
      <c r="B123">
        <v>142</v>
      </c>
      <c r="C123">
        <v>32</v>
      </c>
      <c r="D123">
        <v>33</v>
      </c>
      <c r="E123">
        <v>98</v>
      </c>
      <c r="G123">
        <v>-0.58111856607349643</v>
      </c>
      <c r="H123">
        <v>-0.58366460640480244</v>
      </c>
      <c r="I123">
        <v>-7.8527380635348989E-2</v>
      </c>
      <c r="K123">
        <v>-0.41443685103788264</v>
      </c>
      <c r="M123" t="s">
        <v>128</v>
      </c>
    </row>
    <row r="124" spans="1:13">
      <c r="A124">
        <v>122</v>
      </c>
      <c r="B124">
        <v>44</v>
      </c>
      <c r="C124">
        <v>0</v>
      </c>
      <c r="D124">
        <v>2</v>
      </c>
      <c r="E124">
        <v>0</v>
      </c>
      <c r="G124">
        <v>-1.8</v>
      </c>
      <c r="H124">
        <v>-1.2923128827218398</v>
      </c>
      <c r="I124">
        <v>-1.8</v>
      </c>
      <c r="K124">
        <v>-1.8</v>
      </c>
      <c r="M124" t="s">
        <v>129</v>
      </c>
    </row>
    <row r="125" spans="1:13">
      <c r="A125">
        <v>123</v>
      </c>
      <c r="B125">
        <v>35</v>
      </c>
      <c r="C125">
        <v>9</v>
      </c>
      <c r="D125">
        <v>17</v>
      </c>
      <c r="E125">
        <v>19</v>
      </c>
      <c r="G125">
        <v>-0.52380573492129678</v>
      </c>
      <c r="H125">
        <v>-0.26350932487163525</v>
      </c>
      <c r="I125">
        <v>-0.18277955534223406</v>
      </c>
      <c r="K125">
        <v>-0.32336487171172207</v>
      </c>
      <c r="M125" t="s">
        <v>130</v>
      </c>
    </row>
    <row r="126" spans="1:13">
      <c r="A126">
        <v>124</v>
      </c>
      <c r="B126">
        <v>39</v>
      </c>
      <c r="C126">
        <v>14</v>
      </c>
      <c r="D126">
        <v>23</v>
      </c>
      <c r="E126">
        <v>7</v>
      </c>
      <c r="G126">
        <v>-0.37891677135860719</v>
      </c>
      <c r="H126">
        <v>-0.17922697290853984</v>
      </c>
      <c r="I126">
        <v>-0.6634316789570297</v>
      </c>
      <c r="K126">
        <v>-0.40719180774139224</v>
      </c>
      <c r="M126" t="s">
        <v>131</v>
      </c>
    </row>
    <row r="127" spans="1:13">
      <c r="A127">
        <v>125</v>
      </c>
      <c r="B127">
        <v>47</v>
      </c>
      <c r="C127">
        <v>305</v>
      </c>
      <c r="D127">
        <v>2166</v>
      </c>
      <c r="E127">
        <v>223</v>
      </c>
      <c r="G127">
        <v>0.87822178140072238</v>
      </c>
      <c r="H127">
        <v>1.7136703924539505</v>
      </c>
      <c r="I127">
        <v>0.75874189316765595</v>
      </c>
      <c r="K127">
        <v>1.1168780223407764</v>
      </c>
      <c r="M127" t="s">
        <v>132</v>
      </c>
    </row>
    <row r="128" spans="1:13">
      <c r="A128">
        <v>126</v>
      </c>
      <c r="B128">
        <v>117</v>
      </c>
      <c r="C128">
        <v>232</v>
      </c>
      <c r="D128">
        <v>247</v>
      </c>
      <c r="E128">
        <v>210</v>
      </c>
      <c r="G128">
        <v>0.36332192313439204</v>
      </c>
      <c r="H128">
        <v>0.37462088961387058</v>
      </c>
      <c r="I128">
        <v>0.3365683210429703</v>
      </c>
      <c r="K128">
        <v>0.35817037793041101</v>
      </c>
      <c r="M128" t="s">
        <v>133</v>
      </c>
    </row>
    <row r="129" spans="1:13">
      <c r="A129">
        <v>127</v>
      </c>
      <c r="B129">
        <v>159</v>
      </c>
      <c r="C129">
        <v>13</v>
      </c>
      <c r="D129">
        <v>18</v>
      </c>
      <c r="E129">
        <v>11</v>
      </c>
      <c r="G129">
        <v>-1.0214339720239609</v>
      </c>
      <c r="H129">
        <v>-0.89601482111677888</v>
      </c>
      <c r="I129">
        <v>-1.0774695511070138</v>
      </c>
      <c r="K129">
        <v>-0.99830611474925124</v>
      </c>
      <c r="M129" t="s">
        <v>134</v>
      </c>
    </row>
    <row r="130" spans="1:13">
      <c r="A130">
        <v>128</v>
      </c>
      <c r="B130">
        <v>42</v>
      </c>
      <c r="C130">
        <v>22</v>
      </c>
      <c r="D130">
        <v>26</v>
      </c>
      <c r="E130">
        <v>21</v>
      </c>
      <c r="G130">
        <v>-0.2148068095860402</v>
      </c>
      <c r="H130">
        <v>-0.158166144326716</v>
      </c>
      <c r="I130">
        <v>-0.21849510760876856</v>
      </c>
      <c r="K130">
        <v>-0.19715602050717493</v>
      </c>
      <c r="M130" t="s">
        <v>135</v>
      </c>
    </row>
    <row r="131" spans="1:13">
      <c r="A131">
        <v>129</v>
      </c>
      <c r="B131">
        <v>31</v>
      </c>
      <c r="C131">
        <v>37</v>
      </c>
      <c r="D131">
        <v>36</v>
      </c>
      <c r="E131">
        <v>15</v>
      </c>
      <c r="G131">
        <v>0.14285983022237633</v>
      </c>
      <c r="H131">
        <v>0.1150506050333811</v>
      </c>
      <c r="I131">
        <v>-0.23273554672337876</v>
      </c>
      <c r="K131">
        <v>8.3916295107928831E-3</v>
      </c>
      <c r="M131" t="s">
        <v>136</v>
      </c>
    </row>
    <row r="132" spans="1:13">
      <c r="A132">
        <v>130</v>
      </c>
      <c r="B132">
        <v>103</v>
      </c>
      <c r="C132">
        <v>11</v>
      </c>
      <c r="D132">
        <v>30</v>
      </c>
      <c r="E132">
        <v>16</v>
      </c>
      <c r="G132">
        <v>-0.90542473955729319</v>
      </c>
      <c r="H132">
        <v>-0.48560617188514327</v>
      </c>
      <c r="I132">
        <v>-0.72618235399403475</v>
      </c>
      <c r="K132">
        <v>-0.70573775514549031</v>
      </c>
      <c r="M132" t="s">
        <v>137</v>
      </c>
    </row>
    <row r="133" spans="1:13">
      <c r="A133">
        <v>131</v>
      </c>
      <c r="B133">
        <v>159</v>
      </c>
      <c r="C133">
        <v>4</v>
      </c>
      <c r="D133">
        <v>3</v>
      </c>
      <c r="E133">
        <v>8</v>
      </c>
      <c r="G133">
        <v>-1.5333173330028351</v>
      </c>
      <c r="H133">
        <v>-1.6741660715004227</v>
      </c>
      <c r="I133">
        <v>-1.2157722492732952</v>
      </c>
      <c r="K133">
        <v>-1.474418551258851</v>
      </c>
      <c r="M133" t="s">
        <v>138</v>
      </c>
    </row>
    <row r="134" spans="1:13">
      <c r="A134">
        <v>132</v>
      </c>
      <c r="B134">
        <v>53</v>
      </c>
      <c r="C134">
        <v>0</v>
      </c>
      <c r="D134">
        <v>0</v>
      </c>
      <c r="E134">
        <v>1</v>
      </c>
      <c r="G134">
        <v>-1.8</v>
      </c>
      <c r="H134">
        <v>-1.8</v>
      </c>
      <c r="I134">
        <v>-1.6417409815455766</v>
      </c>
      <c r="K134">
        <v>-1.8</v>
      </c>
      <c r="M134" t="s">
        <v>139</v>
      </c>
    </row>
    <row r="135" spans="1:13">
      <c r="A135">
        <v>133</v>
      </c>
      <c r="B135">
        <v>206</v>
      </c>
      <c r="C135">
        <v>96</v>
      </c>
      <c r="D135">
        <v>4</v>
      </c>
      <c r="E135">
        <v>5</v>
      </c>
      <c r="G135">
        <v>-0.26557618733993094</v>
      </c>
      <c r="H135">
        <v>-1.6616974309408246</v>
      </c>
      <c r="I135">
        <v>-1.5323623279779219</v>
      </c>
      <c r="K135">
        <v>-1.1532119820862257</v>
      </c>
      <c r="M135" t="s">
        <v>140</v>
      </c>
    </row>
    <row r="136" spans="1:13">
      <c r="A136">
        <v>134</v>
      </c>
      <c r="B136">
        <v>243</v>
      </c>
      <c r="C136">
        <v>18</v>
      </c>
      <c r="D136">
        <v>11</v>
      </c>
      <c r="E136">
        <v>7</v>
      </c>
      <c r="G136">
        <v>-1.0643139685053522</v>
      </c>
      <c r="H136">
        <v>-1.2941037903397208</v>
      </c>
      <c r="I136">
        <v>-1.4579733455288428</v>
      </c>
      <c r="K136">
        <v>-1.2721303681246388</v>
      </c>
      <c r="M136" t="s">
        <v>141</v>
      </c>
    </row>
    <row r="137" spans="1:13">
      <c r="A137">
        <v>135</v>
      </c>
      <c r="B137">
        <v>125</v>
      </c>
      <c r="C137">
        <v>5</v>
      </c>
      <c r="D137">
        <v>2</v>
      </c>
      <c r="E137">
        <v>2</v>
      </c>
      <c r="G137">
        <v>-1.3319202086823836</v>
      </c>
      <c r="H137">
        <v>-1.7457702192437088</v>
      </c>
      <c r="I137">
        <v>-1.7133451292888626</v>
      </c>
      <c r="K137">
        <v>-1.597011852404985</v>
      </c>
      <c r="M137" t="s">
        <v>142</v>
      </c>
    </row>
    <row r="138" spans="1:13">
      <c r="A138">
        <v>136</v>
      </c>
      <c r="B138">
        <v>97</v>
      </c>
      <c r="C138">
        <v>0</v>
      </c>
      <c r="D138">
        <v>2</v>
      </c>
      <c r="E138">
        <v>0</v>
      </c>
      <c r="G138">
        <v>-1.8</v>
      </c>
      <c r="H138">
        <v>-1.6356319405018973</v>
      </c>
      <c r="I138">
        <v>-1.8</v>
      </c>
      <c r="K138">
        <v>-1.8</v>
      </c>
      <c r="M138" t="s">
        <v>143</v>
      </c>
    </row>
    <row r="139" spans="1:13">
      <c r="A139">
        <v>137</v>
      </c>
      <c r="B139">
        <v>145</v>
      </c>
      <c r="C139">
        <v>17</v>
      </c>
      <c r="D139">
        <v>6</v>
      </c>
      <c r="E139">
        <v>13</v>
      </c>
      <c r="G139">
        <v>-0.86489928086704693</v>
      </c>
      <c r="H139">
        <v>-1.3331069537509648</v>
      </c>
      <c r="I139">
        <v>-0.96488976187292541</v>
      </c>
      <c r="K139">
        <v>-1.054298665496979</v>
      </c>
      <c r="M139" t="s">
        <v>144</v>
      </c>
    </row>
    <row r="140" spans="1:13">
      <c r="A140">
        <v>138</v>
      </c>
      <c r="B140">
        <v>119</v>
      </c>
      <c r="C140">
        <v>35</v>
      </c>
      <c r="D140">
        <v>18</v>
      </c>
      <c r="E140">
        <v>16</v>
      </c>
      <c r="G140">
        <v>-0.46545911705260112</v>
      </c>
      <c r="H140">
        <v>-0.77016465818885815</v>
      </c>
      <c r="I140">
        <v>-0.78889209068139332</v>
      </c>
      <c r="K140">
        <v>-0.67483862197428424</v>
      </c>
      <c r="M140" t="s">
        <v>145</v>
      </c>
    </row>
    <row r="141" spans="1:13">
      <c r="A141">
        <v>139</v>
      </c>
      <c r="B141">
        <v>202</v>
      </c>
      <c r="C141">
        <v>16</v>
      </c>
      <c r="D141">
        <v>7</v>
      </c>
      <c r="E141">
        <v>3</v>
      </c>
      <c r="G141">
        <v>-1.035211586801045</v>
      </c>
      <c r="H141">
        <v>-1.4101435313320005</v>
      </c>
      <c r="I141">
        <v>-1.7456952266717487</v>
      </c>
      <c r="K141">
        <v>-1.3970167816015981</v>
      </c>
      <c r="M141" t="s">
        <v>146</v>
      </c>
    </row>
    <row r="142" spans="1:13">
      <c r="A142">
        <v>140</v>
      </c>
      <c r="B142">
        <v>120</v>
      </c>
      <c r="C142">
        <v>4</v>
      </c>
      <c r="D142">
        <v>5</v>
      </c>
      <c r="E142">
        <v>1</v>
      </c>
      <c r="G142">
        <v>-1.4111014547300085</v>
      </c>
      <c r="H142">
        <v>-1.3301014436112397</v>
      </c>
      <c r="I142">
        <v>-1.9966463579924121</v>
      </c>
      <c r="K142">
        <v>-1.5792830854445532</v>
      </c>
      <c r="M142" t="s">
        <v>147</v>
      </c>
    </row>
    <row r="143" spans="1:13">
      <c r="A143">
        <v>141</v>
      </c>
      <c r="B143">
        <v>79</v>
      </c>
      <c r="C143">
        <v>2</v>
      </c>
      <c r="D143">
        <v>2</v>
      </c>
      <c r="E143">
        <v>3</v>
      </c>
      <c r="G143">
        <v>-1.5305772956368064</v>
      </c>
      <c r="H143">
        <v>-1.5464872975260939</v>
      </c>
      <c r="I143">
        <v>-1.3379709485155664</v>
      </c>
      <c r="K143">
        <v>-1.4716785138928223</v>
      </c>
      <c r="M143" t="s">
        <v>148</v>
      </c>
    </row>
    <row r="144" spans="1:13">
      <c r="A144">
        <v>142</v>
      </c>
      <c r="B144">
        <v>167</v>
      </c>
      <c r="C144">
        <v>0</v>
      </c>
      <c r="D144">
        <v>2</v>
      </c>
      <c r="E144">
        <v>4</v>
      </c>
      <c r="G144">
        <v>-1.8</v>
      </c>
      <c r="H144">
        <v>-1.8715766773832356</v>
      </c>
      <c r="I144">
        <v>-1.5381215917644082</v>
      </c>
      <c r="K144">
        <v>-1.8</v>
      </c>
      <c r="M144" t="s">
        <v>149</v>
      </c>
    </row>
    <row r="145" spans="1:13">
      <c r="A145">
        <v>143</v>
      </c>
      <c r="B145">
        <v>86</v>
      </c>
      <c r="C145">
        <v>44</v>
      </c>
      <c r="D145">
        <v>1</v>
      </c>
      <c r="E145">
        <v>349</v>
      </c>
      <c r="G145">
        <v>-0.22502597476772623</v>
      </c>
      <c r="H145">
        <v>-1.8843886531432013</v>
      </c>
      <c r="I145">
        <v>0.69086186377082492</v>
      </c>
      <c r="K145">
        <v>-0.47285092138003409</v>
      </c>
      <c r="M145" t="s">
        <v>150</v>
      </c>
    </row>
    <row r="146" spans="1:13">
      <c r="A146">
        <v>144</v>
      </c>
      <c r="B146">
        <v>71</v>
      </c>
      <c r="C146">
        <v>27</v>
      </c>
      <c r="D146">
        <v>17</v>
      </c>
      <c r="E146">
        <v>24</v>
      </c>
      <c r="G146">
        <v>-0.35387478457043398</v>
      </c>
      <c r="H146">
        <v>-0.57069962924043482</v>
      </c>
      <c r="I146">
        <v>-0.38851221895225663</v>
      </c>
      <c r="K146">
        <v>-0.43769554425437512</v>
      </c>
      <c r="M146" t="s">
        <v>151</v>
      </c>
    </row>
    <row r="147" spans="1:13">
      <c r="A147">
        <v>145</v>
      </c>
      <c r="B147">
        <v>86</v>
      </c>
      <c r="C147">
        <v>0</v>
      </c>
      <c r="D147">
        <v>4</v>
      </c>
      <c r="E147">
        <v>0</v>
      </c>
      <c r="G147">
        <v>-1.8</v>
      </c>
      <c r="H147">
        <v>-1.282328661815239</v>
      </c>
      <c r="I147">
        <v>-1.8</v>
      </c>
      <c r="K147">
        <v>-1.8</v>
      </c>
      <c r="M147" t="s">
        <v>152</v>
      </c>
    </row>
    <row r="148" spans="1:13">
      <c r="A148">
        <v>146</v>
      </c>
      <c r="B148">
        <v>27</v>
      </c>
      <c r="C148">
        <v>0</v>
      </c>
      <c r="D148">
        <v>2</v>
      </c>
      <c r="E148">
        <v>2</v>
      </c>
      <c r="G148">
        <v>-1.8</v>
      </c>
      <c r="H148">
        <v>-1.0802239703946397</v>
      </c>
      <c r="I148">
        <v>-1.0477988804397935</v>
      </c>
      <c r="K148">
        <v>-1.8</v>
      </c>
      <c r="M148" t="s">
        <v>153</v>
      </c>
    </row>
    <row r="149" spans="1:13">
      <c r="A149">
        <v>147</v>
      </c>
      <c r="B149">
        <v>89</v>
      </c>
      <c r="C149">
        <v>29</v>
      </c>
      <c r="D149">
        <v>18</v>
      </c>
      <c r="E149">
        <v>16</v>
      </c>
      <c r="G149">
        <v>-0.42097220875630265</v>
      </c>
      <c r="H149">
        <v>-0.64400770344124014</v>
      </c>
      <c r="I149">
        <v>-0.66273513593377531</v>
      </c>
      <c r="K149">
        <v>-0.57590501604377264</v>
      </c>
      <c r="M149" t="s">
        <v>154</v>
      </c>
    </row>
    <row r="150" spans="1:13">
      <c r="A150">
        <v>148</v>
      </c>
      <c r="B150">
        <v>39</v>
      </c>
      <c r="C150">
        <v>12</v>
      </c>
      <c r="D150">
        <v>14</v>
      </c>
      <c r="E150">
        <v>29</v>
      </c>
      <c r="G150">
        <v>-0.44586356098922031</v>
      </c>
      <c r="H150">
        <v>-0.39482677324789472</v>
      </c>
      <c r="I150">
        <v>-4.6131721072330448E-2</v>
      </c>
      <c r="K150">
        <v>-0.29560735176981517</v>
      </c>
      <c r="M150" t="s">
        <v>155</v>
      </c>
    </row>
    <row r="151" spans="1:13">
      <c r="A151">
        <v>149</v>
      </c>
      <c r="B151">
        <v>218</v>
      </c>
      <c r="C151">
        <v>17</v>
      </c>
      <c r="D151">
        <v>17</v>
      </c>
      <c r="E151">
        <v>15</v>
      </c>
      <c r="G151">
        <v>-1.041987772236677</v>
      </c>
      <c r="H151">
        <v>-1.0578977741259645</v>
      </c>
      <c r="I151">
        <v>-1.0798303464937109</v>
      </c>
      <c r="K151">
        <v>-1.0599052976187842</v>
      </c>
      <c r="M151" t="s">
        <v>156</v>
      </c>
    </row>
    <row r="152" spans="1:13">
      <c r="A152">
        <v>150</v>
      </c>
      <c r="B152">
        <v>282</v>
      </c>
      <c r="C152">
        <v>1416</v>
      </c>
      <c r="D152">
        <v>494</v>
      </c>
      <c r="E152">
        <v>994</v>
      </c>
      <c r="G152">
        <v>0.76683394502404312</v>
      </c>
      <c r="H152">
        <v>0.29358763870465232</v>
      </c>
      <c r="I152">
        <v>0.62967216413316496</v>
      </c>
      <c r="K152">
        <v>0.56336458262062017</v>
      </c>
      <c r="M152" t="s">
        <v>157</v>
      </c>
    </row>
    <row r="153" spans="1:13">
      <c r="A153">
        <v>151</v>
      </c>
      <c r="B153">
        <v>249</v>
      </c>
      <c r="C153">
        <v>7</v>
      </c>
      <c r="D153">
        <v>6</v>
      </c>
      <c r="E153">
        <v>4</v>
      </c>
      <c r="G153">
        <v>-1.4850815070918255</v>
      </c>
      <c r="H153">
        <v>-1.5679382986117263</v>
      </c>
      <c r="I153">
        <v>-1.7116044677125615</v>
      </c>
      <c r="K153">
        <v>-1.5882080911387044</v>
      </c>
      <c r="M153" t="s">
        <v>158</v>
      </c>
    </row>
    <row r="154" spans="1:13">
      <c r="A154">
        <v>152</v>
      </c>
      <c r="B154">
        <v>190</v>
      </c>
      <c r="C154">
        <v>5</v>
      </c>
      <c r="D154">
        <v>9</v>
      </c>
      <c r="E154">
        <v>15</v>
      </c>
      <c r="G154">
        <v>-1.5137637966271562</v>
      </c>
      <c r="H154">
        <v>-1.2744012934131377</v>
      </c>
      <c r="I154">
        <v>-1.0201274538419352</v>
      </c>
      <c r="K154">
        <v>-1.269430847960743</v>
      </c>
      <c r="M154" t="s">
        <v>159</v>
      </c>
    </row>
    <row r="155" spans="1:13">
      <c r="A155">
        <v>153</v>
      </c>
      <c r="B155">
        <v>56</v>
      </c>
      <c r="C155">
        <v>1</v>
      </c>
      <c r="D155">
        <v>2</v>
      </c>
      <c r="E155">
        <v>1</v>
      </c>
      <c r="G155">
        <v>-1.6821682270165466</v>
      </c>
      <c r="H155">
        <v>-1.3970482332418528</v>
      </c>
      <c r="I155">
        <v>-1.6656531389509879</v>
      </c>
      <c r="K155">
        <v>-1.5816231997364625</v>
      </c>
      <c r="M155" t="s">
        <v>160</v>
      </c>
    </row>
    <row r="156" spans="1:13">
      <c r="A156">
        <v>154</v>
      </c>
      <c r="B156">
        <v>284</v>
      </c>
      <c r="C156">
        <v>4</v>
      </c>
      <c r="D156">
        <v>4</v>
      </c>
      <c r="E156">
        <v>11</v>
      </c>
      <c r="G156">
        <v>-1.7852385487294213</v>
      </c>
      <c r="H156">
        <v>-1.8011485506187088</v>
      </c>
      <c r="I156">
        <v>-1.3293907668336</v>
      </c>
      <c r="K156">
        <v>-1.6385926220605767</v>
      </c>
      <c r="M156" t="s">
        <v>161</v>
      </c>
    </row>
    <row r="157" spans="1:13">
      <c r="A157">
        <v>155</v>
      </c>
      <c r="B157">
        <v>165</v>
      </c>
      <c r="C157">
        <v>1</v>
      </c>
      <c r="D157">
        <v>3</v>
      </c>
      <c r="E157">
        <v>9</v>
      </c>
      <c r="G157">
        <v>-2.1514641442242524</v>
      </c>
      <c r="H157">
        <v>-1.6902528913938775</v>
      </c>
      <c r="I157">
        <v>-1.1807065467193689</v>
      </c>
      <c r="K157">
        <v>-1.6741411941124997</v>
      </c>
      <c r="M157" t="s">
        <v>162</v>
      </c>
    </row>
    <row r="158" spans="1:13">
      <c r="A158">
        <v>156</v>
      </c>
      <c r="B158">
        <v>140</v>
      </c>
      <c r="C158">
        <v>2</v>
      </c>
      <c r="D158">
        <v>3</v>
      </c>
      <c r="E158">
        <v>3</v>
      </c>
      <c r="G158">
        <v>-1.779078240024603</v>
      </c>
      <c r="H158">
        <v>-1.6188969828582092</v>
      </c>
      <c r="I158">
        <v>-1.586471892903363</v>
      </c>
      <c r="K158">
        <v>-1.6614823719287253</v>
      </c>
      <c r="M158" t="s">
        <v>163</v>
      </c>
    </row>
    <row r="159" spans="1:13">
      <c r="A159">
        <v>157</v>
      </c>
      <c r="B159">
        <v>93</v>
      </c>
      <c r="C159">
        <v>181</v>
      </c>
      <c r="D159">
        <v>208</v>
      </c>
      <c r="E159">
        <v>206</v>
      </c>
      <c r="G159">
        <v>0.35521542630490344</v>
      </c>
      <c r="H159">
        <v>0.39969018450919286</v>
      </c>
      <c r="I159">
        <v>0.42791915987043089</v>
      </c>
      <c r="K159">
        <v>0.39427492356150906</v>
      </c>
      <c r="M159" t="s">
        <v>164</v>
      </c>
    </row>
    <row r="160" spans="1:13">
      <c r="A160">
        <v>158</v>
      </c>
      <c r="B160">
        <v>38</v>
      </c>
      <c r="C160">
        <v>0</v>
      </c>
      <c r="D160">
        <v>1</v>
      </c>
      <c r="E160">
        <v>0</v>
      </c>
      <c r="G160">
        <v>-1.8</v>
      </c>
      <c r="H160">
        <v>-1.5296737985164437</v>
      </c>
      <c r="I160">
        <v>-1.8</v>
      </c>
      <c r="K160">
        <v>-1.8</v>
      </c>
      <c r="M160" t="s">
        <v>165</v>
      </c>
    </row>
    <row r="161" spans="1:13">
      <c r="A161">
        <v>159</v>
      </c>
      <c r="B161">
        <v>89</v>
      </c>
      <c r="C161">
        <v>84</v>
      </c>
      <c r="D161">
        <v>137</v>
      </c>
      <c r="E161">
        <v>101</v>
      </c>
      <c r="G161">
        <v>4.0909079406622861E-2</v>
      </c>
      <c r="H161">
        <v>0.23744035861186047</v>
      </c>
      <c r="I161">
        <v>0.13746625519294248</v>
      </c>
      <c r="K161">
        <v>0.13860523107047526</v>
      </c>
      <c r="M161" t="s">
        <v>166</v>
      </c>
    </row>
    <row r="162" spans="1:13">
      <c r="A162">
        <v>160</v>
      </c>
      <c r="B162">
        <v>58</v>
      </c>
      <c r="C162">
        <v>1</v>
      </c>
      <c r="D162">
        <v>0</v>
      </c>
      <c r="E162">
        <v>0</v>
      </c>
      <c r="G162">
        <v>-1.6974081935732834</v>
      </c>
      <c r="H162">
        <v>-1.8</v>
      </c>
      <c r="I162">
        <v>-1.8</v>
      </c>
      <c r="K162">
        <v>-1.8</v>
      </c>
      <c r="M162" t="s">
        <v>167</v>
      </c>
    </row>
    <row r="163" spans="1:13">
      <c r="A163">
        <v>161</v>
      </c>
      <c r="B163">
        <v>99</v>
      </c>
      <c r="C163">
        <v>3</v>
      </c>
      <c r="D163">
        <v>3</v>
      </c>
      <c r="E163">
        <v>6</v>
      </c>
      <c r="G163">
        <v>-1.4524941398882336</v>
      </c>
      <c r="H163">
        <v>-1.4684041417775211</v>
      </c>
      <c r="I163">
        <v>-1.1349490561586937</v>
      </c>
      <c r="K163">
        <v>-1.3519491126081495</v>
      </c>
      <c r="M163" t="s">
        <v>168</v>
      </c>
    </row>
    <row r="164" spans="1:13">
      <c r="A164">
        <v>162</v>
      </c>
      <c r="B164">
        <v>59</v>
      </c>
      <c r="C164">
        <v>1</v>
      </c>
      <c r="D164">
        <v>3</v>
      </c>
      <c r="E164">
        <v>7</v>
      </c>
      <c r="G164">
        <v>-1.7048322116524903</v>
      </c>
      <c r="H164">
        <v>-1.2436209588221152</v>
      </c>
      <c r="I164">
        <v>-0.84321908357267461</v>
      </c>
      <c r="K164">
        <v>-1.2638907513490933</v>
      </c>
      <c r="M164" t="s">
        <v>169</v>
      </c>
    </row>
    <row r="165" spans="1:13">
      <c r="A165">
        <v>163</v>
      </c>
      <c r="B165">
        <v>109</v>
      </c>
      <c r="C165">
        <v>8</v>
      </c>
      <c r="D165">
        <v>16</v>
      </c>
      <c r="E165">
        <v>7</v>
      </c>
      <c r="G165">
        <v>-1.0683167109590261</v>
      </c>
      <c r="H165">
        <v>-0.78319671718433226</v>
      </c>
      <c r="I165">
        <v>-1.1097935698711543</v>
      </c>
      <c r="K165">
        <v>-0.98710233267150416</v>
      </c>
      <c r="M165" t="s">
        <v>170</v>
      </c>
    </row>
    <row r="166" spans="1:13">
      <c r="A166">
        <v>164</v>
      </c>
      <c r="B166">
        <v>221</v>
      </c>
      <c r="C166">
        <v>47</v>
      </c>
      <c r="D166">
        <v>45</v>
      </c>
      <c r="E166">
        <v>50</v>
      </c>
      <c r="G166">
        <v>-0.60627461575973918</v>
      </c>
      <c r="H166">
        <v>-0.64106996180940046</v>
      </c>
      <c r="I166">
        <v>-0.56288738129387916</v>
      </c>
      <c r="K166">
        <v>-0.6034106529543396</v>
      </c>
      <c r="M166" t="s">
        <v>171</v>
      </c>
    </row>
    <row r="167" spans="1:13">
      <c r="A167">
        <v>165</v>
      </c>
      <c r="B167">
        <v>98</v>
      </c>
      <c r="C167">
        <v>90</v>
      </c>
      <c r="D167">
        <v>140</v>
      </c>
      <c r="E167">
        <v>233</v>
      </c>
      <c r="G167">
        <v>2.9036233736484028E-2</v>
      </c>
      <c r="H167">
        <v>0.20501175808610966</v>
      </c>
      <c r="I167">
        <v>0.45866473338873676</v>
      </c>
      <c r="K167">
        <v>0.23090424173711013</v>
      </c>
      <c r="M167" t="s">
        <v>172</v>
      </c>
    </row>
    <row r="168" spans="1:13">
      <c r="A168">
        <v>166</v>
      </c>
      <c r="B168">
        <v>233</v>
      </c>
      <c r="C168">
        <v>9</v>
      </c>
      <c r="D168">
        <v>5</v>
      </c>
      <c r="E168">
        <v>2</v>
      </c>
      <c r="G168">
        <v>-1.3470936115970402</v>
      </c>
      <c r="H168">
        <v>-1.6182761185896337</v>
      </c>
      <c r="I168">
        <v>-1.983791037306825</v>
      </c>
      <c r="K168">
        <v>-1.6497202558311663</v>
      </c>
      <c r="M168" t="s">
        <v>173</v>
      </c>
    </row>
    <row r="169" spans="1:13">
      <c r="A169">
        <v>167</v>
      </c>
      <c r="B169">
        <v>150</v>
      </c>
      <c r="C169">
        <v>4</v>
      </c>
      <c r="D169">
        <v>1</v>
      </c>
      <c r="E169">
        <v>5</v>
      </c>
      <c r="G169">
        <v>-1.5080114677380649</v>
      </c>
      <c r="H169">
        <v>-2.1259814609553147</v>
      </c>
      <c r="I169">
        <v>-1.3945863666644498</v>
      </c>
      <c r="K169">
        <v>-1.6761930984526099</v>
      </c>
      <c r="M169" t="s">
        <v>174</v>
      </c>
    </row>
    <row r="170" spans="1:13">
      <c r="A170">
        <v>168</v>
      </c>
      <c r="B170">
        <v>69</v>
      </c>
      <c r="C170">
        <v>3</v>
      </c>
      <c r="D170">
        <v>0</v>
      </c>
      <c r="E170">
        <v>2</v>
      </c>
      <c r="G170">
        <v>-1.2957080360279389</v>
      </c>
      <c r="H170">
        <v>-1.8</v>
      </c>
      <c r="I170">
        <v>-1.4552842070180616</v>
      </c>
      <c r="K170">
        <v>-1.8</v>
      </c>
      <c r="M170" t="s">
        <v>175</v>
      </c>
    </row>
    <row r="171" spans="1:13">
      <c r="A171">
        <v>169</v>
      </c>
      <c r="B171">
        <v>100</v>
      </c>
      <c r="C171">
        <v>0</v>
      </c>
      <c r="D171">
        <v>1</v>
      </c>
      <c r="E171">
        <v>4</v>
      </c>
      <c r="G171">
        <v>-1.8</v>
      </c>
      <c r="H171">
        <v>-1.9498902018996336</v>
      </c>
      <c r="I171">
        <v>-1.3154051206168249</v>
      </c>
      <c r="K171">
        <v>-1.8</v>
      </c>
      <c r="M171" t="s">
        <v>176</v>
      </c>
    </row>
    <row r="172" spans="1:13">
      <c r="A172">
        <v>170</v>
      </c>
      <c r="B172">
        <v>59</v>
      </c>
      <c r="C172">
        <v>0</v>
      </c>
      <c r="D172">
        <v>4</v>
      </c>
      <c r="E172">
        <v>0</v>
      </c>
      <c r="G172">
        <v>-1.8</v>
      </c>
      <c r="H172">
        <v>-1.1186822222138153</v>
      </c>
      <c r="I172">
        <v>-1.8</v>
      </c>
      <c r="K172">
        <v>-1.8</v>
      </c>
      <c r="M172" t="s">
        <v>177</v>
      </c>
    </row>
    <row r="173" spans="1:13">
      <c r="A173">
        <v>171</v>
      </c>
      <c r="B173">
        <v>58</v>
      </c>
      <c r="C173">
        <v>1</v>
      </c>
      <c r="D173">
        <v>3</v>
      </c>
      <c r="E173">
        <v>5</v>
      </c>
      <c r="G173">
        <v>-1.6974081935732834</v>
      </c>
      <c r="H173">
        <v>-1.2361969407429085</v>
      </c>
      <c r="I173">
        <v>-0.98192310117170567</v>
      </c>
      <c r="K173">
        <v>-1.3051760784959658</v>
      </c>
      <c r="M173" t="s">
        <v>178</v>
      </c>
    </row>
    <row r="174" spans="1:13">
      <c r="A174">
        <v>172</v>
      </c>
      <c r="B174">
        <v>118</v>
      </c>
      <c r="C174">
        <v>665</v>
      </c>
      <c r="D174">
        <v>163</v>
      </c>
      <c r="E174">
        <v>74</v>
      </c>
      <c r="G174">
        <v>0.81695943798663317</v>
      </c>
      <c r="H174">
        <v>0.19041539519819894</v>
      </c>
      <c r="I174">
        <v>-0.12011539951993654</v>
      </c>
      <c r="K174">
        <v>0.29575314455496521</v>
      </c>
      <c r="M174" t="s">
        <v>179</v>
      </c>
    </row>
    <row r="175" spans="1:13">
      <c r="A175">
        <v>173</v>
      </c>
      <c r="B175">
        <v>71</v>
      </c>
      <c r="C175">
        <v>76</v>
      </c>
      <c r="D175">
        <v>214</v>
      </c>
      <c r="E175">
        <v>97</v>
      </c>
      <c r="G175">
        <v>9.5575043551370031E-2</v>
      </c>
      <c r="H175">
        <v>0.52926522273048204</v>
      </c>
      <c r="I175">
        <v>0.21804827360238221</v>
      </c>
      <c r="K175">
        <v>0.28096284662807808</v>
      </c>
      <c r="M175" t="s">
        <v>180</v>
      </c>
    </row>
    <row r="176" spans="1:13">
      <c r="A176">
        <v>174</v>
      </c>
      <c r="B176">
        <v>239</v>
      </c>
      <c r="C176">
        <v>7</v>
      </c>
      <c r="D176">
        <v>10</v>
      </c>
      <c r="E176">
        <v>7</v>
      </c>
      <c r="G176">
        <v>-1.4672800609442269</v>
      </c>
      <c r="H176">
        <v>-1.3282881028477713</v>
      </c>
      <c r="I176">
        <v>-1.4507649728786682</v>
      </c>
      <c r="K176">
        <v>-1.415444378890222</v>
      </c>
      <c r="M176" t="s">
        <v>181</v>
      </c>
    </row>
    <row r="177" spans="1:13">
      <c r="A177">
        <v>175</v>
      </c>
      <c r="B177">
        <v>96</v>
      </c>
      <c r="C177">
        <v>26</v>
      </c>
      <c r="D177">
        <v>28</v>
      </c>
      <c r="E177">
        <v>18</v>
      </c>
      <c r="G177">
        <v>-0.50127808507909644</v>
      </c>
      <c r="H177">
        <v>-0.48500340359698274</v>
      </c>
      <c r="I177">
        <v>-0.6444638398810496</v>
      </c>
      <c r="K177">
        <v>-0.54358177618570958</v>
      </c>
      <c r="M177" t="s">
        <v>182</v>
      </c>
    </row>
    <row r="178" spans="1:13">
      <c r="A178">
        <v>176</v>
      </c>
      <c r="B178">
        <v>120</v>
      </c>
      <c r="C178">
        <v>2</v>
      </c>
      <c r="D178">
        <v>7</v>
      </c>
      <c r="E178">
        <v>0</v>
      </c>
      <c r="G178">
        <v>-1.7121314503939897</v>
      </c>
      <c r="H178">
        <v>-1.1839734079330015</v>
      </c>
      <c r="I178">
        <v>-1.8</v>
      </c>
      <c r="K178">
        <v>-1.8</v>
      </c>
      <c r="M178" t="s">
        <v>183</v>
      </c>
    </row>
    <row r="179" spans="1:13">
      <c r="A179">
        <v>177</v>
      </c>
      <c r="B179">
        <v>173</v>
      </c>
      <c r="C179">
        <v>6</v>
      </c>
      <c r="D179">
        <v>2</v>
      </c>
      <c r="E179">
        <v>5</v>
      </c>
      <c r="G179">
        <v>-1.3938750527554979</v>
      </c>
      <c r="H179">
        <v>-1.8869063093644478</v>
      </c>
      <c r="I179">
        <v>-1.4565412107375639</v>
      </c>
      <c r="K179">
        <v>-1.5791075242858366</v>
      </c>
      <c r="M179" t="s">
        <v>184</v>
      </c>
    </row>
    <row r="180" spans="1:13">
      <c r="A180">
        <v>178</v>
      </c>
      <c r="B180">
        <v>116</v>
      </c>
      <c r="C180">
        <v>0</v>
      </c>
      <c r="D180">
        <v>0</v>
      </c>
      <c r="E180">
        <v>2</v>
      </c>
      <c r="G180">
        <v>-1.8</v>
      </c>
      <c r="H180">
        <v>-1.8</v>
      </c>
      <c r="I180">
        <v>-1.6808931055077247</v>
      </c>
      <c r="K180">
        <v>-1.8</v>
      </c>
      <c r="M180" t="s">
        <v>185</v>
      </c>
    </row>
    <row r="181" spans="1:13">
      <c r="A181">
        <v>179</v>
      </c>
      <c r="B181">
        <v>256</v>
      </c>
      <c r="C181">
        <v>7</v>
      </c>
      <c r="D181">
        <v>9</v>
      </c>
      <c r="E181">
        <v>1</v>
      </c>
      <c r="G181">
        <v>-1.4971221253079388</v>
      </c>
      <c r="H181">
        <v>-1.4038876577721582</v>
      </c>
      <c r="I181">
        <v>-2.3257050772566368</v>
      </c>
      <c r="K181">
        <v>-1.7422382867789112</v>
      </c>
      <c r="M181" t="s">
        <v>186</v>
      </c>
    </row>
    <row r="182" spans="1:13">
      <c r="A182">
        <v>180</v>
      </c>
      <c r="B182">
        <v>60</v>
      </c>
      <c r="C182">
        <v>5</v>
      </c>
      <c r="D182">
        <v>1</v>
      </c>
      <c r="E182">
        <v>2</v>
      </c>
      <c r="G182">
        <v>-1.013161446057971</v>
      </c>
      <c r="H182">
        <v>-1.7280414522832772</v>
      </c>
      <c r="I182">
        <v>-1.3945863666644498</v>
      </c>
      <c r="K182">
        <v>-1.378596421668566</v>
      </c>
      <c r="M182" t="s">
        <v>187</v>
      </c>
    </row>
    <row r="183" spans="1:13">
      <c r="A183">
        <v>181</v>
      </c>
      <c r="B183">
        <v>105</v>
      </c>
      <c r="C183">
        <v>81</v>
      </c>
      <c r="D183">
        <v>87</v>
      </c>
      <c r="E183">
        <v>121</v>
      </c>
      <c r="G183">
        <v>-4.6684480201634307E-2</v>
      </c>
      <c r="H183">
        <v>-3.156024835095303E-2</v>
      </c>
      <c r="I183">
        <v>0.14413095930172462</v>
      </c>
      <c r="K183">
        <v>2.1962076916379095E-2</v>
      </c>
      <c r="M183" t="s">
        <v>188</v>
      </c>
    </row>
    <row r="184" spans="1:13">
      <c r="A184">
        <v>182</v>
      </c>
      <c r="B184">
        <v>226</v>
      </c>
      <c r="C184">
        <v>1</v>
      </c>
      <c r="D184">
        <v>8</v>
      </c>
      <c r="E184">
        <v>17</v>
      </c>
      <c r="G184">
        <v>-2.2880886391577469</v>
      </c>
      <c r="H184">
        <v>-1.400908654055091</v>
      </c>
      <c r="I184">
        <v>-1.0411246297139143</v>
      </c>
      <c r="K184">
        <v>-1.5767073076422509</v>
      </c>
      <c r="M184" t="s">
        <v>189</v>
      </c>
    </row>
    <row r="185" spans="1:13">
      <c r="A185">
        <v>183</v>
      </c>
      <c r="B185">
        <v>231</v>
      </c>
      <c r="C185">
        <v>6</v>
      </c>
      <c r="D185">
        <v>12</v>
      </c>
      <c r="E185">
        <v>6</v>
      </c>
      <c r="G185">
        <v>-1.5194409295188467</v>
      </c>
      <c r="H185">
        <v>-1.2343209357441531</v>
      </c>
      <c r="I185">
        <v>-1.502925841453288</v>
      </c>
      <c r="K185">
        <v>-1.4188959022387626</v>
      </c>
      <c r="M185" t="s">
        <v>190</v>
      </c>
    </row>
    <row r="186" spans="1:13">
      <c r="A186">
        <v>184</v>
      </c>
      <c r="B186">
        <v>139</v>
      </c>
      <c r="C186">
        <v>3</v>
      </c>
      <c r="D186">
        <v>3</v>
      </c>
      <c r="E186">
        <v>4</v>
      </c>
      <c r="G186">
        <v>-1.5998737455447787</v>
      </c>
      <c r="H186">
        <v>-1.6157837474340662</v>
      </c>
      <c r="I186">
        <v>-1.4584199208709201</v>
      </c>
      <c r="K186">
        <v>-1.5580258046165882</v>
      </c>
      <c r="M186" t="s">
        <v>191</v>
      </c>
    </row>
    <row r="187" spans="1:13">
      <c r="A187">
        <v>185</v>
      </c>
      <c r="B187">
        <v>220</v>
      </c>
      <c r="C187">
        <v>7</v>
      </c>
      <c r="D187">
        <v>15</v>
      </c>
      <c r="E187">
        <v>19</v>
      </c>
      <c r="G187">
        <v>-1.4313048408182956</v>
      </c>
      <c r="H187">
        <v>-1.1162216236661586</v>
      </c>
      <c r="I187">
        <v>-0.98113419181416461</v>
      </c>
      <c r="K187">
        <v>-1.1762202187662061</v>
      </c>
      <c r="M187" t="s">
        <v>192</v>
      </c>
    </row>
    <row r="188" spans="1:13">
      <c r="A188">
        <v>186</v>
      </c>
      <c r="B188">
        <v>189</v>
      </c>
      <c r="C188">
        <v>8</v>
      </c>
      <c r="D188">
        <v>14</v>
      </c>
      <c r="E188">
        <v>9</v>
      </c>
      <c r="G188">
        <v>-1.3073520171916466</v>
      </c>
      <c r="H188">
        <v>-1.0802239703946397</v>
      </c>
      <c r="I188">
        <v>-1.2396844066787067</v>
      </c>
      <c r="K188">
        <v>-1.2090867980883311</v>
      </c>
      <c r="M188" t="s">
        <v>193</v>
      </c>
    </row>
    <row r="189" spans="1:13">
      <c r="A189">
        <v>187</v>
      </c>
      <c r="B189">
        <v>168</v>
      </c>
      <c r="C189">
        <v>7</v>
      </c>
      <c r="D189">
        <v>14</v>
      </c>
      <c r="E189">
        <v>8</v>
      </c>
      <c r="G189">
        <v>-1.3141914417219522</v>
      </c>
      <c r="H189">
        <v>-1.0290714479472585</v>
      </c>
      <c r="I189">
        <v>-1.2396844066787067</v>
      </c>
      <c r="K189">
        <v>-1.1943157654493057</v>
      </c>
      <c r="M189" t="s">
        <v>194</v>
      </c>
    </row>
    <row r="190" spans="1:13">
      <c r="A190">
        <v>188</v>
      </c>
      <c r="B190">
        <v>103</v>
      </c>
      <c r="C190">
        <v>2</v>
      </c>
      <c r="D190">
        <v>4</v>
      </c>
      <c r="E190">
        <v>4</v>
      </c>
      <c r="G190">
        <v>-1.6457874290515371</v>
      </c>
      <c r="H190">
        <v>-1.3606674352768435</v>
      </c>
      <c r="I190">
        <v>-1.3282423453219974</v>
      </c>
      <c r="K190">
        <v>-1.4448990698834594</v>
      </c>
      <c r="M190" t="s">
        <v>195</v>
      </c>
    </row>
    <row r="191" spans="1:13">
      <c r="A191">
        <v>189</v>
      </c>
      <c r="B191">
        <v>53</v>
      </c>
      <c r="C191">
        <v>4</v>
      </c>
      <c r="D191">
        <v>19</v>
      </c>
      <c r="E191">
        <v>10</v>
      </c>
      <c r="G191">
        <v>-1.0561960782831727</v>
      </c>
      <c r="H191">
        <v>-0.39541247054759365</v>
      </c>
      <c r="I191">
        <v>-0.64174098154557635</v>
      </c>
      <c r="K191">
        <v>-0.69778317679211421</v>
      </c>
      <c r="M191" t="s">
        <v>196</v>
      </c>
    </row>
    <row r="192" spans="1:13">
      <c r="A192">
        <v>190</v>
      </c>
      <c r="B192">
        <v>53</v>
      </c>
      <c r="C192">
        <v>28</v>
      </c>
      <c r="D192">
        <v>22</v>
      </c>
      <c r="E192">
        <v>21</v>
      </c>
      <c r="G192">
        <v>-0.21109803826891582</v>
      </c>
      <c r="H192">
        <v>-0.33174339067821629</v>
      </c>
      <c r="I192">
        <v>-0.3195216868116571</v>
      </c>
      <c r="K192">
        <v>-0.28745437191959639</v>
      </c>
      <c r="M192" t="s">
        <v>197</v>
      </c>
    </row>
    <row r="193" spans="1:13">
      <c r="A193">
        <v>191</v>
      </c>
      <c r="B193">
        <v>258</v>
      </c>
      <c r="C193">
        <v>745</v>
      </c>
      <c r="D193">
        <v>4178</v>
      </c>
      <c r="E193">
        <v>256</v>
      </c>
      <c r="G193">
        <v>0.52655636677471662</v>
      </c>
      <c r="H193">
        <v>1.2594585277814261</v>
      </c>
      <c r="I193">
        <v>7.9155147403832046E-2</v>
      </c>
      <c r="K193">
        <v>0.62172334731999157</v>
      </c>
      <c r="M193" t="s">
        <v>198</v>
      </c>
    </row>
    <row r="194" spans="1:13">
      <c r="A194">
        <v>192</v>
      </c>
      <c r="B194">
        <v>184</v>
      </c>
      <c r="C194">
        <v>5</v>
      </c>
      <c r="D194">
        <v>8</v>
      </c>
      <c r="E194">
        <v>2</v>
      </c>
      <c r="G194">
        <v>-1.4998280186838637</v>
      </c>
      <c r="H194">
        <v>-1.3116180379172264</v>
      </c>
      <c r="I194">
        <v>-1.8812529392903428</v>
      </c>
      <c r="K194">
        <v>-1.5642329986304777</v>
      </c>
      <c r="M194" t="s">
        <v>199</v>
      </c>
    </row>
    <row r="195" spans="1:13">
      <c r="A195">
        <v>193</v>
      </c>
      <c r="B195">
        <v>149</v>
      </c>
      <c r="C195">
        <v>4</v>
      </c>
      <c r="D195">
        <v>1</v>
      </c>
      <c r="E195">
        <v>3</v>
      </c>
      <c r="G195">
        <v>-1.5051064770946578</v>
      </c>
      <c r="H195">
        <v>-2.1230764703119074</v>
      </c>
      <c r="I195">
        <v>-1.6135301256373991</v>
      </c>
      <c r="K195">
        <v>-1.7472376910146548</v>
      </c>
      <c r="M195" t="s">
        <v>200</v>
      </c>
    </row>
    <row r="196" spans="1:13">
      <c r="A196">
        <v>194</v>
      </c>
      <c r="B196">
        <v>42</v>
      </c>
      <c r="C196">
        <v>36</v>
      </c>
      <c r="D196">
        <v>21</v>
      </c>
      <c r="E196">
        <v>20</v>
      </c>
      <c r="G196">
        <v>-9.2698964095921932E-4</v>
      </c>
      <c r="H196">
        <v>-0.25092019756361472</v>
      </c>
      <c r="I196">
        <v>-0.23968440667870666</v>
      </c>
      <c r="K196">
        <v>-0.16384386462776021</v>
      </c>
      <c r="M196" t="s">
        <v>201</v>
      </c>
    </row>
    <row r="197" spans="1:13">
      <c r="A197">
        <v>195</v>
      </c>
      <c r="B197">
        <v>54</v>
      </c>
      <c r="C197">
        <v>3</v>
      </c>
      <c r="D197">
        <v>1</v>
      </c>
      <c r="E197">
        <v>2</v>
      </c>
      <c r="G197">
        <v>-1.1892527051136521</v>
      </c>
      <c r="H197">
        <v>-1.6822839617226022</v>
      </c>
      <c r="I197">
        <v>-1.3488288761037748</v>
      </c>
      <c r="K197">
        <v>-1.406788514313343</v>
      </c>
      <c r="M197" t="s">
        <v>202</v>
      </c>
    </row>
    <row r="198" spans="1:13">
      <c r="A198">
        <v>196</v>
      </c>
      <c r="B198">
        <v>109</v>
      </c>
      <c r="C198">
        <v>0</v>
      </c>
      <c r="D198">
        <v>2</v>
      </c>
      <c r="E198">
        <v>1</v>
      </c>
      <c r="G198">
        <v>-1.8</v>
      </c>
      <c r="H198">
        <v>-1.6862867041762759</v>
      </c>
      <c r="I198">
        <v>-1.9548916098854112</v>
      </c>
      <c r="K198">
        <v>-1.8</v>
      </c>
      <c r="M198" t="s">
        <v>203</v>
      </c>
    </row>
    <row r="199" spans="1:13">
      <c r="A199">
        <v>197</v>
      </c>
      <c r="B199">
        <v>89</v>
      </c>
      <c r="C199">
        <v>1847</v>
      </c>
      <c r="D199">
        <v>157</v>
      </c>
      <c r="E199">
        <v>354</v>
      </c>
      <c r="G199">
        <v>1.3830966887849825</v>
      </c>
      <c r="H199">
        <v>0.29661944386468747</v>
      </c>
      <c r="I199">
        <v>0.68214814343608776</v>
      </c>
      <c r="K199">
        <v>0.78728809202858585</v>
      </c>
      <c r="M199" t="s">
        <v>204</v>
      </c>
    </row>
    <row r="200" spans="1:13">
      <c r="A200">
        <v>198</v>
      </c>
      <c r="B200">
        <v>55</v>
      </c>
      <c r="C200">
        <v>35</v>
      </c>
      <c r="D200">
        <v>83</v>
      </c>
      <c r="E200">
        <v>89</v>
      </c>
      <c r="G200">
        <v>-0.1302748451543142</v>
      </c>
      <c r="H200">
        <v>0.22882520098219655</v>
      </c>
      <c r="I200">
        <v>0.29156220520588161</v>
      </c>
      <c r="K200">
        <v>0.13003752034458799</v>
      </c>
      <c r="M200" t="s">
        <v>205</v>
      </c>
    </row>
    <row r="201" spans="1:13">
      <c r="A201">
        <v>199</v>
      </c>
      <c r="B201">
        <v>320</v>
      </c>
      <c r="C201">
        <v>7</v>
      </c>
      <c r="D201">
        <v>5</v>
      </c>
      <c r="E201">
        <v>7</v>
      </c>
      <c r="G201">
        <v>-1.5940321383159952</v>
      </c>
      <c r="H201">
        <v>-1.7560701758835207</v>
      </c>
      <c r="I201">
        <v>-1.5775170502504365</v>
      </c>
      <c r="K201">
        <v>-1.6425397881499844</v>
      </c>
      <c r="M201" t="s">
        <v>206</v>
      </c>
    </row>
    <row r="202" spans="1:13">
      <c r="A202">
        <v>200</v>
      </c>
      <c r="B202">
        <v>71</v>
      </c>
      <c r="C202">
        <v>88</v>
      </c>
      <c r="D202">
        <v>367</v>
      </c>
      <c r="E202">
        <v>100</v>
      </c>
      <c r="G202">
        <v>0.15924412342074731</v>
      </c>
      <c r="H202">
        <v>0.76351751363338061</v>
      </c>
      <c r="I202">
        <v>0.23127653933613734</v>
      </c>
      <c r="K202">
        <v>0.38467939213008845</v>
      </c>
      <c r="M202" t="s">
        <v>207</v>
      </c>
    </row>
    <row r="203" spans="1:13">
      <c r="A203">
        <v>201</v>
      </c>
      <c r="B203">
        <v>45</v>
      </c>
      <c r="C203">
        <v>1</v>
      </c>
      <c r="D203">
        <v>1</v>
      </c>
      <c r="E203">
        <v>2</v>
      </c>
      <c r="G203">
        <v>-1.5871927137856898</v>
      </c>
      <c r="H203">
        <v>-1.6031027156749773</v>
      </c>
      <c r="I203">
        <v>-1.2696476300561499</v>
      </c>
      <c r="K203">
        <v>-1.4866476865056057</v>
      </c>
      <c r="M203" t="s">
        <v>208</v>
      </c>
    </row>
    <row r="204" spans="1:13">
      <c r="A204">
        <v>202</v>
      </c>
      <c r="B204">
        <v>97</v>
      </c>
      <c r="C204">
        <v>0</v>
      </c>
      <c r="D204">
        <v>4</v>
      </c>
      <c r="E204">
        <v>3</v>
      </c>
      <c r="G204">
        <v>-1.8</v>
      </c>
      <c r="H204">
        <v>-1.3346019448379161</v>
      </c>
      <c r="I204">
        <v>-1.4271155914913698</v>
      </c>
      <c r="K204">
        <v>-1.8</v>
      </c>
      <c r="M204" t="s">
        <v>209</v>
      </c>
    </row>
    <row r="205" spans="1:13">
      <c r="A205">
        <v>203</v>
      </c>
      <c r="B205">
        <v>105</v>
      </c>
      <c r="C205">
        <v>0</v>
      </c>
      <c r="D205">
        <v>2</v>
      </c>
      <c r="E205">
        <v>1</v>
      </c>
      <c r="G205">
        <v>-1.8</v>
      </c>
      <c r="H205">
        <v>-1.6700495053055904</v>
      </c>
      <c r="I205">
        <v>-1.9386544110147252</v>
      </c>
      <c r="K205">
        <v>-1.8</v>
      </c>
      <c r="M205" t="s">
        <v>210</v>
      </c>
    </row>
    <row r="206" spans="1:13">
      <c r="A206">
        <v>204</v>
      </c>
      <c r="B206">
        <v>104</v>
      </c>
      <c r="C206">
        <v>5</v>
      </c>
      <c r="D206">
        <v>0</v>
      </c>
      <c r="E206">
        <v>1</v>
      </c>
      <c r="G206">
        <v>-1.2520435349731076</v>
      </c>
      <c r="H206">
        <v>-1.8</v>
      </c>
      <c r="I206">
        <v>-1.9344984512435677</v>
      </c>
      <c r="K206">
        <v>-1.8</v>
      </c>
      <c r="M206" t="s">
        <v>211</v>
      </c>
    </row>
    <row r="207" spans="1:13">
      <c r="A207">
        <v>205</v>
      </c>
      <c r="B207">
        <v>49</v>
      </c>
      <c r="C207">
        <v>132</v>
      </c>
      <c r="D207">
        <v>386</v>
      </c>
      <c r="E207">
        <v>342</v>
      </c>
      <c r="G207">
        <v>0.49639765116699019</v>
      </c>
      <c r="H207">
        <v>0.94650102274360781</v>
      </c>
      <c r="I207">
        <v>0.92636491408283406</v>
      </c>
      <c r="K207">
        <v>0.78975452933114398</v>
      </c>
      <c r="M207" t="s">
        <v>212</v>
      </c>
    </row>
    <row r="208" spans="1:13">
      <c r="A208">
        <v>206</v>
      </c>
      <c r="B208">
        <v>120</v>
      </c>
      <c r="C208">
        <v>9</v>
      </c>
      <c r="D208">
        <v>6</v>
      </c>
      <c r="E208">
        <v>4</v>
      </c>
      <c r="G208">
        <v>-1.058918936618646</v>
      </c>
      <c r="H208">
        <v>-1.2509201975636148</v>
      </c>
      <c r="I208">
        <v>-1.3945863666644498</v>
      </c>
      <c r="K208">
        <v>-1.2348085002822369</v>
      </c>
      <c r="M208" t="s">
        <v>213</v>
      </c>
    </row>
    <row r="209" spans="1:13">
      <c r="A209">
        <v>207</v>
      </c>
      <c r="B209">
        <v>343</v>
      </c>
      <c r="C209">
        <v>27</v>
      </c>
      <c r="D209">
        <v>39</v>
      </c>
      <c r="E209">
        <v>33</v>
      </c>
      <c r="G209">
        <v>-1.0379105558941293</v>
      </c>
      <c r="H209">
        <v>-0.89411971491590481</v>
      </c>
      <c r="I209">
        <v>-0.93424529210967033</v>
      </c>
      <c r="K209">
        <v>-0.95542518763990147</v>
      </c>
      <c r="M209" t="s">
        <v>214</v>
      </c>
    </row>
    <row r="210" spans="1:13">
      <c r="A210">
        <v>208</v>
      </c>
      <c r="B210">
        <v>125</v>
      </c>
      <c r="C210">
        <v>1</v>
      </c>
      <c r="D210">
        <v>11</v>
      </c>
      <c r="E210">
        <v>4</v>
      </c>
      <c r="G210">
        <v>-2.0308902130184023</v>
      </c>
      <c r="H210">
        <v>-1.0054075297494649</v>
      </c>
      <c r="I210">
        <v>-1.4123151336248814</v>
      </c>
      <c r="K210">
        <v>-1.4828709587975828</v>
      </c>
      <c r="M210" t="s">
        <v>215</v>
      </c>
    </row>
    <row r="211" spans="1:13">
      <c r="A211">
        <v>209</v>
      </c>
      <c r="B211">
        <v>15</v>
      </c>
      <c r="C211">
        <v>2</v>
      </c>
      <c r="D211">
        <v>0</v>
      </c>
      <c r="E211">
        <v>1</v>
      </c>
      <c r="G211">
        <v>-0.80904146340204608</v>
      </c>
      <c r="H211">
        <v>-1.8</v>
      </c>
      <c r="I211">
        <v>-1.0935563710004688</v>
      </c>
      <c r="K211">
        <v>-1.8</v>
      </c>
      <c r="M211" t="s">
        <v>216</v>
      </c>
    </row>
    <row r="212" spans="1:13">
      <c r="A212">
        <v>210</v>
      </c>
      <c r="B212">
        <v>40</v>
      </c>
      <c r="C212">
        <v>2</v>
      </c>
      <c r="D212">
        <v>15</v>
      </c>
      <c r="E212">
        <v>8</v>
      </c>
      <c r="G212">
        <v>-1.2350101956743273</v>
      </c>
      <c r="H212">
        <v>-0.37585893417191468</v>
      </c>
      <c r="I212">
        <v>-0.61643511628080605</v>
      </c>
      <c r="K212">
        <v>-0.74243474870901605</v>
      </c>
      <c r="M212" t="s">
        <v>217</v>
      </c>
    </row>
    <row r="213" spans="1:13">
      <c r="A213">
        <v>211</v>
      </c>
      <c r="B213">
        <v>70</v>
      </c>
      <c r="C213">
        <v>196</v>
      </c>
      <c r="D213">
        <v>106</v>
      </c>
      <c r="E213">
        <v>302</v>
      </c>
      <c r="G213">
        <v>0.51317783133187322</v>
      </c>
      <c r="H213">
        <v>0.23031762335087991</v>
      </c>
      <c r="I213">
        <v>0.71744379099810651</v>
      </c>
      <c r="K213">
        <v>0.48697974856028653</v>
      </c>
      <c r="M213" t="s">
        <v>218</v>
      </c>
    </row>
    <row r="214" spans="1:13">
      <c r="A214">
        <v>212</v>
      </c>
      <c r="B214">
        <v>70</v>
      </c>
      <c r="C214">
        <v>157</v>
      </c>
      <c r="D214">
        <v>133</v>
      </c>
      <c r="E214">
        <v>258</v>
      </c>
      <c r="G214">
        <v>0.41682141238463094</v>
      </c>
      <c r="H214">
        <v>0.32886339905319539</v>
      </c>
      <c r="I214">
        <v>0.64905655400418605</v>
      </c>
      <c r="K214">
        <v>0.46491378848067083</v>
      </c>
      <c r="M214" t="s">
        <v>219</v>
      </c>
    </row>
    <row r="215" spans="1:13">
      <c r="A215">
        <v>213</v>
      </c>
      <c r="B215">
        <v>70</v>
      </c>
      <c r="C215">
        <v>14</v>
      </c>
      <c r="D215">
        <v>61</v>
      </c>
      <c r="E215">
        <v>51</v>
      </c>
      <c r="G215">
        <v>-0.63295020434636473</v>
      </c>
      <c r="H215">
        <v>-9.6584069031232997E-3</v>
      </c>
      <c r="I215">
        <v>-5.4992975861107837E-2</v>
      </c>
      <c r="K215">
        <v>-0.2325338623701986</v>
      </c>
      <c r="M215" t="s">
        <v>220</v>
      </c>
    </row>
    <row r="216" spans="1:13">
      <c r="A216">
        <v>214</v>
      </c>
      <c r="B216">
        <v>117</v>
      </c>
      <c r="C216">
        <v>11</v>
      </c>
      <c r="D216">
        <v>4</v>
      </c>
      <c r="E216">
        <v>12</v>
      </c>
      <c r="G216">
        <v>-0.96077337659828255</v>
      </c>
      <c r="H216">
        <v>-1.4160160723178328</v>
      </c>
      <c r="I216">
        <v>-0.90646972764332412</v>
      </c>
      <c r="K216">
        <v>-1.0944197255198131</v>
      </c>
      <c r="M216" t="s">
        <v>221</v>
      </c>
    </row>
    <row r="217" spans="1:13">
      <c r="A217">
        <v>215</v>
      </c>
      <c r="B217">
        <v>266</v>
      </c>
      <c r="C217">
        <v>9</v>
      </c>
      <c r="D217">
        <v>8</v>
      </c>
      <c r="E217">
        <v>7</v>
      </c>
      <c r="G217">
        <v>-1.4046193272020882</v>
      </c>
      <c r="H217">
        <v>-1.4716818515387571</v>
      </c>
      <c r="I217">
        <v>-1.4972487085615975</v>
      </c>
      <c r="K217">
        <v>-1.4578499624341477</v>
      </c>
      <c r="M217" t="s">
        <v>222</v>
      </c>
    </row>
    <row r="218" spans="1:13">
      <c r="A218">
        <v>216</v>
      </c>
      <c r="B218">
        <v>113</v>
      </c>
      <c r="C218">
        <v>5</v>
      </c>
      <c r="D218">
        <v>8</v>
      </c>
      <c r="E218">
        <v>4</v>
      </c>
      <c r="G218">
        <v>-1.2880886391577471</v>
      </c>
      <c r="H218">
        <v>-1.0998786583911098</v>
      </c>
      <c r="I218">
        <v>-1.3684835641002449</v>
      </c>
      <c r="K218">
        <v>-1.2521502872163672</v>
      </c>
      <c r="M218" t="s">
        <v>223</v>
      </c>
    </row>
    <row r="219" spans="1:13">
      <c r="A219">
        <v>217</v>
      </c>
      <c r="B219">
        <v>166</v>
      </c>
      <c r="C219">
        <v>14</v>
      </c>
      <c r="D219">
        <v>11</v>
      </c>
      <c r="E219">
        <v>12</v>
      </c>
      <c r="G219">
        <v>-1.0079602523721631</v>
      </c>
      <c r="H219">
        <v>-1.1286056047814637</v>
      </c>
      <c r="I219">
        <v>-1.0583919539372177</v>
      </c>
      <c r="K219">
        <v>-1.0649859370302817</v>
      </c>
      <c r="M219" t="s">
        <v>224</v>
      </c>
    </row>
    <row r="220" spans="1:13">
      <c r="A220">
        <v>218</v>
      </c>
      <c r="B220">
        <v>46</v>
      </c>
      <c r="C220">
        <v>0</v>
      </c>
      <c r="D220">
        <v>0</v>
      </c>
      <c r="E220">
        <v>0</v>
      </c>
      <c r="G220">
        <v>-1.8</v>
      </c>
      <c r="H220">
        <v>-1.8</v>
      </c>
      <c r="I220">
        <v>-1.8</v>
      </c>
      <c r="K220">
        <v>-1.8</v>
      </c>
      <c r="M220" t="s">
        <v>225</v>
      </c>
    </row>
    <row r="221" spans="1:13">
      <c r="A221">
        <v>219</v>
      </c>
      <c r="B221">
        <v>39</v>
      </c>
      <c r="C221">
        <v>0</v>
      </c>
      <c r="D221">
        <v>0</v>
      </c>
      <c r="E221">
        <v>2</v>
      </c>
      <c r="G221">
        <v>-1.8</v>
      </c>
      <c r="H221">
        <v>-1.8</v>
      </c>
      <c r="I221">
        <v>-1.2074997233073055</v>
      </c>
      <c r="K221">
        <v>-1.8</v>
      </c>
      <c r="M221" t="s">
        <v>226</v>
      </c>
    </row>
    <row r="222" spans="1:13">
      <c r="A222">
        <v>220</v>
      </c>
      <c r="B222">
        <v>106</v>
      </c>
      <c r="C222">
        <v>7</v>
      </c>
      <c r="D222">
        <v>10</v>
      </c>
      <c r="E222">
        <v>3</v>
      </c>
      <c r="G222">
        <v>-1.1141880252608596</v>
      </c>
      <c r="H222">
        <v>-0.97519606716440366</v>
      </c>
      <c r="I222">
        <v>-1.4656497224898952</v>
      </c>
      <c r="K222">
        <v>-1.185011271638386</v>
      </c>
      <c r="M222" t="s">
        <v>227</v>
      </c>
    </row>
    <row r="223" spans="1:13">
      <c r="A223">
        <v>221</v>
      </c>
      <c r="B223">
        <v>18</v>
      </c>
      <c r="C223">
        <v>0</v>
      </c>
      <c r="D223">
        <v>1</v>
      </c>
      <c r="E223">
        <v>2</v>
      </c>
      <c r="G223">
        <v>-1.8</v>
      </c>
      <c r="H223">
        <v>-1.2051627070029396</v>
      </c>
      <c r="I223">
        <v>-0.87170762138411217</v>
      </c>
      <c r="K223">
        <v>-1.8</v>
      </c>
      <c r="M223" t="s">
        <v>228</v>
      </c>
    </row>
    <row r="224" spans="1:13">
      <c r="A224">
        <v>222</v>
      </c>
      <c r="B224">
        <v>76</v>
      </c>
      <c r="C224">
        <v>0</v>
      </c>
      <c r="D224">
        <v>1</v>
      </c>
      <c r="E224">
        <v>0</v>
      </c>
      <c r="G224">
        <v>-1.8</v>
      </c>
      <c r="H224">
        <v>-1.8307037941804249</v>
      </c>
      <c r="I224">
        <v>-1.8</v>
      </c>
      <c r="K224">
        <v>-1.8</v>
      </c>
      <c r="M224" t="s">
        <v>229</v>
      </c>
    </row>
    <row r="225" spans="1:13">
      <c r="A225">
        <v>223</v>
      </c>
      <c r="B225">
        <v>271</v>
      </c>
      <c r="C225">
        <v>0</v>
      </c>
      <c r="D225">
        <v>2</v>
      </c>
      <c r="E225">
        <v>3</v>
      </c>
      <c r="G225">
        <v>-1.8</v>
      </c>
      <c r="H225">
        <v>-2.0818294971100579</v>
      </c>
      <c r="I225">
        <v>-1.8733131480995306</v>
      </c>
      <c r="K225">
        <v>-1.8</v>
      </c>
      <c r="M225" t="s">
        <v>230</v>
      </c>
    </row>
    <row r="226" spans="1:13">
      <c r="A226">
        <v>224</v>
      </c>
      <c r="B226">
        <v>63</v>
      </c>
      <c r="C226">
        <v>23</v>
      </c>
      <c r="D226">
        <v>27</v>
      </c>
      <c r="E226">
        <v>9</v>
      </c>
      <c r="G226">
        <v>-0.37159291344633483</v>
      </c>
      <c r="H226">
        <v>-0.31786698719422796</v>
      </c>
      <c r="I226">
        <v>-0.76256315195904412</v>
      </c>
      <c r="K226">
        <v>-0.484007684199869</v>
      </c>
      <c r="M226" t="s">
        <v>231</v>
      </c>
    </row>
    <row r="227" spans="1:13">
      <c r="A227">
        <v>225</v>
      </c>
      <c r="B227">
        <v>168</v>
      </c>
      <c r="C227">
        <v>2</v>
      </c>
      <c r="D227">
        <v>7</v>
      </c>
      <c r="E227">
        <v>2</v>
      </c>
      <c r="G227">
        <v>-1.8582594860722277</v>
      </c>
      <c r="H227">
        <v>-1.3301014436112397</v>
      </c>
      <c r="I227">
        <v>-1.841744398006669</v>
      </c>
      <c r="K227">
        <v>-1.676701775896712</v>
      </c>
      <c r="M227" t="s">
        <v>232</v>
      </c>
    </row>
    <row r="228" spans="1:13">
      <c r="A228">
        <v>226</v>
      </c>
      <c r="B228">
        <v>160</v>
      </c>
      <c r="C228">
        <v>237</v>
      </c>
      <c r="D228">
        <v>247</v>
      </c>
      <c r="E228">
        <v>183</v>
      </c>
      <c r="G228">
        <v>0.2366481633438331</v>
      </c>
      <c r="H228">
        <v>0.23868676870410743</v>
      </c>
      <c r="I228">
        <v>0.14086599512971737</v>
      </c>
      <c r="K228">
        <v>0.20540030905921927</v>
      </c>
      <c r="M228" t="s">
        <v>233</v>
      </c>
    </row>
    <row r="229" spans="1:13">
      <c r="A229">
        <v>227</v>
      </c>
      <c r="B229">
        <v>104</v>
      </c>
      <c r="C229">
        <v>47</v>
      </c>
      <c r="D229">
        <v>147</v>
      </c>
      <c r="E229">
        <v>57</v>
      </c>
      <c r="G229">
        <v>-0.27891568137340889</v>
      </c>
      <c r="H229">
        <v>0.20039379354976228</v>
      </c>
      <c r="I229">
        <v>-0.17862359557107627</v>
      </c>
      <c r="K229">
        <v>-8.5715161131574291E-2</v>
      </c>
      <c r="M229" t="s">
        <v>234</v>
      </c>
    </row>
    <row r="230" spans="1:13">
      <c r="A230">
        <v>228</v>
      </c>
      <c r="B230">
        <v>30</v>
      </c>
      <c r="C230">
        <v>25</v>
      </c>
      <c r="D230">
        <v>19</v>
      </c>
      <c r="E230">
        <v>13</v>
      </c>
      <c r="G230">
        <v>-1.3161446057970802E-2</v>
      </c>
      <c r="H230">
        <v>-0.14825785566646699</v>
      </c>
      <c r="I230">
        <v>-0.28064301435761302</v>
      </c>
      <c r="K230">
        <v>-0.14735410536068361</v>
      </c>
      <c r="M230" t="s">
        <v>235</v>
      </c>
    </row>
    <row r="231" spans="1:13">
      <c r="A231">
        <v>229</v>
      </c>
      <c r="B231">
        <v>28</v>
      </c>
      <c r="C231">
        <v>0</v>
      </c>
      <c r="D231">
        <v>0</v>
      </c>
      <c r="E231">
        <v>1</v>
      </c>
      <c r="G231">
        <v>-1.8</v>
      </c>
      <c r="H231">
        <v>-1.8</v>
      </c>
      <c r="I231">
        <v>-1.3646231432870066</v>
      </c>
      <c r="K231">
        <v>-1.8</v>
      </c>
      <c r="M231" t="s">
        <v>236</v>
      </c>
    </row>
    <row r="232" spans="1:13">
      <c r="A232">
        <v>230</v>
      </c>
      <c r="B232">
        <v>92</v>
      </c>
      <c r="C232">
        <v>42</v>
      </c>
      <c r="D232">
        <v>237</v>
      </c>
      <c r="E232">
        <v>34</v>
      </c>
      <c r="G232">
        <v>-0.27451873695800083</v>
      </c>
      <c r="H232">
        <v>0.46107031676491511</v>
      </c>
      <c r="I232">
        <v>-0.34977402224808751</v>
      </c>
      <c r="K232">
        <v>-5.4407480813724408E-2</v>
      </c>
      <c r="M232" t="s">
        <v>237</v>
      </c>
    </row>
    <row r="233" spans="1:13">
      <c r="A233">
        <v>231</v>
      </c>
      <c r="B233">
        <v>261</v>
      </c>
      <c r="C233">
        <v>6</v>
      </c>
      <c r="D233">
        <v>4</v>
      </c>
      <c r="E233">
        <v>7</v>
      </c>
      <c r="G233">
        <v>-1.5724694569649835</v>
      </c>
      <c r="H233">
        <v>-1.7644707179099521</v>
      </c>
      <c r="I233">
        <v>-1.4890075792688116</v>
      </c>
      <c r="K233">
        <v>-1.6086492513812491</v>
      </c>
      <c r="M233" t="s">
        <v>238</v>
      </c>
    </row>
    <row r="234" spans="1:13">
      <c r="A234">
        <v>232</v>
      </c>
      <c r="B234">
        <v>125</v>
      </c>
      <c r="C234">
        <v>1</v>
      </c>
      <c r="D234">
        <v>5</v>
      </c>
      <c r="E234">
        <v>5</v>
      </c>
      <c r="G234">
        <v>-2.0308902130184023</v>
      </c>
      <c r="H234">
        <v>-1.3478302105716711</v>
      </c>
      <c r="I234">
        <v>-1.3154051206168249</v>
      </c>
      <c r="K234">
        <v>-1.564708514735633</v>
      </c>
      <c r="M234" t="s">
        <v>239</v>
      </c>
    </row>
    <row r="235" spans="1:13">
      <c r="A235">
        <v>233</v>
      </c>
      <c r="B235">
        <v>90</v>
      </c>
      <c r="C235">
        <v>0</v>
      </c>
      <c r="D235">
        <v>1</v>
      </c>
      <c r="E235">
        <v>2</v>
      </c>
      <c r="G235">
        <v>-1.8</v>
      </c>
      <c r="H235">
        <v>-1.9041327113389583</v>
      </c>
      <c r="I235">
        <v>-1.5706776257201311</v>
      </c>
      <c r="K235">
        <v>-1.8</v>
      </c>
      <c r="M235" t="s">
        <v>240</v>
      </c>
    </row>
    <row r="236" spans="1:13">
      <c r="A236">
        <v>234</v>
      </c>
      <c r="B236">
        <v>316</v>
      </c>
      <c r="C236">
        <v>12</v>
      </c>
      <c r="D236">
        <v>14</v>
      </c>
      <c r="E236">
        <v>8</v>
      </c>
      <c r="G236">
        <v>-1.3544860365811251</v>
      </c>
      <c r="H236">
        <v>-1.3034492488397993</v>
      </c>
      <c r="I236">
        <v>-1.5140622075712478</v>
      </c>
      <c r="K236">
        <v>-1.3906658309973909</v>
      </c>
      <c r="M236" t="s">
        <v>241</v>
      </c>
    </row>
    <row r="237" spans="1:13">
      <c r="A237">
        <v>235</v>
      </c>
      <c r="B237">
        <v>29</v>
      </c>
      <c r="C237">
        <v>0</v>
      </c>
      <c r="D237">
        <v>1</v>
      </c>
      <c r="E237">
        <v>1</v>
      </c>
      <c r="G237">
        <v>-1.8</v>
      </c>
      <c r="H237">
        <v>-1.4122881997985897</v>
      </c>
      <c r="I237">
        <v>-1.3798631098437435</v>
      </c>
      <c r="K237">
        <v>-1.8</v>
      </c>
      <c r="M237" t="s">
        <v>242</v>
      </c>
    </row>
    <row r="238" spans="1:13">
      <c r="A238">
        <v>236</v>
      </c>
      <c r="B238">
        <v>90</v>
      </c>
      <c r="C238">
        <v>1</v>
      </c>
      <c r="D238">
        <v>1</v>
      </c>
      <c r="E238">
        <v>0</v>
      </c>
      <c r="G238">
        <v>-1.8882227094496709</v>
      </c>
      <c r="H238">
        <v>-1.9041327113389583</v>
      </c>
      <c r="I238">
        <v>-1.8</v>
      </c>
      <c r="K238">
        <v>-1.8</v>
      </c>
      <c r="M238" t="s">
        <v>243</v>
      </c>
    </row>
    <row r="239" spans="1:13">
      <c r="A239">
        <v>237</v>
      </c>
      <c r="B239">
        <v>203</v>
      </c>
      <c r="C239">
        <v>15</v>
      </c>
      <c r="D239">
        <v>27</v>
      </c>
      <c r="E239">
        <v>26</v>
      </c>
      <c r="G239">
        <v>-1.0653849788678778</v>
      </c>
      <c r="H239">
        <v>-0.82602247565385911</v>
      </c>
      <c r="I239">
        <v>-0.80998780188718222</v>
      </c>
      <c r="K239">
        <v>-0.90046508546963955</v>
      </c>
      <c r="M239" t="s">
        <v>244</v>
      </c>
    </row>
    <row r="240" spans="1:13">
      <c r="A240">
        <v>238</v>
      </c>
      <c r="B240">
        <v>32</v>
      </c>
      <c r="C240">
        <v>0</v>
      </c>
      <c r="D240">
        <v>0</v>
      </c>
      <c r="E240">
        <v>2</v>
      </c>
      <c r="G240">
        <v>-1.8</v>
      </c>
      <c r="H240">
        <v>-1.8</v>
      </c>
      <c r="I240">
        <v>-1.1215850946007122</v>
      </c>
      <c r="K240">
        <v>-1.8</v>
      </c>
      <c r="M240" t="s">
        <v>245</v>
      </c>
    </row>
    <row r="241" spans="1:13">
      <c r="A241">
        <v>239</v>
      </c>
      <c r="B241">
        <v>37</v>
      </c>
      <c r="C241">
        <v>573</v>
      </c>
      <c r="D241">
        <v>53</v>
      </c>
      <c r="E241">
        <v>209</v>
      </c>
      <c r="G241">
        <v>1.255972697890049</v>
      </c>
      <c r="H241">
        <v>0.20618394363416054</v>
      </c>
      <c r="I241">
        <v>0.83447945009927171</v>
      </c>
      <c r="K241">
        <v>0.76554536387449368</v>
      </c>
      <c r="M241" t="s">
        <v>246</v>
      </c>
    </row>
    <row r="242" spans="1:13">
      <c r="A242">
        <v>240</v>
      </c>
      <c r="B242">
        <v>123</v>
      </c>
      <c r="C242">
        <v>3</v>
      </c>
      <c r="D242">
        <v>2</v>
      </c>
      <c r="E242">
        <v>4</v>
      </c>
      <c r="G242">
        <v>-1.5467640567300815</v>
      </c>
      <c r="H242">
        <v>-1.7387653176750502</v>
      </c>
      <c r="I242">
        <v>-1.405310232056223</v>
      </c>
      <c r="K242">
        <v>-1.5636132021537847</v>
      </c>
      <c r="M242" t="s">
        <v>247</v>
      </c>
    </row>
    <row r="243" spans="1:13">
      <c r="A243">
        <v>241</v>
      </c>
      <c r="B243">
        <v>59</v>
      </c>
      <c r="C243">
        <v>6</v>
      </c>
      <c r="D243">
        <v>1</v>
      </c>
      <c r="E243">
        <v>2</v>
      </c>
      <c r="G243">
        <v>-0.92668096126884647</v>
      </c>
      <c r="H243">
        <v>-1.7207422135417778</v>
      </c>
      <c r="I243">
        <v>-1.3872871279229504</v>
      </c>
      <c r="K243">
        <v>-1.344903434244525</v>
      </c>
      <c r="M243" t="s">
        <v>248</v>
      </c>
    </row>
    <row r="244" spans="1:13">
      <c r="A244">
        <v>242</v>
      </c>
      <c r="B244">
        <v>51</v>
      </c>
      <c r="C244">
        <v>3</v>
      </c>
      <c r="D244">
        <v>0</v>
      </c>
      <c r="E244">
        <v>3</v>
      </c>
      <c r="G244">
        <v>-1.16442912138862</v>
      </c>
      <c r="H244">
        <v>-1.8</v>
      </c>
      <c r="I244">
        <v>-1.1479140333230613</v>
      </c>
      <c r="K244">
        <v>-1.8</v>
      </c>
      <c r="M244" t="s">
        <v>249</v>
      </c>
    </row>
    <row r="245" spans="1:13">
      <c r="A245">
        <v>243</v>
      </c>
      <c r="B245">
        <v>122</v>
      </c>
      <c r="C245">
        <v>0</v>
      </c>
      <c r="D245">
        <v>1</v>
      </c>
      <c r="E245">
        <v>4</v>
      </c>
      <c r="G245">
        <v>-1.8</v>
      </c>
      <c r="H245">
        <v>-2.0362500325743818</v>
      </c>
      <c r="I245">
        <v>-1.4017649512915733</v>
      </c>
      <c r="K245">
        <v>-1.8</v>
      </c>
      <c r="M245" t="s">
        <v>250</v>
      </c>
    </row>
    <row r="246" spans="1:13">
      <c r="A246">
        <v>244</v>
      </c>
      <c r="B246">
        <v>38</v>
      </c>
      <c r="C246">
        <v>0</v>
      </c>
      <c r="D246">
        <v>0</v>
      </c>
      <c r="E246">
        <v>2</v>
      </c>
      <c r="G246">
        <v>-1.8</v>
      </c>
      <c r="H246">
        <v>-1.8</v>
      </c>
      <c r="I246">
        <v>-1.1962187128976165</v>
      </c>
      <c r="K246">
        <v>-1.8</v>
      </c>
      <c r="M246" t="s">
        <v>251</v>
      </c>
    </row>
    <row r="247" spans="1:13">
      <c r="A247">
        <v>245</v>
      </c>
      <c r="B247">
        <v>363</v>
      </c>
      <c r="C247">
        <v>28</v>
      </c>
      <c r="D247">
        <v>18</v>
      </c>
      <c r="E247">
        <v>21</v>
      </c>
      <c r="G247">
        <v>-1.0467287937042393</v>
      </c>
      <c r="H247">
        <v>-1.25452432183244</v>
      </c>
      <c r="I247">
        <v>-1.1551524422469805</v>
      </c>
      <c r="K247">
        <v>-1.1521351859278866</v>
      </c>
      <c r="M247" t="s">
        <v>252</v>
      </c>
    </row>
    <row r="248" spans="1:13">
      <c r="A248">
        <v>246</v>
      </c>
      <c r="B248">
        <v>161</v>
      </c>
      <c r="C248">
        <v>225</v>
      </c>
      <c r="D248">
        <v>218</v>
      </c>
      <c r="E248">
        <v>105</v>
      </c>
      <c r="G248">
        <v>0.21137644206916678</v>
      </c>
      <c r="H248">
        <v>0.1817404156731216</v>
      </c>
      <c r="I248">
        <v>-0.10310168890669898</v>
      </c>
      <c r="K248">
        <v>9.6671722945196478E-2</v>
      </c>
      <c r="M248" t="s">
        <v>253</v>
      </c>
    </row>
    <row r="249" spans="1:13">
      <c r="A249">
        <v>247</v>
      </c>
      <c r="B249">
        <v>74</v>
      </c>
      <c r="C249">
        <v>14</v>
      </c>
      <c r="D249">
        <v>33</v>
      </c>
      <c r="E249">
        <v>8</v>
      </c>
      <c r="G249">
        <v>-0.65708388406308416</v>
      </c>
      <c r="H249">
        <v>-0.30060798175272224</v>
      </c>
      <c r="I249">
        <v>-0.88360684468381989</v>
      </c>
      <c r="K249">
        <v>-0.61376623683320874</v>
      </c>
      <c r="M249" t="s">
        <v>254</v>
      </c>
    </row>
    <row r="250" spans="1:13">
      <c r="A250">
        <v>248</v>
      </c>
      <c r="B250">
        <v>102</v>
      </c>
      <c r="C250">
        <v>41</v>
      </c>
      <c r="D250">
        <v>199</v>
      </c>
      <c r="E250">
        <v>57</v>
      </c>
      <c r="G250">
        <v>-0.32979651505252805</v>
      </c>
      <c r="H250">
        <v>0.34036270274815555</v>
      </c>
      <c r="I250">
        <v>-0.17019042803421353</v>
      </c>
      <c r="K250">
        <v>-5.3208080112862009E-2</v>
      </c>
      <c r="M250" t="s">
        <v>255</v>
      </c>
    </row>
    <row r="251" spans="1:13">
      <c r="A251">
        <v>249</v>
      </c>
      <c r="B251">
        <v>84</v>
      </c>
      <c r="C251">
        <v>182</v>
      </c>
      <c r="D251">
        <v>122</v>
      </c>
      <c r="E251">
        <v>84</v>
      </c>
      <c r="G251">
        <v>0.4018119019128471</v>
      </c>
      <c r="H251">
        <v>0.21219034271323306</v>
      </c>
      <c r="I251">
        <v>8.2534888055212655E-2</v>
      </c>
      <c r="K251">
        <v>0.23217904422709765</v>
      </c>
      <c r="M251" t="s">
        <v>256</v>
      </c>
    </row>
    <row r="252" spans="1:13">
      <c r="A252">
        <v>250</v>
      </c>
      <c r="B252">
        <v>28</v>
      </c>
      <c r="C252">
        <v>0</v>
      </c>
      <c r="D252">
        <v>2</v>
      </c>
      <c r="E252">
        <v>2</v>
      </c>
      <c r="G252">
        <v>-1.8</v>
      </c>
      <c r="H252">
        <v>-1.0960182375778715</v>
      </c>
      <c r="I252">
        <v>-1.0635931476230254</v>
      </c>
      <c r="K252">
        <v>-1.8</v>
      </c>
      <c r="M252" t="s">
        <v>257</v>
      </c>
    </row>
    <row r="253" spans="1:13">
      <c r="A253">
        <v>251</v>
      </c>
      <c r="B253">
        <v>170</v>
      </c>
      <c r="C253">
        <v>7837</v>
      </c>
      <c r="D253">
        <v>375</v>
      </c>
      <c r="E253">
        <v>196</v>
      </c>
      <c r="G253">
        <v>1.7297207253793021</v>
      </c>
      <c r="H253">
        <v>0.39369214444981143</v>
      </c>
      <c r="I253">
        <v>0.14434203803341475</v>
      </c>
      <c r="K253">
        <v>0.75591830262084281</v>
      </c>
      <c r="M253" t="s">
        <v>258</v>
      </c>
    </row>
    <row r="254" spans="1:13">
      <c r="A254">
        <v>252</v>
      </c>
      <c r="B254">
        <v>111</v>
      </c>
      <c r="C254">
        <v>0</v>
      </c>
      <c r="D254">
        <v>1</v>
      </c>
      <c r="E254">
        <v>0</v>
      </c>
      <c r="G254">
        <v>-1.8</v>
      </c>
      <c r="H254">
        <v>-1.9952131806862912</v>
      </c>
      <c r="I254">
        <v>-1.8</v>
      </c>
      <c r="K254">
        <v>-1.8</v>
      </c>
      <c r="M254" t="s">
        <v>259</v>
      </c>
    </row>
    <row r="255" spans="1:13">
      <c r="A255">
        <v>253</v>
      </c>
      <c r="B255">
        <v>313</v>
      </c>
      <c r="C255">
        <v>472</v>
      </c>
      <c r="D255">
        <v>424</v>
      </c>
      <c r="E255">
        <v>416</v>
      </c>
      <c r="G255">
        <v>0.24441746107729329</v>
      </c>
      <c r="H255">
        <v>0.18193131714665067</v>
      </c>
      <c r="I255">
        <v>0.20608388113550691</v>
      </c>
      <c r="K255">
        <v>0.2108108864531503</v>
      </c>
      <c r="M255" t="s">
        <v>260</v>
      </c>
    </row>
    <row r="256" spans="1:13">
      <c r="A256">
        <v>254</v>
      </c>
      <c r="B256">
        <v>109</v>
      </c>
      <c r="C256">
        <v>172</v>
      </c>
      <c r="D256">
        <v>65</v>
      </c>
      <c r="E256">
        <v>70</v>
      </c>
      <c r="G256">
        <v>0.26412174895657931</v>
      </c>
      <c r="H256">
        <v>-0.17440334319740158</v>
      </c>
      <c r="I256">
        <v>-0.10979356987115411</v>
      </c>
      <c r="K256">
        <v>-6.6917213706587974E-3</v>
      </c>
      <c r="M256" t="s">
        <v>261</v>
      </c>
    </row>
    <row r="257" spans="1:13">
      <c r="A257">
        <v>255</v>
      </c>
      <c r="B257">
        <v>94</v>
      </c>
      <c r="C257">
        <v>22656</v>
      </c>
      <c r="D257">
        <v>84</v>
      </c>
      <c r="E257">
        <v>83</v>
      </c>
      <c r="G257">
        <v>2.4480751823996303</v>
      </c>
      <c r="H257">
        <v>1.2612305625494674E-3</v>
      </c>
      <c r="I257">
        <v>2.8485126831587895E-2</v>
      </c>
      <c r="K257">
        <v>0.82594051326458917</v>
      </c>
      <c r="M257" t="s">
        <v>262</v>
      </c>
    </row>
    <row r="258" spans="1:13">
      <c r="A258">
        <v>256</v>
      </c>
      <c r="B258">
        <v>54</v>
      </c>
      <c r="C258">
        <v>1</v>
      </c>
      <c r="D258">
        <v>0</v>
      </c>
      <c r="E258">
        <v>0</v>
      </c>
      <c r="G258">
        <v>-1.6663739598333147</v>
      </c>
      <c r="H258">
        <v>-1.8</v>
      </c>
      <c r="I258">
        <v>-1.8</v>
      </c>
      <c r="K258">
        <v>-1.8</v>
      </c>
      <c r="M258" t="s">
        <v>263</v>
      </c>
    </row>
    <row r="259" spans="1:13">
      <c r="A259">
        <v>257</v>
      </c>
      <c r="B259">
        <v>36</v>
      </c>
      <c r="C259">
        <v>129</v>
      </c>
      <c r="D259">
        <v>19</v>
      </c>
      <c r="E259">
        <v>23</v>
      </c>
      <c r="G259">
        <v>0.62030700952161577</v>
      </c>
      <c r="H259">
        <v>-0.22743910171409182</v>
      </c>
      <c r="I259">
        <v>-0.11203977669448177</v>
      </c>
      <c r="K259">
        <v>9.3609377037680727E-2</v>
      </c>
      <c r="M259" t="s">
        <v>264</v>
      </c>
    </row>
    <row r="260" spans="1:13">
      <c r="A260">
        <v>258</v>
      </c>
      <c r="B260">
        <v>247</v>
      </c>
      <c r="C260">
        <v>11</v>
      </c>
      <c r="D260">
        <v>8</v>
      </c>
      <c r="E260">
        <v>9</v>
      </c>
      <c r="G260">
        <v>-1.2852844681117868</v>
      </c>
      <c r="H260">
        <v>-1.4394971681673556</v>
      </c>
      <c r="I260">
        <v>-1.3559195557651282</v>
      </c>
      <c r="K260">
        <v>-1.3602337306814236</v>
      </c>
      <c r="M260" t="s">
        <v>265</v>
      </c>
    </row>
    <row r="261" spans="1:13">
      <c r="A261">
        <v>259</v>
      </c>
      <c r="B261">
        <v>157</v>
      </c>
      <c r="C261">
        <v>172</v>
      </c>
      <c r="D261">
        <v>1602</v>
      </c>
      <c r="E261">
        <v>492</v>
      </c>
      <c r="G261">
        <v>0.10564859448796918</v>
      </c>
      <c r="H261">
        <v>1.0588726574393514</v>
      </c>
      <c r="I261">
        <v>0.57860033841333924</v>
      </c>
      <c r="K261">
        <v>0.58104053011355328</v>
      </c>
      <c r="M261" t="s">
        <v>266</v>
      </c>
    </row>
    <row r="262" spans="1:13">
      <c r="A262">
        <v>260</v>
      </c>
      <c r="B262">
        <v>194</v>
      </c>
      <c r="C262">
        <v>288</v>
      </c>
      <c r="D262">
        <v>201</v>
      </c>
      <c r="E262">
        <v>290</v>
      </c>
      <c r="G262">
        <v>0.23761055781865881</v>
      </c>
      <c r="H262">
        <v>6.5504125590629347E-2</v>
      </c>
      <c r="I262">
        <v>0.25713115602394271</v>
      </c>
      <c r="K262">
        <v>0.18674861314441027</v>
      </c>
      <c r="M262" t="s">
        <v>267</v>
      </c>
    </row>
    <row r="263" spans="1:13">
      <c r="A263">
        <v>261</v>
      </c>
      <c r="B263">
        <v>119</v>
      </c>
      <c r="C263">
        <v>5</v>
      </c>
      <c r="D263">
        <v>5</v>
      </c>
      <c r="E263">
        <v>1</v>
      </c>
      <c r="G263">
        <v>-1.3105571570668579</v>
      </c>
      <c r="H263">
        <v>-1.3264671589561454</v>
      </c>
      <c r="I263">
        <v>-1.993012073337318</v>
      </c>
      <c r="K263">
        <v>-1.5433454631201071</v>
      </c>
      <c r="M263" t="s">
        <v>268</v>
      </c>
    </row>
    <row r="264" spans="1:13">
      <c r="A264">
        <v>262</v>
      </c>
      <c r="B264">
        <v>78</v>
      </c>
      <c r="C264">
        <v>7</v>
      </c>
      <c r="D264">
        <v>2</v>
      </c>
      <c r="E264">
        <v>0</v>
      </c>
      <c r="G264">
        <v>-0.98097676268656964</v>
      </c>
      <c r="H264">
        <v>-1.5409548089261329</v>
      </c>
      <c r="I264">
        <v>-1.8</v>
      </c>
      <c r="K264">
        <v>-1.8</v>
      </c>
      <c r="M264" t="s">
        <v>269</v>
      </c>
    </row>
    <row r="265" spans="1:13">
      <c r="A265">
        <v>263</v>
      </c>
      <c r="B265">
        <v>111</v>
      </c>
      <c r="C265">
        <v>8</v>
      </c>
      <c r="D265">
        <v>13</v>
      </c>
      <c r="E265">
        <v>22</v>
      </c>
      <c r="G265">
        <v>-1.0762131918050599</v>
      </c>
      <c r="H265">
        <v>-0.88126982837945411</v>
      </c>
      <c r="I265">
        <v>-0.6203654099092385</v>
      </c>
      <c r="K265">
        <v>-0.85928281003125084</v>
      </c>
      <c r="M265" t="s">
        <v>270</v>
      </c>
    </row>
    <row r="266" spans="1:13">
      <c r="A266">
        <v>264</v>
      </c>
      <c r="B266">
        <v>47</v>
      </c>
      <c r="C266">
        <v>4</v>
      </c>
      <c r="D266">
        <v>3</v>
      </c>
      <c r="E266">
        <v>0</v>
      </c>
      <c r="G266">
        <v>-1.0040180666181011</v>
      </c>
      <c r="H266">
        <v>-1.1448668051156887</v>
      </c>
      <c r="I266">
        <v>-1.8</v>
      </c>
      <c r="K266">
        <v>-1.8</v>
      </c>
      <c r="M266" t="s">
        <v>271</v>
      </c>
    </row>
    <row r="267" spans="1:13">
      <c r="A267">
        <v>265</v>
      </c>
      <c r="B267">
        <v>118</v>
      </c>
      <c r="C267">
        <v>0</v>
      </c>
      <c r="D267">
        <v>1</v>
      </c>
      <c r="E267">
        <v>6</v>
      </c>
      <c r="G267">
        <v>-1.8</v>
      </c>
      <c r="H267">
        <v>-2.0217722092057588</v>
      </c>
      <c r="I267">
        <v>-1.211195868867269</v>
      </c>
      <c r="K267">
        <v>-1.8</v>
      </c>
      <c r="M267" t="s">
        <v>272</v>
      </c>
    </row>
    <row r="268" spans="1:13">
      <c r="A268">
        <v>266</v>
      </c>
      <c r="B268">
        <v>38</v>
      </c>
      <c r="C268">
        <v>1</v>
      </c>
      <c r="D268">
        <v>2</v>
      </c>
      <c r="E268">
        <v>1</v>
      </c>
      <c r="G268">
        <v>-1.5137637966271562</v>
      </c>
      <c r="H268">
        <v>-1.2286438028524627</v>
      </c>
      <c r="I268">
        <v>-1.4972487085615975</v>
      </c>
      <c r="K268">
        <v>-1.4132187693470721</v>
      </c>
      <c r="M268" t="s">
        <v>273</v>
      </c>
    </row>
    <row r="269" spans="1:13">
      <c r="A269">
        <v>267</v>
      </c>
      <c r="B269">
        <v>113</v>
      </c>
      <c r="C269">
        <v>2</v>
      </c>
      <c r="D269">
        <v>0</v>
      </c>
      <c r="E269">
        <v>0</v>
      </c>
      <c r="G269">
        <v>-1.6860286478297846</v>
      </c>
      <c r="H269">
        <v>-1.8</v>
      </c>
      <c r="I269">
        <v>-1.8</v>
      </c>
      <c r="K269">
        <v>-1.8</v>
      </c>
      <c r="M269" t="s">
        <v>274</v>
      </c>
    </row>
    <row r="270" spans="1:13">
      <c r="A270">
        <v>268</v>
      </c>
      <c r="B270">
        <v>240</v>
      </c>
      <c r="C270">
        <v>9</v>
      </c>
      <c r="D270">
        <v>12</v>
      </c>
      <c r="E270">
        <v>2</v>
      </c>
      <c r="G270">
        <v>-1.3599489322826273</v>
      </c>
      <c r="H270">
        <v>-1.2509201975636148</v>
      </c>
      <c r="I270">
        <v>-1.9966463579924121</v>
      </c>
      <c r="K270">
        <v>-1.5358384959462181</v>
      </c>
      <c r="M270" t="s">
        <v>275</v>
      </c>
    </row>
    <row r="271" spans="1:13">
      <c r="A271">
        <v>269</v>
      </c>
      <c r="B271">
        <v>184</v>
      </c>
      <c r="C271">
        <v>2</v>
      </c>
      <c r="D271">
        <v>7</v>
      </c>
      <c r="E271">
        <v>5</v>
      </c>
      <c r="G271">
        <v>-1.8977680273559014</v>
      </c>
      <c r="H271">
        <v>-1.3696099848949133</v>
      </c>
      <c r="I271">
        <v>-1.483312930618305</v>
      </c>
      <c r="K271">
        <v>-1.5835636476230397</v>
      </c>
      <c r="M271" t="s">
        <v>276</v>
      </c>
    </row>
    <row r="272" spans="1:13">
      <c r="A272">
        <v>270</v>
      </c>
      <c r="B272">
        <v>199</v>
      </c>
      <c r="C272">
        <v>158</v>
      </c>
      <c r="D272">
        <v>220</v>
      </c>
      <c r="E272">
        <v>234</v>
      </c>
      <c r="G272">
        <v>-3.417618946563003E-2</v>
      </c>
      <c r="H272">
        <v>9.3679402512866036E-2</v>
      </c>
      <c r="I272">
        <v>0.15289766905564883</v>
      </c>
      <c r="K272">
        <v>7.0800294034294942E-2</v>
      </c>
      <c r="M272" t="s">
        <v>277</v>
      </c>
    </row>
    <row r="273" spans="1:13">
      <c r="A273">
        <v>271</v>
      </c>
      <c r="B273">
        <v>222</v>
      </c>
      <c r="C273">
        <v>473</v>
      </c>
      <c r="D273">
        <v>2497</v>
      </c>
      <c r="E273">
        <v>525</v>
      </c>
      <c r="G273">
        <v>0.39452796627682701</v>
      </c>
      <c r="H273">
        <v>1.1011753660010757</v>
      </c>
      <c r="I273">
        <v>0.45634121701053088</v>
      </c>
      <c r="K273">
        <v>0.65068151642947791</v>
      </c>
      <c r="M273" t="s">
        <v>278</v>
      </c>
    </row>
    <row r="274" spans="1:13">
      <c r="A274">
        <v>272</v>
      </c>
      <c r="B274">
        <v>285</v>
      </c>
      <c r="C274">
        <v>10</v>
      </c>
      <c r="D274">
        <v>51</v>
      </c>
      <c r="E274">
        <v>32</v>
      </c>
      <c r="G274">
        <v>-1.3888250600188563</v>
      </c>
      <c r="H274">
        <v>-0.6971648858102073</v>
      </c>
      <c r="I274">
        <v>-0.86715999363339147</v>
      </c>
      <c r="K274">
        <v>-0.98438331315415173</v>
      </c>
      <c r="M274" t="s">
        <v>279</v>
      </c>
    </row>
    <row r="275" spans="1:13">
      <c r="A275">
        <v>273</v>
      </c>
      <c r="B275">
        <v>107</v>
      </c>
      <c r="C275">
        <v>3</v>
      </c>
      <c r="D275">
        <v>7</v>
      </c>
      <c r="E275">
        <v>1</v>
      </c>
      <c r="G275">
        <v>-1.4862427229758932</v>
      </c>
      <c r="H275">
        <v>-1.1341759395705864</v>
      </c>
      <c r="I275">
        <v>-1.9468488896299971</v>
      </c>
      <c r="K275">
        <v>-1.5224225173921591</v>
      </c>
      <c r="M275" t="s">
        <v>280</v>
      </c>
    </row>
    <row r="276" spans="1:13">
      <c r="A276">
        <v>274</v>
      </c>
      <c r="B276">
        <v>93</v>
      </c>
      <c r="C276">
        <v>2</v>
      </c>
      <c r="D276">
        <v>1</v>
      </c>
      <c r="E276">
        <v>2</v>
      </c>
      <c r="G276">
        <v>-1.6014331529003001</v>
      </c>
      <c r="H276">
        <v>-1.9183731504535686</v>
      </c>
      <c r="I276">
        <v>-1.5849180648347414</v>
      </c>
      <c r="K276">
        <v>-1.7015747893962034</v>
      </c>
      <c r="M276" t="s">
        <v>281</v>
      </c>
    </row>
    <row r="277" spans="1:13">
      <c r="A277">
        <v>275</v>
      </c>
      <c r="B277">
        <v>62</v>
      </c>
      <c r="C277">
        <v>0</v>
      </c>
      <c r="D277">
        <v>1</v>
      </c>
      <c r="E277">
        <v>0</v>
      </c>
      <c r="G277">
        <v>-1.8</v>
      </c>
      <c r="H277">
        <v>-1.7422818913978875</v>
      </c>
      <c r="I277">
        <v>-1.8</v>
      </c>
      <c r="K277">
        <v>-1.8</v>
      </c>
      <c r="M277" t="s">
        <v>282</v>
      </c>
    </row>
    <row r="278" spans="1:13">
      <c r="A278">
        <v>276</v>
      </c>
      <c r="B278">
        <v>31</v>
      </c>
      <c r="C278">
        <v>8</v>
      </c>
      <c r="D278">
        <v>4</v>
      </c>
      <c r="E278">
        <v>4</v>
      </c>
      <c r="G278">
        <v>-0.52225190685267509</v>
      </c>
      <c r="H278">
        <v>-0.83919190440594382</v>
      </c>
      <c r="I278">
        <v>-0.80676681445109766</v>
      </c>
      <c r="K278">
        <v>-0.72273687523657226</v>
      </c>
      <c r="M278" t="s">
        <v>283</v>
      </c>
    </row>
    <row r="279" spans="1:13">
      <c r="A279">
        <v>277</v>
      </c>
      <c r="B279">
        <v>16</v>
      </c>
      <c r="C279">
        <v>0</v>
      </c>
      <c r="D279">
        <v>0</v>
      </c>
      <c r="E279">
        <v>0</v>
      </c>
      <c r="G279">
        <v>-1.8</v>
      </c>
      <c r="H279">
        <v>-1.8</v>
      </c>
      <c r="I279">
        <v>-1.8</v>
      </c>
      <c r="K279">
        <v>-1.8</v>
      </c>
      <c r="M279" t="s">
        <v>284</v>
      </c>
    </row>
    <row r="280" spans="1:13">
      <c r="A280">
        <v>278</v>
      </c>
      <c r="B280">
        <v>18</v>
      </c>
      <c r="C280">
        <v>3</v>
      </c>
      <c r="D280">
        <v>1</v>
      </c>
      <c r="E280">
        <v>0</v>
      </c>
      <c r="G280">
        <v>-0.71213145039398962</v>
      </c>
      <c r="H280">
        <v>-1.2051627070029396</v>
      </c>
      <c r="I280">
        <v>-1.8</v>
      </c>
      <c r="K280">
        <v>-1.8</v>
      </c>
      <c r="M280" t="s">
        <v>285</v>
      </c>
    </row>
    <row r="281" spans="1:13">
      <c r="A281">
        <v>279</v>
      </c>
      <c r="B281">
        <v>52</v>
      </c>
      <c r="C281">
        <v>6</v>
      </c>
      <c r="D281">
        <v>2</v>
      </c>
      <c r="E281">
        <v>2</v>
      </c>
      <c r="G281">
        <v>-0.87183229326150147</v>
      </c>
      <c r="H281">
        <v>-1.3648635498704516</v>
      </c>
      <c r="I281">
        <v>-1.3324384599156054</v>
      </c>
      <c r="K281">
        <v>-1.1897114343491861</v>
      </c>
      <c r="M281" t="s">
        <v>286</v>
      </c>
    </row>
    <row r="282" spans="1:13">
      <c r="A282">
        <v>280</v>
      </c>
      <c r="B282">
        <v>179</v>
      </c>
      <c r="C282">
        <v>17</v>
      </c>
      <c r="D282">
        <v>10</v>
      </c>
      <c r="E282">
        <v>11</v>
      </c>
      <c r="G282">
        <v>-0.95638430961196519</v>
      </c>
      <c r="H282">
        <v>-1.2027432328795267</v>
      </c>
      <c r="I282">
        <v>-1.1289254577664556</v>
      </c>
      <c r="K282">
        <v>-1.0960176667526491</v>
      </c>
      <c r="M282" t="s">
        <v>287</v>
      </c>
    </row>
    <row r="283" spans="1:13">
      <c r="A283">
        <v>281</v>
      </c>
      <c r="B283">
        <v>210</v>
      </c>
      <c r="C283">
        <v>5</v>
      </c>
      <c r="D283">
        <v>9</v>
      </c>
      <c r="E283">
        <v>6</v>
      </c>
      <c r="G283">
        <v>-1.5572294904082467</v>
      </c>
      <c r="H283">
        <v>-1.3178669871942279</v>
      </c>
      <c r="I283">
        <v>-1.4615331562950631</v>
      </c>
      <c r="K283">
        <v>-1.4455432112991791</v>
      </c>
      <c r="M283" t="s">
        <v>288</v>
      </c>
    </row>
    <row r="284" spans="1:13">
      <c r="A284">
        <v>282</v>
      </c>
      <c r="B284">
        <v>60</v>
      </c>
      <c r="C284">
        <v>13</v>
      </c>
      <c r="D284">
        <v>6</v>
      </c>
      <c r="E284">
        <v>13</v>
      </c>
      <c r="G284">
        <v>-0.59818809808715279</v>
      </c>
      <c r="H284">
        <v>-0.94989020189963347</v>
      </c>
      <c r="I284">
        <v>-0.58167301002159411</v>
      </c>
      <c r="K284">
        <v>-0.70991710333612679</v>
      </c>
      <c r="M284" t="s">
        <v>289</v>
      </c>
    </row>
    <row r="285" spans="1:13">
      <c r="A285">
        <v>283</v>
      </c>
      <c r="B285">
        <v>54</v>
      </c>
      <c r="C285">
        <v>0</v>
      </c>
      <c r="D285">
        <v>3</v>
      </c>
      <c r="E285">
        <v>3</v>
      </c>
      <c r="G285">
        <v>-1.8</v>
      </c>
      <c r="H285">
        <v>-1.2051627070029396</v>
      </c>
      <c r="I285">
        <v>-1.1727376170480934</v>
      </c>
      <c r="K285">
        <v>-1.8</v>
      </c>
      <c r="M285" t="s">
        <v>290</v>
      </c>
    </row>
    <row r="286" spans="1:13">
      <c r="A286">
        <v>284</v>
      </c>
      <c r="B286">
        <v>90</v>
      </c>
      <c r="C286">
        <v>0</v>
      </c>
      <c r="D286">
        <v>3</v>
      </c>
      <c r="E286">
        <v>5</v>
      </c>
      <c r="G286">
        <v>-1.8</v>
      </c>
      <c r="H286">
        <v>-1.427011456619296</v>
      </c>
      <c r="I286">
        <v>-1.1727376170480934</v>
      </c>
      <c r="K286">
        <v>-1.8</v>
      </c>
      <c r="M286" t="s">
        <v>291</v>
      </c>
    </row>
    <row r="287" spans="1:13">
      <c r="A287">
        <v>285</v>
      </c>
      <c r="B287">
        <v>192</v>
      </c>
      <c r="C287">
        <v>14</v>
      </c>
      <c r="D287">
        <v>4</v>
      </c>
      <c r="E287">
        <v>6</v>
      </c>
      <c r="G287">
        <v>-1.0711533930356576</v>
      </c>
      <c r="H287">
        <v>-1.6311314392752208</v>
      </c>
      <c r="I287">
        <v>-1.4226150902646935</v>
      </c>
      <c r="K287">
        <v>-1.3749666408585242</v>
      </c>
      <c r="M287" t="s">
        <v>292</v>
      </c>
    </row>
    <row r="288" spans="1:13">
      <c r="A288">
        <v>286</v>
      </c>
      <c r="B288">
        <v>28</v>
      </c>
      <c r="C288">
        <v>4</v>
      </c>
      <c r="D288">
        <v>0</v>
      </c>
      <c r="E288">
        <v>1</v>
      </c>
      <c r="G288">
        <v>-0.7790782400246028</v>
      </c>
      <c r="H288">
        <v>-1.8</v>
      </c>
      <c r="I288">
        <v>-1.3646231432870066</v>
      </c>
      <c r="K288">
        <v>-1.8</v>
      </c>
      <c r="M288" t="s">
        <v>293</v>
      </c>
    </row>
    <row r="289" spans="1:13">
      <c r="A289">
        <v>287</v>
      </c>
      <c r="B289">
        <v>112</v>
      </c>
      <c r="C289">
        <v>4</v>
      </c>
      <c r="D289">
        <v>4</v>
      </c>
      <c r="E289">
        <v>4</v>
      </c>
      <c r="G289">
        <v>-1.3811382313525653</v>
      </c>
      <c r="H289">
        <v>-1.3970482332418528</v>
      </c>
      <c r="I289">
        <v>-1.3646231432870066</v>
      </c>
      <c r="K289">
        <v>-1.3809365359604751</v>
      </c>
      <c r="M289" t="s">
        <v>294</v>
      </c>
    </row>
    <row r="290" spans="1:13">
      <c r="A290">
        <v>288</v>
      </c>
      <c r="B290">
        <v>83</v>
      </c>
      <c r="C290">
        <v>9</v>
      </c>
      <c r="D290">
        <v>5</v>
      </c>
      <c r="E290">
        <v>2</v>
      </c>
      <c r="G290">
        <v>-0.89881578294709497</v>
      </c>
      <c r="H290">
        <v>-1.1699982899396886</v>
      </c>
      <c r="I290">
        <v>-1.5355132086568801</v>
      </c>
      <c r="K290">
        <v>-1.2014424271812212</v>
      </c>
      <c r="M290" t="s">
        <v>295</v>
      </c>
    </row>
    <row r="291" spans="1:13">
      <c r="A291">
        <v>289</v>
      </c>
      <c r="B291">
        <v>28</v>
      </c>
      <c r="C291">
        <v>36</v>
      </c>
      <c r="D291">
        <v>8</v>
      </c>
      <c r="E291">
        <v>3</v>
      </c>
      <c r="G291">
        <v>0.17516426941472207</v>
      </c>
      <c r="H291">
        <v>-0.49395824624990919</v>
      </c>
      <c r="I291">
        <v>-0.88750188856734413</v>
      </c>
      <c r="K291">
        <v>-0.40209862180084377</v>
      </c>
      <c r="M291" t="s">
        <v>296</v>
      </c>
    </row>
    <row r="292" spans="1:13">
      <c r="A292">
        <v>290</v>
      </c>
      <c r="B292">
        <v>90</v>
      </c>
      <c r="C292">
        <v>1</v>
      </c>
      <c r="D292">
        <v>3</v>
      </c>
      <c r="E292">
        <v>3</v>
      </c>
      <c r="G292">
        <v>-1.8882227094496709</v>
      </c>
      <c r="H292">
        <v>-1.427011456619296</v>
      </c>
      <c r="I292">
        <v>-1.3945863666644498</v>
      </c>
      <c r="K292">
        <v>-1.5699401775778057</v>
      </c>
      <c r="M292" t="s">
        <v>297</v>
      </c>
    </row>
    <row r="293" spans="1:13">
      <c r="A293">
        <v>291</v>
      </c>
      <c r="B293">
        <v>52</v>
      </c>
      <c r="C293">
        <v>0</v>
      </c>
      <c r="D293">
        <v>1</v>
      </c>
      <c r="E293">
        <v>0</v>
      </c>
      <c r="G293">
        <v>-1.8</v>
      </c>
      <c r="H293">
        <v>-1.6658935455344328</v>
      </c>
      <c r="I293">
        <v>-1.8</v>
      </c>
      <c r="K293">
        <v>-1.8</v>
      </c>
      <c r="M293" t="s">
        <v>298</v>
      </c>
    </row>
    <row r="294" spans="1:13">
      <c r="A294">
        <v>292</v>
      </c>
      <c r="B294">
        <v>121</v>
      </c>
      <c r="C294">
        <v>238</v>
      </c>
      <c r="D294">
        <v>514</v>
      </c>
      <c r="E294">
        <v>331</v>
      </c>
      <c r="G294">
        <v>0.35981138672971591</v>
      </c>
      <c r="H294">
        <v>0.67828754677919212</v>
      </c>
      <c r="I294">
        <v>0.51957751151448128</v>
      </c>
      <c r="K294">
        <v>0.51922548167446314</v>
      </c>
      <c r="M294" t="s">
        <v>299</v>
      </c>
    </row>
    <row r="295" spans="1:13">
      <c r="A295">
        <v>293</v>
      </c>
      <c r="B295">
        <v>79</v>
      </c>
      <c r="C295">
        <v>124</v>
      </c>
      <c r="D295">
        <v>65</v>
      </c>
      <c r="E295">
        <v>116</v>
      </c>
      <c r="G295">
        <v>0.26181439386144761</v>
      </c>
      <c r="H295">
        <v>-3.4603936547219341E-2</v>
      </c>
      <c r="I295">
        <v>0.24936578599168974</v>
      </c>
      <c r="K295">
        <v>0.15885874776863934</v>
      </c>
      <c r="M295" t="s">
        <v>300</v>
      </c>
    </row>
    <row r="296" spans="1:13">
      <c r="A296">
        <v>294</v>
      </c>
      <c r="B296">
        <v>65</v>
      </c>
      <c r="C296">
        <v>199</v>
      </c>
      <c r="D296">
        <v>2612</v>
      </c>
      <c r="E296">
        <v>120</v>
      </c>
      <c r="G296">
        <v>0.55195951975650503</v>
      </c>
      <c r="H296">
        <v>1.6541696140605471</v>
      </c>
      <c r="I296">
        <v>0.34880277745998189</v>
      </c>
      <c r="K296">
        <v>0.85164397042567808</v>
      </c>
      <c r="M296" t="s">
        <v>301</v>
      </c>
    </row>
    <row r="297" spans="1:13">
      <c r="A297">
        <v>295</v>
      </c>
      <c r="B297">
        <v>42</v>
      </c>
      <c r="C297">
        <v>1</v>
      </c>
      <c r="D297">
        <v>3</v>
      </c>
      <c r="E297">
        <v>2</v>
      </c>
      <c r="G297">
        <v>-1.5572294904082467</v>
      </c>
      <c r="H297">
        <v>-1.0960182375778715</v>
      </c>
      <c r="I297">
        <v>-1.2396844066787067</v>
      </c>
      <c r="K297">
        <v>-1.2976440448882749</v>
      </c>
      <c r="M297" t="s">
        <v>302</v>
      </c>
    </row>
    <row r="298" spans="1:13">
      <c r="A298">
        <v>296</v>
      </c>
      <c r="B298">
        <v>9</v>
      </c>
      <c r="C298">
        <v>106</v>
      </c>
      <c r="D298">
        <v>38</v>
      </c>
      <c r="E298">
        <v>45</v>
      </c>
      <c r="G298">
        <v>1.1370831558150993</v>
      </c>
      <c r="H298">
        <v>0.67565088527785178</v>
      </c>
      <c r="I298">
        <v>0.78150489239123155</v>
      </c>
      <c r="K298">
        <v>0.86474631116139422</v>
      </c>
      <c r="M298" t="s">
        <v>303</v>
      </c>
    </row>
    <row r="299" spans="1:13">
      <c r="A299">
        <v>297</v>
      </c>
      <c r="B299">
        <v>108</v>
      </c>
      <c r="C299">
        <v>10</v>
      </c>
      <c r="D299">
        <v>34</v>
      </c>
      <c r="E299">
        <v>18</v>
      </c>
      <c r="G299">
        <v>-0.96740395549729563</v>
      </c>
      <c r="H299">
        <v>-0.45183504034432814</v>
      </c>
      <c r="I299">
        <v>-0.69561636232843094</v>
      </c>
      <c r="K299">
        <v>-0.70495178605668496</v>
      </c>
      <c r="M299" t="s">
        <v>304</v>
      </c>
    </row>
    <row r="300" spans="1:13">
      <c r="A300">
        <v>298</v>
      </c>
      <c r="B300">
        <v>302</v>
      </c>
      <c r="C300">
        <v>8</v>
      </c>
      <c r="D300">
        <v>7</v>
      </c>
      <c r="E300">
        <v>4</v>
      </c>
      <c r="G300">
        <v>-1.5108971559755531</v>
      </c>
      <c r="H300">
        <v>-1.5847991048425274</v>
      </c>
      <c r="I300">
        <v>-1.7954120635739756</v>
      </c>
      <c r="K300">
        <v>-1.6303694414640184</v>
      </c>
      <c r="M300" t="s">
        <v>305</v>
      </c>
    </row>
    <row r="301" spans="1:13">
      <c r="A301">
        <v>299</v>
      </c>
      <c r="B301">
        <v>83</v>
      </c>
      <c r="C301">
        <v>6</v>
      </c>
      <c r="D301">
        <v>2</v>
      </c>
      <c r="E301">
        <v>7</v>
      </c>
      <c r="G301">
        <v>-1.0749070420027764</v>
      </c>
      <c r="H301">
        <v>-1.5679382986117263</v>
      </c>
      <c r="I301">
        <v>-0.99144516430660434</v>
      </c>
      <c r="K301">
        <v>-1.2114301683070356</v>
      </c>
      <c r="M301" t="s">
        <v>306</v>
      </c>
    </row>
    <row r="302" spans="1:13">
      <c r="A302">
        <v>300</v>
      </c>
      <c r="B302">
        <v>48</v>
      </c>
      <c r="C302">
        <v>3</v>
      </c>
      <c r="D302">
        <v>0</v>
      </c>
      <c r="E302">
        <v>2</v>
      </c>
      <c r="G302">
        <v>-1.1381001826662709</v>
      </c>
      <c r="H302">
        <v>-1.8</v>
      </c>
      <c r="I302">
        <v>-1.2976763536563936</v>
      </c>
      <c r="K302">
        <v>-1.8</v>
      </c>
      <c r="M302" t="s">
        <v>307</v>
      </c>
    </row>
    <row r="303" spans="1:13">
      <c r="A303">
        <v>301</v>
      </c>
      <c r="B303">
        <v>40</v>
      </c>
      <c r="C303">
        <v>0</v>
      </c>
      <c r="D303">
        <v>2</v>
      </c>
      <c r="E303">
        <v>0</v>
      </c>
      <c r="G303">
        <v>-1.8</v>
      </c>
      <c r="H303">
        <v>-1.2509201975636148</v>
      </c>
      <c r="I303">
        <v>-1.8</v>
      </c>
      <c r="K303">
        <v>-1.8</v>
      </c>
      <c r="M303" t="s">
        <v>308</v>
      </c>
    </row>
    <row r="304" spans="1:13">
      <c r="A304">
        <v>302</v>
      </c>
      <c r="B304">
        <v>47</v>
      </c>
      <c r="C304">
        <v>185</v>
      </c>
      <c r="D304">
        <v>195</v>
      </c>
      <c r="E304">
        <v>117</v>
      </c>
      <c r="G304">
        <v>0.66109367045695033</v>
      </c>
      <c r="H304">
        <v>0.66804655152716708</v>
      </c>
      <c r="I304">
        <v>0.47862289186565682</v>
      </c>
      <c r="K304">
        <v>0.60258770461659139</v>
      </c>
      <c r="M304" t="s">
        <v>309</v>
      </c>
    </row>
    <row r="305" spans="1:13">
      <c r="A305">
        <v>303</v>
      </c>
      <c r="B305">
        <v>33</v>
      </c>
      <c r="C305">
        <v>186</v>
      </c>
      <c r="D305">
        <v>63</v>
      </c>
      <c r="E305">
        <v>51</v>
      </c>
      <c r="G305">
        <v>0.81701880432968288</v>
      </c>
      <c r="H305">
        <v>0.3309364076760607</v>
      </c>
      <c r="I305">
        <v>0.27159112427526155</v>
      </c>
      <c r="K305">
        <v>0.47318211209366839</v>
      </c>
      <c r="M305" t="s">
        <v>310</v>
      </c>
    </row>
    <row r="306" spans="1:13">
      <c r="A306">
        <v>304</v>
      </c>
      <c r="B306">
        <v>112</v>
      </c>
      <c r="C306">
        <v>2</v>
      </c>
      <c r="D306">
        <v>1</v>
      </c>
      <c r="E306">
        <v>4</v>
      </c>
      <c r="G306">
        <v>-1.6821682270165466</v>
      </c>
      <c r="H306">
        <v>-1.9991082245698151</v>
      </c>
      <c r="I306">
        <v>-1.3646231432870066</v>
      </c>
      <c r="K306">
        <v>-1.6819665316244563</v>
      </c>
      <c r="M306" t="s">
        <v>311</v>
      </c>
    </row>
    <row r="307" spans="1:13">
      <c r="A307">
        <v>305</v>
      </c>
      <c r="B307">
        <v>42</v>
      </c>
      <c r="C307">
        <v>0</v>
      </c>
      <c r="D307">
        <v>1</v>
      </c>
      <c r="E307">
        <v>1</v>
      </c>
      <c r="G307">
        <v>-1.8</v>
      </c>
      <c r="H307">
        <v>-1.5731394922975341</v>
      </c>
      <c r="I307">
        <v>-1.540714402342688</v>
      </c>
      <c r="K307">
        <v>-1.8</v>
      </c>
      <c r="M307" t="s">
        <v>312</v>
      </c>
    </row>
    <row r="308" spans="1:13">
      <c r="A308">
        <v>306</v>
      </c>
      <c r="B308">
        <v>185</v>
      </c>
      <c r="C308">
        <v>0</v>
      </c>
      <c r="D308">
        <v>3</v>
      </c>
      <c r="E308">
        <v>2</v>
      </c>
      <c r="G308">
        <v>-1.8</v>
      </c>
      <c r="H308">
        <v>-1.7399406755829849</v>
      </c>
      <c r="I308">
        <v>-1.8836068446838199</v>
      </c>
      <c r="K308">
        <v>-1.8</v>
      </c>
      <c r="M308" t="s">
        <v>313</v>
      </c>
    </row>
    <row r="309" spans="1:13">
      <c r="A309">
        <v>307</v>
      </c>
      <c r="B309">
        <v>30</v>
      </c>
      <c r="C309">
        <v>11</v>
      </c>
      <c r="D309">
        <v>10</v>
      </c>
      <c r="E309">
        <v>6</v>
      </c>
      <c r="G309">
        <v>-0.36970876957178339</v>
      </c>
      <c r="H309">
        <v>-0.42701145661929596</v>
      </c>
      <c r="I309">
        <v>-0.61643511628080605</v>
      </c>
      <c r="K309">
        <v>-0.47105178082396176</v>
      </c>
      <c r="M309" t="s">
        <v>314</v>
      </c>
    </row>
    <row r="310" spans="1:13">
      <c r="A310">
        <v>308</v>
      </c>
      <c r="B310">
        <v>282</v>
      </c>
      <c r="C310">
        <v>20</v>
      </c>
      <c r="D310">
        <v>15</v>
      </c>
      <c r="E310">
        <v>15</v>
      </c>
      <c r="G310">
        <v>-1.083199312665726</v>
      </c>
      <c r="H310">
        <v>-1.2240480511633134</v>
      </c>
      <c r="I310">
        <v>-1.1916229612084672</v>
      </c>
      <c r="K310">
        <v>-1.1662901083458355</v>
      </c>
      <c r="M310" t="s">
        <v>315</v>
      </c>
    </row>
    <row r="311" spans="1:13">
      <c r="A311">
        <v>309</v>
      </c>
      <c r="B311">
        <v>47</v>
      </c>
      <c r="C311">
        <v>36</v>
      </c>
      <c r="D311">
        <v>6</v>
      </c>
      <c r="E311">
        <v>20</v>
      </c>
      <c r="G311">
        <v>-4.97755571787762E-2</v>
      </c>
      <c r="H311">
        <v>-0.84383680945170736</v>
      </c>
      <c r="I311">
        <v>-0.28853297421652363</v>
      </c>
      <c r="K311">
        <v>-0.39404844694900243</v>
      </c>
      <c r="M311" t="s">
        <v>316</v>
      </c>
    </row>
    <row r="312" spans="1:13">
      <c r="A312">
        <v>310</v>
      </c>
      <c r="B312">
        <v>59</v>
      </c>
      <c r="C312">
        <v>11</v>
      </c>
      <c r="D312">
        <v>15</v>
      </c>
      <c r="E312">
        <v>6</v>
      </c>
      <c r="G312">
        <v>-0.66343952649426507</v>
      </c>
      <c r="H312">
        <v>-0.54465095448609646</v>
      </c>
      <c r="I312">
        <v>-0.91016587320328779</v>
      </c>
      <c r="K312">
        <v>-0.7060854513945497</v>
      </c>
      <c r="M312" t="s">
        <v>317</v>
      </c>
    </row>
    <row r="313" spans="1:13">
      <c r="A313">
        <v>311</v>
      </c>
      <c r="B313">
        <v>25</v>
      </c>
      <c r="C313">
        <v>1</v>
      </c>
      <c r="D313">
        <v>0</v>
      </c>
      <c r="E313">
        <v>0</v>
      </c>
      <c r="G313">
        <v>-1.3319202086823836</v>
      </c>
      <c r="H313">
        <v>-1.8</v>
      </c>
      <c r="I313">
        <v>-1.8</v>
      </c>
      <c r="K313">
        <v>-1.8</v>
      </c>
      <c r="M313" t="s">
        <v>318</v>
      </c>
    </row>
    <row r="314" spans="1:13">
      <c r="A314">
        <v>312</v>
      </c>
      <c r="B314">
        <v>24</v>
      </c>
      <c r="C314">
        <v>1</v>
      </c>
      <c r="D314">
        <v>1</v>
      </c>
      <c r="E314">
        <v>0</v>
      </c>
      <c r="G314">
        <v>-1.3141914417219522</v>
      </c>
      <c r="H314">
        <v>-1.3301014436112397</v>
      </c>
      <c r="I314">
        <v>-1.8</v>
      </c>
      <c r="K314">
        <v>-1.8</v>
      </c>
      <c r="M314" t="s">
        <v>319</v>
      </c>
    </row>
    <row r="315" spans="1:13">
      <c r="A315">
        <v>313</v>
      </c>
      <c r="B315">
        <v>235</v>
      </c>
      <c r="C315">
        <v>386</v>
      </c>
      <c r="D315">
        <v>830</v>
      </c>
      <c r="E315">
        <v>2261</v>
      </c>
      <c r="G315">
        <v>0.28153924238967265</v>
      </c>
      <c r="H315">
        <v>0.59812002820470411</v>
      </c>
      <c r="I315">
        <v>1.065767588128836</v>
      </c>
      <c r="K315">
        <v>0.64847561957440425</v>
      </c>
      <c r="M315" t="s">
        <v>320</v>
      </c>
    </row>
    <row r="316" spans="1:13">
      <c r="A316">
        <v>314</v>
      </c>
      <c r="B316">
        <v>102</v>
      </c>
      <c r="C316">
        <v>0</v>
      </c>
      <c r="D316">
        <v>2</v>
      </c>
      <c r="E316">
        <v>2</v>
      </c>
      <c r="G316">
        <v>-1.8</v>
      </c>
      <c r="H316">
        <v>-1.6574603779975698</v>
      </c>
      <c r="I316">
        <v>-1.6250352880427237</v>
      </c>
      <c r="K316">
        <v>-1.8</v>
      </c>
      <c r="M316" t="s">
        <v>321</v>
      </c>
    </row>
    <row r="317" spans="1:13">
      <c r="A317">
        <v>315</v>
      </c>
      <c r="B317">
        <v>67</v>
      </c>
      <c r="C317">
        <v>0</v>
      </c>
      <c r="D317">
        <v>0</v>
      </c>
      <c r="E317">
        <v>0</v>
      </c>
      <c r="G317">
        <v>-1.8</v>
      </c>
      <c r="H317">
        <v>-1.8</v>
      </c>
      <c r="I317">
        <v>-1.8</v>
      </c>
      <c r="K317">
        <v>-1.8</v>
      </c>
      <c r="M317" t="s">
        <v>322</v>
      </c>
    </row>
    <row r="318" spans="1:13">
      <c r="A318">
        <v>316</v>
      </c>
      <c r="B318">
        <v>36</v>
      </c>
      <c r="C318">
        <v>0</v>
      </c>
      <c r="D318">
        <v>2</v>
      </c>
      <c r="E318">
        <v>1</v>
      </c>
      <c r="G318">
        <v>-1.8</v>
      </c>
      <c r="H318">
        <v>-1.2051627070029396</v>
      </c>
      <c r="I318">
        <v>-1.4737676127120747</v>
      </c>
      <c r="K318">
        <v>-1.8</v>
      </c>
      <c r="M318" t="s">
        <v>323</v>
      </c>
    </row>
    <row r="319" spans="1:13">
      <c r="A319">
        <v>317</v>
      </c>
      <c r="B319">
        <v>46</v>
      </c>
      <c r="C319">
        <v>0</v>
      </c>
      <c r="D319">
        <v>1</v>
      </c>
      <c r="E319">
        <v>1</v>
      </c>
      <c r="G319">
        <v>-1.8</v>
      </c>
      <c r="H319">
        <v>-1.6126480335812077</v>
      </c>
      <c r="I319">
        <v>-1.5802229436263615</v>
      </c>
      <c r="K319">
        <v>-1.8</v>
      </c>
      <c r="M319" t="s">
        <v>324</v>
      </c>
    </row>
    <row r="320" spans="1:13">
      <c r="A320">
        <v>318</v>
      </c>
      <c r="B320">
        <v>145</v>
      </c>
      <c r="C320">
        <v>1</v>
      </c>
      <c r="D320">
        <v>1</v>
      </c>
      <c r="E320">
        <v>2</v>
      </c>
      <c r="G320">
        <v>-2.0953482022453209</v>
      </c>
      <c r="H320">
        <v>-2.1112582041346082</v>
      </c>
      <c r="I320">
        <v>-1.7778031185157812</v>
      </c>
      <c r="K320">
        <v>-1.9948031749652368</v>
      </c>
      <c r="M320" t="s">
        <v>325</v>
      </c>
    </row>
    <row r="321" spans="1:13">
      <c r="A321">
        <v>319</v>
      </c>
      <c r="B321">
        <v>174</v>
      </c>
      <c r="C321">
        <v>7</v>
      </c>
      <c r="D321">
        <v>4</v>
      </c>
      <c r="E321">
        <v>9</v>
      </c>
      <c r="G321">
        <v>-1.3294314082786889</v>
      </c>
      <c r="H321">
        <v>-1.588379458854271</v>
      </c>
      <c r="I321">
        <v>-1.2037718507880624</v>
      </c>
      <c r="K321">
        <v>-1.3738609059736742</v>
      </c>
      <c r="M321" t="s">
        <v>326</v>
      </c>
    </row>
    <row r="322" spans="1:13">
      <c r="A322">
        <v>320</v>
      </c>
      <c r="B322">
        <v>105</v>
      </c>
      <c r="C322">
        <v>0</v>
      </c>
      <c r="D322">
        <v>4</v>
      </c>
      <c r="E322">
        <v>3</v>
      </c>
      <c r="G322">
        <v>-1.8</v>
      </c>
      <c r="H322">
        <v>-1.3690195096416091</v>
      </c>
      <c r="I322">
        <v>-1.4615331562950631</v>
      </c>
      <c r="K322">
        <v>-1.8</v>
      </c>
      <c r="M322" t="s">
        <v>327</v>
      </c>
    </row>
    <row r="323" spans="1:13">
      <c r="A323">
        <v>321</v>
      </c>
      <c r="B323">
        <v>111</v>
      </c>
      <c r="C323">
        <v>4</v>
      </c>
      <c r="D323">
        <v>5</v>
      </c>
      <c r="E323">
        <v>2</v>
      </c>
      <c r="G323">
        <v>-1.3772431874690412</v>
      </c>
      <c r="H323">
        <v>-1.2962431763502722</v>
      </c>
      <c r="I323">
        <v>-1.6617580950674637</v>
      </c>
      <c r="K323">
        <v>-1.4450814862955923</v>
      </c>
      <c r="M323" t="s">
        <v>328</v>
      </c>
    </row>
    <row r="324" spans="1:13">
      <c r="A324">
        <v>322</v>
      </c>
      <c r="B324">
        <v>94</v>
      </c>
      <c r="C324">
        <v>7</v>
      </c>
      <c r="D324">
        <v>61</v>
      </c>
      <c r="E324">
        <v>15</v>
      </c>
      <c r="G324">
        <v>-1.0620100135957879</v>
      </c>
      <c r="H324">
        <v>-0.13768822048856516</v>
      </c>
      <c r="I324">
        <v>-0.71450170648880473</v>
      </c>
      <c r="K324">
        <v>-0.6380666468577193</v>
      </c>
      <c r="M324" t="s">
        <v>329</v>
      </c>
    </row>
    <row r="325" spans="1:13">
      <c r="A325">
        <v>323</v>
      </c>
      <c r="B325">
        <v>134</v>
      </c>
      <c r="C325">
        <v>6</v>
      </c>
      <c r="D325">
        <v>9</v>
      </c>
      <c r="E325">
        <v>3</v>
      </c>
      <c r="G325">
        <v>-1.2829337479915102</v>
      </c>
      <c r="H325">
        <v>-1.1227524908251163</v>
      </c>
      <c r="I325">
        <v>-1.5674486555899327</v>
      </c>
      <c r="K325">
        <v>-1.3243782981355197</v>
      </c>
      <c r="M325" t="s">
        <v>330</v>
      </c>
    </row>
    <row r="326" spans="1:13">
      <c r="A326">
        <v>324</v>
      </c>
      <c r="B326">
        <v>42</v>
      </c>
      <c r="C326">
        <v>20</v>
      </c>
      <c r="D326">
        <v>23</v>
      </c>
      <c r="E326">
        <v>37</v>
      </c>
      <c r="G326">
        <v>-0.25619949474426529</v>
      </c>
      <c r="H326">
        <v>-0.21141165627994107</v>
      </c>
      <c r="I326">
        <v>2.7487321724307179E-2</v>
      </c>
      <c r="K326">
        <v>-0.1467079430999664</v>
      </c>
      <c r="M326" t="s">
        <v>331</v>
      </c>
    </row>
    <row r="327" spans="1:13">
      <c r="A327">
        <v>325</v>
      </c>
      <c r="B327">
        <v>38</v>
      </c>
      <c r="C327">
        <v>2</v>
      </c>
      <c r="D327">
        <v>2</v>
      </c>
      <c r="E327">
        <v>1</v>
      </c>
      <c r="G327">
        <v>-1.2127338009631752</v>
      </c>
      <c r="H327">
        <v>-1.2286438028524627</v>
      </c>
      <c r="I327">
        <v>-1.4972487085615975</v>
      </c>
      <c r="K327">
        <v>-1.3128754374590785</v>
      </c>
      <c r="M327" t="s">
        <v>332</v>
      </c>
    </row>
    <row r="328" spans="1:13">
      <c r="A328">
        <v>326</v>
      </c>
      <c r="B328">
        <v>61</v>
      </c>
      <c r="C328">
        <v>3</v>
      </c>
      <c r="D328">
        <v>2</v>
      </c>
      <c r="E328">
        <v>4</v>
      </c>
      <c r="G328">
        <v>-1.2421887803014506</v>
      </c>
      <c r="H328">
        <v>-1.4341900412464195</v>
      </c>
      <c r="I328">
        <v>-1.100734955627592</v>
      </c>
      <c r="K328">
        <v>-1.2590379257251543</v>
      </c>
      <c r="M328" t="s">
        <v>333</v>
      </c>
    </row>
    <row r="329" spans="1:13">
      <c r="A329">
        <v>327</v>
      </c>
      <c r="B329">
        <v>78</v>
      </c>
      <c r="C329">
        <v>1</v>
      </c>
      <c r="D329">
        <v>5</v>
      </c>
      <c r="E329">
        <v>3</v>
      </c>
      <c r="G329">
        <v>-1.8260748027008264</v>
      </c>
      <c r="H329">
        <v>-1.1430148002540952</v>
      </c>
      <c r="I329">
        <v>-1.3324384599156054</v>
      </c>
      <c r="K329">
        <v>-1.4338426876235093</v>
      </c>
      <c r="M329" t="s">
        <v>334</v>
      </c>
    </row>
    <row r="330" spans="1:13">
      <c r="A330">
        <v>328</v>
      </c>
      <c r="B330">
        <v>19</v>
      </c>
      <c r="C330">
        <v>0</v>
      </c>
      <c r="D330">
        <v>1</v>
      </c>
      <c r="E330">
        <v>2</v>
      </c>
      <c r="G330">
        <v>-1.8</v>
      </c>
      <c r="H330">
        <v>-1.2286438028524627</v>
      </c>
      <c r="I330">
        <v>-0.89518871723363513</v>
      </c>
      <c r="K330">
        <v>-1.8</v>
      </c>
      <c r="M330" t="s">
        <v>335</v>
      </c>
    </row>
    <row r="331" spans="1:13">
      <c r="A331">
        <v>329</v>
      </c>
      <c r="B331">
        <v>174</v>
      </c>
      <c r="C331">
        <v>43</v>
      </c>
      <c r="D331">
        <v>252</v>
      </c>
      <c r="E331">
        <v>73</v>
      </c>
      <c r="G331">
        <v>-0.54106099271335917</v>
      </c>
      <c r="H331">
        <v>0.21096109059931084</v>
      </c>
      <c r="I331">
        <v>-0.29469150010693118</v>
      </c>
      <c r="K331">
        <v>-0.20826380074032649</v>
      </c>
      <c r="M331" t="s">
        <v>336</v>
      </c>
    </row>
    <row r="332" spans="1:13">
      <c r="A332">
        <v>330</v>
      </c>
      <c r="B332">
        <v>201</v>
      </c>
      <c r="C332">
        <v>11</v>
      </c>
      <c r="D332">
        <v>21</v>
      </c>
      <c r="E332">
        <v>9</v>
      </c>
      <c r="G332">
        <v>-1.19578357227261</v>
      </c>
      <c r="H332">
        <v>-0.93086696458620311</v>
      </c>
      <c r="I332">
        <v>-1.2664186599259515</v>
      </c>
      <c r="K332">
        <v>-1.1310230655949216</v>
      </c>
      <c r="M332" t="s">
        <v>337</v>
      </c>
    </row>
    <row r="333" spans="1:13">
      <c r="A333">
        <v>331</v>
      </c>
      <c r="B333">
        <v>28</v>
      </c>
      <c r="C333">
        <v>0</v>
      </c>
      <c r="D333">
        <v>2</v>
      </c>
      <c r="E333">
        <v>1</v>
      </c>
      <c r="G333">
        <v>-1.8</v>
      </c>
      <c r="H333">
        <v>-1.0960182375778715</v>
      </c>
      <c r="I333">
        <v>-1.3646231432870066</v>
      </c>
      <c r="K333">
        <v>-1.8</v>
      </c>
      <c r="M333" t="s">
        <v>338</v>
      </c>
    </row>
    <row r="334" spans="1:13">
      <c r="A334">
        <v>332</v>
      </c>
      <c r="B334">
        <v>57</v>
      </c>
      <c r="C334">
        <v>1</v>
      </c>
      <c r="D334">
        <v>4</v>
      </c>
      <c r="E334">
        <v>2</v>
      </c>
      <c r="G334">
        <v>-1.6898550556828376</v>
      </c>
      <c r="H334">
        <v>-1.1037050662441625</v>
      </c>
      <c r="I334">
        <v>-1.3723099719532976</v>
      </c>
      <c r="K334">
        <v>-1.3886233646267661</v>
      </c>
      <c r="M334" t="s">
        <v>339</v>
      </c>
    </row>
    <row r="335" spans="1:13">
      <c r="A335">
        <v>333</v>
      </c>
      <c r="B335">
        <v>175</v>
      </c>
      <c r="C335">
        <v>2</v>
      </c>
      <c r="D335">
        <v>12</v>
      </c>
      <c r="E335">
        <v>9</v>
      </c>
      <c r="G335">
        <v>-1.8759882530326593</v>
      </c>
      <c r="H335">
        <v>-1.1137470045383031</v>
      </c>
      <c r="I335">
        <v>-1.2062606511917571</v>
      </c>
      <c r="K335">
        <v>-1.3986653029209064</v>
      </c>
      <c r="M335" t="s">
        <v>340</v>
      </c>
    </row>
    <row r="336" spans="1:13">
      <c r="A336">
        <v>334</v>
      </c>
      <c r="B336">
        <v>97</v>
      </c>
      <c r="C336">
        <v>120</v>
      </c>
      <c r="D336">
        <v>438</v>
      </c>
      <c r="E336">
        <v>83</v>
      </c>
      <c r="G336">
        <v>0.15842931177103398</v>
      </c>
      <c r="H336">
        <v>0.70481217433822119</v>
      </c>
      <c r="I336">
        <v>1.4841246165041691E-2</v>
      </c>
      <c r="K336">
        <v>0.2926942440914323</v>
      </c>
      <c r="M336" t="s">
        <v>341</v>
      </c>
    </row>
    <row r="337" spans="1:13">
      <c r="A337">
        <v>335</v>
      </c>
      <c r="B337">
        <v>73</v>
      </c>
      <c r="C337">
        <v>1</v>
      </c>
      <c r="D337">
        <v>0</v>
      </c>
      <c r="E337">
        <v>1</v>
      </c>
      <c r="G337">
        <v>-1.797303060130802</v>
      </c>
      <c r="H337">
        <v>-1.8</v>
      </c>
      <c r="I337">
        <v>-1.7807879720652433</v>
      </c>
      <c r="K337">
        <v>-1.8</v>
      </c>
      <c r="M337" t="s">
        <v>342</v>
      </c>
    </row>
    <row r="338" spans="1:13">
      <c r="A338">
        <v>336</v>
      </c>
      <c r="B338">
        <v>72</v>
      </c>
      <c r="C338">
        <v>0</v>
      </c>
      <c r="D338">
        <v>1</v>
      </c>
      <c r="E338">
        <v>1</v>
      </c>
      <c r="G338">
        <v>-1.8</v>
      </c>
      <c r="H338">
        <v>-1.8072226983309021</v>
      </c>
      <c r="I338">
        <v>-1.7747976083760559</v>
      </c>
      <c r="K338">
        <v>-1.8</v>
      </c>
      <c r="M338" t="s">
        <v>343</v>
      </c>
    </row>
    <row r="339" spans="1:13">
      <c r="A339">
        <v>337</v>
      </c>
      <c r="B339">
        <v>136</v>
      </c>
      <c r="C339">
        <v>36</v>
      </c>
      <c r="D339">
        <v>14</v>
      </c>
      <c r="E339">
        <v>16</v>
      </c>
      <c r="G339">
        <v>-0.51121660761327625</v>
      </c>
      <c r="H339">
        <v>-0.93730107459161294</v>
      </c>
      <c r="I339">
        <v>-0.84688403765908005</v>
      </c>
      <c r="K339">
        <v>-0.76513390662132308</v>
      </c>
      <c r="M339" t="s">
        <v>344</v>
      </c>
    </row>
    <row r="340" spans="1:13">
      <c r="A340">
        <v>338</v>
      </c>
      <c r="B340">
        <v>121</v>
      </c>
      <c r="C340">
        <v>2</v>
      </c>
      <c r="D340">
        <v>2</v>
      </c>
      <c r="E340">
        <v>3</v>
      </c>
      <c r="G340">
        <v>-1.7157355746628149</v>
      </c>
      <c r="H340">
        <v>-1.7316455765521024</v>
      </c>
      <c r="I340">
        <v>-1.5231292275415751</v>
      </c>
      <c r="K340">
        <v>-1.6568367929188306</v>
      </c>
      <c r="M340" t="s">
        <v>345</v>
      </c>
    </row>
    <row r="341" spans="1:13">
      <c r="A341">
        <v>339</v>
      </c>
      <c r="B341">
        <v>60</v>
      </c>
      <c r="C341">
        <v>895</v>
      </c>
      <c r="D341">
        <v>5894</v>
      </c>
      <c r="E341">
        <v>297</v>
      </c>
      <c r="G341">
        <v>1.2396915849219223</v>
      </c>
      <c r="H341">
        <v>2.0423686792306293</v>
      </c>
      <c r="I341">
        <v>0.77714008698878145</v>
      </c>
      <c r="K341">
        <v>1.3530667837137778</v>
      </c>
      <c r="M341" t="s">
        <v>346</v>
      </c>
    </row>
    <row r="342" spans="1:13">
      <c r="A342">
        <v>340</v>
      </c>
      <c r="B342">
        <v>58</v>
      </c>
      <c r="C342">
        <v>6</v>
      </c>
      <c r="D342">
        <v>4</v>
      </c>
      <c r="E342">
        <v>19</v>
      </c>
      <c r="G342">
        <v>-0.91925694318963969</v>
      </c>
      <c r="H342">
        <v>-1.1112582041346084</v>
      </c>
      <c r="I342">
        <v>-0.40213950455489572</v>
      </c>
      <c r="K342">
        <v>-0.81088488395971459</v>
      </c>
      <c r="M342" t="s">
        <v>347</v>
      </c>
    </row>
    <row r="343" spans="1:13">
      <c r="A343">
        <v>341</v>
      </c>
      <c r="B343">
        <v>150</v>
      </c>
      <c r="C343">
        <v>3</v>
      </c>
      <c r="D343">
        <v>3</v>
      </c>
      <c r="E343">
        <v>3</v>
      </c>
      <c r="G343">
        <v>-1.6329502043463648</v>
      </c>
      <c r="H343">
        <v>-1.6488602062356523</v>
      </c>
      <c r="I343">
        <v>-1.6164351162808062</v>
      </c>
      <c r="K343">
        <v>-1.6327485089542746</v>
      </c>
      <c r="M343" t="s">
        <v>348</v>
      </c>
    </row>
    <row r="344" spans="1:13">
      <c r="A344">
        <v>342</v>
      </c>
      <c r="B344">
        <v>26</v>
      </c>
      <c r="C344">
        <v>0</v>
      </c>
      <c r="D344">
        <v>0</v>
      </c>
      <c r="E344">
        <v>1</v>
      </c>
      <c r="G344">
        <v>-1.8</v>
      </c>
      <c r="H344">
        <v>-1.8</v>
      </c>
      <c r="I344">
        <v>-1.3324384599156054</v>
      </c>
      <c r="K344">
        <v>-1.8</v>
      </c>
      <c r="M344" t="s">
        <v>349</v>
      </c>
    </row>
    <row r="345" spans="1:13">
      <c r="A345">
        <v>343</v>
      </c>
      <c r="B345">
        <v>49</v>
      </c>
      <c r="C345">
        <v>0</v>
      </c>
      <c r="D345">
        <v>1</v>
      </c>
      <c r="E345">
        <v>1</v>
      </c>
      <c r="G345">
        <v>-1.8</v>
      </c>
      <c r="H345">
        <v>-1.6400862819281472</v>
      </c>
      <c r="I345">
        <v>-1.607661191973301</v>
      </c>
      <c r="K345">
        <v>-1.8</v>
      </c>
      <c r="M345" t="s">
        <v>350</v>
      </c>
    </row>
    <row r="346" spans="1:13">
      <c r="A346">
        <v>344</v>
      </c>
      <c r="B346">
        <v>143</v>
      </c>
      <c r="C346">
        <v>1</v>
      </c>
      <c r="D346">
        <v>8</v>
      </c>
      <c r="E346">
        <v>3</v>
      </c>
      <c r="G346">
        <v>-2.089316237475408</v>
      </c>
      <c r="H346">
        <v>-1.2021362523727519</v>
      </c>
      <c r="I346">
        <v>-1.5956798946901867</v>
      </c>
      <c r="K346">
        <v>-1.6290441281794488</v>
      </c>
      <c r="M346" t="s">
        <v>351</v>
      </c>
    </row>
    <row r="347" spans="1:13">
      <c r="A347">
        <v>345</v>
      </c>
      <c r="B347">
        <v>227</v>
      </c>
      <c r="C347">
        <v>382</v>
      </c>
      <c r="D347">
        <v>126</v>
      </c>
      <c r="E347">
        <v>53</v>
      </c>
      <c r="G347">
        <v>0.29205730570824001</v>
      </c>
      <c r="H347">
        <v>-0.20554551397519338</v>
      </c>
      <c r="I347">
        <v>-0.549215099537121</v>
      </c>
      <c r="K347">
        <v>-0.15423443593469147</v>
      </c>
      <c r="M347" t="s">
        <v>352</v>
      </c>
    </row>
    <row r="348" spans="1:13">
      <c r="A348">
        <v>346</v>
      </c>
      <c r="B348">
        <v>96</v>
      </c>
      <c r="C348">
        <v>1</v>
      </c>
      <c r="D348">
        <v>5</v>
      </c>
      <c r="E348">
        <v>1</v>
      </c>
      <c r="G348">
        <v>-1.9162514330499145</v>
      </c>
      <c r="H348">
        <v>-1.2331914306031833</v>
      </c>
      <c r="I348">
        <v>-1.8997363449843558</v>
      </c>
      <c r="K348">
        <v>-1.6830597362124846</v>
      </c>
      <c r="M348" t="s">
        <v>353</v>
      </c>
    </row>
    <row r="349" spans="1:13">
      <c r="A349">
        <v>347</v>
      </c>
      <c r="B349">
        <v>23</v>
      </c>
      <c r="C349">
        <v>0</v>
      </c>
      <c r="D349">
        <v>2</v>
      </c>
      <c r="E349">
        <v>1</v>
      </c>
      <c r="G349">
        <v>-1.8</v>
      </c>
      <c r="H349">
        <v>-1.0105880422532452</v>
      </c>
      <c r="I349">
        <v>-1.2791929479623803</v>
      </c>
      <c r="K349">
        <v>-1.8</v>
      </c>
      <c r="M349" t="s">
        <v>354</v>
      </c>
    </row>
    <row r="350" spans="1:13">
      <c r="A350">
        <v>348</v>
      </c>
      <c r="B350">
        <v>77</v>
      </c>
      <c r="C350">
        <v>133</v>
      </c>
      <c r="D350">
        <v>1167</v>
      </c>
      <c r="E350">
        <v>202</v>
      </c>
      <c r="G350">
        <v>0.3033807157842579</v>
      </c>
      <c r="H350">
        <v>1.2306899289732547</v>
      </c>
      <c r="I350">
        <v>0.50139553232935463</v>
      </c>
      <c r="K350">
        <v>0.67848872569562246</v>
      </c>
      <c r="M350" t="s">
        <v>355</v>
      </c>
    </row>
    <row r="351" spans="1:13">
      <c r="A351">
        <v>349</v>
      </c>
      <c r="B351">
        <v>15</v>
      </c>
      <c r="C351">
        <v>0</v>
      </c>
      <c r="D351">
        <v>0</v>
      </c>
      <c r="E351">
        <v>2</v>
      </c>
      <c r="G351">
        <v>-1.8</v>
      </c>
      <c r="H351">
        <v>-1.8</v>
      </c>
      <c r="I351">
        <v>-0.7925263753364874</v>
      </c>
      <c r="K351">
        <v>-1.8</v>
      </c>
      <c r="M351" t="s">
        <v>356</v>
      </c>
    </row>
    <row r="352" spans="1:13">
      <c r="A352">
        <v>350</v>
      </c>
      <c r="B352">
        <v>100</v>
      </c>
      <c r="C352">
        <v>1</v>
      </c>
      <c r="D352">
        <v>2</v>
      </c>
      <c r="E352">
        <v>4</v>
      </c>
      <c r="G352">
        <v>-1.9339802000103461</v>
      </c>
      <c r="H352">
        <v>-1.6488602062356523</v>
      </c>
      <c r="I352">
        <v>-1.3154051206168249</v>
      </c>
      <c r="K352">
        <v>-1.6327485089542746</v>
      </c>
      <c r="M352" t="s">
        <v>357</v>
      </c>
    </row>
    <row r="353" spans="1:13">
      <c r="A353">
        <v>351</v>
      </c>
      <c r="B353">
        <v>54</v>
      </c>
      <c r="C353">
        <v>2</v>
      </c>
      <c r="D353">
        <v>0</v>
      </c>
      <c r="E353">
        <v>1</v>
      </c>
      <c r="G353">
        <v>-1.3653439641693335</v>
      </c>
      <c r="H353">
        <v>-1.8</v>
      </c>
      <c r="I353">
        <v>-1.649858871767756</v>
      </c>
      <c r="K353">
        <v>-1.8</v>
      </c>
      <c r="M353" t="s">
        <v>358</v>
      </c>
    </row>
    <row r="354" spans="1:13">
      <c r="A354">
        <v>352</v>
      </c>
      <c r="B354">
        <v>94</v>
      </c>
      <c r="C354">
        <v>0</v>
      </c>
      <c r="D354">
        <v>7</v>
      </c>
      <c r="E354">
        <v>10</v>
      </c>
      <c r="G354">
        <v>-1.8</v>
      </c>
      <c r="H354">
        <v>-1.0779200154850754</v>
      </c>
      <c r="I354">
        <v>-0.89059296554448597</v>
      </c>
      <c r="K354">
        <v>-1.8</v>
      </c>
      <c r="M354" t="s">
        <v>359</v>
      </c>
    </row>
    <row r="355" spans="1:13">
      <c r="A355">
        <v>353</v>
      </c>
      <c r="B355">
        <v>57</v>
      </c>
      <c r="C355">
        <v>5</v>
      </c>
      <c r="D355">
        <v>0</v>
      </c>
      <c r="E355">
        <v>0</v>
      </c>
      <c r="G355">
        <v>-0.9908850513468187</v>
      </c>
      <c r="H355">
        <v>-1.8</v>
      </c>
      <c r="I355">
        <v>-1.8</v>
      </c>
      <c r="K355">
        <v>-1.8</v>
      </c>
      <c r="M355" t="s">
        <v>360</v>
      </c>
    </row>
    <row r="356" spans="1:13">
      <c r="A356">
        <v>354</v>
      </c>
      <c r="B356">
        <v>118</v>
      </c>
      <c r="C356">
        <v>760</v>
      </c>
      <c r="D356">
        <v>160</v>
      </c>
      <c r="E356">
        <v>233</v>
      </c>
      <c r="G356">
        <v>0.87495138496432001</v>
      </c>
      <c r="H356">
        <v>0.18234777345016584</v>
      </c>
      <c r="I356">
        <v>0.37800880177510626</v>
      </c>
      <c r="K356">
        <v>0.47843598672986404</v>
      </c>
      <c r="M356" t="s">
        <v>361</v>
      </c>
    </row>
    <row r="357" spans="1:13">
      <c r="A357">
        <v>355</v>
      </c>
      <c r="B357">
        <v>67</v>
      </c>
      <c r="C357">
        <v>0</v>
      </c>
      <c r="D357">
        <v>1</v>
      </c>
      <c r="E357">
        <v>0</v>
      </c>
      <c r="G357">
        <v>-1.8</v>
      </c>
      <c r="H357">
        <v>-1.77596500460046</v>
      </c>
      <c r="I357">
        <v>-1.8</v>
      </c>
      <c r="K357">
        <v>-1.8</v>
      </c>
      <c r="M357" t="s">
        <v>362</v>
      </c>
    </row>
    <row r="358" spans="1:13">
      <c r="A358">
        <v>356</v>
      </c>
      <c r="B358">
        <v>70</v>
      </c>
      <c r="C358">
        <v>10</v>
      </c>
      <c r="D358">
        <v>2</v>
      </c>
      <c r="E358">
        <v>18</v>
      </c>
      <c r="G358">
        <v>-0.7790782400246028</v>
      </c>
      <c r="H358">
        <v>-1.4939582462499092</v>
      </c>
      <c r="I358">
        <v>-0.5072906468557381</v>
      </c>
      <c r="K358">
        <v>-0.92677571104341672</v>
      </c>
      <c r="M358" t="s">
        <v>363</v>
      </c>
    </row>
    <row r="359" spans="1:13">
      <c r="A359">
        <v>357</v>
      </c>
      <c r="B359">
        <v>58</v>
      </c>
      <c r="C359">
        <v>14</v>
      </c>
      <c r="D359">
        <v>3</v>
      </c>
      <c r="E359">
        <v>16</v>
      </c>
      <c r="G359">
        <v>-0.55128015789504525</v>
      </c>
      <c r="H359">
        <v>-1.2361969407429085</v>
      </c>
      <c r="I359">
        <v>-0.4767731228517999</v>
      </c>
      <c r="K359">
        <v>-0.75475007382991788</v>
      </c>
      <c r="M359" t="s">
        <v>364</v>
      </c>
    </row>
    <row r="360" spans="1:13">
      <c r="A360">
        <v>358</v>
      </c>
      <c r="B360">
        <v>25</v>
      </c>
      <c r="C360">
        <v>5</v>
      </c>
      <c r="D360">
        <v>2</v>
      </c>
      <c r="E360">
        <v>2</v>
      </c>
      <c r="G360">
        <v>-0.63295020434636473</v>
      </c>
      <c r="H360">
        <v>-1.04680021490769</v>
      </c>
      <c r="I360">
        <v>-1.0143751249528439</v>
      </c>
      <c r="K360">
        <v>-0.89804184806896625</v>
      </c>
      <c r="M360" t="s">
        <v>365</v>
      </c>
    </row>
    <row r="361" spans="1:13">
      <c r="A361">
        <v>359</v>
      </c>
      <c r="B361">
        <v>82</v>
      </c>
      <c r="C361">
        <v>138</v>
      </c>
      <c r="D361">
        <v>40</v>
      </c>
      <c r="E361">
        <v>91</v>
      </c>
      <c r="G361">
        <v>0.29208503400717378</v>
      </c>
      <c r="H361">
        <v>-0.26164406295538783</v>
      </c>
      <c r="I361">
        <v>0.12776242799258961</v>
      </c>
      <c r="K361">
        <v>5.2734466348125182E-2</v>
      </c>
      <c r="M361" t="s">
        <v>366</v>
      </c>
    </row>
    <row r="362" spans="1:13">
      <c r="A362">
        <v>360</v>
      </c>
      <c r="B362">
        <v>64</v>
      </c>
      <c r="C362">
        <v>83</v>
      </c>
      <c r="D362">
        <v>208</v>
      </c>
      <c r="E362">
        <v>86</v>
      </c>
      <c r="G362">
        <v>0.17891791838184073</v>
      </c>
      <c r="H362">
        <v>0.56199315907924086</v>
      </c>
      <c r="I362">
        <v>0.21085336531489318</v>
      </c>
      <c r="K362">
        <v>0.31725481425865826</v>
      </c>
      <c r="M362" t="s">
        <v>367</v>
      </c>
    </row>
    <row r="363" spans="1:13">
      <c r="A363">
        <v>361</v>
      </c>
      <c r="B363">
        <v>36</v>
      </c>
      <c r="C363">
        <v>8</v>
      </c>
      <c r="D363">
        <v>8</v>
      </c>
      <c r="E363">
        <v>4</v>
      </c>
      <c r="G363">
        <v>-0.58719271378568971</v>
      </c>
      <c r="H363">
        <v>-0.6031027156749772</v>
      </c>
      <c r="I363">
        <v>-0.87170762138411217</v>
      </c>
      <c r="K363">
        <v>-0.68733435028159295</v>
      </c>
      <c r="M363" t="s">
        <v>368</v>
      </c>
    </row>
    <row r="364" spans="1:13">
      <c r="A364">
        <v>362</v>
      </c>
      <c r="B364">
        <v>89</v>
      </c>
      <c r="C364">
        <v>60</v>
      </c>
      <c r="D364">
        <v>891</v>
      </c>
      <c r="E364">
        <v>334</v>
      </c>
      <c r="G364">
        <v>-0.10521895627161516</v>
      </c>
      <c r="H364">
        <v>1.0505974954923285</v>
      </c>
      <c r="I364">
        <v>0.65689134822186435</v>
      </c>
      <c r="K364">
        <v>0.53408996248085927</v>
      </c>
      <c r="M364" t="s">
        <v>369</v>
      </c>
    </row>
    <row r="365" spans="1:13">
      <c r="A365">
        <v>363</v>
      </c>
      <c r="B365">
        <v>48</v>
      </c>
      <c r="C365">
        <v>6</v>
      </c>
      <c r="D365">
        <v>10</v>
      </c>
      <c r="E365">
        <v>10</v>
      </c>
      <c r="G365">
        <v>-0.83707018700228952</v>
      </c>
      <c r="H365">
        <v>-0.63113143927522064</v>
      </c>
      <c r="I365">
        <v>-0.59870634932037448</v>
      </c>
      <c r="K365">
        <v>-0.68896932519929488</v>
      </c>
      <c r="M365" t="s">
        <v>370</v>
      </c>
    </row>
    <row r="366" spans="1:13">
      <c r="A366">
        <v>364</v>
      </c>
      <c r="B366">
        <v>69</v>
      </c>
      <c r="C366">
        <v>4</v>
      </c>
      <c r="D366">
        <v>0</v>
      </c>
      <c r="E366">
        <v>3</v>
      </c>
      <c r="G366">
        <v>-1.170769299419639</v>
      </c>
      <c r="H366">
        <v>-1.8</v>
      </c>
      <c r="I366">
        <v>-1.2791929479623803</v>
      </c>
      <c r="K366">
        <v>-1.8</v>
      </c>
      <c r="M366" t="s">
        <v>371</v>
      </c>
    </row>
    <row r="367" spans="1:13">
      <c r="A367">
        <v>365</v>
      </c>
      <c r="B367">
        <v>60</v>
      </c>
      <c r="C367">
        <v>164</v>
      </c>
      <c r="D367">
        <v>64</v>
      </c>
      <c r="E367">
        <v>96</v>
      </c>
      <c r="G367">
        <v>0.50271239765370823</v>
      </c>
      <c r="H367">
        <v>7.8138521700610031E-2</v>
      </c>
      <c r="I367">
        <v>0.28665487071113743</v>
      </c>
      <c r="K367">
        <v>0.28916859668848521</v>
      </c>
      <c r="M367" t="s">
        <v>372</v>
      </c>
    </row>
    <row r="368" spans="1:13">
      <c r="A368">
        <v>366</v>
      </c>
      <c r="B368">
        <v>28</v>
      </c>
      <c r="C368">
        <v>22</v>
      </c>
      <c r="D368">
        <v>30</v>
      </c>
      <c r="E368">
        <v>30</v>
      </c>
      <c r="G368">
        <v>-3.8715550530358994E-2</v>
      </c>
      <c r="H368">
        <v>8.0073021477809689E-2</v>
      </c>
      <c r="I368">
        <v>0.11249811143265585</v>
      </c>
      <c r="K368">
        <v>5.1285194126702183E-2</v>
      </c>
      <c r="M368" t="s">
        <v>373</v>
      </c>
    </row>
    <row r="369" spans="1:13">
      <c r="A369">
        <v>367</v>
      </c>
      <c r="B369">
        <v>77</v>
      </c>
      <c r="C369">
        <v>8</v>
      </c>
      <c r="D369">
        <v>13</v>
      </c>
      <c r="E369">
        <v>9</v>
      </c>
      <c r="G369">
        <v>-0.91738093819088429</v>
      </c>
      <c r="H369">
        <v>-0.72243757476527859</v>
      </c>
      <c r="I369">
        <v>-0.84971332767794427</v>
      </c>
      <c r="K369">
        <v>-0.82984394687803575</v>
      </c>
      <c r="M369" t="s">
        <v>374</v>
      </c>
    </row>
    <row r="370" spans="1:13">
      <c r="A370">
        <v>368</v>
      </c>
      <c r="B370">
        <v>92</v>
      </c>
      <c r="C370">
        <v>105</v>
      </c>
      <c r="D370">
        <v>11</v>
      </c>
      <c r="E370">
        <v>568</v>
      </c>
      <c r="G370">
        <v>0.12342127171403679</v>
      </c>
      <c r="H370">
        <v>-0.87228534408696368</v>
      </c>
      <c r="I370">
        <v>0.87309539642067624</v>
      </c>
      <c r="K370">
        <v>4.1410441349249795E-2</v>
      </c>
      <c r="M370" t="s">
        <v>375</v>
      </c>
    </row>
    <row r="371" spans="1:13">
      <c r="A371">
        <v>369</v>
      </c>
      <c r="B371">
        <v>120</v>
      </c>
      <c r="C371">
        <v>36</v>
      </c>
      <c r="D371">
        <v>43</v>
      </c>
      <c r="E371">
        <v>52</v>
      </c>
      <c r="G371">
        <v>-0.4568589452906836</v>
      </c>
      <c r="H371">
        <v>-0.39560299236767182</v>
      </c>
      <c r="I371">
        <v>-0.28064301435761302</v>
      </c>
      <c r="K371">
        <v>-0.37770165067198946</v>
      </c>
      <c r="M371" t="s">
        <v>376</v>
      </c>
    </row>
    <row r="372" spans="1:13">
      <c r="A372">
        <v>370</v>
      </c>
      <c r="B372">
        <v>74</v>
      </c>
      <c r="C372">
        <v>170</v>
      </c>
      <c r="D372">
        <v>181</v>
      </c>
      <c r="E372">
        <v>158</v>
      </c>
      <c r="G372">
        <v>0.42723700163695177</v>
      </c>
      <c r="H372">
        <v>0.43855665323857479</v>
      </c>
      <c r="I372">
        <v>0.41196025527865904</v>
      </c>
      <c r="K372">
        <v>0.42591797005139514</v>
      </c>
      <c r="M372" t="s">
        <v>377</v>
      </c>
    </row>
    <row r="373" spans="1:13">
      <c r="A373">
        <v>371</v>
      </c>
      <c r="B373">
        <v>94</v>
      </c>
      <c r="C373">
        <v>59</v>
      </c>
      <c r="D373">
        <v>127</v>
      </c>
      <c r="E373">
        <v>434</v>
      </c>
      <c r="G373">
        <v>-0.13625604196790048</v>
      </c>
      <c r="H373">
        <v>0.18078566545662467</v>
      </c>
      <c r="I373">
        <v>0.74689676396802474</v>
      </c>
      <c r="K373">
        <v>0.26380879581891631</v>
      </c>
      <c r="M373" t="s">
        <v>378</v>
      </c>
    </row>
    <row r="374" spans="1:13">
      <c r="A374">
        <v>372</v>
      </c>
      <c r="B374">
        <v>44</v>
      </c>
      <c r="C374">
        <v>1</v>
      </c>
      <c r="D374">
        <v>1</v>
      </c>
      <c r="E374">
        <v>0</v>
      </c>
      <c r="G374">
        <v>-1.5774328764965335</v>
      </c>
      <c r="H374">
        <v>-1.593342878385821</v>
      </c>
      <c r="I374">
        <v>-1.8</v>
      </c>
      <c r="K374">
        <v>-1.8</v>
      </c>
      <c r="M374" t="s">
        <v>379</v>
      </c>
    </row>
    <row r="375" spans="1:13">
      <c r="A375">
        <v>373</v>
      </c>
      <c r="B375">
        <v>78</v>
      </c>
      <c r="C375">
        <v>0</v>
      </c>
      <c r="D375">
        <v>4</v>
      </c>
      <c r="E375">
        <v>1</v>
      </c>
      <c r="G375">
        <v>-1.8</v>
      </c>
      <c r="H375">
        <v>-1.2399248132621516</v>
      </c>
      <c r="I375">
        <v>-1.8095597146352678</v>
      </c>
      <c r="K375">
        <v>-1.8</v>
      </c>
      <c r="M375" t="s">
        <v>380</v>
      </c>
    </row>
    <row r="376" spans="1:13">
      <c r="A376">
        <v>374</v>
      </c>
      <c r="B376">
        <v>25</v>
      </c>
      <c r="C376">
        <v>2</v>
      </c>
      <c r="D376">
        <v>8</v>
      </c>
      <c r="E376">
        <v>43</v>
      </c>
      <c r="G376">
        <v>-1.0308902130184026</v>
      </c>
      <c r="H376">
        <v>-0.44474022357972753</v>
      </c>
      <c r="I376">
        <v>0.31806333496276157</v>
      </c>
      <c r="K376">
        <v>-0.38585570054512286</v>
      </c>
      <c r="M376" t="s">
        <v>381</v>
      </c>
    </row>
    <row r="377" spans="1:13">
      <c r="A377">
        <v>375</v>
      </c>
      <c r="B377">
        <v>101</v>
      </c>
      <c r="C377">
        <v>37</v>
      </c>
      <c r="D377">
        <v>76</v>
      </c>
      <c r="E377">
        <v>93</v>
      </c>
      <c r="G377">
        <v>-0.37009984972599358</v>
      </c>
      <c r="H377">
        <v>-7.3397983401484734E-2</v>
      </c>
      <c r="I377">
        <v>4.669646282650522E-2</v>
      </c>
      <c r="K377">
        <v>-0.13226712343365768</v>
      </c>
      <c r="M377" t="s">
        <v>382</v>
      </c>
    </row>
    <row r="378" spans="1:13">
      <c r="A378">
        <v>376</v>
      </c>
      <c r="B378">
        <v>69</v>
      </c>
      <c r="C378">
        <v>4</v>
      </c>
      <c r="D378">
        <v>5</v>
      </c>
      <c r="E378">
        <v>7</v>
      </c>
      <c r="G378">
        <v>-1.170769299419639</v>
      </c>
      <c r="H378">
        <v>-1.0897692883008701</v>
      </c>
      <c r="I378">
        <v>-0.91121616266778571</v>
      </c>
      <c r="K378">
        <v>-1.0572515834627649</v>
      </c>
      <c r="M378" t="s">
        <v>383</v>
      </c>
    </row>
    <row r="379" spans="1:13">
      <c r="A379">
        <v>377</v>
      </c>
      <c r="B379">
        <v>129</v>
      </c>
      <c r="C379">
        <v>5</v>
      </c>
      <c r="D379">
        <v>4</v>
      </c>
      <c r="E379">
        <v>0</v>
      </c>
      <c r="G379">
        <v>-1.3455999059735764</v>
      </c>
      <c r="H379">
        <v>-1.4584199208709201</v>
      </c>
      <c r="I379">
        <v>-1.8</v>
      </c>
      <c r="K379">
        <v>-1.8</v>
      </c>
      <c r="M379" t="s">
        <v>384</v>
      </c>
    </row>
    <row r="380" spans="1:13">
      <c r="A380">
        <v>378</v>
      </c>
      <c r="B380">
        <v>34</v>
      </c>
      <c r="C380">
        <v>1</v>
      </c>
      <c r="D380">
        <v>1</v>
      </c>
      <c r="E380">
        <v>3</v>
      </c>
      <c r="G380">
        <v>-1.4654591170526012</v>
      </c>
      <c r="H380">
        <v>-1.4813691189418887</v>
      </c>
      <c r="I380">
        <v>-0.97182277426738006</v>
      </c>
      <c r="K380">
        <v>-1.3062170034206233</v>
      </c>
      <c r="M380" t="s">
        <v>385</v>
      </c>
    </row>
    <row r="381" spans="1:13">
      <c r="A381">
        <v>379</v>
      </c>
      <c r="B381">
        <v>122</v>
      </c>
      <c r="C381">
        <v>6</v>
      </c>
      <c r="D381">
        <v>3</v>
      </c>
      <c r="E381">
        <v>4</v>
      </c>
      <c r="G381">
        <v>-1.2421887803014506</v>
      </c>
      <c r="H381">
        <v>-1.5591287778547194</v>
      </c>
      <c r="I381">
        <v>-1.4017649512915733</v>
      </c>
      <c r="K381">
        <v>-1.4010275031492478</v>
      </c>
      <c r="M381" t="s">
        <v>386</v>
      </c>
    </row>
    <row r="382" spans="1:13">
      <c r="A382">
        <v>380</v>
      </c>
      <c r="B382">
        <v>26</v>
      </c>
      <c r="C382">
        <v>30</v>
      </c>
      <c r="D382">
        <v>60</v>
      </c>
      <c r="E382">
        <v>42</v>
      </c>
      <c r="G382">
        <v>0.12816770673849842</v>
      </c>
      <c r="H382">
        <v>0.41328770051319208</v>
      </c>
      <c r="I382">
        <v>0.29081083048229517</v>
      </c>
      <c r="K382">
        <v>0.27742207924466189</v>
      </c>
      <c r="M382" t="s">
        <v>387</v>
      </c>
    </row>
    <row r="383" spans="1:13">
      <c r="A383">
        <v>381</v>
      </c>
      <c r="B383">
        <v>107</v>
      </c>
      <c r="C383">
        <v>29</v>
      </c>
      <c r="D383">
        <v>350</v>
      </c>
      <c r="E383">
        <v>406</v>
      </c>
      <c r="G383">
        <v>-0.50096597979659963</v>
      </c>
      <c r="H383">
        <v>0.56479406476543259</v>
      </c>
      <c r="I383">
        <v>0.66167714394719723</v>
      </c>
      <c r="K383">
        <v>0.2418350763053434</v>
      </c>
      <c r="M383" t="s">
        <v>388</v>
      </c>
    </row>
    <row r="384" spans="1:13">
      <c r="A384">
        <v>382</v>
      </c>
      <c r="B384">
        <v>51</v>
      </c>
      <c r="C384">
        <v>3</v>
      </c>
      <c r="D384">
        <v>15</v>
      </c>
      <c r="E384">
        <v>7</v>
      </c>
      <c r="G384">
        <v>-1.16442912138862</v>
      </c>
      <c r="H384">
        <v>-0.48136911894188866</v>
      </c>
      <c r="I384">
        <v>-0.77993724802846676</v>
      </c>
      <c r="K384">
        <v>-0.80857849611965849</v>
      </c>
      <c r="M384" t="s">
        <v>389</v>
      </c>
    </row>
    <row r="385" spans="1:13">
      <c r="A385">
        <v>383</v>
      </c>
      <c r="B385">
        <v>80</v>
      </c>
      <c r="C385">
        <v>15</v>
      </c>
      <c r="D385">
        <v>8</v>
      </c>
      <c r="E385">
        <v>5</v>
      </c>
      <c r="G385">
        <v>-0.66097892794660829</v>
      </c>
      <c r="H385">
        <v>-0.94989020189963347</v>
      </c>
      <c r="I385">
        <v>-1.1215850946007122</v>
      </c>
      <c r="K385">
        <v>-0.91081807481565136</v>
      </c>
      <c r="M385" t="s">
        <v>390</v>
      </c>
    </row>
    <row r="386" spans="1:13">
      <c r="A386">
        <v>384</v>
      </c>
      <c r="B386">
        <v>34</v>
      </c>
      <c r="C386">
        <v>22</v>
      </c>
      <c r="D386">
        <v>146</v>
      </c>
      <c r="E386">
        <v>115</v>
      </c>
      <c r="G386">
        <v>-0.12303643623039485</v>
      </c>
      <c r="H386">
        <v>0.68298373684254854</v>
      </c>
      <c r="I386">
        <v>0.61175381136656926</v>
      </c>
      <c r="K386">
        <v>0.39056703732624093</v>
      </c>
      <c r="M386" t="s">
        <v>391</v>
      </c>
    </row>
    <row r="387" spans="1:13">
      <c r="A387">
        <v>385</v>
      </c>
      <c r="B387">
        <v>69</v>
      </c>
      <c r="C387">
        <v>30</v>
      </c>
      <c r="D387">
        <v>83</v>
      </c>
      <c r="E387">
        <v>68</v>
      </c>
      <c r="G387">
        <v>-0.29570803602793888</v>
      </c>
      <c r="H387">
        <v>0.13033879973918508</v>
      </c>
      <c r="I387">
        <v>7.6194710024193674E-2</v>
      </c>
      <c r="K387">
        <v>-2.9724842088186709E-2</v>
      </c>
      <c r="M387" t="s">
        <v>392</v>
      </c>
    </row>
    <row r="388" spans="1:13">
      <c r="A388">
        <v>386</v>
      </c>
      <c r="B388">
        <v>70</v>
      </c>
      <c r="C388">
        <v>151</v>
      </c>
      <c r="D388">
        <v>148</v>
      </c>
      <c r="E388">
        <v>151</v>
      </c>
      <c r="G388">
        <v>0.39989870726856658</v>
      </c>
      <c r="H388">
        <v>0.37527347348106704</v>
      </c>
      <c r="I388">
        <v>0.4164137953341252</v>
      </c>
      <c r="K388">
        <v>0.39719532536125296</v>
      </c>
      <c r="M388" t="s">
        <v>393</v>
      </c>
    </row>
    <row r="389" spans="1:13">
      <c r="A389">
        <v>387</v>
      </c>
      <c r="B389">
        <v>62</v>
      </c>
      <c r="C389">
        <v>43</v>
      </c>
      <c r="D389">
        <v>89</v>
      </c>
      <c r="E389">
        <v>103</v>
      </c>
      <c r="G389">
        <v>-9.2903433929013304E-2</v>
      </c>
      <c r="H389">
        <v>0.20710811524702544</v>
      </c>
      <c r="I389">
        <v>0.30298042326213098</v>
      </c>
      <c r="K389">
        <v>0.13906170152671438</v>
      </c>
      <c r="M389" t="s">
        <v>394</v>
      </c>
    </row>
    <row r="390" spans="1:13">
      <c r="A390">
        <v>388</v>
      </c>
      <c r="B390">
        <v>128</v>
      </c>
      <c r="C390">
        <v>82</v>
      </c>
      <c r="D390">
        <v>93</v>
      </c>
      <c r="E390">
        <v>161</v>
      </c>
      <c r="G390">
        <v>-0.12737631727449766</v>
      </c>
      <c r="H390">
        <v>-8.8617222993566766E-2</v>
      </c>
      <c r="I390">
        <v>0.18215079443919399</v>
      </c>
      <c r="K390">
        <v>-1.1280915276290151E-2</v>
      </c>
      <c r="M390" t="s">
        <v>395</v>
      </c>
    </row>
    <row r="391" spans="1:13">
      <c r="A391">
        <v>389</v>
      </c>
      <c r="B391">
        <v>110</v>
      </c>
      <c r="C391">
        <v>61</v>
      </c>
      <c r="D391">
        <v>1270</v>
      </c>
      <c r="E391">
        <v>38</v>
      </c>
      <c r="G391">
        <v>-0.19004305015780398</v>
      </c>
      <c r="H391">
        <v>1.1125208338980983</v>
      </c>
      <c r="I391">
        <v>-0.37907420048620222</v>
      </c>
      <c r="K391">
        <v>0.18113452775136404</v>
      </c>
      <c r="M391" t="s">
        <v>396</v>
      </c>
    </row>
    <row r="392" spans="1:13">
      <c r="A392">
        <v>390</v>
      </c>
      <c r="B392">
        <v>101</v>
      </c>
      <c r="C392">
        <v>0</v>
      </c>
      <c r="D392">
        <v>2</v>
      </c>
      <c r="E392">
        <v>2</v>
      </c>
      <c r="G392">
        <v>-1.8</v>
      </c>
      <c r="H392">
        <v>-1.653181580018295</v>
      </c>
      <c r="I392">
        <v>-1.6207564900634488</v>
      </c>
      <c r="K392">
        <v>-1.8</v>
      </c>
      <c r="M392" t="s">
        <v>397</v>
      </c>
    </row>
    <row r="393" spans="1:13">
      <c r="A393">
        <v>391</v>
      </c>
      <c r="B393">
        <v>101</v>
      </c>
      <c r="C393">
        <v>11</v>
      </c>
      <c r="D393">
        <v>24</v>
      </c>
      <c r="E393">
        <v>49</v>
      </c>
      <c r="G393">
        <v>-0.89690888863476348</v>
      </c>
      <c r="H393">
        <v>-0.57400033397067007</v>
      </c>
      <c r="I393">
        <v>-0.23159040569891626</v>
      </c>
      <c r="K393">
        <v>-0.56749987610144992</v>
      </c>
      <c r="M393" t="s">
        <v>398</v>
      </c>
    </row>
    <row r="394" spans="1:13">
      <c r="A394">
        <v>392</v>
      </c>
      <c r="B394">
        <v>225</v>
      </c>
      <c r="C394">
        <v>292</v>
      </c>
      <c r="D394">
        <v>349</v>
      </c>
      <c r="E394">
        <v>12278</v>
      </c>
      <c r="G394">
        <v>0.17922013332670977</v>
      </c>
      <c r="H394">
        <v>0.2407527069481839</v>
      </c>
      <c r="I394">
        <v>1.8194799989881285</v>
      </c>
      <c r="K394">
        <v>0.74648427975434073</v>
      </c>
      <c r="M394" t="s">
        <v>399</v>
      </c>
    </row>
    <row r="395" spans="1:13">
      <c r="A395">
        <v>393</v>
      </c>
      <c r="B395">
        <v>48</v>
      </c>
      <c r="C395">
        <v>7</v>
      </c>
      <c r="D395">
        <v>3</v>
      </c>
      <c r="E395">
        <v>5</v>
      </c>
      <c r="G395">
        <v>-0.77012339737167634</v>
      </c>
      <c r="H395">
        <v>-1.1540101845555584</v>
      </c>
      <c r="I395">
        <v>-0.89973634498435573</v>
      </c>
      <c r="K395">
        <v>-0.94128997563719674</v>
      </c>
      <c r="M395" t="s">
        <v>400</v>
      </c>
    </row>
    <row r="396" spans="1:13">
      <c r="A396">
        <v>394</v>
      </c>
      <c r="B396">
        <v>112</v>
      </c>
      <c r="C396">
        <v>215</v>
      </c>
      <c r="D396">
        <v>308</v>
      </c>
      <c r="E396">
        <v>190</v>
      </c>
      <c r="G396">
        <v>0.34924023723507774</v>
      </c>
      <c r="H396">
        <v>0.48944249193062911</v>
      </c>
      <c r="I396">
        <v>0.31207046633786001</v>
      </c>
      <c r="K396">
        <v>0.38358439850118892</v>
      </c>
      <c r="M396" t="s">
        <v>401</v>
      </c>
    </row>
    <row r="397" spans="1:13">
      <c r="A397">
        <v>395</v>
      </c>
      <c r="B397">
        <v>55</v>
      </c>
      <c r="C397">
        <v>0</v>
      </c>
      <c r="D397">
        <v>2</v>
      </c>
      <c r="E397">
        <v>0</v>
      </c>
      <c r="G397">
        <v>-1.8</v>
      </c>
      <c r="H397">
        <v>-1.3892228957298962</v>
      </c>
      <c r="I397">
        <v>-1.8</v>
      </c>
      <c r="K397">
        <v>-1.8</v>
      </c>
      <c r="M397" t="s">
        <v>402</v>
      </c>
    </row>
    <row r="398" spans="1:13">
      <c r="A398">
        <v>396</v>
      </c>
      <c r="B398">
        <v>40</v>
      </c>
      <c r="C398">
        <v>3</v>
      </c>
      <c r="D398">
        <v>9</v>
      </c>
      <c r="E398">
        <v>3</v>
      </c>
      <c r="G398">
        <v>-1.058918936618646</v>
      </c>
      <c r="H398">
        <v>-0.59770768378827099</v>
      </c>
      <c r="I398">
        <v>-1.0424038485530873</v>
      </c>
      <c r="K398">
        <v>-0.89967682298666818</v>
      </c>
      <c r="M398" t="s">
        <v>403</v>
      </c>
    </row>
    <row r="399" spans="1:13">
      <c r="A399">
        <v>397</v>
      </c>
      <c r="B399">
        <v>94</v>
      </c>
      <c r="C399">
        <v>34</v>
      </c>
      <c r="D399">
        <v>201</v>
      </c>
      <c r="E399">
        <v>50</v>
      </c>
      <c r="G399">
        <v>-0.37562913656778951</v>
      </c>
      <c r="H399">
        <v>0.38017800192115664</v>
      </c>
      <c r="I399">
        <v>-0.19162296120846722</v>
      </c>
      <c r="K399">
        <v>-6.2358031951700033E-2</v>
      </c>
      <c r="M399" t="s">
        <v>404</v>
      </c>
    </row>
    <row r="400" spans="1:13">
      <c r="A400">
        <v>398</v>
      </c>
      <c r="B400">
        <v>58</v>
      </c>
      <c r="C400">
        <v>14</v>
      </c>
      <c r="D400">
        <v>135</v>
      </c>
      <c r="E400">
        <v>42</v>
      </c>
      <c r="G400">
        <v>-0.55128015789504525</v>
      </c>
      <c r="H400">
        <v>0.4170155730324353</v>
      </c>
      <c r="I400">
        <v>-5.7643815109824151E-2</v>
      </c>
      <c r="K400">
        <v>-6.3969466657478033E-2</v>
      </c>
      <c r="M400" t="s">
        <v>405</v>
      </c>
    </row>
    <row r="401" spans="1:13">
      <c r="A401">
        <v>399</v>
      </c>
      <c r="B401">
        <v>53</v>
      </c>
      <c r="C401">
        <v>3</v>
      </c>
      <c r="D401">
        <v>1</v>
      </c>
      <c r="E401">
        <v>1</v>
      </c>
      <c r="G401">
        <v>-1.1811348148914727</v>
      </c>
      <c r="H401">
        <v>-1.6741660715004227</v>
      </c>
      <c r="I401">
        <v>-1.6417409815455766</v>
      </c>
      <c r="K401">
        <v>-1.4990139559791575</v>
      </c>
      <c r="M401" t="s">
        <v>406</v>
      </c>
    </row>
    <row r="402" spans="1:13">
      <c r="A402">
        <v>400</v>
      </c>
      <c r="B402">
        <v>48</v>
      </c>
      <c r="C402">
        <v>237</v>
      </c>
      <c r="D402">
        <v>190</v>
      </c>
      <c r="E402">
        <v>38</v>
      </c>
      <c r="G402">
        <v>0.75952690862417072</v>
      </c>
      <c r="H402">
        <v>0.64762216167760833</v>
      </c>
      <c r="I402">
        <v>-1.892275270356443E-2</v>
      </c>
      <c r="K402">
        <v>0.46274210586607151</v>
      </c>
      <c r="M402" t="s">
        <v>407</v>
      </c>
    </row>
    <row r="403" spans="1:13">
      <c r="A403">
        <v>401</v>
      </c>
      <c r="B403">
        <v>73</v>
      </c>
      <c r="C403">
        <v>1</v>
      </c>
      <c r="D403">
        <v>2</v>
      </c>
      <c r="E403">
        <v>1</v>
      </c>
      <c r="G403">
        <v>-1.797303060130802</v>
      </c>
      <c r="H403">
        <v>-1.5121830663561082</v>
      </c>
      <c r="I403">
        <v>-1.7807879720652433</v>
      </c>
      <c r="K403">
        <v>-1.6967580328507179</v>
      </c>
      <c r="M403" t="s">
        <v>408</v>
      </c>
    </row>
    <row r="404" spans="1:13">
      <c r="A404">
        <v>402</v>
      </c>
      <c r="B404">
        <v>74</v>
      </c>
      <c r="C404">
        <v>462</v>
      </c>
      <c r="D404">
        <v>708</v>
      </c>
      <c r="E404">
        <v>1234</v>
      </c>
      <c r="G404">
        <v>0.86143005581480336</v>
      </c>
      <c r="H404">
        <v>1.0309113360591593</v>
      </c>
      <c r="I404">
        <v>1.3046183280214594</v>
      </c>
      <c r="K404">
        <v>1.0656532399651406</v>
      </c>
      <c r="M404" t="s">
        <v>409</v>
      </c>
    </row>
    <row r="405" spans="1:13">
      <c r="A405">
        <v>403</v>
      </c>
      <c r="B405">
        <v>111</v>
      </c>
      <c r="C405">
        <v>1</v>
      </c>
      <c r="D405">
        <v>2</v>
      </c>
      <c r="E405">
        <v>4</v>
      </c>
      <c r="G405">
        <v>-1.9793031787970037</v>
      </c>
      <c r="H405">
        <v>-1.6941831850223099</v>
      </c>
      <c r="I405">
        <v>-1.3607280994034825</v>
      </c>
      <c r="K405">
        <v>-1.6780714877409322</v>
      </c>
      <c r="M405" t="s">
        <v>410</v>
      </c>
    </row>
    <row r="406" spans="1:13">
      <c r="A406">
        <v>404</v>
      </c>
      <c r="B406">
        <v>42</v>
      </c>
      <c r="C406">
        <v>106</v>
      </c>
      <c r="D406">
        <v>86</v>
      </c>
      <c r="E406">
        <v>45</v>
      </c>
      <c r="G406">
        <v>0.46807637485652376</v>
      </c>
      <c r="H406">
        <v>0.3613589589460337</v>
      </c>
      <c r="I406">
        <v>0.11249811143265585</v>
      </c>
      <c r="K406">
        <v>0.31397781507840444</v>
      </c>
      <c r="M406" t="s">
        <v>411</v>
      </c>
    </row>
    <row r="407" spans="1:13">
      <c r="A407">
        <v>405</v>
      </c>
      <c r="B407">
        <v>63</v>
      </c>
      <c r="C407">
        <v>2</v>
      </c>
      <c r="D407">
        <v>0</v>
      </c>
      <c r="E407">
        <v>1</v>
      </c>
      <c r="G407">
        <v>-1.4322907537999465</v>
      </c>
      <c r="H407">
        <v>-1.8</v>
      </c>
      <c r="I407">
        <v>-1.7168056613983691</v>
      </c>
      <c r="K407">
        <v>-1.8</v>
      </c>
      <c r="M407" t="s">
        <v>412</v>
      </c>
    </row>
    <row r="408" spans="1:13">
      <c r="A408">
        <v>406</v>
      </c>
      <c r="B408">
        <v>106</v>
      </c>
      <c r="C408">
        <v>3</v>
      </c>
      <c r="D408">
        <v>1</v>
      </c>
      <c r="E408">
        <v>0</v>
      </c>
      <c r="G408">
        <v>-1.4821648105554539</v>
      </c>
      <c r="H408">
        <v>-1.975196067164404</v>
      </c>
      <c r="I408">
        <v>-1.8</v>
      </c>
      <c r="K408">
        <v>-1.8</v>
      </c>
      <c r="M408" t="s">
        <v>413</v>
      </c>
    </row>
    <row r="409" spans="1:13">
      <c r="A409">
        <v>407</v>
      </c>
      <c r="B409">
        <v>28</v>
      </c>
      <c r="C409">
        <v>1</v>
      </c>
      <c r="D409">
        <v>6</v>
      </c>
      <c r="E409">
        <v>8</v>
      </c>
      <c r="G409">
        <v>-1.3811382313525653</v>
      </c>
      <c r="H409">
        <v>-0.61889698285820904</v>
      </c>
      <c r="I409">
        <v>-0.46153315629506303</v>
      </c>
      <c r="K409">
        <v>-0.8205227901686124</v>
      </c>
      <c r="M409" t="s">
        <v>414</v>
      </c>
    </row>
    <row r="410" spans="1:13">
      <c r="A410">
        <v>408</v>
      </c>
      <c r="B410">
        <v>32</v>
      </c>
      <c r="C410">
        <v>44</v>
      </c>
      <c r="D410">
        <v>22</v>
      </c>
      <c r="E410">
        <v>27</v>
      </c>
      <c r="G410">
        <v>0.20432249815593545</v>
      </c>
      <c r="H410">
        <v>-0.11261749939733325</v>
      </c>
      <c r="I410">
        <v>8.7486738942939846E-3</v>
      </c>
      <c r="K410">
        <v>3.3484557550965396E-2</v>
      </c>
      <c r="M410" t="s">
        <v>415</v>
      </c>
    </row>
    <row r="411" spans="1:13">
      <c r="A411">
        <v>409</v>
      </c>
      <c r="B411">
        <v>91</v>
      </c>
      <c r="C411">
        <v>23</v>
      </c>
      <c r="D411">
        <v>90</v>
      </c>
      <c r="E411">
        <v>2119</v>
      </c>
      <c r="G411">
        <v>-0.53129375631384668</v>
      </c>
      <c r="H411">
        <v>4.5310915218597779E-2</v>
      </c>
      <c r="I411">
        <v>1.4496244524449136</v>
      </c>
      <c r="K411">
        <v>0.32121387044988819</v>
      </c>
      <c r="M411" t="s">
        <v>416</v>
      </c>
    </row>
    <row r="412" spans="1:13">
      <c r="A412">
        <v>410</v>
      </c>
      <c r="B412">
        <v>103</v>
      </c>
      <c r="C412">
        <v>9413</v>
      </c>
      <c r="D412">
        <v>9901</v>
      </c>
      <c r="E412">
        <v>2057</v>
      </c>
      <c r="G412">
        <v>2.0269106339725091</v>
      </c>
      <c r="H412">
        <v>2.0329516339068165</v>
      </c>
      <c r="I412">
        <v>1.3829319550447645</v>
      </c>
      <c r="K412">
        <v>1.8142647409746966</v>
      </c>
      <c r="M412" t="s">
        <v>417</v>
      </c>
    </row>
    <row r="413" spans="1:13">
      <c r="A413">
        <v>411</v>
      </c>
      <c r="B413">
        <v>58</v>
      </c>
      <c r="C413">
        <v>0</v>
      </c>
      <c r="D413">
        <v>0</v>
      </c>
      <c r="E413">
        <v>1</v>
      </c>
      <c r="G413">
        <v>-1.8</v>
      </c>
      <c r="H413">
        <v>-1.8</v>
      </c>
      <c r="I413">
        <v>-1.6808931055077247</v>
      </c>
      <c r="K413">
        <v>-1.8</v>
      </c>
      <c r="M413" t="s">
        <v>418</v>
      </c>
    </row>
    <row r="414" spans="1:13">
      <c r="A414">
        <v>412</v>
      </c>
      <c r="B414">
        <v>119</v>
      </c>
      <c r="C414">
        <v>152</v>
      </c>
      <c r="D414">
        <v>1244</v>
      </c>
      <c r="E414">
        <v>238</v>
      </c>
      <c r="G414">
        <v>0.17231642654189577</v>
      </c>
      <c r="H414">
        <v>1.0693832170626356</v>
      </c>
      <c r="I414">
        <v>0.38356488371919384</v>
      </c>
      <c r="K414">
        <v>0.54175484244124172</v>
      </c>
      <c r="M414" t="s">
        <v>419</v>
      </c>
    </row>
    <row r="415" spans="1:13">
      <c r="A415">
        <v>413</v>
      </c>
      <c r="B415">
        <v>64</v>
      </c>
      <c r="C415">
        <v>77</v>
      </c>
      <c r="D415">
        <v>40</v>
      </c>
      <c r="E415">
        <v>19</v>
      </c>
      <c r="G415">
        <v>0.1463305511782487</v>
      </c>
      <c r="H415">
        <v>-0.15401018455555832</v>
      </c>
      <c r="I415">
        <v>-0.44489148497584557</v>
      </c>
      <c r="K415">
        <v>-0.15085703945105175</v>
      </c>
      <c r="M415" t="s">
        <v>420</v>
      </c>
    </row>
    <row r="416" spans="1:13">
      <c r="A416">
        <v>414</v>
      </c>
      <c r="B416">
        <v>87</v>
      </c>
      <c r="C416">
        <v>13</v>
      </c>
      <c r="D416">
        <v>25</v>
      </c>
      <c r="E416">
        <v>17</v>
      </c>
      <c r="G416">
        <v>-0.75955610032212773</v>
      </c>
      <c r="H416">
        <v>-0.49146944584621449</v>
      </c>
      <c r="I416">
        <v>-0.62653544318513188</v>
      </c>
      <c r="K416">
        <v>-0.62585366311782475</v>
      </c>
      <c r="M416" t="s">
        <v>421</v>
      </c>
    </row>
    <row r="417" spans="1:13">
      <c r="A417">
        <v>415</v>
      </c>
      <c r="B417">
        <v>84</v>
      </c>
      <c r="C417">
        <v>50</v>
      </c>
      <c r="D417">
        <v>106</v>
      </c>
      <c r="E417">
        <v>33</v>
      </c>
      <c r="G417">
        <v>-0.15928948173620888</v>
      </c>
      <c r="H417">
        <v>0.15113637730325508</v>
      </c>
      <c r="I417">
        <v>-0.32323045812878154</v>
      </c>
      <c r="K417">
        <v>-0.11046118752057844</v>
      </c>
      <c r="M417" t="s">
        <v>422</v>
      </c>
    </row>
    <row r="418" spans="1:13">
      <c r="A418">
        <v>416</v>
      </c>
      <c r="B418">
        <v>53</v>
      </c>
      <c r="C418">
        <v>0</v>
      </c>
      <c r="D418">
        <v>1</v>
      </c>
      <c r="E418">
        <v>1</v>
      </c>
      <c r="G418">
        <v>-1.8</v>
      </c>
      <c r="H418">
        <v>-1.6741660715004227</v>
      </c>
      <c r="I418">
        <v>-1.6417409815455766</v>
      </c>
      <c r="K418">
        <v>-1.8</v>
      </c>
      <c r="M418" t="s">
        <v>423</v>
      </c>
    </row>
    <row r="419" spans="1:13">
      <c r="A419">
        <v>417</v>
      </c>
      <c r="B419">
        <v>37</v>
      </c>
      <c r="C419">
        <v>0</v>
      </c>
      <c r="D419">
        <v>0</v>
      </c>
      <c r="E419">
        <v>0</v>
      </c>
      <c r="G419">
        <v>-1.8</v>
      </c>
      <c r="H419">
        <v>-1.8</v>
      </c>
      <c r="I419">
        <v>-1.8</v>
      </c>
      <c r="K419">
        <v>-1.8</v>
      </c>
      <c r="M419" t="s">
        <v>424</v>
      </c>
    </row>
    <row r="420" spans="1:13">
      <c r="A420">
        <v>418</v>
      </c>
      <c r="B420">
        <v>164</v>
      </c>
      <c r="C420">
        <v>226</v>
      </c>
      <c r="D420">
        <v>441</v>
      </c>
      <c r="E420">
        <v>183</v>
      </c>
      <c r="G420">
        <v>0.20528439108935698</v>
      </c>
      <c r="H420">
        <v>0.47970453952050712</v>
      </c>
      <c r="I420">
        <v>0.13014212973794428</v>
      </c>
      <c r="K420">
        <v>0.27171035344926947</v>
      </c>
      <c r="M420" t="s">
        <v>425</v>
      </c>
    </row>
    <row r="421" spans="1:13">
      <c r="A421">
        <v>419</v>
      </c>
      <c r="B421">
        <v>47</v>
      </c>
      <c r="C421">
        <v>22</v>
      </c>
      <c r="D421">
        <v>27</v>
      </c>
      <c r="E421">
        <v>79</v>
      </c>
      <c r="G421">
        <v>-0.26365537712385723</v>
      </c>
      <c r="H421">
        <v>-0.19062429567636363</v>
      </c>
      <c r="I421">
        <v>0.30806412140993666</v>
      </c>
      <c r="K421">
        <v>-4.8738517130094729E-2</v>
      </c>
      <c r="M421" t="s">
        <v>426</v>
      </c>
    </row>
    <row r="422" spans="1:13">
      <c r="A422">
        <v>420</v>
      </c>
      <c r="B422">
        <v>101</v>
      </c>
      <c r="C422">
        <v>1</v>
      </c>
      <c r="D422">
        <v>0</v>
      </c>
      <c r="E422">
        <v>3</v>
      </c>
      <c r="G422">
        <v>-1.9383015737929887</v>
      </c>
      <c r="H422">
        <v>-1.8</v>
      </c>
      <c r="I422">
        <v>-1.4446652310077677</v>
      </c>
      <c r="K422">
        <v>-1.8</v>
      </c>
      <c r="M422" t="s">
        <v>427</v>
      </c>
    </row>
    <row r="423" spans="1:13">
      <c r="A423">
        <v>421</v>
      </c>
      <c r="B423">
        <v>97</v>
      </c>
      <c r="C423">
        <v>2</v>
      </c>
      <c r="D423">
        <v>1</v>
      </c>
      <c r="E423">
        <v>1</v>
      </c>
      <c r="G423">
        <v>-1.6197219386126098</v>
      </c>
      <c r="H423">
        <v>-1.9366619361658783</v>
      </c>
      <c r="I423">
        <v>-1.9042368462110322</v>
      </c>
      <c r="K423">
        <v>-1.8202069069965068</v>
      </c>
      <c r="M423" t="s">
        <v>428</v>
      </c>
    </row>
    <row r="424" spans="1:13">
      <c r="A424">
        <v>422</v>
      </c>
      <c r="B424">
        <v>24</v>
      </c>
      <c r="C424">
        <v>3</v>
      </c>
      <c r="D424">
        <v>4</v>
      </c>
      <c r="E424">
        <v>4</v>
      </c>
      <c r="G424">
        <v>-0.83707018700228952</v>
      </c>
      <c r="H424">
        <v>-0.7280414522832771</v>
      </c>
      <c r="I424">
        <v>-0.69561636232843094</v>
      </c>
      <c r="K424">
        <v>-0.75357600053799922</v>
      </c>
      <c r="M424" t="s">
        <v>429</v>
      </c>
    </row>
    <row r="425" spans="1:13">
      <c r="A425">
        <v>423</v>
      </c>
      <c r="B425">
        <v>11</v>
      </c>
      <c r="C425">
        <v>0</v>
      </c>
      <c r="D425">
        <v>0</v>
      </c>
      <c r="E425">
        <v>0</v>
      </c>
      <c r="G425">
        <v>-1.8</v>
      </c>
      <c r="H425">
        <v>-1.8</v>
      </c>
      <c r="I425">
        <v>-1.8</v>
      </c>
      <c r="K425">
        <v>-1.8</v>
      </c>
      <c r="M425" t="s">
        <v>430</v>
      </c>
    </row>
    <row r="426" spans="1:13">
      <c r="A426">
        <v>424</v>
      </c>
      <c r="B426">
        <v>67</v>
      </c>
      <c r="C426">
        <v>0</v>
      </c>
      <c r="D426">
        <v>0</v>
      </c>
      <c r="E426">
        <v>2</v>
      </c>
      <c r="G426">
        <v>-1.8</v>
      </c>
      <c r="H426">
        <v>-1.8</v>
      </c>
      <c r="I426">
        <v>-1.4425099189816326</v>
      </c>
      <c r="K426">
        <v>-1.8</v>
      </c>
      <c r="M426" t="s">
        <v>431</v>
      </c>
    </row>
    <row r="427" spans="1:13">
      <c r="A427">
        <v>425</v>
      </c>
      <c r="B427">
        <v>13</v>
      </c>
      <c r="C427">
        <v>0</v>
      </c>
      <c r="D427">
        <v>0</v>
      </c>
      <c r="E427">
        <v>1</v>
      </c>
      <c r="G427">
        <v>-1.8</v>
      </c>
      <c r="H427">
        <v>-1.8</v>
      </c>
      <c r="I427">
        <v>-1.0314084642516241</v>
      </c>
      <c r="K427">
        <v>-1.8</v>
      </c>
      <c r="M427" t="s">
        <v>432</v>
      </c>
    </row>
    <row r="428" spans="1:13">
      <c r="A428">
        <v>426</v>
      </c>
      <c r="B428">
        <v>41</v>
      </c>
      <c r="C428">
        <v>0</v>
      </c>
      <c r="D428">
        <v>2</v>
      </c>
      <c r="E428">
        <v>1</v>
      </c>
      <c r="G428">
        <v>-1.8</v>
      </c>
      <c r="H428">
        <v>-1.2616440629553878</v>
      </c>
      <c r="I428">
        <v>-1.5302489686645229</v>
      </c>
      <c r="K428">
        <v>-1.8</v>
      </c>
      <c r="M428" t="s">
        <v>433</v>
      </c>
    </row>
    <row r="429" spans="1:13">
      <c r="A429">
        <v>427</v>
      </c>
      <c r="B429">
        <v>19</v>
      </c>
      <c r="C429">
        <v>2</v>
      </c>
      <c r="D429">
        <v>0</v>
      </c>
      <c r="E429">
        <v>0</v>
      </c>
      <c r="G429">
        <v>-0.91170380529919381</v>
      </c>
      <c r="H429">
        <v>-1.8</v>
      </c>
      <c r="I429">
        <v>-1.8</v>
      </c>
      <c r="K429">
        <v>-1.8</v>
      </c>
      <c r="M429" t="s">
        <v>434</v>
      </c>
    </row>
    <row r="430" spans="1:13">
      <c r="A430">
        <v>428</v>
      </c>
      <c r="B430">
        <v>89</v>
      </c>
      <c r="C430">
        <v>22</v>
      </c>
      <c r="D430">
        <v>49</v>
      </c>
      <c r="E430">
        <v>29</v>
      </c>
      <c r="G430">
        <v>-0.5409475258330525</v>
      </c>
      <c r="H430">
        <v>-0.20908412851603264</v>
      </c>
      <c r="I430">
        <v>-0.40445712069074402</v>
      </c>
      <c r="K430">
        <v>-0.38482959167994307</v>
      </c>
      <c r="M430" t="s">
        <v>435</v>
      </c>
    </row>
    <row r="431" spans="1:13">
      <c r="A431">
        <v>429</v>
      </c>
      <c r="B431">
        <v>46</v>
      </c>
      <c r="C431">
        <v>909</v>
      </c>
      <c r="D431">
        <v>36</v>
      </c>
      <c r="E431">
        <v>58</v>
      </c>
      <c r="G431">
        <v>1.3618258515300472</v>
      </c>
      <c r="H431">
        <v>-5.6345532813920296E-2</v>
      </c>
      <c r="I431">
        <v>0.18320504993657588</v>
      </c>
      <c r="K431">
        <v>0.49622845621756762</v>
      </c>
      <c r="M431" t="s">
        <v>436</v>
      </c>
    </row>
    <row r="432" spans="1:13">
      <c r="A432">
        <v>430</v>
      </c>
      <c r="B432">
        <v>50</v>
      </c>
      <c r="C432">
        <v>389</v>
      </c>
      <c r="D432">
        <v>23</v>
      </c>
      <c r="E432">
        <v>15</v>
      </c>
      <c r="G432">
        <v>0.956999396979343</v>
      </c>
      <c r="H432">
        <v>-0.28713237021805943</v>
      </c>
      <c r="I432">
        <v>-0.44034385722512498</v>
      </c>
      <c r="K432">
        <v>7.6507723178719553E-2</v>
      </c>
      <c r="M432" t="s">
        <v>437</v>
      </c>
    </row>
    <row r="433" spans="1:13">
      <c r="A433">
        <v>431</v>
      </c>
      <c r="B433">
        <v>127</v>
      </c>
      <c r="C433">
        <v>18</v>
      </c>
      <c r="D433">
        <v>17</v>
      </c>
      <c r="E433">
        <v>12</v>
      </c>
      <c r="G433">
        <v>-0.78251141586299677</v>
      </c>
      <c r="H433">
        <v>-0.82324500147731638</v>
      </c>
      <c r="I433">
        <v>-0.94208758685311944</v>
      </c>
      <c r="K433">
        <v>-0.8492813347311442</v>
      </c>
      <c r="M433" t="s">
        <v>438</v>
      </c>
    </row>
    <row r="434" spans="1:13">
      <c r="A434">
        <v>432</v>
      </c>
      <c r="B434">
        <v>61</v>
      </c>
      <c r="C434">
        <v>0</v>
      </c>
      <c r="D434">
        <v>3</v>
      </c>
      <c r="E434">
        <v>4</v>
      </c>
      <c r="G434">
        <v>-1.8</v>
      </c>
      <c r="H434">
        <v>-1.2580987821907381</v>
      </c>
      <c r="I434">
        <v>-1.100734955627592</v>
      </c>
      <c r="K434">
        <v>-1.8</v>
      </c>
      <c r="M434" t="s">
        <v>439</v>
      </c>
    </row>
    <row r="435" spans="1:13">
      <c r="A435">
        <v>433</v>
      </c>
      <c r="B435">
        <v>46</v>
      </c>
      <c r="C435">
        <v>5</v>
      </c>
      <c r="D435">
        <v>9</v>
      </c>
      <c r="E435">
        <v>3</v>
      </c>
      <c r="G435">
        <v>-0.89776802735590122</v>
      </c>
      <c r="H435">
        <v>-0.65840552414188269</v>
      </c>
      <c r="I435">
        <v>-1.1031016889066991</v>
      </c>
      <c r="K435">
        <v>-0.88642508013482768</v>
      </c>
      <c r="M435" t="s">
        <v>440</v>
      </c>
    </row>
    <row r="436" spans="1:13">
      <c r="A436">
        <v>434</v>
      </c>
      <c r="B436">
        <v>57</v>
      </c>
      <c r="C436">
        <v>2</v>
      </c>
      <c r="D436">
        <v>0</v>
      </c>
      <c r="E436">
        <v>1</v>
      </c>
      <c r="G436">
        <v>-1.3888250600188563</v>
      </c>
      <c r="H436">
        <v>-1.8</v>
      </c>
      <c r="I436">
        <v>-1.6733399676172789</v>
      </c>
      <c r="K436">
        <v>-1.8</v>
      </c>
      <c r="M436" t="s">
        <v>441</v>
      </c>
    </row>
    <row r="437" spans="1:13">
      <c r="A437">
        <v>435</v>
      </c>
      <c r="B437">
        <v>32</v>
      </c>
      <c r="C437">
        <v>7</v>
      </c>
      <c r="D437">
        <v>7</v>
      </c>
      <c r="E437">
        <v>49</v>
      </c>
      <c r="G437">
        <v>-0.59403213831599511</v>
      </c>
      <c r="H437">
        <v>-0.60994214020528259</v>
      </c>
      <c r="I437">
        <v>0.26758098976382033</v>
      </c>
      <c r="K437">
        <v>-0.31213109625248575</v>
      </c>
      <c r="M437" t="s">
        <v>442</v>
      </c>
    </row>
    <row r="438" spans="1:13">
      <c r="A438">
        <v>436</v>
      </c>
      <c r="B438">
        <v>33</v>
      </c>
      <c r="C438">
        <v>15</v>
      </c>
      <c r="D438">
        <v>15</v>
      </c>
      <c r="E438">
        <v>19</v>
      </c>
      <c r="G438">
        <v>-0.27640288083255221</v>
      </c>
      <c r="H438">
        <v>-0.29231288272183975</v>
      </c>
      <c r="I438">
        <v>-0.15722545086984585</v>
      </c>
      <c r="K438">
        <v>-0.24198040480807928</v>
      </c>
      <c r="M438" t="s">
        <v>443</v>
      </c>
    </row>
    <row r="439" spans="1:13">
      <c r="A439">
        <v>437</v>
      </c>
      <c r="B439">
        <v>110</v>
      </c>
      <c r="C439">
        <v>5</v>
      </c>
      <c r="D439">
        <v>3</v>
      </c>
      <c r="E439">
        <v>0</v>
      </c>
      <c r="G439">
        <v>-1.2764028808325523</v>
      </c>
      <c r="H439">
        <v>-1.5141616323381961</v>
      </c>
      <c r="I439">
        <v>-1.8</v>
      </c>
      <c r="K439">
        <v>-1.8</v>
      </c>
      <c r="M439" t="s">
        <v>444</v>
      </c>
    </row>
    <row r="440" spans="1:13">
      <c r="A440">
        <v>438</v>
      </c>
      <c r="B440">
        <v>58</v>
      </c>
      <c r="C440">
        <v>2</v>
      </c>
      <c r="D440">
        <v>5</v>
      </c>
      <c r="E440">
        <v>0</v>
      </c>
      <c r="G440">
        <v>-1.3963781979093022</v>
      </c>
      <c r="H440">
        <v>-1.0143481911265519</v>
      </c>
      <c r="I440">
        <v>-1.8</v>
      </c>
      <c r="K440">
        <v>-1.8</v>
      </c>
      <c r="M440" t="s">
        <v>445</v>
      </c>
    </row>
    <row r="441" spans="1:13">
      <c r="A441">
        <v>439</v>
      </c>
      <c r="B441">
        <v>188</v>
      </c>
      <c r="C441">
        <v>29</v>
      </c>
      <c r="D441">
        <v>18</v>
      </c>
      <c r="E441">
        <v>23</v>
      </c>
      <c r="G441">
        <v>-0.74574005137506971</v>
      </c>
      <c r="H441">
        <v>-0.96877554606000726</v>
      </c>
      <c r="I441">
        <v>-0.82989512519087427</v>
      </c>
      <c r="K441">
        <v>-0.84813690754198368</v>
      </c>
      <c r="M441" t="s">
        <v>446</v>
      </c>
    </row>
    <row r="442" spans="1:13">
      <c r="A442">
        <v>440</v>
      </c>
      <c r="B442">
        <v>27</v>
      </c>
      <c r="C442">
        <v>7</v>
      </c>
      <c r="D442">
        <v>11</v>
      </c>
      <c r="E442">
        <v>6</v>
      </c>
      <c r="G442">
        <v>-0.52024592415507653</v>
      </c>
      <c r="H442">
        <v>-0.3398612809003958</v>
      </c>
      <c r="I442">
        <v>-0.57067762572013103</v>
      </c>
      <c r="K442">
        <v>-0.47692827692520118</v>
      </c>
      <c r="M442" t="s">
        <v>447</v>
      </c>
    </row>
    <row r="443" spans="1:13">
      <c r="A443">
        <v>441</v>
      </c>
      <c r="B443">
        <v>100</v>
      </c>
      <c r="C443">
        <v>2</v>
      </c>
      <c r="D443">
        <v>0</v>
      </c>
      <c r="E443">
        <v>2</v>
      </c>
      <c r="G443">
        <v>-1.6329502043463648</v>
      </c>
      <c r="H443">
        <v>-1.8</v>
      </c>
      <c r="I443">
        <v>-1.6164351162808062</v>
      </c>
      <c r="K443">
        <v>-1.8</v>
      </c>
      <c r="M443" t="s">
        <v>448</v>
      </c>
    </row>
    <row r="444" spans="1:13">
      <c r="A444">
        <v>442</v>
      </c>
      <c r="B444">
        <v>38</v>
      </c>
      <c r="C444">
        <v>3</v>
      </c>
      <c r="D444">
        <v>2</v>
      </c>
      <c r="E444">
        <v>1</v>
      </c>
      <c r="G444">
        <v>-1.0366425419074938</v>
      </c>
      <c r="H444">
        <v>-1.2286438028524627</v>
      </c>
      <c r="I444">
        <v>-1.4972487085615975</v>
      </c>
      <c r="K444">
        <v>-1.2541783511071847</v>
      </c>
      <c r="M444" t="s">
        <v>449</v>
      </c>
    </row>
    <row r="445" spans="1:13">
      <c r="A445">
        <v>443</v>
      </c>
      <c r="B445">
        <v>33</v>
      </c>
      <c r="C445">
        <v>101</v>
      </c>
      <c r="D445">
        <v>30</v>
      </c>
      <c r="E445">
        <v>383</v>
      </c>
      <c r="G445">
        <v>0.55182723389440913</v>
      </c>
      <c r="H445">
        <v>8.7171129421414334E-3</v>
      </c>
      <c r="I445">
        <v>1.1472197221459479</v>
      </c>
      <c r="K445">
        <v>0.56925468966083281</v>
      </c>
      <c r="M445" t="s">
        <v>450</v>
      </c>
    </row>
    <row r="446" spans="1:13">
      <c r="A446">
        <v>444</v>
      </c>
      <c r="B446">
        <v>31</v>
      </c>
      <c r="C446">
        <v>0</v>
      </c>
      <c r="D446">
        <v>0</v>
      </c>
      <c r="E446">
        <v>1</v>
      </c>
      <c r="G446">
        <v>-1.8</v>
      </c>
      <c r="H446">
        <v>-1.8</v>
      </c>
      <c r="I446">
        <v>-1.4088268057790601</v>
      </c>
      <c r="K446">
        <v>-1.8</v>
      </c>
      <c r="M446" t="s">
        <v>451</v>
      </c>
    </row>
    <row r="447" spans="1:13">
      <c r="A447">
        <v>445</v>
      </c>
      <c r="B447">
        <v>63</v>
      </c>
      <c r="C447">
        <v>33</v>
      </c>
      <c r="D447">
        <v>39</v>
      </c>
      <c r="E447">
        <v>28</v>
      </c>
      <c r="G447">
        <v>-0.2148068095860402</v>
      </c>
      <c r="H447">
        <v>-0.158166144326716</v>
      </c>
      <c r="I447">
        <v>-0.26964763005614989</v>
      </c>
      <c r="K447">
        <v>-0.21420686132296871</v>
      </c>
      <c r="M447" t="s">
        <v>452</v>
      </c>
    </row>
    <row r="448" spans="1:13">
      <c r="A448">
        <v>446</v>
      </c>
      <c r="B448">
        <v>82</v>
      </c>
      <c r="C448">
        <v>78</v>
      </c>
      <c r="D448">
        <v>109</v>
      </c>
      <c r="E448">
        <v>32</v>
      </c>
      <c r="G448">
        <v>4.430055029641769E-2</v>
      </c>
      <c r="H448">
        <v>0.17372244365727346</v>
      </c>
      <c r="I448">
        <v>-0.32612898600859808</v>
      </c>
      <c r="K448">
        <v>-3.6035330684968975E-2</v>
      </c>
      <c r="M448" t="s">
        <v>453</v>
      </c>
    </row>
    <row r="449" spans="1:13">
      <c r="A449">
        <v>447</v>
      </c>
      <c r="B449">
        <v>46</v>
      </c>
      <c r="C449">
        <v>4</v>
      </c>
      <c r="D449">
        <v>0</v>
      </c>
      <c r="E449">
        <v>0</v>
      </c>
      <c r="G449">
        <v>-0.99467804036395757</v>
      </c>
      <c r="H449">
        <v>-1.8</v>
      </c>
      <c r="I449">
        <v>-1.8</v>
      </c>
      <c r="K449">
        <v>-1.8</v>
      </c>
      <c r="M449" t="s">
        <v>454</v>
      </c>
    </row>
    <row r="450" spans="1:13">
      <c r="A450">
        <v>448</v>
      </c>
      <c r="B450">
        <v>51</v>
      </c>
      <c r="C450">
        <v>5</v>
      </c>
      <c r="D450">
        <v>8</v>
      </c>
      <c r="E450">
        <v>4</v>
      </c>
      <c r="G450">
        <v>-0.9425803717722635</v>
      </c>
      <c r="H450">
        <v>-0.75437039100562631</v>
      </c>
      <c r="I450">
        <v>-1.0229752967147614</v>
      </c>
      <c r="K450">
        <v>-0.90664201983088377</v>
      </c>
      <c r="M450" t="s">
        <v>455</v>
      </c>
    </row>
    <row r="451" spans="1:13">
      <c r="A451">
        <v>449</v>
      </c>
      <c r="B451">
        <v>45</v>
      </c>
      <c r="C451">
        <v>7</v>
      </c>
      <c r="D451">
        <v>8</v>
      </c>
      <c r="E451">
        <v>20</v>
      </c>
      <c r="G451">
        <v>-0.74209467377143279</v>
      </c>
      <c r="H451">
        <v>-0.70001272868303355</v>
      </c>
      <c r="I451">
        <v>-0.26964763005614989</v>
      </c>
      <c r="K451">
        <v>-0.57058501083687208</v>
      </c>
      <c r="M451" t="s">
        <v>456</v>
      </c>
    </row>
    <row r="452" spans="1:13">
      <c r="A452">
        <v>450</v>
      </c>
      <c r="B452">
        <v>55</v>
      </c>
      <c r="C452">
        <v>3</v>
      </c>
      <c r="D452">
        <v>2</v>
      </c>
      <c r="E452">
        <v>0</v>
      </c>
      <c r="G452">
        <v>-1.1972216347849276</v>
      </c>
      <c r="H452">
        <v>-1.3892228957298962</v>
      </c>
      <c r="I452">
        <v>-1.8</v>
      </c>
      <c r="K452">
        <v>-1.8</v>
      </c>
      <c r="M452" t="s">
        <v>457</v>
      </c>
    </row>
    <row r="453" spans="1:13">
      <c r="A453">
        <v>451</v>
      </c>
      <c r="B453">
        <v>44</v>
      </c>
      <c r="C453">
        <v>37</v>
      </c>
      <c r="D453">
        <v>43</v>
      </c>
      <c r="E453">
        <v>1058</v>
      </c>
      <c r="G453">
        <v>-9.2311524295384112E-3</v>
      </c>
      <c r="H453">
        <v>4.0125577193765596E-2</v>
      </c>
      <c r="I453">
        <v>1.4635678792681921</v>
      </c>
      <c r="K453">
        <v>0.49815410134413973</v>
      </c>
      <c r="M453" t="s">
        <v>458</v>
      </c>
    </row>
    <row r="454" spans="1:13">
      <c r="A454">
        <v>452</v>
      </c>
      <c r="B454">
        <v>219</v>
      </c>
      <c r="C454">
        <v>0</v>
      </c>
      <c r="D454">
        <v>6</v>
      </c>
      <c r="E454">
        <v>8</v>
      </c>
      <c r="G454">
        <v>-1.8</v>
      </c>
      <c r="H454">
        <v>-1.5121830663561082</v>
      </c>
      <c r="I454">
        <v>-1.3548192397929621</v>
      </c>
      <c r="K454">
        <v>-1.8</v>
      </c>
      <c r="M454" t="s">
        <v>459</v>
      </c>
    </row>
    <row r="455" spans="1:13">
      <c r="A455">
        <v>453</v>
      </c>
      <c r="B455">
        <v>71</v>
      </c>
      <c r="C455">
        <v>20</v>
      </c>
      <c r="D455">
        <v>11</v>
      </c>
      <c r="E455">
        <v>24</v>
      </c>
      <c r="G455">
        <v>-0.48420855306544008</v>
      </c>
      <c r="H455">
        <v>-0.75975586546048379</v>
      </c>
      <c r="I455">
        <v>-0.38851221895225663</v>
      </c>
      <c r="K455">
        <v>-0.54415887915939354</v>
      </c>
      <c r="M455" t="s">
        <v>460</v>
      </c>
    </row>
    <row r="456" spans="1:13">
      <c r="A456">
        <v>454</v>
      </c>
      <c r="B456">
        <v>67</v>
      </c>
      <c r="C456">
        <v>1</v>
      </c>
      <c r="D456">
        <v>0</v>
      </c>
      <c r="E456">
        <v>0</v>
      </c>
      <c r="G456">
        <v>-1.7600550027111725</v>
      </c>
      <c r="H456">
        <v>-1.8</v>
      </c>
      <c r="I456">
        <v>-1.8</v>
      </c>
      <c r="K456">
        <v>-1.8</v>
      </c>
      <c r="M456" t="s">
        <v>461</v>
      </c>
    </row>
    <row r="457" spans="1:13">
      <c r="A457">
        <v>455</v>
      </c>
      <c r="B457">
        <v>42</v>
      </c>
      <c r="C457">
        <v>0</v>
      </c>
      <c r="D457">
        <v>2</v>
      </c>
      <c r="E457">
        <v>1</v>
      </c>
      <c r="G457">
        <v>-1.8</v>
      </c>
      <c r="H457">
        <v>-1.2721094966335529</v>
      </c>
      <c r="I457">
        <v>-1.540714402342688</v>
      </c>
      <c r="K457">
        <v>-1.8</v>
      </c>
      <c r="M457" t="s">
        <v>462</v>
      </c>
    </row>
    <row r="458" spans="1:13">
      <c r="A458">
        <v>456</v>
      </c>
      <c r="B458">
        <v>83</v>
      </c>
      <c r="C458">
        <v>1</v>
      </c>
      <c r="D458">
        <v>0</v>
      </c>
      <c r="E458">
        <v>5</v>
      </c>
      <c r="G458">
        <v>-1.8530582923864201</v>
      </c>
      <c r="H458">
        <v>-1.8</v>
      </c>
      <c r="I458">
        <v>-1.1375731999848424</v>
      </c>
      <c r="K458">
        <v>-1.8</v>
      </c>
      <c r="M458" t="s">
        <v>463</v>
      </c>
    </row>
    <row r="459" spans="1:13">
      <c r="A459">
        <v>457</v>
      </c>
      <c r="B459">
        <v>40</v>
      </c>
      <c r="C459">
        <v>39</v>
      </c>
      <c r="D459">
        <v>33</v>
      </c>
      <c r="E459">
        <v>48</v>
      </c>
      <c r="G459">
        <v>5.502441568819081E-2</v>
      </c>
      <c r="H459">
        <v>-3.3436253349708442E-2</v>
      </c>
      <c r="I459">
        <v>0.16171613410283747</v>
      </c>
      <c r="K459">
        <v>6.1101432147106616E-2</v>
      </c>
      <c r="M459" t="s">
        <v>464</v>
      </c>
    </row>
    <row r="460" spans="1:13">
      <c r="A460">
        <v>458</v>
      </c>
      <c r="B460">
        <v>55</v>
      </c>
      <c r="C460">
        <v>11</v>
      </c>
      <c r="D460">
        <v>9</v>
      </c>
      <c r="E460">
        <v>17</v>
      </c>
      <c r="G460">
        <v>-0.63295020434636473</v>
      </c>
      <c r="H460">
        <v>-0.73601038195455248</v>
      </c>
      <c r="I460">
        <v>-0.42737888006075725</v>
      </c>
      <c r="K460">
        <v>-0.59877982212055814</v>
      </c>
      <c r="M460" t="s">
        <v>465</v>
      </c>
    </row>
    <row r="461" spans="1:13">
      <c r="A461">
        <v>459</v>
      </c>
      <c r="B461">
        <v>22</v>
      </c>
      <c r="C461">
        <v>2</v>
      </c>
      <c r="D461">
        <v>2</v>
      </c>
      <c r="E461">
        <v>5</v>
      </c>
      <c r="G461">
        <v>-0.9753728851685709</v>
      </c>
      <c r="H461">
        <v>-0.99128288705785839</v>
      </c>
      <c r="I461">
        <v>-0.56091778843097473</v>
      </c>
      <c r="K461">
        <v>-0.8425245202191346</v>
      </c>
      <c r="M461" t="s">
        <v>466</v>
      </c>
    </row>
    <row r="462" spans="1:13">
      <c r="A462">
        <v>460</v>
      </c>
      <c r="B462">
        <v>21</v>
      </c>
      <c r="C462">
        <v>26</v>
      </c>
      <c r="D462">
        <v>53</v>
      </c>
      <c r="E462">
        <v>209</v>
      </c>
      <c r="G462">
        <v>0.15877385322655271</v>
      </c>
      <c r="H462">
        <v>0.45216637296723622</v>
      </c>
      <c r="I462">
        <v>1.0804618794323473</v>
      </c>
      <c r="K462">
        <v>0.56380070187537878</v>
      </c>
      <c r="M462" t="s">
        <v>467</v>
      </c>
    </row>
    <row r="463" spans="1:13">
      <c r="A463">
        <v>461</v>
      </c>
      <c r="B463">
        <v>37</v>
      </c>
      <c r="C463">
        <v>108</v>
      </c>
      <c r="D463">
        <v>120</v>
      </c>
      <c r="E463">
        <v>206</v>
      </c>
      <c r="G463">
        <v>0.53124183140960868</v>
      </c>
      <c r="H463">
        <v>0.56108932008099643</v>
      </c>
      <c r="I463">
        <v>0.82820038435737109</v>
      </c>
      <c r="K463">
        <v>0.6401771786159921</v>
      </c>
      <c r="M463" t="s">
        <v>468</v>
      </c>
    </row>
    <row r="464" spans="1:13">
      <c r="A464">
        <v>462</v>
      </c>
      <c r="B464">
        <v>63</v>
      </c>
      <c r="C464">
        <v>123</v>
      </c>
      <c r="D464">
        <v>148</v>
      </c>
      <c r="E464">
        <v>51</v>
      </c>
      <c r="G464">
        <v>0.35658436197547022</v>
      </c>
      <c r="H464">
        <v>0.42103096404174217</v>
      </c>
      <c r="I464">
        <v>-9.2354853004326803E-3</v>
      </c>
      <c r="K464">
        <v>0.25612661357225991</v>
      </c>
      <c r="M464" t="s">
        <v>469</v>
      </c>
    </row>
    <row r="465" spans="1:13">
      <c r="A465">
        <v>463</v>
      </c>
      <c r="B465">
        <v>78</v>
      </c>
      <c r="C465">
        <v>2</v>
      </c>
      <c r="D465">
        <v>0</v>
      </c>
      <c r="E465">
        <v>0</v>
      </c>
      <c r="G465">
        <v>-1.5250448070368454</v>
      </c>
      <c r="H465">
        <v>-1.8</v>
      </c>
      <c r="I465">
        <v>-1.8</v>
      </c>
      <c r="K465">
        <v>-1.8</v>
      </c>
      <c r="M465" t="s">
        <v>470</v>
      </c>
    </row>
    <row r="466" spans="1:13">
      <c r="A466">
        <v>464</v>
      </c>
      <c r="B466">
        <v>104</v>
      </c>
      <c r="C466">
        <v>87</v>
      </c>
      <c r="D466">
        <v>118</v>
      </c>
      <c r="E466">
        <v>93</v>
      </c>
      <c r="G466">
        <v>-1.149428669050781E-2</v>
      </c>
      <c r="H466">
        <v>0.10495846610771151</v>
      </c>
      <c r="I466">
        <v>3.3984497310367436E-2</v>
      </c>
      <c r="K466">
        <v>4.2482892242523711E-2</v>
      </c>
      <c r="M466" t="s">
        <v>471</v>
      </c>
    </row>
    <row r="467" spans="1:13">
      <c r="A467">
        <v>465</v>
      </c>
      <c r="B467">
        <v>63</v>
      </c>
      <c r="C467">
        <v>233</v>
      </c>
      <c r="D467">
        <v>210</v>
      </c>
      <c r="E467">
        <v>128</v>
      </c>
      <c r="G467">
        <v>0.63403517156209133</v>
      </c>
      <c r="H467">
        <v>0.57298854338070415</v>
      </c>
      <c r="I467">
        <v>0.39040430824949929</v>
      </c>
      <c r="K467">
        <v>0.53247600773076498</v>
      </c>
      <c r="M467" t="s">
        <v>472</v>
      </c>
    </row>
    <row r="468" spans="1:13">
      <c r="A468">
        <v>466</v>
      </c>
      <c r="B468">
        <v>60</v>
      </c>
      <c r="C468">
        <v>4</v>
      </c>
      <c r="D468">
        <v>4</v>
      </c>
      <c r="E468">
        <v>7</v>
      </c>
      <c r="G468">
        <v>-1.1100714590660274</v>
      </c>
      <c r="H468">
        <v>-1.1259814609553149</v>
      </c>
      <c r="I468">
        <v>-0.85051832231417412</v>
      </c>
      <c r="K468">
        <v>-1.0288570807785056</v>
      </c>
      <c r="M468" t="s">
        <v>473</v>
      </c>
    </row>
    <row r="469" spans="1:13">
      <c r="A469">
        <v>467</v>
      </c>
      <c r="B469">
        <v>46</v>
      </c>
      <c r="C469">
        <v>0</v>
      </c>
      <c r="D469">
        <v>1</v>
      </c>
      <c r="E469">
        <v>2</v>
      </c>
      <c r="G469">
        <v>-1.8</v>
      </c>
      <c r="H469">
        <v>-1.6126480335812077</v>
      </c>
      <c r="I469">
        <v>-1.2791929479623803</v>
      </c>
      <c r="K469">
        <v>-1.8</v>
      </c>
      <c r="M469" t="s">
        <v>474</v>
      </c>
    </row>
    <row r="470" spans="1:13">
      <c r="A470">
        <v>468</v>
      </c>
      <c r="B470">
        <v>39</v>
      </c>
      <c r="C470">
        <v>0</v>
      </c>
      <c r="D470">
        <v>3</v>
      </c>
      <c r="E470">
        <v>0</v>
      </c>
      <c r="G470">
        <v>-1.8</v>
      </c>
      <c r="H470">
        <v>-1.0638335542064703</v>
      </c>
      <c r="I470">
        <v>-1.8</v>
      </c>
      <c r="K470">
        <v>-1.8</v>
      </c>
      <c r="M470" t="s">
        <v>475</v>
      </c>
    </row>
    <row r="471" spans="1:13">
      <c r="A471">
        <v>469</v>
      </c>
      <c r="B471">
        <v>12</v>
      </c>
      <c r="C471">
        <v>0</v>
      </c>
      <c r="D471">
        <v>1</v>
      </c>
      <c r="E471">
        <v>0</v>
      </c>
      <c r="G471">
        <v>-1.8</v>
      </c>
      <c r="H471">
        <v>-1.0290714479472585</v>
      </c>
      <c r="I471">
        <v>-1.8</v>
      </c>
      <c r="K471">
        <v>-1.8</v>
      </c>
      <c r="M471" t="s">
        <v>476</v>
      </c>
    </row>
    <row r="472" spans="1:13">
      <c r="A472">
        <v>470</v>
      </c>
      <c r="B472">
        <v>98</v>
      </c>
      <c r="C472">
        <v>114</v>
      </c>
      <c r="D472">
        <v>265</v>
      </c>
      <c r="E472">
        <v>145</v>
      </c>
      <c r="G472">
        <v>0.13169857563363174</v>
      </c>
      <c r="H472">
        <v>0.48212959634467945</v>
      </c>
      <c r="I472">
        <v>0.2526768145976927</v>
      </c>
      <c r="K472">
        <v>0.28883499552533465</v>
      </c>
      <c r="M472" t="s">
        <v>477</v>
      </c>
    </row>
    <row r="473" spans="1:13">
      <c r="A473">
        <v>471</v>
      </c>
      <c r="B473">
        <v>136</v>
      </c>
      <c r="C473">
        <v>3</v>
      </c>
      <c r="D473">
        <v>13</v>
      </c>
      <c r="E473">
        <v>7</v>
      </c>
      <c r="G473">
        <v>-1.5903978536609011</v>
      </c>
      <c r="H473">
        <v>-0.96948575796301417</v>
      </c>
      <c r="I473">
        <v>-1.2059059803007481</v>
      </c>
      <c r="K473">
        <v>-1.2552631973082211</v>
      </c>
      <c r="M473" t="s">
        <v>478</v>
      </c>
    </row>
    <row r="474" spans="1:13">
      <c r="A474">
        <v>472</v>
      </c>
      <c r="B474">
        <v>76</v>
      </c>
      <c r="C474">
        <v>15</v>
      </c>
      <c r="D474">
        <v>46</v>
      </c>
      <c r="E474">
        <v>41</v>
      </c>
      <c r="G474">
        <v>-0.63870253323545612</v>
      </c>
      <c r="H474">
        <v>-0.1679459624988508</v>
      </c>
      <c r="I474">
        <v>-0.18549484750584322</v>
      </c>
      <c r="K474">
        <v>-0.33071444774671671</v>
      </c>
      <c r="M474" t="s">
        <v>479</v>
      </c>
    </row>
    <row r="475" spans="1:13">
      <c r="A475">
        <v>473</v>
      </c>
      <c r="B475">
        <v>93</v>
      </c>
      <c r="C475">
        <v>104</v>
      </c>
      <c r="D475">
        <v>49</v>
      </c>
      <c r="E475">
        <v>118</v>
      </c>
      <c r="G475">
        <v>0.1145701907344992</v>
      </c>
      <c r="H475">
        <v>-0.22817707042505497</v>
      </c>
      <c r="I475">
        <v>0.18593394680740291</v>
      </c>
      <c r="K475">
        <v>2.4109022372282379E-2</v>
      </c>
      <c r="M475" t="s">
        <v>480</v>
      </c>
    </row>
    <row r="476" spans="1:13">
      <c r="A476">
        <v>474</v>
      </c>
      <c r="B476">
        <v>12</v>
      </c>
      <c r="C476">
        <v>0</v>
      </c>
      <c r="D476">
        <v>0</v>
      </c>
      <c r="E476">
        <v>0</v>
      </c>
      <c r="G476">
        <v>-1.8</v>
      </c>
      <c r="H476">
        <v>-1.8</v>
      </c>
      <c r="I476">
        <v>-1.8</v>
      </c>
      <c r="K476">
        <v>-1.8</v>
      </c>
      <c r="M476" t="s">
        <v>481</v>
      </c>
    </row>
    <row r="477" spans="1:13">
      <c r="A477">
        <v>475</v>
      </c>
      <c r="B477">
        <v>55</v>
      </c>
      <c r="C477">
        <v>4</v>
      </c>
      <c r="D477">
        <v>0</v>
      </c>
      <c r="E477">
        <v>0</v>
      </c>
      <c r="G477">
        <v>-1.0722828981766275</v>
      </c>
      <c r="H477">
        <v>-1.8</v>
      </c>
      <c r="I477">
        <v>-1.8</v>
      </c>
      <c r="K477">
        <v>-1.8</v>
      </c>
      <c r="M477" t="s">
        <v>482</v>
      </c>
    </row>
    <row r="478" spans="1:13">
      <c r="A478">
        <v>476</v>
      </c>
      <c r="B478">
        <v>156</v>
      </c>
      <c r="C478">
        <v>2801</v>
      </c>
      <c r="D478">
        <v>82</v>
      </c>
      <c r="E478">
        <v>183</v>
      </c>
      <c r="G478">
        <v>1.3202083104587605</v>
      </c>
      <c r="H478">
        <v>-0.22920094787037842</v>
      </c>
      <c r="I478">
        <v>0.15186137943118055</v>
      </c>
      <c r="K478">
        <v>0.4142895806731875</v>
      </c>
      <c r="M478" t="s">
        <v>483</v>
      </c>
    </row>
    <row r="479" spans="1:13">
      <c r="A479">
        <v>477</v>
      </c>
      <c r="B479">
        <v>81</v>
      </c>
      <c r="C479">
        <v>47</v>
      </c>
      <c r="D479">
        <v>31</v>
      </c>
      <c r="E479">
        <v>92</v>
      </c>
      <c r="G479">
        <v>-0.17036736095327826</v>
      </c>
      <c r="H479">
        <v>-0.36701352694401063</v>
      </c>
      <c r="I479">
        <v>0.13783769652211814</v>
      </c>
      <c r="K479">
        <v>-0.13318106379172359</v>
      </c>
      <c r="M479" t="s">
        <v>484</v>
      </c>
    </row>
    <row r="480" spans="1:13">
      <c r="A480">
        <v>478</v>
      </c>
      <c r="B480">
        <v>33</v>
      </c>
      <c r="C480">
        <v>4</v>
      </c>
      <c r="D480">
        <v>1</v>
      </c>
      <c r="E480">
        <v>6</v>
      </c>
      <c r="G480">
        <v>-0.85043414856027111</v>
      </c>
      <c r="H480">
        <v>-1.4684041417775211</v>
      </c>
      <c r="I480">
        <v>-0.65782780143903119</v>
      </c>
      <c r="K480">
        <v>-0.99222203059227454</v>
      </c>
      <c r="M480" t="s">
        <v>485</v>
      </c>
    </row>
    <row r="481" spans="1:13">
      <c r="A481">
        <v>479</v>
      </c>
      <c r="B481">
        <v>77</v>
      </c>
      <c r="C481">
        <v>89</v>
      </c>
      <c r="D481">
        <v>72</v>
      </c>
      <c r="E481">
        <v>290</v>
      </c>
      <c r="G481">
        <v>0.12891908146208492</v>
      </c>
      <c r="H481">
        <v>2.0951569359153068E-2</v>
      </c>
      <c r="I481">
        <v>0.65844216078168694</v>
      </c>
      <c r="K481">
        <v>0.26943760386764165</v>
      </c>
      <c r="M481" t="s">
        <v>486</v>
      </c>
    </row>
    <row r="482" spans="1:13">
      <c r="A482">
        <v>480</v>
      </c>
      <c r="B482">
        <v>49</v>
      </c>
      <c r="C482">
        <v>12</v>
      </c>
      <c r="D482">
        <v>8</v>
      </c>
      <c r="E482">
        <v>11</v>
      </c>
      <c r="G482">
        <v>-0.54499503399123483</v>
      </c>
      <c r="H482">
        <v>-0.73699629493620356</v>
      </c>
      <c r="I482">
        <v>-0.5662685068150759</v>
      </c>
      <c r="K482">
        <v>-0.61608661191417136</v>
      </c>
      <c r="M482" t="s">
        <v>487</v>
      </c>
    </row>
    <row r="483" spans="1:13">
      <c r="A483">
        <v>481</v>
      </c>
      <c r="B483">
        <v>83</v>
      </c>
      <c r="C483">
        <v>0</v>
      </c>
      <c r="D483">
        <v>2</v>
      </c>
      <c r="E483">
        <v>2</v>
      </c>
      <c r="G483">
        <v>-1.8</v>
      </c>
      <c r="H483">
        <v>-1.5679382986117263</v>
      </c>
      <c r="I483">
        <v>-1.5355132086568801</v>
      </c>
      <c r="K483">
        <v>-1.8</v>
      </c>
      <c r="M483" t="s">
        <v>488</v>
      </c>
    </row>
    <row r="484" spans="1:13">
      <c r="A484">
        <v>482</v>
      </c>
      <c r="B484">
        <v>175</v>
      </c>
      <c r="C484">
        <v>5</v>
      </c>
      <c r="D484">
        <v>3</v>
      </c>
      <c r="E484">
        <v>0</v>
      </c>
      <c r="G484">
        <v>-1.4780482443606218</v>
      </c>
      <c r="H484">
        <v>-1.7158069958662656</v>
      </c>
      <c r="I484">
        <v>-1.8</v>
      </c>
      <c r="K484">
        <v>-1.8</v>
      </c>
      <c r="M484" t="s">
        <v>489</v>
      </c>
    </row>
    <row r="485" spans="1:13">
      <c r="A485">
        <v>483</v>
      </c>
      <c r="B485">
        <v>31</v>
      </c>
      <c r="C485">
        <v>0</v>
      </c>
      <c r="D485">
        <v>2</v>
      </c>
      <c r="E485">
        <v>0</v>
      </c>
      <c r="G485">
        <v>-1.8</v>
      </c>
      <c r="H485">
        <v>-1.140221900069925</v>
      </c>
      <c r="I485">
        <v>-1.8</v>
      </c>
      <c r="K485">
        <v>-1.8</v>
      </c>
      <c r="M485" t="s">
        <v>490</v>
      </c>
    </row>
    <row r="486" spans="1:13">
      <c r="A486">
        <v>484</v>
      </c>
      <c r="B486">
        <v>44</v>
      </c>
      <c r="C486">
        <v>51</v>
      </c>
      <c r="D486">
        <v>65</v>
      </c>
      <c r="E486">
        <v>53</v>
      </c>
      <c r="G486">
        <v>0.13013729960140297</v>
      </c>
      <c r="H486">
        <v>0.21957047825703463</v>
      </c>
      <c r="I486">
        <v>0.16335808116981429</v>
      </c>
      <c r="K486">
        <v>0.17102195300941728</v>
      </c>
      <c r="M486" t="s">
        <v>491</v>
      </c>
    </row>
    <row r="487" spans="1:13">
      <c r="A487">
        <v>485</v>
      </c>
      <c r="B487">
        <v>20</v>
      </c>
      <c r="C487">
        <v>8</v>
      </c>
      <c r="D487">
        <v>21</v>
      </c>
      <c r="E487">
        <v>10</v>
      </c>
      <c r="G487">
        <v>-0.33192020868238359</v>
      </c>
      <c r="H487">
        <v>7.1299097170304582E-2</v>
      </c>
      <c r="I487">
        <v>-0.21849510760876856</v>
      </c>
      <c r="K487">
        <v>-0.15970540637361585</v>
      </c>
      <c r="M487" t="s">
        <v>492</v>
      </c>
    </row>
    <row r="488" spans="1:13">
      <c r="A488">
        <v>486</v>
      </c>
      <c r="B488">
        <v>58</v>
      </c>
      <c r="C488">
        <v>11</v>
      </c>
      <c r="D488">
        <v>14</v>
      </c>
      <c r="E488">
        <v>20</v>
      </c>
      <c r="G488">
        <v>-0.65601550841505829</v>
      </c>
      <c r="H488">
        <v>-0.56719015978433274</v>
      </c>
      <c r="I488">
        <v>-0.37986310984374344</v>
      </c>
      <c r="K488">
        <v>-0.53435625934771147</v>
      </c>
      <c r="M488" t="s">
        <v>493</v>
      </c>
    </row>
    <row r="489" spans="1:13">
      <c r="A489">
        <v>487</v>
      </c>
      <c r="B489">
        <v>145</v>
      </c>
      <c r="C489">
        <v>5</v>
      </c>
      <c r="D489">
        <v>6</v>
      </c>
      <c r="E489">
        <v>13</v>
      </c>
      <c r="G489">
        <v>-1.3963781979093022</v>
      </c>
      <c r="H489">
        <v>-1.3331069537509648</v>
      </c>
      <c r="I489">
        <v>-0.96488976187292541</v>
      </c>
      <c r="K489">
        <v>-1.2314583045110641</v>
      </c>
      <c r="M489" t="s">
        <v>494</v>
      </c>
    </row>
    <row r="490" spans="1:13">
      <c r="A490">
        <v>488</v>
      </c>
      <c r="B490">
        <v>84</v>
      </c>
      <c r="C490">
        <v>3</v>
      </c>
      <c r="D490">
        <v>0</v>
      </c>
      <c r="E490">
        <v>3</v>
      </c>
      <c r="G490">
        <v>-1.3811382313525653</v>
      </c>
      <c r="H490">
        <v>-1.8</v>
      </c>
      <c r="I490">
        <v>-1.3646231432870066</v>
      </c>
      <c r="K490">
        <v>-1.8</v>
      </c>
      <c r="M490" t="s">
        <v>495</v>
      </c>
    </row>
    <row r="491" spans="1:13">
      <c r="A491">
        <v>489</v>
      </c>
      <c r="B491">
        <v>18</v>
      </c>
      <c r="C491">
        <v>153</v>
      </c>
      <c r="D491">
        <v>17</v>
      </c>
      <c r="E491">
        <v>54</v>
      </c>
      <c r="G491">
        <v>0.99543872570394676</v>
      </c>
      <c r="H491">
        <v>2.5286214375334338E-2</v>
      </c>
      <c r="I491">
        <v>0.55965614277487508</v>
      </c>
      <c r="K491">
        <v>0.52679369428471867</v>
      </c>
      <c r="M491" t="s">
        <v>496</v>
      </c>
    </row>
    <row r="492" spans="1:13">
      <c r="A492">
        <v>490</v>
      </c>
      <c r="B492">
        <v>25</v>
      </c>
      <c r="C492">
        <v>7</v>
      </c>
      <c r="D492">
        <v>0</v>
      </c>
      <c r="E492">
        <v>6</v>
      </c>
      <c r="G492">
        <v>-0.48682216866812678</v>
      </c>
      <c r="H492">
        <v>-1.8</v>
      </c>
      <c r="I492">
        <v>-0.53725387023318127</v>
      </c>
      <c r="K492">
        <v>-1.8</v>
      </c>
      <c r="M492" t="s">
        <v>497</v>
      </c>
    </row>
    <row r="493" spans="1:13">
      <c r="A493">
        <v>491</v>
      </c>
      <c r="B493">
        <v>28</v>
      </c>
      <c r="C493">
        <v>1199</v>
      </c>
      <c r="D493">
        <v>21</v>
      </c>
      <c r="E493">
        <v>22</v>
      </c>
      <c r="G493">
        <v>1.6976809517462834</v>
      </c>
      <c r="H493">
        <v>-7.4828938507933457E-2</v>
      </c>
      <c r="I493">
        <v>-2.2200462464800341E-2</v>
      </c>
      <c r="K493">
        <v>0.53355051692451649</v>
      </c>
      <c r="M493" t="s">
        <v>498</v>
      </c>
    </row>
    <row r="494" spans="1:13">
      <c r="A494">
        <v>492</v>
      </c>
      <c r="B494">
        <v>20</v>
      </c>
      <c r="C494">
        <v>2</v>
      </c>
      <c r="D494">
        <v>10</v>
      </c>
      <c r="E494">
        <v>3</v>
      </c>
      <c r="G494">
        <v>-0.93398020001034598</v>
      </c>
      <c r="H494">
        <v>-0.25092019756361472</v>
      </c>
      <c r="I494">
        <v>-0.74137385288910607</v>
      </c>
      <c r="K494">
        <v>-0.64209141682102222</v>
      </c>
      <c r="M494" t="s">
        <v>499</v>
      </c>
    </row>
    <row r="495" spans="1:13">
      <c r="A495">
        <v>493</v>
      </c>
      <c r="B495">
        <v>30</v>
      </c>
      <c r="C495">
        <v>500</v>
      </c>
      <c r="D495">
        <v>673</v>
      </c>
      <c r="E495">
        <v>89</v>
      </c>
      <c r="G495">
        <v>1.2878685496060103</v>
      </c>
      <c r="H495">
        <v>1.4010036076046808</v>
      </c>
      <c r="I495">
        <v>0.554803639980463</v>
      </c>
      <c r="K495">
        <v>1.0812252657303847</v>
      </c>
      <c r="M495" t="s">
        <v>500</v>
      </c>
    </row>
    <row r="496" spans="1:13">
      <c r="A496">
        <v>494</v>
      </c>
      <c r="B496">
        <v>33</v>
      </c>
      <c r="C496">
        <v>1</v>
      </c>
      <c r="D496">
        <v>0</v>
      </c>
      <c r="E496">
        <v>1</v>
      </c>
      <c r="G496">
        <v>-1.4524941398882336</v>
      </c>
      <c r="H496">
        <v>-1.8</v>
      </c>
      <c r="I496">
        <v>-1.4359790518226749</v>
      </c>
      <c r="K496">
        <v>-1.8</v>
      </c>
      <c r="M496" t="s">
        <v>501</v>
      </c>
    </row>
    <row r="497" spans="1:13">
      <c r="A497">
        <v>495</v>
      </c>
      <c r="B497">
        <v>42</v>
      </c>
      <c r="C497">
        <v>7</v>
      </c>
      <c r="D497">
        <v>5</v>
      </c>
      <c r="E497">
        <v>15</v>
      </c>
      <c r="G497">
        <v>-0.71213145039398962</v>
      </c>
      <c r="H497">
        <v>-0.87416948796151517</v>
      </c>
      <c r="I497">
        <v>-0.36462314328700657</v>
      </c>
      <c r="K497">
        <v>-0.65030802721417047</v>
      </c>
      <c r="M497" t="s">
        <v>502</v>
      </c>
    </row>
    <row r="498" spans="1:13">
      <c r="A498">
        <v>496</v>
      </c>
      <c r="B498">
        <v>37</v>
      </c>
      <c r="C498">
        <v>6</v>
      </c>
      <c r="D498">
        <v>27</v>
      </c>
      <c r="E498">
        <v>12</v>
      </c>
      <c r="G498">
        <v>-0.72403067369369734</v>
      </c>
      <c r="H498">
        <v>-8.6728161807641216E-2</v>
      </c>
      <c r="I498">
        <v>-0.40648558996415751</v>
      </c>
      <c r="K498">
        <v>-0.40574814182183205</v>
      </c>
      <c r="M498" t="s">
        <v>503</v>
      </c>
    </row>
    <row r="499" spans="1:13">
      <c r="A499">
        <v>497</v>
      </c>
      <c r="B499">
        <v>145</v>
      </c>
      <c r="C499">
        <v>11</v>
      </c>
      <c r="D499">
        <v>5</v>
      </c>
      <c r="E499">
        <v>5</v>
      </c>
      <c r="G499">
        <v>-1.053955517087096</v>
      </c>
      <c r="H499">
        <v>-1.4122881997985897</v>
      </c>
      <c r="I499">
        <v>-1.3798631098437435</v>
      </c>
      <c r="K499">
        <v>-1.2820356089098095</v>
      </c>
      <c r="M499" t="s">
        <v>504</v>
      </c>
    </row>
    <row r="500" spans="1:13">
      <c r="A500">
        <v>498</v>
      </c>
      <c r="B500">
        <v>48</v>
      </c>
      <c r="C500">
        <v>4</v>
      </c>
      <c r="D500">
        <v>1</v>
      </c>
      <c r="E500">
        <v>1</v>
      </c>
      <c r="G500">
        <v>-1.013161446057971</v>
      </c>
      <c r="H500">
        <v>-1.6311314392752208</v>
      </c>
      <c r="I500">
        <v>-1.5987063493203746</v>
      </c>
      <c r="K500">
        <v>-1.4143330782178554</v>
      </c>
      <c r="M500" t="s">
        <v>505</v>
      </c>
    </row>
    <row r="501" spans="1:13">
      <c r="A501">
        <v>499</v>
      </c>
      <c r="B501">
        <v>43</v>
      </c>
      <c r="C501">
        <v>31</v>
      </c>
      <c r="D501">
        <v>14</v>
      </c>
      <c r="E501">
        <v>10</v>
      </c>
      <c r="G501">
        <v>-7.6086961755659863E-2</v>
      </c>
      <c r="H501">
        <v>-0.43723062180098199</v>
      </c>
      <c r="I501">
        <v>-0.55093356752437384</v>
      </c>
      <c r="K501">
        <v>-0.3547503836936719</v>
      </c>
      <c r="M501" t="s">
        <v>506</v>
      </c>
    </row>
    <row r="502" spans="1:13">
      <c r="A502">
        <v>500</v>
      </c>
      <c r="B502">
        <v>82</v>
      </c>
      <c r="C502">
        <v>83</v>
      </c>
      <c r="D502">
        <v>28</v>
      </c>
      <c r="E502">
        <v>32</v>
      </c>
      <c r="G502">
        <v>7.1284039982011216E-2</v>
      </c>
      <c r="H502">
        <v>-0.41654602294113097</v>
      </c>
      <c r="I502">
        <v>-0.32612898600859808</v>
      </c>
      <c r="K502">
        <v>-0.22379698965590591</v>
      </c>
      <c r="M502" t="s">
        <v>507</v>
      </c>
    </row>
    <row r="503" spans="1:13">
      <c r="A503">
        <v>501</v>
      </c>
      <c r="B503">
        <v>36</v>
      </c>
      <c r="C503">
        <v>1</v>
      </c>
      <c r="D503">
        <v>86</v>
      </c>
      <c r="E503">
        <v>9</v>
      </c>
      <c r="G503">
        <v>-1.4902827007776334</v>
      </c>
      <c r="H503">
        <v>0.42830574857664694</v>
      </c>
      <c r="I503">
        <v>-0.5195251032727497</v>
      </c>
      <c r="K503">
        <v>-0.52716735182457874</v>
      </c>
      <c r="M503" t="s">
        <v>508</v>
      </c>
    </row>
    <row r="504" spans="1:13">
      <c r="A504">
        <v>502</v>
      </c>
      <c r="B504">
        <v>77</v>
      </c>
      <c r="C504">
        <v>4</v>
      </c>
      <c r="D504">
        <v>10</v>
      </c>
      <c r="E504">
        <v>4</v>
      </c>
      <c r="G504">
        <v>-1.2184109338548657</v>
      </c>
      <c r="H504">
        <v>-0.83638092707211542</v>
      </c>
      <c r="I504">
        <v>-1.201895845789307</v>
      </c>
      <c r="K504">
        <v>-1.0855625689054293</v>
      </c>
      <c r="M504" t="s">
        <v>509</v>
      </c>
    </row>
    <row r="505" spans="1:13">
      <c r="A505">
        <v>503</v>
      </c>
      <c r="B505">
        <v>64</v>
      </c>
      <c r="C505">
        <v>121</v>
      </c>
      <c r="D505">
        <v>441</v>
      </c>
      <c r="E505">
        <v>113</v>
      </c>
      <c r="G505">
        <v>0.34262519632221694</v>
      </c>
      <c r="H505">
        <v>0.88836841358431795</v>
      </c>
      <c r="I505">
        <v>0.32943335755474523</v>
      </c>
      <c r="K505">
        <v>0.52014232248709336</v>
      </c>
      <c r="M505" t="s">
        <v>510</v>
      </c>
    </row>
    <row r="506" spans="1:13">
      <c r="A506">
        <v>504</v>
      </c>
      <c r="B506">
        <v>82</v>
      </c>
      <c r="C506">
        <v>0</v>
      </c>
      <c r="D506">
        <v>2</v>
      </c>
      <c r="E506">
        <v>2</v>
      </c>
      <c r="G506">
        <v>-1.8</v>
      </c>
      <c r="H506">
        <v>-1.562674058619369</v>
      </c>
      <c r="I506">
        <v>-1.5302489686645229</v>
      </c>
      <c r="K506">
        <v>-1.8</v>
      </c>
      <c r="M506" t="s">
        <v>511</v>
      </c>
    </row>
    <row r="507" spans="1:13">
      <c r="A507">
        <v>505</v>
      </c>
      <c r="B507">
        <v>116</v>
      </c>
      <c r="C507">
        <v>1</v>
      </c>
      <c r="D507">
        <v>0</v>
      </c>
      <c r="E507">
        <v>2</v>
      </c>
      <c r="G507">
        <v>-1.9984381892372647</v>
      </c>
      <c r="H507">
        <v>-1.8</v>
      </c>
      <c r="I507">
        <v>-1.6808931055077247</v>
      </c>
      <c r="K507">
        <v>-1.8</v>
      </c>
      <c r="M507" t="s">
        <v>512</v>
      </c>
    </row>
    <row r="508" spans="1:13">
      <c r="A508">
        <v>506</v>
      </c>
      <c r="B508">
        <v>49</v>
      </c>
      <c r="C508">
        <v>0</v>
      </c>
      <c r="D508">
        <v>1</v>
      </c>
      <c r="E508">
        <v>0</v>
      </c>
      <c r="G508">
        <v>-1.8</v>
      </c>
      <c r="H508">
        <v>-1.6400862819281472</v>
      </c>
      <c r="I508">
        <v>-1.8</v>
      </c>
      <c r="K508">
        <v>-1.8</v>
      </c>
      <c r="M508" t="s">
        <v>513</v>
      </c>
    </row>
    <row r="509" spans="1:13">
      <c r="A509">
        <v>507</v>
      </c>
      <c r="B509">
        <v>77</v>
      </c>
      <c r="C509">
        <v>36</v>
      </c>
      <c r="D509">
        <v>30</v>
      </c>
      <c r="E509">
        <v>43</v>
      </c>
      <c r="G509">
        <v>-0.26416842441554061</v>
      </c>
      <c r="H509">
        <v>-0.35925967235245293</v>
      </c>
      <c r="I509">
        <v>-0.17048738153768273</v>
      </c>
      <c r="K509">
        <v>-0.26463849276855872</v>
      </c>
      <c r="M509" t="s">
        <v>514</v>
      </c>
    </row>
    <row r="510" spans="1:13">
      <c r="A510">
        <v>508</v>
      </c>
      <c r="B510">
        <v>52</v>
      </c>
      <c r="C510">
        <v>0</v>
      </c>
      <c r="D510">
        <v>1</v>
      </c>
      <c r="E510">
        <v>3</v>
      </c>
      <c r="G510">
        <v>-1.8</v>
      </c>
      <c r="H510">
        <v>-1.6658935455344328</v>
      </c>
      <c r="I510">
        <v>-1.156347200859924</v>
      </c>
      <c r="K510">
        <v>-1.8</v>
      </c>
      <c r="M510" t="s">
        <v>515</v>
      </c>
    </row>
    <row r="511" spans="1:13">
      <c r="A511">
        <v>509</v>
      </c>
      <c r="B511">
        <v>111</v>
      </c>
      <c r="C511">
        <v>8</v>
      </c>
      <c r="D511">
        <v>21</v>
      </c>
      <c r="E511">
        <v>4</v>
      </c>
      <c r="G511">
        <v>-1.0762131918050599</v>
      </c>
      <c r="H511">
        <v>-0.67299388595237164</v>
      </c>
      <c r="I511">
        <v>-1.3607280994034825</v>
      </c>
      <c r="K511">
        <v>-1.036645059053638</v>
      </c>
      <c r="M511" t="s">
        <v>516</v>
      </c>
    </row>
    <row r="512" spans="1:13">
      <c r="A512">
        <v>510</v>
      </c>
      <c r="B512">
        <v>114</v>
      </c>
      <c r="C512">
        <v>10</v>
      </c>
      <c r="D512">
        <v>17</v>
      </c>
      <c r="E512">
        <v>26</v>
      </c>
      <c r="G512">
        <v>-0.9908850513468187</v>
      </c>
      <c r="H512">
        <v>-0.77634613185783219</v>
      </c>
      <c r="I512">
        <v>-0.55939661531044194</v>
      </c>
      <c r="K512">
        <v>-0.77554259950503079</v>
      </c>
      <c r="M512" t="s">
        <v>517</v>
      </c>
    </row>
    <row r="513" spans="1:13">
      <c r="A513">
        <v>511</v>
      </c>
      <c r="B513">
        <v>47</v>
      </c>
      <c r="C513">
        <v>0</v>
      </c>
      <c r="D513">
        <v>5</v>
      </c>
      <c r="E513">
        <v>6</v>
      </c>
      <c r="G513">
        <v>-1.8</v>
      </c>
      <c r="H513">
        <v>-0.92301805549933214</v>
      </c>
      <c r="I513">
        <v>-0.81141171949686119</v>
      </c>
      <c r="K513">
        <v>-1.8</v>
      </c>
      <c r="M513" t="s">
        <v>518</v>
      </c>
    </row>
    <row r="514" spans="1:13">
      <c r="A514">
        <v>512</v>
      </c>
      <c r="B514">
        <v>97</v>
      </c>
      <c r="C514">
        <v>149</v>
      </c>
      <c r="D514">
        <v>183</v>
      </c>
      <c r="E514">
        <v>73</v>
      </c>
      <c r="G514">
        <v>0.25243433413568322</v>
      </c>
      <c r="H514">
        <v>0.32578915356455107</v>
      </c>
      <c r="I514">
        <v>-4.0913986090576296E-2</v>
      </c>
      <c r="K514">
        <v>0.17910316720321937</v>
      </c>
      <c r="M514" t="s">
        <v>519</v>
      </c>
    </row>
    <row r="515" spans="1:13">
      <c r="A515">
        <v>513</v>
      </c>
      <c r="B515">
        <v>63</v>
      </c>
      <c r="C515">
        <v>1</v>
      </c>
      <c r="D515">
        <v>8</v>
      </c>
      <c r="E515">
        <v>1</v>
      </c>
      <c r="G515">
        <v>-1.7333207494639278</v>
      </c>
      <c r="H515">
        <v>-0.84614076436127161</v>
      </c>
      <c r="I515">
        <v>-1.7168056613983691</v>
      </c>
      <c r="K515">
        <v>-1.4320890584078561</v>
      </c>
      <c r="M515" t="s">
        <v>520</v>
      </c>
    </row>
    <row r="516" spans="1:13">
      <c r="A516">
        <v>514</v>
      </c>
      <c r="B516">
        <v>70</v>
      </c>
      <c r="C516">
        <v>26</v>
      </c>
      <c r="D516">
        <v>46</v>
      </c>
      <c r="E516">
        <v>15</v>
      </c>
      <c r="G516">
        <v>-0.36410489205378482</v>
      </c>
      <c r="H516">
        <v>-0.13223041023231624</v>
      </c>
      <c r="I516">
        <v>-0.58647189290336288</v>
      </c>
      <c r="K516">
        <v>-0.36093573172982135</v>
      </c>
      <c r="M516" t="s">
        <v>521</v>
      </c>
    </row>
    <row r="517" spans="1:13">
      <c r="A517">
        <v>515</v>
      </c>
      <c r="B517">
        <v>95</v>
      </c>
      <c r="C517">
        <v>106</v>
      </c>
      <c r="D517">
        <v>28</v>
      </c>
      <c r="E517">
        <v>29</v>
      </c>
      <c r="G517">
        <v>0.11360205996557644</v>
      </c>
      <c r="H517">
        <v>-0.48045577584626215</v>
      </c>
      <c r="I517">
        <v>-0.432790719334679</v>
      </c>
      <c r="K517">
        <v>-0.2665481450717882</v>
      </c>
      <c r="M517" t="s">
        <v>522</v>
      </c>
    </row>
    <row r="518" spans="1:13">
      <c r="A518">
        <v>516</v>
      </c>
      <c r="B518">
        <v>99</v>
      </c>
      <c r="C518">
        <v>5</v>
      </c>
      <c r="D518">
        <v>13</v>
      </c>
      <c r="E518">
        <v>10</v>
      </c>
      <c r="G518">
        <v>-1.2306453902718772</v>
      </c>
      <c r="H518">
        <v>-0.83158204419034654</v>
      </c>
      <c r="I518">
        <v>-0.9131003065423372</v>
      </c>
      <c r="K518">
        <v>-0.99177591366818696</v>
      </c>
      <c r="M518" t="s">
        <v>523</v>
      </c>
    </row>
    <row r="519" spans="1:13">
      <c r="A519">
        <v>517</v>
      </c>
      <c r="B519">
        <v>184</v>
      </c>
      <c r="C519">
        <v>0</v>
      </c>
      <c r="D519">
        <v>0</v>
      </c>
      <c r="E519">
        <v>3</v>
      </c>
      <c r="G519">
        <v>-1.8</v>
      </c>
      <c r="H519">
        <v>-1.8</v>
      </c>
      <c r="I519">
        <v>-1.7051616802346614</v>
      </c>
      <c r="K519">
        <v>-1.8</v>
      </c>
      <c r="M519" t="s">
        <v>524</v>
      </c>
    </row>
    <row r="520" spans="1:13">
      <c r="A520">
        <v>518</v>
      </c>
      <c r="B520">
        <v>43</v>
      </c>
      <c r="C520">
        <v>0</v>
      </c>
      <c r="D520">
        <v>0</v>
      </c>
      <c r="E520">
        <v>1</v>
      </c>
      <c r="G520">
        <v>-1.8</v>
      </c>
      <c r="H520">
        <v>-1.8</v>
      </c>
      <c r="I520">
        <v>-1.5509335675243741</v>
      </c>
      <c r="K520">
        <v>-1.8</v>
      </c>
      <c r="M520" t="s">
        <v>525</v>
      </c>
    </row>
    <row r="521" spans="1:13">
      <c r="A521">
        <v>519</v>
      </c>
      <c r="B521">
        <v>45</v>
      </c>
      <c r="C521">
        <v>26</v>
      </c>
      <c r="D521">
        <v>49</v>
      </c>
      <c r="E521">
        <v>10</v>
      </c>
      <c r="G521">
        <v>-0.17221936581487174</v>
      </c>
      <c r="H521">
        <v>8.7093364353536429E-2</v>
      </c>
      <c r="I521">
        <v>-0.57067762572013103</v>
      </c>
      <c r="K521">
        <v>-0.21860120906048877</v>
      </c>
      <c r="M521" t="s">
        <v>526</v>
      </c>
    </row>
    <row r="522" spans="1:13">
      <c r="A522">
        <v>520</v>
      </c>
      <c r="B522">
        <v>46</v>
      </c>
      <c r="C522">
        <v>22</v>
      </c>
      <c r="D522">
        <v>134</v>
      </c>
      <c r="E522">
        <v>22</v>
      </c>
      <c r="G522">
        <v>-0.2543153508697138</v>
      </c>
      <c r="H522">
        <v>0.51445676478360003</v>
      </c>
      <c r="I522">
        <v>-0.23780026280415517</v>
      </c>
      <c r="K522">
        <v>7.4470503699103534E-3</v>
      </c>
      <c r="M522" t="s">
        <v>527</v>
      </c>
    </row>
    <row r="523" spans="1:13">
      <c r="A523">
        <v>521</v>
      </c>
      <c r="B523">
        <v>94</v>
      </c>
      <c r="C523">
        <v>138</v>
      </c>
      <c r="D523">
        <v>66</v>
      </c>
      <c r="E523">
        <v>37</v>
      </c>
      <c r="G523">
        <v>0.23277103279119188</v>
      </c>
      <c r="H523">
        <v>-0.10347411995746349</v>
      </c>
      <c r="I523">
        <v>-0.32239124147749099</v>
      </c>
      <c r="K523">
        <v>-6.4364776214587527E-2</v>
      </c>
      <c r="M523" t="s">
        <v>528</v>
      </c>
    </row>
    <row r="524" spans="1:13">
      <c r="A524">
        <v>522</v>
      </c>
      <c r="B524">
        <v>36</v>
      </c>
      <c r="C524">
        <v>17</v>
      </c>
      <c r="D524">
        <v>29</v>
      </c>
      <c r="E524">
        <v>17</v>
      </c>
      <c r="G524">
        <v>-0.25983377939935931</v>
      </c>
      <c r="H524">
        <v>-4.3794704767964668E-2</v>
      </c>
      <c r="I524">
        <v>-0.24331869133380069</v>
      </c>
      <c r="K524">
        <v>-0.18231572516704153</v>
      </c>
      <c r="M524" t="s">
        <v>529</v>
      </c>
    </row>
    <row r="525" spans="1:13">
      <c r="A525">
        <v>523</v>
      </c>
      <c r="B525">
        <v>21</v>
      </c>
      <c r="C525">
        <v>0</v>
      </c>
      <c r="D525">
        <v>2</v>
      </c>
      <c r="E525">
        <v>0</v>
      </c>
      <c r="G525">
        <v>-1.8</v>
      </c>
      <c r="H525">
        <v>-0.97107950096957152</v>
      </c>
      <c r="I525">
        <v>-1.8</v>
      </c>
      <c r="K525">
        <v>-1.8</v>
      </c>
      <c r="M525" t="s">
        <v>530</v>
      </c>
    </row>
    <row r="526" spans="1:13">
      <c r="A526">
        <v>524</v>
      </c>
      <c r="B526">
        <v>46</v>
      </c>
      <c r="C526">
        <v>49</v>
      </c>
      <c r="D526">
        <v>117</v>
      </c>
      <c r="E526">
        <v>434</v>
      </c>
      <c r="G526">
        <v>9.3458048336593616E-2</v>
      </c>
      <c r="H526">
        <v>0.45553782816495408</v>
      </c>
      <c r="I526">
        <v>1.0572667858861493</v>
      </c>
      <c r="K526">
        <v>0.53542088746256566</v>
      </c>
      <c r="M526" t="s">
        <v>531</v>
      </c>
    </row>
    <row r="527" spans="1:13">
      <c r="A527">
        <v>525</v>
      </c>
      <c r="B527">
        <v>78</v>
      </c>
      <c r="C527">
        <v>2</v>
      </c>
      <c r="D527">
        <v>0</v>
      </c>
      <c r="E527">
        <v>2</v>
      </c>
      <c r="G527">
        <v>-1.5250448070368454</v>
      </c>
      <c r="H527">
        <v>-1.8</v>
      </c>
      <c r="I527">
        <v>-1.5085297189712867</v>
      </c>
      <c r="K527">
        <v>-1.8</v>
      </c>
      <c r="M527" t="s">
        <v>532</v>
      </c>
    </row>
    <row r="528" spans="1:13">
      <c r="A528">
        <v>526</v>
      </c>
      <c r="B528">
        <v>42</v>
      </c>
      <c r="C528">
        <v>4</v>
      </c>
      <c r="D528">
        <v>2</v>
      </c>
      <c r="E528">
        <v>2</v>
      </c>
      <c r="G528">
        <v>-0.95516949908028403</v>
      </c>
      <c r="H528">
        <v>-1.2721094966335529</v>
      </c>
      <c r="I528">
        <v>-1.2396844066787067</v>
      </c>
      <c r="K528">
        <v>-1.1556544674641811</v>
      </c>
      <c r="M528" t="s">
        <v>533</v>
      </c>
    </row>
    <row r="529" spans="1:13">
      <c r="A529">
        <v>527</v>
      </c>
      <c r="B529">
        <v>32</v>
      </c>
      <c r="C529">
        <v>1</v>
      </c>
      <c r="D529">
        <v>2</v>
      </c>
      <c r="E529">
        <v>4</v>
      </c>
      <c r="G529">
        <v>-1.4391301783302521</v>
      </c>
      <c r="H529">
        <v>-1.1540101845555584</v>
      </c>
      <c r="I529">
        <v>-0.82055509893673084</v>
      </c>
      <c r="K529">
        <v>-1.1378984872741804</v>
      </c>
      <c r="M529" t="s">
        <v>534</v>
      </c>
    </row>
    <row r="530" spans="1:13">
      <c r="A530">
        <v>528</v>
      </c>
      <c r="B530">
        <v>22</v>
      </c>
      <c r="C530">
        <v>12</v>
      </c>
      <c r="D530">
        <v>13</v>
      </c>
      <c r="E530">
        <v>18</v>
      </c>
      <c r="G530">
        <v>-0.19722163478492744</v>
      </c>
      <c r="H530">
        <v>-0.17836953041500297</v>
      </c>
      <c r="I530">
        <v>-4.6152876636874895E-3</v>
      </c>
      <c r="K530">
        <v>-0.12673548428787262</v>
      </c>
      <c r="M530" t="s">
        <v>535</v>
      </c>
    </row>
    <row r="531" spans="1:13">
      <c r="A531">
        <v>529</v>
      </c>
      <c r="B531">
        <v>72</v>
      </c>
      <c r="C531">
        <v>260</v>
      </c>
      <c r="D531">
        <v>103</v>
      </c>
      <c r="E531">
        <v>67</v>
      </c>
      <c r="G531">
        <v>0.62366065152920358</v>
      </c>
      <c r="H531">
        <v>0.20561452637427025</v>
      </c>
      <c r="I531">
        <v>5.1277194324770639E-2</v>
      </c>
      <c r="K531">
        <v>0.29351745740941482</v>
      </c>
      <c r="M531" t="s">
        <v>536</v>
      </c>
    </row>
    <row r="532" spans="1:13">
      <c r="A532">
        <v>530</v>
      </c>
      <c r="B532">
        <v>40</v>
      </c>
      <c r="C532">
        <v>34</v>
      </c>
      <c r="D532">
        <v>22</v>
      </c>
      <c r="E532">
        <v>49</v>
      </c>
      <c r="G532">
        <v>-4.5612742960532832E-3</v>
      </c>
      <c r="H532">
        <v>-0.20952751240538964</v>
      </c>
      <c r="I532">
        <v>0.17067097675576395</v>
      </c>
      <c r="K532">
        <v>-1.4472603315226326E-2</v>
      </c>
      <c r="M532" t="s">
        <v>537</v>
      </c>
    </row>
    <row r="533" spans="1:13">
      <c r="A533">
        <v>531</v>
      </c>
      <c r="B533">
        <v>28</v>
      </c>
      <c r="C533">
        <v>0</v>
      </c>
      <c r="D533">
        <v>2</v>
      </c>
      <c r="E533">
        <v>5</v>
      </c>
      <c r="G533">
        <v>-1.8</v>
      </c>
      <c r="H533">
        <v>-1.0960182375778715</v>
      </c>
      <c r="I533">
        <v>-0.66565313895098766</v>
      </c>
      <c r="K533">
        <v>-1.8</v>
      </c>
      <c r="M533" t="s">
        <v>538</v>
      </c>
    </row>
    <row r="534" spans="1:13">
      <c r="A534">
        <v>532</v>
      </c>
      <c r="B534">
        <v>130</v>
      </c>
      <c r="C534">
        <v>118</v>
      </c>
      <c r="D534">
        <v>287</v>
      </c>
      <c r="E534">
        <v>61</v>
      </c>
      <c r="G534">
        <v>2.3958454988942612E-2</v>
      </c>
      <c r="H534">
        <v>0.39404834252752208</v>
      </c>
      <c r="I534">
        <v>-0.24607862924085711</v>
      </c>
      <c r="K534">
        <v>5.7309389425202528E-2</v>
      </c>
      <c r="M534" t="s">
        <v>539</v>
      </c>
    </row>
    <row r="535" spans="1:13">
      <c r="A535">
        <v>533</v>
      </c>
      <c r="B535">
        <v>155</v>
      </c>
      <c r="C535">
        <v>29</v>
      </c>
      <c r="D535">
        <v>38</v>
      </c>
      <c r="E535">
        <v>32</v>
      </c>
      <c r="G535">
        <v>-0.6619139002816814</v>
      </c>
      <c r="H535">
        <v>-0.56043830345311485</v>
      </c>
      <c r="I535">
        <v>-0.60264683179517287</v>
      </c>
      <c r="K535">
        <v>-0.60833301184332311</v>
      </c>
      <c r="M535" t="s">
        <v>540</v>
      </c>
    </row>
    <row r="536" spans="1:13">
      <c r="A536">
        <v>534</v>
      </c>
      <c r="B536">
        <v>67</v>
      </c>
      <c r="C536">
        <v>64</v>
      </c>
      <c r="D536">
        <v>77</v>
      </c>
      <c r="E536">
        <v>131</v>
      </c>
      <c r="G536">
        <v>4.6124971272714727E-2</v>
      </c>
      <c r="H536">
        <v>0.11052572057202192</v>
      </c>
      <c r="I536">
        <v>0.37373138101015047</v>
      </c>
      <c r="K536">
        <v>0.17679402428496238</v>
      </c>
      <c r="M536" t="s">
        <v>541</v>
      </c>
    </row>
    <row r="537" spans="1:13">
      <c r="A537">
        <v>535</v>
      </c>
      <c r="B537">
        <v>44</v>
      </c>
      <c r="C537">
        <v>108</v>
      </c>
      <c r="D537">
        <v>102</v>
      </c>
      <c r="E537">
        <v>23</v>
      </c>
      <c r="G537">
        <v>0.45599087899041629</v>
      </c>
      <c r="H537">
        <v>0.41525729337609663</v>
      </c>
      <c r="I537">
        <v>-0.19918995241338194</v>
      </c>
      <c r="K537">
        <v>0.22401940665104361</v>
      </c>
      <c r="M537" t="s">
        <v>542</v>
      </c>
    </row>
    <row r="538" spans="1:13">
      <c r="A538">
        <v>536</v>
      </c>
      <c r="B538">
        <v>97</v>
      </c>
      <c r="C538">
        <v>32</v>
      </c>
      <c r="D538">
        <v>44</v>
      </c>
      <c r="E538">
        <v>23</v>
      </c>
      <c r="G538">
        <v>-0.41560195595668487</v>
      </c>
      <c r="H538">
        <v>-0.29320925967969097</v>
      </c>
      <c r="I538">
        <v>-0.54250901019343933</v>
      </c>
      <c r="K538">
        <v>-0.41710674194327169</v>
      </c>
      <c r="M538" t="s">
        <v>543</v>
      </c>
    </row>
    <row r="539" spans="1:13">
      <c r="A539">
        <v>537</v>
      </c>
      <c r="B539">
        <v>134</v>
      </c>
      <c r="C539">
        <v>17</v>
      </c>
      <c r="D539">
        <v>20</v>
      </c>
      <c r="E539">
        <v>27</v>
      </c>
      <c r="G539">
        <v>-0.83063607699687969</v>
      </c>
      <c r="H539">
        <v>-0.77596500460045992</v>
      </c>
      <c r="I539">
        <v>-0.61320614615060764</v>
      </c>
      <c r="K539">
        <v>-0.73993574258264905</v>
      </c>
      <c r="M539" t="s">
        <v>544</v>
      </c>
    </row>
    <row r="540" spans="1:13">
      <c r="A540">
        <v>538</v>
      </c>
      <c r="B540">
        <v>45</v>
      </c>
      <c r="C540">
        <v>2334</v>
      </c>
      <c r="D540">
        <v>37</v>
      </c>
      <c r="E540">
        <v>14</v>
      </c>
      <c r="G540">
        <v>1.7809081379236615</v>
      </c>
      <c r="H540">
        <v>-3.4900991607982212E-2</v>
      </c>
      <c r="I540">
        <v>-0.42454959004189302</v>
      </c>
      <c r="K540">
        <v>0.44048585209126206</v>
      </c>
      <c r="M540" t="s">
        <v>545</v>
      </c>
    </row>
    <row r="541" spans="1:13">
      <c r="A541">
        <v>539</v>
      </c>
      <c r="B541">
        <v>68</v>
      </c>
      <c r="C541">
        <v>19</v>
      </c>
      <c r="D541">
        <v>36</v>
      </c>
      <c r="E541">
        <v>36</v>
      </c>
      <c r="G541">
        <v>-0.48773551176375329</v>
      </c>
      <c r="H541">
        <v>-0.22609661383858259</v>
      </c>
      <c r="I541">
        <v>-0.19367152388373643</v>
      </c>
      <c r="K541">
        <v>-0.30250121649535744</v>
      </c>
      <c r="M541" t="s">
        <v>546</v>
      </c>
    </row>
    <row r="542" spans="1:13">
      <c r="A542">
        <v>540</v>
      </c>
      <c r="B542">
        <v>40</v>
      </c>
      <c r="C542">
        <v>3</v>
      </c>
      <c r="D542">
        <v>0</v>
      </c>
      <c r="E542">
        <v>4</v>
      </c>
      <c r="G542">
        <v>-1.058918936618646</v>
      </c>
      <c r="H542">
        <v>-1.8</v>
      </c>
      <c r="I542">
        <v>-0.9174651119447873</v>
      </c>
      <c r="K542">
        <v>-1.8</v>
      </c>
      <c r="M542" t="s">
        <v>547</v>
      </c>
    </row>
    <row r="543" spans="1:13">
      <c r="A543">
        <v>541</v>
      </c>
      <c r="B543">
        <v>94</v>
      </c>
      <c r="C543">
        <v>0</v>
      </c>
      <c r="D543">
        <v>4</v>
      </c>
      <c r="E543">
        <v>1</v>
      </c>
      <c r="G543">
        <v>-1.8</v>
      </c>
      <c r="H543">
        <v>-1.3209580641713699</v>
      </c>
      <c r="I543">
        <v>-1.8905929655444862</v>
      </c>
      <c r="K543">
        <v>-1.8</v>
      </c>
      <c r="M543" t="s">
        <v>548</v>
      </c>
    </row>
    <row r="544" spans="1:13">
      <c r="A544">
        <v>542</v>
      </c>
      <c r="B544">
        <v>57</v>
      </c>
      <c r="C544">
        <v>18</v>
      </c>
      <c r="D544">
        <v>47</v>
      </c>
      <c r="E544">
        <v>133</v>
      </c>
      <c r="G544">
        <v>-0.43458255057953132</v>
      </c>
      <c r="H544">
        <v>-3.3667199636407436E-2</v>
      </c>
      <c r="I544">
        <v>0.45051167334980707</v>
      </c>
      <c r="K544">
        <v>-5.9126922887105526E-3</v>
      </c>
      <c r="M544" t="s">
        <v>549</v>
      </c>
    </row>
    <row r="545" spans="1:13">
      <c r="A545">
        <v>543</v>
      </c>
      <c r="B545">
        <v>32</v>
      </c>
      <c r="C545">
        <v>4</v>
      </c>
      <c r="D545">
        <v>1</v>
      </c>
      <c r="E545">
        <v>11</v>
      </c>
      <c r="G545">
        <v>-0.83707018700228952</v>
      </c>
      <c r="H545">
        <v>-1.4550401802195396</v>
      </c>
      <c r="I545">
        <v>-0.38122240510646832</v>
      </c>
      <c r="K545">
        <v>-0.89111092410943249</v>
      </c>
      <c r="M545" t="s">
        <v>550</v>
      </c>
    </row>
    <row r="546" spans="1:13">
      <c r="A546">
        <v>544</v>
      </c>
      <c r="B546">
        <v>56</v>
      </c>
      <c r="C546">
        <v>0</v>
      </c>
      <c r="D546">
        <v>1</v>
      </c>
      <c r="E546">
        <v>1</v>
      </c>
      <c r="G546">
        <v>-1.8</v>
      </c>
      <c r="H546">
        <v>-1.698078228905834</v>
      </c>
      <c r="I546">
        <v>-1.6656531389509879</v>
      </c>
      <c r="K546">
        <v>-1.8</v>
      </c>
      <c r="M546" t="s">
        <v>551</v>
      </c>
    </row>
    <row r="547" spans="1:13">
      <c r="A547">
        <v>545</v>
      </c>
      <c r="B547">
        <v>29</v>
      </c>
      <c r="C547">
        <v>0</v>
      </c>
      <c r="D547">
        <v>1</v>
      </c>
      <c r="E547">
        <v>0</v>
      </c>
      <c r="G547">
        <v>-1.8</v>
      </c>
      <c r="H547">
        <v>-1.4122881997985897</v>
      </c>
      <c r="I547">
        <v>-1.8</v>
      </c>
      <c r="K547">
        <v>-1.8</v>
      </c>
      <c r="M547" t="s">
        <v>552</v>
      </c>
    </row>
    <row r="548" spans="1:13">
      <c r="A548">
        <v>546</v>
      </c>
      <c r="B548">
        <v>51</v>
      </c>
      <c r="C548">
        <v>1</v>
      </c>
      <c r="D548">
        <v>1</v>
      </c>
      <c r="E548">
        <v>1</v>
      </c>
      <c r="G548">
        <v>-1.6415503761082824</v>
      </c>
      <c r="H548">
        <v>-1.6574603779975698</v>
      </c>
      <c r="I548">
        <v>-1.6250352880427237</v>
      </c>
      <c r="K548">
        <v>-1.6413486807161919</v>
      </c>
      <c r="M548" t="s">
        <v>553</v>
      </c>
    </row>
    <row r="549" spans="1:13">
      <c r="A549">
        <v>547</v>
      </c>
      <c r="B549">
        <v>72</v>
      </c>
      <c r="C549">
        <v>1</v>
      </c>
      <c r="D549">
        <v>3</v>
      </c>
      <c r="E549">
        <v>2</v>
      </c>
      <c r="G549">
        <v>-1.7913126964416146</v>
      </c>
      <c r="H549">
        <v>-1.3301014436112397</v>
      </c>
      <c r="I549">
        <v>-1.4737676127120747</v>
      </c>
      <c r="K549">
        <v>-1.5317272509216429</v>
      </c>
      <c r="M549" t="s">
        <v>554</v>
      </c>
    </row>
    <row r="550" spans="1:13">
      <c r="A550">
        <v>548</v>
      </c>
      <c r="B550">
        <v>114</v>
      </c>
      <c r="C550">
        <v>1</v>
      </c>
      <c r="D550">
        <v>2</v>
      </c>
      <c r="E550">
        <v>1</v>
      </c>
      <c r="G550">
        <v>-1.9908850513468188</v>
      </c>
      <c r="H550">
        <v>-1.705765057572125</v>
      </c>
      <c r="I550">
        <v>-1.9743699632812601</v>
      </c>
      <c r="K550">
        <v>-1.8903400240667347</v>
      </c>
      <c r="M550" t="s">
        <v>555</v>
      </c>
    </row>
    <row r="551" spans="1:13">
      <c r="A551">
        <v>549</v>
      </c>
      <c r="B551">
        <v>28</v>
      </c>
      <c r="C551">
        <v>0</v>
      </c>
      <c r="D551">
        <v>2</v>
      </c>
      <c r="E551">
        <v>1</v>
      </c>
      <c r="G551">
        <v>-1.8</v>
      </c>
      <c r="H551">
        <v>-1.0960182375778715</v>
      </c>
      <c r="I551">
        <v>-1.3646231432870066</v>
      </c>
      <c r="K551">
        <v>-1.8</v>
      </c>
      <c r="M551" t="s">
        <v>556</v>
      </c>
    </row>
    <row r="552" spans="1:13">
      <c r="A552">
        <v>550</v>
      </c>
      <c r="B552">
        <v>68</v>
      </c>
      <c r="C552">
        <v>1</v>
      </c>
      <c r="D552">
        <v>1</v>
      </c>
      <c r="E552">
        <v>0</v>
      </c>
      <c r="G552">
        <v>-1.7664891127165825</v>
      </c>
      <c r="H552">
        <v>-1.78239911460587</v>
      </c>
      <c r="I552">
        <v>-1.8</v>
      </c>
      <c r="K552">
        <v>-1.8</v>
      </c>
      <c r="M552" t="s">
        <v>557</v>
      </c>
    </row>
    <row r="553" spans="1:13">
      <c r="A553">
        <v>551</v>
      </c>
      <c r="B553">
        <v>120</v>
      </c>
      <c r="C553">
        <v>3</v>
      </c>
      <c r="D553">
        <v>2</v>
      </c>
      <c r="E553">
        <v>1</v>
      </c>
      <c r="G553">
        <v>-1.5360401913383084</v>
      </c>
      <c r="H553">
        <v>-1.7280414522832772</v>
      </c>
      <c r="I553">
        <v>-1.9966463579924121</v>
      </c>
      <c r="K553">
        <v>-1.753576000537999</v>
      </c>
      <c r="M553" t="s">
        <v>558</v>
      </c>
    </row>
    <row r="554" spans="1:13">
      <c r="A554">
        <v>552</v>
      </c>
      <c r="B554">
        <v>144</v>
      </c>
      <c r="C554">
        <v>1</v>
      </c>
      <c r="D554">
        <v>2</v>
      </c>
      <c r="E554">
        <v>4</v>
      </c>
      <c r="G554">
        <v>-2.0923426921055959</v>
      </c>
      <c r="H554">
        <v>-1.8072226983309021</v>
      </c>
      <c r="I554">
        <v>-1.4737676127120747</v>
      </c>
      <c r="K554">
        <v>-1.7911110010495241</v>
      </c>
      <c r="M554" t="s">
        <v>559</v>
      </c>
    </row>
    <row r="555" spans="1:13">
      <c r="A555">
        <v>553</v>
      </c>
      <c r="B555">
        <v>13</v>
      </c>
      <c r="C555">
        <v>0</v>
      </c>
      <c r="D555">
        <v>0</v>
      </c>
      <c r="E555">
        <v>0</v>
      </c>
      <c r="G555">
        <v>-1.8</v>
      </c>
      <c r="H555">
        <v>-1.8</v>
      </c>
      <c r="I555">
        <v>-1.8</v>
      </c>
      <c r="K555">
        <v>-1.8</v>
      </c>
      <c r="M555" t="s">
        <v>560</v>
      </c>
    </row>
    <row r="556" spans="1:13">
      <c r="A556">
        <v>554</v>
      </c>
      <c r="B556">
        <v>96</v>
      </c>
      <c r="C556">
        <v>0</v>
      </c>
      <c r="D556">
        <v>0</v>
      </c>
      <c r="E556">
        <v>1</v>
      </c>
      <c r="G556">
        <v>-1.8</v>
      </c>
      <c r="H556">
        <v>-1.8</v>
      </c>
      <c r="I556">
        <v>-1.8997363449843558</v>
      </c>
      <c r="K556">
        <v>-1.8</v>
      </c>
      <c r="M556" t="s">
        <v>561</v>
      </c>
    </row>
    <row r="557" spans="1:13">
      <c r="A557">
        <v>555</v>
      </c>
      <c r="B557">
        <v>218</v>
      </c>
      <c r="C557">
        <v>0</v>
      </c>
      <c r="D557">
        <v>2</v>
      </c>
      <c r="E557">
        <v>7</v>
      </c>
      <c r="G557">
        <v>-1.8</v>
      </c>
      <c r="H557">
        <v>-1.9873166998402574</v>
      </c>
      <c r="I557">
        <v>-1.4108235655351353</v>
      </c>
      <c r="K557">
        <v>-1.8</v>
      </c>
      <c r="M557" t="s">
        <v>562</v>
      </c>
    </row>
    <row r="558" spans="1:13">
      <c r="A558">
        <v>556</v>
      </c>
      <c r="B558">
        <v>87</v>
      </c>
      <c r="C558">
        <v>0</v>
      </c>
      <c r="D558">
        <v>1</v>
      </c>
      <c r="E558">
        <v>0</v>
      </c>
      <c r="G558">
        <v>-1.8</v>
      </c>
      <c r="H558">
        <v>-1.889409454518252</v>
      </c>
      <c r="I558">
        <v>-1.8</v>
      </c>
      <c r="K558">
        <v>-1.8</v>
      </c>
      <c r="M558" t="s">
        <v>563</v>
      </c>
    </row>
    <row r="559" spans="1:13">
      <c r="A559">
        <v>557</v>
      </c>
      <c r="B559">
        <v>68</v>
      </c>
      <c r="C559">
        <v>0</v>
      </c>
      <c r="D559">
        <v>1</v>
      </c>
      <c r="E559">
        <v>3</v>
      </c>
      <c r="G559">
        <v>-1.8</v>
      </c>
      <c r="H559">
        <v>-1.78239911460587</v>
      </c>
      <c r="I559">
        <v>-1.2728527699313612</v>
      </c>
      <c r="K559">
        <v>-1.8</v>
      </c>
      <c r="M559" t="s">
        <v>564</v>
      </c>
    </row>
    <row r="560" spans="1:13">
      <c r="A560">
        <v>558</v>
      </c>
      <c r="B560">
        <v>127</v>
      </c>
      <c r="C560">
        <v>1</v>
      </c>
      <c r="D560">
        <v>0</v>
      </c>
      <c r="E560">
        <v>0</v>
      </c>
      <c r="G560">
        <v>-2.0377839209663029</v>
      </c>
      <c r="H560">
        <v>-1.8</v>
      </c>
      <c r="I560">
        <v>-1.8</v>
      </c>
      <c r="K560">
        <v>-1.8</v>
      </c>
      <c r="M560" t="s">
        <v>565</v>
      </c>
    </row>
    <row r="561" spans="1:13">
      <c r="A561">
        <v>559</v>
      </c>
      <c r="B561">
        <v>60</v>
      </c>
      <c r="C561">
        <v>1</v>
      </c>
      <c r="D561">
        <v>1</v>
      </c>
      <c r="E561">
        <v>3</v>
      </c>
      <c r="G561">
        <v>-1.7121314503939897</v>
      </c>
      <c r="H561">
        <v>-1.7280414522832772</v>
      </c>
      <c r="I561">
        <v>-1.2184951076087687</v>
      </c>
      <c r="K561">
        <v>-1.5528893367620118</v>
      </c>
      <c r="M561" t="s">
        <v>566</v>
      </c>
    </row>
    <row r="562" spans="1:13">
      <c r="A562">
        <v>560</v>
      </c>
      <c r="B562">
        <v>142</v>
      </c>
      <c r="C562">
        <v>3</v>
      </c>
      <c r="D562">
        <v>0</v>
      </c>
      <c r="E562">
        <v>4</v>
      </c>
      <c r="G562">
        <v>-1.6091472896737402</v>
      </c>
      <c r="H562">
        <v>-1.8</v>
      </c>
      <c r="I562">
        <v>-1.4676934649998814</v>
      </c>
      <c r="K562">
        <v>-1.8</v>
      </c>
      <c r="M562" t="s">
        <v>567</v>
      </c>
    </row>
    <row r="563" spans="1:13">
      <c r="A563">
        <v>561</v>
      </c>
      <c r="B563">
        <v>40</v>
      </c>
      <c r="C563">
        <v>2</v>
      </c>
      <c r="D563">
        <v>0</v>
      </c>
      <c r="E563">
        <v>2</v>
      </c>
      <c r="G563">
        <v>-1.2350101956743273</v>
      </c>
      <c r="H563">
        <v>-1.8</v>
      </c>
      <c r="I563">
        <v>-1.2184951076087687</v>
      </c>
      <c r="K563">
        <v>-1.8</v>
      </c>
      <c r="M563" t="s">
        <v>568</v>
      </c>
    </row>
    <row r="564" spans="1:13">
      <c r="A564">
        <v>562</v>
      </c>
      <c r="B564">
        <v>20</v>
      </c>
      <c r="C564">
        <v>1</v>
      </c>
      <c r="D564">
        <v>0</v>
      </c>
      <c r="E564">
        <v>1</v>
      </c>
      <c r="G564">
        <v>-1.2350101956743273</v>
      </c>
      <c r="H564">
        <v>-1.8</v>
      </c>
      <c r="I564">
        <v>-1.2184951076087687</v>
      </c>
      <c r="K564">
        <v>-1.8</v>
      </c>
      <c r="M564" t="s">
        <v>569</v>
      </c>
    </row>
    <row r="565" spans="1:13">
      <c r="A565">
        <v>563</v>
      </c>
      <c r="B565">
        <v>32</v>
      </c>
      <c r="C565">
        <v>0</v>
      </c>
      <c r="D565">
        <v>0</v>
      </c>
      <c r="E565">
        <v>0</v>
      </c>
      <c r="G565">
        <v>-1.8</v>
      </c>
      <c r="H565">
        <v>-1.8</v>
      </c>
      <c r="I565">
        <v>-1.8</v>
      </c>
      <c r="K565">
        <v>-1.8</v>
      </c>
      <c r="M565" t="s">
        <v>570</v>
      </c>
    </row>
    <row r="566" spans="1:13">
      <c r="A566">
        <v>564</v>
      </c>
      <c r="B566">
        <v>7</v>
      </c>
      <c r="C566">
        <v>2</v>
      </c>
      <c r="D566">
        <v>2</v>
      </c>
      <c r="E566">
        <v>0</v>
      </c>
      <c r="G566">
        <v>-0.47804824436062165</v>
      </c>
      <c r="H566">
        <v>-0.49395824624990919</v>
      </c>
      <c r="I566">
        <v>-1.8</v>
      </c>
      <c r="K566">
        <v>-1.8</v>
      </c>
      <c r="M566" t="s">
        <v>571</v>
      </c>
    </row>
    <row r="567" spans="1:13">
      <c r="A567">
        <v>565</v>
      </c>
      <c r="B567">
        <v>126</v>
      </c>
      <c r="C567">
        <v>1</v>
      </c>
      <c r="D567">
        <v>2</v>
      </c>
      <c r="E567">
        <v>1</v>
      </c>
      <c r="G567">
        <v>-2.034350745127909</v>
      </c>
      <c r="H567">
        <v>-1.7492307513532153</v>
      </c>
      <c r="I567">
        <v>-2.0178356570623501</v>
      </c>
      <c r="K567">
        <v>-1.933805717847825</v>
      </c>
      <c r="M567" t="s">
        <v>572</v>
      </c>
    </row>
    <row r="568" spans="1:13">
      <c r="A568">
        <v>566</v>
      </c>
      <c r="B568">
        <v>141</v>
      </c>
      <c r="C568">
        <v>5</v>
      </c>
      <c r="D568">
        <v>2</v>
      </c>
      <c r="E568">
        <v>1</v>
      </c>
      <c r="G568">
        <v>-1.3842293083297073</v>
      </c>
      <c r="H568">
        <v>-1.7980793188910322</v>
      </c>
      <c r="I568">
        <v>-2.0666842246001673</v>
      </c>
      <c r="K568">
        <v>-1.7496642839403023</v>
      </c>
      <c r="M568" t="s">
        <v>573</v>
      </c>
    </row>
    <row r="569" spans="1:13">
      <c r="A569">
        <v>567</v>
      </c>
      <c r="B569">
        <v>6</v>
      </c>
      <c r="C569">
        <v>0</v>
      </c>
      <c r="D569">
        <v>0</v>
      </c>
      <c r="E569">
        <v>1</v>
      </c>
      <c r="G569">
        <v>-1.8</v>
      </c>
      <c r="H569">
        <v>-1.8</v>
      </c>
      <c r="I569">
        <v>-0.69561636232843094</v>
      </c>
      <c r="K569">
        <v>-1.8</v>
      </c>
      <c r="M569" t="s">
        <v>574</v>
      </c>
    </row>
    <row r="570" spans="1:13">
      <c r="A570">
        <v>568</v>
      </c>
      <c r="B570">
        <v>103</v>
      </c>
      <c r="C570">
        <v>0</v>
      </c>
      <c r="D570">
        <v>0</v>
      </c>
      <c r="E570">
        <v>1</v>
      </c>
      <c r="G570">
        <v>-1.8</v>
      </c>
      <c r="H570">
        <v>-1.8</v>
      </c>
      <c r="I570">
        <v>-1.9303023366499599</v>
      </c>
      <c r="K570">
        <v>-1.8</v>
      </c>
      <c r="M570" t="s">
        <v>575</v>
      </c>
    </row>
    <row r="571" spans="1:13">
      <c r="A571">
        <v>569</v>
      </c>
      <c r="B571">
        <v>30</v>
      </c>
      <c r="C571">
        <v>2</v>
      </c>
      <c r="D571">
        <v>2</v>
      </c>
      <c r="E571">
        <v>3</v>
      </c>
      <c r="G571">
        <v>-1.1100714590660274</v>
      </c>
      <c r="H571">
        <v>-1.1259814609553149</v>
      </c>
      <c r="I571">
        <v>-0.9174651119447873</v>
      </c>
      <c r="K571">
        <v>-1.0511726773220433</v>
      </c>
      <c r="M571" t="s">
        <v>576</v>
      </c>
    </row>
    <row r="572" spans="1:13">
      <c r="A572">
        <v>570</v>
      </c>
      <c r="B572">
        <v>58</v>
      </c>
      <c r="C572">
        <v>0</v>
      </c>
      <c r="D572">
        <v>1</v>
      </c>
      <c r="E572">
        <v>0</v>
      </c>
      <c r="G572">
        <v>-1.8</v>
      </c>
      <c r="H572">
        <v>-1.7133181954625709</v>
      </c>
      <c r="I572">
        <v>-1.8</v>
      </c>
      <c r="K572">
        <v>-1.8</v>
      </c>
      <c r="M572" t="s">
        <v>577</v>
      </c>
    </row>
    <row r="573" spans="1:13">
      <c r="A573">
        <v>571</v>
      </c>
      <c r="B573">
        <v>64</v>
      </c>
      <c r="C573">
        <v>0</v>
      </c>
      <c r="D573">
        <v>1</v>
      </c>
      <c r="E573">
        <v>0</v>
      </c>
      <c r="G573">
        <v>-1.8</v>
      </c>
      <c r="H573">
        <v>-1.7560701758835207</v>
      </c>
      <c r="I573">
        <v>-1.8</v>
      </c>
      <c r="K573">
        <v>-1.8</v>
      </c>
      <c r="M573" t="s">
        <v>578</v>
      </c>
    </row>
    <row r="574" spans="1:13">
      <c r="A574">
        <v>572</v>
      </c>
      <c r="B574">
        <v>14</v>
      </c>
      <c r="C574">
        <v>0</v>
      </c>
      <c r="D574">
        <v>1</v>
      </c>
      <c r="E574">
        <v>0</v>
      </c>
      <c r="G574">
        <v>-1.8</v>
      </c>
      <c r="H574">
        <v>-1.0960182375778715</v>
      </c>
      <c r="I574">
        <v>-1.8</v>
      </c>
      <c r="K574">
        <v>-1.8</v>
      </c>
      <c r="M574" t="s">
        <v>579</v>
      </c>
    </row>
    <row r="575" spans="1:13">
      <c r="A575">
        <v>573</v>
      </c>
      <c r="B575">
        <v>63</v>
      </c>
      <c r="C575">
        <v>0</v>
      </c>
      <c r="D575">
        <v>1</v>
      </c>
      <c r="E575">
        <v>0</v>
      </c>
      <c r="G575">
        <v>-1.8</v>
      </c>
      <c r="H575">
        <v>-1.7492307513532153</v>
      </c>
      <c r="I575">
        <v>-1.8</v>
      </c>
      <c r="K575">
        <v>-1.8</v>
      </c>
      <c r="M575" t="s">
        <v>580</v>
      </c>
    </row>
    <row r="576" spans="1:13">
      <c r="A576">
        <v>574</v>
      </c>
      <c r="B576">
        <v>81</v>
      </c>
      <c r="C576">
        <v>6</v>
      </c>
      <c r="D576">
        <v>4</v>
      </c>
      <c r="E576">
        <v>1</v>
      </c>
      <c r="G576">
        <v>-1.0643139685053522</v>
      </c>
      <c r="H576">
        <v>-1.256315229450321</v>
      </c>
      <c r="I576">
        <v>-1.8259501308234372</v>
      </c>
      <c r="K576">
        <v>-1.3821931095930369</v>
      </c>
      <c r="M576" t="s">
        <v>581</v>
      </c>
    </row>
    <row r="577" spans="1:13">
      <c r="A577">
        <v>575</v>
      </c>
      <c r="B577">
        <v>29</v>
      </c>
      <c r="C577">
        <v>0</v>
      </c>
      <c r="D577">
        <v>1</v>
      </c>
      <c r="E577">
        <v>0</v>
      </c>
      <c r="G577">
        <v>-1.8</v>
      </c>
      <c r="H577">
        <v>-1.4122881997985897</v>
      </c>
      <c r="I577">
        <v>-1.8</v>
      </c>
      <c r="K577">
        <v>-1.8</v>
      </c>
      <c r="M577" t="s">
        <v>582</v>
      </c>
    </row>
    <row r="578" spans="1:13">
      <c r="A578">
        <v>576</v>
      </c>
      <c r="B578">
        <v>71</v>
      </c>
      <c r="C578">
        <v>0</v>
      </c>
      <c r="D578">
        <v>0</v>
      </c>
      <c r="E578">
        <v>0</v>
      </c>
      <c r="G578">
        <v>-1.8</v>
      </c>
      <c r="H578">
        <v>-1.8</v>
      </c>
      <c r="I578">
        <v>-1.8</v>
      </c>
      <c r="K578">
        <v>-1.8</v>
      </c>
      <c r="M578" t="s">
        <v>583</v>
      </c>
    </row>
    <row r="579" spans="1:13">
      <c r="A579">
        <v>577</v>
      </c>
      <c r="B579">
        <v>109</v>
      </c>
      <c r="C579">
        <v>2</v>
      </c>
      <c r="D579">
        <v>0</v>
      </c>
      <c r="E579">
        <v>0</v>
      </c>
      <c r="G579">
        <v>-1.6703767022869884</v>
      </c>
      <c r="H579">
        <v>-1.8</v>
      </c>
      <c r="I579">
        <v>-1.8</v>
      </c>
      <c r="K579">
        <v>-1.8</v>
      </c>
      <c r="M579" t="s">
        <v>584</v>
      </c>
    </row>
    <row r="580" spans="1:13">
      <c r="A580">
        <v>578</v>
      </c>
      <c r="B580">
        <v>46</v>
      </c>
      <c r="C580">
        <v>0</v>
      </c>
      <c r="D580">
        <v>2</v>
      </c>
      <c r="E580">
        <v>1</v>
      </c>
      <c r="G580">
        <v>-1.8</v>
      </c>
      <c r="H580">
        <v>-1.3116180379172264</v>
      </c>
      <c r="I580">
        <v>-1.5802229436263615</v>
      </c>
      <c r="K580">
        <v>-1.8</v>
      </c>
      <c r="M580" t="s">
        <v>585</v>
      </c>
    </row>
    <row r="581" spans="1:13">
      <c r="A581">
        <v>579</v>
      </c>
      <c r="B581">
        <v>92</v>
      </c>
      <c r="C581">
        <v>7</v>
      </c>
      <c r="D581">
        <v>11</v>
      </c>
      <c r="E581">
        <v>20</v>
      </c>
      <c r="G581">
        <v>-1.0526699873416445</v>
      </c>
      <c r="H581">
        <v>-0.87228534408696368</v>
      </c>
      <c r="I581">
        <v>-0.5802229436263614</v>
      </c>
      <c r="K581">
        <v>-0.83505942501832331</v>
      </c>
      <c r="M581" t="s">
        <v>586</v>
      </c>
    </row>
    <row r="582" spans="1:13">
      <c r="A582">
        <v>580</v>
      </c>
      <c r="B582">
        <v>53</v>
      </c>
      <c r="C582">
        <v>0</v>
      </c>
      <c r="D582">
        <v>3</v>
      </c>
      <c r="E582">
        <v>0</v>
      </c>
      <c r="G582">
        <v>-1.8</v>
      </c>
      <c r="H582">
        <v>-1.1970448167807601</v>
      </c>
      <c r="I582">
        <v>-1.8</v>
      </c>
      <c r="K582">
        <v>-1.8</v>
      </c>
      <c r="M582" t="s">
        <v>587</v>
      </c>
    </row>
    <row r="583" spans="1:13">
      <c r="A583">
        <v>581</v>
      </c>
      <c r="B583">
        <v>26</v>
      </c>
      <c r="C583">
        <v>0</v>
      </c>
      <c r="D583">
        <v>0</v>
      </c>
      <c r="E583">
        <v>0</v>
      </c>
      <c r="G583">
        <v>-1.8</v>
      </c>
      <c r="H583">
        <v>-1.8</v>
      </c>
      <c r="I583">
        <v>-1.8</v>
      </c>
      <c r="K583">
        <v>-1.8</v>
      </c>
      <c r="M583" t="s">
        <v>588</v>
      </c>
    </row>
    <row r="584" spans="1:13">
      <c r="A584">
        <v>582</v>
      </c>
      <c r="B584">
        <v>15</v>
      </c>
      <c r="C584">
        <v>0</v>
      </c>
      <c r="D584">
        <v>1</v>
      </c>
      <c r="E584">
        <v>0</v>
      </c>
      <c r="G584">
        <v>-1.8</v>
      </c>
      <c r="H584">
        <v>-1.1259814609553149</v>
      </c>
      <c r="I584">
        <v>-1.8</v>
      </c>
      <c r="K584">
        <v>-1.8</v>
      </c>
      <c r="M584" t="s">
        <v>589</v>
      </c>
    </row>
    <row r="585" spans="1:13">
      <c r="A585">
        <v>583</v>
      </c>
      <c r="B585">
        <v>42</v>
      </c>
      <c r="C585">
        <v>0</v>
      </c>
      <c r="D585">
        <v>0</v>
      </c>
      <c r="E585">
        <v>0</v>
      </c>
      <c r="G585">
        <v>-1.8</v>
      </c>
      <c r="H585">
        <v>-1.8</v>
      </c>
      <c r="I585">
        <v>-1.8</v>
      </c>
      <c r="K585">
        <v>-1.8</v>
      </c>
      <c r="M585" t="s">
        <v>590</v>
      </c>
    </row>
    <row r="586" spans="1:13">
      <c r="A586">
        <v>584</v>
      </c>
      <c r="B586">
        <v>181</v>
      </c>
      <c r="C586">
        <v>1</v>
      </c>
      <c r="D586">
        <v>2</v>
      </c>
      <c r="E586">
        <v>3</v>
      </c>
      <c r="G586">
        <v>-2.1916587748795306</v>
      </c>
      <c r="H586">
        <v>-1.9065387811048369</v>
      </c>
      <c r="I586">
        <v>-1.6980224320943096</v>
      </c>
      <c r="K586">
        <v>-1.9320733293595591</v>
      </c>
      <c r="M586" t="s">
        <v>591</v>
      </c>
    </row>
    <row r="587" spans="1:13">
      <c r="A587">
        <v>585</v>
      </c>
      <c r="B587">
        <v>26</v>
      </c>
      <c r="C587">
        <v>2</v>
      </c>
      <c r="D587">
        <v>1</v>
      </c>
      <c r="E587">
        <v>1</v>
      </c>
      <c r="G587">
        <v>-1.0479235523171828</v>
      </c>
      <c r="H587">
        <v>-1.3648635498704516</v>
      </c>
      <c r="I587">
        <v>-1.3324384599156054</v>
      </c>
      <c r="K587">
        <v>-1.2484085207010798</v>
      </c>
      <c r="M587" t="s">
        <v>592</v>
      </c>
    </row>
    <row r="588" spans="1:13">
      <c r="A588">
        <v>586</v>
      </c>
      <c r="B588">
        <v>124</v>
      </c>
      <c r="C588">
        <v>1</v>
      </c>
      <c r="D588">
        <v>0</v>
      </c>
      <c r="E588">
        <v>0</v>
      </c>
      <c r="G588">
        <v>-2.0274018851725812</v>
      </c>
      <c r="H588">
        <v>-1.8</v>
      </c>
      <c r="I588">
        <v>-1.8</v>
      </c>
      <c r="K588">
        <v>-1.8</v>
      </c>
      <c r="M588" t="s">
        <v>593</v>
      </c>
    </row>
    <row r="589" spans="1:13">
      <c r="A589">
        <v>587</v>
      </c>
      <c r="B589">
        <v>54</v>
      </c>
      <c r="C589">
        <v>0</v>
      </c>
      <c r="D589">
        <v>0</v>
      </c>
      <c r="E589">
        <v>0</v>
      </c>
      <c r="G589">
        <v>-1.8</v>
      </c>
      <c r="H589">
        <v>-1.8</v>
      </c>
      <c r="I589">
        <v>-1.8</v>
      </c>
      <c r="K589">
        <v>-1.8</v>
      </c>
      <c r="M589" t="s">
        <v>594</v>
      </c>
    </row>
    <row r="590" spans="1:13">
      <c r="A590">
        <v>588</v>
      </c>
      <c r="B590">
        <v>73</v>
      </c>
      <c r="C590">
        <v>125</v>
      </c>
      <c r="D590">
        <v>151</v>
      </c>
      <c r="E590">
        <v>96</v>
      </c>
      <c r="G590">
        <v>0.29960695287725453</v>
      </c>
      <c r="H590">
        <v>0.36576388527307996</v>
      </c>
      <c r="I590">
        <v>0.20148326097432515</v>
      </c>
      <c r="K590">
        <v>0.28895136637488655</v>
      </c>
      <c r="M590" t="s">
        <v>595</v>
      </c>
    </row>
    <row r="591" spans="1:13">
      <c r="A591">
        <v>589</v>
      </c>
      <c r="B591">
        <v>72</v>
      </c>
      <c r="C591">
        <v>1</v>
      </c>
      <c r="D591">
        <v>1</v>
      </c>
      <c r="E591">
        <v>0</v>
      </c>
      <c r="G591">
        <v>-1.7913126964416146</v>
      </c>
      <c r="H591">
        <v>-1.8072226983309021</v>
      </c>
      <c r="I591">
        <v>-1.8</v>
      </c>
      <c r="K591">
        <v>-1.8</v>
      </c>
      <c r="M591" t="s">
        <v>596</v>
      </c>
    </row>
    <row r="592" spans="1:13">
      <c r="A592">
        <v>590</v>
      </c>
      <c r="B592">
        <v>182</v>
      </c>
      <c r="C592">
        <v>5</v>
      </c>
      <c r="D592">
        <v>1</v>
      </c>
      <c r="E592">
        <v>1</v>
      </c>
      <c r="G592">
        <v>-1.495081583659402</v>
      </c>
      <c r="H592">
        <v>-2.209961589884708</v>
      </c>
      <c r="I592">
        <v>-2.1775364999298619</v>
      </c>
      <c r="K592">
        <v>-1.9608598911579904</v>
      </c>
      <c r="M592" t="s">
        <v>597</v>
      </c>
    </row>
    <row r="593" spans="1:13">
      <c r="A593">
        <v>591</v>
      </c>
      <c r="B593">
        <v>213</v>
      </c>
      <c r="C593">
        <v>3</v>
      </c>
      <c r="D593">
        <v>3</v>
      </c>
      <c r="E593">
        <v>2</v>
      </c>
      <c r="G593">
        <v>-1.7852385487294213</v>
      </c>
      <c r="H593">
        <v>-1.8011485506187088</v>
      </c>
      <c r="I593">
        <v>-1.9448147197195438</v>
      </c>
      <c r="K593">
        <v>-1.8437339396892245</v>
      </c>
      <c r="M593" t="s">
        <v>598</v>
      </c>
    </row>
    <row r="594" spans="1:13">
      <c r="A594">
        <v>592</v>
      </c>
      <c r="B594">
        <v>46</v>
      </c>
      <c r="C594">
        <v>5</v>
      </c>
      <c r="D594">
        <v>2</v>
      </c>
      <c r="E594">
        <v>1</v>
      </c>
      <c r="G594">
        <v>-0.89776802735590122</v>
      </c>
      <c r="H594">
        <v>-1.3116180379172264</v>
      </c>
      <c r="I594">
        <v>-1.5802229436263615</v>
      </c>
      <c r="K594">
        <v>-1.2632030029664965</v>
      </c>
      <c r="M594" t="s">
        <v>599</v>
      </c>
    </row>
    <row r="595" spans="1:13">
      <c r="A595">
        <v>593</v>
      </c>
      <c r="B595">
        <v>207</v>
      </c>
      <c r="C595">
        <v>9</v>
      </c>
      <c r="D595">
        <v>1</v>
      </c>
      <c r="E595">
        <v>0</v>
      </c>
      <c r="G595">
        <v>-1.2957080360279389</v>
      </c>
      <c r="H595">
        <v>-2.2658605473565512</v>
      </c>
      <c r="I595">
        <v>-1.8</v>
      </c>
      <c r="K595">
        <v>-1.8</v>
      </c>
      <c r="M595" t="s">
        <v>600</v>
      </c>
    </row>
    <row r="596" spans="1:13">
      <c r="A596">
        <v>594</v>
      </c>
      <c r="B596">
        <v>11</v>
      </c>
      <c r="C596">
        <v>0</v>
      </c>
      <c r="D596">
        <v>1</v>
      </c>
      <c r="E596">
        <v>1</v>
      </c>
      <c r="G596">
        <v>-1.8</v>
      </c>
      <c r="H596">
        <v>-0.99128288705785839</v>
      </c>
      <c r="I596">
        <v>-0.95885779710301222</v>
      </c>
      <c r="K596">
        <v>-1.8</v>
      </c>
      <c r="M596" t="s">
        <v>601</v>
      </c>
    </row>
    <row r="597" spans="1:13">
      <c r="A597">
        <v>595</v>
      </c>
      <c r="B597">
        <v>27</v>
      </c>
      <c r="C597">
        <v>0</v>
      </c>
      <c r="D597">
        <v>1</v>
      </c>
      <c r="E597">
        <v>1</v>
      </c>
      <c r="G597">
        <v>-1.8</v>
      </c>
      <c r="H597">
        <v>-1.3812539660586209</v>
      </c>
      <c r="I597">
        <v>-1.3488288761037748</v>
      </c>
      <c r="K597">
        <v>-1.8</v>
      </c>
      <c r="M597" t="s">
        <v>602</v>
      </c>
    </row>
    <row r="598" spans="1:13">
      <c r="A598">
        <v>596</v>
      </c>
      <c r="B598">
        <v>10</v>
      </c>
      <c r="C598">
        <v>0</v>
      </c>
      <c r="D598">
        <v>0</v>
      </c>
      <c r="E598">
        <v>0</v>
      </c>
      <c r="G598">
        <v>-1.8</v>
      </c>
      <c r="H598">
        <v>-1.8</v>
      </c>
      <c r="I598">
        <v>-1.8</v>
      </c>
      <c r="K598">
        <v>-1.8</v>
      </c>
      <c r="M598" t="s">
        <v>603</v>
      </c>
    </row>
    <row r="599" spans="1:13">
      <c r="A599">
        <v>597</v>
      </c>
      <c r="B599">
        <v>107</v>
      </c>
      <c r="C599">
        <v>1</v>
      </c>
      <c r="D599">
        <v>1</v>
      </c>
      <c r="E599">
        <v>2</v>
      </c>
      <c r="G599">
        <v>-1.9633639776955558</v>
      </c>
      <c r="H599">
        <v>-1.9792739795848433</v>
      </c>
      <c r="I599">
        <v>-1.6458188939660159</v>
      </c>
      <c r="K599">
        <v>-1.8628189504154717</v>
      </c>
      <c r="M599" t="s">
        <v>604</v>
      </c>
    </row>
    <row r="600" spans="1:13">
      <c r="A600">
        <v>598</v>
      </c>
      <c r="B600">
        <v>104</v>
      </c>
      <c r="C600">
        <v>0</v>
      </c>
      <c r="D600">
        <v>0</v>
      </c>
      <c r="E600">
        <v>1</v>
      </c>
      <c r="G600">
        <v>-1.8</v>
      </c>
      <c r="H600">
        <v>-1.8</v>
      </c>
      <c r="I600">
        <v>-1.9344984512435677</v>
      </c>
      <c r="K600">
        <v>-1.8</v>
      </c>
      <c r="M600" t="s">
        <v>605</v>
      </c>
    </row>
    <row r="601" spans="1:13">
      <c r="A601">
        <v>599</v>
      </c>
      <c r="B601">
        <v>14</v>
      </c>
      <c r="C601">
        <v>0</v>
      </c>
      <c r="D601">
        <v>0</v>
      </c>
      <c r="E601">
        <v>0</v>
      </c>
      <c r="G601">
        <v>-1.8</v>
      </c>
      <c r="H601">
        <v>-1.8</v>
      </c>
      <c r="I601">
        <v>-1.8</v>
      </c>
      <c r="K601">
        <v>-1.8</v>
      </c>
      <c r="M601" t="s">
        <v>606</v>
      </c>
    </row>
    <row r="602" spans="1:13">
      <c r="A602">
        <v>600</v>
      </c>
      <c r="B602">
        <v>90</v>
      </c>
      <c r="C602">
        <v>0</v>
      </c>
      <c r="D602">
        <v>1</v>
      </c>
      <c r="E602">
        <v>1</v>
      </c>
      <c r="G602">
        <v>-1.8</v>
      </c>
      <c r="H602">
        <v>-1.9041327113389583</v>
      </c>
      <c r="I602">
        <v>-1.8717076213841122</v>
      </c>
      <c r="K602">
        <v>-1.8</v>
      </c>
      <c r="M602" t="s">
        <v>607</v>
      </c>
    </row>
    <row r="603" spans="1:13">
      <c r="A603">
        <v>601</v>
      </c>
      <c r="B603">
        <v>67</v>
      </c>
      <c r="C603">
        <v>1</v>
      </c>
      <c r="D603">
        <v>0</v>
      </c>
      <c r="E603">
        <v>0</v>
      </c>
      <c r="G603">
        <v>-1.7600550027111725</v>
      </c>
      <c r="H603">
        <v>-1.8</v>
      </c>
      <c r="I603">
        <v>-1.8</v>
      </c>
      <c r="K603">
        <v>-1.8</v>
      </c>
      <c r="M603" t="s">
        <v>608</v>
      </c>
    </row>
    <row r="604" spans="1:13">
      <c r="A604">
        <v>602</v>
      </c>
      <c r="B604">
        <v>42</v>
      </c>
      <c r="C604">
        <v>0</v>
      </c>
      <c r="D604">
        <v>0</v>
      </c>
      <c r="E604">
        <v>1</v>
      </c>
      <c r="G604">
        <v>-1.8</v>
      </c>
      <c r="H604">
        <v>-1.8</v>
      </c>
      <c r="I604">
        <v>-1.540714402342688</v>
      </c>
      <c r="K604">
        <v>-1.8</v>
      </c>
      <c r="M604" t="s">
        <v>609</v>
      </c>
    </row>
    <row r="605" spans="1:13">
      <c r="A605">
        <v>603</v>
      </c>
      <c r="B605">
        <v>202</v>
      </c>
      <c r="C605">
        <v>0</v>
      </c>
      <c r="D605">
        <v>1</v>
      </c>
      <c r="E605">
        <v>2</v>
      </c>
      <c r="G605">
        <v>-1.8</v>
      </c>
      <c r="H605">
        <v>-2.2552415713462572</v>
      </c>
      <c r="I605">
        <v>-1.92178648572743</v>
      </c>
      <c r="K605">
        <v>-1.8</v>
      </c>
      <c r="M605" t="s">
        <v>610</v>
      </c>
    </row>
    <row r="606" spans="1:13">
      <c r="A606">
        <v>604</v>
      </c>
      <c r="B606">
        <v>17</v>
      </c>
      <c r="C606">
        <v>17</v>
      </c>
      <c r="D606">
        <v>8</v>
      </c>
      <c r="E606">
        <v>7</v>
      </c>
      <c r="G606">
        <v>6.6019799989654002E-2</v>
      </c>
      <c r="H606">
        <v>-0.27724913628596387</v>
      </c>
      <c r="I606">
        <v>-0.30281599330880449</v>
      </c>
      <c r="K606">
        <v>-0.17134844320170481</v>
      </c>
      <c r="M606" t="s">
        <v>611</v>
      </c>
    </row>
    <row r="607" spans="1:13">
      <c r="A607">
        <v>605</v>
      </c>
      <c r="B607">
        <v>81</v>
      </c>
      <c r="C607">
        <v>0</v>
      </c>
      <c r="D607">
        <v>0</v>
      </c>
      <c r="E607">
        <v>0</v>
      </c>
      <c r="G607">
        <v>-1.8</v>
      </c>
      <c r="H607">
        <v>-1.8</v>
      </c>
      <c r="I607">
        <v>-1.8</v>
      </c>
      <c r="K607">
        <v>-1.8</v>
      </c>
      <c r="M607" t="s">
        <v>612</v>
      </c>
    </row>
    <row r="608" spans="1:13">
      <c r="A608">
        <v>606</v>
      </c>
      <c r="B608">
        <v>59</v>
      </c>
      <c r="C608">
        <v>0</v>
      </c>
      <c r="D608">
        <v>3</v>
      </c>
      <c r="E608">
        <v>0</v>
      </c>
      <c r="G608">
        <v>-1.8</v>
      </c>
      <c r="H608">
        <v>-1.2436209588221152</v>
      </c>
      <c r="I608">
        <v>-1.8</v>
      </c>
      <c r="K608">
        <v>-1.8</v>
      </c>
      <c r="M608" t="s">
        <v>613</v>
      </c>
    </row>
    <row r="609" spans="1:13">
      <c r="A609">
        <v>607</v>
      </c>
      <c r="B609">
        <v>56</v>
      </c>
      <c r="C609">
        <v>1</v>
      </c>
      <c r="D609">
        <v>1</v>
      </c>
      <c r="E609">
        <v>1</v>
      </c>
      <c r="G609">
        <v>-1.6821682270165466</v>
      </c>
      <c r="H609">
        <v>-1.698078228905834</v>
      </c>
      <c r="I609">
        <v>-1.6656531389509879</v>
      </c>
      <c r="K609">
        <v>-1.6819665316244563</v>
      </c>
      <c r="M609" t="s">
        <v>614</v>
      </c>
    </row>
    <row r="610" spans="1:13">
      <c r="A610">
        <v>608</v>
      </c>
      <c r="B610">
        <v>100</v>
      </c>
      <c r="C610">
        <v>0</v>
      </c>
      <c r="D610">
        <v>1</v>
      </c>
      <c r="E610">
        <v>0</v>
      </c>
      <c r="G610">
        <v>-1.8</v>
      </c>
      <c r="H610">
        <v>-1.9498902018996336</v>
      </c>
      <c r="I610">
        <v>-1.8</v>
      </c>
      <c r="K610">
        <v>-1.8</v>
      </c>
      <c r="M610" t="s">
        <v>615</v>
      </c>
    </row>
    <row r="611" spans="1:13">
      <c r="A611">
        <v>609</v>
      </c>
      <c r="B611">
        <v>134</v>
      </c>
      <c r="C611">
        <v>3</v>
      </c>
      <c r="D611">
        <v>3</v>
      </c>
      <c r="E611">
        <v>4</v>
      </c>
      <c r="G611">
        <v>-1.5839637436554914</v>
      </c>
      <c r="H611">
        <v>-1.5998737455447789</v>
      </c>
      <c r="I611">
        <v>-1.4425099189816326</v>
      </c>
      <c r="K611">
        <v>-1.5421158027273008</v>
      </c>
      <c r="M611" t="s">
        <v>616</v>
      </c>
    </row>
    <row r="612" spans="1:13">
      <c r="A612">
        <v>610</v>
      </c>
      <c r="B612">
        <v>35</v>
      </c>
      <c r="C612">
        <v>0</v>
      </c>
      <c r="D612">
        <v>2</v>
      </c>
      <c r="E612">
        <v>0</v>
      </c>
      <c r="G612">
        <v>-1.8</v>
      </c>
      <c r="H612">
        <v>-1.192928250585928</v>
      </c>
      <c r="I612">
        <v>-1.8</v>
      </c>
      <c r="K612">
        <v>-1.8</v>
      </c>
      <c r="M612" t="s">
        <v>617</v>
      </c>
    </row>
    <row r="613" spans="1:13">
      <c r="A613">
        <v>611</v>
      </c>
      <c r="B613">
        <v>79</v>
      </c>
      <c r="C613">
        <v>1</v>
      </c>
      <c r="D613">
        <v>7</v>
      </c>
      <c r="E613">
        <v>0</v>
      </c>
      <c r="G613">
        <v>-1.8316072913007875</v>
      </c>
      <c r="H613">
        <v>-1.0024192531758183</v>
      </c>
      <c r="I613">
        <v>-1.8</v>
      </c>
      <c r="K613">
        <v>-1.8</v>
      </c>
      <c r="M613" t="s">
        <v>618</v>
      </c>
    </row>
    <row r="614" spans="1:13">
      <c r="A614">
        <v>612</v>
      </c>
      <c r="B614">
        <v>151</v>
      </c>
      <c r="C614">
        <v>7</v>
      </c>
      <c r="D614">
        <v>2</v>
      </c>
      <c r="E614">
        <v>1</v>
      </c>
      <c r="G614">
        <v>-1.2678591072892587</v>
      </c>
      <c r="H614">
        <v>-1.8278371535288218</v>
      </c>
      <c r="I614">
        <v>-2.0964420592379565</v>
      </c>
      <c r="K614">
        <v>-1.7307127733520122</v>
      </c>
      <c r="M614" t="s">
        <v>619</v>
      </c>
    </row>
    <row r="615" spans="1:13">
      <c r="A615">
        <v>613</v>
      </c>
      <c r="B615">
        <v>19</v>
      </c>
      <c r="C615">
        <v>0</v>
      </c>
      <c r="D615">
        <v>0</v>
      </c>
      <c r="E615">
        <v>0</v>
      </c>
      <c r="G615">
        <v>-1.8</v>
      </c>
      <c r="H615">
        <v>-1.8</v>
      </c>
      <c r="I615">
        <v>-1.8</v>
      </c>
      <c r="K615">
        <v>-1.8</v>
      </c>
      <c r="M615" t="s">
        <v>620</v>
      </c>
    </row>
    <row r="616" spans="1:13">
      <c r="A616">
        <v>614</v>
      </c>
      <c r="B616">
        <v>16</v>
      </c>
      <c r="C616">
        <v>0</v>
      </c>
      <c r="D616">
        <v>0</v>
      </c>
      <c r="E616">
        <v>0</v>
      </c>
      <c r="G616">
        <v>-1.8</v>
      </c>
      <c r="H616">
        <v>-1.8</v>
      </c>
      <c r="I616">
        <v>-1.8</v>
      </c>
      <c r="K616">
        <v>-1.8</v>
      </c>
      <c r="M616" t="s">
        <v>621</v>
      </c>
    </row>
    <row r="617" spans="1:13">
      <c r="A617">
        <v>615</v>
      </c>
      <c r="B617">
        <v>63</v>
      </c>
      <c r="C617">
        <v>0</v>
      </c>
      <c r="D617">
        <v>0</v>
      </c>
      <c r="E617">
        <v>1</v>
      </c>
      <c r="G617">
        <v>-1.8</v>
      </c>
      <c r="H617">
        <v>-1.8</v>
      </c>
      <c r="I617">
        <v>-1.7168056613983691</v>
      </c>
      <c r="K617">
        <v>-1.8</v>
      </c>
      <c r="M617" t="s">
        <v>622</v>
      </c>
    </row>
    <row r="618" spans="1:13">
      <c r="A618">
        <v>616</v>
      </c>
      <c r="B618">
        <v>63</v>
      </c>
      <c r="C618">
        <v>0</v>
      </c>
      <c r="D618">
        <v>0</v>
      </c>
      <c r="E618">
        <v>1</v>
      </c>
      <c r="G618">
        <v>-1.8</v>
      </c>
      <c r="H618">
        <v>-1.8</v>
      </c>
      <c r="I618">
        <v>-1.7168056613983691</v>
      </c>
      <c r="K618">
        <v>-1.8</v>
      </c>
      <c r="M618" t="s">
        <v>623</v>
      </c>
    </row>
    <row r="619" spans="1:13">
      <c r="A619">
        <v>617</v>
      </c>
      <c r="B619">
        <v>58</v>
      </c>
      <c r="C619">
        <v>9</v>
      </c>
      <c r="D619">
        <v>4</v>
      </c>
      <c r="E619">
        <v>1</v>
      </c>
      <c r="G619">
        <v>-0.74316568413395834</v>
      </c>
      <c r="H619">
        <v>-1.1112582041346084</v>
      </c>
      <c r="I619">
        <v>-1.6808931055077247</v>
      </c>
      <c r="K619">
        <v>-1.1784389979254304</v>
      </c>
      <c r="M619" t="s">
        <v>624</v>
      </c>
    </row>
    <row r="620" spans="1:13">
      <c r="A620">
        <v>618</v>
      </c>
      <c r="B620">
        <v>23</v>
      </c>
      <c r="C620">
        <v>1</v>
      </c>
      <c r="D620">
        <v>0</v>
      </c>
      <c r="E620">
        <v>0</v>
      </c>
      <c r="G620">
        <v>-1.2957080360279389</v>
      </c>
      <c r="H620">
        <v>-1.8</v>
      </c>
      <c r="I620">
        <v>-1.8</v>
      </c>
      <c r="K620">
        <v>-1.8</v>
      </c>
      <c r="M620" t="s">
        <v>625</v>
      </c>
    </row>
    <row r="621" spans="1:13">
      <c r="A621">
        <v>619</v>
      </c>
      <c r="B621">
        <v>63</v>
      </c>
      <c r="C621">
        <v>0</v>
      </c>
      <c r="D621">
        <v>0</v>
      </c>
      <c r="E621">
        <v>0</v>
      </c>
      <c r="G621">
        <v>-1.8</v>
      </c>
      <c r="H621">
        <v>-1.8</v>
      </c>
      <c r="I621">
        <v>-1.8</v>
      </c>
      <c r="K621">
        <v>-1.8</v>
      </c>
      <c r="M621" t="s">
        <v>626</v>
      </c>
    </row>
    <row r="622" spans="1:13">
      <c r="A622">
        <v>620</v>
      </c>
      <c r="B622">
        <v>58</v>
      </c>
      <c r="C622">
        <v>0</v>
      </c>
      <c r="D622">
        <v>0</v>
      </c>
      <c r="E622">
        <v>0</v>
      </c>
      <c r="G622">
        <v>-1.8</v>
      </c>
      <c r="H622">
        <v>-1.8</v>
      </c>
      <c r="I622">
        <v>-1.8</v>
      </c>
      <c r="K622">
        <v>-1.8</v>
      </c>
      <c r="M622" t="s">
        <v>627</v>
      </c>
    </row>
    <row r="623" spans="1:13">
      <c r="A623">
        <v>621</v>
      </c>
      <c r="B623">
        <v>77</v>
      </c>
      <c r="C623">
        <v>0</v>
      </c>
      <c r="D623">
        <v>1</v>
      </c>
      <c r="E623">
        <v>0</v>
      </c>
      <c r="G623">
        <v>-1.8</v>
      </c>
      <c r="H623">
        <v>-1.8363809270721154</v>
      </c>
      <c r="I623">
        <v>-1.8</v>
      </c>
      <c r="K623">
        <v>-1.8</v>
      </c>
      <c r="M623" t="s">
        <v>628</v>
      </c>
    </row>
    <row r="624" spans="1:13">
      <c r="A624">
        <v>622</v>
      </c>
      <c r="B624">
        <v>179</v>
      </c>
      <c r="C624">
        <v>1</v>
      </c>
      <c r="D624">
        <v>1</v>
      </c>
      <c r="E624">
        <v>0</v>
      </c>
      <c r="G624">
        <v>-2.1868332309902394</v>
      </c>
      <c r="H624">
        <v>-2.2027432328795267</v>
      </c>
      <c r="I624">
        <v>-1.8</v>
      </c>
      <c r="K624">
        <v>-1.8</v>
      </c>
      <c r="M624" t="s">
        <v>629</v>
      </c>
    </row>
    <row r="625" spans="1:13">
      <c r="A625">
        <v>623</v>
      </c>
      <c r="B625">
        <v>63</v>
      </c>
      <c r="C625">
        <v>250</v>
      </c>
      <c r="D625">
        <v>182</v>
      </c>
      <c r="E625">
        <v>165</v>
      </c>
      <c r="G625">
        <v>0.66461925920810994</v>
      </c>
      <c r="H625">
        <v>0.51084063663185963</v>
      </c>
      <c r="I625">
        <v>0.50067828281553728</v>
      </c>
      <c r="K625">
        <v>0.55871272621850221</v>
      </c>
      <c r="M625" t="s">
        <v>630</v>
      </c>
    </row>
    <row r="626" spans="1:13">
      <c r="A626">
        <v>624</v>
      </c>
      <c r="B626">
        <v>78</v>
      </c>
      <c r="C626">
        <v>0</v>
      </c>
      <c r="D626">
        <v>2</v>
      </c>
      <c r="E626">
        <v>2</v>
      </c>
      <c r="G626">
        <v>-1.8</v>
      </c>
      <c r="H626">
        <v>-1.5409548089261329</v>
      </c>
      <c r="I626">
        <v>-1.5085297189712867</v>
      </c>
      <c r="K626">
        <v>-1.8</v>
      </c>
      <c r="M626" t="s">
        <v>631</v>
      </c>
    </row>
    <row r="627" spans="1:13">
      <c r="A627">
        <v>625</v>
      </c>
      <c r="B627">
        <v>125</v>
      </c>
      <c r="C627">
        <v>0</v>
      </c>
      <c r="D627">
        <v>1</v>
      </c>
      <c r="E627">
        <v>3</v>
      </c>
      <c r="G627">
        <v>-1.8</v>
      </c>
      <c r="H627">
        <v>-2.0468002149076896</v>
      </c>
      <c r="I627">
        <v>-1.5372538702331813</v>
      </c>
      <c r="K627">
        <v>-1.8</v>
      </c>
      <c r="M627" t="s">
        <v>632</v>
      </c>
    </row>
    <row r="628" spans="1:13">
      <c r="A628">
        <v>626</v>
      </c>
      <c r="B628">
        <v>35</v>
      </c>
      <c r="C628">
        <v>0</v>
      </c>
      <c r="D628">
        <v>0</v>
      </c>
      <c r="E628">
        <v>0</v>
      </c>
      <c r="G628">
        <v>-1.8</v>
      </c>
      <c r="H628">
        <v>-1.8</v>
      </c>
      <c r="I628">
        <v>-1.8</v>
      </c>
      <c r="K628">
        <v>-1.8</v>
      </c>
      <c r="M628" t="s">
        <v>633</v>
      </c>
    </row>
    <row r="629" spans="1:13">
      <c r="A629">
        <v>627</v>
      </c>
      <c r="B629">
        <v>41</v>
      </c>
      <c r="C629">
        <v>0</v>
      </c>
      <c r="D629">
        <v>0</v>
      </c>
      <c r="E629">
        <v>1</v>
      </c>
      <c r="G629">
        <v>-1.8</v>
      </c>
      <c r="H629">
        <v>-1.8</v>
      </c>
      <c r="I629">
        <v>-1.5302489686645229</v>
      </c>
      <c r="K629">
        <v>-1.8</v>
      </c>
      <c r="M629" t="s">
        <v>634</v>
      </c>
    </row>
    <row r="630" spans="1:13">
      <c r="A630">
        <v>628</v>
      </c>
      <c r="B630">
        <v>55</v>
      </c>
      <c r="C630">
        <v>0</v>
      </c>
      <c r="D630">
        <v>1</v>
      </c>
      <c r="E630">
        <v>0</v>
      </c>
      <c r="G630">
        <v>-1.8</v>
      </c>
      <c r="H630">
        <v>-1.6902528913938775</v>
      </c>
      <c r="I630">
        <v>-1.8</v>
      </c>
      <c r="K630">
        <v>-1.8</v>
      </c>
      <c r="M630" t="s">
        <v>635</v>
      </c>
    </row>
    <row r="631" spans="1:13">
      <c r="A631">
        <v>629</v>
      </c>
      <c r="B631">
        <v>114</v>
      </c>
      <c r="C631">
        <v>162</v>
      </c>
      <c r="D631">
        <v>192</v>
      </c>
      <c r="E631">
        <v>163</v>
      </c>
      <c r="G631">
        <v>0.21862996319581235</v>
      </c>
      <c r="H631">
        <v>0.27650617546744349</v>
      </c>
      <c r="I631">
        <v>0.23781764112269788</v>
      </c>
      <c r="K631">
        <v>0.24431792659531792</v>
      </c>
      <c r="M631" t="s">
        <v>636</v>
      </c>
    </row>
    <row r="632" spans="1:13">
      <c r="A632">
        <v>630</v>
      </c>
      <c r="B632">
        <v>76</v>
      </c>
      <c r="C632">
        <v>2</v>
      </c>
      <c r="D632">
        <v>1</v>
      </c>
      <c r="E632">
        <v>5</v>
      </c>
      <c r="G632">
        <v>-1.5137637966271562</v>
      </c>
      <c r="H632">
        <v>-1.8307037941804249</v>
      </c>
      <c r="I632">
        <v>-1.09930869988956</v>
      </c>
      <c r="K632">
        <v>-1.481258763565714</v>
      </c>
      <c r="M632" t="s">
        <v>637</v>
      </c>
    </row>
    <row r="633" spans="1:13">
      <c r="A633">
        <v>631</v>
      </c>
      <c r="B633">
        <v>165</v>
      </c>
      <c r="C633">
        <v>12</v>
      </c>
      <c r="D633">
        <v>10</v>
      </c>
      <c r="E633">
        <v>13</v>
      </c>
      <c r="G633">
        <v>-1.0722828981766275</v>
      </c>
      <c r="H633">
        <v>-1.1673741461135398</v>
      </c>
      <c r="I633">
        <v>-1.021005703851857</v>
      </c>
      <c r="K633">
        <v>-1.0868875827140081</v>
      </c>
      <c r="M633" t="s">
        <v>638</v>
      </c>
    </row>
    <row r="634" spans="1:13">
      <c r="A634">
        <v>632</v>
      </c>
      <c r="B634">
        <v>152</v>
      </c>
      <c r="C634">
        <v>5</v>
      </c>
      <c r="D634">
        <v>4</v>
      </c>
      <c r="E634">
        <v>3</v>
      </c>
      <c r="G634">
        <v>-1.4168537836191</v>
      </c>
      <c r="H634">
        <v>-1.5296737985164437</v>
      </c>
      <c r="I634">
        <v>-1.6221874451698977</v>
      </c>
      <c r="K634">
        <v>-1.5229050091018139</v>
      </c>
      <c r="M634" t="s">
        <v>639</v>
      </c>
    </row>
    <row r="635" spans="1:13">
      <c r="A635">
        <v>633</v>
      </c>
      <c r="B635">
        <v>82</v>
      </c>
      <c r="C635">
        <v>24</v>
      </c>
      <c r="D635">
        <v>31</v>
      </c>
      <c r="E635">
        <v>11</v>
      </c>
      <c r="G635">
        <v>-0.46758281068245666</v>
      </c>
      <c r="H635">
        <v>-0.37234236044907754</v>
      </c>
      <c r="I635">
        <v>-0.78988627917027887</v>
      </c>
      <c r="K635">
        <v>-0.54327048343393769</v>
      </c>
      <c r="M635" t="s">
        <v>640</v>
      </c>
    </row>
    <row r="636" spans="1:13">
      <c r="A636">
        <v>634</v>
      </c>
      <c r="B636">
        <v>21</v>
      </c>
      <c r="C636">
        <v>0</v>
      </c>
      <c r="D636">
        <v>0</v>
      </c>
      <c r="E636">
        <v>0</v>
      </c>
      <c r="G636">
        <v>-1.8</v>
      </c>
      <c r="H636">
        <v>-1.8</v>
      </c>
      <c r="I636">
        <v>-1.8</v>
      </c>
      <c r="K636">
        <v>-1.8</v>
      </c>
      <c r="M636" t="s">
        <v>641</v>
      </c>
    </row>
    <row r="637" spans="1:13">
      <c r="A637">
        <v>635</v>
      </c>
      <c r="B637">
        <v>23</v>
      </c>
      <c r="C637">
        <v>1</v>
      </c>
      <c r="D637">
        <v>1</v>
      </c>
      <c r="E637">
        <v>2</v>
      </c>
      <c r="G637">
        <v>-1.2957080360279389</v>
      </c>
      <c r="H637">
        <v>-1.3116180379172264</v>
      </c>
      <c r="I637">
        <v>-0.97816295229839889</v>
      </c>
      <c r="K637">
        <v>-1.1951630087478546</v>
      </c>
      <c r="M637" t="s">
        <v>642</v>
      </c>
    </row>
    <row r="638" spans="1:13">
      <c r="A638">
        <v>636</v>
      </c>
      <c r="B638">
        <v>168</v>
      </c>
      <c r="C638">
        <v>1</v>
      </c>
      <c r="D638">
        <v>1</v>
      </c>
      <c r="E638">
        <v>3</v>
      </c>
      <c r="G638">
        <v>-2.1592894817362089</v>
      </c>
      <c r="H638">
        <v>-2.1751994836254962</v>
      </c>
      <c r="I638">
        <v>-1.6656531389509879</v>
      </c>
      <c r="K638">
        <v>-2.0000473681042314</v>
      </c>
      <c r="M638" t="s">
        <v>643</v>
      </c>
    </row>
    <row r="639" spans="1:13">
      <c r="A639">
        <v>637</v>
      </c>
      <c r="B639">
        <v>2</v>
      </c>
      <c r="C639">
        <v>0</v>
      </c>
      <c r="D639">
        <v>0</v>
      </c>
      <c r="E639">
        <v>0</v>
      </c>
      <c r="G639">
        <v>-1.8</v>
      </c>
      <c r="H639">
        <v>-1.8</v>
      </c>
      <c r="I639">
        <v>-1.8</v>
      </c>
      <c r="K639">
        <v>-1.8</v>
      </c>
      <c r="M639" t="s">
        <v>644</v>
      </c>
    </row>
    <row r="640" spans="1:13">
      <c r="A640">
        <v>638</v>
      </c>
      <c r="B640">
        <v>65</v>
      </c>
      <c r="C640">
        <v>0</v>
      </c>
      <c r="D640">
        <v>1</v>
      </c>
      <c r="E640">
        <v>2</v>
      </c>
      <c r="G640">
        <v>-1.8</v>
      </c>
      <c r="H640">
        <v>-1.762803558542489</v>
      </c>
      <c r="I640">
        <v>-1.4293484729236619</v>
      </c>
      <c r="K640">
        <v>-1.8</v>
      </c>
      <c r="M640" t="s">
        <v>645</v>
      </c>
    </row>
    <row r="641" spans="1:13">
      <c r="A641">
        <v>639</v>
      </c>
      <c r="B641">
        <v>8</v>
      </c>
      <c r="C641">
        <v>0</v>
      </c>
      <c r="D641">
        <v>0</v>
      </c>
      <c r="E641">
        <v>0</v>
      </c>
      <c r="G641">
        <v>-1.8</v>
      </c>
      <c r="H641">
        <v>-1.8</v>
      </c>
      <c r="I641">
        <v>-1.8</v>
      </c>
      <c r="K641">
        <v>-1.8</v>
      </c>
      <c r="M641" t="s">
        <v>646</v>
      </c>
    </row>
    <row r="642" spans="1:13">
      <c r="A642">
        <v>640</v>
      </c>
      <c r="B642">
        <v>14</v>
      </c>
      <c r="C642">
        <v>0</v>
      </c>
      <c r="D642">
        <v>0</v>
      </c>
      <c r="E642">
        <v>0</v>
      </c>
      <c r="G642">
        <v>-1.8</v>
      </c>
      <c r="H642">
        <v>-1.8</v>
      </c>
      <c r="I642">
        <v>-1.8</v>
      </c>
      <c r="K642">
        <v>-1.8</v>
      </c>
      <c r="M642" t="s">
        <v>647</v>
      </c>
    </row>
    <row r="643" spans="1:13">
      <c r="A643">
        <v>641</v>
      </c>
      <c r="B643">
        <v>162</v>
      </c>
      <c r="C643">
        <v>0</v>
      </c>
      <c r="D643">
        <v>0</v>
      </c>
      <c r="E643">
        <v>2</v>
      </c>
      <c r="G643">
        <v>-1.8</v>
      </c>
      <c r="H643">
        <v>-1.8</v>
      </c>
      <c r="I643">
        <v>-1.8259501308234372</v>
      </c>
      <c r="K643">
        <v>-1.8</v>
      </c>
      <c r="M643" t="s">
        <v>648</v>
      </c>
    </row>
    <row r="644" spans="1:13">
      <c r="A644">
        <v>642</v>
      </c>
      <c r="B644">
        <v>98</v>
      </c>
      <c r="C644">
        <v>0</v>
      </c>
      <c r="D644">
        <v>0</v>
      </c>
      <c r="E644">
        <v>1</v>
      </c>
      <c r="G644">
        <v>-1.8</v>
      </c>
      <c r="H644">
        <v>-1.8</v>
      </c>
      <c r="I644">
        <v>-1.9086911876372823</v>
      </c>
      <c r="K644">
        <v>-1.8</v>
      </c>
      <c r="M644" t="s">
        <v>649</v>
      </c>
    </row>
    <row r="645" spans="1:13">
      <c r="A645">
        <v>643</v>
      </c>
      <c r="B645">
        <v>63</v>
      </c>
      <c r="C645">
        <v>1</v>
      </c>
      <c r="D645">
        <v>1</v>
      </c>
      <c r="E645">
        <v>1</v>
      </c>
      <c r="G645">
        <v>-1.7333207494639278</v>
      </c>
      <c r="H645">
        <v>-1.7492307513532153</v>
      </c>
      <c r="I645">
        <v>-1.7168056613983691</v>
      </c>
      <c r="K645">
        <v>-1.7331190540718373</v>
      </c>
      <c r="M645" t="s">
        <v>650</v>
      </c>
    </row>
    <row r="646" spans="1:13">
      <c r="A646">
        <v>644</v>
      </c>
      <c r="B646">
        <v>55</v>
      </c>
      <c r="C646">
        <v>3</v>
      </c>
      <c r="D646">
        <v>0</v>
      </c>
      <c r="E646">
        <v>2</v>
      </c>
      <c r="G646">
        <v>-1.1972216347849276</v>
      </c>
      <c r="H646">
        <v>-1.8</v>
      </c>
      <c r="I646">
        <v>-1.35679780577505</v>
      </c>
      <c r="K646">
        <v>-1.8</v>
      </c>
      <c r="M646" t="s">
        <v>651</v>
      </c>
    </row>
    <row r="647" spans="1:13">
      <c r="A647">
        <v>645</v>
      </c>
      <c r="B647">
        <v>61</v>
      </c>
      <c r="C647">
        <v>0</v>
      </c>
      <c r="D647">
        <v>4</v>
      </c>
      <c r="E647">
        <v>0</v>
      </c>
      <c r="G647">
        <v>-1.8</v>
      </c>
      <c r="H647">
        <v>-1.1331600455824382</v>
      </c>
      <c r="I647">
        <v>-1.8</v>
      </c>
      <c r="K647">
        <v>-1.8</v>
      </c>
      <c r="M647" t="s">
        <v>652</v>
      </c>
    </row>
    <row r="648" spans="1:13">
      <c r="A648">
        <v>646</v>
      </c>
      <c r="B648">
        <v>55</v>
      </c>
      <c r="C648">
        <v>2</v>
      </c>
      <c r="D648">
        <v>0</v>
      </c>
      <c r="E648">
        <v>3</v>
      </c>
      <c r="G648">
        <v>-1.3733128938406087</v>
      </c>
      <c r="H648">
        <v>-1.8</v>
      </c>
      <c r="I648">
        <v>-1.1807065467193689</v>
      </c>
      <c r="K648">
        <v>-1.8</v>
      </c>
      <c r="M648" t="s">
        <v>653</v>
      </c>
    </row>
    <row r="649" spans="1:13">
      <c r="A649">
        <v>647</v>
      </c>
      <c r="B649">
        <v>30</v>
      </c>
      <c r="C649">
        <v>1</v>
      </c>
      <c r="D649">
        <v>1</v>
      </c>
      <c r="E649">
        <v>0</v>
      </c>
      <c r="G649">
        <v>-1.4111014547300085</v>
      </c>
      <c r="H649">
        <v>-1.427011456619296</v>
      </c>
      <c r="I649">
        <v>-1.8</v>
      </c>
      <c r="K649">
        <v>-1.8</v>
      </c>
      <c r="M649" t="s">
        <v>654</v>
      </c>
    </row>
    <row r="650" spans="1:13">
      <c r="A650">
        <v>648</v>
      </c>
      <c r="B650">
        <v>62</v>
      </c>
      <c r="C650">
        <v>0</v>
      </c>
      <c r="D650">
        <v>0</v>
      </c>
      <c r="E650">
        <v>0</v>
      </c>
      <c r="G650">
        <v>-1.8</v>
      </c>
      <c r="H650">
        <v>-1.8</v>
      </c>
      <c r="I650">
        <v>-1.8</v>
      </c>
      <c r="K650">
        <v>-1.8</v>
      </c>
      <c r="M650" t="s">
        <v>655</v>
      </c>
    </row>
    <row r="651" spans="1:13">
      <c r="A651">
        <v>649</v>
      </c>
      <c r="B651">
        <v>20</v>
      </c>
      <c r="C651">
        <v>0</v>
      </c>
      <c r="D651">
        <v>0</v>
      </c>
      <c r="E651">
        <v>0</v>
      </c>
      <c r="G651">
        <v>-1.8</v>
      </c>
      <c r="H651">
        <v>-1.8</v>
      </c>
      <c r="I651">
        <v>-1.8</v>
      </c>
      <c r="K651">
        <v>-1.8</v>
      </c>
      <c r="M651" t="s">
        <v>656</v>
      </c>
    </row>
    <row r="652" spans="1:13">
      <c r="A652">
        <v>650</v>
      </c>
      <c r="B652">
        <v>163</v>
      </c>
      <c r="C652">
        <v>39</v>
      </c>
      <c r="D652">
        <v>1237</v>
      </c>
      <c r="E652">
        <v>21</v>
      </c>
      <c r="G652">
        <v>-0.55510319738780456</v>
      </c>
      <c r="H652">
        <v>0.93029189332552942</v>
      </c>
      <c r="I652">
        <v>-0.80743342161482579</v>
      </c>
      <c r="K652">
        <v>-0.14408157522570031</v>
      </c>
      <c r="M652" t="s">
        <v>657</v>
      </c>
    </row>
    <row r="653" spans="1:13">
      <c r="A653">
        <v>651</v>
      </c>
      <c r="B653">
        <v>119</v>
      </c>
      <c r="C653">
        <v>1</v>
      </c>
      <c r="D653">
        <v>2</v>
      </c>
      <c r="E653">
        <v>4</v>
      </c>
      <c r="G653">
        <v>-2.0095271614028767</v>
      </c>
      <c r="H653">
        <v>-1.7244071676281831</v>
      </c>
      <c r="I653">
        <v>-1.3909520820093557</v>
      </c>
      <c r="K653">
        <v>-1.7082954703468054</v>
      </c>
      <c r="M653" t="s">
        <v>658</v>
      </c>
    </row>
    <row r="654" spans="1:13">
      <c r="A654">
        <v>652</v>
      </c>
      <c r="B654">
        <v>58</v>
      </c>
      <c r="C654">
        <v>3</v>
      </c>
      <c r="D654">
        <v>1</v>
      </c>
      <c r="E654">
        <v>1</v>
      </c>
      <c r="G654">
        <v>-1.2202869388536211</v>
      </c>
      <c r="H654">
        <v>-1.7133181954625709</v>
      </c>
      <c r="I654">
        <v>-1.6808931055077247</v>
      </c>
      <c r="K654">
        <v>-1.5381660799413055</v>
      </c>
      <c r="M654" t="s">
        <v>659</v>
      </c>
    </row>
    <row r="655" spans="1:13">
      <c r="A655">
        <v>653</v>
      </c>
      <c r="B655">
        <v>58</v>
      </c>
      <c r="C655">
        <v>0</v>
      </c>
      <c r="D655">
        <v>0</v>
      </c>
      <c r="E655">
        <v>0</v>
      </c>
      <c r="G655">
        <v>-1.8</v>
      </c>
      <c r="H655">
        <v>-1.8</v>
      </c>
      <c r="I655">
        <v>-1.8</v>
      </c>
      <c r="K655">
        <v>-1.8</v>
      </c>
      <c r="M655" t="s">
        <v>660</v>
      </c>
    </row>
    <row r="656" spans="1:13">
      <c r="A656">
        <v>654</v>
      </c>
      <c r="B656">
        <v>55</v>
      </c>
      <c r="C656">
        <v>8</v>
      </c>
      <c r="D656">
        <v>7</v>
      </c>
      <c r="E656">
        <v>2</v>
      </c>
      <c r="G656">
        <v>-0.77125290251264622</v>
      </c>
      <c r="H656">
        <v>-0.84515485137962054</v>
      </c>
      <c r="I656">
        <v>-1.35679780577505</v>
      </c>
      <c r="K656">
        <v>-0.99106851988910571</v>
      </c>
      <c r="M656" t="s">
        <v>661</v>
      </c>
    </row>
    <row r="657" spans="1:13">
      <c r="A657">
        <v>655</v>
      </c>
      <c r="B657">
        <v>195</v>
      </c>
      <c r="C657">
        <v>2</v>
      </c>
      <c r="D657">
        <v>3</v>
      </c>
      <c r="E657">
        <v>0</v>
      </c>
      <c r="G657">
        <v>-1.9229848157088829</v>
      </c>
      <c r="H657">
        <v>-1.762803558542489</v>
      </c>
      <c r="I657">
        <v>-1.8</v>
      </c>
      <c r="K657">
        <v>-1.8</v>
      </c>
      <c r="M657" t="s">
        <v>662</v>
      </c>
    </row>
    <row r="658" spans="1:13">
      <c r="A658">
        <v>656</v>
      </c>
      <c r="B658">
        <v>41</v>
      </c>
      <c r="C658">
        <v>480</v>
      </c>
      <c r="D658">
        <v>341</v>
      </c>
      <c r="E658">
        <v>256</v>
      </c>
      <c r="G658">
        <v>1.1344771806455056</v>
      </c>
      <c r="H658">
        <v>0.97008032037312875</v>
      </c>
      <c r="I658">
        <v>0.87799099664732683</v>
      </c>
      <c r="K658">
        <v>0.99418283255532047</v>
      </c>
      <c r="M658" t="s">
        <v>663</v>
      </c>
    </row>
    <row r="659" spans="1:13">
      <c r="A659">
        <v>657</v>
      </c>
      <c r="B659">
        <v>24</v>
      </c>
      <c r="C659">
        <v>0</v>
      </c>
      <c r="D659">
        <v>0</v>
      </c>
      <c r="E659">
        <v>1</v>
      </c>
      <c r="G659">
        <v>-1.8</v>
      </c>
      <c r="H659">
        <v>-1.8</v>
      </c>
      <c r="I659">
        <v>-1.2976763536563936</v>
      </c>
      <c r="K659">
        <v>-1.8</v>
      </c>
      <c r="M659" t="s">
        <v>664</v>
      </c>
    </row>
    <row r="660" spans="1:13">
      <c r="A660">
        <v>658</v>
      </c>
      <c r="B660">
        <v>152</v>
      </c>
      <c r="C660">
        <v>1</v>
      </c>
      <c r="D660">
        <v>2</v>
      </c>
      <c r="E660">
        <v>2</v>
      </c>
      <c r="G660">
        <v>-2.1158237879551187</v>
      </c>
      <c r="H660">
        <v>-1.8307037941804249</v>
      </c>
      <c r="I660">
        <v>-1.7982787042255788</v>
      </c>
      <c r="K660">
        <v>-1.914935428787041</v>
      </c>
      <c r="M660" t="s">
        <v>665</v>
      </c>
    </row>
    <row r="661" spans="1:13">
      <c r="A661">
        <v>659</v>
      </c>
      <c r="B661">
        <v>29</v>
      </c>
      <c r="C661">
        <v>0</v>
      </c>
      <c r="D661">
        <v>1</v>
      </c>
      <c r="E661">
        <v>2</v>
      </c>
      <c r="G661">
        <v>-1.8</v>
      </c>
      <c r="H661">
        <v>-1.4122881997985897</v>
      </c>
      <c r="I661">
        <v>-1.0788331141797622</v>
      </c>
      <c r="K661">
        <v>-1.8</v>
      </c>
      <c r="M661" t="s">
        <v>666</v>
      </c>
    </row>
    <row r="662" spans="1:13">
      <c r="A662">
        <v>660</v>
      </c>
      <c r="B662">
        <v>193</v>
      </c>
      <c r="C662">
        <v>1</v>
      </c>
      <c r="D662">
        <v>0</v>
      </c>
      <c r="E662">
        <v>1</v>
      </c>
      <c r="G662">
        <v>-2.21953750901812</v>
      </c>
      <c r="H662">
        <v>-1.8</v>
      </c>
      <c r="I662">
        <v>-2.2030224209525611</v>
      </c>
      <c r="K662">
        <v>-1.8</v>
      </c>
      <c r="M662" t="s">
        <v>667</v>
      </c>
    </row>
    <row r="663" spans="1:13">
      <c r="A663">
        <v>661</v>
      </c>
      <c r="B663">
        <v>140</v>
      </c>
      <c r="C663">
        <v>0</v>
      </c>
      <c r="D663">
        <v>1</v>
      </c>
      <c r="E663">
        <v>1</v>
      </c>
      <c r="G663">
        <v>-1.8</v>
      </c>
      <c r="H663">
        <v>-2.0960182375778715</v>
      </c>
      <c r="I663">
        <v>-2.0635931476230254</v>
      </c>
      <c r="K663">
        <v>-1.8</v>
      </c>
      <c r="M663" t="s">
        <v>668</v>
      </c>
    </row>
    <row r="664" spans="1:13">
      <c r="A664">
        <v>662</v>
      </c>
      <c r="B664">
        <v>7</v>
      </c>
      <c r="C664">
        <v>0</v>
      </c>
      <c r="D664">
        <v>0</v>
      </c>
      <c r="E664">
        <v>1</v>
      </c>
      <c r="G664">
        <v>-1.8</v>
      </c>
      <c r="H664">
        <v>-1.8</v>
      </c>
      <c r="I664">
        <v>-0.76256315195904412</v>
      </c>
      <c r="K664">
        <v>-1.8</v>
      </c>
      <c r="M664" t="s">
        <v>669</v>
      </c>
    </row>
    <row r="665" spans="1:13">
      <c r="A665">
        <v>663</v>
      </c>
      <c r="B665">
        <v>59</v>
      </c>
      <c r="C665">
        <v>1</v>
      </c>
      <c r="D665">
        <v>0</v>
      </c>
      <c r="E665">
        <v>1</v>
      </c>
      <c r="G665">
        <v>-1.7048322116524903</v>
      </c>
      <c r="H665">
        <v>-1.8</v>
      </c>
      <c r="I665">
        <v>-1.6883171235869316</v>
      </c>
      <c r="K665">
        <v>-1.8</v>
      </c>
      <c r="M665" t="s">
        <v>670</v>
      </c>
    </row>
    <row r="666" spans="1:13">
      <c r="A666">
        <v>664</v>
      </c>
      <c r="B666">
        <v>53</v>
      </c>
      <c r="C666">
        <v>0</v>
      </c>
      <c r="D666">
        <v>1</v>
      </c>
      <c r="E666">
        <v>0</v>
      </c>
      <c r="G666">
        <v>-1.8</v>
      </c>
      <c r="H666">
        <v>-1.6741660715004227</v>
      </c>
      <c r="I666">
        <v>-1.8</v>
      </c>
      <c r="K666">
        <v>-1.8</v>
      </c>
      <c r="M666" t="s">
        <v>671</v>
      </c>
    </row>
    <row r="667" spans="1:13">
      <c r="A667">
        <v>665</v>
      </c>
      <c r="B667">
        <v>107</v>
      </c>
      <c r="C667">
        <v>3</v>
      </c>
      <c r="D667">
        <v>2</v>
      </c>
      <c r="E667">
        <v>0</v>
      </c>
      <c r="G667">
        <v>-1.4862427229758932</v>
      </c>
      <c r="H667">
        <v>-1.678243983920862</v>
      </c>
      <c r="I667">
        <v>-1.8</v>
      </c>
      <c r="K667">
        <v>-1.8</v>
      </c>
      <c r="M667" t="s">
        <v>672</v>
      </c>
    </row>
    <row r="668" spans="1:13">
      <c r="A668">
        <v>666</v>
      </c>
      <c r="B668">
        <v>69</v>
      </c>
      <c r="C668">
        <v>0</v>
      </c>
      <c r="D668">
        <v>0</v>
      </c>
      <c r="E668">
        <v>0</v>
      </c>
      <c r="G668">
        <v>-1.8</v>
      </c>
      <c r="H668">
        <v>-1.8</v>
      </c>
      <c r="I668">
        <v>-1.8</v>
      </c>
      <c r="K668">
        <v>-1.8</v>
      </c>
      <c r="M668" t="s">
        <v>673</v>
      </c>
    </row>
    <row r="669" spans="1:13">
      <c r="A669">
        <v>667</v>
      </c>
      <c r="B669">
        <v>62</v>
      </c>
      <c r="C669">
        <v>0</v>
      </c>
      <c r="D669">
        <v>0</v>
      </c>
      <c r="E669">
        <v>0</v>
      </c>
      <c r="G669">
        <v>-1.8</v>
      </c>
      <c r="H669">
        <v>-1.8</v>
      </c>
      <c r="I669">
        <v>-1.8</v>
      </c>
      <c r="K669">
        <v>-1.8</v>
      </c>
      <c r="M669" t="s">
        <v>674</v>
      </c>
    </row>
    <row r="670" spans="1:13">
      <c r="A670">
        <v>668</v>
      </c>
      <c r="B670">
        <v>39</v>
      </c>
      <c r="C670">
        <v>0</v>
      </c>
      <c r="D670">
        <v>0</v>
      </c>
      <c r="E670">
        <v>0</v>
      </c>
      <c r="G670">
        <v>-1.8</v>
      </c>
      <c r="H670">
        <v>-1.8</v>
      </c>
      <c r="I670">
        <v>-1.8</v>
      </c>
      <c r="K670">
        <v>-1.8</v>
      </c>
      <c r="M670" t="s">
        <v>675</v>
      </c>
    </row>
    <row r="671" spans="1:13">
      <c r="A671">
        <v>669</v>
      </c>
      <c r="B671">
        <v>61</v>
      </c>
      <c r="C671">
        <v>0</v>
      </c>
      <c r="D671">
        <v>0</v>
      </c>
      <c r="E671">
        <v>1</v>
      </c>
      <c r="G671">
        <v>-1.8</v>
      </c>
      <c r="H671">
        <v>-1.8</v>
      </c>
      <c r="I671">
        <v>-1.7027949469555543</v>
      </c>
      <c r="K671">
        <v>-1.8</v>
      </c>
      <c r="M671" t="s">
        <v>676</v>
      </c>
    </row>
    <row r="672" spans="1:13">
      <c r="A672">
        <v>670</v>
      </c>
      <c r="B672">
        <v>14</v>
      </c>
      <c r="C672">
        <v>0</v>
      </c>
      <c r="D672">
        <v>0</v>
      </c>
      <c r="E672">
        <v>0</v>
      </c>
      <c r="G672">
        <v>-1.8</v>
      </c>
      <c r="H672">
        <v>-1.8</v>
      </c>
      <c r="I672">
        <v>-1.8</v>
      </c>
      <c r="K672">
        <v>-1.8</v>
      </c>
      <c r="M672" t="s">
        <v>677</v>
      </c>
    </row>
    <row r="673" spans="1:13">
      <c r="A673">
        <v>671</v>
      </c>
      <c r="B673">
        <v>87</v>
      </c>
      <c r="C673">
        <v>4</v>
      </c>
      <c r="D673">
        <v>1</v>
      </c>
      <c r="E673">
        <v>0</v>
      </c>
      <c r="G673">
        <v>-1.2714394613010023</v>
      </c>
      <c r="H673">
        <v>-1.889409454518252</v>
      </c>
      <c r="I673">
        <v>-1.8</v>
      </c>
      <c r="K673">
        <v>-1.8</v>
      </c>
      <c r="M673" t="s">
        <v>678</v>
      </c>
    </row>
    <row r="674" spans="1:13">
      <c r="A674">
        <v>672</v>
      </c>
      <c r="B674">
        <v>8</v>
      </c>
      <c r="C674">
        <v>0</v>
      </c>
      <c r="D674">
        <v>0</v>
      </c>
      <c r="E674">
        <v>0</v>
      </c>
      <c r="G674">
        <v>-1.8</v>
      </c>
      <c r="H674">
        <v>-1.8</v>
      </c>
      <c r="I674">
        <v>-1.8</v>
      </c>
      <c r="K674">
        <v>-1.8</v>
      </c>
      <c r="M674" t="s">
        <v>679</v>
      </c>
    </row>
    <row r="675" spans="1:13">
      <c r="A675">
        <v>673</v>
      </c>
      <c r="B675">
        <v>61</v>
      </c>
      <c r="C675">
        <v>0</v>
      </c>
      <c r="D675">
        <v>0</v>
      </c>
      <c r="E675">
        <v>0</v>
      </c>
      <c r="G675">
        <v>-1.8</v>
      </c>
      <c r="H675">
        <v>-1.8</v>
      </c>
      <c r="I675">
        <v>-1.8</v>
      </c>
      <c r="K675">
        <v>-1.8</v>
      </c>
      <c r="M675" t="s">
        <v>680</v>
      </c>
    </row>
    <row r="676" spans="1:13">
      <c r="A676">
        <v>674</v>
      </c>
      <c r="B676">
        <v>122</v>
      </c>
      <c r="C676">
        <v>0</v>
      </c>
      <c r="D676">
        <v>1</v>
      </c>
      <c r="E676">
        <v>3</v>
      </c>
      <c r="G676">
        <v>-1.8</v>
      </c>
      <c r="H676">
        <v>-2.0362500325743818</v>
      </c>
      <c r="I676">
        <v>-1.5267036878998732</v>
      </c>
      <c r="K676">
        <v>-1.8</v>
      </c>
      <c r="M676" t="s">
        <v>681</v>
      </c>
    </row>
    <row r="677" spans="1:13">
      <c r="A677">
        <v>675</v>
      </c>
      <c r="B677">
        <v>40</v>
      </c>
      <c r="C677">
        <v>0</v>
      </c>
      <c r="D677">
        <v>1</v>
      </c>
      <c r="E677">
        <v>0</v>
      </c>
      <c r="G677">
        <v>-1.8</v>
      </c>
      <c r="H677">
        <v>-1.5519501932275959</v>
      </c>
      <c r="I677">
        <v>-1.8</v>
      </c>
      <c r="K677">
        <v>-1.8</v>
      </c>
      <c r="M677" t="s">
        <v>682</v>
      </c>
    </row>
    <row r="678" spans="1:13">
      <c r="A678">
        <v>676</v>
      </c>
      <c r="B678">
        <v>93</v>
      </c>
      <c r="C678">
        <v>0</v>
      </c>
      <c r="D678">
        <v>0</v>
      </c>
      <c r="E678">
        <v>0</v>
      </c>
      <c r="G678">
        <v>-1.8</v>
      </c>
      <c r="H678">
        <v>-1.8</v>
      </c>
      <c r="I678">
        <v>-1.8</v>
      </c>
      <c r="K678">
        <v>-1.8</v>
      </c>
      <c r="M678" t="s">
        <v>683</v>
      </c>
    </row>
    <row r="679" spans="1:13">
      <c r="A679">
        <v>677</v>
      </c>
      <c r="B679">
        <v>67</v>
      </c>
      <c r="C679">
        <v>1</v>
      </c>
      <c r="D679">
        <v>5</v>
      </c>
      <c r="E679">
        <v>13</v>
      </c>
      <c r="G679">
        <v>-1.7600550027111725</v>
      </c>
      <c r="H679">
        <v>-1.0769950002644413</v>
      </c>
      <c r="I679">
        <v>-0.62959656233877692</v>
      </c>
      <c r="K679">
        <v>-1.155548855104797</v>
      </c>
      <c r="M679" t="s">
        <v>684</v>
      </c>
    </row>
    <row r="680" spans="1:13">
      <c r="A680">
        <v>678</v>
      </c>
      <c r="B680">
        <v>138</v>
      </c>
      <c r="C680">
        <v>1</v>
      </c>
      <c r="D680">
        <v>2</v>
      </c>
      <c r="E680">
        <v>5</v>
      </c>
      <c r="G680">
        <v>-2.0738592864115826</v>
      </c>
      <c r="H680">
        <v>-1.7887392926368888</v>
      </c>
      <c r="I680">
        <v>-1.3583741940100051</v>
      </c>
      <c r="K680">
        <v>-1.7403242576861588</v>
      </c>
      <c r="M680" t="s">
        <v>685</v>
      </c>
    </row>
    <row r="681" spans="1:13">
      <c r="A681">
        <v>679</v>
      </c>
      <c r="B681">
        <v>32</v>
      </c>
      <c r="C681">
        <v>0</v>
      </c>
      <c r="D681">
        <v>0</v>
      </c>
      <c r="E681">
        <v>0</v>
      </c>
      <c r="G681">
        <v>-1.8</v>
      </c>
      <c r="H681">
        <v>-1.8</v>
      </c>
      <c r="I681">
        <v>-1.8</v>
      </c>
      <c r="K681">
        <v>-1.8</v>
      </c>
      <c r="M681" t="s">
        <v>686</v>
      </c>
    </row>
    <row r="682" spans="1:13">
      <c r="A682">
        <v>680</v>
      </c>
      <c r="B682">
        <v>5</v>
      </c>
      <c r="C682">
        <v>0</v>
      </c>
      <c r="D682">
        <v>0</v>
      </c>
      <c r="E682">
        <v>0</v>
      </c>
      <c r="G682">
        <v>-1.8</v>
      </c>
      <c r="H682">
        <v>-1.8</v>
      </c>
      <c r="I682">
        <v>-1.8</v>
      </c>
      <c r="K682">
        <v>-1.8</v>
      </c>
      <c r="M682" t="s">
        <v>687</v>
      </c>
    </row>
    <row r="683" spans="1:13">
      <c r="A683">
        <v>681</v>
      </c>
      <c r="B683">
        <v>16</v>
      </c>
      <c r="C683">
        <v>0</v>
      </c>
      <c r="D683">
        <v>1</v>
      </c>
      <c r="E683">
        <v>0</v>
      </c>
      <c r="G683">
        <v>-1.8</v>
      </c>
      <c r="H683">
        <v>-1.1540101845555584</v>
      </c>
      <c r="I683">
        <v>-1.8</v>
      </c>
      <c r="K683">
        <v>-1.8</v>
      </c>
      <c r="M683" t="s">
        <v>688</v>
      </c>
    </row>
    <row r="684" spans="1:13">
      <c r="A684">
        <v>682</v>
      </c>
      <c r="B684">
        <v>41</v>
      </c>
      <c r="C684">
        <v>1</v>
      </c>
      <c r="D684">
        <v>1</v>
      </c>
      <c r="E684">
        <v>0</v>
      </c>
      <c r="G684">
        <v>-1.5467640567300815</v>
      </c>
      <c r="H684">
        <v>-1.562674058619369</v>
      </c>
      <c r="I684">
        <v>-1.8</v>
      </c>
      <c r="K684">
        <v>-1.8</v>
      </c>
      <c r="M684" t="s">
        <v>689</v>
      </c>
    </row>
    <row r="685" spans="1:13">
      <c r="A685">
        <v>683</v>
      </c>
      <c r="B685">
        <v>14</v>
      </c>
      <c r="C685">
        <v>0</v>
      </c>
      <c r="D685">
        <v>0</v>
      </c>
      <c r="E685">
        <v>0</v>
      </c>
      <c r="G685">
        <v>-1.8</v>
      </c>
      <c r="H685">
        <v>-1.8</v>
      </c>
      <c r="I685">
        <v>-1.8</v>
      </c>
      <c r="K685">
        <v>-1.8</v>
      </c>
      <c r="M685" t="s">
        <v>690</v>
      </c>
    </row>
    <row r="686" spans="1:13">
      <c r="A686">
        <v>684</v>
      </c>
      <c r="B686">
        <v>60</v>
      </c>
      <c r="C686">
        <v>1</v>
      </c>
      <c r="D686">
        <v>0</v>
      </c>
      <c r="E686">
        <v>0</v>
      </c>
      <c r="G686">
        <v>-1.7121314503939897</v>
      </c>
      <c r="H686">
        <v>-1.8</v>
      </c>
      <c r="I686">
        <v>-1.8</v>
      </c>
      <c r="K686">
        <v>-1.8</v>
      </c>
      <c r="M686" t="s">
        <v>691</v>
      </c>
    </row>
    <row r="687" spans="1:13">
      <c r="A687">
        <v>685</v>
      </c>
      <c r="B687">
        <v>79</v>
      </c>
      <c r="C687">
        <v>0</v>
      </c>
      <c r="D687">
        <v>0</v>
      </c>
      <c r="E687">
        <v>0</v>
      </c>
      <c r="G687">
        <v>-1.8</v>
      </c>
      <c r="H687">
        <v>-1.8</v>
      </c>
      <c r="I687">
        <v>-1.8</v>
      </c>
      <c r="K687">
        <v>-1.8</v>
      </c>
      <c r="M687" t="s">
        <v>692</v>
      </c>
    </row>
    <row r="688" spans="1:13">
      <c r="A688">
        <v>686</v>
      </c>
      <c r="B688">
        <v>47</v>
      </c>
      <c r="C688">
        <v>0</v>
      </c>
      <c r="D688">
        <v>0</v>
      </c>
      <c r="E688">
        <v>1</v>
      </c>
      <c r="G688">
        <v>-1.8</v>
      </c>
      <c r="H688">
        <v>-1.8</v>
      </c>
      <c r="I688">
        <v>-1.5895629698805049</v>
      </c>
      <c r="K688">
        <v>-1.8</v>
      </c>
      <c r="M688" t="s">
        <v>693</v>
      </c>
    </row>
    <row r="689" spans="1:13">
      <c r="A689">
        <v>687</v>
      </c>
      <c r="B689">
        <v>23</v>
      </c>
      <c r="C689">
        <v>0</v>
      </c>
      <c r="D689">
        <v>0</v>
      </c>
      <c r="E689">
        <v>2</v>
      </c>
      <c r="G689">
        <v>-1.8</v>
      </c>
      <c r="H689">
        <v>-1.8</v>
      </c>
      <c r="I689">
        <v>-0.97816295229839889</v>
      </c>
      <c r="K689">
        <v>-1.8</v>
      </c>
      <c r="M689" t="s">
        <v>694</v>
      </c>
    </row>
    <row r="690" spans="1:13">
      <c r="A690">
        <v>688</v>
      </c>
      <c r="B690">
        <v>134</v>
      </c>
      <c r="C690">
        <v>24</v>
      </c>
      <c r="D690">
        <v>91</v>
      </c>
      <c r="E690">
        <v>18</v>
      </c>
      <c r="G690">
        <v>-0.68087375666354766</v>
      </c>
      <c r="H690">
        <v>-0.11795360794334757</v>
      </c>
      <c r="I690">
        <v>-0.78929740520628888</v>
      </c>
      <c r="K690">
        <v>-0.52937492327106128</v>
      </c>
      <c r="M690" t="s">
        <v>695</v>
      </c>
    </row>
    <row r="691" spans="1:13">
      <c r="A691">
        <v>689</v>
      </c>
      <c r="B691">
        <v>12</v>
      </c>
      <c r="C691">
        <v>1</v>
      </c>
      <c r="D691">
        <v>0</v>
      </c>
      <c r="E691">
        <v>0</v>
      </c>
      <c r="G691">
        <v>-1.013161446057971</v>
      </c>
      <c r="H691">
        <v>-1.8</v>
      </c>
      <c r="I691">
        <v>-1.8</v>
      </c>
      <c r="K691">
        <v>-1.8</v>
      </c>
      <c r="M691" t="s">
        <v>696</v>
      </c>
    </row>
    <row r="692" spans="1:13">
      <c r="A692">
        <v>690</v>
      </c>
      <c r="B692">
        <v>109</v>
      </c>
      <c r="C692">
        <v>2</v>
      </c>
      <c r="D692">
        <v>1</v>
      </c>
      <c r="E692">
        <v>0</v>
      </c>
      <c r="G692">
        <v>-1.6703767022869884</v>
      </c>
      <c r="H692">
        <v>-1.9873166998402574</v>
      </c>
      <c r="I692">
        <v>-1.8</v>
      </c>
      <c r="K692">
        <v>-1.8</v>
      </c>
      <c r="M692" t="s">
        <v>697</v>
      </c>
    </row>
    <row r="693" spans="1:13">
      <c r="A693">
        <v>691</v>
      </c>
      <c r="B693">
        <v>102</v>
      </c>
      <c r="C693">
        <v>0</v>
      </c>
      <c r="D693">
        <v>0</v>
      </c>
      <c r="E693">
        <v>1</v>
      </c>
      <c r="G693">
        <v>-1.8</v>
      </c>
      <c r="H693">
        <v>-1.8</v>
      </c>
      <c r="I693">
        <v>-1.9260652837067049</v>
      </c>
      <c r="K693">
        <v>-1.8</v>
      </c>
      <c r="M693" t="s">
        <v>698</v>
      </c>
    </row>
    <row r="694" spans="1:13">
      <c r="A694">
        <v>692</v>
      </c>
      <c r="B694">
        <v>25</v>
      </c>
      <c r="C694">
        <v>2</v>
      </c>
      <c r="D694">
        <v>0</v>
      </c>
      <c r="E694">
        <v>0</v>
      </c>
      <c r="G694">
        <v>-1.0308902130184026</v>
      </c>
      <c r="H694">
        <v>-1.8</v>
      </c>
      <c r="I694">
        <v>-1.8</v>
      </c>
      <c r="K694">
        <v>-1.8</v>
      </c>
      <c r="M694" t="s">
        <v>699</v>
      </c>
    </row>
    <row r="695" spans="1:13">
      <c r="A695">
        <v>693</v>
      </c>
      <c r="B695">
        <v>10</v>
      </c>
      <c r="C695">
        <v>0</v>
      </c>
      <c r="D695">
        <v>0</v>
      </c>
      <c r="E695">
        <v>0</v>
      </c>
      <c r="G695">
        <v>-1.8</v>
      </c>
      <c r="H695">
        <v>-1.8</v>
      </c>
      <c r="I695">
        <v>-1.8</v>
      </c>
      <c r="K695">
        <v>-1.8</v>
      </c>
      <c r="M695" t="s">
        <v>700</v>
      </c>
    </row>
    <row r="696" spans="1:13">
      <c r="A696">
        <v>694</v>
      </c>
      <c r="B696">
        <v>167</v>
      </c>
      <c r="C696">
        <v>1</v>
      </c>
      <c r="D696">
        <v>0</v>
      </c>
      <c r="E696">
        <v>0</v>
      </c>
      <c r="G696">
        <v>-2.1566966711579294</v>
      </c>
      <c r="H696">
        <v>-1.8</v>
      </c>
      <c r="I696">
        <v>-1.8</v>
      </c>
      <c r="K696">
        <v>-1.8</v>
      </c>
      <c r="M696" t="s">
        <v>701</v>
      </c>
    </row>
    <row r="697" spans="1:13">
      <c r="A697">
        <v>695</v>
      </c>
      <c r="B697">
        <v>122</v>
      </c>
      <c r="C697">
        <v>0</v>
      </c>
      <c r="D697">
        <v>3</v>
      </c>
      <c r="E697">
        <v>0</v>
      </c>
      <c r="G697">
        <v>-1.8</v>
      </c>
      <c r="H697">
        <v>-1.5591287778547194</v>
      </c>
      <c r="I697">
        <v>-1.8</v>
      </c>
      <c r="K697">
        <v>-1.8</v>
      </c>
      <c r="M697" t="s">
        <v>702</v>
      </c>
    </row>
    <row r="698" spans="1:13">
      <c r="A698">
        <v>696</v>
      </c>
      <c r="B698">
        <v>46</v>
      </c>
      <c r="C698">
        <v>26</v>
      </c>
      <c r="D698">
        <v>16</v>
      </c>
      <c r="E698">
        <v>237</v>
      </c>
      <c r="G698">
        <v>-0.18176468372110216</v>
      </c>
      <c r="H698">
        <v>-0.40852805092528283</v>
      </c>
      <c r="I698">
        <v>0.79452540238374247</v>
      </c>
      <c r="K698">
        <v>6.80775559124525E-2</v>
      </c>
      <c r="M698" t="s">
        <v>703</v>
      </c>
    </row>
    <row r="699" spans="1:13">
      <c r="A699">
        <v>697</v>
      </c>
      <c r="B699">
        <v>109</v>
      </c>
      <c r="C699">
        <v>0</v>
      </c>
      <c r="D699">
        <v>1</v>
      </c>
      <c r="E699">
        <v>0</v>
      </c>
      <c r="G699">
        <v>-1.8</v>
      </c>
      <c r="H699">
        <v>-1.9873166998402574</v>
      </c>
      <c r="I699">
        <v>-1.8</v>
      </c>
      <c r="K699">
        <v>-1.8</v>
      </c>
      <c r="M699" t="s">
        <v>704</v>
      </c>
    </row>
    <row r="700" spans="1:13">
      <c r="A700">
        <v>698</v>
      </c>
      <c r="B700">
        <v>22</v>
      </c>
      <c r="C700">
        <v>1</v>
      </c>
      <c r="D700">
        <v>1</v>
      </c>
      <c r="E700">
        <v>0</v>
      </c>
      <c r="G700">
        <v>-1.2764028808325523</v>
      </c>
      <c r="H700">
        <v>-1.2923128827218398</v>
      </c>
      <c r="I700">
        <v>-1.8</v>
      </c>
      <c r="K700">
        <v>-1.8</v>
      </c>
      <c r="M700" t="s">
        <v>705</v>
      </c>
    </row>
    <row r="701" spans="1:13">
      <c r="A701">
        <v>699</v>
      </c>
      <c r="B701">
        <v>99</v>
      </c>
      <c r="C701">
        <v>2</v>
      </c>
      <c r="D701">
        <v>1</v>
      </c>
      <c r="E701">
        <v>0</v>
      </c>
      <c r="G701">
        <v>-1.6285853989439147</v>
      </c>
      <c r="H701">
        <v>-1.9455253964971835</v>
      </c>
      <c r="I701">
        <v>-1.8</v>
      </c>
      <c r="K701">
        <v>-1.8</v>
      </c>
      <c r="M701" t="s">
        <v>706</v>
      </c>
    </row>
    <row r="702" spans="1:13">
      <c r="A702">
        <v>700</v>
      </c>
      <c r="B702">
        <v>135</v>
      </c>
      <c r="C702">
        <v>1</v>
      </c>
      <c r="D702">
        <v>1</v>
      </c>
      <c r="E702">
        <v>5</v>
      </c>
      <c r="G702">
        <v>-2.0643139685053522</v>
      </c>
      <c r="H702">
        <v>-2.0802239703946395</v>
      </c>
      <c r="I702">
        <v>-1.3488288761037748</v>
      </c>
      <c r="K702">
        <v>-1.8311222716679223</v>
      </c>
      <c r="M702" t="s">
        <v>707</v>
      </c>
    </row>
    <row r="703" spans="1:13">
      <c r="A703">
        <v>701</v>
      </c>
      <c r="B703">
        <v>33</v>
      </c>
      <c r="C703">
        <v>1</v>
      </c>
      <c r="D703">
        <v>0</v>
      </c>
      <c r="E703">
        <v>0</v>
      </c>
      <c r="G703">
        <v>-1.4524941398882336</v>
      </c>
      <c r="H703">
        <v>-1.8</v>
      </c>
      <c r="I703">
        <v>-1.8</v>
      </c>
      <c r="K703">
        <v>-1.8</v>
      </c>
      <c r="M703" t="s">
        <v>708</v>
      </c>
    </row>
    <row r="704" spans="1:13">
      <c r="A704">
        <v>702</v>
      </c>
      <c r="B704">
        <v>56</v>
      </c>
      <c r="C704">
        <v>0</v>
      </c>
      <c r="D704">
        <v>1</v>
      </c>
      <c r="E704">
        <v>0</v>
      </c>
      <c r="G704">
        <v>-1.8</v>
      </c>
      <c r="H704">
        <v>-1.698078228905834</v>
      </c>
      <c r="I704">
        <v>-1.8</v>
      </c>
      <c r="K704">
        <v>-1.8</v>
      </c>
      <c r="M704" t="s">
        <v>709</v>
      </c>
    </row>
    <row r="705" spans="1:13">
      <c r="A705">
        <v>703</v>
      </c>
      <c r="B705">
        <v>62</v>
      </c>
      <c r="C705">
        <v>0</v>
      </c>
      <c r="D705">
        <v>0</v>
      </c>
      <c r="E705">
        <v>0</v>
      </c>
      <c r="G705">
        <v>-1.8</v>
      </c>
      <c r="H705">
        <v>-1.8</v>
      </c>
      <c r="I705">
        <v>-1.8</v>
      </c>
      <c r="K705">
        <v>-1.8</v>
      </c>
      <c r="M705" t="s">
        <v>710</v>
      </c>
    </row>
    <row r="706" spans="1:13">
      <c r="A706">
        <v>704</v>
      </c>
      <c r="B706">
        <v>93</v>
      </c>
      <c r="C706">
        <v>0</v>
      </c>
      <c r="D706">
        <v>1</v>
      </c>
      <c r="E706">
        <v>4</v>
      </c>
      <c r="G706">
        <v>-1.8</v>
      </c>
      <c r="H706">
        <v>-1.9183731504535686</v>
      </c>
      <c r="I706">
        <v>-1.2838880691707601</v>
      </c>
      <c r="K706">
        <v>-1.8</v>
      </c>
      <c r="M706" t="s">
        <v>711</v>
      </c>
    </row>
    <row r="707" spans="1:13">
      <c r="A707">
        <v>705</v>
      </c>
      <c r="B707">
        <v>13</v>
      </c>
      <c r="C707">
        <v>0</v>
      </c>
      <c r="D707">
        <v>0</v>
      </c>
      <c r="E707">
        <v>0</v>
      </c>
      <c r="G707">
        <v>-1.8</v>
      </c>
      <c r="H707">
        <v>-1.8</v>
      </c>
      <c r="I707">
        <v>-1.8</v>
      </c>
      <c r="K707">
        <v>-1.8</v>
      </c>
      <c r="M707" t="s">
        <v>712</v>
      </c>
    </row>
    <row r="708" spans="1:13">
      <c r="A708">
        <v>706</v>
      </c>
      <c r="B708">
        <v>34</v>
      </c>
      <c r="C708">
        <v>0</v>
      </c>
      <c r="D708">
        <v>1</v>
      </c>
      <c r="E708">
        <v>5</v>
      </c>
      <c r="G708">
        <v>-1.8</v>
      </c>
      <c r="H708">
        <v>-1.4813691189418887</v>
      </c>
      <c r="I708">
        <v>-0.74997402465102359</v>
      </c>
      <c r="K708">
        <v>-1.8</v>
      </c>
      <c r="M708" t="s">
        <v>713</v>
      </c>
    </row>
    <row r="709" spans="1:13">
      <c r="A709">
        <v>707</v>
      </c>
      <c r="B709">
        <v>197</v>
      </c>
      <c r="C709">
        <v>2</v>
      </c>
      <c r="D709">
        <v>1</v>
      </c>
      <c r="E709">
        <v>4</v>
      </c>
      <c r="G709">
        <v>-1.927416430507958</v>
      </c>
      <c r="H709">
        <v>-2.2443564280612263</v>
      </c>
      <c r="I709">
        <v>-1.609871346778418</v>
      </c>
      <c r="K709">
        <v>-1.9272147351158673</v>
      </c>
      <c r="M709" t="s">
        <v>714</v>
      </c>
    </row>
    <row r="710" spans="1:13">
      <c r="A710">
        <v>708</v>
      </c>
      <c r="B710">
        <v>26</v>
      </c>
      <c r="C710">
        <v>19</v>
      </c>
      <c r="D710">
        <v>2</v>
      </c>
      <c r="E710">
        <v>3</v>
      </c>
      <c r="G710">
        <v>-7.0199947028335027E-2</v>
      </c>
      <c r="H710">
        <v>-1.0638335542064703</v>
      </c>
      <c r="I710">
        <v>-0.85531720519594279</v>
      </c>
      <c r="K710">
        <v>-0.66311690214358265</v>
      </c>
      <c r="M710" t="s">
        <v>715</v>
      </c>
    </row>
    <row r="711" spans="1:13">
      <c r="A711">
        <v>709</v>
      </c>
      <c r="B711">
        <v>122</v>
      </c>
      <c r="C711">
        <v>0</v>
      </c>
      <c r="D711">
        <v>4</v>
      </c>
      <c r="E711">
        <v>2</v>
      </c>
      <c r="G711">
        <v>-1.8</v>
      </c>
      <c r="H711">
        <v>-1.4341900412464195</v>
      </c>
      <c r="I711">
        <v>-1.7027949469555543</v>
      </c>
      <c r="K711">
        <v>-1.8</v>
      </c>
      <c r="M711" t="s">
        <v>716</v>
      </c>
    </row>
    <row r="712" spans="1:13">
      <c r="A712">
        <v>710</v>
      </c>
      <c r="B712">
        <v>41</v>
      </c>
      <c r="C712">
        <v>0</v>
      </c>
      <c r="D712">
        <v>0</v>
      </c>
      <c r="E712">
        <v>0</v>
      </c>
      <c r="G712">
        <v>-1.8</v>
      </c>
      <c r="H712">
        <v>-1.8</v>
      </c>
      <c r="I712">
        <v>-1.8</v>
      </c>
      <c r="K712">
        <v>-1.8</v>
      </c>
      <c r="M712" t="s">
        <v>717</v>
      </c>
    </row>
    <row r="713" spans="1:13">
      <c r="A713">
        <v>711</v>
      </c>
      <c r="B713">
        <v>84</v>
      </c>
      <c r="C713">
        <v>1</v>
      </c>
      <c r="D713">
        <v>0</v>
      </c>
      <c r="E713">
        <v>0</v>
      </c>
      <c r="G713">
        <v>-1.8582594860722277</v>
      </c>
      <c r="H713">
        <v>-1.8</v>
      </c>
      <c r="I713">
        <v>-1.8</v>
      </c>
      <c r="K713">
        <v>-1.8</v>
      </c>
      <c r="M713" t="s">
        <v>718</v>
      </c>
    </row>
    <row r="714" spans="1:13">
      <c r="A714">
        <v>712</v>
      </c>
      <c r="B714">
        <v>29</v>
      </c>
      <c r="C714">
        <v>0</v>
      </c>
      <c r="D714">
        <v>1</v>
      </c>
      <c r="E714">
        <v>1</v>
      </c>
      <c r="G714">
        <v>-1.8</v>
      </c>
      <c r="H714">
        <v>-1.4122881997985897</v>
      </c>
      <c r="I714">
        <v>-1.3798631098437435</v>
      </c>
      <c r="K714">
        <v>-1.8</v>
      </c>
      <c r="M714" t="s">
        <v>719</v>
      </c>
    </row>
    <row r="715" spans="1:13">
      <c r="A715">
        <v>713</v>
      </c>
      <c r="B715">
        <v>47</v>
      </c>
      <c r="C715">
        <v>2</v>
      </c>
      <c r="D715">
        <v>2</v>
      </c>
      <c r="E715">
        <v>1</v>
      </c>
      <c r="G715">
        <v>-1.3050480622820824</v>
      </c>
      <c r="H715">
        <v>-1.3209580641713699</v>
      </c>
      <c r="I715">
        <v>-1.5895629698805049</v>
      </c>
      <c r="K715">
        <v>-1.4051896987779857</v>
      </c>
      <c r="M715" t="s">
        <v>720</v>
      </c>
    </row>
    <row r="716" spans="1:13">
      <c r="A716">
        <v>714</v>
      </c>
      <c r="B716">
        <v>73</v>
      </c>
      <c r="C716">
        <v>3</v>
      </c>
      <c r="D716">
        <v>0</v>
      </c>
      <c r="E716">
        <v>1</v>
      </c>
      <c r="G716">
        <v>-1.3201818054111396</v>
      </c>
      <c r="H716">
        <v>-1.8</v>
      </c>
      <c r="I716">
        <v>-1.7807879720652433</v>
      </c>
      <c r="K716">
        <v>-1.8</v>
      </c>
      <c r="M716" t="s">
        <v>721</v>
      </c>
    </row>
    <row r="717" spans="1:13">
      <c r="A717">
        <v>715</v>
      </c>
      <c r="B717">
        <v>58</v>
      </c>
      <c r="C717">
        <v>1</v>
      </c>
      <c r="D717">
        <v>1</v>
      </c>
      <c r="E717">
        <v>0</v>
      </c>
      <c r="G717">
        <v>-1.6974081935732834</v>
      </c>
      <c r="H717">
        <v>-1.7133181954625709</v>
      </c>
      <c r="I717">
        <v>-1.8</v>
      </c>
      <c r="K717">
        <v>-1.8</v>
      </c>
      <c r="M717" t="s">
        <v>722</v>
      </c>
    </row>
    <row r="718" spans="1:13">
      <c r="A718">
        <v>716</v>
      </c>
      <c r="B718">
        <v>92</v>
      </c>
      <c r="C718">
        <v>0</v>
      </c>
      <c r="D718">
        <v>0</v>
      </c>
      <c r="E718">
        <v>0</v>
      </c>
      <c r="G718">
        <v>-1.8</v>
      </c>
      <c r="H718">
        <v>-1.8</v>
      </c>
      <c r="I718">
        <v>-1.8</v>
      </c>
      <c r="K718">
        <v>-1.8</v>
      </c>
      <c r="M718" t="s">
        <v>723</v>
      </c>
    </row>
    <row r="719" spans="1:13">
      <c r="A719">
        <v>717</v>
      </c>
      <c r="B719">
        <v>47</v>
      </c>
      <c r="C719">
        <v>40</v>
      </c>
      <c r="D719">
        <v>44</v>
      </c>
      <c r="E719">
        <v>26</v>
      </c>
      <c r="G719">
        <v>-4.018066618101071E-3</v>
      </c>
      <c r="H719">
        <v>2.1464616650836467E-2</v>
      </c>
      <c r="I719">
        <v>-0.17458962190968685</v>
      </c>
      <c r="K719">
        <v>-5.2381023958983815E-2</v>
      </c>
      <c r="M719" t="s">
        <v>724</v>
      </c>
    </row>
    <row r="720" spans="1:13">
      <c r="A720">
        <v>718</v>
      </c>
      <c r="B720">
        <v>77</v>
      </c>
      <c r="C720">
        <v>0</v>
      </c>
      <c r="D720">
        <v>2</v>
      </c>
      <c r="E720">
        <v>0</v>
      </c>
      <c r="G720">
        <v>-1.8</v>
      </c>
      <c r="H720">
        <v>-1.5353509314081342</v>
      </c>
      <c r="I720">
        <v>-1.8</v>
      </c>
      <c r="K720">
        <v>-1.8</v>
      </c>
      <c r="M720" t="s">
        <v>725</v>
      </c>
    </row>
    <row r="721" spans="1:13">
      <c r="A721">
        <v>719</v>
      </c>
      <c r="B721">
        <v>40</v>
      </c>
      <c r="C721">
        <v>0</v>
      </c>
      <c r="D721">
        <v>0</v>
      </c>
      <c r="E721">
        <v>0</v>
      </c>
      <c r="G721">
        <v>-1.8</v>
      </c>
      <c r="H721">
        <v>-1.8</v>
      </c>
      <c r="I721">
        <v>-1.8</v>
      </c>
      <c r="K721">
        <v>-1.8</v>
      </c>
      <c r="M721" t="s">
        <v>726</v>
      </c>
    </row>
    <row r="722" spans="1:13">
      <c r="A722">
        <v>720</v>
      </c>
      <c r="B722">
        <v>36</v>
      </c>
      <c r="C722">
        <v>0</v>
      </c>
      <c r="D722">
        <v>0</v>
      </c>
      <c r="E722">
        <v>1</v>
      </c>
      <c r="G722">
        <v>-1.8</v>
      </c>
      <c r="H722">
        <v>-1.8</v>
      </c>
      <c r="I722">
        <v>-1.4737676127120747</v>
      </c>
      <c r="K722">
        <v>-1.8</v>
      </c>
      <c r="M722" t="s">
        <v>727</v>
      </c>
    </row>
    <row r="723" spans="1:13">
      <c r="A723">
        <v>721</v>
      </c>
      <c r="B723">
        <v>57</v>
      </c>
      <c r="C723">
        <v>5</v>
      </c>
      <c r="D723">
        <v>1</v>
      </c>
      <c r="E723">
        <v>2</v>
      </c>
      <c r="G723">
        <v>-0.9908850513468187</v>
      </c>
      <c r="H723">
        <v>-1.705765057572125</v>
      </c>
      <c r="I723">
        <v>-1.3723099719532976</v>
      </c>
      <c r="K723">
        <v>-1.3563200269574136</v>
      </c>
      <c r="M723" t="s">
        <v>728</v>
      </c>
    </row>
    <row r="724" spans="1:13">
      <c r="A724">
        <v>722</v>
      </c>
      <c r="B724">
        <v>25</v>
      </c>
      <c r="C724">
        <v>0</v>
      </c>
      <c r="D724">
        <v>0</v>
      </c>
      <c r="E724">
        <v>0</v>
      </c>
      <c r="G724">
        <v>-1.8</v>
      </c>
      <c r="H724">
        <v>-1.8</v>
      </c>
      <c r="I724">
        <v>-1.8</v>
      </c>
      <c r="K724">
        <v>-1.8</v>
      </c>
      <c r="M724" t="s">
        <v>729</v>
      </c>
    </row>
    <row r="725" spans="1:13">
      <c r="A725">
        <v>723</v>
      </c>
      <c r="B725">
        <v>34</v>
      </c>
      <c r="C725">
        <v>0</v>
      </c>
      <c r="D725">
        <v>0</v>
      </c>
      <c r="E725">
        <v>1</v>
      </c>
      <c r="G725">
        <v>-1.8</v>
      </c>
      <c r="H725">
        <v>-1.8</v>
      </c>
      <c r="I725">
        <v>-1.4489440289870426</v>
      </c>
      <c r="K725">
        <v>-1.8</v>
      </c>
      <c r="M725" t="s">
        <v>730</v>
      </c>
    </row>
    <row r="726" spans="1:13">
      <c r="A726">
        <v>724</v>
      </c>
      <c r="B726">
        <v>73</v>
      </c>
      <c r="C726">
        <v>20</v>
      </c>
      <c r="D726">
        <v>21</v>
      </c>
      <c r="E726">
        <v>11</v>
      </c>
      <c r="G726">
        <v>-0.49627306446682073</v>
      </c>
      <c r="H726">
        <v>-0.49099376728617022</v>
      </c>
      <c r="I726">
        <v>-0.73939528690701817</v>
      </c>
      <c r="K726">
        <v>-0.57555403955333639</v>
      </c>
      <c r="M726" t="s">
        <v>731</v>
      </c>
    </row>
    <row r="727" spans="1:13">
      <c r="A727">
        <v>725</v>
      </c>
      <c r="B727">
        <v>57</v>
      </c>
      <c r="C727">
        <v>57</v>
      </c>
      <c r="D727">
        <v>45</v>
      </c>
      <c r="E727">
        <v>218</v>
      </c>
      <c r="G727">
        <v>6.6019799989654002E-2</v>
      </c>
      <c r="H727">
        <v>-5.2552543796781218E-2</v>
      </c>
      <c r="I727">
        <v>0.66511652598732607</v>
      </c>
      <c r="K727">
        <v>0.22619459406006628</v>
      </c>
      <c r="M727" t="s">
        <v>732</v>
      </c>
    </row>
    <row r="728" spans="1:13">
      <c r="A728">
        <v>726</v>
      </c>
      <c r="B728">
        <v>28</v>
      </c>
      <c r="C728">
        <v>0</v>
      </c>
      <c r="D728">
        <v>0</v>
      </c>
      <c r="E728">
        <v>0</v>
      </c>
      <c r="G728">
        <v>-1.8</v>
      </c>
      <c r="H728">
        <v>-1.8</v>
      </c>
      <c r="I728">
        <v>-1.8</v>
      </c>
      <c r="K728">
        <v>-1.8</v>
      </c>
      <c r="M728" t="s">
        <v>733</v>
      </c>
    </row>
    <row r="729" spans="1:13">
      <c r="A729">
        <v>727</v>
      </c>
      <c r="B729">
        <v>45</v>
      </c>
      <c r="C729">
        <v>26</v>
      </c>
      <c r="D729">
        <v>64</v>
      </c>
      <c r="E729">
        <v>40</v>
      </c>
      <c r="G729">
        <v>-0.17221936581487174</v>
      </c>
      <c r="H729">
        <v>0.20307725830890999</v>
      </c>
      <c r="I729">
        <v>3.1382365607831343E-2</v>
      </c>
      <c r="K729">
        <v>2.0746752700623199E-2</v>
      </c>
      <c r="M729" t="s">
        <v>734</v>
      </c>
    </row>
    <row r="730" spans="1:13">
      <c r="A730">
        <v>728</v>
      </c>
      <c r="B730">
        <v>166</v>
      </c>
      <c r="C730">
        <v>97</v>
      </c>
      <c r="D730">
        <v>95</v>
      </c>
      <c r="E730">
        <v>90</v>
      </c>
      <c r="G730">
        <v>-0.16731655378415622</v>
      </c>
      <c r="H730">
        <v>-0.19227468465084085</v>
      </c>
      <c r="I730">
        <v>-0.18333069054551759</v>
      </c>
      <c r="K730">
        <v>-0.18097397632683823</v>
      </c>
      <c r="M730" t="s">
        <v>735</v>
      </c>
    </row>
    <row r="731" spans="1:13">
      <c r="A731">
        <v>729</v>
      </c>
      <c r="B731">
        <v>139</v>
      </c>
      <c r="C731">
        <v>19</v>
      </c>
      <c r="D731">
        <v>30</v>
      </c>
      <c r="E731">
        <v>12</v>
      </c>
      <c r="G731">
        <v>-0.79824139931161209</v>
      </c>
      <c r="H731">
        <v>-0.61578374743406616</v>
      </c>
      <c r="I731">
        <v>-0.9812986661512576</v>
      </c>
      <c r="K731">
        <v>-0.79844127096564532</v>
      </c>
      <c r="M731" t="s">
        <v>736</v>
      </c>
    </row>
    <row r="732" spans="1:13">
      <c r="A732">
        <v>730</v>
      </c>
      <c r="B732">
        <v>89</v>
      </c>
      <c r="C732">
        <v>10</v>
      </c>
      <c r="D732">
        <v>6</v>
      </c>
      <c r="E732">
        <v>7</v>
      </c>
      <c r="G732">
        <v>-0.88337020665525878</v>
      </c>
      <c r="H732">
        <v>-1.1211289581609027</v>
      </c>
      <c r="I732">
        <v>-1.0217570785754433</v>
      </c>
      <c r="K732">
        <v>-1.0087520811305348</v>
      </c>
      <c r="M732" t="s">
        <v>737</v>
      </c>
    </row>
    <row r="733" spans="1:13">
      <c r="A733">
        <v>731</v>
      </c>
      <c r="B733">
        <v>175</v>
      </c>
      <c r="C733">
        <v>33</v>
      </c>
      <c r="D733">
        <v>438</v>
      </c>
      <c r="E733">
        <v>27</v>
      </c>
      <c r="G733">
        <v>-0.65850430881875288</v>
      </c>
      <c r="H733">
        <v>0.44854585991817153</v>
      </c>
      <c r="I733">
        <v>-0.72913939647209447</v>
      </c>
      <c r="K733">
        <v>-0.31303261512422526</v>
      </c>
      <c r="M733" t="s">
        <v>738</v>
      </c>
    </row>
    <row r="734" spans="1:13">
      <c r="A734">
        <v>732</v>
      </c>
      <c r="B734">
        <v>151</v>
      </c>
      <c r="C734">
        <v>110</v>
      </c>
      <c r="D734">
        <v>101</v>
      </c>
      <c r="E734">
        <v>92</v>
      </c>
      <c r="G734">
        <v>-7.1564462145290428E-2</v>
      </c>
      <c r="H734">
        <v>-0.12454577541016039</v>
      </c>
      <c r="I734">
        <v>-0.1326542318924015</v>
      </c>
      <c r="K734">
        <v>-0.10958815648261744</v>
      </c>
      <c r="M734" t="s">
        <v>739</v>
      </c>
    </row>
    <row r="735" spans="1:13">
      <c r="A735">
        <v>733</v>
      </c>
      <c r="B735">
        <v>10</v>
      </c>
      <c r="C735">
        <v>0</v>
      </c>
      <c r="D735">
        <v>0</v>
      </c>
      <c r="E735">
        <v>0</v>
      </c>
      <c r="G735">
        <v>-1.8</v>
      </c>
      <c r="H735">
        <v>-1.8</v>
      </c>
      <c r="I735">
        <v>-1.8</v>
      </c>
      <c r="K735">
        <v>-1.8</v>
      </c>
      <c r="M735" t="s">
        <v>740</v>
      </c>
    </row>
    <row r="736" spans="1:13">
      <c r="A736">
        <v>734</v>
      </c>
      <c r="B736">
        <v>108</v>
      </c>
      <c r="C736">
        <v>6</v>
      </c>
      <c r="D736">
        <v>10</v>
      </c>
      <c r="E736">
        <v>11</v>
      </c>
      <c r="G736">
        <v>-1.1892527051136521</v>
      </c>
      <c r="H736">
        <v>-0.98331395738658312</v>
      </c>
      <c r="I736">
        <v>-0.90949618227351203</v>
      </c>
      <c r="K736">
        <v>-1.0273542815912491</v>
      </c>
      <c r="M736" t="s">
        <v>741</v>
      </c>
    </row>
    <row r="737" spans="1:13">
      <c r="A737">
        <v>735</v>
      </c>
      <c r="B737">
        <v>136</v>
      </c>
      <c r="C737">
        <v>138</v>
      </c>
      <c r="D737">
        <v>104</v>
      </c>
      <c r="E737">
        <v>112</v>
      </c>
      <c r="G737">
        <v>7.2359978020672983E-2</v>
      </c>
      <c r="H737">
        <v>-6.6395770971070703E-2</v>
      </c>
      <c r="I737">
        <v>-1.7859976448232756E-3</v>
      </c>
      <c r="K737">
        <v>1.3927364682596681E-3</v>
      </c>
      <c r="M737" t="s">
        <v>742</v>
      </c>
    </row>
    <row r="738" spans="1:13">
      <c r="A738">
        <v>736</v>
      </c>
      <c r="B738">
        <v>120</v>
      </c>
      <c r="C738">
        <v>81</v>
      </c>
      <c r="D738">
        <v>215</v>
      </c>
      <c r="E738">
        <v>53</v>
      </c>
      <c r="G738">
        <v>-0.10467642717932106</v>
      </c>
      <c r="H738">
        <v>0.30336701196834698</v>
      </c>
      <c r="I738">
        <v>-0.27237048839162314</v>
      </c>
      <c r="K738">
        <v>-2.4559967867532412E-2</v>
      </c>
      <c r="M738" t="s">
        <v>743</v>
      </c>
    </row>
    <row r="739" spans="1:13">
      <c r="A739">
        <v>737</v>
      </c>
      <c r="B739">
        <v>222</v>
      </c>
      <c r="C739">
        <v>8</v>
      </c>
      <c r="D739">
        <v>30</v>
      </c>
      <c r="E739">
        <v>37</v>
      </c>
      <c r="G739">
        <v>-1.3772431874690412</v>
      </c>
      <c r="H739">
        <v>-0.8191219216306096</v>
      </c>
      <c r="I739">
        <v>-0.69561636232843094</v>
      </c>
      <c r="K739">
        <v>-0.96399382380936061</v>
      </c>
      <c r="M739" t="s">
        <v>744</v>
      </c>
    </row>
    <row r="740" spans="1:13">
      <c r="A740">
        <v>738</v>
      </c>
      <c r="B740">
        <v>79</v>
      </c>
      <c r="C740">
        <v>7</v>
      </c>
      <c r="D740">
        <v>8</v>
      </c>
      <c r="E740">
        <v>10</v>
      </c>
      <c r="G740">
        <v>-0.98650925128653066</v>
      </c>
      <c r="H740">
        <v>-0.94442730619813131</v>
      </c>
      <c r="I740">
        <v>-0.81509220323522869</v>
      </c>
      <c r="K740">
        <v>-0.91534292023996355</v>
      </c>
      <c r="M740" t="s">
        <v>745</v>
      </c>
    </row>
    <row r="741" spans="1:13">
      <c r="A741">
        <v>739</v>
      </c>
      <c r="B741">
        <v>119</v>
      </c>
      <c r="C741">
        <v>64</v>
      </c>
      <c r="D741">
        <v>68</v>
      </c>
      <c r="E741">
        <v>122</v>
      </c>
      <c r="G741">
        <v>-0.20334718741898961</v>
      </c>
      <c r="H741">
        <v>-0.192928250585928</v>
      </c>
      <c r="I741">
        <v>9.3347757337430087E-2</v>
      </c>
      <c r="K741">
        <v>-0.10097589355582919</v>
      </c>
      <c r="M741" t="s">
        <v>746</v>
      </c>
    </row>
    <row r="742" spans="1:13">
      <c r="A742">
        <v>740</v>
      </c>
      <c r="B742">
        <v>77</v>
      </c>
      <c r="C742">
        <v>104</v>
      </c>
      <c r="D742">
        <v>56</v>
      </c>
      <c r="E742">
        <v>51</v>
      </c>
      <c r="G742">
        <v>0.19656241411595249</v>
      </c>
      <c r="H742">
        <v>-8.8192900065914945E-2</v>
      </c>
      <c r="I742">
        <v>-9.6385661019332838E-2</v>
      </c>
      <c r="K742">
        <v>3.9946176769015684E-3</v>
      </c>
      <c r="M742" t="s">
        <v>747</v>
      </c>
    </row>
    <row r="743" spans="1:13">
      <c r="A743">
        <v>741</v>
      </c>
      <c r="B743">
        <v>38</v>
      </c>
      <c r="C743">
        <v>0</v>
      </c>
      <c r="D743">
        <v>1</v>
      </c>
      <c r="E743">
        <v>2</v>
      </c>
      <c r="G743">
        <v>-1.8</v>
      </c>
      <c r="H743">
        <v>-1.5296737985164437</v>
      </c>
      <c r="I743">
        <v>-1.1962187128976165</v>
      </c>
      <c r="K743">
        <v>-1.8</v>
      </c>
      <c r="M743" t="s">
        <v>748</v>
      </c>
    </row>
    <row r="744" spans="1:13">
      <c r="A744">
        <v>742</v>
      </c>
      <c r="B744">
        <v>201</v>
      </c>
      <c r="C744">
        <v>35</v>
      </c>
      <c r="D744">
        <v>1944</v>
      </c>
      <c r="E744">
        <v>59</v>
      </c>
      <c r="G744">
        <v>-0.69310821308055914</v>
      </c>
      <c r="H744">
        <v>1.0356100012701333</v>
      </c>
      <c r="I744">
        <v>-0.44980915772313207</v>
      </c>
      <c r="K744">
        <v>-3.5769123177852656E-2</v>
      </c>
      <c r="M744" t="s">
        <v>749</v>
      </c>
    </row>
    <row r="745" spans="1:13">
      <c r="A745">
        <v>743</v>
      </c>
      <c r="B745">
        <v>93</v>
      </c>
      <c r="C745">
        <v>31</v>
      </c>
      <c r="D745">
        <v>443</v>
      </c>
      <c r="E745">
        <v>38</v>
      </c>
      <c r="G745">
        <v>-0.41110145473000842</v>
      </c>
      <c r="H745">
        <v>0.72803057576950103</v>
      </c>
      <c r="I745">
        <v>-0.30616446388191232</v>
      </c>
      <c r="K745">
        <v>3.5882190525267643E-3</v>
      </c>
      <c r="M745" t="s">
        <v>750</v>
      </c>
    </row>
    <row r="746" spans="1:13">
      <c r="A746">
        <v>744</v>
      </c>
      <c r="B746">
        <v>65</v>
      </c>
      <c r="C746">
        <v>7</v>
      </c>
      <c r="D746">
        <v>10</v>
      </c>
      <c r="E746">
        <v>6</v>
      </c>
      <c r="G746">
        <v>-0.90179551663894475</v>
      </c>
      <c r="H746">
        <v>-0.76280355854248905</v>
      </c>
      <c r="I746">
        <v>-0.95222721820399914</v>
      </c>
      <c r="K746">
        <v>-0.87227543112847761</v>
      </c>
      <c r="M746" t="s">
        <v>751</v>
      </c>
    </row>
    <row r="747" spans="1:13">
      <c r="A747">
        <v>745</v>
      </c>
      <c r="B747">
        <v>187</v>
      </c>
      <c r="C747">
        <v>20</v>
      </c>
      <c r="D747">
        <v>15</v>
      </c>
      <c r="E747">
        <v>24</v>
      </c>
      <c r="G747">
        <v>-0.90479181088286376</v>
      </c>
      <c r="H747">
        <v>-1.0456405493804513</v>
      </c>
      <c r="I747">
        <v>-0.80909547676968019</v>
      </c>
      <c r="K747">
        <v>-0.91984261234433173</v>
      </c>
      <c r="M747" t="s">
        <v>752</v>
      </c>
    </row>
    <row r="748" spans="1:13">
      <c r="A748">
        <v>746</v>
      </c>
      <c r="B748">
        <v>118</v>
      </c>
      <c r="C748">
        <v>59</v>
      </c>
      <c r="D748">
        <v>257</v>
      </c>
      <c r="E748">
        <v>64</v>
      </c>
      <c r="G748">
        <v>-0.23501019567432718</v>
      </c>
      <c r="H748">
        <v>0.38816091412553561</v>
      </c>
      <c r="I748">
        <v>-0.1831671452670256</v>
      </c>
      <c r="K748">
        <v>-1.0005475605272393E-2</v>
      </c>
      <c r="M748" t="s">
        <v>753</v>
      </c>
    </row>
    <row r="749" spans="1:13">
      <c r="A749">
        <v>747</v>
      </c>
      <c r="B749">
        <v>48</v>
      </c>
      <c r="C749">
        <v>15</v>
      </c>
      <c r="D749">
        <v>7</v>
      </c>
      <c r="E749">
        <v>6</v>
      </c>
      <c r="G749">
        <v>-0.43913017833025192</v>
      </c>
      <c r="H749">
        <v>-0.78603339926096383</v>
      </c>
      <c r="I749">
        <v>-0.82055509893673084</v>
      </c>
      <c r="K749">
        <v>-0.68190622550931546</v>
      </c>
      <c r="M749" t="s">
        <v>754</v>
      </c>
    </row>
    <row r="750" spans="1:13">
      <c r="A750">
        <v>748</v>
      </c>
      <c r="B750">
        <v>109</v>
      </c>
      <c r="C750">
        <v>46</v>
      </c>
      <c r="D750">
        <v>35</v>
      </c>
      <c r="E750">
        <v>34</v>
      </c>
      <c r="G750">
        <v>-0.30864886626939553</v>
      </c>
      <c r="H750">
        <v>-0.44324865548998149</v>
      </c>
      <c r="I750">
        <v>-0.4234126928431558</v>
      </c>
      <c r="K750">
        <v>-0.39177007153417764</v>
      </c>
      <c r="M750" t="s">
        <v>755</v>
      </c>
    </row>
    <row r="751" spans="1:13">
      <c r="A751">
        <v>749</v>
      </c>
      <c r="B751">
        <v>7</v>
      </c>
      <c r="C751">
        <v>0</v>
      </c>
      <c r="D751">
        <v>0</v>
      </c>
      <c r="E751">
        <v>0</v>
      </c>
      <c r="G751">
        <v>-1.8</v>
      </c>
      <c r="H751">
        <v>-1.8</v>
      </c>
      <c r="I751">
        <v>-1.8</v>
      </c>
      <c r="K751">
        <v>-1.8</v>
      </c>
      <c r="M751" t="s">
        <v>756</v>
      </c>
    </row>
    <row r="752" spans="1:13">
      <c r="A752">
        <v>750</v>
      </c>
      <c r="B752">
        <v>111</v>
      </c>
      <c r="C752">
        <v>0</v>
      </c>
      <c r="D752">
        <v>1</v>
      </c>
      <c r="E752">
        <v>3</v>
      </c>
      <c r="G752">
        <v>-1.8</v>
      </c>
      <c r="H752">
        <v>-1.9952131806862912</v>
      </c>
      <c r="I752">
        <v>-1.4856668360117824</v>
      </c>
      <c r="K752">
        <v>-1.8</v>
      </c>
      <c r="M752" t="s">
        <v>757</v>
      </c>
    </row>
    <row r="753" spans="1:13">
      <c r="A753">
        <v>751</v>
      </c>
      <c r="B753">
        <v>60</v>
      </c>
      <c r="C753">
        <v>0</v>
      </c>
      <c r="D753">
        <v>1</v>
      </c>
      <c r="E753">
        <v>1</v>
      </c>
      <c r="G753">
        <v>-1.8</v>
      </c>
      <c r="H753">
        <v>-1.7280414522832772</v>
      </c>
      <c r="I753">
        <v>-1.695616362328431</v>
      </c>
      <c r="K753">
        <v>-1.8</v>
      </c>
      <c r="M753" t="s">
        <v>758</v>
      </c>
    </row>
    <row r="754" spans="1:13">
      <c r="A754">
        <v>752</v>
      </c>
      <c r="B754">
        <v>41</v>
      </c>
      <c r="C754">
        <v>69</v>
      </c>
      <c r="D754">
        <v>40</v>
      </c>
      <c r="E754">
        <v>204</v>
      </c>
      <c r="G754">
        <v>0.29208503400717378</v>
      </c>
      <c r="H754">
        <v>3.9385932708593377E-2</v>
      </c>
      <c r="I754">
        <v>0.7793811987613759</v>
      </c>
      <c r="K754">
        <v>0.37028405515904766</v>
      </c>
      <c r="M754" t="s">
        <v>759</v>
      </c>
    </row>
    <row r="755" spans="1:13">
      <c r="A755">
        <v>753</v>
      </c>
      <c r="B755">
        <v>49</v>
      </c>
      <c r="C755">
        <v>21</v>
      </c>
      <c r="D755">
        <v>45</v>
      </c>
      <c r="E755">
        <v>23</v>
      </c>
      <c r="G755">
        <v>-0.30195698530494042</v>
      </c>
      <c r="H755">
        <v>1.3126231847196516E-2</v>
      </c>
      <c r="I755">
        <v>-0.24593335595570814</v>
      </c>
      <c r="K755">
        <v>-0.17825470313781736</v>
      </c>
      <c r="M755" t="s">
        <v>760</v>
      </c>
    </row>
    <row r="756" spans="1:13">
      <c r="A756">
        <v>754</v>
      </c>
      <c r="B756">
        <v>71</v>
      </c>
      <c r="C756">
        <v>103</v>
      </c>
      <c r="D756">
        <v>130</v>
      </c>
      <c r="E756">
        <v>101</v>
      </c>
      <c r="G756">
        <v>0.22759867597575095</v>
      </c>
      <c r="H756">
        <v>0.31279480168812795</v>
      </c>
      <c r="I756">
        <v>0.23559791311877998</v>
      </c>
      <c r="K756">
        <v>0.25866379692755298</v>
      </c>
      <c r="M756" t="s">
        <v>761</v>
      </c>
    </row>
    <row r="757" spans="1:13">
      <c r="A757">
        <v>755</v>
      </c>
      <c r="B757">
        <v>80</v>
      </c>
      <c r="C757">
        <v>18</v>
      </c>
      <c r="D757">
        <v>4</v>
      </c>
      <c r="E757">
        <v>18</v>
      </c>
      <c r="G757">
        <v>-0.58179768189898351</v>
      </c>
      <c r="H757">
        <v>-1.2509201975636148</v>
      </c>
      <c r="I757">
        <v>-0.56528259383342483</v>
      </c>
      <c r="K757">
        <v>-0.79933349109867446</v>
      </c>
      <c r="M757" t="s">
        <v>762</v>
      </c>
    </row>
    <row r="758" spans="1:13">
      <c r="A758">
        <v>756</v>
      </c>
      <c r="B758">
        <v>198</v>
      </c>
      <c r="C758">
        <v>76</v>
      </c>
      <c r="D758">
        <v>101</v>
      </c>
      <c r="E758">
        <v>261</v>
      </c>
      <c r="G758">
        <v>-0.34983179799108577</v>
      </c>
      <c r="H758">
        <v>-0.2422340183785221</v>
      </c>
      <c r="I758">
        <v>0.2025102051319625</v>
      </c>
      <c r="K758">
        <v>-0.12985187041254845</v>
      </c>
      <c r="M758" t="s">
        <v>763</v>
      </c>
    </row>
    <row r="759" spans="1:13">
      <c r="A759">
        <v>757</v>
      </c>
      <c r="B759">
        <v>71</v>
      </c>
      <c r="C759">
        <v>62</v>
      </c>
      <c r="D759">
        <v>63</v>
      </c>
      <c r="E759">
        <v>304</v>
      </c>
      <c r="G759">
        <v>7.1531407688325624E-3</v>
      </c>
      <c r="H759">
        <v>-1.8080011651270683E-3</v>
      </c>
      <c r="I759">
        <v>0.71415012294489111</v>
      </c>
      <c r="K759">
        <v>0.23983175418286554</v>
      </c>
      <c r="M759" t="s">
        <v>764</v>
      </c>
    </row>
    <row r="760" spans="1:13">
      <c r="A760">
        <v>758</v>
      </c>
      <c r="B760">
        <v>40</v>
      </c>
      <c r="C760">
        <v>33</v>
      </c>
      <c r="D760">
        <v>20</v>
      </c>
      <c r="E760">
        <v>143</v>
      </c>
      <c r="G760">
        <v>-1.752625146042093E-2</v>
      </c>
      <c r="H760">
        <v>-0.25092019756361472</v>
      </c>
      <c r="I760">
        <v>0.63581093419231216</v>
      </c>
      <c r="K760">
        <v>0.12245482838942551</v>
      </c>
      <c r="M760" t="s">
        <v>765</v>
      </c>
    </row>
    <row r="761" spans="1:13">
      <c r="A761">
        <v>759</v>
      </c>
      <c r="B761">
        <v>113</v>
      </c>
      <c r="C761">
        <v>11</v>
      </c>
      <c r="D761">
        <v>15</v>
      </c>
      <c r="E761">
        <v>13</v>
      </c>
      <c r="G761">
        <v>-0.94566595833554057</v>
      </c>
      <c r="H761">
        <v>-0.82687738632737195</v>
      </c>
      <c r="I761">
        <v>-0.85660020312137031</v>
      </c>
      <c r="K761">
        <v>-0.87638118259476094</v>
      </c>
      <c r="M761" t="s">
        <v>766</v>
      </c>
    </row>
    <row r="762" spans="1:13">
      <c r="A762">
        <v>760</v>
      </c>
      <c r="B762">
        <v>151</v>
      </c>
      <c r="C762">
        <v>182</v>
      </c>
      <c r="D762">
        <v>226</v>
      </c>
      <c r="E762">
        <v>4064</v>
      </c>
      <c r="G762">
        <v>0.14711424068155934</v>
      </c>
      <c r="H762">
        <v>0.22524128995459802</v>
      </c>
      <c r="I762">
        <v>1.5125116400379059</v>
      </c>
      <c r="K762">
        <v>0.62828905689135439</v>
      </c>
      <c r="M762" t="s">
        <v>767</v>
      </c>
    </row>
    <row r="763" spans="1:13">
      <c r="A763">
        <v>761</v>
      </c>
      <c r="B763">
        <v>130</v>
      </c>
      <c r="C763">
        <v>28</v>
      </c>
      <c r="D763">
        <v>31</v>
      </c>
      <c r="E763">
        <v>41</v>
      </c>
      <c r="G763">
        <v>-0.6007655209749635</v>
      </c>
      <c r="H763">
        <v>-0.57247186037219755</v>
      </c>
      <c r="I763">
        <v>-0.41862460753188863</v>
      </c>
      <c r="K763">
        <v>-0.53062066295968324</v>
      </c>
      <c r="M763" t="s">
        <v>768</v>
      </c>
    </row>
    <row r="764" spans="1:13">
      <c r="A764">
        <v>762</v>
      </c>
      <c r="B764">
        <v>77</v>
      </c>
      <c r="C764">
        <v>29</v>
      </c>
      <c r="D764">
        <v>182</v>
      </c>
      <c r="E764">
        <v>26</v>
      </c>
      <c r="G764">
        <v>-0.35807292728387174</v>
      </c>
      <c r="H764">
        <v>0.42369046091295942</v>
      </c>
      <c r="I764">
        <v>-0.38898248914645128</v>
      </c>
      <c r="K764">
        <v>-0.10778831850578786</v>
      </c>
      <c r="M764" t="s">
        <v>769</v>
      </c>
    </row>
    <row r="765" spans="1:13">
      <c r="A765">
        <v>763</v>
      </c>
      <c r="B765">
        <v>85</v>
      </c>
      <c r="C765">
        <v>287</v>
      </c>
      <c r="D765">
        <v>54</v>
      </c>
      <c r="E765">
        <v>54</v>
      </c>
      <c r="G765">
        <v>0.59448277100935365</v>
      </c>
      <c r="H765">
        <v>-0.14691536779095776</v>
      </c>
      <c r="I765">
        <v>-0.11449027783611158</v>
      </c>
      <c r="K765">
        <v>0.11102570846076143</v>
      </c>
      <c r="M765" t="s">
        <v>770</v>
      </c>
    </row>
    <row r="766" spans="1:13">
      <c r="A766">
        <v>764</v>
      </c>
      <c r="B766">
        <v>168</v>
      </c>
      <c r="C766">
        <v>175</v>
      </c>
      <c r="D766">
        <v>211</v>
      </c>
      <c r="E766">
        <v>431</v>
      </c>
      <c r="G766">
        <v>8.3748566950085618E-2</v>
      </c>
      <c r="H766">
        <v>0.14908297167219631</v>
      </c>
      <c r="I766">
        <v>0.49170287649008143</v>
      </c>
      <c r="K766">
        <v>0.24151147170412113</v>
      </c>
      <c r="M766" t="s">
        <v>771</v>
      </c>
    </row>
    <row r="767" spans="1:13">
      <c r="A767">
        <v>765</v>
      </c>
      <c r="B767">
        <v>6</v>
      </c>
      <c r="C767">
        <v>0</v>
      </c>
      <c r="D767">
        <v>0</v>
      </c>
      <c r="E767">
        <v>0</v>
      </c>
      <c r="G767">
        <v>-1.8</v>
      </c>
      <c r="H767">
        <v>-1.8</v>
      </c>
      <c r="I767">
        <v>-1.8</v>
      </c>
      <c r="K767">
        <v>-1.8</v>
      </c>
      <c r="M767" t="s">
        <v>772</v>
      </c>
    </row>
    <row r="768" spans="1:13">
      <c r="A768">
        <v>766</v>
      </c>
      <c r="B768">
        <v>154</v>
      </c>
      <c r="C768">
        <v>116</v>
      </c>
      <c r="D768">
        <v>112</v>
      </c>
      <c r="E768">
        <v>164</v>
      </c>
      <c r="G768">
        <v>-5.7042931619890574E-2</v>
      </c>
      <c r="H768">
        <v>-8.8192900065914945E-2</v>
      </c>
      <c r="I768">
        <v>0.10985801526644744</v>
      </c>
      <c r="K768">
        <v>-1.1792605473119356E-2</v>
      </c>
      <c r="M768" t="s">
        <v>773</v>
      </c>
    </row>
    <row r="769" spans="1:13">
      <c r="A769">
        <v>767</v>
      </c>
      <c r="B769">
        <v>87</v>
      </c>
      <c r="C769">
        <v>131</v>
      </c>
      <c r="D769">
        <v>1187</v>
      </c>
      <c r="E769">
        <v>652</v>
      </c>
      <c r="G769">
        <v>0.24377184302679977</v>
      </c>
      <c r="H769">
        <v>1.1850412644363391</v>
      </c>
      <c r="I769">
        <v>0.95726323116851442</v>
      </c>
      <c r="K769">
        <v>0.79535877954388434</v>
      </c>
      <c r="M769" t="s">
        <v>774</v>
      </c>
    </row>
    <row r="770" spans="1:13">
      <c r="A770">
        <v>768</v>
      </c>
      <c r="B770">
        <v>101</v>
      </c>
      <c r="C770">
        <v>78</v>
      </c>
      <c r="D770">
        <v>457</v>
      </c>
      <c r="E770">
        <v>37</v>
      </c>
      <c r="G770">
        <v>-4.6206971102508154E-2</v>
      </c>
      <c r="H770">
        <v>0.70570462438757409</v>
      </c>
      <c r="I770">
        <v>-0.35358476166043495</v>
      </c>
      <c r="K770">
        <v>0.10197096387487699</v>
      </c>
      <c r="M770" t="s">
        <v>775</v>
      </c>
    </row>
    <row r="771" spans="1:13">
      <c r="A771">
        <v>769</v>
      </c>
      <c r="B771">
        <v>129</v>
      </c>
      <c r="C771">
        <v>163</v>
      </c>
      <c r="D771">
        <v>18</v>
      </c>
      <c r="E771">
        <v>32</v>
      </c>
      <c r="G771">
        <v>0.16761769409436283</v>
      </c>
      <c r="H771">
        <v>-0.80520740709557637</v>
      </c>
      <c r="I771">
        <v>-0.52290484392413028</v>
      </c>
      <c r="K771">
        <v>-0.38683151897511464</v>
      </c>
      <c r="M771" t="s">
        <v>776</v>
      </c>
    </row>
    <row r="772" spans="1:13">
      <c r="A772">
        <v>770</v>
      </c>
      <c r="B772">
        <v>61</v>
      </c>
      <c r="C772">
        <v>12</v>
      </c>
      <c r="D772">
        <v>5</v>
      </c>
      <c r="E772">
        <v>6</v>
      </c>
      <c r="G772">
        <v>-0.64012878897348824</v>
      </c>
      <c r="H772">
        <v>-1.0362500325743818</v>
      </c>
      <c r="I772">
        <v>-0.92464369657191081</v>
      </c>
      <c r="K772">
        <v>-0.86700750603992693</v>
      </c>
      <c r="M772" t="s">
        <v>777</v>
      </c>
    </row>
    <row r="773" spans="1:13">
      <c r="A773">
        <v>771</v>
      </c>
      <c r="B773">
        <v>146</v>
      </c>
      <c r="C773">
        <v>5</v>
      </c>
      <c r="D773">
        <v>14</v>
      </c>
      <c r="E773">
        <v>28</v>
      </c>
      <c r="G773">
        <v>-1.3993630514587645</v>
      </c>
      <c r="H773">
        <v>-0.96811502200583266</v>
      </c>
      <c r="I773">
        <v>-0.63465993638700524</v>
      </c>
      <c r="K773">
        <v>-1.0007126699505342</v>
      </c>
      <c r="M773" t="s">
        <v>778</v>
      </c>
    </row>
    <row r="774" spans="1:13">
      <c r="A774">
        <v>772</v>
      </c>
      <c r="B774">
        <v>126</v>
      </c>
      <c r="C774">
        <v>8</v>
      </c>
      <c r="D774">
        <v>5</v>
      </c>
      <c r="E774">
        <v>14</v>
      </c>
      <c r="G774">
        <v>-1.1312607581359655</v>
      </c>
      <c r="H774">
        <v>-1.3512907426811778</v>
      </c>
      <c r="I774">
        <v>-0.87170762138411217</v>
      </c>
      <c r="K774">
        <v>-1.118086374067085</v>
      </c>
      <c r="M774" t="s">
        <v>779</v>
      </c>
    </row>
    <row r="775" spans="1:13">
      <c r="A775">
        <v>773</v>
      </c>
      <c r="B775">
        <v>77</v>
      </c>
      <c r="C775">
        <v>40</v>
      </c>
      <c r="D775">
        <v>45</v>
      </c>
      <c r="E775">
        <v>20</v>
      </c>
      <c r="G775">
        <v>-0.21841093385486549</v>
      </c>
      <c r="H775">
        <v>-0.18316841329677175</v>
      </c>
      <c r="I775">
        <v>-0.502925841453288</v>
      </c>
      <c r="K775">
        <v>-0.30150172953497506</v>
      </c>
      <c r="M775" t="s">
        <v>780</v>
      </c>
    </row>
    <row r="776" spans="1:13">
      <c r="A776">
        <v>774</v>
      </c>
      <c r="B776">
        <v>137</v>
      </c>
      <c r="C776">
        <v>159</v>
      </c>
      <c r="D776">
        <v>113</v>
      </c>
      <c r="E776">
        <v>136</v>
      </c>
      <c r="G776">
        <v>0.13069635715369871</v>
      </c>
      <c r="H776">
        <v>-3.3532325572620564E-2</v>
      </c>
      <c r="I776">
        <v>7.9353229269023398E-2</v>
      </c>
      <c r="K776">
        <v>5.8839086950033849E-2</v>
      </c>
      <c r="M776" t="s">
        <v>781</v>
      </c>
    </row>
    <row r="777" spans="1:13">
      <c r="A777">
        <v>775</v>
      </c>
      <c r="B777">
        <v>58</v>
      </c>
      <c r="C777">
        <v>33</v>
      </c>
      <c r="D777">
        <v>1157</v>
      </c>
      <c r="E777">
        <v>62</v>
      </c>
      <c r="G777">
        <v>-0.1788942536953958</v>
      </c>
      <c r="H777">
        <v>1.3500151634891786</v>
      </c>
      <c r="I777">
        <v>0.11149858399052921</v>
      </c>
      <c r="K777">
        <v>0.4275398312614373</v>
      </c>
      <c r="M777" t="s">
        <v>782</v>
      </c>
    </row>
    <row r="778" spans="1:13">
      <c r="A778">
        <v>776</v>
      </c>
      <c r="B778">
        <v>142</v>
      </c>
      <c r="C778">
        <v>12</v>
      </c>
      <c r="D778">
        <v>11</v>
      </c>
      <c r="E778">
        <v>14</v>
      </c>
      <c r="G778">
        <v>-1.0070872983457777</v>
      </c>
      <c r="H778">
        <v>-1.0607858611244652</v>
      </c>
      <c r="I778">
        <v>-0.92362542064960584</v>
      </c>
      <c r="K778">
        <v>-0.99716619337328283</v>
      </c>
      <c r="M778" t="s">
        <v>783</v>
      </c>
    </row>
    <row r="779" spans="1:13">
      <c r="A779">
        <v>777</v>
      </c>
      <c r="B779">
        <v>12</v>
      </c>
      <c r="C779">
        <v>0</v>
      </c>
      <c r="D779">
        <v>2</v>
      </c>
      <c r="E779">
        <v>6</v>
      </c>
      <c r="G779">
        <v>-1.8</v>
      </c>
      <c r="H779">
        <v>-0.7280414522832771</v>
      </c>
      <c r="I779">
        <v>-0.21849510760876856</v>
      </c>
      <c r="K779">
        <v>-1.8</v>
      </c>
      <c r="M779" t="s">
        <v>784</v>
      </c>
    </row>
    <row r="780" spans="1:13">
      <c r="A780">
        <v>778</v>
      </c>
      <c r="B780">
        <v>133</v>
      </c>
      <c r="C780">
        <v>7</v>
      </c>
      <c r="D780">
        <v>9</v>
      </c>
      <c r="E780">
        <v>2</v>
      </c>
      <c r="G780">
        <v>-1.2127338009631752</v>
      </c>
      <c r="H780">
        <v>-1.1194993334273946</v>
      </c>
      <c r="I780">
        <v>-1.7402867572478919</v>
      </c>
      <c r="K780">
        <v>-1.3575066305461538</v>
      </c>
      <c r="M780" t="s">
        <v>785</v>
      </c>
    </row>
    <row r="781" spans="1:13">
      <c r="A781">
        <v>779</v>
      </c>
      <c r="B781">
        <v>85</v>
      </c>
      <c r="C781">
        <v>6</v>
      </c>
      <c r="D781">
        <v>6</v>
      </c>
      <c r="E781">
        <v>5</v>
      </c>
      <c r="G781">
        <v>-1.0852478753409951</v>
      </c>
      <c r="H781">
        <v>-1.1011578772302826</v>
      </c>
      <c r="I781">
        <v>-1.1479140333230613</v>
      </c>
      <c r="K781">
        <v>-1.1114399286314465</v>
      </c>
      <c r="M781" t="s">
        <v>786</v>
      </c>
    </row>
    <row r="782" spans="1:13">
      <c r="A782">
        <v>780</v>
      </c>
      <c r="B782">
        <v>240</v>
      </c>
      <c r="C782">
        <v>113</v>
      </c>
      <c r="D782">
        <v>119</v>
      </c>
      <c r="E782">
        <v>264</v>
      </c>
      <c r="G782">
        <v>-0.26111299823853229</v>
      </c>
      <c r="H782">
        <v>-0.2545544822187088</v>
      </c>
      <c r="I782">
        <v>0.12392757321343773</v>
      </c>
      <c r="K782">
        <v>-0.13057996908126779</v>
      </c>
      <c r="M782" t="s">
        <v>787</v>
      </c>
    </row>
    <row r="783" spans="1:13">
      <c r="A783">
        <v>781</v>
      </c>
      <c r="B783">
        <v>96</v>
      </c>
      <c r="C783">
        <v>2</v>
      </c>
      <c r="D783">
        <v>2</v>
      </c>
      <c r="E783">
        <v>2</v>
      </c>
      <c r="G783">
        <v>-1.6152214373859333</v>
      </c>
      <c r="H783">
        <v>-1.6311314392752208</v>
      </c>
      <c r="I783">
        <v>-1.5987063493203746</v>
      </c>
      <c r="K783">
        <v>-1.6150197419938428</v>
      </c>
      <c r="M783" t="s">
        <v>788</v>
      </c>
    </row>
    <row r="784" spans="1:13">
      <c r="A784">
        <v>782</v>
      </c>
      <c r="B784">
        <v>139</v>
      </c>
      <c r="C784">
        <v>24</v>
      </c>
      <c r="D784">
        <v>13</v>
      </c>
      <c r="E784">
        <v>23</v>
      </c>
      <c r="G784">
        <v>-0.69678375855283503</v>
      </c>
      <c r="H784">
        <v>-0.97896164984689171</v>
      </c>
      <c r="I784">
        <v>-0.69875207618128954</v>
      </c>
      <c r="K784">
        <v>-0.79149916152700539</v>
      </c>
      <c r="M784" t="s">
        <v>789</v>
      </c>
    </row>
    <row r="785" spans="1:13">
      <c r="A785">
        <v>783</v>
      </c>
      <c r="B785">
        <v>62</v>
      </c>
      <c r="C785">
        <v>12</v>
      </c>
      <c r="D785">
        <v>33</v>
      </c>
      <c r="E785">
        <v>16</v>
      </c>
      <c r="G785">
        <v>-0.64719064346097499</v>
      </c>
      <c r="H785">
        <v>-0.22376795151999995</v>
      </c>
      <c r="I785">
        <v>-0.5057368187871164</v>
      </c>
      <c r="K785">
        <v>-0.45889847125603045</v>
      </c>
      <c r="M785" t="s">
        <v>790</v>
      </c>
    </row>
    <row r="786" spans="1:13">
      <c r="A786">
        <v>784</v>
      </c>
      <c r="B786">
        <v>33</v>
      </c>
      <c r="C786">
        <v>0</v>
      </c>
      <c r="D786">
        <v>0</v>
      </c>
      <c r="E786">
        <v>1</v>
      </c>
      <c r="G786">
        <v>-1.8</v>
      </c>
      <c r="H786">
        <v>-1.8</v>
      </c>
      <c r="I786">
        <v>-1.4359790518226749</v>
      </c>
      <c r="K786">
        <v>-1.8</v>
      </c>
      <c r="M786" t="s">
        <v>791</v>
      </c>
    </row>
    <row r="787" spans="1:13">
      <c r="A787">
        <v>785</v>
      </c>
      <c r="B787">
        <v>60</v>
      </c>
      <c r="C787">
        <v>11</v>
      </c>
      <c r="D787">
        <v>31</v>
      </c>
      <c r="E787">
        <v>24</v>
      </c>
      <c r="G787">
        <v>-0.67073876523576459</v>
      </c>
      <c r="H787">
        <v>-0.23667975844900441</v>
      </c>
      <c r="I787">
        <v>-0.31540512061682496</v>
      </c>
      <c r="K787">
        <v>-0.40760788143386462</v>
      </c>
      <c r="M787" t="s">
        <v>792</v>
      </c>
    </row>
    <row r="788" spans="1:13">
      <c r="A788">
        <v>786</v>
      </c>
      <c r="B788">
        <v>54</v>
      </c>
      <c r="C788">
        <v>50</v>
      </c>
      <c r="D788">
        <v>31</v>
      </c>
      <c r="E788">
        <v>290</v>
      </c>
      <c r="G788">
        <v>3.2596044502704299E-2</v>
      </c>
      <c r="H788">
        <v>-0.19092226788832933</v>
      </c>
      <c r="I788">
        <v>0.81253912613120027</v>
      </c>
      <c r="K788">
        <v>0.2180709675818584</v>
      </c>
      <c r="M788" t="s">
        <v>793</v>
      </c>
    </row>
    <row r="789" spans="1:13">
      <c r="A789">
        <v>787</v>
      </c>
      <c r="B789">
        <v>123</v>
      </c>
      <c r="C789">
        <v>5</v>
      </c>
      <c r="D789">
        <v>9</v>
      </c>
      <c r="E789">
        <v>8</v>
      </c>
      <c r="G789">
        <v>-1.3249153071137252</v>
      </c>
      <c r="H789">
        <v>-1.0855528038997067</v>
      </c>
      <c r="I789">
        <v>-1.1042802363922417</v>
      </c>
      <c r="K789">
        <v>-1.1715827824685581</v>
      </c>
      <c r="M789" t="s">
        <v>794</v>
      </c>
    </row>
    <row r="790" spans="1:13">
      <c r="A790">
        <v>788</v>
      </c>
      <c r="B790">
        <v>85</v>
      </c>
      <c r="C790">
        <v>100</v>
      </c>
      <c r="D790">
        <v>34</v>
      </c>
      <c r="E790">
        <v>66</v>
      </c>
      <c r="G790">
        <v>0.13660087427536127</v>
      </c>
      <c r="H790">
        <v>-0.34783021057167113</v>
      </c>
      <c r="I790">
        <v>-2.7340102117211398E-2</v>
      </c>
      <c r="K790">
        <v>-7.9523146137840409E-2</v>
      </c>
      <c r="M790" t="s">
        <v>795</v>
      </c>
    </row>
    <row r="791" spans="1:13">
      <c r="A791">
        <v>789</v>
      </c>
      <c r="B791">
        <v>216</v>
      </c>
      <c r="C791">
        <v>725</v>
      </c>
      <c r="D791">
        <v>203</v>
      </c>
      <c r="E791">
        <v>92</v>
      </c>
      <c r="G791">
        <v>0.5919040554097168</v>
      </c>
      <c r="H791">
        <v>2.3152084862648491E-2</v>
      </c>
      <c r="I791">
        <v>-0.28813103575016297</v>
      </c>
      <c r="K791">
        <v>0.10897503484073412</v>
      </c>
      <c r="M791" t="s">
        <v>796</v>
      </c>
    </row>
    <row r="792" spans="1:13">
      <c r="A792">
        <v>790</v>
      </c>
      <c r="B792">
        <v>63</v>
      </c>
      <c r="C792">
        <v>93</v>
      </c>
      <c r="D792">
        <v>41</v>
      </c>
      <c r="E792">
        <v>28</v>
      </c>
      <c r="G792">
        <v>0.23516219909000746</v>
      </c>
      <c r="H792">
        <v>-0.1364468946334797</v>
      </c>
      <c r="I792">
        <v>-0.26964763005614989</v>
      </c>
      <c r="K792">
        <v>-5.6977441866540711E-2</v>
      </c>
      <c r="M792" t="s">
        <v>797</v>
      </c>
    </row>
    <row r="793" spans="1:13">
      <c r="A793">
        <v>791</v>
      </c>
      <c r="B793">
        <v>75</v>
      </c>
      <c r="C793">
        <v>3</v>
      </c>
      <c r="D793">
        <v>6</v>
      </c>
      <c r="E793">
        <v>14</v>
      </c>
      <c r="G793">
        <v>-1.3319202086823836</v>
      </c>
      <c r="H793">
        <v>-1.04680021490769</v>
      </c>
      <c r="I793">
        <v>-0.64639833965824933</v>
      </c>
      <c r="K793">
        <v>-1.0083729210827743</v>
      </c>
      <c r="M793" t="s">
        <v>798</v>
      </c>
    </row>
    <row r="794" spans="1:13">
      <c r="A794">
        <v>792</v>
      </c>
      <c r="B794">
        <v>68</v>
      </c>
      <c r="C794">
        <v>48</v>
      </c>
      <c r="D794">
        <v>18</v>
      </c>
      <c r="E794">
        <v>25</v>
      </c>
      <c r="G794">
        <v>-8.524787534099508E-2</v>
      </c>
      <c r="H794">
        <v>-0.52712660950256374</v>
      </c>
      <c r="I794">
        <v>-0.35203401597898604</v>
      </c>
      <c r="K794">
        <v>-0.32146950027418164</v>
      </c>
      <c r="M794" t="s">
        <v>799</v>
      </c>
    </row>
    <row r="795" spans="1:13">
      <c r="A795">
        <v>793</v>
      </c>
      <c r="B795">
        <v>103</v>
      </c>
      <c r="C795">
        <v>27</v>
      </c>
      <c r="D795">
        <v>43</v>
      </c>
      <c r="E795">
        <v>50</v>
      </c>
      <c r="G795">
        <v>-0.51545366055653086</v>
      </c>
      <c r="H795">
        <v>-0.32925897102521923</v>
      </c>
      <c r="I795">
        <v>-0.23133233231394074</v>
      </c>
      <c r="K795">
        <v>-0.35868165463189694</v>
      </c>
      <c r="M795" t="s">
        <v>800</v>
      </c>
    </row>
    <row r="796" spans="1:13">
      <c r="A796">
        <v>794</v>
      </c>
      <c r="B796">
        <v>84</v>
      </c>
      <c r="C796">
        <v>64</v>
      </c>
      <c r="D796">
        <v>74</v>
      </c>
      <c r="E796">
        <v>154</v>
      </c>
      <c r="G796">
        <v>-5.207951208834051E-2</v>
      </c>
      <c r="H796">
        <v>-4.9377682305389858E-3</v>
      </c>
      <c r="I796">
        <v>0.34577632282979404</v>
      </c>
      <c r="K796">
        <v>9.6253014170304851E-2</v>
      </c>
      <c r="M796" t="s">
        <v>801</v>
      </c>
    </row>
    <row r="797" spans="1:13">
      <c r="A797">
        <v>795</v>
      </c>
      <c r="B797">
        <v>53</v>
      </c>
      <c r="C797">
        <v>5</v>
      </c>
      <c r="D797">
        <v>12</v>
      </c>
      <c r="E797">
        <v>13</v>
      </c>
      <c r="G797">
        <v>-0.95928606527511617</v>
      </c>
      <c r="H797">
        <v>-0.59498482545279763</v>
      </c>
      <c r="I797">
        <v>-0.52779762923873963</v>
      </c>
      <c r="K797">
        <v>-0.69402283998888448</v>
      </c>
      <c r="M797" t="s">
        <v>802</v>
      </c>
    </row>
    <row r="798" spans="1:13">
      <c r="A798">
        <v>796</v>
      </c>
      <c r="B798">
        <v>146</v>
      </c>
      <c r="C798">
        <v>22</v>
      </c>
      <c r="D798">
        <v>28</v>
      </c>
      <c r="E798">
        <v>26</v>
      </c>
      <c r="G798">
        <v>-0.75591037497257685</v>
      </c>
      <c r="H798">
        <v>-0.66708502634185141</v>
      </c>
      <c r="I798">
        <v>-0.66684461975840648</v>
      </c>
      <c r="K798">
        <v>-0.69661334035761158</v>
      </c>
      <c r="M798" t="s">
        <v>803</v>
      </c>
    </row>
    <row r="799" spans="1:13">
      <c r="A799">
        <v>797</v>
      </c>
      <c r="B799">
        <v>94</v>
      </c>
      <c r="C799">
        <v>98</v>
      </c>
      <c r="D799">
        <v>257</v>
      </c>
      <c r="E799">
        <v>1017</v>
      </c>
      <c r="G799">
        <v>8.4118022082450228E-2</v>
      </c>
      <c r="H799">
        <v>0.48691506783196231</v>
      </c>
      <c r="I799">
        <v>1.1167279873782585</v>
      </c>
      <c r="K799">
        <v>0.5625870257642237</v>
      </c>
      <c r="M799" t="s">
        <v>804</v>
      </c>
    </row>
    <row r="800" spans="1:13">
      <c r="A800">
        <v>798</v>
      </c>
      <c r="B800">
        <v>112</v>
      </c>
      <c r="C800">
        <v>26</v>
      </c>
      <c r="D800">
        <v>89</v>
      </c>
      <c r="E800">
        <v>22</v>
      </c>
      <c r="G800">
        <v>-0.56822487470970962</v>
      </c>
      <c r="H800">
        <v>-4.9718217924902358E-2</v>
      </c>
      <c r="I800">
        <v>-0.62426045379276274</v>
      </c>
      <c r="K800">
        <v>-0.41406784880912495</v>
      </c>
      <c r="M800" t="s">
        <v>805</v>
      </c>
    </row>
    <row r="801" spans="1:13">
      <c r="A801">
        <v>799</v>
      </c>
      <c r="B801">
        <v>121</v>
      </c>
      <c r="C801">
        <v>71</v>
      </c>
      <c r="D801">
        <v>157</v>
      </c>
      <c r="E801">
        <v>105</v>
      </c>
      <c r="G801">
        <v>-0.16550722160772074</v>
      </c>
      <c r="H801">
        <v>0.1632240801931501</v>
      </c>
      <c r="I801">
        <v>2.0938816808700647E-2</v>
      </c>
      <c r="K801">
        <v>6.2185584647100013E-3</v>
      </c>
      <c r="M801" t="s">
        <v>806</v>
      </c>
    </row>
    <row r="802" spans="1:13">
      <c r="A802">
        <v>800</v>
      </c>
      <c r="B802">
        <v>153</v>
      </c>
      <c r="C802">
        <v>75</v>
      </c>
      <c r="D802">
        <v>291</v>
      </c>
      <c r="E802">
        <v>91</v>
      </c>
      <c r="G802">
        <v>-0.24361036743624476</v>
      </c>
      <c r="H802">
        <v>0.32931135626867492</v>
      </c>
      <c r="I802">
        <v>-0.14311515044129253</v>
      </c>
      <c r="K802">
        <v>-1.9138053869620791E-2</v>
      </c>
      <c r="M802" t="s">
        <v>807</v>
      </c>
    </row>
    <row r="803" spans="1:13">
      <c r="A803">
        <v>801</v>
      </c>
      <c r="B803">
        <v>179</v>
      </c>
      <c r="C803">
        <v>329</v>
      </c>
      <c r="D803">
        <v>208</v>
      </c>
      <c r="E803">
        <v>250</v>
      </c>
      <c r="G803">
        <v>0.3303626669597351</v>
      </c>
      <c r="H803">
        <v>0.11532010208323491</v>
      </c>
      <c r="I803">
        <v>0.2276218657473571</v>
      </c>
      <c r="K803">
        <v>0.22443487826344236</v>
      </c>
      <c r="M803" t="s">
        <v>808</v>
      </c>
    </row>
    <row r="804" spans="1:13">
      <c r="A804">
        <v>802</v>
      </c>
      <c r="B804">
        <v>97</v>
      </c>
      <c r="C804">
        <v>4</v>
      </c>
      <c r="D804">
        <v>0</v>
      </c>
      <c r="E804">
        <v>1</v>
      </c>
      <c r="G804">
        <v>-1.3186919429486286</v>
      </c>
      <c r="H804">
        <v>-1.8</v>
      </c>
      <c r="I804">
        <v>-1.9042368462110322</v>
      </c>
      <c r="K804">
        <v>-1.8</v>
      </c>
      <c r="M804" t="s">
        <v>809</v>
      </c>
    </row>
    <row r="805" spans="1:13">
      <c r="A805">
        <v>803</v>
      </c>
      <c r="B805">
        <v>124</v>
      </c>
      <c r="C805">
        <v>5</v>
      </c>
      <c r="D805">
        <v>114</v>
      </c>
      <c r="E805">
        <v>47</v>
      </c>
      <c r="G805">
        <v>-1.3284318808365623</v>
      </c>
      <c r="H805">
        <v>1.3592964274603998E-2</v>
      </c>
      <c r="I805">
        <v>-0.33878893917130498</v>
      </c>
      <c r="K805">
        <v>-0.55120928524442114</v>
      </c>
      <c r="M805" t="s">
        <v>810</v>
      </c>
    </row>
    <row r="806" spans="1:13">
      <c r="A806">
        <v>804</v>
      </c>
      <c r="B806">
        <v>62</v>
      </c>
      <c r="C806">
        <v>2</v>
      </c>
      <c r="D806">
        <v>0</v>
      </c>
      <c r="E806">
        <v>3</v>
      </c>
      <c r="G806">
        <v>-1.4253418938446187</v>
      </c>
      <c r="H806">
        <v>-1.8</v>
      </c>
      <c r="I806">
        <v>-1.2327355467233789</v>
      </c>
      <c r="K806">
        <v>-1.8</v>
      </c>
      <c r="M806" t="s">
        <v>811</v>
      </c>
    </row>
    <row r="807" spans="1:13">
      <c r="A807">
        <v>805</v>
      </c>
      <c r="B807">
        <v>171</v>
      </c>
      <c r="C807">
        <v>46</v>
      </c>
      <c r="D807">
        <v>81</v>
      </c>
      <c r="E807">
        <v>50</v>
      </c>
      <c r="G807">
        <v>-0.50421847872092573</v>
      </c>
      <c r="H807">
        <v>-0.27440129341313763</v>
      </c>
      <c r="I807">
        <v>-0.45149121800092246</v>
      </c>
      <c r="K807">
        <v>-0.41003699671166194</v>
      </c>
      <c r="M807" t="s">
        <v>812</v>
      </c>
    </row>
    <row r="808" spans="1:13">
      <c r="A808">
        <v>806</v>
      </c>
      <c r="B808">
        <v>132</v>
      </c>
      <c r="C808">
        <v>14</v>
      </c>
      <c r="D808">
        <v>17</v>
      </c>
      <c r="E808">
        <v>28</v>
      </c>
      <c r="G808">
        <v>-0.90842609553795783</v>
      </c>
      <c r="H808">
        <v>-0.84001521172720939</v>
      </c>
      <c r="I808">
        <v>-0.5908810118084179</v>
      </c>
      <c r="K808">
        <v>-0.77977410635786171</v>
      </c>
      <c r="M808" t="s">
        <v>813</v>
      </c>
    </row>
    <row r="809" spans="1:13">
      <c r="A809">
        <v>807</v>
      </c>
      <c r="B809">
        <v>167</v>
      </c>
      <c r="C809">
        <v>63</v>
      </c>
      <c r="D809">
        <v>163</v>
      </c>
      <c r="E809">
        <v>98</v>
      </c>
      <c r="G809">
        <v>-0.35735612170434761</v>
      </c>
      <c r="H809">
        <v>3.9580931356741032E-2</v>
      </c>
      <c r="I809">
        <v>-0.14895550739987579</v>
      </c>
      <c r="K809">
        <v>-0.15557689924916079</v>
      </c>
      <c r="M809" t="s">
        <v>814</v>
      </c>
    </row>
    <row r="810" spans="1:13">
      <c r="A810">
        <v>808</v>
      </c>
      <c r="B810">
        <v>103</v>
      </c>
      <c r="C810">
        <v>25</v>
      </c>
      <c r="D810">
        <v>110</v>
      </c>
      <c r="E810">
        <v>44</v>
      </c>
      <c r="G810">
        <v>-0.54887741604348061</v>
      </c>
      <c r="H810">
        <v>7.8665258553419312E-2</v>
      </c>
      <c r="I810">
        <v>-0.28684966016377217</v>
      </c>
      <c r="K810">
        <v>-0.25235393921794452</v>
      </c>
      <c r="M810" t="s">
        <v>815</v>
      </c>
    </row>
    <row r="811" spans="1:13">
      <c r="A811">
        <v>809</v>
      </c>
      <c r="B811">
        <v>168</v>
      </c>
      <c r="C811">
        <v>2148</v>
      </c>
      <c r="D811">
        <v>1746</v>
      </c>
      <c r="E811">
        <v>1859</v>
      </c>
      <c r="G811">
        <v>1.172744795291309</v>
      </c>
      <c r="H811">
        <v>1.0668447557440546</v>
      </c>
      <c r="I811">
        <v>1.1265049961012483</v>
      </c>
      <c r="K811">
        <v>1.1220315157122041</v>
      </c>
      <c r="M811" t="s">
        <v>816</v>
      </c>
    </row>
    <row r="812" spans="1:13">
      <c r="A812">
        <v>810</v>
      </c>
      <c r="B812">
        <v>110</v>
      </c>
      <c r="C812">
        <v>200</v>
      </c>
      <c r="D812">
        <v>295</v>
      </c>
      <c r="E812">
        <v>133</v>
      </c>
      <c r="G812">
        <v>0.32565711049541013</v>
      </c>
      <c r="H812">
        <v>0.47853912892030442</v>
      </c>
      <c r="I812">
        <v>0.16499384386407337</v>
      </c>
      <c r="K812">
        <v>0.32306336109326261</v>
      </c>
      <c r="M812" t="s">
        <v>817</v>
      </c>
    </row>
    <row r="813" spans="1:13">
      <c r="A813">
        <v>811</v>
      </c>
      <c r="B813">
        <v>71</v>
      </c>
      <c r="C813">
        <v>0</v>
      </c>
      <c r="D813">
        <v>4</v>
      </c>
      <c r="E813">
        <v>2</v>
      </c>
      <c r="G813">
        <v>-1.8</v>
      </c>
      <c r="H813">
        <v>-1.1990885592907465</v>
      </c>
      <c r="I813">
        <v>-1.4676934649998814</v>
      </c>
      <c r="K813">
        <v>-1.8</v>
      </c>
      <c r="M813" t="s">
        <v>818</v>
      </c>
    </row>
    <row r="814" spans="1:13">
      <c r="A814">
        <v>812</v>
      </c>
      <c r="B814">
        <v>220</v>
      </c>
      <c r="C814">
        <v>6</v>
      </c>
      <c r="D814">
        <v>11</v>
      </c>
      <c r="E814">
        <v>10</v>
      </c>
      <c r="G814">
        <v>-1.4982516304489086</v>
      </c>
      <c r="H814">
        <v>-1.2509201975636148</v>
      </c>
      <c r="I814">
        <v>-1.2598877927669936</v>
      </c>
      <c r="K814">
        <v>-1.3363532069265058</v>
      </c>
      <c r="M814" t="s">
        <v>819</v>
      </c>
    </row>
    <row r="815" spans="1:13">
      <c r="A815">
        <v>813</v>
      </c>
      <c r="B815">
        <v>21</v>
      </c>
      <c r="C815">
        <v>0</v>
      </c>
      <c r="D815">
        <v>1</v>
      </c>
      <c r="E815">
        <v>0</v>
      </c>
      <c r="G815">
        <v>-1.8</v>
      </c>
      <c r="H815">
        <v>-1.2721094966335529</v>
      </c>
      <c r="I815">
        <v>-1.8</v>
      </c>
      <c r="K815">
        <v>-1.8</v>
      </c>
      <c r="M815" t="s">
        <v>820</v>
      </c>
    </row>
    <row r="816" spans="1:13">
      <c r="A816">
        <v>814</v>
      </c>
      <c r="B816">
        <v>105</v>
      </c>
      <c r="C816">
        <v>765</v>
      </c>
      <c r="D816">
        <v>736</v>
      </c>
      <c r="E816">
        <v>441</v>
      </c>
      <c r="G816">
        <v>0.92849193607333358</v>
      </c>
      <c r="H816">
        <v>0.89579831336792726</v>
      </c>
      <c r="I816">
        <v>0.70578417845311314</v>
      </c>
      <c r="K816">
        <v>0.84335814263145803</v>
      </c>
      <c r="M816" t="s">
        <v>821</v>
      </c>
    </row>
    <row r="817" spans="1:13">
      <c r="A817">
        <v>815</v>
      </c>
      <c r="B817">
        <v>54</v>
      </c>
      <c r="C817">
        <v>2925</v>
      </c>
      <c r="D817">
        <v>435</v>
      </c>
      <c r="E817">
        <v>118</v>
      </c>
      <c r="G817">
        <v>1.7997519105848847</v>
      </c>
      <c r="H817">
        <v>0.95620529523203535</v>
      </c>
      <c r="I817">
        <v>0.42202313553836951</v>
      </c>
      <c r="K817">
        <v>1.0593267804517632</v>
      </c>
      <c r="M817" t="s">
        <v>822</v>
      </c>
    </row>
    <row r="818" spans="1:13">
      <c r="A818">
        <v>816</v>
      </c>
      <c r="B818">
        <v>242</v>
      </c>
      <c r="C818">
        <v>18</v>
      </c>
      <c r="D818">
        <v>11</v>
      </c>
      <c r="E818">
        <v>13</v>
      </c>
      <c r="G818">
        <v>-1.0625230608874714</v>
      </c>
      <c r="H818">
        <v>-1.2923128827218398</v>
      </c>
      <c r="I818">
        <v>-1.187337125618382</v>
      </c>
      <c r="K818">
        <v>-1.1807243564092309</v>
      </c>
      <c r="M818" t="s">
        <v>823</v>
      </c>
    </row>
    <row r="819" spans="1:13">
      <c r="A819">
        <v>817</v>
      </c>
      <c r="B819">
        <v>135</v>
      </c>
      <c r="C819">
        <v>56</v>
      </c>
      <c r="D819">
        <v>50</v>
      </c>
      <c r="E819">
        <v>69</v>
      </c>
      <c r="G819">
        <v>-0.31612594149915169</v>
      </c>
      <c r="H819">
        <v>-0.38125396605862089</v>
      </c>
      <c r="I819">
        <v>-0.20894978970253819</v>
      </c>
      <c r="K819">
        <v>-0.30210989908677027</v>
      </c>
      <c r="M819" t="s">
        <v>824</v>
      </c>
    </row>
    <row r="820" spans="1:13">
      <c r="A820">
        <v>818</v>
      </c>
      <c r="B820">
        <v>96</v>
      </c>
      <c r="C820">
        <v>7</v>
      </c>
      <c r="D820">
        <v>3</v>
      </c>
      <c r="E820">
        <v>2</v>
      </c>
      <c r="G820">
        <v>-1.0711533930356576</v>
      </c>
      <c r="H820">
        <v>-1.4550401802195396</v>
      </c>
      <c r="I820">
        <v>-1.5987063493203746</v>
      </c>
      <c r="K820">
        <v>-1.3749666408585239</v>
      </c>
      <c r="M820" t="s">
        <v>825</v>
      </c>
    </row>
    <row r="821" spans="1:13">
      <c r="A821">
        <v>819</v>
      </c>
      <c r="B821">
        <v>71</v>
      </c>
      <c r="C821">
        <v>75</v>
      </c>
      <c r="D821">
        <v>124</v>
      </c>
      <c r="E821">
        <v>64</v>
      </c>
      <c r="G821">
        <v>8.982271466227873E-2</v>
      </c>
      <c r="H821">
        <v>0.29227313454352627</v>
      </c>
      <c r="I821">
        <v>3.7456513320024552E-2</v>
      </c>
      <c r="K821">
        <v>0.13985078750860983</v>
      </c>
      <c r="M821" t="s">
        <v>826</v>
      </c>
    </row>
    <row r="822" spans="1:13">
      <c r="A822">
        <v>820</v>
      </c>
      <c r="B822">
        <v>165</v>
      </c>
      <c r="C822">
        <v>99</v>
      </c>
      <c r="D822">
        <v>179</v>
      </c>
      <c r="E822">
        <v>87</v>
      </c>
      <c r="G822">
        <v>-0.15582894962670241</v>
      </c>
      <c r="H822">
        <v>8.5478884866353411E-2</v>
      </c>
      <c r="I822">
        <v>-0.19542980354007516</v>
      </c>
      <c r="K822">
        <v>-8.859328943347472E-2</v>
      </c>
      <c r="M822" t="s">
        <v>827</v>
      </c>
    </row>
    <row r="823" spans="1:13">
      <c r="A823">
        <v>821</v>
      </c>
      <c r="B823">
        <v>104</v>
      </c>
      <c r="C823">
        <v>20</v>
      </c>
      <c r="D823">
        <v>156</v>
      </c>
      <c r="E823">
        <v>23</v>
      </c>
      <c r="G823">
        <v>-0.6499835436451451</v>
      </c>
      <c r="H823">
        <v>0.22620105715604771</v>
      </c>
      <c r="I823">
        <v>-0.57277061522597483</v>
      </c>
      <c r="K823">
        <v>-0.33218436723835737</v>
      </c>
      <c r="M823" t="s">
        <v>828</v>
      </c>
    </row>
    <row r="824" spans="1:13">
      <c r="A824">
        <v>822</v>
      </c>
      <c r="B824">
        <v>46</v>
      </c>
      <c r="C824">
        <v>0</v>
      </c>
      <c r="D824">
        <v>1</v>
      </c>
      <c r="E824">
        <v>2</v>
      </c>
      <c r="G824">
        <v>-1.8</v>
      </c>
      <c r="H824">
        <v>-1.6126480335812077</v>
      </c>
      <c r="I824">
        <v>-1.2791929479623803</v>
      </c>
      <c r="K824">
        <v>-1.8</v>
      </c>
      <c r="M824" t="s">
        <v>829</v>
      </c>
    </row>
    <row r="825" spans="1:13">
      <c r="A825">
        <v>823</v>
      </c>
      <c r="B825">
        <v>86</v>
      </c>
      <c r="C825">
        <v>406</v>
      </c>
      <c r="D825">
        <v>915</v>
      </c>
      <c r="E825">
        <v>229</v>
      </c>
      <c r="G825">
        <v>0.74004738232328049</v>
      </c>
      <c r="H825">
        <v>1.077032440923247</v>
      </c>
      <c r="I825">
        <v>0.50787191915153296</v>
      </c>
      <c r="K825">
        <v>0.77498391413268675</v>
      </c>
      <c r="M825" t="s">
        <v>830</v>
      </c>
    </row>
    <row r="826" spans="1:13">
      <c r="A826">
        <v>824</v>
      </c>
      <c r="B826">
        <v>138</v>
      </c>
      <c r="C826">
        <v>11</v>
      </c>
      <c r="D826">
        <v>16</v>
      </c>
      <c r="E826">
        <v>17</v>
      </c>
      <c r="G826">
        <v>-1.0324666012533577</v>
      </c>
      <c r="H826">
        <v>-0.88564930564494515</v>
      </c>
      <c r="I826">
        <v>-0.82689527696774989</v>
      </c>
      <c r="K826">
        <v>-0.91500372795535101</v>
      </c>
      <c r="M826" t="s">
        <v>831</v>
      </c>
    </row>
    <row r="827" spans="1:13">
      <c r="A827">
        <v>825</v>
      </c>
      <c r="B827">
        <v>157</v>
      </c>
      <c r="C827">
        <v>54</v>
      </c>
      <c r="D827">
        <v>174</v>
      </c>
      <c r="E827">
        <v>88</v>
      </c>
      <c r="G827">
        <v>-0.39748609259661122</v>
      </c>
      <c r="H827">
        <v>9.4759393973732467E-2</v>
      </c>
      <c r="I827">
        <v>-0.16888209220385247</v>
      </c>
      <c r="K827">
        <v>-0.15720293027557708</v>
      </c>
      <c r="M827" t="s">
        <v>832</v>
      </c>
    </row>
    <row r="828" spans="1:13">
      <c r="A828">
        <v>826</v>
      </c>
      <c r="B828">
        <v>73</v>
      </c>
      <c r="C828">
        <v>79</v>
      </c>
      <c r="D828">
        <v>96</v>
      </c>
      <c r="E828">
        <v>98</v>
      </c>
      <c r="G828">
        <v>0.10032403115963957</v>
      </c>
      <c r="H828">
        <v>0.16905817101947898</v>
      </c>
      <c r="I828">
        <v>0.21043810362725163</v>
      </c>
      <c r="K828">
        <v>0.15994010193545674</v>
      </c>
      <c r="M828" t="s">
        <v>833</v>
      </c>
    </row>
    <row r="829" spans="1:13">
      <c r="A829">
        <v>827</v>
      </c>
      <c r="B829">
        <v>146</v>
      </c>
      <c r="C829">
        <v>1</v>
      </c>
      <c r="D829">
        <v>5</v>
      </c>
      <c r="E829">
        <v>3</v>
      </c>
      <c r="G829">
        <v>-2.0983330557947832</v>
      </c>
      <c r="H829">
        <v>-1.415273053348052</v>
      </c>
      <c r="I829">
        <v>-1.6046967130095622</v>
      </c>
      <c r="K829">
        <v>-1.7061009407174659</v>
      </c>
      <c r="M829" t="s">
        <v>834</v>
      </c>
    </row>
    <row r="830" spans="1:13">
      <c r="A830">
        <v>828</v>
      </c>
      <c r="B830">
        <v>82</v>
      </c>
      <c r="C830">
        <v>16</v>
      </c>
      <c r="D830">
        <v>46</v>
      </c>
      <c r="E830">
        <v>17</v>
      </c>
      <c r="G830">
        <v>-0.6436740697381379</v>
      </c>
      <c r="H830">
        <v>-0.20094622260177608</v>
      </c>
      <c r="I830">
        <v>-0.60083004295023013</v>
      </c>
      <c r="K830">
        <v>-0.48181677843004805</v>
      </c>
      <c r="M830" t="s">
        <v>835</v>
      </c>
    </row>
    <row r="831" spans="1:13">
      <c r="A831">
        <v>829</v>
      </c>
      <c r="B831">
        <v>88</v>
      </c>
      <c r="C831">
        <v>71</v>
      </c>
      <c r="D831">
        <v>71</v>
      </c>
      <c r="E831">
        <v>56</v>
      </c>
      <c r="G831">
        <v>-2.7204523441439366E-2</v>
      </c>
      <c r="H831">
        <v>-4.3114525330726877E-2</v>
      </c>
      <c r="I831">
        <v>-0.11375975708875556</v>
      </c>
      <c r="K831">
        <v>-6.1359601953640597E-2</v>
      </c>
      <c r="M831" t="s">
        <v>836</v>
      </c>
    </row>
    <row r="832" spans="1:13">
      <c r="A832">
        <v>830</v>
      </c>
      <c r="B832">
        <v>55</v>
      </c>
      <c r="C832">
        <v>31</v>
      </c>
      <c r="D832">
        <v>15</v>
      </c>
      <c r="E832">
        <v>305</v>
      </c>
      <c r="G832">
        <v>-0.18298119567031718</v>
      </c>
      <c r="H832">
        <v>-0.51416163233819612</v>
      </c>
      <c r="I832">
        <v>0.8264720379077547</v>
      </c>
      <c r="K832">
        <v>4.3109736633080487E-2</v>
      </c>
      <c r="M832" t="s">
        <v>837</v>
      </c>
    </row>
    <row r="833" spans="1:13">
      <c r="A833">
        <v>831</v>
      </c>
      <c r="B833">
        <v>70</v>
      </c>
      <c r="C833">
        <v>4</v>
      </c>
      <c r="D833">
        <v>17</v>
      </c>
      <c r="E833">
        <v>7</v>
      </c>
      <c r="G833">
        <v>-1.1770182486966405</v>
      </c>
      <c r="H833">
        <v>-0.5645393205356164</v>
      </c>
      <c r="I833">
        <v>-0.9174651119447873</v>
      </c>
      <c r="K833">
        <v>-0.88634089372568148</v>
      </c>
      <c r="M833" t="s">
        <v>838</v>
      </c>
    </row>
    <row r="834" spans="1:13">
      <c r="A834">
        <v>832</v>
      </c>
      <c r="B834">
        <v>118</v>
      </c>
      <c r="C834">
        <v>53</v>
      </c>
      <c r="D834">
        <v>32</v>
      </c>
      <c r="E834">
        <v>37</v>
      </c>
      <c r="G834">
        <v>-0.28158633771568231</v>
      </c>
      <c r="H834">
        <v>-0.51662223088585291</v>
      </c>
      <c r="I834">
        <v>-0.42114539518391775</v>
      </c>
      <c r="K834">
        <v>-0.40645132126181766</v>
      </c>
      <c r="M834" t="s">
        <v>839</v>
      </c>
    </row>
    <row r="835" spans="1:13">
      <c r="A835">
        <v>833</v>
      </c>
      <c r="B835">
        <v>101</v>
      </c>
      <c r="C835">
        <v>7</v>
      </c>
      <c r="D835">
        <v>23</v>
      </c>
      <c r="E835">
        <v>95</v>
      </c>
      <c r="G835">
        <v>-1.0932035337787318</v>
      </c>
      <c r="H835">
        <v>-0.59248373966468315</v>
      </c>
      <c r="I835">
        <v>5.5937119561417822E-2</v>
      </c>
      <c r="K835">
        <v>-0.54325005129399906</v>
      </c>
      <c r="M835" t="s">
        <v>840</v>
      </c>
    </row>
    <row r="836" spans="1:13">
      <c r="A836">
        <v>834</v>
      </c>
      <c r="B836">
        <v>119</v>
      </c>
      <c r="C836">
        <v>4</v>
      </c>
      <c r="D836">
        <v>6</v>
      </c>
      <c r="E836">
        <v>11</v>
      </c>
      <c r="G836">
        <v>-1.4074671700749144</v>
      </c>
      <c r="H836">
        <v>-1.2472859129085208</v>
      </c>
      <c r="I836">
        <v>-0.95161938817909297</v>
      </c>
      <c r="K836">
        <v>-1.2021241570541761</v>
      </c>
      <c r="M836" t="s">
        <v>841</v>
      </c>
    </row>
    <row r="837" spans="1:13">
      <c r="A837">
        <v>835</v>
      </c>
      <c r="B837">
        <v>144</v>
      </c>
      <c r="C837">
        <v>43</v>
      </c>
      <c r="D837">
        <v>328</v>
      </c>
      <c r="E837">
        <v>85</v>
      </c>
      <c r="G837">
        <v>-0.45887423652600912</v>
      </c>
      <c r="H837">
        <v>0.40762114971679586</v>
      </c>
      <c r="I837">
        <v>-0.14640867832574428</v>
      </c>
      <c r="K837">
        <v>-6.588725504498584E-2</v>
      </c>
      <c r="M837" t="s">
        <v>842</v>
      </c>
    </row>
    <row r="838" spans="1:13">
      <c r="A838">
        <v>836</v>
      </c>
      <c r="B838">
        <v>41</v>
      </c>
      <c r="C838">
        <v>21</v>
      </c>
      <c r="D838">
        <v>52</v>
      </c>
      <c r="E838">
        <v>23</v>
      </c>
      <c r="G838">
        <v>-0.22454476199616219</v>
      </c>
      <c r="H838">
        <v>0.15332928501543017</v>
      </c>
      <c r="I838">
        <v>-0.16852113264692992</v>
      </c>
      <c r="K838">
        <v>-7.9912203209220642E-2</v>
      </c>
      <c r="M838" t="s">
        <v>843</v>
      </c>
    </row>
    <row r="839" spans="1:13">
      <c r="A839">
        <v>837</v>
      </c>
      <c r="B839">
        <v>34</v>
      </c>
      <c r="C839">
        <v>2</v>
      </c>
      <c r="D839">
        <v>2</v>
      </c>
      <c r="E839">
        <v>5</v>
      </c>
      <c r="G839">
        <v>-1.16442912138862</v>
      </c>
      <c r="H839">
        <v>-1.1803391232779075</v>
      </c>
      <c r="I839">
        <v>-0.74997402465102359</v>
      </c>
      <c r="K839">
        <v>-1.0315807564391835</v>
      </c>
      <c r="M839" t="s">
        <v>844</v>
      </c>
    </row>
    <row r="840" spans="1:13">
      <c r="A840">
        <v>838</v>
      </c>
      <c r="B840">
        <v>71</v>
      </c>
      <c r="C840">
        <v>159</v>
      </c>
      <c r="D840">
        <v>53</v>
      </c>
      <c r="E840">
        <v>249</v>
      </c>
      <c r="G840">
        <v>0.41615857559103026</v>
      </c>
      <c r="H840">
        <v>-7.6872681017919761E-2</v>
      </c>
      <c r="I840">
        <v>0.6274758864318738</v>
      </c>
      <c r="K840">
        <v>0.32225392700166139</v>
      </c>
      <c r="M840" t="s">
        <v>845</v>
      </c>
    </row>
    <row r="841" spans="1:13">
      <c r="A841">
        <v>839</v>
      </c>
      <c r="B841">
        <v>60</v>
      </c>
      <c r="C841">
        <v>76</v>
      </c>
      <c r="D841">
        <v>83</v>
      </c>
      <c r="E841">
        <v>115</v>
      </c>
      <c r="G841">
        <v>0.1686821418868017</v>
      </c>
      <c r="H841">
        <v>0.19103664009279675</v>
      </c>
      <c r="I841">
        <v>0.36508147802518071</v>
      </c>
      <c r="K841">
        <v>0.24160008666825972</v>
      </c>
      <c r="M841" t="s">
        <v>846</v>
      </c>
    </row>
    <row r="842" spans="1:13">
      <c r="A842">
        <v>840</v>
      </c>
      <c r="B842">
        <v>256</v>
      </c>
      <c r="C842">
        <v>141</v>
      </c>
      <c r="D842">
        <v>282</v>
      </c>
      <c r="E842">
        <v>264</v>
      </c>
      <c r="G842">
        <v>-0.19300105266681566</v>
      </c>
      <c r="H842">
        <v>9.2118941107878022E-2</v>
      </c>
      <c r="I842">
        <v>9.5898849613194156E-2</v>
      </c>
      <c r="K842">
        <v>-1.6610873152478288E-3</v>
      </c>
      <c r="M842" t="s">
        <v>847</v>
      </c>
    </row>
    <row r="843" spans="1:13">
      <c r="A843">
        <v>841</v>
      </c>
      <c r="B843">
        <v>58</v>
      </c>
      <c r="C843">
        <v>0</v>
      </c>
      <c r="D843">
        <v>2</v>
      </c>
      <c r="E843">
        <v>3</v>
      </c>
      <c r="G843">
        <v>-1.8</v>
      </c>
      <c r="H843">
        <v>-1.4122881997985897</v>
      </c>
      <c r="I843">
        <v>-1.2037718507880624</v>
      </c>
      <c r="K843">
        <v>-1.8</v>
      </c>
      <c r="M843" t="s">
        <v>848</v>
      </c>
    </row>
    <row r="844" spans="1:13">
      <c r="A844">
        <v>842</v>
      </c>
      <c r="B844">
        <v>113</v>
      </c>
      <c r="C844">
        <v>18</v>
      </c>
      <c r="D844">
        <v>21</v>
      </c>
      <c r="E844">
        <v>31</v>
      </c>
      <c r="G844">
        <v>-0.7317861383904597</v>
      </c>
      <c r="H844">
        <v>-0.68074935064913389</v>
      </c>
      <c r="I844">
        <v>-0.47918186159393444</v>
      </c>
      <c r="K844">
        <v>-0.63057245021117603</v>
      </c>
      <c r="M844" t="s">
        <v>849</v>
      </c>
    </row>
    <row r="845" spans="1:13">
      <c r="A845">
        <v>843</v>
      </c>
      <c r="B845">
        <v>31</v>
      </c>
      <c r="C845">
        <v>2</v>
      </c>
      <c r="D845">
        <v>1</v>
      </c>
      <c r="E845">
        <v>1</v>
      </c>
      <c r="G845">
        <v>-1.1243118981806375</v>
      </c>
      <c r="H845">
        <v>-1.4412518957339062</v>
      </c>
      <c r="I845">
        <v>-1.4088268057790601</v>
      </c>
      <c r="K845">
        <v>-1.3247968665645347</v>
      </c>
      <c r="M845" t="s">
        <v>850</v>
      </c>
    </row>
    <row r="846" spans="1:13">
      <c r="A846">
        <v>844</v>
      </c>
      <c r="B846">
        <v>82</v>
      </c>
      <c r="C846">
        <v>289</v>
      </c>
      <c r="D846">
        <v>194</v>
      </c>
      <c r="E846">
        <v>101</v>
      </c>
      <c r="G846">
        <v>0.61310379036248519</v>
      </c>
      <c r="H846">
        <v>0.42409767564687584</v>
      </c>
      <c r="I846">
        <v>0.17304240945413851</v>
      </c>
      <c r="K846">
        <v>0.40341462515449983</v>
      </c>
      <c r="M846" t="s">
        <v>851</v>
      </c>
    </row>
    <row r="847" spans="1:13">
      <c r="A847">
        <v>845</v>
      </c>
      <c r="B847">
        <v>125</v>
      </c>
      <c r="C847">
        <v>12</v>
      </c>
      <c r="D847">
        <v>56</v>
      </c>
      <c r="E847">
        <v>19</v>
      </c>
      <c r="G847">
        <v>-0.95170896697077756</v>
      </c>
      <c r="H847">
        <v>-0.29861218790148952</v>
      </c>
      <c r="I847">
        <v>-0.73562152400001479</v>
      </c>
      <c r="K847">
        <v>-0.66198089295742724</v>
      </c>
      <c r="M847" t="s">
        <v>852</v>
      </c>
    </row>
    <row r="848" spans="1:13">
      <c r="A848">
        <v>846</v>
      </c>
      <c r="B848">
        <v>53</v>
      </c>
      <c r="C848">
        <v>0</v>
      </c>
      <c r="D848">
        <v>0</v>
      </c>
      <c r="E848">
        <v>0</v>
      </c>
      <c r="G848">
        <v>-1.8</v>
      </c>
      <c r="H848">
        <v>-1.8</v>
      </c>
      <c r="I848">
        <v>-1.8</v>
      </c>
      <c r="K848">
        <v>-1.8</v>
      </c>
      <c r="M848" t="s">
        <v>853</v>
      </c>
    </row>
    <row r="849" spans="1:13">
      <c r="A849">
        <v>847</v>
      </c>
      <c r="B849">
        <v>72</v>
      </c>
      <c r="C849">
        <v>7</v>
      </c>
      <c r="D849">
        <v>1497</v>
      </c>
      <c r="E849">
        <v>13</v>
      </c>
      <c r="G849">
        <v>-0.94621465642735758</v>
      </c>
      <c r="H849">
        <v>1.3679991020121502</v>
      </c>
      <c r="I849">
        <v>-0.66085425606921899</v>
      </c>
      <c r="K849">
        <v>-7.9689936828142113E-2</v>
      </c>
      <c r="M849" t="s">
        <v>854</v>
      </c>
    </row>
    <row r="850" spans="1:13">
      <c r="A850">
        <v>848</v>
      </c>
      <c r="B850">
        <v>76</v>
      </c>
      <c r="C850">
        <v>12</v>
      </c>
      <c r="D850">
        <v>121</v>
      </c>
      <c r="E850">
        <v>22</v>
      </c>
      <c r="G850">
        <v>-0.73561254624351258</v>
      </c>
      <c r="H850">
        <v>0.25208157613602522</v>
      </c>
      <c r="I850">
        <v>-0.45585602340337245</v>
      </c>
      <c r="K850">
        <v>-0.3131289978369533</v>
      </c>
      <c r="M850" t="s">
        <v>855</v>
      </c>
    </row>
    <row r="851" spans="1:13">
      <c r="A851">
        <v>849</v>
      </c>
      <c r="B851">
        <v>67</v>
      </c>
      <c r="C851">
        <v>43</v>
      </c>
      <c r="D851">
        <v>22</v>
      </c>
      <c r="E851">
        <v>122</v>
      </c>
      <c r="G851">
        <v>-0.1265865471315859</v>
      </c>
      <c r="H851">
        <v>-0.43354232377825369</v>
      </c>
      <c r="I851">
        <v>0.34281991602913442</v>
      </c>
      <c r="K851">
        <v>-7.2436318293568377E-2</v>
      </c>
      <c r="M851" t="s">
        <v>856</v>
      </c>
    </row>
    <row r="852" spans="1:13">
      <c r="A852">
        <v>850</v>
      </c>
      <c r="B852">
        <v>96</v>
      </c>
      <c r="C852">
        <v>177</v>
      </c>
      <c r="D852">
        <v>6722</v>
      </c>
      <c r="E852">
        <v>93</v>
      </c>
      <c r="G852">
        <v>0.33172183331189226</v>
      </c>
      <c r="H852">
        <v>1.8953370731942567</v>
      </c>
      <c r="I852">
        <v>6.8746603569579359E-2</v>
      </c>
      <c r="K852">
        <v>0.76526850335857599</v>
      </c>
      <c r="M852" t="s">
        <v>857</v>
      </c>
    </row>
    <row r="853" spans="1:13">
      <c r="A853">
        <v>851</v>
      </c>
      <c r="B853">
        <v>25</v>
      </c>
      <c r="C853">
        <v>1</v>
      </c>
      <c r="D853">
        <v>1</v>
      </c>
      <c r="E853">
        <v>2</v>
      </c>
      <c r="G853">
        <v>-1.3319202086823836</v>
      </c>
      <c r="H853">
        <v>-1.3478302105716711</v>
      </c>
      <c r="I853">
        <v>-1.0143751249528439</v>
      </c>
      <c r="K853">
        <v>-1.2313751814022995</v>
      </c>
      <c r="M853" t="s">
        <v>858</v>
      </c>
    </row>
    <row r="854" spans="1:13">
      <c r="A854">
        <v>852</v>
      </c>
      <c r="B854">
        <v>147</v>
      </c>
      <c r="C854">
        <v>2</v>
      </c>
      <c r="D854">
        <v>11</v>
      </c>
      <c r="E854">
        <v>55</v>
      </c>
      <c r="G854">
        <v>-1.8002675390945411</v>
      </c>
      <c r="H854">
        <v>-1.0758148514895847</v>
      </c>
      <c r="I854">
        <v>-0.34441975719871959</v>
      </c>
      <c r="K854">
        <v>-1.0735007159276151</v>
      </c>
      <c r="M854" t="s">
        <v>859</v>
      </c>
    </row>
    <row r="855" spans="1:13">
      <c r="A855">
        <v>853</v>
      </c>
      <c r="B855">
        <v>168</v>
      </c>
      <c r="C855">
        <v>101</v>
      </c>
      <c r="D855">
        <v>112</v>
      </c>
      <c r="E855">
        <v>86</v>
      </c>
      <c r="G855">
        <v>-0.1549681079535663</v>
      </c>
      <c r="H855">
        <v>-0.12598146095531476</v>
      </c>
      <c r="I855">
        <v>-0.20827594242708253</v>
      </c>
      <c r="K855">
        <v>-0.16307517044532119</v>
      </c>
      <c r="M855" t="s">
        <v>860</v>
      </c>
    </row>
    <row r="856" spans="1:13">
      <c r="A856">
        <v>854</v>
      </c>
      <c r="B856">
        <v>214</v>
      </c>
      <c r="C856">
        <v>278</v>
      </c>
      <c r="D856">
        <v>98</v>
      </c>
      <c r="E856">
        <v>100</v>
      </c>
      <c r="G856">
        <v>0.17965082255853945</v>
      </c>
      <c r="H856">
        <v>-0.28907789955632951</v>
      </c>
      <c r="I856">
        <v>-0.24787888529397822</v>
      </c>
      <c r="K856">
        <v>-0.11910198743058942</v>
      </c>
      <c r="M856" t="s">
        <v>861</v>
      </c>
    </row>
    <row r="857" spans="1:13">
      <c r="A857">
        <v>855</v>
      </c>
      <c r="B857">
        <v>128</v>
      </c>
      <c r="C857">
        <v>67</v>
      </c>
      <c r="D857">
        <v>32</v>
      </c>
      <c r="E857">
        <v>35</v>
      </c>
      <c r="G857">
        <v>-0.21511536695738792</v>
      </c>
      <c r="H857">
        <v>-0.55195019322759586</v>
      </c>
      <c r="I857">
        <v>-0.48060703724238013</v>
      </c>
      <c r="K857">
        <v>-0.41589086580912132</v>
      </c>
      <c r="M857" t="s">
        <v>862</v>
      </c>
    </row>
    <row r="858" spans="1:13">
      <c r="A858">
        <v>856</v>
      </c>
      <c r="B858">
        <v>131</v>
      </c>
      <c r="C858">
        <v>6</v>
      </c>
      <c r="D858">
        <v>52</v>
      </c>
      <c r="E858">
        <v>35</v>
      </c>
      <c r="G858">
        <v>-1.2731002452824667</v>
      </c>
      <c r="H858">
        <v>-0.35115815392059863</v>
      </c>
      <c r="I858">
        <v>-0.49066836325027602</v>
      </c>
      <c r="K858">
        <v>-0.70497558748444711</v>
      </c>
      <c r="M858" t="s">
        <v>863</v>
      </c>
    </row>
    <row r="859" spans="1:13">
      <c r="A859">
        <v>857</v>
      </c>
      <c r="B859">
        <v>110</v>
      </c>
      <c r="C859">
        <v>28</v>
      </c>
      <c r="D859">
        <v>16</v>
      </c>
      <c r="E859">
        <v>35</v>
      </c>
      <c r="G859">
        <v>-0.5282148538263518</v>
      </c>
      <c r="H859">
        <v>-0.78716290440193371</v>
      </c>
      <c r="I859">
        <v>-0.41478975275273677</v>
      </c>
      <c r="K859">
        <v>-0.57672250366034072</v>
      </c>
      <c r="M859" t="s">
        <v>864</v>
      </c>
    </row>
    <row r="860" spans="1:13">
      <c r="A860">
        <v>858</v>
      </c>
      <c r="B860">
        <v>94</v>
      </c>
      <c r="C860">
        <v>16</v>
      </c>
      <c r="D860">
        <v>11</v>
      </c>
      <c r="E860">
        <v>96</v>
      </c>
      <c r="G860">
        <v>-0.70298807095411986</v>
      </c>
      <c r="H860">
        <v>-0.88162537034110711</v>
      </c>
      <c r="I860">
        <v>9.1678267495082372E-2</v>
      </c>
      <c r="K860">
        <v>-0.49764505793338154</v>
      </c>
      <c r="M860" t="s">
        <v>865</v>
      </c>
    </row>
    <row r="861" spans="1:13">
      <c r="A861">
        <v>859</v>
      </c>
      <c r="B861">
        <v>58</v>
      </c>
      <c r="C861">
        <v>202</v>
      </c>
      <c r="D861">
        <v>105</v>
      </c>
      <c r="E861">
        <v>45</v>
      </c>
      <c r="G861">
        <v>0.60794317587334046</v>
      </c>
      <c r="H861">
        <v>0.30787110360736725</v>
      </c>
      <c r="I861">
        <v>-2.7680591732380952E-2</v>
      </c>
      <c r="K861">
        <v>0.29604456258277562</v>
      </c>
      <c r="M861" t="s">
        <v>866</v>
      </c>
    </row>
    <row r="862" spans="1:13">
      <c r="A862">
        <v>860</v>
      </c>
      <c r="B862">
        <v>22</v>
      </c>
      <c r="C862">
        <v>0</v>
      </c>
      <c r="D862">
        <v>0</v>
      </c>
      <c r="E862">
        <v>0</v>
      </c>
      <c r="G862">
        <v>-1.8</v>
      </c>
      <c r="H862">
        <v>-1.8</v>
      </c>
      <c r="I862">
        <v>-1.8</v>
      </c>
      <c r="K862">
        <v>-1.8</v>
      </c>
      <c r="M862" t="s">
        <v>867</v>
      </c>
    </row>
    <row r="863" spans="1:13">
      <c r="A863">
        <v>861</v>
      </c>
      <c r="B863">
        <v>90</v>
      </c>
      <c r="C863">
        <v>168</v>
      </c>
      <c r="D863">
        <v>171</v>
      </c>
      <c r="E863">
        <v>116</v>
      </c>
      <c r="G863">
        <v>0.33708657227619199</v>
      </c>
      <c r="H863">
        <v>0.32886339905319539</v>
      </c>
      <c r="I863">
        <v>0.1927503678428063</v>
      </c>
      <c r="K863">
        <v>0.28623344639073123</v>
      </c>
      <c r="M863" t="s">
        <v>868</v>
      </c>
    </row>
    <row r="864" spans="1:13">
      <c r="A864">
        <v>862</v>
      </c>
      <c r="B864">
        <v>55</v>
      </c>
      <c r="C864">
        <v>42</v>
      </c>
      <c r="D864">
        <v>62</v>
      </c>
      <c r="E864">
        <v>63</v>
      </c>
      <c r="G864">
        <v>-5.1093599106689369E-2</v>
      </c>
      <c r="H864">
        <v>0.10213879810437648</v>
      </c>
      <c r="I864">
        <v>0.14151274801455055</v>
      </c>
      <c r="K864">
        <v>6.4185982337412559E-2</v>
      </c>
      <c r="M864" t="s">
        <v>869</v>
      </c>
    </row>
    <row r="865" spans="1:13">
      <c r="A865">
        <v>863</v>
      </c>
      <c r="B865">
        <v>99</v>
      </c>
      <c r="C865">
        <v>50</v>
      </c>
      <c r="D865">
        <v>40</v>
      </c>
      <c r="E865">
        <v>61</v>
      </c>
      <c r="G865">
        <v>-0.23064539027187708</v>
      </c>
      <c r="H865">
        <v>-0.34346540516922108</v>
      </c>
      <c r="I865">
        <v>-0.12777047153157023</v>
      </c>
      <c r="K865">
        <v>-0.23396042232422279</v>
      </c>
      <c r="M865" t="s">
        <v>870</v>
      </c>
    </row>
    <row r="866" spans="1:13">
      <c r="A866">
        <v>864</v>
      </c>
      <c r="B866">
        <v>54</v>
      </c>
      <c r="C866">
        <v>38</v>
      </c>
      <c r="D866">
        <v>61</v>
      </c>
      <c r="E866">
        <v>73</v>
      </c>
      <c r="G866">
        <v>-8.6590363216504332E-2</v>
      </c>
      <c r="H866">
        <v>0.10304587328816497</v>
      </c>
      <c r="I866">
        <v>0.21346398835270003</v>
      </c>
      <c r="K866">
        <v>7.6639832808120215E-2</v>
      </c>
      <c r="M866" t="s">
        <v>871</v>
      </c>
    </row>
    <row r="867" spans="1:13">
      <c r="A867">
        <v>865</v>
      </c>
      <c r="B867">
        <v>141</v>
      </c>
      <c r="C867">
        <v>28</v>
      </c>
      <c r="D867">
        <v>18</v>
      </c>
      <c r="E867">
        <v>49</v>
      </c>
      <c r="G867">
        <v>-0.63604128132350668</v>
      </c>
      <c r="H867">
        <v>-0.84383680945170736</v>
      </c>
      <c r="I867">
        <v>-0.37648814457165358</v>
      </c>
      <c r="K867">
        <v>-0.61878874511562254</v>
      </c>
      <c r="M867" t="s">
        <v>872</v>
      </c>
    </row>
    <row r="868" spans="1:13">
      <c r="A868">
        <v>866</v>
      </c>
      <c r="B868">
        <v>44</v>
      </c>
      <c r="C868">
        <v>3</v>
      </c>
      <c r="D868">
        <v>1</v>
      </c>
      <c r="E868">
        <v>4</v>
      </c>
      <c r="G868">
        <v>-1.1003116217768711</v>
      </c>
      <c r="H868">
        <v>-1.593342878385821</v>
      </c>
      <c r="I868">
        <v>-0.95885779710301222</v>
      </c>
      <c r="K868">
        <v>-1.2175040990885682</v>
      </c>
      <c r="M868" t="s">
        <v>873</v>
      </c>
    </row>
    <row r="869" spans="1:13">
      <c r="A869">
        <v>867</v>
      </c>
      <c r="B869">
        <v>40</v>
      </c>
      <c r="C869">
        <v>0</v>
      </c>
      <c r="D869">
        <v>2</v>
      </c>
      <c r="E869">
        <v>1</v>
      </c>
      <c r="G869">
        <v>-1.8</v>
      </c>
      <c r="H869">
        <v>-1.2509201975636148</v>
      </c>
      <c r="I869">
        <v>-1.5195251032727497</v>
      </c>
      <c r="K869">
        <v>-1.8</v>
      </c>
      <c r="M869" t="s">
        <v>874</v>
      </c>
    </row>
    <row r="870" spans="1:13">
      <c r="A870">
        <v>868</v>
      </c>
      <c r="B870">
        <v>42</v>
      </c>
      <c r="C870">
        <v>0</v>
      </c>
      <c r="D870">
        <v>0</v>
      </c>
      <c r="E870">
        <v>0</v>
      </c>
      <c r="G870">
        <v>-1.8</v>
      </c>
      <c r="H870">
        <v>-1.8</v>
      </c>
      <c r="I870">
        <v>-1.8</v>
      </c>
      <c r="K870">
        <v>-1.8</v>
      </c>
      <c r="M870" t="s">
        <v>875</v>
      </c>
    </row>
    <row r="871" spans="1:13">
      <c r="A871">
        <v>869</v>
      </c>
      <c r="B871">
        <v>130</v>
      </c>
      <c r="C871">
        <v>148</v>
      </c>
      <c r="D871">
        <v>83</v>
      </c>
      <c r="E871">
        <v>320</v>
      </c>
      <c r="G871">
        <v>0.12233816307777459</v>
      </c>
      <c r="H871">
        <v>-0.14475546183039639</v>
      </c>
      <c r="I871">
        <v>0.47374151406828185</v>
      </c>
      <c r="K871">
        <v>0.15044140510522</v>
      </c>
      <c r="M871" t="s">
        <v>876</v>
      </c>
    </row>
    <row r="872" spans="1:13">
      <c r="A872">
        <v>870</v>
      </c>
      <c r="B872">
        <v>44</v>
      </c>
      <c r="C872">
        <v>1</v>
      </c>
      <c r="D872">
        <v>0</v>
      </c>
      <c r="E872">
        <v>0</v>
      </c>
      <c r="G872">
        <v>-1.5774328764965335</v>
      </c>
      <c r="H872">
        <v>-1.8</v>
      </c>
      <c r="I872">
        <v>-1.8</v>
      </c>
      <c r="K872">
        <v>-1.8</v>
      </c>
      <c r="M872" t="s">
        <v>877</v>
      </c>
    </row>
    <row r="873" spans="1:13">
      <c r="A873">
        <v>871</v>
      </c>
      <c r="B873">
        <v>87</v>
      </c>
      <c r="C873">
        <v>92</v>
      </c>
      <c r="D873">
        <v>249</v>
      </c>
      <c r="E873">
        <v>52</v>
      </c>
      <c r="G873">
        <v>9.0288374716590764E-2</v>
      </c>
      <c r="H873">
        <v>0.5067898925774843</v>
      </c>
      <c r="I873">
        <v>-0.14098102092860665</v>
      </c>
      <c r="K873">
        <v>0.15203241545515614</v>
      </c>
      <c r="M873" t="s">
        <v>878</v>
      </c>
    </row>
    <row r="874" spans="1:13">
      <c r="A874">
        <v>872</v>
      </c>
      <c r="B874">
        <v>13</v>
      </c>
      <c r="C874">
        <v>0</v>
      </c>
      <c r="D874">
        <v>1</v>
      </c>
      <c r="E874">
        <v>1</v>
      </c>
      <c r="G874">
        <v>-1.8</v>
      </c>
      <c r="H874">
        <v>-1.0638335542064703</v>
      </c>
      <c r="I874">
        <v>-1.0314084642516241</v>
      </c>
      <c r="K874">
        <v>-1.8</v>
      </c>
      <c r="M874" t="s">
        <v>879</v>
      </c>
    </row>
    <row r="875" spans="1:13">
      <c r="A875">
        <v>873</v>
      </c>
      <c r="B875">
        <v>52</v>
      </c>
      <c r="C875">
        <v>51</v>
      </c>
      <c r="D875">
        <v>102</v>
      </c>
      <c r="E875">
        <v>31</v>
      </c>
      <c r="G875">
        <v>5.7586632452791192E-2</v>
      </c>
      <c r="H875">
        <v>0.34270662622748488</v>
      </c>
      <c r="I875">
        <v>-0.14210676174531384</v>
      </c>
      <c r="K875">
        <v>8.6062165644987421E-2</v>
      </c>
      <c r="M875" t="s">
        <v>880</v>
      </c>
    </row>
    <row r="876" spans="1:13">
      <c r="A876">
        <v>874</v>
      </c>
      <c r="B876">
        <v>224</v>
      </c>
      <c r="C876">
        <v>127</v>
      </c>
      <c r="D876">
        <v>112</v>
      </c>
      <c r="E876">
        <v>265</v>
      </c>
      <c r="G876">
        <v>-0.18042449738855193</v>
      </c>
      <c r="H876">
        <v>-0.25092019756361472</v>
      </c>
      <c r="I876">
        <v>0.15553274365785766</v>
      </c>
      <c r="K876">
        <v>-9.1937317098103002E-2</v>
      </c>
      <c r="M876" t="s">
        <v>881</v>
      </c>
    </row>
    <row r="877" spans="1:13">
      <c r="A877">
        <v>875</v>
      </c>
      <c r="B877">
        <v>41</v>
      </c>
      <c r="C877">
        <v>5</v>
      </c>
      <c r="D877">
        <v>3</v>
      </c>
      <c r="E877">
        <v>6</v>
      </c>
      <c r="G877">
        <v>-0.84779405239406269</v>
      </c>
      <c r="H877">
        <v>-1.0855528038997067</v>
      </c>
      <c r="I877">
        <v>-0.75209771828087923</v>
      </c>
      <c r="K877">
        <v>-0.8951481915248829</v>
      </c>
      <c r="M877" t="s">
        <v>882</v>
      </c>
    </row>
    <row r="878" spans="1:13">
      <c r="A878">
        <v>876</v>
      </c>
      <c r="B878">
        <v>76</v>
      </c>
      <c r="C878">
        <v>40</v>
      </c>
      <c r="D878">
        <v>22</v>
      </c>
      <c r="E878">
        <v>15</v>
      </c>
      <c r="G878">
        <v>-0.21273380096317496</v>
      </c>
      <c r="H878">
        <v>-0.48828111335821861</v>
      </c>
      <c r="I878">
        <v>-0.62218744516989744</v>
      </c>
      <c r="K878">
        <v>-0.44106745316376367</v>
      </c>
      <c r="M878" t="s">
        <v>883</v>
      </c>
    </row>
    <row r="879" spans="1:13">
      <c r="A879">
        <v>877</v>
      </c>
      <c r="B879">
        <v>90</v>
      </c>
      <c r="C879">
        <v>11</v>
      </c>
      <c r="D879">
        <v>6</v>
      </c>
      <c r="E879">
        <v>25</v>
      </c>
      <c r="G879">
        <v>-0.84683002429144583</v>
      </c>
      <c r="H879">
        <v>-1.1259814609553149</v>
      </c>
      <c r="I879">
        <v>-0.47376761271207463</v>
      </c>
      <c r="K879">
        <v>-0.81552636598627837</v>
      </c>
      <c r="M879" t="s">
        <v>884</v>
      </c>
    </row>
    <row r="880" spans="1:13">
      <c r="A880">
        <v>878</v>
      </c>
      <c r="B880">
        <v>93</v>
      </c>
      <c r="C880">
        <v>59</v>
      </c>
      <c r="D880">
        <v>242</v>
      </c>
      <c r="E880">
        <v>43</v>
      </c>
      <c r="G880">
        <v>-0.13161113692213694</v>
      </c>
      <c r="H880">
        <v>0.4654422155268626</v>
      </c>
      <c r="I880">
        <v>-0.25247960491913596</v>
      </c>
      <c r="K880">
        <v>2.7117157895196569E-2</v>
      </c>
      <c r="M880" t="s">
        <v>885</v>
      </c>
    </row>
    <row r="881" spans="1:13">
      <c r="A881">
        <v>879</v>
      </c>
      <c r="B881">
        <v>119</v>
      </c>
      <c r="C881">
        <v>10</v>
      </c>
      <c r="D881">
        <v>14</v>
      </c>
      <c r="E881">
        <v>520</v>
      </c>
      <c r="G881">
        <v>-1.0095271614028769</v>
      </c>
      <c r="H881">
        <v>-0.87930912761392621</v>
      </c>
      <c r="I881">
        <v>0.722991270297481</v>
      </c>
      <c r="K881">
        <v>-0.38861500623977402</v>
      </c>
      <c r="M881" t="s">
        <v>886</v>
      </c>
    </row>
    <row r="882" spans="1:13">
      <c r="A882">
        <v>880</v>
      </c>
      <c r="B882">
        <v>99</v>
      </c>
      <c r="C882">
        <v>19</v>
      </c>
      <c r="D882">
        <v>16</v>
      </c>
      <c r="E882">
        <v>10</v>
      </c>
      <c r="G882">
        <v>-0.65086179365506702</v>
      </c>
      <c r="H882">
        <v>-0.74140541384125858</v>
      </c>
      <c r="I882">
        <v>-0.9131003065423372</v>
      </c>
      <c r="K882">
        <v>-0.76845583801288753</v>
      </c>
      <c r="M882" t="s">
        <v>887</v>
      </c>
    </row>
    <row r="883" spans="1:13">
      <c r="A883">
        <v>881</v>
      </c>
      <c r="B883">
        <v>31</v>
      </c>
      <c r="C883">
        <v>0</v>
      </c>
      <c r="D883">
        <v>0</v>
      </c>
      <c r="E883">
        <v>0</v>
      </c>
      <c r="G883">
        <v>-1.8</v>
      </c>
      <c r="H883">
        <v>-1.8</v>
      </c>
      <c r="I883">
        <v>-1.8</v>
      </c>
      <c r="K883">
        <v>-1.8</v>
      </c>
      <c r="M883" t="s">
        <v>888</v>
      </c>
    </row>
    <row r="884" spans="1:13">
      <c r="A884">
        <v>882</v>
      </c>
      <c r="B884">
        <v>128</v>
      </c>
      <c r="C884">
        <v>181</v>
      </c>
      <c r="D884">
        <v>283</v>
      </c>
      <c r="E884">
        <v>82</v>
      </c>
      <c r="G884">
        <v>0.21648840521097013</v>
      </c>
      <c r="H884">
        <v>0.39468626397678835</v>
      </c>
      <c r="I884">
        <v>-0.11086122920893902</v>
      </c>
      <c r="K884">
        <v>0.16677114665960646</v>
      </c>
      <c r="M884" t="s">
        <v>889</v>
      </c>
    </row>
    <row r="885" spans="1:13">
      <c r="A885">
        <v>883</v>
      </c>
      <c r="B885">
        <v>30</v>
      </c>
      <c r="C885">
        <v>27</v>
      </c>
      <c r="D885">
        <v>78</v>
      </c>
      <c r="E885">
        <v>39</v>
      </c>
      <c r="G885">
        <v>2.0262309428978886E-2</v>
      </c>
      <c r="H885">
        <v>0.46508314607118445</v>
      </c>
      <c r="I885">
        <v>0.19647824036204944</v>
      </c>
      <c r="K885">
        <v>0.22727456528740428</v>
      </c>
      <c r="M885" t="s">
        <v>890</v>
      </c>
    </row>
    <row r="886" spans="1:13">
      <c r="A886">
        <v>884</v>
      </c>
      <c r="B886">
        <v>136</v>
      </c>
      <c r="C886">
        <v>12</v>
      </c>
      <c r="D886">
        <v>33</v>
      </c>
      <c r="E886">
        <v>24</v>
      </c>
      <c r="G886">
        <v>-0.98833786233293874</v>
      </c>
      <c r="H886">
        <v>-0.56491517039196348</v>
      </c>
      <c r="I886">
        <v>-0.67079277860339881</v>
      </c>
      <c r="K886">
        <v>-0.74134860377610023</v>
      </c>
      <c r="M886" t="s">
        <v>891</v>
      </c>
    </row>
    <row r="887" spans="1:13">
      <c r="A887">
        <v>885</v>
      </c>
      <c r="B887">
        <v>8</v>
      </c>
      <c r="C887">
        <v>0</v>
      </c>
      <c r="D887">
        <v>0</v>
      </c>
      <c r="E887">
        <v>0</v>
      </c>
      <c r="G887">
        <v>-1.8</v>
      </c>
      <c r="H887">
        <v>-1.8</v>
      </c>
      <c r="I887">
        <v>-1.8</v>
      </c>
      <c r="K887">
        <v>-1.8</v>
      </c>
      <c r="M887" t="s">
        <v>892</v>
      </c>
    </row>
    <row r="888" spans="1:13">
      <c r="A888">
        <v>886</v>
      </c>
      <c r="B888">
        <v>90</v>
      </c>
      <c r="C888">
        <v>199</v>
      </c>
      <c r="D888">
        <v>40</v>
      </c>
      <c r="E888">
        <v>67</v>
      </c>
      <c r="G888">
        <v>0.4106303669600358</v>
      </c>
      <c r="H888">
        <v>-0.30207272001099605</v>
      </c>
      <c r="I888">
        <v>-4.5632818683285767E-2</v>
      </c>
      <c r="K888">
        <v>2.0974942755251327E-2</v>
      </c>
      <c r="M888" t="s">
        <v>893</v>
      </c>
    </row>
    <row r="889" spans="1:13">
      <c r="A889">
        <v>887</v>
      </c>
      <c r="B889">
        <v>207</v>
      </c>
      <c r="C889">
        <v>342</v>
      </c>
      <c r="D889">
        <v>406</v>
      </c>
      <c r="E889">
        <v>779</v>
      </c>
      <c r="G889">
        <v>0.28407556058887129</v>
      </c>
      <c r="H889">
        <v>0.34266548622064286</v>
      </c>
      <c r="I889">
        <v>0.65810200027085941</v>
      </c>
      <c r="K889">
        <v>0.42828101569345783</v>
      </c>
      <c r="M889" t="s">
        <v>894</v>
      </c>
    </row>
    <row r="890" spans="1:13">
      <c r="A890">
        <v>888</v>
      </c>
      <c r="B890">
        <v>50</v>
      </c>
      <c r="C890">
        <v>6</v>
      </c>
      <c r="D890">
        <v>9</v>
      </c>
      <c r="E890">
        <v>8</v>
      </c>
      <c r="G890">
        <v>-0.85479895396272121</v>
      </c>
      <c r="H890">
        <v>-0.69461769679632746</v>
      </c>
      <c r="I890">
        <v>-0.71334512928886251</v>
      </c>
      <c r="K890">
        <v>-0.75425392668263713</v>
      </c>
      <c r="M890" t="s">
        <v>895</v>
      </c>
    </row>
    <row r="891" spans="1:13">
      <c r="A891">
        <v>889</v>
      </c>
      <c r="B891">
        <v>136</v>
      </c>
      <c r="C891">
        <v>91</v>
      </c>
      <c r="D891">
        <v>52</v>
      </c>
      <c r="E891">
        <v>326</v>
      </c>
      <c r="G891">
        <v>-0.10847771605946994</v>
      </c>
      <c r="H891">
        <v>-0.36742576663505189</v>
      </c>
      <c r="I891">
        <v>0.46221357975293409</v>
      </c>
      <c r="K891">
        <v>-4.563300980529243E-3</v>
      </c>
      <c r="M891" t="s">
        <v>896</v>
      </c>
    </row>
    <row r="892" spans="1:13">
      <c r="A892">
        <v>890</v>
      </c>
      <c r="B892">
        <v>56</v>
      </c>
      <c r="C892">
        <v>22</v>
      </c>
      <c r="D892">
        <v>37</v>
      </c>
      <c r="E892">
        <v>26</v>
      </c>
      <c r="G892">
        <v>-0.33974554619434016</v>
      </c>
      <c r="H892">
        <v>-0.12987650483883895</v>
      </c>
      <c r="I892">
        <v>-0.25067979098016979</v>
      </c>
      <c r="K892">
        <v>-0.24010061400444963</v>
      </c>
      <c r="M892" t="s">
        <v>897</v>
      </c>
    </row>
    <row r="893" spans="1:13">
      <c r="A893">
        <v>891</v>
      </c>
      <c r="B893">
        <v>155</v>
      </c>
      <c r="C893">
        <v>1</v>
      </c>
      <c r="D893">
        <v>11</v>
      </c>
      <c r="E893">
        <v>25</v>
      </c>
      <c r="G893">
        <v>-2.1243118981806375</v>
      </c>
      <c r="H893">
        <v>-1.0988292149117</v>
      </c>
      <c r="I893">
        <v>-0.7098568014430412</v>
      </c>
      <c r="K893">
        <v>-1.3109993048451261</v>
      </c>
      <c r="M893" t="s">
        <v>898</v>
      </c>
    </row>
    <row r="894" spans="1:13">
      <c r="A894">
        <v>892</v>
      </c>
      <c r="B894">
        <v>11</v>
      </c>
      <c r="C894">
        <v>0</v>
      </c>
      <c r="D894">
        <v>2</v>
      </c>
      <c r="E894">
        <v>1</v>
      </c>
      <c r="G894">
        <v>-1.8</v>
      </c>
      <c r="H894">
        <v>-0.69025289139387735</v>
      </c>
      <c r="I894">
        <v>-0.95885779710301222</v>
      </c>
      <c r="K894">
        <v>-1.8</v>
      </c>
      <c r="M894" t="s">
        <v>899</v>
      </c>
    </row>
    <row r="895" spans="1:13">
      <c r="A895">
        <v>893</v>
      </c>
      <c r="B895">
        <v>87</v>
      </c>
      <c r="C895">
        <v>2</v>
      </c>
      <c r="D895">
        <v>6</v>
      </c>
      <c r="E895">
        <v>5</v>
      </c>
      <c r="G895">
        <v>-1.5724694569649835</v>
      </c>
      <c r="H895">
        <v>-1.1112582041346084</v>
      </c>
      <c r="I895">
        <v>-1.1580143602273871</v>
      </c>
      <c r="K895">
        <v>-1.2805806737756598</v>
      </c>
      <c r="M895" t="s">
        <v>900</v>
      </c>
    </row>
    <row r="896" spans="1:13">
      <c r="A896">
        <v>894</v>
      </c>
      <c r="B896">
        <v>112</v>
      </c>
      <c r="C896">
        <v>4</v>
      </c>
      <c r="D896">
        <v>6</v>
      </c>
      <c r="E896">
        <v>3</v>
      </c>
      <c r="G896">
        <v>-1.3811382313525653</v>
      </c>
      <c r="H896">
        <v>-1.2209569741861717</v>
      </c>
      <c r="I896">
        <v>-1.4895618798953065</v>
      </c>
      <c r="K896">
        <v>-1.3638856951446812</v>
      </c>
      <c r="M896" t="s">
        <v>901</v>
      </c>
    </row>
    <row r="897" spans="1:13">
      <c r="A897">
        <v>895</v>
      </c>
      <c r="B897">
        <v>87</v>
      </c>
      <c r="C897">
        <v>0</v>
      </c>
      <c r="D897">
        <v>5</v>
      </c>
      <c r="E897">
        <v>6</v>
      </c>
      <c r="G897">
        <v>-1.8</v>
      </c>
      <c r="H897">
        <v>-1.1904394501822333</v>
      </c>
      <c r="I897">
        <v>-1.0788331141797622</v>
      </c>
      <c r="K897">
        <v>-1.8</v>
      </c>
      <c r="M897" t="s">
        <v>902</v>
      </c>
    </row>
    <row r="898" spans="1:13">
      <c r="A898">
        <v>896</v>
      </c>
      <c r="B898">
        <v>93</v>
      </c>
      <c r="C898">
        <v>96</v>
      </c>
      <c r="D898">
        <v>16</v>
      </c>
      <c r="E898">
        <v>18</v>
      </c>
      <c r="G898">
        <v>7.9808084475287283E-2</v>
      </c>
      <c r="H898">
        <v>-0.71425316779764381</v>
      </c>
      <c r="I898">
        <v>-0.63067555539541631</v>
      </c>
      <c r="K898">
        <v>-0.42170687957259095</v>
      </c>
      <c r="M898" t="s">
        <v>903</v>
      </c>
    </row>
    <row r="899" spans="1:13">
      <c r="A899">
        <v>897</v>
      </c>
      <c r="B899">
        <v>105</v>
      </c>
      <c r="C899">
        <v>9</v>
      </c>
      <c r="D899">
        <v>35</v>
      </c>
      <c r="E899">
        <v>16</v>
      </c>
      <c r="G899">
        <v>-1.0009269896409594</v>
      </c>
      <c r="H899">
        <v>-0.42701145661929596</v>
      </c>
      <c r="I899">
        <v>-0.73453442835880056</v>
      </c>
      <c r="K899">
        <v>-0.7208242915396853</v>
      </c>
      <c r="M899" t="s">
        <v>904</v>
      </c>
    </row>
    <row r="900" spans="1:13">
      <c r="A900">
        <v>898</v>
      </c>
      <c r="B900">
        <v>83</v>
      </c>
      <c r="C900">
        <v>29</v>
      </c>
      <c r="D900">
        <v>16</v>
      </c>
      <c r="E900">
        <v>20</v>
      </c>
      <c r="G900">
        <v>-0.39066029448746376</v>
      </c>
      <c r="H900">
        <v>-0.66484831161978253</v>
      </c>
      <c r="I900">
        <v>-0.53551320865688001</v>
      </c>
      <c r="K900">
        <v>-0.53034060492137547</v>
      </c>
      <c r="M900" t="s">
        <v>905</v>
      </c>
    </row>
    <row r="901" spans="1:13">
      <c r="A901">
        <v>899</v>
      </c>
      <c r="B901">
        <v>149</v>
      </c>
      <c r="C901">
        <v>6453</v>
      </c>
      <c r="D901">
        <v>18</v>
      </c>
      <c r="E901">
        <v>31</v>
      </c>
      <c r="G901">
        <v>1.7025951966845048</v>
      </c>
      <c r="H901">
        <v>-0.86780396520860137</v>
      </c>
      <c r="I901">
        <v>-0.59928968652278869</v>
      </c>
      <c r="K901">
        <v>7.8500514984371564E-2</v>
      </c>
      <c r="M901" t="s">
        <v>906</v>
      </c>
    </row>
    <row r="902" spans="1:13">
      <c r="A902">
        <v>900</v>
      </c>
      <c r="B902">
        <v>79</v>
      </c>
      <c r="C902">
        <v>181</v>
      </c>
      <c r="D902">
        <v>111</v>
      </c>
      <c r="E902">
        <v>67</v>
      </c>
      <c r="G902">
        <v>0.42607128356839713</v>
      </c>
      <c r="H902">
        <v>0.19780568559658246</v>
      </c>
      <c r="I902">
        <v>1.0982599465597639E-2</v>
      </c>
      <c r="K902">
        <v>0.21161985621019241</v>
      </c>
      <c r="M902" t="s">
        <v>907</v>
      </c>
    </row>
    <row r="903" spans="1:13">
      <c r="A903">
        <v>901</v>
      </c>
      <c r="B903">
        <v>65</v>
      </c>
      <c r="C903">
        <v>9</v>
      </c>
      <c r="D903">
        <v>14</v>
      </c>
      <c r="E903">
        <v>20</v>
      </c>
      <c r="G903">
        <v>-0.79265104721387669</v>
      </c>
      <c r="H903">
        <v>-0.61667552286425098</v>
      </c>
      <c r="I903">
        <v>-0.42934847292366168</v>
      </c>
      <c r="K903">
        <v>-0.61289168100059643</v>
      </c>
      <c r="M903" t="s">
        <v>908</v>
      </c>
    </row>
    <row r="904" spans="1:13">
      <c r="A904">
        <v>902</v>
      </c>
      <c r="B904">
        <v>24</v>
      </c>
      <c r="C904">
        <v>0</v>
      </c>
      <c r="D904">
        <v>0</v>
      </c>
      <c r="E904">
        <v>0</v>
      </c>
      <c r="G904">
        <v>-1.8</v>
      </c>
      <c r="H904">
        <v>-1.8</v>
      </c>
      <c r="I904">
        <v>-1.8</v>
      </c>
      <c r="K904">
        <v>-1.8</v>
      </c>
      <c r="M904" t="s">
        <v>909</v>
      </c>
    </row>
    <row r="905" spans="1:13">
      <c r="A905">
        <v>903</v>
      </c>
      <c r="B905">
        <v>95</v>
      </c>
      <c r="C905">
        <v>32</v>
      </c>
      <c r="D905">
        <v>25</v>
      </c>
      <c r="E905">
        <v>29</v>
      </c>
      <c r="G905">
        <v>-0.40655382697928777</v>
      </c>
      <c r="H905">
        <v>-0.52967379851644369</v>
      </c>
      <c r="I905">
        <v>-0.432790719334679</v>
      </c>
      <c r="K905">
        <v>-0.45633944827680351</v>
      </c>
      <c r="M905" t="s">
        <v>910</v>
      </c>
    </row>
    <row r="906" spans="1:13">
      <c r="A906">
        <v>904</v>
      </c>
      <c r="B906">
        <v>42</v>
      </c>
      <c r="C906">
        <v>17</v>
      </c>
      <c r="D906">
        <v>5</v>
      </c>
      <c r="E906">
        <v>8</v>
      </c>
      <c r="G906">
        <v>-0.32678056902997249</v>
      </c>
      <c r="H906">
        <v>-0.87416948796151517</v>
      </c>
      <c r="I906">
        <v>-0.63762441535074421</v>
      </c>
      <c r="K906">
        <v>-0.61285815744741068</v>
      </c>
      <c r="M906" t="s">
        <v>911</v>
      </c>
    </row>
    <row r="907" spans="1:13">
      <c r="A907">
        <v>905</v>
      </c>
      <c r="B907">
        <v>122</v>
      </c>
      <c r="C907">
        <v>72</v>
      </c>
      <c r="D907">
        <v>89</v>
      </c>
      <c r="E907">
        <v>70</v>
      </c>
      <c r="G907">
        <v>-0.16300753425382575</v>
      </c>
      <c r="H907">
        <v>-8.686002592946894E-2</v>
      </c>
      <c r="I907">
        <v>-0.15872690260527877</v>
      </c>
      <c r="K907">
        <v>-0.13619815426285783</v>
      </c>
      <c r="M907" t="s">
        <v>912</v>
      </c>
    </row>
    <row r="908" spans="1:13">
      <c r="A908">
        <v>906</v>
      </c>
      <c r="B908">
        <v>50</v>
      </c>
      <c r="C908">
        <v>1</v>
      </c>
      <c r="D908">
        <v>3</v>
      </c>
      <c r="E908">
        <v>2</v>
      </c>
      <c r="G908">
        <v>-1.6329502043463648</v>
      </c>
      <c r="H908">
        <v>-1.1717389515159899</v>
      </c>
      <c r="I908">
        <v>-1.3154051206168249</v>
      </c>
      <c r="K908">
        <v>-1.3733647588263933</v>
      </c>
      <c r="M908" t="s">
        <v>913</v>
      </c>
    </row>
    <row r="909" spans="1:13">
      <c r="A909">
        <v>907</v>
      </c>
      <c r="B909">
        <v>69</v>
      </c>
      <c r="C909">
        <v>3</v>
      </c>
      <c r="D909">
        <v>3</v>
      </c>
      <c r="E909">
        <v>5</v>
      </c>
      <c r="G909">
        <v>-1.2957080360279389</v>
      </c>
      <c r="H909">
        <v>-1.3116180379172264</v>
      </c>
      <c r="I909">
        <v>-1.0573441983460239</v>
      </c>
      <c r="K909">
        <v>-1.2215567574303963</v>
      </c>
      <c r="M909" t="s">
        <v>914</v>
      </c>
    </row>
    <row r="910" spans="1:13">
      <c r="A910">
        <v>908</v>
      </c>
      <c r="B910">
        <v>132</v>
      </c>
      <c r="C910">
        <v>126</v>
      </c>
      <c r="D910">
        <v>144</v>
      </c>
      <c r="E910">
        <v>106</v>
      </c>
      <c r="G910">
        <v>4.5816413901367051E-2</v>
      </c>
      <c r="H910">
        <v>8.7898358989766251E-2</v>
      </c>
      <c r="I910">
        <v>-1.2733177885867003E-2</v>
      </c>
      <c r="K910">
        <v>4.0327198335088771E-2</v>
      </c>
      <c r="M910" t="s">
        <v>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8B07-1EE8-ED49-A79C-DE2F0C13137F}">
  <dimension ref="A1:O910"/>
  <sheetViews>
    <sheetView workbookViewId="0">
      <selection activeCell="O3" sqref="O3"/>
    </sheetView>
  </sheetViews>
  <sheetFormatPr baseColWidth="10" defaultRowHeight="18"/>
  <cols>
    <col min="13" max="13" width="49.125" bestFit="1" customWidth="1"/>
    <col min="15" max="15" width="19.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</v>
      </c>
      <c r="H1" t="s">
        <v>3</v>
      </c>
      <c r="I1" t="s">
        <v>4</v>
      </c>
      <c r="K1" t="s">
        <v>5</v>
      </c>
      <c r="M1" t="s">
        <v>0</v>
      </c>
    </row>
    <row r="2" spans="1:15" ht="24">
      <c r="A2">
        <v>410</v>
      </c>
      <c r="B2">
        <v>103</v>
      </c>
      <c r="C2">
        <v>9413</v>
      </c>
      <c r="D2">
        <v>9901</v>
      </c>
      <c r="E2">
        <v>2057</v>
      </c>
      <c r="G2">
        <v>2.0269106339725091</v>
      </c>
      <c r="H2">
        <v>2.0329516339068165</v>
      </c>
      <c r="I2">
        <v>1.3829319550447645</v>
      </c>
      <c r="K2">
        <v>1.8142647409746966</v>
      </c>
      <c r="M2" t="s">
        <v>417</v>
      </c>
      <c r="O2" s="1" t="str" cm="1">
        <f t="array" ref="O2">_xlfn.LET( _xlpm.s, UPPER(M2),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KALIKRIVDICKL</v>
      </c>
    </row>
    <row r="3" spans="1:15" ht="24">
      <c r="A3">
        <v>339</v>
      </c>
      <c r="B3">
        <v>60</v>
      </c>
      <c r="C3">
        <v>895</v>
      </c>
      <c r="D3">
        <v>5894</v>
      </c>
      <c r="E3">
        <v>297</v>
      </c>
      <c r="G3">
        <v>1.2396915849219223</v>
      </c>
      <c r="H3">
        <v>2.0423686792306293</v>
      </c>
      <c r="I3">
        <v>0.77714008698878145</v>
      </c>
      <c r="K3">
        <v>1.3530667837137778</v>
      </c>
      <c r="M3" t="s">
        <v>346</v>
      </c>
      <c r="O3" s="1" t="str" cm="1">
        <f t="array" ref="O3">_xlfn.LET( _xlpm.s, UPPER(M3),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KLAITRLKKICEH</v>
      </c>
    </row>
    <row r="4" spans="1:15" ht="24">
      <c r="A4">
        <v>809</v>
      </c>
      <c r="B4">
        <v>168</v>
      </c>
      <c r="C4">
        <v>2148</v>
      </c>
      <c r="D4">
        <v>1746</v>
      </c>
      <c r="E4">
        <v>1859</v>
      </c>
      <c r="G4">
        <v>1.172744795291309</v>
      </c>
      <c r="H4">
        <v>1.0668447557440546</v>
      </c>
      <c r="I4">
        <v>1.1265049961012483</v>
      </c>
      <c r="K4">
        <v>1.1220315157122041</v>
      </c>
      <c r="M4" t="s">
        <v>816</v>
      </c>
      <c r="O4" s="1" t="str" cm="1">
        <f t="array" ref="O4">_xlfn.LET( _xlpm.s, UPPER(M4),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RKLEERLVAICER</v>
      </c>
    </row>
    <row r="5" spans="1:15" ht="24">
      <c r="A5">
        <v>125</v>
      </c>
      <c r="B5">
        <v>47</v>
      </c>
      <c r="C5">
        <v>305</v>
      </c>
      <c r="D5">
        <v>2166</v>
      </c>
      <c r="E5">
        <v>223</v>
      </c>
      <c r="G5">
        <v>0.87822178140072238</v>
      </c>
      <c r="H5">
        <v>1.7136703924539505</v>
      </c>
      <c r="I5">
        <v>0.75874189316765595</v>
      </c>
      <c r="K5">
        <v>1.1168780223407764</v>
      </c>
      <c r="M5" t="s">
        <v>132</v>
      </c>
      <c r="O5" s="1" t="str" cm="1">
        <f t="array" ref="O5">_xlfn.LET( _xlpm.s, UPPER(M5),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KEMIKRLIEICKH</v>
      </c>
    </row>
    <row r="6" spans="1:15" ht="24">
      <c r="A6">
        <v>493</v>
      </c>
      <c r="B6">
        <v>30</v>
      </c>
      <c r="C6">
        <v>500</v>
      </c>
      <c r="D6">
        <v>673</v>
      </c>
      <c r="E6">
        <v>89</v>
      </c>
      <c r="G6">
        <v>1.2878685496060103</v>
      </c>
      <c r="H6">
        <v>1.4010036076046808</v>
      </c>
      <c r="I6">
        <v>0.554803639980463</v>
      </c>
      <c r="K6">
        <v>1.0812252657303847</v>
      </c>
      <c r="M6" t="s">
        <v>500</v>
      </c>
      <c r="O6" s="1" t="str" cm="1">
        <f t="array" ref="O6">_xlfn.LET( _xlpm.s, UPPER(M6),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KKMIQRIIEICKL</v>
      </c>
    </row>
    <row r="7" spans="1:15" ht="24">
      <c r="A7">
        <v>402</v>
      </c>
      <c r="B7">
        <v>74</v>
      </c>
      <c r="C7">
        <v>462</v>
      </c>
      <c r="D7">
        <v>708</v>
      </c>
      <c r="E7">
        <v>1234</v>
      </c>
      <c r="G7">
        <v>0.86143005581480336</v>
      </c>
      <c r="H7">
        <v>1.0309113360591593</v>
      </c>
      <c r="I7">
        <v>1.3046183280214594</v>
      </c>
      <c r="K7">
        <v>1.0656532399651406</v>
      </c>
      <c r="M7" t="s">
        <v>409</v>
      </c>
      <c r="O7" s="1" t="str" cm="1">
        <f t="array" ref="O7">_xlfn.LET( _xlpm.s, UPPER(M7),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EALKERLVEIAKL</v>
      </c>
    </row>
    <row r="8" spans="1:15" ht="24">
      <c r="A8">
        <v>815</v>
      </c>
      <c r="B8">
        <v>54</v>
      </c>
      <c r="C8">
        <v>2925</v>
      </c>
      <c r="D8">
        <v>435</v>
      </c>
      <c r="E8">
        <v>118</v>
      </c>
      <c r="G8">
        <v>1.7997519105848847</v>
      </c>
      <c r="H8">
        <v>0.95620529523203535</v>
      </c>
      <c r="I8">
        <v>0.42202313553836951</v>
      </c>
      <c r="K8">
        <v>1.0593267804517632</v>
      </c>
      <c r="M8" t="s">
        <v>822</v>
      </c>
      <c r="O8" s="1" t="str" cm="1">
        <f t="array" ref="O8">_xlfn.LET( _xlpm.s, UPPER(M8),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KKLVQRLVEICKI</v>
      </c>
    </row>
    <row r="9" spans="1:15" ht="24">
      <c r="A9">
        <v>44</v>
      </c>
      <c r="B9">
        <v>99</v>
      </c>
      <c r="C9">
        <v>327</v>
      </c>
      <c r="D9">
        <v>6956</v>
      </c>
      <c r="E9">
        <v>331</v>
      </c>
      <c r="G9">
        <v>0.58493235805239019</v>
      </c>
      <c r="H9">
        <v>1.8968341768334913</v>
      </c>
      <c r="I9">
        <v>0.60672768723338155</v>
      </c>
      <c r="K9">
        <v>1.0294980740397544</v>
      </c>
      <c r="M9" t="s">
        <v>51</v>
      </c>
      <c r="O9" s="1" t="str" cm="1">
        <f t="array" ref="O9">_xlfn.LET( _xlpm.s, UPPER(M9),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KQAIKRLKQICEH</v>
      </c>
    </row>
    <row r="10" spans="1:15" ht="24">
      <c r="A10">
        <v>656</v>
      </c>
      <c r="B10">
        <v>41</v>
      </c>
      <c r="C10">
        <v>480</v>
      </c>
      <c r="D10">
        <v>341</v>
      </c>
      <c r="E10">
        <v>256</v>
      </c>
      <c r="G10">
        <v>1.1344771806455056</v>
      </c>
      <c r="H10">
        <v>0.97008032037312875</v>
      </c>
      <c r="I10">
        <v>0.87799099664732683</v>
      </c>
      <c r="K10">
        <v>0.99418283255532047</v>
      </c>
      <c r="M10" t="s">
        <v>663</v>
      </c>
      <c r="O10" s="1" t="str" cm="1">
        <f t="array" ref="O10">_xlfn.LET( _xlpm.s, UPPER(M10),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KAWINRIKEILTL</v>
      </c>
    </row>
    <row r="11" spans="1:15" ht="24">
      <c r="A11">
        <v>296</v>
      </c>
      <c r="B11">
        <v>9</v>
      </c>
      <c r="C11">
        <v>106</v>
      </c>
      <c r="D11">
        <v>38</v>
      </c>
      <c r="E11">
        <v>45</v>
      </c>
      <c r="G11">
        <v>1.1370831558150993</v>
      </c>
      <c r="H11">
        <v>0.67565088527785178</v>
      </c>
      <c r="I11">
        <v>0.78150489239123155</v>
      </c>
      <c r="K11">
        <v>0.86474631116139422</v>
      </c>
      <c r="M11" t="s">
        <v>303</v>
      </c>
      <c r="O11" s="1" t="str" cm="1">
        <f t="array" ref="O11">_xlfn.LET( _xlpm.s, UPPER(M11),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KEAIKRLKEICKK</v>
      </c>
    </row>
    <row r="12" spans="1:15" ht="24">
      <c r="A12">
        <v>294</v>
      </c>
      <c r="B12">
        <v>65</v>
      </c>
      <c r="C12">
        <v>199</v>
      </c>
      <c r="D12">
        <v>2612</v>
      </c>
      <c r="E12">
        <v>120</v>
      </c>
      <c r="G12">
        <v>0.55195951975650503</v>
      </c>
      <c r="H12">
        <v>1.6541696140605471</v>
      </c>
      <c r="I12">
        <v>0.34880277745998189</v>
      </c>
      <c r="K12">
        <v>0.85164397042567808</v>
      </c>
      <c r="M12" t="s">
        <v>301</v>
      </c>
      <c r="O12" s="1" t="str" cm="1">
        <f t="array" ref="O12">_xlfn.LET( _xlpm.s, UPPER(M12),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KQAIARLKEICKE</v>
      </c>
    </row>
    <row r="13" spans="1:15" ht="24">
      <c r="A13">
        <v>814</v>
      </c>
      <c r="B13">
        <v>105</v>
      </c>
      <c r="C13">
        <v>765</v>
      </c>
      <c r="D13">
        <v>736</v>
      </c>
      <c r="E13">
        <v>441</v>
      </c>
      <c r="G13">
        <v>0.92849193607333358</v>
      </c>
      <c r="H13">
        <v>0.89579831336792726</v>
      </c>
      <c r="I13">
        <v>0.70578417845311314</v>
      </c>
      <c r="K13">
        <v>0.84335814263145803</v>
      </c>
      <c r="M13" t="s">
        <v>821</v>
      </c>
      <c r="O13" s="1" t="str" cm="1">
        <f t="array" ref="O13">_xlfn.LET( _xlpm.s, UPPER(M13),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KKLVERIVEICKL</v>
      </c>
    </row>
    <row r="14" spans="1:15" ht="24">
      <c r="A14">
        <v>255</v>
      </c>
      <c r="B14">
        <v>94</v>
      </c>
      <c r="C14">
        <v>22656</v>
      </c>
      <c r="D14">
        <v>84</v>
      </c>
      <c r="E14">
        <v>83</v>
      </c>
      <c r="G14">
        <v>2.4480751823996303</v>
      </c>
      <c r="H14">
        <v>1.2612305625494674E-3</v>
      </c>
      <c r="I14">
        <v>2.8485126831587895E-2</v>
      </c>
      <c r="K14">
        <v>0.82594051326458917</v>
      </c>
      <c r="M14" t="s">
        <v>262</v>
      </c>
      <c r="O14" s="1" t="str" cm="1">
        <f t="array" ref="O14">_xlfn.LET( _xlpm.s, UPPER(M14),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KLAIERLKKICEH</v>
      </c>
    </row>
    <row r="15" spans="1:15" ht="24">
      <c r="A15">
        <v>1</v>
      </c>
      <c r="B15">
        <v>87</v>
      </c>
      <c r="C15">
        <v>170</v>
      </c>
      <c r="D15">
        <v>303</v>
      </c>
      <c r="E15">
        <v>1969</v>
      </c>
      <c r="G15">
        <v>0.35694946874930944</v>
      </c>
      <c r="H15">
        <v>0.59203317398405297</v>
      </c>
      <c r="I15">
        <v>1.4372613515747124</v>
      </c>
      <c r="K15">
        <v>0.79541466476935829</v>
      </c>
      <c r="M15" t="s">
        <v>8</v>
      </c>
      <c r="O15" s="1" t="str" cm="1">
        <f t="array" ref="O15">_xlfn.LET( _xlpm.s, UPPER(M15),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KQMIRRLTEICKH</v>
      </c>
    </row>
    <row r="16" spans="1:15" ht="24">
      <c r="A16">
        <v>767</v>
      </c>
      <c r="B16">
        <v>87</v>
      </c>
      <c r="C16">
        <v>131</v>
      </c>
      <c r="D16">
        <v>1187</v>
      </c>
      <c r="E16">
        <v>652</v>
      </c>
      <c r="G16">
        <v>0.24377184302679977</v>
      </c>
      <c r="H16">
        <v>1.1850412644363391</v>
      </c>
      <c r="I16">
        <v>0.95726323116851442</v>
      </c>
      <c r="K16">
        <v>0.79535877954388434</v>
      </c>
      <c r="M16" t="s">
        <v>774</v>
      </c>
      <c r="O16" s="1" t="str" cm="1">
        <f t="array" ref="O16">_xlfn.LET( _xlpm.s, UPPER(M16),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KKLVERLKAICEK</v>
      </c>
    </row>
    <row r="17" spans="1:15" ht="24">
      <c r="A17">
        <v>205</v>
      </c>
      <c r="B17">
        <v>49</v>
      </c>
      <c r="C17">
        <v>132</v>
      </c>
      <c r="D17">
        <v>386</v>
      </c>
      <c r="E17">
        <v>342</v>
      </c>
      <c r="G17">
        <v>0.49639765116699019</v>
      </c>
      <c r="H17">
        <v>0.94650102274360781</v>
      </c>
      <c r="I17">
        <v>0.92636491408283406</v>
      </c>
      <c r="K17">
        <v>0.78975452933114398</v>
      </c>
      <c r="M17" t="s">
        <v>212</v>
      </c>
      <c r="O17" s="1" t="str" cm="1">
        <f t="array" ref="O17">_xlfn.LET( _xlpm.s, UPPER(M17),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KEAIKRLKEICKH</v>
      </c>
    </row>
    <row r="18" spans="1:15" ht="24">
      <c r="A18">
        <v>197</v>
      </c>
      <c r="B18">
        <v>89</v>
      </c>
      <c r="C18">
        <v>1847</v>
      </c>
      <c r="D18">
        <v>157</v>
      </c>
      <c r="E18">
        <v>354</v>
      </c>
      <c r="G18">
        <v>1.3830966887849825</v>
      </c>
      <c r="H18">
        <v>0.29661944386468747</v>
      </c>
      <c r="I18">
        <v>0.68214814343608776</v>
      </c>
      <c r="K18">
        <v>0.78728809202858585</v>
      </c>
      <c r="M18" t="s">
        <v>204</v>
      </c>
      <c r="O18" s="1" t="str" cm="1">
        <f t="array" ref="O18">_xlfn.LET( _xlpm.s, UPPER(M18),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KEAIARLKKICDH</v>
      </c>
    </row>
    <row r="19" spans="1:15" ht="24">
      <c r="A19">
        <v>823</v>
      </c>
      <c r="B19">
        <v>86</v>
      </c>
      <c r="C19">
        <v>406</v>
      </c>
      <c r="D19">
        <v>915</v>
      </c>
      <c r="E19">
        <v>229</v>
      </c>
      <c r="G19">
        <v>0.74004738232328049</v>
      </c>
      <c r="H19">
        <v>1.077032440923247</v>
      </c>
      <c r="I19">
        <v>0.50787191915153296</v>
      </c>
      <c r="K19">
        <v>0.77498391413268675</v>
      </c>
      <c r="M19" t="s">
        <v>830</v>
      </c>
      <c r="O19" s="1" t="str" cm="1">
        <f t="array" ref="O19">_xlfn.LET( _xlpm.s, UPPER(M19),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KALVKRLVEICKL</v>
      </c>
    </row>
    <row r="20" spans="1:15" ht="24">
      <c r="A20">
        <v>239</v>
      </c>
      <c r="B20">
        <v>37</v>
      </c>
      <c r="C20">
        <v>573</v>
      </c>
      <c r="D20">
        <v>53</v>
      </c>
      <c r="E20">
        <v>209</v>
      </c>
      <c r="G20">
        <v>1.255972697890049</v>
      </c>
      <c r="H20">
        <v>0.20618394363416054</v>
      </c>
      <c r="I20">
        <v>0.83447945009927171</v>
      </c>
      <c r="K20">
        <v>0.76554536387449368</v>
      </c>
      <c r="M20" t="s">
        <v>246</v>
      </c>
      <c r="O20" s="1" t="str" cm="1">
        <f t="array" ref="O20">_xlfn.LET( _xlpm.s, UPPER(M20),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KKMIERLKEICKH</v>
      </c>
    </row>
    <row r="21" spans="1:15" ht="24">
      <c r="A21">
        <v>850</v>
      </c>
      <c r="B21">
        <v>96</v>
      </c>
      <c r="C21">
        <v>177</v>
      </c>
      <c r="D21">
        <v>6722</v>
      </c>
      <c r="E21">
        <v>93</v>
      </c>
      <c r="G21">
        <v>0.33172183331189226</v>
      </c>
      <c r="H21">
        <v>1.8953370731942567</v>
      </c>
      <c r="I21">
        <v>6.8746603569579359E-2</v>
      </c>
      <c r="K21">
        <v>0.76526850335857599</v>
      </c>
      <c r="M21" t="s">
        <v>857</v>
      </c>
      <c r="O21" s="1" t="str" cm="1">
        <f t="array" ref="O21">_xlfn.LET( _xlpm.s, UPPER(M21),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NAMIKRLVAICKL</v>
      </c>
    </row>
    <row r="22" spans="1:15" ht="24">
      <c r="A22">
        <v>251</v>
      </c>
      <c r="B22">
        <v>170</v>
      </c>
      <c r="C22">
        <v>7837</v>
      </c>
      <c r="D22">
        <v>375</v>
      </c>
      <c r="E22">
        <v>196</v>
      </c>
      <c r="G22">
        <v>1.7297207253793021</v>
      </c>
      <c r="H22">
        <v>0.39369214444981143</v>
      </c>
      <c r="I22">
        <v>0.14434203803341475</v>
      </c>
      <c r="K22">
        <v>0.75591830262084281</v>
      </c>
      <c r="M22" t="s">
        <v>258</v>
      </c>
      <c r="O22" s="1" t="str" cm="1">
        <f t="array" ref="O22">_xlfn.LET( _xlpm.s, UPPER(M22),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KQMIERLKMICEH</v>
      </c>
    </row>
    <row r="23" spans="1:15" ht="24">
      <c r="A23">
        <v>392</v>
      </c>
      <c r="B23">
        <v>225</v>
      </c>
      <c r="C23">
        <v>292</v>
      </c>
      <c r="D23">
        <v>349</v>
      </c>
      <c r="E23">
        <v>12278</v>
      </c>
      <c r="G23">
        <v>0.17922013332670977</v>
      </c>
      <c r="H23">
        <v>0.2407527069481839</v>
      </c>
      <c r="I23">
        <v>1.8194799989881285</v>
      </c>
      <c r="K23">
        <v>0.74648427975434073</v>
      </c>
      <c r="M23" t="s">
        <v>399</v>
      </c>
      <c r="O23" s="1" t="str" cm="1">
        <f t="array" ref="O23">_xlfn.LET( _xlpm.s, UPPER(M23),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QRMIERIVAICEK</v>
      </c>
    </row>
    <row r="24" spans="1:15" ht="24">
      <c r="A24">
        <v>348</v>
      </c>
      <c r="B24">
        <v>77</v>
      </c>
      <c r="C24">
        <v>133</v>
      </c>
      <c r="D24">
        <v>1167</v>
      </c>
      <c r="E24">
        <v>202</v>
      </c>
      <c r="G24">
        <v>0.3033807157842579</v>
      </c>
      <c r="H24">
        <v>1.2306899289732547</v>
      </c>
      <c r="I24">
        <v>0.50139553232935463</v>
      </c>
      <c r="K24">
        <v>0.67848872569562246</v>
      </c>
      <c r="M24" t="s">
        <v>355</v>
      </c>
      <c r="O24" s="1" t="str" cm="1">
        <f t="array" ref="O24">_xlfn.LET( _xlpm.s, UPPER(M24),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KEAIKRLKLICEK</v>
      </c>
    </row>
    <row r="25" spans="1:15" ht="24">
      <c r="A25">
        <v>271</v>
      </c>
      <c r="B25">
        <v>222</v>
      </c>
      <c r="C25">
        <v>473</v>
      </c>
      <c r="D25">
        <v>2497</v>
      </c>
      <c r="E25">
        <v>525</v>
      </c>
      <c r="G25">
        <v>0.39452796627682701</v>
      </c>
      <c r="H25">
        <v>1.1011753660010757</v>
      </c>
      <c r="I25">
        <v>0.45634121701053088</v>
      </c>
      <c r="K25">
        <v>0.65068151642947791</v>
      </c>
      <c r="M25" t="s">
        <v>278</v>
      </c>
      <c r="O25" s="1" t="str" cm="1">
        <f t="array" ref="O25">_xlfn.LET( _xlpm.s, UPPER(M25),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KEAIARLKLICEH</v>
      </c>
    </row>
    <row r="26" spans="1:15" ht="24">
      <c r="A26">
        <v>313</v>
      </c>
      <c r="B26">
        <v>235</v>
      </c>
      <c r="C26">
        <v>386</v>
      </c>
      <c r="D26">
        <v>830</v>
      </c>
      <c r="E26">
        <v>2261</v>
      </c>
      <c r="G26">
        <v>0.28153924238967265</v>
      </c>
      <c r="H26">
        <v>0.59812002820470411</v>
      </c>
      <c r="I26">
        <v>1.065767588128836</v>
      </c>
      <c r="K26">
        <v>0.64847561957440425</v>
      </c>
      <c r="M26" t="s">
        <v>320</v>
      </c>
      <c r="O26" s="1" t="str" cm="1">
        <f t="array" ref="O26">_xlfn.LET( _xlpm.s, UPPER(M26),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KQMIARLKAICDH</v>
      </c>
    </row>
    <row r="27" spans="1:15" ht="24">
      <c r="A27">
        <v>461</v>
      </c>
      <c r="B27">
        <v>37</v>
      </c>
      <c r="C27">
        <v>108</v>
      </c>
      <c r="D27">
        <v>120</v>
      </c>
      <c r="E27">
        <v>206</v>
      </c>
      <c r="G27">
        <v>0.53124183140960868</v>
      </c>
      <c r="H27">
        <v>0.56108932008099643</v>
      </c>
      <c r="I27">
        <v>0.82820038435737109</v>
      </c>
      <c r="K27">
        <v>0.6401771786159921</v>
      </c>
      <c r="M27" t="s">
        <v>468</v>
      </c>
      <c r="O27" s="1" t="str" cm="1">
        <f t="array" ref="O27">_xlfn.LET( _xlpm.s, UPPER(M27),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KAMIKRLEEICKL</v>
      </c>
    </row>
    <row r="28" spans="1:15" ht="24">
      <c r="A28">
        <v>760</v>
      </c>
      <c r="B28">
        <v>151</v>
      </c>
      <c r="C28">
        <v>182</v>
      </c>
      <c r="D28">
        <v>226</v>
      </c>
      <c r="E28">
        <v>4064</v>
      </c>
      <c r="G28">
        <v>0.14711424068155934</v>
      </c>
      <c r="H28">
        <v>0.22524128995459802</v>
      </c>
      <c r="I28">
        <v>1.5125116400379059</v>
      </c>
      <c r="K28">
        <v>0.62828905689135439</v>
      </c>
      <c r="M28" t="s">
        <v>767</v>
      </c>
      <c r="O28" s="1" t="str" cm="1">
        <f t="array" ref="O28">_xlfn.LET( _xlpm.s, UPPER(M28),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ERMVQRMVEICKR</v>
      </c>
    </row>
    <row r="29" spans="1:15" ht="24">
      <c r="A29">
        <v>191</v>
      </c>
      <c r="B29">
        <v>258</v>
      </c>
      <c r="C29">
        <v>745</v>
      </c>
      <c r="D29">
        <v>4178</v>
      </c>
      <c r="E29">
        <v>256</v>
      </c>
      <c r="G29">
        <v>0.52655636677471662</v>
      </c>
      <c r="H29">
        <v>1.2594585277814261</v>
      </c>
      <c r="I29">
        <v>7.9155147403832046E-2</v>
      </c>
      <c r="K29">
        <v>0.62172334731999157</v>
      </c>
      <c r="M29" t="s">
        <v>198</v>
      </c>
      <c r="O29" s="1" t="str" cm="1">
        <f t="array" ref="O29">_xlfn.LET( _xlpm.s, UPPER(M29),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KQMIERLKLICEH</v>
      </c>
    </row>
    <row r="30" spans="1:15" ht="24">
      <c r="A30">
        <v>36</v>
      </c>
      <c r="B30">
        <v>158</v>
      </c>
      <c r="C30">
        <v>1001</v>
      </c>
      <c r="D30">
        <v>739</v>
      </c>
      <c r="E30">
        <v>237</v>
      </c>
      <c r="G30">
        <v>0.86779679051455005</v>
      </c>
      <c r="H30">
        <v>0.72009714954076964</v>
      </c>
      <c r="I30">
        <v>0.25862614711089388</v>
      </c>
      <c r="K30">
        <v>0.61550669572207117</v>
      </c>
      <c r="M30" t="s">
        <v>43</v>
      </c>
      <c r="O30" s="1" t="str" cm="1">
        <f t="array" ref="O30">_xlfn.LET( _xlpm.s, UPPER(M30),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KLAIERLKQICEH</v>
      </c>
    </row>
    <row r="31" spans="1:15" ht="24">
      <c r="A31">
        <v>95</v>
      </c>
      <c r="B31">
        <v>35</v>
      </c>
      <c r="C31">
        <v>261</v>
      </c>
      <c r="D31">
        <v>95</v>
      </c>
      <c r="E31">
        <v>71</v>
      </c>
      <c r="G31">
        <v>0.9385922629776593</v>
      </c>
      <c r="H31">
        <v>0.48376535903893864</v>
      </c>
      <c r="I31">
        <v>0.38972519242401227</v>
      </c>
      <c r="K31">
        <v>0.60402760481353679</v>
      </c>
      <c r="M31" t="s">
        <v>102</v>
      </c>
      <c r="O31" s="1" t="str" cm="1">
        <f t="array" ref="O31">_xlfn.LET( _xlpm.s, UPPER(M31),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KEMIKRLKEICKH</v>
      </c>
    </row>
    <row r="32" spans="1:15" ht="24">
      <c r="A32">
        <v>302</v>
      </c>
      <c r="B32">
        <v>47</v>
      </c>
      <c r="C32">
        <v>185</v>
      </c>
      <c r="D32">
        <v>195</v>
      </c>
      <c r="E32">
        <v>117</v>
      </c>
      <c r="G32">
        <v>0.66109367045695033</v>
      </c>
      <c r="H32">
        <v>0.66804655152716708</v>
      </c>
      <c r="I32">
        <v>0.47862289186565682</v>
      </c>
      <c r="K32">
        <v>0.60258770461659139</v>
      </c>
      <c r="M32" t="s">
        <v>309</v>
      </c>
      <c r="O32" s="1" t="str" cm="1">
        <f t="array" ref="O32">_xlfn.LET( _xlpm.s, UPPER(M32),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KKAIERLKEICKV</v>
      </c>
    </row>
    <row r="33" spans="1:15" ht="24">
      <c r="A33">
        <v>37</v>
      </c>
      <c r="B33">
        <v>139</v>
      </c>
      <c r="C33">
        <v>284</v>
      </c>
      <c r="D33">
        <v>859</v>
      </c>
      <c r="E33">
        <v>441</v>
      </c>
      <c r="G33">
        <v>0.37632333978259663</v>
      </c>
      <c r="H33">
        <v>0.84108816167751377</v>
      </c>
      <c r="I33">
        <v>0.58395867726895612</v>
      </c>
      <c r="K33">
        <v>0.60045672624302215</v>
      </c>
      <c r="M33" t="s">
        <v>44</v>
      </c>
      <c r="O33" s="1" t="str" cm="1">
        <f t="array" ref="O33">_xlfn.LET( _xlpm.s, UPPER(M33),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KQMEERLVLICKH</v>
      </c>
    </row>
    <row r="34" spans="1:15" ht="24">
      <c r="A34">
        <v>259</v>
      </c>
      <c r="B34">
        <v>157</v>
      </c>
      <c r="C34">
        <v>172</v>
      </c>
      <c r="D34">
        <v>1602</v>
      </c>
      <c r="E34">
        <v>492</v>
      </c>
      <c r="G34">
        <v>0.10564859448796918</v>
      </c>
      <c r="H34">
        <v>1.0588726574393514</v>
      </c>
      <c r="I34">
        <v>0.57860033841333924</v>
      </c>
      <c r="K34">
        <v>0.58104053011355328</v>
      </c>
      <c r="M34" t="s">
        <v>266</v>
      </c>
      <c r="O34" s="1" t="str" cm="1">
        <f t="array" ref="O34">_xlfn.LET( _xlpm.s, UPPER(M34),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RKAVERLKAICKH</v>
      </c>
    </row>
    <row r="35" spans="1:15" ht="24">
      <c r="A35">
        <v>443</v>
      </c>
      <c r="B35">
        <v>33</v>
      </c>
      <c r="C35">
        <v>101</v>
      </c>
      <c r="D35">
        <v>30</v>
      </c>
      <c r="E35">
        <v>383</v>
      </c>
      <c r="G35">
        <v>0.55182723389440913</v>
      </c>
      <c r="H35">
        <v>8.7171129421414334E-3</v>
      </c>
      <c r="I35">
        <v>1.1472197221459479</v>
      </c>
      <c r="K35">
        <v>0.56925468966083281</v>
      </c>
      <c r="M35" t="s">
        <v>450</v>
      </c>
      <c r="O35" s="1" t="str" cm="1">
        <f t="array" ref="O35">_xlfn.LET( _xlpm.s, UPPER(M35),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KALEKRLIEICKK</v>
      </c>
    </row>
    <row r="36" spans="1:15" ht="24">
      <c r="A36">
        <v>460</v>
      </c>
      <c r="B36">
        <v>21</v>
      </c>
      <c r="C36">
        <v>26</v>
      </c>
      <c r="D36">
        <v>53</v>
      </c>
      <c r="E36">
        <v>209</v>
      </c>
      <c r="G36">
        <v>0.15877385322655271</v>
      </c>
      <c r="H36">
        <v>0.45216637296723622</v>
      </c>
      <c r="I36">
        <v>1.0804618794323473</v>
      </c>
      <c r="K36">
        <v>0.56380070187537878</v>
      </c>
      <c r="M36" t="s">
        <v>467</v>
      </c>
      <c r="O36" s="1" t="str" cm="1">
        <f t="array" ref="O36">_xlfn.LET( _xlpm.s, UPPER(M36),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KKMIKRLEEICKL</v>
      </c>
    </row>
    <row r="37" spans="1:15" ht="24">
      <c r="A37">
        <v>150</v>
      </c>
      <c r="B37">
        <v>282</v>
      </c>
      <c r="C37">
        <v>1416</v>
      </c>
      <c r="D37">
        <v>494</v>
      </c>
      <c r="E37">
        <v>994</v>
      </c>
      <c r="G37">
        <v>0.76683394502404312</v>
      </c>
      <c r="H37">
        <v>0.29358763870465232</v>
      </c>
      <c r="I37">
        <v>0.62967216413316496</v>
      </c>
      <c r="K37">
        <v>0.56336458262062017</v>
      </c>
      <c r="M37" t="s">
        <v>157</v>
      </c>
      <c r="O37" s="1" t="str" cm="1">
        <f t="array" ref="O37">_xlfn.LET( _xlpm.s, UPPER(M37),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KQAIERLKLICEH</v>
      </c>
    </row>
    <row r="38" spans="1:15" ht="24">
      <c r="A38">
        <v>797</v>
      </c>
      <c r="B38">
        <v>94</v>
      </c>
      <c r="C38">
        <v>98</v>
      </c>
      <c r="D38">
        <v>257</v>
      </c>
      <c r="E38">
        <v>1017</v>
      </c>
      <c r="G38">
        <v>8.4118022082450228E-2</v>
      </c>
      <c r="H38">
        <v>0.48691506783196231</v>
      </c>
      <c r="I38">
        <v>1.1167279873782585</v>
      </c>
      <c r="K38">
        <v>0.5625870257642237</v>
      </c>
      <c r="M38" t="s">
        <v>804</v>
      </c>
      <c r="O38" s="1" t="str" cm="1">
        <f t="array" ref="O38">_xlfn.LET( _xlpm.s, UPPER(M38),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KRLVERLVKICEL</v>
      </c>
    </row>
    <row r="39" spans="1:15" ht="24">
      <c r="A39">
        <v>623</v>
      </c>
      <c r="B39">
        <v>63</v>
      </c>
      <c r="C39">
        <v>250</v>
      </c>
      <c r="D39">
        <v>182</v>
      </c>
      <c r="E39">
        <v>165</v>
      </c>
      <c r="G39">
        <v>0.66461925920810994</v>
      </c>
      <c r="H39">
        <v>0.51084063663185963</v>
      </c>
      <c r="I39">
        <v>0.50067828281553728</v>
      </c>
      <c r="K39">
        <v>0.55871272621850221</v>
      </c>
      <c r="M39" t="s">
        <v>630</v>
      </c>
      <c r="O39" s="1" t="str" cm="1">
        <f t="array" ref="O39">_xlfn.LET( _xlpm.s, UPPER(M39),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EKRIERIKEILKL</v>
      </c>
    </row>
    <row r="40" spans="1:15" ht="24">
      <c r="A40">
        <v>412</v>
      </c>
      <c r="B40">
        <v>119</v>
      </c>
      <c r="C40">
        <v>152</v>
      </c>
      <c r="D40">
        <v>1244</v>
      </c>
      <c r="E40">
        <v>238</v>
      </c>
      <c r="G40">
        <v>0.17231642654189577</v>
      </c>
      <c r="H40">
        <v>1.0693832170626356</v>
      </c>
      <c r="I40">
        <v>0.38356488371919384</v>
      </c>
      <c r="K40">
        <v>0.54175484244124172</v>
      </c>
      <c r="M40" t="s">
        <v>419</v>
      </c>
      <c r="O40" s="1" t="str" cm="1">
        <f t="array" ref="O40">_xlfn.LET( _xlpm.s, UPPER(M40),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KAMIERLKAICKL</v>
      </c>
    </row>
    <row r="41" spans="1:15" ht="24">
      <c r="A41">
        <v>524</v>
      </c>
      <c r="B41">
        <v>46</v>
      </c>
      <c r="C41">
        <v>49</v>
      </c>
      <c r="D41">
        <v>117</v>
      </c>
      <c r="E41">
        <v>434</v>
      </c>
      <c r="G41">
        <v>9.3458048336593616E-2</v>
      </c>
      <c r="H41">
        <v>0.45553782816495408</v>
      </c>
      <c r="I41">
        <v>1.0572667858861493</v>
      </c>
      <c r="K41">
        <v>0.53542088746256566</v>
      </c>
      <c r="M41" t="s">
        <v>531</v>
      </c>
      <c r="O41" s="1" t="str" cm="1">
        <f t="array" ref="O41">_xlfn.LET( _xlpm.s, UPPER(M41),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KAAIERIKEICKI</v>
      </c>
    </row>
    <row r="42" spans="1:15" ht="24">
      <c r="A42">
        <v>362</v>
      </c>
      <c r="B42">
        <v>89</v>
      </c>
      <c r="C42">
        <v>60</v>
      </c>
      <c r="D42">
        <v>891</v>
      </c>
      <c r="E42">
        <v>334</v>
      </c>
      <c r="G42">
        <v>-0.10521895627161516</v>
      </c>
      <c r="H42">
        <v>1.0505974954923285</v>
      </c>
      <c r="I42">
        <v>0.65689134822186435</v>
      </c>
      <c r="K42">
        <v>0.53408996248085927</v>
      </c>
      <c r="M42" t="s">
        <v>369</v>
      </c>
      <c r="O42" s="1" t="str" cm="1">
        <f t="array" ref="O42">_xlfn.LET( _xlpm.s, UPPER(M42),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KALIERLKAICKK</v>
      </c>
    </row>
    <row r="43" spans="1:15" ht="24">
      <c r="A43">
        <v>491</v>
      </c>
      <c r="B43">
        <v>28</v>
      </c>
      <c r="C43">
        <v>1199</v>
      </c>
      <c r="D43">
        <v>21</v>
      </c>
      <c r="E43">
        <v>22</v>
      </c>
      <c r="G43">
        <v>1.6976809517462834</v>
      </c>
      <c r="H43">
        <v>-7.4828938507933457E-2</v>
      </c>
      <c r="I43">
        <v>-2.2200462464800341E-2</v>
      </c>
      <c r="K43">
        <v>0.53355051692451649</v>
      </c>
      <c r="M43" t="s">
        <v>498</v>
      </c>
      <c r="O43" s="1" t="str" cm="1">
        <f t="array" ref="O43">_xlfn.LET( _xlpm.s, UPPER(M43),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EKLIKRLKEICKL</v>
      </c>
    </row>
    <row r="44" spans="1:15" ht="24">
      <c r="A44">
        <v>465</v>
      </c>
      <c r="B44">
        <v>63</v>
      </c>
      <c r="C44">
        <v>233</v>
      </c>
      <c r="D44">
        <v>210</v>
      </c>
      <c r="E44">
        <v>128</v>
      </c>
      <c r="G44">
        <v>0.63403517156209133</v>
      </c>
      <c r="H44">
        <v>0.57298854338070415</v>
      </c>
      <c r="I44">
        <v>0.39040430824949929</v>
      </c>
      <c r="K44">
        <v>0.53247600773076498</v>
      </c>
      <c r="M44" t="s">
        <v>472</v>
      </c>
      <c r="O44" s="1" t="str" cm="1">
        <f t="array" ref="O44">_xlfn.LET( _xlpm.s, UPPER(M44),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KALIERLKKICEL</v>
      </c>
    </row>
    <row r="45" spans="1:15" ht="24">
      <c r="A45">
        <v>489</v>
      </c>
      <c r="B45">
        <v>18</v>
      </c>
      <c r="C45">
        <v>153</v>
      </c>
      <c r="D45">
        <v>17</v>
      </c>
      <c r="E45">
        <v>54</v>
      </c>
      <c r="G45">
        <v>0.99543872570394676</v>
      </c>
      <c r="H45">
        <v>2.5286214375334338E-2</v>
      </c>
      <c r="I45">
        <v>0.55965614277487508</v>
      </c>
      <c r="K45">
        <v>0.52679369428471867</v>
      </c>
      <c r="M45" t="s">
        <v>496</v>
      </c>
      <c r="O45" s="1" t="str" cm="1">
        <f t="array" ref="O45">_xlfn.LET( _xlpm.s, UPPER(M45),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KKMIERLKKIAEI</v>
      </c>
    </row>
    <row r="46" spans="1:15" ht="24">
      <c r="A46">
        <v>503</v>
      </c>
      <c r="B46">
        <v>64</v>
      </c>
      <c r="C46">
        <v>121</v>
      </c>
      <c r="D46">
        <v>441</v>
      </c>
      <c r="E46">
        <v>113</v>
      </c>
      <c r="G46">
        <v>0.34262519632221694</v>
      </c>
      <c r="H46">
        <v>0.88836841358431795</v>
      </c>
      <c r="I46">
        <v>0.32943335755474523</v>
      </c>
      <c r="K46">
        <v>0.52014232248709336</v>
      </c>
      <c r="M46" t="s">
        <v>510</v>
      </c>
      <c r="O46" s="1" t="str" cm="1">
        <f t="array" ref="O46">_xlfn.LET( _xlpm.s, UPPER(M46),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KKMIERLKAICEK</v>
      </c>
    </row>
    <row r="47" spans="1:15" ht="24">
      <c r="A47">
        <v>292</v>
      </c>
      <c r="B47">
        <v>121</v>
      </c>
      <c r="C47">
        <v>238</v>
      </c>
      <c r="D47">
        <v>514</v>
      </c>
      <c r="E47">
        <v>331</v>
      </c>
      <c r="G47">
        <v>0.35981138672971591</v>
      </c>
      <c r="H47">
        <v>0.67828754677919212</v>
      </c>
      <c r="I47">
        <v>0.51957751151448128</v>
      </c>
      <c r="K47">
        <v>0.51922548167446314</v>
      </c>
      <c r="M47" t="s">
        <v>299</v>
      </c>
      <c r="O47" s="1" t="str" cm="1">
        <f t="array" ref="O47">_xlfn.LET( _xlpm.s, UPPER(M47),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KEAIARLKEICKH</v>
      </c>
    </row>
    <row r="48" spans="1:15" ht="24">
      <c r="A48">
        <v>451</v>
      </c>
      <c r="B48">
        <v>44</v>
      </c>
      <c r="C48">
        <v>37</v>
      </c>
      <c r="D48">
        <v>43</v>
      </c>
      <c r="E48">
        <v>1058</v>
      </c>
      <c r="G48">
        <v>-9.2311524295384112E-3</v>
      </c>
      <c r="H48">
        <v>4.0125577193765596E-2</v>
      </c>
      <c r="I48">
        <v>1.4635678792681921</v>
      </c>
      <c r="K48">
        <v>0.49815410134413973</v>
      </c>
      <c r="M48" t="s">
        <v>458</v>
      </c>
      <c r="O48" s="1" t="str" cm="1">
        <f t="array" ref="O48">_xlfn.LET( _xlpm.s, UPPER(M48),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KALIERIKEICKI</v>
      </c>
    </row>
    <row r="49" spans="1:15" ht="24">
      <c r="A49">
        <v>429</v>
      </c>
      <c r="B49">
        <v>46</v>
      </c>
      <c r="C49">
        <v>909</v>
      </c>
      <c r="D49">
        <v>36</v>
      </c>
      <c r="E49">
        <v>58</v>
      </c>
      <c r="G49">
        <v>1.3618258515300472</v>
      </c>
      <c r="H49">
        <v>-5.6345532813920296E-2</v>
      </c>
      <c r="I49">
        <v>0.18320504993657588</v>
      </c>
      <c r="K49">
        <v>0.49622845621756762</v>
      </c>
      <c r="M49" t="s">
        <v>436</v>
      </c>
      <c r="O49" s="1" t="str" cm="1">
        <f t="array" ref="O49">_xlfn.LET( _xlpm.s, UPPER(M49),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KALIERIKKICEL</v>
      </c>
    </row>
    <row r="50" spans="1:15" ht="24">
      <c r="A50">
        <v>211</v>
      </c>
      <c r="B50">
        <v>70</v>
      </c>
      <c r="C50">
        <v>196</v>
      </c>
      <c r="D50">
        <v>106</v>
      </c>
      <c r="E50">
        <v>302</v>
      </c>
      <c r="G50">
        <v>0.51317783133187322</v>
      </c>
      <c r="H50">
        <v>0.23031762335087991</v>
      </c>
      <c r="I50">
        <v>0.71744379099810651</v>
      </c>
      <c r="K50">
        <v>0.48697974856028653</v>
      </c>
      <c r="M50" t="s">
        <v>218</v>
      </c>
      <c r="O50" s="1" t="str" cm="1">
        <f t="array" ref="O50">_xlfn.LET( _xlpm.s, UPPER(M50),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KKAIERLKEICKH</v>
      </c>
    </row>
    <row r="51" spans="1:15" ht="24">
      <c r="A51">
        <v>354</v>
      </c>
      <c r="B51">
        <v>118</v>
      </c>
      <c r="C51">
        <v>760</v>
      </c>
      <c r="D51">
        <v>160</v>
      </c>
      <c r="E51">
        <v>233</v>
      </c>
      <c r="G51">
        <v>0.87495138496432001</v>
      </c>
      <c r="H51">
        <v>0.18234777345016584</v>
      </c>
      <c r="I51">
        <v>0.37800880177510626</v>
      </c>
      <c r="K51">
        <v>0.47843598672986404</v>
      </c>
      <c r="M51" t="s">
        <v>361</v>
      </c>
      <c r="O51" s="1" t="str" cm="1">
        <f t="array" ref="O51">_xlfn.LET( _xlpm.s, UPPER(M51),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KALIERIKAICTL</v>
      </c>
    </row>
    <row r="52" spans="1:15" ht="24">
      <c r="A52">
        <v>42</v>
      </c>
      <c r="B52">
        <v>194</v>
      </c>
      <c r="C52">
        <v>1332</v>
      </c>
      <c r="D52">
        <v>473</v>
      </c>
      <c r="E52">
        <v>199</v>
      </c>
      <c r="G52">
        <v>0.90272229489371025</v>
      </c>
      <c r="H52">
        <v>0.43716920890795202</v>
      </c>
      <c r="I52">
        <v>9.3586234534693225E-2</v>
      </c>
      <c r="K52">
        <v>0.47782591277878517</v>
      </c>
      <c r="M52" t="s">
        <v>49</v>
      </c>
      <c r="O52" s="1" t="str" cm="1">
        <f t="array" ref="O52">_xlfn.LET( _xlpm.s, UPPER(M52),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KQAIERLKQICEH</v>
      </c>
    </row>
    <row r="53" spans="1:15" ht="24">
      <c r="A53">
        <v>303</v>
      </c>
      <c r="B53">
        <v>33</v>
      </c>
      <c r="C53">
        <v>186</v>
      </c>
      <c r="D53">
        <v>63</v>
      </c>
      <c r="E53">
        <v>51</v>
      </c>
      <c r="G53">
        <v>0.81701880432968288</v>
      </c>
      <c r="H53">
        <v>0.3309364076760607</v>
      </c>
      <c r="I53">
        <v>0.27159112427526155</v>
      </c>
      <c r="K53">
        <v>0.47318211209366839</v>
      </c>
      <c r="M53" t="s">
        <v>310</v>
      </c>
      <c r="O53" s="1" t="str" cm="1">
        <f t="array" ref="O53">_xlfn.LET( _xlpm.s, UPPER(M53),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KQAITRLKEICKI</v>
      </c>
    </row>
    <row r="54" spans="1:15" ht="24">
      <c r="A54">
        <v>64</v>
      </c>
      <c r="B54">
        <v>154</v>
      </c>
      <c r="C54">
        <v>246</v>
      </c>
      <c r="D54">
        <v>642</v>
      </c>
      <c r="E54">
        <v>377</v>
      </c>
      <c r="G54">
        <v>0.26943418625657006</v>
      </c>
      <c r="H54">
        <v>0.67012410533275668</v>
      </c>
      <c r="I54">
        <v>0.4713555174245424</v>
      </c>
      <c r="K54">
        <v>0.47030460300462301</v>
      </c>
      <c r="M54" t="s">
        <v>71</v>
      </c>
      <c r="O54" s="1" t="str" cm="1">
        <f t="array" ref="O54">_xlfn.LET( _xlpm.s, UPPER(M54),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KQMIERLKLICKH</v>
      </c>
    </row>
    <row r="55" spans="1:15" ht="24">
      <c r="A55">
        <v>212</v>
      </c>
      <c r="B55">
        <v>70</v>
      </c>
      <c r="C55">
        <v>157</v>
      </c>
      <c r="D55">
        <v>133</v>
      </c>
      <c r="E55">
        <v>258</v>
      </c>
      <c r="G55">
        <v>0.41682141238463094</v>
      </c>
      <c r="H55">
        <v>0.32886339905319539</v>
      </c>
      <c r="I55">
        <v>0.64905655400418605</v>
      </c>
      <c r="K55">
        <v>0.46491378848067083</v>
      </c>
      <c r="M55" t="s">
        <v>219</v>
      </c>
      <c r="O55" s="1" t="str" cm="1">
        <f t="array" ref="O55">_xlfn.LET( _xlpm.s, UPPER(M55),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KEAIKRLVEICKH</v>
      </c>
    </row>
    <row r="56" spans="1:15" ht="24">
      <c r="A56">
        <v>400</v>
      </c>
      <c r="B56">
        <v>48</v>
      </c>
      <c r="C56">
        <v>237</v>
      </c>
      <c r="D56">
        <v>190</v>
      </c>
      <c r="E56">
        <v>38</v>
      </c>
      <c r="G56">
        <v>0.75952690862417072</v>
      </c>
      <c r="H56">
        <v>0.64762216167760833</v>
      </c>
      <c r="I56">
        <v>-1.892275270356443E-2</v>
      </c>
      <c r="K56">
        <v>0.46274210586607151</v>
      </c>
      <c r="M56" t="s">
        <v>407</v>
      </c>
      <c r="O56" s="1" t="str" cm="1">
        <f t="array" ref="O56">_xlfn.LET( _xlpm.s, UPPER(M56),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EALKKRLVEICKL</v>
      </c>
    </row>
    <row r="57" spans="1:15" ht="24">
      <c r="A57">
        <v>538</v>
      </c>
      <c r="B57">
        <v>45</v>
      </c>
      <c r="C57">
        <v>2334</v>
      </c>
      <c r="D57">
        <v>37</v>
      </c>
      <c r="E57">
        <v>14</v>
      </c>
      <c r="G57">
        <v>1.7809081379236615</v>
      </c>
      <c r="H57">
        <v>-3.4900991607982212E-2</v>
      </c>
      <c r="I57">
        <v>-0.42454959004189302</v>
      </c>
      <c r="K57">
        <v>0.44048585209126206</v>
      </c>
      <c r="M57" t="s">
        <v>545</v>
      </c>
      <c r="O57" s="1" t="str" cm="1">
        <f t="array" ref="O57">_xlfn.LET( _xlpm.s, UPPER(M57),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NALIKRLEEICKI</v>
      </c>
    </row>
    <row r="58" spans="1:15" ht="24">
      <c r="A58">
        <v>887</v>
      </c>
      <c r="B58">
        <v>207</v>
      </c>
      <c r="C58">
        <v>342</v>
      </c>
      <c r="D58">
        <v>406</v>
      </c>
      <c r="E58">
        <v>779</v>
      </c>
      <c r="G58">
        <v>0.28407556058887129</v>
      </c>
      <c r="H58">
        <v>0.34266548622064286</v>
      </c>
      <c r="I58">
        <v>0.65810200027085941</v>
      </c>
      <c r="K58">
        <v>0.42828101569345783</v>
      </c>
      <c r="M58" t="s">
        <v>894</v>
      </c>
      <c r="O58" s="1" t="str" cm="1">
        <f t="array" ref="O58">_xlfn.LET( _xlpm.s, UPPER(M58),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KAMTARLVAICER</v>
      </c>
    </row>
    <row r="59" spans="1:15" ht="24">
      <c r="A59">
        <v>775</v>
      </c>
      <c r="B59">
        <v>58</v>
      </c>
      <c r="C59">
        <v>33</v>
      </c>
      <c r="D59">
        <v>1157</v>
      </c>
      <c r="E59">
        <v>62</v>
      </c>
      <c r="G59">
        <v>-0.1788942536953958</v>
      </c>
      <c r="H59">
        <v>1.3500151634891786</v>
      </c>
      <c r="I59">
        <v>0.11149858399052921</v>
      </c>
      <c r="K59">
        <v>0.4275398312614373</v>
      </c>
      <c r="M59" t="s">
        <v>782</v>
      </c>
      <c r="O59" s="1" t="str" cm="1">
        <f t="array" ref="O59">_xlfn.LET( _xlpm.s, UPPER(M59),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KKMTERLVEICKL</v>
      </c>
    </row>
    <row r="60" spans="1:15" ht="24">
      <c r="A60">
        <v>370</v>
      </c>
      <c r="B60">
        <v>74</v>
      </c>
      <c r="C60">
        <v>170</v>
      </c>
      <c r="D60">
        <v>181</v>
      </c>
      <c r="E60">
        <v>158</v>
      </c>
      <c r="G60">
        <v>0.42723700163695177</v>
      </c>
      <c r="H60">
        <v>0.43855665323857479</v>
      </c>
      <c r="I60">
        <v>0.41196025527865904</v>
      </c>
      <c r="K60">
        <v>0.42591797005139514</v>
      </c>
      <c r="M60" t="s">
        <v>377</v>
      </c>
      <c r="O60" s="1" t="str" cm="1">
        <f t="array" ref="O60">_xlfn.LET( _xlpm.s, UPPER(M60),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KALIERLVEILKK</v>
      </c>
    </row>
    <row r="61" spans="1:15" ht="24">
      <c r="A61">
        <v>476</v>
      </c>
      <c r="B61">
        <v>156</v>
      </c>
      <c r="C61">
        <v>2801</v>
      </c>
      <c r="D61">
        <v>82</v>
      </c>
      <c r="E61">
        <v>183</v>
      </c>
      <c r="G61">
        <v>1.3202083104587605</v>
      </c>
      <c r="H61">
        <v>-0.22920094787037842</v>
      </c>
      <c r="I61">
        <v>0.15186137943118055</v>
      </c>
      <c r="K61">
        <v>0.4142895806731875</v>
      </c>
      <c r="M61" t="s">
        <v>483</v>
      </c>
      <c r="O61" s="1" t="str" cm="1">
        <f t="array" ref="O61">_xlfn.LET( _xlpm.s, UPPER(M61),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KQLIERIKAICEL</v>
      </c>
    </row>
    <row r="62" spans="1:15" ht="24">
      <c r="A62">
        <v>844</v>
      </c>
      <c r="B62">
        <v>82</v>
      </c>
      <c r="C62">
        <v>289</v>
      </c>
      <c r="D62">
        <v>194</v>
      </c>
      <c r="E62">
        <v>101</v>
      </c>
      <c r="G62">
        <v>0.61310379036248519</v>
      </c>
      <c r="H62">
        <v>0.42409767564687584</v>
      </c>
      <c r="I62">
        <v>0.17304240945413851</v>
      </c>
      <c r="K62">
        <v>0.40341462515449983</v>
      </c>
      <c r="M62" t="s">
        <v>851</v>
      </c>
      <c r="O62" s="1" t="str" cm="1">
        <f t="array" ref="O62">_xlfn.LET( _xlpm.s, UPPER(M62),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QKMTERIVEICKL</v>
      </c>
    </row>
    <row r="63" spans="1:15" ht="24">
      <c r="A63">
        <v>386</v>
      </c>
      <c r="B63">
        <v>70</v>
      </c>
      <c r="C63">
        <v>151</v>
      </c>
      <c r="D63">
        <v>148</v>
      </c>
      <c r="E63">
        <v>151</v>
      </c>
      <c r="G63">
        <v>0.39989870726856658</v>
      </c>
      <c r="H63">
        <v>0.37527347348106704</v>
      </c>
      <c r="I63">
        <v>0.4164137953341252</v>
      </c>
      <c r="K63">
        <v>0.39719532536125296</v>
      </c>
      <c r="M63" t="s">
        <v>393</v>
      </c>
      <c r="O63" s="1" t="str" cm="1">
        <f t="array" ref="O63">_xlfn.LET( _xlpm.s, UPPER(M63),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KKLIERIVEILKL</v>
      </c>
    </row>
    <row r="64" spans="1:15" ht="24">
      <c r="A64">
        <v>157</v>
      </c>
      <c r="B64">
        <v>93</v>
      </c>
      <c r="C64">
        <v>181</v>
      </c>
      <c r="D64">
        <v>208</v>
      </c>
      <c r="E64">
        <v>206</v>
      </c>
      <c r="G64">
        <v>0.35521542630490344</v>
      </c>
      <c r="H64">
        <v>0.39969018450919286</v>
      </c>
      <c r="I64">
        <v>0.42791915987043089</v>
      </c>
      <c r="K64">
        <v>0.39427492356150906</v>
      </c>
      <c r="M64" t="s">
        <v>164</v>
      </c>
      <c r="O64" s="1" t="str" cm="1">
        <f t="array" ref="O64">_xlfn.LET( _xlpm.s, UPPER(M64),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KQMIARLKEICKH</v>
      </c>
    </row>
    <row r="65" spans="1:15" ht="24">
      <c r="A65">
        <v>384</v>
      </c>
      <c r="B65">
        <v>34</v>
      </c>
      <c r="C65">
        <v>22</v>
      </c>
      <c r="D65">
        <v>146</v>
      </c>
      <c r="E65">
        <v>115</v>
      </c>
      <c r="G65">
        <v>-0.12303643623039485</v>
      </c>
      <c r="H65">
        <v>0.68298373684254854</v>
      </c>
      <c r="I65">
        <v>0.61175381136656926</v>
      </c>
      <c r="K65">
        <v>0.39056703732624093</v>
      </c>
      <c r="M65" t="s">
        <v>391</v>
      </c>
      <c r="O65" s="1" t="str" cm="1">
        <f t="array" ref="O65">_xlfn.LET( _xlpm.s, UPPER(M65),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KKLIERIKEICKL</v>
      </c>
    </row>
    <row r="66" spans="1:15" ht="24">
      <c r="A66">
        <v>200</v>
      </c>
      <c r="B66">
        <v>71</v>
      </c>
      <c r="C66">
        <v>88</v>
      </c>
      <c r="D66">
        <v>367</v>
      </c>
      <c r="E66">
        <v>100</v>
      </c>
      <c r="G66">
        <v>0.15924412342074731</v>
      </c>
      <c r="H66">
        <v>0.76351751363338061</v>
      </c>
      <c r="I66">
        <v>0.23127653933613734</v>
      </c>
      <c r="K66">
        <v>0.38467939213008845</v>
      </c>
      <c r="M66" t="s">
        <v>207</v>
      </c>
      <c r="O66" s="1" t="str" cm="1">
        <f t="array" ref="O66">_xlfn.LET( _xlpm.s, UPPER(M66),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KEMIKRLELICKH</v>
      </c>
    </row>
    <row r="67" spans="1:15" ht="24">
      <c r="A67">
        <v>394</v>
      </c>
      <c r="B67">
        <v>112</v>
      </c>
      <c r="C67">
        <v>215</v>
      </c>
      <c r="D67">
        <v>308</v>
      </c>
      <c r="E67">
        <v>190</v>
      </c>
      <c r="G67">
        <v>0.34924023723507774</v>
      </c>
      <c r="H67">
        <v>0.48944249193062911</v>
      </c>
      <c r="I67">
        <v>0.31207046633786001</v>
      </c>
      <c r="K67">
        <v>0.38358439850118892</v>
      </c>
      <c r="M67" t="s">
        <v>401</v>
      </c>
      <c r="O67" s="1" t="str" cm="1">
        <f t="array" ref="O67">_xlfn.LET( _xlpm.s, UPPER(M67),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KRLIERLKAICEK</v>
      </c>
    </row>
    <row r="68" spans="1:15" ht="24">
      <c r="A68">
        <v>752</v>
      </c>
      <c r="B68">
        <v>41</v>
      </c>
      <c r="C68">
        <v>69</v>
      </c>
      <c r="D68">
        <v>40</v>
      </c>
      <c r="E68">
        <v>204</v>
      </c>
      <c r="G68">
        <v>0.29208503400717378</v>
      </c>
      <c r="H68">
        <v>3.9385932708593377E-2</v>
      </c>
      <c r="I68">
        <v>0.7793811987613759</v>
      </c>
      <c r="K68">
        <v>0.37028405515904766</v>
      </c>
      <c r="M68" t="s">
        <v>759</v>
      </c>
      <c r="O68" s="1" t="str" cm="1">
        <f t="array" ref="O68">_xlfn.LET( _xlpm.s, UPPER(M68),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KKMVERLKAICKK</v>
      </c>
    </row>
    <row r="69" spans="1:15" ht="24">
      <c r="A69">
        <v>126</v>
      </c>
      <c r="B69">
        <v>117</v>
      </c>
      <c r="C69">
        <v>232</v>
      </c>
      <c r="D69">
        <v>247</v>
      </c>
      <c r="E69">
        <v>210</v>
      </c>
      <c r="G69">
        <v>0.36332192313439204</v>
      </c>
      <c r="H69">
        <v>0.37462088961387058</v>
      </c>
      <c r="I69">
        <v>0.3365683210429703</v>
      </c>
      <c r="K69">
        <v>0.35817037793041101</v>
      </c>
      <c r="M69" t="s">
        <v>133</v>
      </c>
      <c r="O69" s="1" t="str" cm="1">
        <f t="array" ref="O69">_xlfn.LET( _xlpm.s, UPPER(M69),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KEMIKRLKLICEH</v>
      </c>
    </row>
    <row r="70" spans="1:15" ht="24">
      <c r="A70">
        <v>24</v>
      </c>
      <c r="B70">
        <v>65</v>
      </c>
      <c r="C70">
        <v>69</v>
      </c>
      <c r="D70">
        <v>159</v>
      </c>
      <c r="E70">
        <v>167</v>
      </c>
      <c r="G70">
        <v>9.1955534084053742E-2</v>
      </c>
      <c r="H70">
        <v>0.43859356577796244</v>
      </c>
      <c r="I70">
        <v>0.49233800255994037</v>
      </c>
      <c r="K70">
        <v>0.34096236747398551</v>
      </c>
      <c r="M70" t="s">
        <v>31</v>
      </c>
      <c r="O70" s="1" t="str" cm="1">
        <f t="array" ref="O70">_xlfn.LET( _xlpm.s, UPPER(M70),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KKMIERLKQICEH</v>
      </c>
    </row>
    <row r="71" spans="1:15" ht="24">
      <c r="A71">
        <v>810</v>
      </c>
      <c r="B71">
        <v>110</v>
      </c>
      <c r="C71">
        <v>200</v>
      </c>
      <c r="D71">
        <v>295</v>
      </c>
      <c r="E71">
        <v>133</v>
      </c>
      <c r="G71">
        <v>0.32565711049541013</v>
      </c>
      <c r="H71">
        <v>0.47853912892030442</v>
      </c>
      <c r="I71">
        <v>0.16499384386407337</v>
      </c>
      <c r="K71">
        <v>0.32306336109326261</v>
      </c>
      <c r="M71" t="s">
        <v>817</v>
      </c>
      <c r="O71" s="1" t="str" cm="1">
        <f t="array" ref="O71">_xlfn.LET( _xlpm.s, UPPER(M71),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RKMTERLVAICEK</v>
      </c>
    </row>
    <row r="72" spans="1:15" ht="24">
      <c r="A72">
        <v>838</v>
      </c>
      <c r="B72">
        <v>71</v>
      </c>
      <c r="C72">
        <v>159</v>
      </c>
      <c r="D72">
        <v>53</v>
      </c>
      <c r="E72">
        <v>249</v>
      </c>
      <c r="G72">
        <v>0.41615857559103026</v>
      </c>
      <c r="H72">
        <v>-7.6872681017919761E-2</v>
      </c>
      <c r="I72">
        <v>0.6274758864318738</v>
      </c>
      <c r="K72">
        <v>0.32225392700166139</v>
      </c>
      <c r="M72" t="s">
        <v>845</v>
      </c>
      <c r="O72" s="1" t="str" cm="1">
        <f t="array" ref="O72">_xlfn.LET( _xlpm.s, UPPER(M72),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KKAVERLVAICKK</v>
      </c>
    </row>
    <row r="73" spans="1:15" ht="24">
      <c r="A73">
        <v>409</v>
      </c>
      <c r="B73">
        <v>91</v>
      </c>
      <c r="C73">
        <v>23</v>
      </c>
      <c r="D73">
        <v>90</v>
      </c>
      <c r="E73">
        <v>2119</v>
      </c>
      <c r="G73">
        <v>-0.53129375631384668</v>
      </c>
      <c r="H73">
        <v>4.5310915218597779E-2</v>
      </c>
      <c r="I73">
        <v>1.4496244524449136</v>
      </c>
      <c r="K73">
        <v>0.32121387044988819</v>
      </c>
      <c r="M73" t="s">
        <v>416</v>
      </c>
      <c r="O73" s="1" t="str" cm="1">
        <f t="array" ref="O73">_xlfn.LET( _xlpm.s, UPPER(M73),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NRLIERLKAICKK</v>
      </c>
    </row>
    <row r="74" spans="1:15" ht="24">
      <c r="A74">
        <v>360</v>
      </c>
      <c r="B74">
        <v>64</v>
      </c>
      <c r="C74">
        <v>83</v>
      </c>
      <c r="D74">
        <v>208</v>
      </c>
      <c r="E74">
        <v>86</v>
      </c>
      <c r="G74">
        <v>0.17891791838184073</v>
      </c>
      <c r="H74">
        <v>0.56199315907924086</v>
      </c>
      <c r="I74">
        <v>0.21085336531489318</v>
      </c>
      <c r="K74">
        <v>0.31725481425865826</v>
      </c>
      <c r="M74" t="s">
        <v>367</v>
      </c>
      <c r="O74" s="1" t="str" cm="1">
        <f t="array" ref="O74">_xlfn.LET( _xlpm.s, UPPER(M74),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KALIERLKEICKL</v>
      </c>
    </row>
    <row r="75" spans="1:15" ht="24">
      <c r="A75">
        <v>404</v>
      </c>
      <c r="B75">
        <v>42</v>
      </c>
      <c r="C75">
        <v>106</v>
      </c>
      <c r="D75">
        <v>86</v>
      </c>
      <c r="E75">
        <v>45</v>
      </c>
      <c r="G75">
        <v>0.46807637485652376</v>
      </c>
      <c r="H75">
        <v>0.3613589589460337</v>
      </c>
      <c r="I75">
        <v>0.11249811143265585</v>
      </c>
      <c r="K75">
        <v>0.31397781507840444</v>
      </c>
      <c r="M75" t="s">
        <v>411</v>
      </c>
      <c r="O75" s="1" t="str" cm="1">
        <f t="array" ref="O75">_xlfn.LET( _xlpm.s, UPPER(M75),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KKMIERIKAICKL</v>
      </c>
    </row>
    <row r="76" spans="1:15" ht="24">
      <c r="A76">
        <v>859</v>
      </c>
      <c r="B76">
        <v>58</v>
      </c>
      <c r="C76">
        <v>202</v>
      </c>
      <c r="D76">
        <v>105</v>
      </c>
      <c r="E76">
        <v>45</v>
      </c>
      <c r="G76">
        <v>0.60794317587334046</v>
      </c>
      <c r="H76">
        <v>0.30787110360736725</v>
      </c>
      <c r="I76">
        <v>-2.7680591732380952E-2</v>
      </c>
      <c r="K76">
        <v>0.29604456258277562</v>
      </c>
      <c r="M76" t="s">
        <v>866</v>
      </c>
      <c r="O76" s="1" t="str" cm="1">
        <f t="array" ref="O76">_xlfn.LET( _xlpm.s, UPPER(M76),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KKMVERLVAICKK</v>
      </c>
    </row>
    <row r="77" spans="1:15" ht="24">
      <c r="A77">
        <v>172</v>
      </c>
      <c r="B77">
        <v>118</v>
      </c>
      <c r="C77">
        <v>665</v>
      </c>
      <c r="D77">
        <v>163</v>
      </c>
      <c r="E77">
        <v>74</v>
      </c>
      <c r="G77">
        <v>0.81695943798663317</v>
      </c>
      <c r="H77">
        <v>0.19041539519819894</v>
      </c>
      <c r="I77">
        <v>-0.12011539951993654</v>
      </c>
      <c r="K77">
        <v>0.29575314455496521</v>
      </c>
      <c r="M77" t="s">
        <v>179</v>
      </c>
      <c r="O77" s="1" t="str" cm="1">
        <f t="array" ref="O77">_xlfn.LET( _xlpm.s, UPPER(M77),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KQAIERLKKICEH</v>
      </c>
    </row>
    <row r="78" spans="1:15" ht="24">
      <c r="A78">
        <v>529</v>
      </c>
      <c r="B78">
        <v>72</v>
      </c>
      <c r="C78">
        <v>260</v>
      </c>
      <c r="D78">
        <v>103</v>
      </c>
      <c r="E78">
        <v>67</v>
      </c>
      <c r="G78">
        <v>0.62366065152920358</v>
      </c>
      <c r="H78">
        <v>0.20561452637427025</v>
      </c>
      <c r="I78">
        <v>5.1277194324770639E-2</v>
      </c>
      <c r="K78">
        <v>0.29351745740941482</v>
      </c>
      <c r="M78" t="s">
        <v>536</v>
      </c>
      <c r="O78" s="1" t="str" cm="1">
        <f t="array" ref="O78">_xlfn.LET( _xlpm.s, UPPER(M78),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KALVERLKKICEL</v>
      </c>
    </row>
    <row r="79" spans="1:15" ht="24">
      <c r="A79">
        <v>334</v>
      </c>
      <c r="B79">
        <v>97</v>
      </c>
      <c r="C79">
        <v>120</v>
      </c>
      <c r="D79">
        <v>438</v>
      </c>
      <c r="E79">
        <v>83</v>
      </c>
      <c r="G79">
        <v>0.15842931177103398</v>
      </c>
      <c r="H79">
        <v>0.70481217433822119</v>
      </c>
      <c r="I79">
        <v>1.4841246165041691E-2</v>
      </c>
      <c r="K79">
        <v>0.2926942440914323</v>
      </c>
      <c r="M79" t="s">
        <v>341</v>
      </c>
      <c r="O79" s="1" t="str" cm="1">
        <f t="array" ref="O79">_xlfn.LET( _xlpm.s, UPPER(M79),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KQAIERLVKICDH</v>
      </c>
    </row>
    <row r="80" spans="1:15" ht="24">
      <c r="A80">
        <v>365</v>
      </c>
      <c r="B80">
        <v>60</v>
      </c>
      <c r="C80">
        <v>164</v>
      </c>
      <c r="D80">
        <v>64</v>
      </c>
      <c r="E80">
        <v>96</v>
      </c>
      <c r="G80">
        <v>0.50271239765370823</v>
      </c>
      <c r="H80">
        <v>7.8138521700610031E-2</v>
      </c>
      <c r="I80">
        <v>0.28665487071113743</v>
      </c>
      <c r="K80">
        <v>0.28916859668848521</v>
      </c>
      <c r="M80" t="s">
        <v>372</v>
      </c>
      <c r="O80" s="1" t="str" cm="1">
        <f t="array" ref="O80">_xlfn.LET( _xlpm.s, UPPER(M80),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KALEERLVEICKI</v>
      </c>
    </row>
    <row r="81" spans="1:15" ht="24">
      <c r="A81">
        <v>588</v>
      </c>
      <c r="B81">
        <v>73</v>
      </c>
      <c r="C81">
        <v>125</v>
      </c>
      <c r="D81">
        <v>151</v>
      </c>
      <c r="E81">
        <v>96</v>
      </c>
      <c r="G81">
        <v>0.29960695287725453</v>
      </c>
      <c r="H81">
        <v>0.36576388527307996</v>
      </c>
      <c r="I81">
        <v>0.20148326097432515</v>
      </c>
      <c r="K81">
        <v>0.28895136637488655</v>
      </c>
      <c r="M81" t="s">
        <v>595</v>
      </c>
      <c r="O81" s="1" t="str" cm="1">
        <f t="array" ref="O81">_xlfn.LET( _xlpm.s, UPPER(M81),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KARIKRLKEILEK</v>
      </c>
    </row>
    <row r="82" spans="1:15" ht="24">
      <c r="A82">
        <v>470</v>
      </c>
      <c r="B82">
        <v>98</v>
      </c>
      <c r="C82">
        <v>114</v>
      </c>
      <c r="D82">
        <v>265</v>
      </c>
      <c r="E82">
        <v>145</v>
      </c>
      <c r="G82">
        <v>0.13169857563363174</v>
      </c>
      <c r="H82">
        <v>0.48212959634467945</v>
      </c>
      <c r="I82">
        <v>0.2526768145976927</v>
      </c>
      <c r="K82">
        <v>0.28883499552533465</v>
      </c>
      <c r="M82" t="s">
        <v>477</v>
      </c>
      <c r="O82" s="1" t="str" cm="1">
        <f t="array" ref="O82">_xlfn.LET( _xlpm.s, UPPER(M82),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KALIDRLIEIAKL</v>
      </c>
    </row>
    <row r="83" spans="1:15" ht="24">
      <c r="A83">
        <v>861</v>
      </c>
      <c r="B83">
        <v>90</v>
      </c>
      <c r="C83">
        <v>168</v>
      </c>
      <c r="D83">
        <v>171</v>
      </c>
      <c r="E83">
        <v>116</v>
      </c>
      <c r="G83">
        <v>0.33708657227619199</v>
      </c>
      <c r="H83">
        <v>0.32886339905319539</v>
      </c>
      <c r="I83">
        <v>0.1927503678428063</v>
      </c>
      <c r="K83">
        <v>0.28623344639073123</v>
      </c>
      <c r="M83" t="s">
        <v>868</v>
      </c>
      <c r="O83" s="1" t="str" cm="1">
        <f t="array" ref="O83">_xlfn.LET( _xlpm.s, UPPER(M83),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KALVKRIEEICKL</v>
      </c>
    </row>
    <row r="84" spans="1:15" ht="24">
      <c r="A84">
        <v>173</v>
      </c>
      <c r="B84">
        <v>71</v>
      </c>
      <c r="C84">
        <v>76</v>
      </c>
      <c r="D84">
        <v>214</v>
      </c>
      <c r="E84">
        <v>97</v>
      </c>
      <c r="G84">
        <v>9.5575043551370031E-2</v>
      </c>
      <c r="H84">
        <v>0.52926522273048204</v>
      </c>
      <c r="I84">
        <v>0.21804827360238221</v>
      </c>
      <c r="K84">
        <v>0.28096284662807808</v>
      </c>
      <c r="M84" t="s">
        <v>180</v>
      </c>
      <c r="O84" s="1" t="str" cm="1">
        <f t="array" ref="O84">_xlfn.LET( _xlpm.s, UPPER(M84),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EQMIKRLKEICAH</v>
      </c>
    </row>
    <row r="85" spans="1:15" ht="24">
      <c r="A85">
        <v>380</v>
      </c>
      <c r="B85">
        <v>26</v>
      </c>
      <c r="C85">
        <v>30</v>
      </c>
      <c r="D85">
        <v>60</v>
      </c>
      <c r="E85">
        <v>42</v>
      </c>
      <c r="G85">
        <v>0.12816770673849842</v>
      </c>
      <c r="H85">
        <v>0.41328770051319208</v>
      </c>
      <c r="I85">
        <v>0.29081083048229517</v>
      </c>
      <c r="K85">
        <v>0.27742207924466189</v>
      </c>
      <c r="M85" t="s">
        <v>387</v>
      </c>
      <c r="O85" s="1" t="str" cm="1">
        <f t="array" ref="O85">_xlfn.LET( _xlpm.s, UPPER(M85),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KKLIKRLEAICKK</v>
      </c>
    </row>
    <row r="86" spans="1:15" ht="24">
      <c r="A86">
        <v>418</v>
      </c>
      <c r="B86">
        <v>164</v>
      </c>
      <c r="C86">
        <v>226</v>
      </c>
      <c r="D86">
        <v>441</v>
      </c>
      <c r="E86">
        <v>183</v>
      </c>
      <c r="G86">
        <v>0.20528439108935698</v>
      </c>
      <c r="H86">
        <v>0.47970453952050712</v>
      </c>
      <c r="I86">
        <v>0.13014212973794428</v>
      </c>
      <c r="K86">
        <v>0.27171035344926947</v>
      </c>
      <c r="M86" t="s">
        <v>425</v>
      </c>
      <c r="O86" s="1" t="str" cm="1">
        <f t="array" ref="O86">_xlfn.LET( _xlpm.s, UPPER(M86),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KALIERLKAICEK</v>
      </c>
    </row>
    <row r="87" spans="1:15" ht="24">
      <c r="A87">
        <v>479</v>
      </c>
      <c r="B87">
        <v>77</v>
      </c>
      <c r="C87">
        <v>89</v>
      </c>
      <c r="D87">
        <v>72</v>
      </c>
      <c r="E87">
        <v>290</v>
      </c>
      <c r="G87">
        <v>0.12891908146208492</v>
      </c>
      <c r="H87">
        <v>2.0951569359153068E-2</v>
      </c>
      <c r="I87">
        <v>0.65844216078168694</v>
      </c>
      <c r="K87">
        <v>0.26943760386764165</v>
      </c>
      <c r="M87" t="s">
        <v>486</v>
      </c>
      <c r="O87" s="1" t="str" cm="1">
        <f t="array" ref="O87">_xlfn.LET( _xlpm.s, UPPER(M87),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KELIERLKAICEK</v>
      </c>
    </row>
    <row r="88" spans="1:15" ht="24">
      <c r="A88">
        <v>371</v>
      </c>
      <c r="B88">
        <v>94</v>
      </c>
      <c r="C88">
        <v>59</v>
      </c>
      <c r="D88">
        <v>127</v>
      </c>
      <c r="E88">
        <v>434</v>
      </c>
      <c r="G88">
        <v>-0.13625604196790048</v>
      </c>
      <c r="H88">
        <v>0.18078566545662467</v>
      </c>
      <c r="I88">
        <v>0.74689676396802474</v>
      </c>
      <c r="K88">
        <v>0.26380879581891631</v>
      </c>
      <c r="M88" t="s">
        <v>378</v>
      </c>
      <c r="O88" s="1" t="str" cm="1">
        <f t="array" ref="O88">_xlfn.LET( _xlpm.s, UPPER(M88),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KRLIERIKQICEL</v>
      </c>
    </row>
    <row r="89" spans="1:15" ht="24">
      <c r="A89">
        <v>754</v>
      </c>
      <c r="B89">
        <v>71</v>
      </c>
      <c r="C89">
        <v>103</v>
      </c>
      <c r="D89">
        <v>130</v>
      </c>
      <c r="E89">
        <v>101</v>
      </c>
      <c r="G89">
        <v>0.22759867597575095</v>
      </c>
      <c r="H89">
        <v>0.31279480168812795</v>
      </c>
      <c r="I89">
        <v>0.23559791311877998</v>
      </c>
      <c r="K89">
        <v>0.25866379692755298</v>
      </c>
      <c r="M89" t="s">
        <v>761</v>
      </c>
      <c r="O89" s="1" t="str" cm="1">
        <f t="array" ref="O89">_xlfn.LET( _xlpm.s, UPPER(M89),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KKLTERLKAICEK</v>
      </c>
    </row>
    <row r="90" spans="1:15" ht="24">
      <c r="A90">
        <v>462</v>
      </c>
      <c r="B90">
        <v>63</v>
      </c>
      <c r="C90">
        <v>123</v>
      </c>
      <c r="D90">
        <v>148</v>
      </c>
      <c r="E90">
        <v>51</v>
      </c>
      <c r="G90">
        <v>0.35658436197547022</v>
      </c>
      <c r="H90">
        <v>0.42103096404174217</v>
      </c>
      <c r="I90">
        <v>-9.2354853004326803E-3</v>
      </c>
      <c r="K90">
        <v>0.25612661357225991</v>
      </c>
      <c r="M90" t="s">
        <v>469</v>
      </c>
      <c r="O90" s="1" t="str" cm="1">
        <f t="array" ref="O90">_xlfn.LET( _xlpm.s, UPPER(M90),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KKLEERLKAICEI</v>
      </c>
    </row>
    <row r="91" spans="1:15" ht="24">
      <c r="A91">
        <v>629</v>
      </c>
      <c r="B91">
        <v>114</v>
      </c>
      <c r="C91">
        <v>162</v>
      </c>
      <c r="D91">
        <v>192</v>
      </c>
      <c r="E91">
        <v>163</v>
      </c>
      <c r="G91">
        <v>0.21862996319581235</v>
      </c>
      <c r="H91">
        <v>0.27650617546744349</v>
      </c>
      <c r="I91">
        <v>0.23781764112269788</v>
      </c>
      <c r="K91">
        <v>0.24431792659531792</v>
      </c>
      <c r="M91" t="s">
        <v>636</v>
      </c>
      <c r="O91" s="1" t="str" cm="1">
        <f t="array" ref="O91">_xlfn.LET( _xlpm.s, UPPER(M91),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RKREERLKAILEI</v>
      </c>
    </row>
    <row r="92" spans="1:15" ht="24">
      <c r="A92">
        <v>381</v>
      </c>
      <c r="B92">
        <v>107</v>
      </c>
      <c r="C92">
        <v>29</v>
      </c>
      <c r="D92">
        <v>350</v>
      </c>
      <c r="E92">
        <v>406</v>
      </c>
      <c r="G92">
        <v>-0.50096597979659963</v>
      </c>
      <c r="H92">
        <v>0.56479406476543259</v>
      </c>
      <c r="I92">
        <v>0.66167714394719723</v>
      </c>
      <c r="K92">
        <v>0.2418350763053434</v>
      </c>
      <c r="M92" t="s">
        <v>388</v>
      </c>
      <c r="O92" s="1" t="str" cm="1">
        <f t="array" ref="O92">_xlfn.LET( _xlpm.s, UPPER(M92),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EKLVERLKAICER</v>
      </c>
    </row>
    <row r="93" spans="1:15" ht="24">
      <c r="A93">
        <v>839</v>
      </c>
      <c r="B93">
        <v>60</v>
      </c>
      <c r="C93">
        <v>76</v>
      </c>
      <c r="D93">
        <v>83</v>
      </c>
      <c r="E93">
        <v>115</v>
      </c>
      <c r="G93">
        <v>0.1686821418868017</v>
      </c>
      <c r="H93">
        <v>0.19103664009279675</v>
      </c>
      <c r="I93">
        <v>0.36508147802518071</v>
      </c>
      <c r="K93">
        <v>0.24160008666825972</v>
      </c>
      <c r="M93" t="s">
        <v>846</v>
      </c>
      <c r="O93" s="1" t="str" cm="1">
        <f t="array" ref="O93">_xlfn.LET( _xlpm.s, UPPER(M93),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EKMVARLVEICKL</v>
      </c>
    </row>
    <row r="94" spans="1:15" ht="24">
      <c r="A94">
        <v>764</v>
      </c>
      <c r="B94">
        <v>168</v>
      </c>
      <c r="C94">
        <v>175</v>
      </c>
      <c r="D94">
        <v>211</v>
      </c>
      <c r="E94">
        <v>431</v>
      </c>
      <c r="G94">
        <v>8.3748566950085618E-2</v>
      </c>
      <c r="H94">
        <v>0.14908297167219631</v>
      </c>
      <c r="I94">
        <v>0.49170287649008143</v>
      </c>
      <c r="K94">
        <v>0.24151147170412113</v>
      </c>
      <c r="M94" t="s">
        <v>771</v>
      </c>
      <c r="O94" s="1" t="str" cm="1">
        <f t="array" ref="O94">_xlfn.LET( _xlpm.s, UPPER(M94),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KAMTERLVAICER</v>
      </c>
    </row>
    <row r="95" spans="1:15" ht="24">
      <c r="A95">
        <v>757</v>
      </c>
      <c r="B95">
        <v>71</v>
      </c>
      <c r="C95">
        <v>62</v>
      </c>
      <c r="D95">
        <v>63</v>
      </c>
      <c r="E95">
        <v>304</v>
      </c>
      <c r="G95">
        <v>7.1531407688325624E-3</v>
      </c>
      <c r="H95">
        <v>-1.8080011651270683E-3</v>
      </c>
      <c r="I95">
        <v>0.71415012294489111</v>
      </c>
      <c r="K95">
        <v>0.23983175418286554</v>
      </c>
      <c r="M95" t="s">
        <v>764</v>
      </c>
      <c r="O95" s="1" t="str" cm="1">
        <f t="array" ref="O95">_xlfn.LET( _xlpm.s, UPPER(M95),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KQMTERLVAICKK</v>
      </c>
    </row>
    <row r="96" spans="1:15" ht="24">
      <c r="A96">
        <v>249</v>
      </c>
      <c r="B96">
        <v>84</v>
      </c>
      <c r="C96">
        <v>182</v>
      </c>
      <c r="D96">
        <v>122</v>
      </c>
      <c r="E96">
        <v>84</v>
      </c>
      <c r="G96">
        <v>0.4018119019128471</v>
      </c>
      <c r="H96">
        <v>0.21219034271323306</v>
      </c>
      <c r="I96">
        <v>8.2534888055212655E-2</v>
      </c>
      <c r="K96">
        <v>0.23217904422709765</v>
      </c>
      <c r="M96" t="s">
        <v>256</v>
      </c>
      <c r="O96" s="1" t="str" cm="1">
        <f t="array" ref="O96">_xlfn.LET( _xlpm.s, UPPER(M96),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KQAIERLKKICDH</v>
      </c>
    </row>
    <row r="97" spans="1:15" ht="24">
      <c r="A97">
        <v>165</v>
      </c>
      <c r="B97">
        <v>98</v>
      </c>
      <c r="C97">
        <v>90</v>
      </c>
      <c r="D97">
        <v>140</v>
      </c>
      <c r="E97">
        <v>233</v>
      </c>
      <c r="G97">
        <v>2.9036233736484028E-2</v>
      </c>
      <c r="H97">
        <v>0.20501175808610966</v>
      </c>
      <c r="I97">
        <v>0.45866473338873676</v>
      </c>
      <c r="K97">
        <v>0.23090424173711013</v>
      </c>
      <c r="M97" t="s">
        <v>172</v>
      </c>
      <c r="O97" s="1" t="str" cm="1">
        <f t="array" ref="O97">_xlfn.LET( _xlpm.s, UPPER(M97),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KQMIERLKQICKH</v>
      </c>
    </row>
    <row r="98" spans="1:15" ht="24">
      <c r="A98">
        <v>883</v>
      </c>
      <c r="B98">
        <v>30</v>
      </c>
      <c r="C98">
        <v>27</v>
      </c>
      <c r="D98">
        <v>78</v>
      </c>
      <c r="E98">
        <v>39</v>
      </c>
      <c r="G98">
        <v>2.0262309428978886E-2</v>
      </c>
      <c r="H98">
        <v>0.46508314607118445</v>
      </c>
      <c r="I98">
        <v>0.19647824036204944</v>
      </c>
      <c r="K98">
        <v>0.22727456528740428</v>
      </c>
      <c r="M98" t="s">
        <v>890</v>
      </c>
      <c r="O98" s="1" t="str" cm="1">
        <f t="array" ref="O98">_xlfn.LET( _xlpm.s, UPPER(M98),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KKMTERLVQICKL</v>
      </c>
    </row>
    <row r="99" spans="1:15" ht="24">
      <c r="A99">
        <v>725</v>
      </c>
      <c r="B99">
        <v>57</v>
      </c>
      <c r="C99">
        <v>57</v>
      </c>
      <c r="D99">
        <v>45</v>
      </c>
      <c r="E99">
        <v>218</v>
      </c>
      <c r="G99">
        <v>6.6019799989654002E-2</v>
      </c>
      <c r="H99">
        <v>-5.2552543796781218E-2</v>
      </c>
      <c r="I99">
        <v>0.66511652598732607</v>
      </c>
      <c r="K99">
        <v>0.22619459406006628</v>
      </c>
      <c r="M99" t="s">
        <v>732</v>
      </c>
      <c r="O99" s="1" t="str" cm="1">
        <f t="array" ref="O99">_xlfn.LET( _xlpm.s, UPPER(M99),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NKLVERLVKICEL</v>
      </c>
    </row>
    <row r="100" spans="1:15" ht="24">
      <c r="A100">
        <v>801</v>
      </c>
      <c r="B100">
        <v>179</v>
      </c>
      <c r="C100">
        <v>329</v>
      </c>
      <c r="D100">
        <v>208</v>
      </c>
      <c r="E100">
        <v>250</v>
      </c>
      <c r="G100">
        <v>0.3303626669597351</v>
      </c>
      <c r="H100">
        <v>0.11532010208323491</v>
      </c>
      <c r="I100">
        <v>0.2276218657473571</v>
      </c>
      <c r="K100">
        <v>0.22443487826344236</v>
      </c>
      <c r="M100" t="s">
        <v>808</v>
      </c>
      <c r="O100" s="1" t="str" cm="1">
        <f t="array" ref="O100">_xlfn.LET( _xlpm.s, UPPER(M100),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KRMVERLVAICEK</v>
      </c>
    </row>
    <row r="101" spans="1:15" ht="24">
      <c r="A101">
        <v>535</v>
      </c>
      <c r="B101">
        <v>44</v>
      </c>
      <c r="C101">
        <v>108</v>
      </c>
      <c r="D101">
        <v>102</v>
      </c>
      <c r="E101">
        <v>23</v>
      </c>
      <c r="G101">
        <v>0.45599087899041629</v>
      </c>
      <c r="H101">
        <v>0.41525729337609663</v>
      </c>
      <c r="I101">
        <v>-0.19918995241338194</v>
      </c>
      <c r="K101">
        <v>0.22401940665104361</v>
      </c>
      <c r="M101" t="s">
        <v>542</v>
      </c>
      <c r="O101" s="1" t="str" cm="1">
        <f t="array" ref="O101">_xlfn.LET( _xlpm.s, UPPER(M101),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EKLKKRLVAICER</v>
      </c>
    </row>
    <row r="102" spans="1:15" ht="24">
      <c r="A102">
        <v>786</v>
      </c>
      <c r="B102">
        <v>54</v>
      </c>
      <c r="C102">
        <v>50</v>
      </c>
      <c r="D102">
        <v>31</v>
      </c>
      <c r="E102">
        <v>290</v>
      </c>
      <c r="G102">
        <v>3.2596044502704299E-2</v>
      </c>
      <c r="H102">
        <v>-0.19092226788832933</v>
      </c>
      <c r="I102">
        <v>0.81253912613120027</v>
      </c>
      <c r="K102">
        <v>0.2180709675818584</v>
      </c>
      <c r="M102" t="s">
        <v>793</v>
      </c>
      <c r="O102" s="1" t="str" cm="1">
        <f t="array" ref="O102">_xlfn.LET( _xlpm.s, UPPER(M102),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KKLVERLVEICKI</v>
      </c>
    </row>
    <row r="103" spans="1:15" ht="24">
      <c r="A103">
        <v>900</v>
      </c>
      <c r="B103">
        <v>79</v>
      </c>
      <c r="C103">
        <v>181</v>
      </c>
      <c r="D103">
        <v>111</v>
      </c>
      <c r="E103">
        <v>67</v>
      </c>
      <c r="G103">
        <v>0.42607128356839713</v>
      </c>
      <c r="H103">
        <v>0.19780568559658246</v>
      </c>
      <c r="I103">
        <v>1.0982599465597639E-2</v>
      </c>
      <c r="K103">
        <v>0.21161985621019241</v>
      </c>
      <c r="M103" t="s">
        <v>907</v>
      </c>
      <c r="O103" s="1" t="str" cm="1">
        <f t="array" ref="O103">_xlfn.LET( _xlpm.s, UPPER(M103),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QALQKRLVAICKR</v>
      </c>
    </row>
    <row r="104" spans="1:15" ht="24">
      <c r="A104">
        <v>253</v>
      </c>
      <c r="B104">
        <v>313</v>
      </c>
      <c r="C104">
        <v>472</v>
      </c>
      <c r="D104">
        <v>424</v>
      </c>
      <c r="E104">
        <v>416</v>
      </c>
      <c r="G104">
        <v>0.24441746107729329</v>
      </c>
      <c r="H104">
        <v>0.18193131714665067</v>
      </c>
      <c r="I104">
        <v>0.20608388113550691</v>
      </c>
      <c r="K104">
        <v>0.2108108864531503</v>
      </c>
      <c r="M104" t="s">
        <v>260</v>
      </c>
      <c r="O104" s="1" t="str" cm="1">
        <f t="array" ref="O104">_xlfn.LET( _xlpm.s, UPPER(M104),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EQQIARLKAICDH</v>
      </c>
    </row>
    <row r="105" spans="1:15" ht="24">
      <c r="A105">
        <v>226</v>
      </c>
      <c r="B105">
        <v>160</v>
      </c>
      <c r="C105">
        <v>237</v>
      </c>
      <c r="D105">
        <v>247</v>
      </c>
      <c r="E105">
        <v>183</v>
      </c>
      <c r="G105">
        <v>0.2366481633438331</v>
      </c>
      <c r="H105">
        <v>0.23868676870410743</v>
      </c>
      <c r="I105">
        <v>0.14086599512971737</v>
      </c>
      <c r="K105">
        <v>0.20540030905921927</v>
      </c>
      <c r="M105" t="s">
        <v>233</v>
      </c>
      <c r="O105" s="1" t="str" cm="1">
        <f t="array" ref="O105">_xlfn.LET( _xlpm.s, UPPER(M105),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KQMIERLKAICDH</v>
      </c>
    </row>
    <row r="106" spans="1:15" ht="24">
      <c r="A106">
        <v>260</v>
      </c>
      <c r="B106">
        <v>194</v>
      </c>
      <c r="C106">
        <v>288</v>
      </c>
      <c r="D106">
        <v>201</v>
      </c>
      <c r="E106">
        <v>290</v>
      </c>
      <c r="G106">
        <v>0.23761055781865881</v>
      </c>
      <c r="H106">
        <v>6.5504125590629347E-2</v>
      </c>
      <c r="I106">
        <v>0.25713115602394271</v>
      </c>
      <c r="K106">
        <v>0.18674861314441027</v>
      </c>
      <c r="M106" t="s">
        <v>267</v>
      </c>
      <c r="O106" s="1" t="str" cm="1">
        <f t="array" ref="O106">_xlfn.LET( _xlpm.s, UPPER(M106),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EQMIARLKAICDH</v>
      </c>
    </row>
    <row r="107" spans="1:15" ht="24">
      <c r="A107">
        <v>3</v>
      </c>
      <c r="B107">
        <v>53</v>
      </c>
      <c r="C107">
        <v>259</v>
      </c>
      <c r="D107">
        <v>11</v>
      </c>
      <c r="E107">
        <v>116</v>
      </c>
      <c r="G107">
        <v>0.75504369447011677</v>
      </c>
      <c r="H107">
        <v>-0.63277338634219749</v>
      </c>
      <c r="I107">
        <v>0.42271700768134207</v>
      </c>
      <c r="K107">
        <v>0.18166243860308709</v>
      </c>
      <c r="M107" t="s">
        <v>10</v>
      </c>
      <c r="O107" s="1" t="str" cm="1">
        <f t="array" ref="O107">_xlfn.LET( _xlpm.s, UPPER(M107),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KEQIKRLVEICKH</v>
      </c>
    </row>
    <row r="108" spans="1:15" ht="24">
      <c r="A108">
        <v>389</v>
      </c>
      <c r="B108">
        <v>110</v>
      </c>
      <c r="C108">
        <v>61</v>
      </c>
      <c r="D108">
        <v>1270</v>
      </c>
      <c r="E108">
        <v>38</v>
      </c>
      <c r="G108">
        <v>-0.19004305015780398</v>
      </c>
      <c r="H108">
        <v>1.1125208338980983</v>
      </c>
      <c r="I108">
        <v>-0.37907420048620222</v>
      </c>
      <c r="K108">
        <v>0.18113452775136404</v>
      </c>
      <c r="M108" t="s">
        <v>396</v>
      </c>
      <c r="O108" s="1" t="str" cm="1">
        <f t="array" ref="O108">_xlfn.LET( _xlpm.s, UPPER(M108),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EKLIARLKAICEK</v>
      </c>
    </row>
    <row r="109" spans="1:15" ht="24">
      <c r="A109">
        <v>512</v>
      </c>
      <c r="B109">
        <v>97</v>
      </c>
      <c r="C109">
        <v>149</v>
      </c>
      <c r="D109">
        <v>183</v>
      </c>
      <c r="E109">
        <v>73</v>
      </c>
      <c r="G109">
        <v>0.25243433413568322</v>
      </c>
      <c r="H109">
        <v>0.32578915356455107</v>
      </c>
      <c r="I109">
        <v>-4.0913986090576296E-2</v>
      </c>
      <c r="K109">
        <v>0.17910316720321937</v>
      </c>
      <c r="M109" t="s">
        <v>519</v>
      </c>
      <c r="O109" s="1" t="str" cm="1">
        <f t="array" ref="O109">_xlfn.LET( _xlpm.s, UPPER(M109),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KKMVERLVAICEL</v>
      </c>
    </row>
    <row r="110" spans="1:15" ht="24">
      <c r="A110">
        <v>534</v>
      </c>
      <c r="B110">
        <v>67</v>
      </c>
      <c r="C110">
        <v>64</v>
      </c>
      <c r="D110">
        <v>77</v>
      </c>
      <c r="E110">
        <v>131</v>
      </c>
      <c r="G110">
        <v>4.6124971272714727E-2</v>
      </c>
      <c r="H110">
        <v>0.11052572057202192</v>
      </c>
      <c r="I110">
        <v>0.37373138101015047</v>
      </c>
      <c r="K110">
        <v>0.17679402428496238</v>
      </c>
      <c r="M110" t="s">
        <v>541</v>
      </c>
      <c r="O110" s="1" t="str" cm="1">
        <f t="array" ref="O110">_xlfn.LET( _xlpm.s, UPPER(M110),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KKMIERLKAIAEL</v>
      </c>
    </row>
    <row r="111" spans="1:15" ht="24">
      <c r="A111">
        <v>484</v>
      </c>
      <c r="B111">
        <v>44</v>
      </c>
      <c r="C111">
        <v>51</v>
      </c>
      <c r="D111">
        <v>65</v>
      </c>
      <c r="E111">
        <v>53</v>
      </c>
      <c r="G111">
        <v>0.13013729960140297</v>
      </c>
      <c r="H111">
        <v>0.21957047825703463</v>
      </c>
      <c r="I111">
        <v>0.16335808116981429</v>
      </c>
      <c r="K111">
        <v>0.17102195300941728</v>
      </c>
      <c r="M111" t="s">
        <v>491</v>
      </c>
      <c r="O111" s="1" t="str" cm="1">
        <f t="array" ref="O111">_xlfn.LET( _xlpm.s, UPPER(M111),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KRLVKRLEEICKL</v>
      </c>
    </row>
    <row r="112" spans="1:15" ht="24">
      <c r="A112">
        <v>882</v>
      </c>
      <c r="B112">
        <v>128</v>
      </c>
      <c r="C112">
        <v>181</v>
      </c>
      <c r="D112">
        <v>283</v>
      </c>
      <c r="E112">
        <v>82</v>
      </c>
      <c r="G112">
        <v>0.21648840521097013</v>
      </c>
      <c r="H112">
        <v>0.39468626397678835</v>
      </c>
      <c r="I112">
        <v>-0.11086122920893902</v>
      </c>
      <c r="K112">
        <v>0.16677114665960646</v>
      </c>
      <c r="M112" t="s">
        <v>889</v>
      </c>
      <c r="O112" s="1" t="str" cm="1">
        <f t="array" ref="O112">_xlfn.LET( _xlpm.s, UPPER(M112),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EAMTARLVAICKL</v>
      </c>
    </row>
    <row r="113" spans="1:15" ht="24">
      <c r="A113">
        <v>826</v>
      </c>
      <c r="B113">
        <v>73</v>
      </c>
      <c r="C113">
        <v>79</v>
      </c>
      <c r="D113">
        <v>96</v>
      </c>
      <c r="E113">
        <v>98</v>
      </c>
      <c r="G113">
        <v>0.10032403115963957</v>
      </c>
      <c r="H113">
        <v>0.16905817101947898</v>
      </c>
      <c r="I113">
        <v>0.21043810362725163</v>
      </c>
      <c r="K113">
        <v>0.15994010193545674</v>
      </c>
      <c r="M113" t="s">
        <v>833</v>
      </c>
      <c r="O113" s="1" t="str" cm="1">
        <f t="array" ref="O113">_xlfn.LET( _xlpm.s, UPPER(M113),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EKLVERLVEICKL</v>
      </c>
    </row>
    <row r="114" spans="1:15" ht="24">
      <c r="A114">
        <v>293</v>
      </c>
      <c r="B114">
        <v>79</v>
      </c>
      <c r="C114">
        <v>124</v>
      </c>
      <c r="D114">
        <v>65</v>
      </c>
      <c r="E114">
        <v>116</v>
      </c>
      <c r="G114">
        <v>0.26181439386144761</v>
      </c>
      <c r="H114">
        <v>-3.4603936547219341E-2</v>
      </c>
      <c r="I114">
        <v>0.24936578599168974</v>
      </c>
      <c r="K114">
        <v>0.15885874776863934</v>
      </c>
      <c r="M114" t="s">
        <v>300</v>
      </c>
      <c r="O114" s="1" t="str" cm="1">
        <f t="array" ref="O114">_xlfn.LET( _xlpm.s, UPPER(M114),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KKAIERLKAICDK</v>
      </c>
    </row>
    <row r="115" spans="1:15" ht="24">
      <c r="A115">
        <v>871</v>
      </c>
      <c r="B115">
        <v>87</v>
      </c>
      <c r="C115">
        <v>92</v>
      </c>
      <c r="D115">
        <v>249</v>
      </c>
      <c r="E115">
        <v>52</v>
      </c>
      <c r="G115">
        <v>9.0288374716590764E-2</v>
      </c>
      <c r="H115">
        <v>0.5067898925774843</v>
      </c>
      <c r="I115">
        <v>-0.14098102092860665</v>
      </c>
      <c r="K115">
        <v>0.15203241545515614</v>
      </c>
      <c r="M115" t="s">
        <v>878</v>
      </c>
      <c r="O115" s="1" t="str" cm="1">
        <f t="array" ref="O115">_xlfn.LET( _xlpm.s, UPPER(M115),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KKLTERLVEICKL</v>
      </c>
    </row>
    <row r="116" spans="1:15" ht="24">
      <c r="A116">
        <v>869</v>
      </c>
      <c r="B116">
        <v>130</v>
      </c>
      <c r="C116">
        <v>148</v>
      </c>
      <c r="D116">
        <v>83</v>
      </c>
      <c r="E116">
        <v>320</v>
      </c>
      <c r="G116">
        <v>0.12233816307777459</v>
      </c>
      <c r="H116">
        <v>-0.14475546183039639</v>
      </c>
      <c r="I116">
        <v>0.47374151406828185</v>
      </c>
      <c r="K116">
        <v>0.15044140510522</v>
      </c>
      <c r="M116" t="s">
        <v>876</v>
      </c>
      <c r="O116" s="1" t="str" cm="1">
        <f t="array" ref="O116">_xlfn.LET( _xlpm.s, UPPER(M116),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KQLVDRLVAICEK</v>
      </c>
    </row>
    <row r="117" spans="1:15" ht="24">
      <c r="A117">
        <v>819</v>
      </c>
      <c r="B117">
        <v>71</v>
      </c>
      <c r="C117">
        <v>75</v>
      </c>
      <c r="D117">
        <v>124</v>
      </c>
      <c r="E117">
        <v>64</v>
      </c>
      <c r="G117">
        <v>8.982271466227873E-2</v>
      </c>
      <c r="H117">
        <v>0.29227313454352627</v>
      </c>
      <c r="I117">
        <v>3.7456513320024552E-2</v>
      </c>
      <c r="K117">
        <v>0.13985078750860983</v>
      </c>
      <c r="M117" t="s">
        <v>826</v>
      </c>
      <c r="O117" s="1" t="str" cm="1">
        <f t="array" ref="O117">_xlfn.LET( _xlpm.s, UPPER(M117),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KKLVERLVAICKK</v>
      </c>
    </row>
    <row r="118" spans="1:15" ht="24">
      <c r="A118">
        <v>387</v>
      </c>
      <c r="B118">
        <v>62</v>
      </c>
      <c r="C118">
        <v>43</v>
      </c>
      <c r="D118">
        <v>89</v>
      </c>
      <c r="E118">
        <v>103</v>
      </c>
      <c r="G118">
        <v>-9.2903433929013304E-2</v>
      </c>
      <c r="H118">
        <v>0.20710811524702544</v>
      </c>
      <c r="I118">
        <v>0.30298042326213098</v>
      </c>
      <c r="K118">
        <v>0.13906170152671438</v>
      </c>
      <c r="M118" t="s">
        <v>394</v>
      </c>
      <c r="O118" s="1" t="str" cm="1">
        <f t="array" ref="O118">_xlfn.LET( _xlpm.s, UPPER(M118),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NEMIKRLREIAEI</v>
      </c>
    </row>
    <row r="119" spans="1:15" ht="24">
      <c r="A119">
        <v>159</v>
      </c>
      <c r="B119">
        <v>89</v>
      </c>
      <c r="C119">
        <v>84</v>
      </c>
      <c r="D119">
        <v>137</v>
      </c>
      <c r="E119">
        <v>101</v>
      </c>
      <c r="G119">
        <v>4.0909079406622861E-2</v>
      </c>
      <c r="H119">
        <v>0.23744035861186047</v>
      </c>
      <c r="I119">
        <v>0.13746625519294248</v>
      </c>
      <c r="K119">
        <v>0.13860523107047526</v>
      </c>
      <c r="M119" t="s">
        <v>166</v>
      </c>
      <c r="O119" s="1" t="str" cm="1">
        <f t="array" ref="O119">_xlfn.LET( _xlpm.s, UPPER(M119),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KLMEKRLVLICEK</v>
      </c>
    </row>
    <row r="120" spans="1:15" ht="24">
      <c r="A120">
        <v>198</v>
      </c>
      <c r="B120">
        <v>55</v>
      </c>
      <c r="C120">
        <v>35</v>
      </c>
      <c r="D120">
        <v>83</v>
      </c>
      <c r="E120">
        <v>89</v>
      </c>
      <c r="G120">
        <v>-0.1302748451543142</v>
      </c>
      <c r="H120">
        <v>0.22882520098219655</v>
      </c>
      <c r="I120">
        <v>0.29156220520588161</v>
      </c>
      <c r="K120">
        <v>0.13003752034458799</v>
      </c>
      <c r="M120" t="s">
        <v>205</v>
      </c>
      <c r="O120" s="1" t="str" cm="1">
        <f t="array" ref="O120">_xlfn.LET( _xlpm.s, UPPER(M120),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KKAIERLKKICDH</v>
      </c>
    </row>
    <row r="121" spans="1:15" ht="24">
      <c r="A121">
        <v>758</v>
      </c>
      <c r="B121">
        <v>40</v>
      </c>
      <c r="C121">
        <v>33</v>
      </c>
      <c r="D121">
        <v>20</v>
      </c>
      <c r="E121">
        <v>143</v>
      </c>
      <c r="G121">
        <v>-1.752625146042093E-2</v>
      </c>
      <c r="H121">
        <v>-0.25092019756361472</v>
      </c>
      <c r="I121">
        <v>0.63581093419231216</v>
      </c>
      <c r="K121">
        <v>0.12245482838942551</v>
      </c>
      <c r="M121" t="s">
        <v>765</v>
      </c>
      <c r="O121" s="1" t="str" cm="1">
        <f t="array" ref="O121">_xlfn.LET( _xlpm.s, UPPER(M121),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EKMVKRLVEICKL</v>
      </c>
    </row>
    <row r="122" spans="1:15" ht="24">
      <c r="A122">
        <v>763</v>
      </c>
      <c r="B122">
        <v>85</v>
      </c>
      <c r="C122">
        <v>287</v>
      </c>
      <c r="D122">
        <v>54</v>
      </c>
      <c r="E122">
        <v>54</v>
      </c>
      <c r="G122">
        <v>0.59448277100935365</v>
      </c>
      <c r="H122">
        <v>-0.14691536779095776</v>
      </c>
      <c r="I122">
        <v>-0.11449027783611158</v>
      </c>
      <c r="K122">
        <v>0.11102570846076143</v>
      </c>
      <c r="M122" t="s">
        <v>770</v>
      </c>
      <c r="O122" s="1" t="str" cm="1">
        <f t="array" ref="O122">_xlfn.LET( _xlpm.s, UPPER(M122),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KQMTERLVEICKR</v>
      </c>
    </row>
    <row r="123" spans="1:15" ht="24">
      <c r="A123">
        <v>789</v>
      </c>
      <c r="B123">
        <v>216</v>
      </c>
      <c r="C123">
        <v>725</v>
      </c>
      <c r="D123">
        <v>203</v>
      </c>
      <c r="E123">
        <v>92</v>
      </c>
      <c r="G123">
        <v>0.5919040554097168</v>
      </c>
      <c r="H123">
        <v>2.3152084862648491E-2</v>
      </c>
      <c r="I123">
        <v>-0.28813103575016297</v>
      </c>
      <c r="K123">
        <v>0.10897503484073412</v>
      </c>
      <c r="M123" t="s">
        <v>796</v>
      </c>
      <c r="O123" s="1" t="str" cm="1">
        <f t="array" ref="O123">_xlfn.LET( _xlpm.s, UPPER(M123),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NRMVERLVAICER</v>
      </c>
    </row>
    <row r="124" spans="1:15" ht="24">
      <c r="A124">
        <v>70</v>
      </c>
      <c r="B124">
        <v>81</v>
      </c>
      <c r="C124">
        <v>103</v>
      </c>
      <c r="D124">
        <v>102</v>
      </c>
      <c r="E124">
        <v>66</v>
      </c>
      <c r="G124">
        <v>0.17037200581617651</v>
      </c>
      <c r="H124">
        <v>0.15022495098363431</v>
      </c>
      <c r="I124">
        <v>-6.4061952815684386E-3</v>
      </c>
      <c r="K124">
        <v>0.10473025383941413</v>
      </c>
      <c r="M124" t="s">
        <v>77</v>
      </c>
      <c r="O124" s="1" t="str" cm="1">
        <f t="array" ref="O124">_xlfn.LET( _xlpm.s, UPPER(M124),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KEQVERLKEICKH</v>
      </c>
    </row>
    <row r="125" spans="1:15" ht="24">
      <c r="A125">
        <v>768</v>
      </c>
      <c r="B125">
        <v>101</v>
      </c>
      <c r="C125">
        <v>78</v>
      </c>
      <c r="D125">
        <v>457</v>
      </c>
      <c r="E125">
        <v>37</v>
      </c>
      <c r="G125">
        <v>-4.6206971102508154E-2</v>
      </c>
      <c r="H125">
        <v>0.70570462438757409</v>
      </c>
      <c r="I125">
        <v>-0.35358476166043495</v>
      </c>
      <c r="K125">
        <v>0.10197096387487699</v>
      </c>
      <c r="M125" t="s">
        <v>775</v>
      </c>
      <c r="O125" s="1" t="str" cm="1">
        <f t="array" ref="O125">_xlfn.LET( _xlpm.s, UPPER(M125),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EKLTARLVKICEL</v>
      </c>
    </row>
    <row r="126" spans="1:15" ht="24">
      <c r="A126">
        <v>82</v>
      </c>
      <c r="B126">
        <v>97</v>
      </c>
      <c r="C126">
        <v>68</v>
      </c>
      <c r="D126">
        <v>87</v>
      </c>
      <c r="E126">
        <v>194</v>
      </c>
      <c r="G126">
        <v>-8.824302157035456E-2</v>
      </c>
      <c r="H126">
        <v>2.8573164527401773E-3</v>
      </c>
      <c r="I126">
        <v>0.38356488371919384</v>
      </c>
      <c r="K126">
        <v>9.9393059533859809E-2</v>
      </c>
      <c r="M126" t="s">
        <v>89</v>
      </c>
      <c r="O126" s="1" t="str" cm="1">
        <f t="array" ref="O126">_xlfn.LET( _xlpm.s, UPPER(M126),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KEAEKRLVLICEH</v>
      </c>
    </row>
    <row r="127" spans="1:15" ht="24">
      <c r="A127">
        <v>246</v>
      </c>
      <c r="B127">
        <v>161</v>
      </c>
      <c r="C127">
        <v>225</v>
      </c>
      <c r="D127">
        <v>218</v>
      </c>
      <c r="E127">
        <v>105</v>
      </c>
      <c r="G127">
        <v>0.21137644206916678</v>
      </c>
      <c r="H127">
        <v>0.1817404156731216</v>
      </c>
      <c r="I127">
        <v>-0.10310168890669898</v>
      </c>
      <c r="K127">
        <v>9.6671722945196478E-2</v>
      </c>
      <c r="M127" t="s">
        <v>253</v>
      </c>
      <c r="O127" s="1" t="str" cm="1">
        <f t="array" ref="O127">_xlfn.LET( _xlpm.s, UPPER(M127),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EQMIKRLKLICEH</v>
      </c>
    </row>
    <row r="128" spans="1:15" ht="24">
      <c r="A128">
        <v>794</v>
      </c>
      <c r="B128">
        <v>84</v>
      </c>
      <c r="C128">
        <v>64</v>
      </c>
      <c r="D128">
        <v>74</v>
      </c>
      <c r="E128">
        <v>154</v>
      </c>
      <c r="G128">
        <v>-5.207951208834051E-2</v>
      </c>
      <c r="H128">
        <v>-4.9377682305389858E-3</v>
      </c>
      <c r="I128">
        <v>0.34577632282979404</v>
      </c>
      <c r="K128">
        <v>9.6253014170304851E-2</v>
      </c>
      <c r="M128" t="s">
        <v>801</v>
      </c>
      <c r="O128" s="1" t="str" cm="1">
        <f t="array" ref="O128">_xlfn.LET( _xlpm.s, UPPER(M128),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KKLVERLVAICKR</v>
      </c>
    </row>
    <row r="129" spans="1:15" ht="24">
      <c r="A129">
        <v>257</v>
      </c>
      <c r="B129">
        <v>36</v>
      </c>
      <c r="C129">
        <v>129</v>
      </c>
      <c r="D129">
        <v>19</v>
      </c>
      <c r="E129">
        <v>23</v>
      </c>
      <c r="G129">
        <v>0.62030700952161577</v>
      </c>
      <c r="H129">
        <v>-0.22743910171409182</v>
      </c>
      <c r="I129">
        <v>-0.11203977669448177</v>
      </c>
      <c r="K129">
        <v>9.3609377037680727E-2</v>
      </c>
      <c r="M129" t="s">
        <v>264</v>
      </c>
      <c r="O129" s="1" t="str" cm="1">
        <f t="array" ref="O129">_xlfn.LET( _xlpm.s, UPPER(M129),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AEMKKRLVAICKH</v>
      </c>
    </row>
    <row r="130" spans="1:15" ht="24">
      <c r="A130">
        <v>873</v>
      </c>
      <c r="B130">
        <v>52</v>
      </c>
      <c r="C130">
        <v>51</v>
      </c>
      <c r="D130">
        <v>102</v>
      </c>
      <c r="E130">
        <v>31</v>
      </c>
      <c r="G130">
        <v>5.7586632452791192E-2</v>
      </c>
      <c r="H130">
        <v>0.34270662622748488</v>
      </c>
      <c r="I130">
        <v>-0.14210676174531384</v>
      </c>
      <c r="K130">
        <v>8.6062165644987421E-2</v>
      </c>
      <c r="M130" t="s">
        <v>880</v>
      </c>
      <c r="O130" s="1" t="str" cm="1">
        <f t="array" ref="O130">_xlfn.LET( _xlpm.s, UPPER(M130),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NKMIERLVEICKL</v>
      </c>
    </row>
    <row r="131" spans="1:15" ht="24">
      <c r="A131">
        <v>899</v>
      </c>
      <c r="B131">
        <v>149</v>
      </c>
      <c r="C131">
        <v>6453</v>
      </c>
      <c r="D131">
        <v>18</v>
      </c>
      <c r="E131">
        <v>31</v>
      </c>
      <c r="G131">
        <v>1.7025951966845048</v>
      </c>
      <c r="H131">
        <v>-0.86780396520860137</v>
      </c>
      <c r="I131">
        <v>-0.59928968652278869</v>
      </c>
      <c r="K131">
        <v>7.8500514984371564E-2</v>
      </c>
      <c r="M131" t="s">
        <v>906</v>
      </c>
      <c r="O131" s="1" t="str" cm="1">
        <f t="array" ref="O131">_xlfn.LET( _xlpm.s, UPPER(M131),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AALTRRIIAICER</v>
      </c>
    </row>
    <row r="132" spans="1:15" ht="24">
      <c r="A132">
        <v>864</v>
      </c>
      <c r="B132">
        <v>54</v>
      </c>
      <c r="C132">
        <v>38</v>
      </c>
      <c r="D132">
        <v>61</v>
      </c>
      <c r="E132">
        <v>73</v>
      </c>
      <c r="G132">
        <v>-8.6590363216504332E-2</v>
      </c>
      <c r="H132">
        <v>0.10304587328816497</v>
      </c>
      <c r="I132">
        <v>0.21346398835270003</v>
      </c>
      <c r="K132">
        <v>7.6639832808120215E-2</v>
      </c>
      <c r="M132" t="s">
        <v>871</v>
      </c>
      <c r="O132" s="1" t="str" cm="1">
        <f t="array" ref="O132">_xlfn.LET( _xlpm.s, UPPER(M132),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KKMIERIVAICKI</v>
      </c>
    </row>
    <row r="133" spans="1:15" ht="24">
      <c r="A133">
        <v>430</v>
      </c>
      <c r="B133">
        <v>50</v>
      </c>
      <c r="C133">
        <v>389</v>
      </c>
      <c r="D133">
        <v>23</v>
      </c>
      <c r="E133">
        <v>15</v>
      </c>
      <c r="G133">
        <v>0.956999396979343</v>
      </c>
      <c r="H133">
        <v>-0.28713237021805943</v>
      </c>
      <c r="I133">
        <v>-0.44034385722512498</v>
      </c>
      <c r="K133">
        <v>7.6507723178719553E-2</v>
      </c>
      <c r="M133" t="s">
        <v>437</v>
      </c>
      <c r="O133" s="1" t="str" cm="1">
        <f t="array" ref="O133">_xlfn.LET( _xlpm.s, UPPER(M133),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NALINRIKEICKL</v>
      </c>
    </row>
    <row r="134" spans="1:15" ht="24">
      <c r="A134">
        <v>270</v>
      </c>
      <c r="B134">
        <v>199</v>
      </c>
      <c r="C134">
        <v>158</v>
      </c>
      <c r="D134">
        <v>220</v>
      </c>
      <c r="E134">
        <v>234</v>
      </c>
      <c r="G134">
        <v>-3.417618946563003E-2</v>
      </c>
      <c r="H134">
        <v>9.3679402512866036E-2</v>
      </c>
      <c r="I134">
        <v>0.15289766905564883</v>
      </c>
      <c r="K134">
        <v>7.0800294034294942E-2</v>
      </c>
      <c r="M134" t="s">
        <v>277</v>
      </c>
      <c r="O134" s="1" t="str" cm="1">
        <f t="array" ref="O134">_xlfn.LET( _xlpm.s, UPPER(M134),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EQAIKRLKLICEH</v>
      </c>
    </row>
    <row r="135" spans="1:15" ht="24">
      <c r="A135">
        <v>696</v>
      </c>
      <c r="B135">
        <v>46</v>
      </c>
      <c r="C135">
        <v>26</v>
      </c>
      <c r="D135">
        <v>16</v>
      </c>
      <c r="E135">
        <v>237</v>
      </c>
      <c r="G135">
        <v>-0.18176468372110216</v>
      </c>
      <c r="H135">
        <v>-0.40852805092528283</v>
      </c>
      <c r="I135">
        <v>0.79452540238374247</v>
      </c>
      <c r="K135">
        <v>6.80775559124525E-2</v>
      </c>
      <c r="M135" t="s">
        <v>703</v>
      </c>
      <c r="O135" s="1" t="str" cm="1">
        <f t="array" ref="O135">_xlfn.LET( _xlpm.s, UPPER(M135),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KELIERLKKILEL</v>
      </c>
    </row>
    <row r="136" spans="1:15" ht="24">
      <c r="A136">
        <v>862</v>
      </c>
      <c r="B136">
        <v>55</v>
      </c>
      <c r="C136">
        <v>42</v>
      </c>
      <c r="D136">
        <v>62</v>
      </c>
      <c r="E136">
        <v>63</v>
      </c>
      <c r="G136">
        <v>-5.1093599106689369E-2</v>
      </c>
      <c r="H136">
        <v>0.10213879810437648</v>
      </c>
      <c r="I136">
        <v>0.14151274801455055</v>
      </c>
      <c r="K136">
        <v>6.4185982337412559E-2</v>
      </c>
      <c r="M136" t="s">
        <v>869</v>
      </c>
      <c r="O136" s="1" t="str" cm="1">
        <f t="array" ref="O136">_xlfn.LET( _xlpm.s, UPPER(M136),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KRLIARIKEICKL</v>
      </c>
    </row>
    <row r="137" spans="1:15" ht="24">
      <c r="A137">
        <v>457</v>
      </c>
      <c r="B137">
        <v>40</v>
      </c>
      <c r="C137">
        <v>39</v>
      </c>
      <c r="D137">
        <v>33</v>
      </c>
      <c r="E137">
        <v>48</v>
      </c>
      <c r="G137">
        <v>5.502441568819081E-2</v>
      </c>
      <c r="H137">
        <v>-3.3436253349708442E-2</v>
      </c>
      <c r="I137">
        <v>0.16171613410283747</v>
      </c>
      <c r="K137">
        <v>6.1101432147106616E-2</v>
      </c>
      <c r="M137" t="s">
        <v>464</v>
      </c>
      <c r="O137" s="1" t="str" cm="1">
        <f t="array" ref="O137">_xlfn.LET( _xlpm.s, UPPER(M137),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EKLIKRLVEIAKL</v>
      </c>
    </row>
    <row r="138" spans="1:15" ht="24">
      <c r="A138">
        <v>774</v>
      </c>
      <c r="B138">
        <v>137</v>
      </c>
      <c r="C138">
        <v>159</v>
      </c>
      <c r="D138">
        <v>113</v>
      </c>
      <c r="E138">
        <v>136</v>
      </c>
      <c r="G138">
        <v>0.13069635715369871</v>
      </c>
      <c r="H138">
        <v>-3.3532325572620564E-2</v>
      </c>
      <c r="I138">
        <v>7.9353229269023398E-2</v>
      </c>
      <c r="K138">
        <v>5.8839086950033849E-2</v>
      </c>
      <c r="M138" t="s">
        <v>781</v>
      </c>
      <c r="O138" s="1" t="str" cm="1">
        <f t="array" ref="O138">_xlfn.LET( _xlpm.s, UPPER(M138),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KKLVERLVAICER</v>
      </c>
    </row>
    <row r="139" spans="1:15" ht="24">
      <c r="A139">
        <v>532</v>
      </c>
      <c r="B139">
        <v>130</v>
      </c>
      <c r="C139">
        <v>118</v>
      </c>
      <c r="D139">
        <v>287</v>
      </c>
      <c r="E139">
        <v>61</v>
      </c>
      <c r="G139">
        <v>2.3958454988942612E-2</v>
      </c>
      <c r="H139">
        <v>0.39404834252752208</v>
      </c>
      <c r="I139">
        <v>-0.24607862924085711</v>
      </c>
      <c r="K139">
        <v>5.7309389425202528E-2</v>
      </c>
      <c r="M139" t="s">
        <v>539</v>
      </c>
      <c r="O139" s="1" t="str" cm="1">
        <f t="array" ref="O139">_xlfn.LET( _xlpm.s, UPPER(M139),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ERLIERLKAICEL</v>
      </c>
    </row>
    <row r="140" spans="1:15" ht="24">
      <c r="A140">
        <v>359</v>
      </c>
      <c r="B140">
        <v>82</v>
      </c>
      <c r="C140">
        <v>138</v>
      </c>
      <c r="D140">
        <v>40</v>
      </c>
      <c r="E140">
        <v>91</v>
      </c>
      <c r="G140">
        <v>0.29208503400717378</v>
      </c>
      <c r="H140">
        <v>-0.26164406295538783</v>
      </c>
      <c r="I140">
        <v>0.12776242799258961</v>
      </c>
      <c r="K140">
        <v>5.2734466348125182E-2</v>
      </c>
      <c r="M140" t="s">
        <v>366</v>
      </c>
      <c r="O140" s="1" t="str" cm="1">
        <f t="array" ref="O140">_xlfn.LET( _xlpm.s, UPPER(M140),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KKLIARLREICEK</v>
      </c>
    </row>
    <row r="141" spans="1:15" ht="24">
      <c r="A141">
        <v>366</v>
      </c>
      <c r="B141">
        <v>28</v>
      </c>
      <c r="C141">
        <v>22</v>
      </c>
      <c r="D141">
        <v>30</v>
      </c>
      <c r="E141">
        <v>30</v>
      </c>
      <c r="G141">
        <v>-3.8715550530358994E-2</v>
      </c>
      <c r="H141">
        <v>8.0073021477809689E-2</v>
      </c>
      <c r="I141">
        <v>0.11249811143265585</v>
      </c>
      <c r="K141">
        <v>5.1285194126702183E-2</v>
      </c>
      <c r="M141" t="s">
        <v>373</v>
      </c>
      <c r="O141" s="1" t="str" cm="1">
        <f t="array" ref="O141">_xlfn.LET( _xlpm.s, UPPER(M141),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KKLIKRIEEICKI</v>
      </c>
    </row>
    <row r="142" spans="1:15" ht="24">
      <c r="A142">
        <v>830</v>
      </c>
      <c r="B142">
        <v>55</v>
      </c>
      <c r="C142">
        <v>31</v>
      </c>
      <c r="D142">
        <v>15</v>
      </c>
      <c r="E142">
        <v>305</v>
      </c>
      <c r="G142">
        <v>-0.18298119567031718</v>
      </c>
      <c r="H142">
        <v>-0.51416163233819612</v>
      </c>
      <c r="I142">
        <v>0.8264720379077547</v>
      </c>
      <c r="K142">
        <v>4.3109736633080487E-2</v>
      </c>
      <c r="M142" t="s">
        <v>837</v>
      </c>
      <c r="O142" s="1" t="str" cm="1">
        <f t="array" ref="O142">_xlfn.LET( _xlpm.s, UPPER(M142),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EKLVKRLVEICKR</v>
      </c>
    </row>
    <row r="143" spans="1:15" ht="24">
      <c r="A143">
        <v>464</v>
      </c>
      <c r="B143">
        <v>104</v>
      </c>
      <c r="C143">
        <v>87</v>
      </c>
      <c r="D143">
        <v>118</v>
      </c>
      <c r="E143">
        <v>93</v>
      </c>
      <c r="G143">
        <v>-1.149428669050781E-2</v>
      </c>
      <c r="H143">
        <v>0.10495846610771151</v>
      </c>
      <c r="I143">
        <v>3.3984497310367436E-2</v>
      </c>
      <c r="K143">
        <v>4.2482892242523711E-2</v>
      </c>
      <c r="M143" t="s">
        <v>471</v>
      </c>
      <c r="O143" s="1" t="str" cm="1">
        <f t="array" ref="O143">_xlfn.LET( _xlpm.s, UPPER(M143),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EAMVKRLIAICKL</v>
      </c>
    </row>
    <row r="144" spans="1:15" ht="24">
      <c r="A144">
        <v>65</v>
      </c>
      <c r="B144">
        <v>158</v>
      </c>
      <c r="C144">
        <v>142</v>
      </c>
      <c r="D144">
        <v>233</v>
      </c>
      <c r="E144">
        <v>101</v>
      </c>
      <c r="G144">
        <v>1.9651057418287869E-2</v>
      </c>
      <c r="H144">
        <v>0.21880863217196289</v>
      </c>
      <c r="I144">
        <v>-0.11180082511656743</v>
      </c>
      <c r="K144">
        <v>4.2219621491227786E-2</v>
      </c>
      <c r="M144" t="s">
        <v>72</v>
      </c>
      <c r="O144" s="1" t="str" cm="1">
        <f t="array" ref="O144">_xlfn.LET( _xlpm.s, UPPER(M144),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KEMIERLKLICEH</v>
      </c>
    </row>
    <row r="145" spans="1:15" ht="24">
      <c r="A145">
        <v>368</v>
      </c>
      <c r="B145">
        <v>92</v>
      </c>
      <c r="C145">
        <v>105</v>
      </c>
      <c r="D145">
        <v>11</v>
      </c>
      <c r="E145">
        <v>568</v>
      </c>
      <c r="G145">
        <v>0.12342127171403679</v>
      </c>
      <c r="H145">
        <v>-0.87228534408696368</v>
      </c>
      <c r="I145">
        <v>0.87309539642067624</v>
      </c>
      <c r="K145">
        <v>4.1410441349249795E-2</v>
      </c>
      <c r="M145" t="s">
        <v>375</v>
      </c>
      <c r="O145" s="1" t="str" cm="1">
        <f t="array" ref="O145">_xlfn.LET( _xlpm.s, UPPER(M145),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EKLISRLKAICEK</v>
      </c>
    </row>
    <row r="146" spans="1:15" ht="24">
      <c r="A146">
        <v>908</v>
      </c>
      <c r="B146">
        <v>132</v>
      </c>
      <c r="C146">
        <v>126</v>
      </c>
      <c r="D146">
        <v>144</v>
      </c>
      <c r="E146">
        <v>106</v>
      </c>
      <c r="G146">
        <v>4.5816413901367051E-2</v>
      </c>
      <c r="H146">
        <v>8.7898358989766251E-2</v>
      </c>
      <c r="I146">
        <v>-1.2733177885867003E-2</v>
      </c>
      <c r="K146">
        <v>4.0327198335088771E-2</v>
      </c>
      <c r="M146" t="s">
        <v>915</v>
      </c>
      <c r="O146" s="1" t="str" cm="1">
        <f t="array" ref="O146">_xlfn.LET( _xlpm.s, UPPER(M146),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RKLTERLVEICKL</v>
      </c>
    </row>
    <row r="147" spans="1:15" ht="24">
      <c r="A147">
        <v>408</v>
      </c>
      <c r="B147">
        <v>32</v>
      </c>
      <c r="C147">
        <v>44</v>
      </c>
      <c r="D147">
        <v>22</v>
      </c>
      <c r="E147">
        <v>27</v>
      </c>
      <c r="G147">
        <v>0.20432249815593545</v>
      </c>
      <c r="H147">
        <v>-0.11261749939733325</v>
      </c>
      <c r="I147">
        <v>8.7486738942939846E-3</v>
      </c>
      <c r="K147">
        <v>3.3484557550965396E-2</v>
      </c>
      <c r="M147" t="s">
        <v>415</v>
      </c>
      <c r="O147" s="1" t="str" cm="1">
        <f t="array" ref="O147">_xlfn.LET( _xlpm.s, UPPER(M147),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KKLQERLVAIAKK</v>
      </c>
    </row>
    <row r="148" spans="1:15" ht="24">
      <c r="A148">
        <v>878</v>
      </c>
      <c r="B148">
        <v>93</v>
      </c>
      <c r="C148">
        <v>59</v>
      </c>
      <c r="D148">
        <v>242</v>
      </c>
      <c r="E148">
        <v>43</v>
      </c>
      <c r="G148">
        <v>-0.13161113692213694</v>
      </c>
      <c r="H148">
        <v>0.4654422155268626</v>
      </c>
      <c r="I148">
        <v>-0.25247960491913596</v>
      </c>
      <c r="K148">
        <v>2.7117157895196569E-2</v>
      </c>
      <c r="M148" t="s">
        <v>885</v>
      </c>
      <c r="O148" s="1" t="str" cm="1">
        <f t="array" ref="O148">_xlfn.LET( _xlpm.s, UPPER(M148),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KKLTERLVAICKK</v>
      </c>
    </row>
    <row r="149" spans="1:15" ht="24">
      <c r="A149">
        <v>473</v>
      </c>
      <c r="B149">
        <v>93</v>
      </c>
      <c r="C149">
        <v>104</v>
      </c>
      <c r="D149">
        <v>49</v>
      </c>
      <c r="E149">
        <v>118</v>
      </c>
      <c r="G149">
        <v>0.1145701907344992</v>
      </c>
      <c r="H149">
        <v>-0.22817707042505497</v>
      </c>
      <c r="I149">
        <v>0.18593394680740291</v>
      </c>
      <c r="K149">
        <v>2.4109022372282379E-2</v>
      </c>
      <c r="M149" t="s">
        <v>480</v>
      </c>
      <c r="O149" s="1" t="str" cm="1">
        <f t="array" ref="O149">_xlfn.LET( _xlpm.s, UPPER(M149),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KALIDRIKAICKI</v>
      </c>
    </row>
    <row r="150" spans="1:15" ht="24">
      <c r="A150">
        <v>181</v>
      </c>
      <c r="B150">
        <v>105</v>
      </c>
      <c r="C150">
        <v>81</v>
      </c>
      <c r="D150">
        <v>87</v>
      </c>
      <c r="E150">
        <v>121</v>
      </c>
      <c r="G150">
        <v>-4.6684480201634307E-2</v>
      </c>
      <c r="H150">
        <v>-3.156024835095303E-2</v>
      </c>
      <c r="I150">
        <v>0.14413095930172462</v>
      </c>
      <c r="K150">
        <v>2.1962076916379095E-2</v>
      </c>
      <c r="M150" t="s">
        <v>188</v>
      </c>
      <c r="O150" s="1" t="str" cm="1">
        <f t="array" ref="O150">_xlfn.LET( _xlpm.s, UPPER(M150),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EQMIKRLKLICKH</v>
      </c>
    </row>
    <row r="151" spans="1:15" ht="24">
      <c r="A151">
        <v>886</v>
      </c>
      <c r="B151">
        <v>90</v>
      </c>
      <c r="C151">
        <v>199</v>
      </c>
      <c r="D151">
        <v>40</v>
      </c>
      <c r="E151">
        <v>67</v>
      </c>
      <c r="G151">
        <v>0.4106303669600358</v>
      </c>
      <c r="H151">
        <v>-0.30207272001099605</v>
      </c>
      <c r="I151">
        <v>-4.5632818683285767E-2</v>
      </c>
      <c r="K151">
        <v>2.0974942755251327E-2</v>
      </c>
      <c r="M151" t="s">
        <v>893</v>
      </c>
      <c r="O151" s="1" t="str" cm="1">
        <f t="array" ref="O151">_xlfn.LET( _xlpm.s, UPPER(M151),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EKLVKRLVEICKL</v>
      </c>
    </row>
    <row r="152" spans="1:15" ht="24">
      <c r="A152">
        <v>727</v>
      </c>
      <c r="B152">
        <v>45</v>
      </c>
      <c r="C152">
        <v>26</v>
      </c>
      <c r="D152">
        <v>64</v>
      </c>
      <c r="E152">
        <v>40</v>
      </c>
      <c r="G152">
        <v>-0.17221936581487174</v>
      </c>
      <c r="H152">
        <v>0.20307725830890999</v>
      </c>
      <c r="I152">
        <v>3.1382365607831343E-2</v>
      </c>
      <c r="K152">
        <v>2.0746752700623199E-2</v>
      </c>
      <c r="M152" t="s">
        <v>734</v>
      </c>
      <c r="O152" s="1" t="str" cm="1">
        <f t="array" ref="O152">_xlfn.LET( _xlpm.s, UPPER(M152),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KKLTERLVKICEL</v>
      </c>
    </row>
    <row r="153" spans="1:15" ht="24">
      <c r="A153">
        <v>129</v>
      </c>
      <c r="B153">
        <v>31</v>
      </c>
      <c r="C153">
        <v>37</v>
      </c>
      <c r="D153">
        <v>36</v>
      </c>
      <c r="E153">
        <v>15</v>
      </c>
      <c r="G153">
        <v>0.14285983022237633</v>
      </c>
      <c r="H153">
        <v>0.1150506050333811</v>
      </c>
      <c r="I153">
        <v>-0.23273554672337876</v>
      </c>
      <c r="K153">
        <v>8.3916295107928831E-3</v>
      </c>
      <c r="M153" t="s">
        <v>136</v>
      </c>
      <c r="O153" s="1" t="str" cm="1">
        <f t="array" ref="O153">_xlfn.LET( _xlpm.s, UPPER(M153),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EQAKKRLVQICQY</v>
      </c>
    </row>
    <row r="154" spans="1:15" ht="24">
      <c r="A154">
        <v>520</v>
      </c>
      <c r="B154">
        <v>46</v>
      </c>
      <c r="C154">
        <v>22</v>
      </c>
      <c r="D154">
        <v>134</v>
      </c>
      <c r="E154">
        <v>22</v>
      </c>
      <c r="G154">
        <v>-0.2543153508697138</v>
      </c>
      <c r="H154">
        <v>0.51445676478360003</v>
      </c>
      <c r="I154">
        <v>-0.23780026280415517</v>
      </c>
      <c r="K154">
        <v>7.4470503699103534E-3</v>
      </c>
      <c r="M154" t="s">
        <v>527</v>
      </c>
      <c r="O154" s="1" t="str" cm="1">
        <f t="array" ref="O154">_xlfn.LET( _xlpm.s, UPPER(M154),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EALIKRLEAICKK</v>
      </c>
    </row>
    <row r="155" spans="1:15" ht="24">
      <c r="A155">
        <v>799</v>
      </c>
      <c r="B155">
        <v>121</v>
      </c>
      <c r="C155">
        <v>71</v>
      </c>
      <c r="D155">
        <v>157</v>
      </c>
      <c r="E155">
        <v>105</v>
      </c>
      <c r="G155">
        <v>-0.16550722160772074</v>
      </c>
      <c r="H155">
        <v>0.1632240801931501</v>
      </c>
      <c r="I155">
        <v>2.0938816808700647E-2</v>
      </c>
      <c r="K155">
        <v>6.2185584647100013E-3</v>
      </c>
      <c r="M155" t="s">
        <v>806</v>
      </c>
      <c r="O155" s="1" t="str" cm="1">
        <f t="array" ref="O155">_xlfn.LET( _xlpm.s, UPPER(M155),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KRMVKRIVEICKL</v>
      </c>
    </row>
    <row r="156" spans="1:15" ht="24">
      <c r="A156">
        <v>740</v>
      </c>
      <c r="B156">
        <v>77</v>
      </c>
      <c r="C156">
        <v>104</v>
      </c>
      <c r="D156">
        <v>56</v>
      </c>
      <c r="E156">
        <v>51</v>
      </c>
      <c r="G156">
        <v>0.19656241411595249</v>
      </c>
      <c r="H156">
        <v>-8.8192900065914945E-2</v>
      </c>
      <c r="I156">
        <v>-9.6385661019332838E-2</v>
      </c>
      <c r="K156">
        <v>3.9946176769015684E-3</v>
      </c>
      <c r="M156" t="s">
        <v>747</v>
      </c>
      <c r="O156" s="1" t="str" cm="1">
        <f t="array" ref="O156">_xlfn.LET( _xlpm.s, UPPER(M156),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KKLVDRLVEICKR</v>
      </c>
    </row>
    <row r="157" spans="1:15" ht="24">
      <c r="A157">
        <v>743</v>
      </c>
      <c r="B157">
        <v>93</v>
      </c>
      <c r="C157">
        <v>31</v>
      </c>
      <c r="D157">
        <v>443</v>
      </c>
      <c r="E157">
        <v>38</v>
      </c>
      <c r="G157">
        <v>-0.41110145473000842</v>
      </c>
      <c r="H157">
        <v>0.72803057576950103</v>
      </c>
      <c r="I157">
        <v>-0.30616446388191232</v>
      </c>
      <c r="K157">
        <v>3.5882190525267643E-3</v>
      </c>
      <c r="M157" t="s">
        <v>750</v>
      </c>
      <c r="O157" s="1" t="str" cm="1">
        <f t="array" ref="O157">_xlfn.LET( _xlpm.s, UPPER(M157),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NKLVARLKAICEK</v>
      </c>
    </row>
    <row r="158" spans="1:15" ht="24">
      <c r="A158">
        <v>735</v>
      </c>
      <c r="B158">
        <v>136</v>
      </c>
      <c r="C158">
        <v>138</v>
      </c>
      <c r="D158">
        <v>104</v>
      </c>
      <c r="E158">
        <v>112</v>
      </c>
      <c r="G158">
        <v>7.2359978020672983E-2</v>
      </c>
      <c r="H158">
        <v>-6.6395770971070703E-2</v>
      </c>
      <c r="I158">
        <v>-1.7859976448232756E-3</v>
      </c>
      <c r="K158">
        <v>1.3927364682596681E-3</v>
      </c>
      <c r="M158" t="s">
        <v>742</v>
      </c>
      <c r="O158" s="1" t="str" cm="1">
        <f t="array" ref="O158">_xlfn.LET( _xlpm.s, UPPER(M158),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KRLVERLVAICKR</v>
      </c>
    </row>
    <row r="159" spans="1:15" ht="24">
      <c r="A159" t="s">
        <v>7</v>
      </c>
      <c r="B159">
        <v>156</v>
      </c>
      <c r="C159">
        <v>134</v>
      </c>
      <c r="D159">
        <v>139</v>
      </c>
      <c r="E159">
        <v>129</v>
      </c>
      <c r="G159">
        <v>0</v>
      </c>
      <c r="H159">
        <v>0</v>
      </c>
      <c r="I159">
        <v>0</v>
      </c>
      <c r="K159">
        <v>0</v>
      </c>
      <c r="O159" s="1" t="e" cm="1" vm="1">
        <f t="array" ref="O159">_xlfn.LET( _xlpm.s, UPPER(M159),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#VALUE!</v>
      </c>
    </row>
    <row r="160" spans="1:15" ht="24">
      <c r="A160">
        <v>840</v>
      </c>
      <c r="B160">
        <v>256</v>
      </c>
      <c r="C160">
        <v>141</v>
      </c>
      <c r="D160">
        <v>282</v>
      </c>
      <c r="E160">
        <v>264</v>
      </c>
      <c r="G160">
        <v>-0.19300105266681566</v>
      </c>
      <c r="H160">
        <v>9.2118941107878022E-2</v>
      </c>
      <c r="I160">
        <v>9.5898849613194156E-2</v>
      </c>
      <c r="K160">
        <v>-1.6610873152478288E-3</v>
      </c>
      <c r="M160" t="s">
        <v>847</v>
      </c>
      <c r="O160" s="1" t="str" cm="1">
        <f t="array" ref="O160">_xlfn.LET( _xlpm.s, UPPER(M160),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NRLVERLVAICEL</v>
      </c>
    </row>
    <row r="161" spans="1:15" ht="24">
      <c r="A161">
        <v>889</v>
      </c>
      <c r="B161">
        <v>136</v>
      </c>
      <c r="C161">
        <v>91</v>
      </c>
      <c r="D161">
        <v>52</v>
      </c>
      <c r="E161">
        <v>326</v>
      </c>
      <c r="G161">
        <v>-0.10847771605946994</v>
      </c>
      <c r="H161">
        <v>-0.36742576663505189</v>
      </c>
      <c r="I161">
        <v>0.46221357975293409</v>
      </c>
      <c r="K161">
        <v>-4.563300980529243E-3</v>
      </c>
      <c r="M161" t="s">
        <v>896</v>
      </c>
      <c r="O161" s="1" t="str" cm="1">
        <f t="array" ref="O161">_xlfn.LET( _xlpm.s, UPPER(M161),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NRLIERLKAICEK</v>
      </c>
    </row>
    <row r="162" spans="1:15" ht="24">
      <c r="A162">
        <v>542</v>
      </c>
      <c r="B162">
        <v>57</v>
      </c>
      <c r="C162">
        <v>18</v>
      </c>
      <c r="D162">
        <v>47</v>
      </c>
      <c r="E162">
        <v>133</v>
      </c>
      <c r="G162">
        <v>-0.43458255057953132</v>
      </c>
      <c r="H162">
        <v>-3.3667199636407436E-2</v>
      </c>
      <c r="I162">
        <v>0.45051167334980707</v>
      </c>
      <c r="K162">
        <v>-5.9126922887105526E-3</v>
      </c>
      <c r="M162" t="s">
        <v>549</v>
      </c>
      <c r="O162" s="1" t="str" cm="1">
        <f t="array" ref="O162">_xlfn.LET( _xlpm.s, UPPER(M162),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KAMIERIKEICKL</v>
      </c>
    </row>
    <row r="163" spans="1:15" ht="24">
      <c r="A163">
        <v>254</v>
      </c>
      <c r="B163">
        <v>109</v>
      </c>
      <c r="C163">
        <v>172</v>
      </c>
      <c r="D163">
        <v>65</v>
      </c>
      <c r="E163">
        <v>70</v>
      </c>
      <c r="G163">
        <v>0.26412174895657931</v>
      </c>
      <c r="H163">
        <v>-0.17440334319740158</v>
      </c>
      <c r="I163">
        <v>-0.10979356987115411</v>
      </c>
      <c r="K163">
        <v>-6.6917213706587974E-3</v>
      </c>
      <c r="M163" t="s">
        <v>261</v>
      </c>
      <c r="O163" s="1" t="str" cm="1">
        <f t="array" ref="O163">_xlfn.LET( _xlpm.s, UPPER(M163),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EEAVARLKEICKH</v>
      </c>
    </row>
    <row r="164" spans="1:15" ht="24">
      <c r="A164">
        <v>746</v>
      </c>
      <c r="B164">
        <v>118</v>
      </c>
      <c r="C164">
        <v>59</v>
      </c>
      <c r="D164">
        <v>257</v>
      </c>
      <c r="E164">
        <v>64</v>
      </c>
      <c r="G164">
        <v>-0.23501019567432718</v>
      </c>
      <c r="H164">
        <v>0.38816091412553561</v>
      </c>
      <c r="I164">
        <v>-0.1831671452670256</v>
      </c>
      <c r="K164">
        <v>-1.0005475605272393E-2</v>
      </c>
      <c r="M164" t="s">
        <v>753</v>
      </c>
      <c r="O164" s="1" t="str" cm="1">
        <f t="array" ref="O164">_xlfn.LET( _xlpm.s, UPPER(M164),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QKLVDRLVEICKL</v>
      </c>
    </row>
    <row r="165" spans="1:15" ht="24">
      <c r="A165">
        <v>388</v>
      </c>
      <c r="B165">
        <v>128</v>
      </c>
      <c r="C165">
        <v>82</v>
      </c>
      <c r="D165">
        <v>93</v>
      </c>
      <c r="E165">
        <v>161</v>
      </c>
      <c r="G165">
        <v>-0.12737631727449766</v>
      </c>
      <c r="H165">
        <v>-8.8617222993566766E-2</v>
      </c>
      <c r="I165">
        <v>0.18215079443919399</v>
      </c>
      <c r="K165">
        <v>-1.1280915276290151E-2</v>
      </c>
      <c r="M165" t="s">
        <v>395</v>
      </c>
      <c r="O165" s="1" t="str" cm="1">
        <f t="array" ref="O165">_xlfn.LET( _xlpm.s, UPPER(M165),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KALIDRLVEICKL</v>
      </c>
    </row>
    <row r="166" spans="1:15" ht="24">
      <c r="A166">
        <v>766</v>
      </c>
      <c r="B166">
        <v>154</v>
      </c>
      <c r="C166">
        <v>116</v>
      </c>
      <c r="D166">
        <v>112</v>
      </c>
      <c r="E166">
        <v>164</v>
      </c>
      <c r="G166">
        <v>-5.7042931619890574E-2</v>
      </c>
      <c r="H166">
        <v>-8.8192900065914945E-2</v>
      </c>
      <c r="I166">
        <v>0.10985801526644744</v>
      </c>
      <c r="K166">
        <v>-1.1792605473119356E-2</v>
      </c>
      <c r="M166" t="s">
        <v>773</v>
      </c>
      <c r="O166" s="1" t="str" cm="1">
        <f t="array" ref="O166">_xlfn.LET( _xlpm.s, UPPER(M166),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NALTQRLVEICKL</v>
      </c>
    </row>
    <row r="167" spans="1:15" ht="24">
      <c r="A167">
        <v>530</v>
      </c>
      <c r="B167">
        <v>40</v>
      </c>
      <c r="C167">
        <v>34</v>
      </c>
      <c r="D167">
        <v>22</v>
      </c>
      <c r="E167">
        <v>49</v>
      </c>
      <c r="G167">
        <v>-4.5612742960532832E-3</v>
      </c>
      <c r="H167">
        <v>-0.20952751240538964</v>
      </c>
      <c r="I167">
        <v>0.17067097675576395</v>
      </c>
      <c r="K167">
        <v>-1.4472603315226326E-2</v>
      </c>
      <c r="M167" t="s">
        <v>537</v>
      </c>
      <c r="O167" s="1" t="str" cm="1">
        <f t="array" ref="O167">_xlfn.LET( _xlpm.s, UPPER(M167),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KKLVERIKEICKL</v>
      </c>
    </row>
    <row r="168" spans="1:15" ht="24">
      <c r="A168">
        <v>800</v>
      </c>
      <c r="B168">
        <v>153</v>
      </c>
      <c r="C168">
        <v>75</v>
      </c>
      <c r="D168">
        <v>291</v>
      </c>
      <c r="E168">
        <v>91</v>
      </c>
      <c r="G168">
        <v>-0.24361036743624476</v>
      </c>
      <c r="H168">
        <v>0.32931135626867492</v>
      </c>
      <c r="I168">
        <v>-0.14311515044129253</v>
      </c>
      <c r="K168">
        <v>-1.9138053869620791E-2</v>
      </c>
      <c r="M168" t="s">
        <v>807</v>
      </c>
      <c r="O168" s="1" t="str" cm="1">
        <f t="array" ref="O168">_xlfn.LET( _xlpm.s, UPPER(M168),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KKLTERLVAICKL</v>
      </c>
    </row>
    <row r="169" spans="1:15" ht="24">
      <c r="A169">
        <v>120</v>
      </c>
      <c r="B169">
        <v>19</v>
      </c>
      <c r="C169">
        <v>22</v>
      </c>
      <c r="D169">
        <v>9</v>
      </c>
      <c r="E169">
        <v>19</v>
      </c>
      <c r="G169">
        <v>0.1296888798590313</v>
      </c>
      <c r="H169">
        <v>-0.27440129341313763</v>
      </c>
      <c r="I169">
        <v>8.2534888055212655E-2</v>
      </c>
      <c r="K169">
        <v>-2.0725841832964557E-2</v>
      </c>
      <c r="M169" t="s">
        <v>127</v>
      </c>
      <c r="O169" s="1" t="str" cm="1">
        <f t="array" ref="O169">_xlfn.LET( _xlpm.s, UPPER(M169),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EQMKKRLLEICKH</v>
      </c>
    </row>
    <row r="170" spans="1:15" ht="24">
      <c r="A170">
        <v>736</v>
      </c>
      <c r="B170">
        <v>120</v>
      </c>
      <c r="C170">
        <v>81</v>
      </c>
      <c r="D170">
        <v>215</v>
      </c>
      <c r="E170">
        <v>53</v>
      </c>
      <c r="G170">
        <v>-0.10467642717932106</v>
      </c>
      <c r="H170">
        <v>0.30336701196834698</v>
      </c>
      <c r="I170">
        <v>-0.27237048839162314</v>
      </c>
      <c r="K170">
        <v>-2.4559967867532412E-2</v>
      </c>
      <c r="M170" t="s">
        <v>743</v>
      </c>
      <c r="O170" s="1" t="str" cm="1">
        <f t="array" ref="O170">_xlfn.LET( _xlpm.s, UPPER(M170),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KALTKRIVEICKL</v>
      </c>
    </row>
    <row r="171" spans="1:15" ht="24">
      <c r="A171">
        <v>385</v>
      </c>
      <c r="B171">
        <v>69</v>
      </c>
      <c r="C171">
        <v>30</v>
      </c>
      <c r="D171">
        <v>83</v>
      </c>
      <c r="E171">
        <v>68</v>
      </c>
      <c r="G171">
        <v>-0.29570803602793888</v>
      </c>
      <c r="H171">
        <v>0.13033879973918508</v>
      </c>
      <c r="I171">
        <v>7.6194710024193674E-2</v>
      </c>
      <c r="K171">
        <v>-2.9724842088186709E-2</v>
      </c>
      <c r="M171" t="s">
        <v>392</v>
      </c>
      <c r="O171" s="1" t="str" cm="1">
        <f t="array" ref="O171">_xlfn.LET( _xlpm.s, UPPER(M171),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KALEKRLIAICEK</v>
      </c>
    </row>
    <row r="172" spans="1:15" ht="24">
      <c r="A172">
        <v>742</v>
      </c>
      <c r="B172">
        <v>201</v>
      </c>
      <c r="C172">
        <v>35</v>
      </c>
      <c r="D172">
        <v>1944</v>
      </c>
      <c r="E172">
        <v>59</v>
      </c>
      <c r="G172">
        <v>-0.69310821308055914</v>
      </c>
      <c r="H172">
        <v>1.0356100012701333</v>
      </c>
      <c r="I172">
        <v>-0.44980915772313207</v>
      </c>
      <c r="K172">
        <v>-3.5769123177852656E-2</v>
      </c>
      <c r="M172" t="s">
        <v>749</v>
      </c>
      <c r="O172" s="1" t="str" cm="1">
        <f t="array" ref="O172">_xlfn.LET( _xlpm.s, UPPER(M172),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RKLVERIVAICKR</v>
      </c>
    </row>
    <row r="173" spans="1:15" ht="24">
      <c r="A173">
        <v>446</v>
      </c>
      <c r="B173">
        <v>82</v>
      </c>
      <c r="C173">
        <v>78</v>
      </c>
      <c r="D173">
        <v>109</v>
      </c>
      <c r="E173">
        <v>32</v>
      </c>
      <c r="G173">
        <v>4.430055029641769E-2</v>
      </c>
      <c r="H173">
        <v>0.17372244365727346</v>
      </c>
      <c r="I173">
        <v>-0.32612898600859808</v>
      </c>
      <c r="K173">
        <v>-3.6035330684968975E-2</v>
      </c>
      <c r="M173" t="s">
        <v>453</v>
      </c>
      <c r="O173" s="1" t="str" cm="1">
        <f t="array" ref="O173">_xlfn.LET( _xlpm.s, UPPER(M173),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KKLIERIKAICEI</v>
      </c>
    </row>
    <row r="174" spans="1:15" ht="24">
      <c r="A174">
        <v>419</v>
      </c>
      <c r="B174">
        <v>47</v>
      </c>
      <c r="C174">
        <v>22</v>
      </c>
      <c r="D174">
        <v>27</v>
      </c>
      <c r="E174">
        <v>79</v>
      </c>
      <c r="G174">
        <v>-0.26365537712385723</v>
      </c>
      <c r="H174">
        <v>-0.19062429567636363</v>
      </c>
      <c r="I174">
        <v>0.30806412140993666</v>
      </c>
      <c r="K174">
        <v>-4.8738517130094729E-2</v>
      </c>
      <c r="M174" t="s">
        <v>426</v>
      </c>
      <c r="O174" s="1" t="str" cm="1">
        <f t="array" ref="O174">_xlfn.LET( _xlpm.s, UPPER(M174),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KKLIERLEAICKI</v>
      </c>
    </row>
    <row r="175" spans="1:15" ht="24">
      <c r="A175">
        <v>55</v>
      </c>
      <c r="B175">
        <v>210</v>
      </c>
      <c r="C175">
        <v>169</v>
      </c>
      <c r="D175">
        <v>352</v>
      </c>
      <c r="E175">
        <v>69</v>
      </c>
      <c r="G175">
        <v>-2.8312790130591708E-2</v>
      </c>
      <c r="H175">
        <v>0.27443316684457825</v>
      </c>
      <c r="I175">
        <v>-0.40083531594145133</v>
      </c>
      <c r="K175">
        <v>-5.1571646409154931E-2</v>
      </c>
      <c r="M175" t="s">
        <v>62</v>
      </c>
      <c r="O175" s="1" t="str" cm="1">
        <f t="array" ref="O175">_xlfn.LET( _xlpm.s, UPPER(M175),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KQQIKRLKLICEH</v>
      </c>
    </row>
    <row r="176" spans="1:15" ht="24">
      <c r="A176">
        <v>717</v>
      </c>
      <c r="B176">
        <v>47</v>
      </c>
      <c r="C176">
        <v>40</v>
      </c>
      <c r="D176">
        <v>44</v>
      </c>
      <c r="E176">
        <v>26</v>
      </c>
      <c r="G176">
        <v>-4.018066618101071E-3</v>
      </c>
      <c r="H176">
        <v>2.1464616650836467E-2</v>
      </c>
      <c r="I176">
        <v>-0.17458962190968685</v>
      </c>
      <c r="K176">
        <v>-5.2381023958983815E-2</v>
      </c>
      <c r="M176" t="s">
        <v>724</v>
      </c>
      <c r="O176" s="1" t="str" cm="1">
        <f t="array" ref="O176">_xlfn.LET( _xlpm.s, UPPER(M176),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EARIKRLKEILKI</v>
      </c>
    </row>
    <row r="177" spans="1:15" ht="24">
      <c r="A177">
        <v>248</v>
      </c>
      <c r="B177">
        <v>102</v>
      </c>
      <c r="C177">
        <v>41</v>
      </c>
      <c r="D177">
        <v>199</v>
      </c>
      <c r="E177">
        <v>57</v>
      </c>
      <c r="G177">
        <v>-0.32979651505252805</v>
      </c>
      <c r="H177">
        <v>0.34036270274815555</v>
      </c>
      <c r="I177">
        <v>-0.17019042803421353</v>
      </c>
      <c r="K177">
        <v>-5.3208080112862009E-2</v>
      </c>
      <c r="M177" t="s">
        <v>255</v>
      </c>
      <c r="O177" s="1" t="str" cm="1">
        <f t="array" ref="O177">_xlfn.LET( _xlpm.s, UPPER(M177),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KQMEERLRQICDH</v>
      </c>
    </row>
    <row r="178" spans="1:15" ht="24">
      <c r="A178">
        <v>230</v>
      </c>
      <c r="B178">
        <v>92</v>
      </c>
      <c r="C178">
        <v>42</v>
      </c>
      <c r="D178">
        <v>237</v>
      </c>
      <c r="E178">
        <v>34</v>
      </c>
      <c r="G178">
        <v>-0.27451873695800083</v>
      </c>
      <c r="H178">
        <v>0.46107031676491511</v>
      </c>
      <c r="I178">
        <v>-0.34977402224808751</v>
      </c>
      <c r="K178">
        <v>-5.4407480813724408E-2</v>
      </c>
      <c r="M178" t="s">
        <v>237</v>
      </c>
      <c r="O178" s="1" t="str" cm="1">
        <f t="array" ref="O178">_xlfn.LET( _xlpm.s, UPPER(M178),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AQMIKRLKEICDH</v>
      </c>
    </row>
    <row r="179" spans="1:15" ht="24">
      <c r="A179">
        <v>790</v>
      </c>
      <c r="B179">
        <v>63</v>
      </c>
      <c r="C179">
        <v>93</v>
      </c>
      <c r="D179">
        <v>41</v>
      </c>
      <c r="E179">
        <v>28</v>
      </c>
      <c r="G179">
        <v>0.23516219909000746</v>
      </c>
      <c r="H179">
        <v>-0.1364468946334797</v>
      </c>
      <c r="I179">
        <v>-0.26964763005614989</v>
      </c>
      <c r="K179">
        <v>-5.6977441866540711E-2</v>
      </c>
      <c r="M179" t="s">
        <v>797</v>
      </c>
      <c r="O179" s="1" t="str" cm="1">
        <f t="array" ref="O179">_xlfn.LET( _xlpm.s, UPPER(M179),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EKMTQRLVEICKL</v>
      </c>
    </row>
    <row r="180" spans="1:15" ht="24">
      <c r="A180">
        <v>80</v>
      </c>
      <c r="B180">
        <v>165</v>
      </c>
      <c r="C180">
        <v>200</v>
      </c>
      <c r="D180">
        <v>93</v>
      </c>
      <c r="E180">
        <v>101</v>
      </c>
      <c r="G180">
        <v>0.14956585143972892</v>
      </c>
      <c r="H180">
        <v>-0.19889119755960472</v>
      </c>
      <c r="I180">
        <v>-0.1306276823760511</v>
      </c>
      <c r="K180">
        <v>-5.998434283197563E-2</v>
      </c>
      <c r="M180" t="s">
        <v>87</v>
      </c>
      <c r="O180" s="1" t="str" cm="1">
        <f t="array" ref="O180">_xlfn.LET( _xlpm.s, UPPER(M180),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KQQIERLKLICER</v>
      </c>
    </row>
    <row r="181" spans="1:15" ht="24">
      <c r="A181">
        <v>22</v>
      </c>
      <c r="B181">
        <v>91</v>
      </c>
      <c r="C181">
        <v>97</v>
      </c>
      <c r="D181">
        <v>72</v>
      </c>
      <c r="E181">
        <v>45</v>
      </c>
      <c r="G181">
        <v>9.3750141934805242E-2</v>
      </c>
      <c r="H181">
        <v>-5.1599097789458676E-2</v>
      </c>
      <c r="I181">
        <v>-0.22329399049053728</v>
      </c>
      <c r="K181">
        <v>-6.0380982115063569E-2</v>
      </c>
      <c r="M181" t="s">
        <v>29</v>
      </c>
      <c r="O181" s="1" t="str" cm="1">
        <f t="array" ref="O181">_xlfn.LET( _xlpm.s, UPPER(M181),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KQAEERLVEICKH</v>
      </c>
    </row>
    <row r="182" spans="1:15" ht="24">
      <c r="A182">
        <v>829</v>
      </c>
      <c r="B182">
        <v>88</v>
      </c>
      <c r="C182">
        <v>71</v>
      </c>
      <c r="D182">
        <v>71</v>
      </c>
      <c r="E182">
        <v>56</v>
      </c>
      <c r="G182">
        <v>-2.7204523441439366E-2</v>
      </c>
      <c r="H182">
        <v>-4.3114525330726877E-2</v>
      </c>
      <c r="I182">
        <v>-0.11375975708875556</v>
      </c>
      <c r="K182">
        <v>-6.1359601953640597E-2</v>
      </c>
      <c r="M182" t="s">
        <v>836</v>
      </c>
      <c r="O182" s="1" t="str" cm="1">
        <f t="array" ref="O182">_xlfn.LET( _xlpm.s, UPPER(M182),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KRLTERLVAICKK</v>
      </c>
    </row>
    <row r="183" spans="1:15" ht="24">
      <c r="A183">
        <v>397</v>
      </c>
      <c r="B183">
        <v>94</v>
      </c>
      <c r="C183">
        <v>34</v>
      </c>
      <c r="D183">
        <v>201</v>
      </c>
      <c r="E183">
        <v>50</v>
      </c>
      <c r="G183">
        <v>-0.37562913656778951</v>
      </c>
      <c r="H183">
        <v>0.38017800192115664</v>
      </c>
      <c r="I183">
        <v>-0.19162296120846722</v>
      </c>
      <c r="K183">
        <v>-6.2358031951700033E-2</v>
      </c>
      <c r="M183" t="s">
        <v>404</v>
      </c>
      <c r="O183" s="1" t="str" cm="1">
        <f t="array" ref="O183">_xlfn.LET( _xlpm.s, UPPER(M183),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KALEERLKAICKK</v>
      </c>
    </row>
    <row r="184" spans="1:15" ht="24">
      <c r="A184">
        <v>398</v>
      </c>
      <c r="B184">
        <v>58</v>
      </c>
      <c r="C184">
        <v>14</v>
      </c>
      <c r="D184">
        <v>135</v>
      </c>
      <c r="E184">
        <v>42</v>
      </c>
      <c r="G184">
        <v>-0.55128015789504525</v>
      </c>
      <c r="H184">
        <v>0.4170155730324353</v>
      </c>
      <c r="I184">
        <v>-5.7643815109824151E-2</v>
      </c>
      <c r="K184">
        <v>-6.3969466657478033E-2</v>
      </c>
      <c r="M184" t="s">
        <v>405</v>
      </c>
      <c r="O184" s="1" t="str" cm="1">
        <f t="array" ref="O184">_xlfn.LET( _xlpm.s, UPPER(M184),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EALTKRLKEICKL</v>
      </c>
    </row>
    <row r="185" spans="1:15" ht="24">
      <c r="A185">
        <v>521</v>
      </c>
      <c r="B185">
        <v>94</v>
      </c>
      <c r="C185">
        <v>138</v>
      </c>
      <c r="D185">
        <v>66</v>
      </c>
      <c r="E185">
        <v>37</v>
      </c>
      <c r="G185">
        <v>0.23277103279119188</v>
      </c>
      <c r="H185">
        <v>-0.10347411995746349</v>
      </c>
      <c r="I185">
        <v>-0.32239124147749099</v>
      </c>
      <c r="K185">
        <v>-6.4364776214587527E-2</v>
      </c>
      <c r="M185" t="s">
        <v>528</v>
      </c>
      <c r="O185" s="1" t="str" cm="1">
        <f t="array" ref="O185">_xlfn.LET( _xlpm.s, UPPER(M185),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ERLVKRLTEICKL</v>
      </c>
    </row>
    <row r="186" spans="1:15" ht="24">
      <c r="A186">
        <v>835</v>
      </c>
      <c r="B186">
        <v>144</v>
      </c>
      <c r="C186">
        <v>43</v>
      </c>
      <c r="D186">
        <v>328</v>
      </c>
      <c r="E186">
        <v>85</v>
      </c>
      <c r="G186">
        <v>-0.45887423652600912</v>
      </c>
      <c r="H186">
        <v>0.40762114971679586</v>
      </c>
      <c r="I186">
        <v>-0.14640867832574428</v>
      </c>
      <c r="K186">
        <v>-6.588725504498584E-2</v>
      </c>
      <c r="M186" t="s">
        <v>842</v>
      </c>
      <c r="O186" s="1" t="str" cm="1">
        <f t="array" ref="O186">_xlfn.LET( _xlpm.s, UPPER(M186),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ERMVERLKAICKR</v>
      </c>
    </row>
    <row r="187" spans="1:15" ht="24">
      <c r="A187">
        <v>849</v>
      </c>
      <c r="B187">
        <v>67</v>
      </c>
      <c r="C187">
        <v>43</v>
      </c>
      <c r="D187">
        <v>22</v>
      </c>
      <c r="E187">
        <v>122</v>
      </c>
      <c r="G187">
        <v>-0.1265865471315859</v>
      </c>
      <c r="H187">
        <v>-0.43354232377825369</v>
      </c>
      <c r="I187">
        <v>0.34281991602913442</v>
      </c>
      <c r="K187">
        <v>-7.2436318293568377E-2</v>
      </c>
      <c r="M187" t="s">
        <v>856</v>
      </c>
      <c r="O187" s="1" t="str" cm="1">
        <f t="array" ref="O187">_xlfn.LET( _xlpm.s, UPPER(M187),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EKLIKRLVEICKL</v>
      </c>
    </row>
    <row r="188" spans="1:15" ht="24">
      <c r="A188">
        <v>88</v>
      </c>
      <c r="B188">
        <v>110</v>
      </c>
      <c r="C188">
        <v>33</v>
      </c>
      <c r="D188">
        <v>186</v>
      </c>
      <c r="E188">
        <v>81</v>
      </c>
      <c r="G188">
        <v>-0.4568589452906836</v>
      </c>
      <c r="H188">
        <v>0.27823005716005778</v>
      </c>
      <c r="I188">
        <v>-5.037277822436266E-2</v>
      </c>
      <c r="K188">
        <v>-7.6333888784996154E-2</v>
      </c>
      <c r="M188" t="s">
        <v>95</v>
      </c>
      <c r="O188" s="1" t="str" cm="1">
        <f t="array" ref="O188">_xlfn.LET( _xlpm.s, UPPER(M188),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KEMEERLVAICKH</v>
      </c>
    </row>
    <row r="189" spans="1:15" ht="24">
      <c r="A189">
        <v>788</v>
      </c>
      <c r="B189">
        <v>85</v>
      </c>
      <c r="C189">
        <v>100</v>
      </c>
      <c r="D189">
        <v>34</v>
      </c>
      <c r="E189">
        <v>66</v>
      </c>
      <c r="G189">
        <v>0.13660087427536127</v>
      </c>
      <c r="H189">
        <v>-0.34783021057167113</v>
      </c>
      <c r="I189">
        <v>-2.7340102117211398E-2</v>
      </c>
      <c r="K189">
        <v>-7.9523146137840409E-2</v>
      </c>
      <c r="M189" t="s">
        <v>795</v>
      </c>
      <c r="O189" s="1" t="str" cm="1">
        <f t="array" ref="O189">_xlfn.LET( _xlpm.s, UPPER(M189),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KALVNRIVEICKR</v>
      </c>
    </row>
    <row r="190" spans="1:15" ht="24">
      <c r="A190">
        <v>847</v>
      </c>
      <c r="B190">
        <v>72</v>
      </c>
      <c r="C190">
        <v>7</v>
      </c>
      <c r="D190">
        <v>1497</v>
      </c>
      <c r="E190">
        <v>13</v>
      </c>
      <c r="G190">
        <v>-0.94621465642735758</v>
      </c>
      <c r="H190">
        <v>1.3679991020121502</v>
      </c>
      <c r="I190">
        <v>-0.66085425606921899</v>
      </c>
      <c r="K190">
        <v>-7.9689936828142113E-2</v>
      </c>
      <c r="M190" t="s">
        <v>854</v>
      </c>
      <c r="O190" s="1" t="str" cm="1">
        <f t="array" ref="O190">_xlfn.LET( _xlpm.s, UPPER(M190),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NKLVERIVKICEL</v>
      </c>
    </row>
    <row r="191" spans="1:15" ht="24">
      <c r="A191">
        <v>836</v>
      </c>
      <c r="B191">
        <v>41</v>
      </c>
      <c r="C191">
        <v>21</v>
      </c>
      <c r="D191">
        <v>52</v>
      </c>
      <c r="E191">
        <v>23</v>
      </c>
      <c r="G191">
        <v>-0.22454476199616219</v>
      </c>
      <c r="H191">
        <v>0.15332928501543017</v>
      </c>
      <c r="I191">
        <v>-0.16852113264692992</v>
      </c>
      <c r="K191">
        <v>-7.9912203209220642E-2</v>
      </c>
      <c r="M191" t="s">
        <v>843</v>
      </c>
      <c r="O191" s="1" t="str" cm="1">
        <f t="array" ref="O191">_xlfn.LET( _xlpm.s, UPPER(M191),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KKMTERLVKICEL</v>
      </c>
    </row>
    <row r="192" spans="1:15" ht="24">
      <c r="A192">
        <v>227</v>
      </c>
      <c r="B192">
        <v>104</v>
      </c>
      <c r="C192">
        <v>47</v>
      </c>
      <c r="D192">
        <v>147</v>
      </c>
      <c r="E192">
        <v>57</v>
      </c>
      <c r="G192">
        <v>-0.27891568137340889</v>
      </c>
      <c r="H192">
        <v>0.20039379354976228</v>
      </c>
      <c r="I192">
        <v>-0.17862359557107627</v>
      </c>
      <c r="K192">
        <v>-8.5715161131574291E-2</v>
      </c>
      <c r="M192" t="s">
        <v>234</v>
      </c>
      <c r="O192" s="1" t="str" cm="1">
        <f t="array" ref="O192">_xlfn.LET( _xlpm.s, UPPER(M192),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AEMEKRLKLICEH</v>
      </c>
    </row>
    <row r="193" spans="1:15" ht="24">
      <c r="A193">
        <v>820</v>
      </c>
      <c r="B193">
        <v>165</v>
      </c>
      <c r="C193">
        <v>99</v>
      </c>
      <c r="D193">
        <v>179</v>
      </c>
      <c r="E193">
        <v>87</v>
      </c>
      <c r="G193">
        <v>-0.15582894962670241</v>
      </c>
      <c r="H193">
        <v>8.5478884866353411E-2</v>
      </c>
      <c r="I193">
        <v>-0.19542980354007516</v>
      </c>
      <c r="K193">
        <v>-8.859328943347472E-2</v>
      </c>
      <c r="M193" t="s">
        <v>827</v>
      </c>
      <c r="O193" s="1" t="str" cm="1">
        <f t="array" ref="O193">_xlfn.LET( _xlpm.s, UPPER(M193),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KKLTERLVAICER</v>
      </c>
    </row>
    <row r="194" spans="1:15" ht="24">
      <c r="A194">
        <v>874</v>
      </c>
      <c r="B194">
        <v>224</v>
      </c>
      <c r="C194">
        <v>127</v>
      </c>
      <c r="D194">
        <v>112</v>
      </c>
      <c r="E194">
        <v>265</v>
      </c>
      <c r="G194">
        <v>-0.18042449738855193</v>
      </c>
      <c r="H194">
        <v>-0.25092019756361472</v>
      </c>
      <c r="I194">
        <v>0.15553274365785766</v>
      </c>
      <c r="K194">
        <v>-9.1937317098103002E-2</v>
      </c>
      <c r="M194" t="s">
        <v>881</v>
      </c>
      <c r="O194" s="1" t="str" cm="1">
        <f t="array" ref="O194">_xlfn.LET( _xlpm.s, UPPER(M194),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RKLTERLVAICER</v>
      </c>
    </row>
    <row r="195" spans="1:15" ht="24">
      <c r="A195">
        <v>739</v>
      </c>
      <c r="B195">
        <v>119</v>
      </c>
      <c r="C195">
        <v>64</v>
      </c>
      <c r="D195">
        <v>68</v>
      </c>
      <c r="E195">
        <v>122</v>
      </c>
      <c r="G195">
        <v>-0.20334718741898961</v>
      </c>
      <c r="H195">
        <v>-0.192928250585928</v>
      </c>
      <c r="I195">
        <v>9.3347757337430087E-2</v>
      </c>
      <c r="K195">
        <v>-0.10097589355582919</v>
      </c>
      <c r="M195" t="s">
        <v>746</v>
      </c>
      <c r="O195" s="1" t="str" cm="1">
        <f t="array" ref="O195">_xlfn.LET( _xlpm.s, UPPER(M195),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EKMVERLKAICER</v>
      </c>
    </row>
    <row r="196" spans="1:15" ht="24">
      <c r="A196">
        <v>762</v>
      </c>
      <c r="B196">
        <v>77</v>
      </c>
      <c r="C196">
        <v>29</v>
      </c>
      <c r="D196">
        <v>182</v>
      </c>
      <c r="E196">
        <v>26</v>
      </c>
      <c r="G196">
        <v>-0.35807292728387174</v>
      </c>
      <c r="H196">
        <v>0.42369046091295942</v>
      </c>
      <c r="I196">
        <v>-0.38898248914645128</v>
      </c>
      <c r="K196">
        <v>-0.10778831850578786</v>
      </c>
      <c r="M196" t="s">
        <v>769</v>
      </c>
      <c r="O196" s="1" t="str" cm="1">
        <f t="array" ref="O196">_xlfn.LET( _xlpm.s, UPPER(M196),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EKLTKRLVEICKL</v>
      </c>
    </row>
    <row r="197" spans="1:15" ht="24">
      <c r="A197">
        <v>732</v>
      </c>
      <c r="B197">
        <v>151</v>
      </c>
      <c r="C197">
        <v>110</v>
      </c>
      <c r="D197">
        <v>101</v>
      </c>
      <c r="E197">
        <v>92</v>
      </c>
      <c r="G197">
        <v>-7.1564462145290428E-2</v>
      </c>
      <c r="H197">
        <v>-0.12454577541016039</v>
      </c>
      <c r="I197">
        <v>-0.1326542318924015</v>
      </c>
      <c r="K197">
        <v>-0.10958815648261744</v>
      </c>
      <c r="M197" t="s">
        <v>739</v>
      </c>
      <c r="O197" s="1" t="str" cm="1">
        <f t="array" ref="O197">_xlfn.LET( _xlpm.s, UPPER(M197),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QRMVERLKAICEK</v>
      </c>
    </row>
    <row r="198" spans="1:15" ht="24">
      <c r="A198">
        <v>415</v>
      </c>
      <c r="B198">
        <v>84</v>
      </c>
      <c r="C198">
        <v>50</v>
      </c>
      <c r="D198">
        <v>106</v>
      </c>
      <c r="E198">
        <v>33</v>
      </c>
      <c r="G198">
        <v>-0.15928948173620888</v>
      </c>
      <c r="H198">
        <v>0.15113637730325508</v>
      </c>
      <c r="I198">
        <v>-0.32323045812878154</v>
      </c>
      <c r="K198">
        <v>-0.11046118752057844</v>
      </c>
      <c r="M198" t="s">
        <v>422</v>
      </c>
      <c r="O198" s="1" t="str" cm="1">
        <f t="array" ref="O198">_xlfn.LET( _xlpm.s, UPPER(M198),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KKLIDRLIEICKL</v>
      </c>
    </row>
    <row r="199" spans="1:15" ht="24">
      <c r="A199">
        <v>854</v>
      </c>
      <c r="B199">
        <v>214</v>
      </c>
      <c r="C199">
        <v>278</v>
      </c>
      <c r="D199">
        <v>98</v>
      </c>
      <c r="E199">
        <v>100</v>
      </c>
      <c r="G199">
        <v>0.17965082255853945</v>
      </c>
      <c r="H199">
        <v>-0.28907789955632951</v>
      </c>
      <c r="I199">
        <v>-0.24787888529397822</v>
      </c>
      <c r="K199">
        <v>-0.11910198743058942</v>
      </c>
      <c r="M199" t="s">
        <v>861</v>
      </c>
      <c r="O199" s="1" t="str" cm="1">
        <f t="array" ref="O199">_xlfn.LET( _xlpm.s, UPPER(M199),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KRMVDRIVAICKL</v>
      </c>
    </row>
    <row r="200" spans="1:15" ht="24">
      <c r="A200">
        <v>528</v>
      </c>
      <c r="B200">
        <v>22</v>
      </c>
      <c r="C200">
        <v>12</v>
      </c>
      <c r="D200">
        <v>13</v>
      </c>
      <c r="E200">
        <v>18</v>
      </c>
      <c r="G200">
        <v>-0.19722163478492744</v>
      </c>
      <c r="H200">
        <v>-0.17836953041500297</v>
      </c>
      <c r="I200">
        <v>-4.6152876636874895E-3</v>
      </c>
      <c r="K200">
        <v>-0.12673548428787262</v>
      </c>
      <c r="M200" t="s">
        <v>535</v>
      </c>
      <c r="O200" s="1" t="str" cm="1">
        <f t="array" ref="O200">_xlfn.LET( _xlpm.s, UPPER(M200),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KKLEERLKKICEL</v>
      </c>
    </row>
    <row r="201" spans="1:15" ht="24">
      <c r="A201">
        <v>756</v>
      </c>
      <c r="B201">
        <v>198</v>
      </c>
      <c r="C201">
        <v>76</v>
      </c>
      <c r="D201">
        <v>101</v>
      </c>
      <c r="E201">
        <v>261</v>
      </c>
      <c r="G201">
        <v>-0.34983179799108577</v>
      </c>
      <c r="H201">
        <v>-0.2422340183785221</v>
      </c>
      <c r="I201">
        <v>0.2025102051319625</v>
      </c>
      <c r="K201">
        <v>-0.12985187041254845</v>
      </c>
      <c r="M201" t="s">
        <v>763</v>
      </c>
      <c r="O201" s="1" t="str" cm="1">
        <f t="array" ref="O201">_xlfn.LET( _xlpm.s, UPPER(M201),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KRLVDRLVAICEK</v>
      </c>
    </row>
    <row r="202" spans="1:15" ht="24">
      <c r="A202">
        <v>780</v>
      </c>
      <c r="B202">
        <v>240</v>
      </c>
      <c r="C202">
        <v>113</v>
      </c>
      <c r="D202">
        <v>119</v>
      </c>
      <c r="E202">
        <v>264</v>
      </c>
      <c r="G202">
        <v>-0.26111299823853229</v>
      </c>
      <c r="H202">
        <v>-0.2545544822187088</v>
      </c>
      <c r="I202">
        <v>0.12392757321343773</v>
      </c>
      <c r="K202">
        <v>-0.13057996908126779</v>
      </c>
      <c r="M202" t="s">
        <v>787</v>
      </c>
      <c r="O202" s="1" t="str" cm="1">
        <f t="array" ref="O202">_xlfn.LET( _xlpm.s, UPPER(M202),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ERAVQRLVAICKL</v>
      </c>
    </row>
    <row r="203" spans="1:15" ht="24">
      <c r="A203">
        <v>375</v>
      </c>
      <c r="B203">
        <v>101</v>
      </c>
      <c r="C203">
        <v>37</v>
      </c>
      <c r="D203">
        <v>76</v>
      </c>
      <c r="E203">
        <v>93</v>
      </c>
      <c r="G203">
        <v>-0.37009984972599358</v>
      </c>
      <c r="H203">
        <v>-7.3397983401484734E-2</v>
      </c>
      <c r="I203">
        <v>4.669646282650522E-2</v>
      </c>
      <c r="K203">
        <v>-0.13226712343365768</v>
      </c>
      <c r="M203" t="s">
        <v>382</v>
      </c>
      <c r="O203" s="1" t="str" cm="1">
        <f t="array" ref="O203">_xlfn.LET( _xlpm.s, UPPER(M203),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EELIKRLKAICEL</v>
      </c>
    </row>
    <row r="204" spans="1:15" ht="24">
      <c r="A204">
        <v>477</v>
      </c>
      <c r="B204">
        <v>81</v>
      </c>
      <c r="C204">
        <v>47</v>
      </c>
      <c r="D204">
        <v>31</v>
      </c>
      <c r="E204">
        <v>92</v>
      </c>
      <c r="G204">
        <v>-0.17036736095327826</v>
      </c>
      <c r="H204">
        <v>-0.36701352694401063</v>
      </c>
      <c r="I204">
        <v>0.13783769652211814</v>
      </c>
      <c r="K204">
        <v>-0.13318106379172359</v>
      </c>
      <c r="M204" t="s">
        <v>484</v>
      </c>
      <c r="O204" s="1" t="str" cm="1">
        <f t="array" ref="O204">_xlfn.LET( _xlpm.s, UPPER(M204),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KALEKRLIEICEL</v>
      </c>
    </row>
    <row r="205" spans="1:15" ht="24">
      <c r="A205">
        <v>905</v>
      </c>
      <c r="B205">
        <v>122</v>
      </c>
      <c r="C205">
        <v>72</v>
      </c>
      <c r="D205">
        <v>89</v>
      </c>
      <c r="E205">
        <v>70</v>
      </c>
      <c r="G205">
        <v>-0.16300753425382575</v>
      </c>
      <c r="H205">
        <v>-8.686002592946894E-2</v>
      </c>
      <c r="I205">
        <v>-0.15872690260527877</v>
      </c>
      <c r="K205">
        <v>-0.13619815426285783</v>
      </c>
      <c r="M205" t="s">
        <v>912</v>
      </c>
      <c r="O205" s="1" t="str" cm="1">
        <f t="array" ref="O205">_xlfn.LET( _xlpm.s, UPPER(M205),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RKLTERLIQICEL</v>
      </c>
    </row>
    <row r="206" spans="1:15" ht="24">
      <c r="A206">
        <v>89</v>
      </c>
      <c r="B206">
        <v>72</v>
      </c>
      <c r="C206">
        <v>29</v>
      </c>
      <c r="D206">
        <v>45</v>
      </c>
      <c r="E206">
        <v>69</v>
      </c>
      <c r="G206">
        <v>-0.32891469854265837</v>
      </c>
      <c r="H206">
        <v>-0.15401018455555832</v>
      </c>
      <c r="I206">
        <v>6.4051482361199535E-2</v>
      </c>
      <c r="K206">
        <v>-0.13962446691233907</v>
      </c>
      <c r="M206" t="s">
        <v>96</v>
      </c>
      <c r="O206" s="1" t="str" cm="1">
        <f t="array" ref="O206">_xlfn.LET( _xlpm.s, UPPER(M206),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AEMEKRLKAICDH</v>
      </c>
    </row>
    <row r="207" spans="1:15" ht="24">
      <c r="A207">
        <v>650</v>
      </c>
      <c r="B207">
        <v>163</v>
      </c>
      <c r="C207">
        <v>39</v>
      </c>
      <c r="D207">
        <v>1237</v>
      </c>
      <c r="E207">
        <v>21</v>
      </c>
      <c r="G207">
        <v>-0.55510319738780456</v>
      </c>
      <c r="H207">
        <v>0.93029189332552942</v>
      </c>
      <c r="I207">
        <v>-0.80743342161482579</v>
      </c>
      <c r="K207">
        <v>-0.14408157522570031</v>
      </c>
      <c r="M207" t="s">
        <v>657</v>
      </c>
      <c r="O207" s="1" t="str" cm="1">
        <f t="array" ref="O207">_xlfn.LET( _xlpm.s, UPPER(M207),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KAIEARLKAILEL</v>
      </c>
    </row>
    <row r="208" spans="1:15" ht="24">
      <c r="A208">
        <v>324</v>
      </c>
      <c r="B208">
        <v>42</v>
      </c>
      <c r="C208">
        <v>20</v>
      </c>
      <c r="D208">
        <v>23</v>
      </c>
      <c r="E208">
        <v>37</v>
      </c>
      <c r="G208">
        <v>-0.25619949474426529</v>
      </c>
      <c r="H208">
        <v>-0.21141165627994107</v>
      </c>
      <c r="I208">
        <v>2.7487321724307179E-2</v>
      </c>
      <c r="K208">
        <v>-0.1467079430999664</v>
      </c>
      <c r="M208" t="s">
        <v>331</v>
      </c>
      <c r="O208" s="1" t="str" cm="1">
        <f t="array" ref="O208">_xlfn.LET( _xlpm.s, UPPER(M208),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KQQIKRLVEICKI</v>
      </c>
    </row>
    <row r="209" spans="1:15" ht="24">
      <c r="A209">
        <v>14</v>
      </c>
      <c r="B209">
        <v>37</v>
      </c>
      <c r="C209">
        <v>24</v>
      </c>
      <c r="D209">
        <v>23</v>
      </c>
      <c r="E209">
        <v>21</v>
      </c>
      <c r="G209">
        <v>-0.12197068236573495</v>
      </c>
      <c r="H209">
        <v>-0.15636408994903567</v>
      </c>
      <c r="I209">
        <v>-0.1634475412778631</v>
      </c>
      <c r="K209">
        <v>-0.14726077119754458</v>
      </c>
      <c r="M209" t="s">
        <v>21</v>
      </c>
      <c r="O209" s="1" t="str" cm="1">
        <f t="array" ref="O209">_xlfn.LET( _xlpm.s, UPPER(M209),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KAMEKRLVKICEH</v>
      </c>
    </row>
    <row r="210" spans="1:15" ht="24">
      <c r="A210">
        <v>228</v>
      </c>
      <c r="B210">
        <v>30</v>
      </c>
      <c r="C210">
        <v>25</v>
      </c>
      <c r="D210">
        <v>19</v>
      </c>
      <c r="E210">
        <v>13</v>
      </c>
      <c r="G210">
        <v>-1.3161446057970802E-2</v>
      </c>
      <c r="H210">
        <v>-0.14825785566646699</v>
      </c>
      <c r="I210">
        <v>-0.28064301435761302</v>
      </c>
      <c r="K210">
        <v>-0.14735410536068361</v>
      </c>
      <c r="M210" t="s">
        <v>235</v>
      </c>
      <c r="O210" s="1" t="str" cm="1">
        <f t="array" ref="O210">_xlfn.LET( _xlpm.s, UPPER(M210),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KKMEERLKKICEH</v>
      </c>
    </row>
    <row r="211" spans="1:15" ht="24">
      <c r="A211">
        <v>413</v>
      </c>
      <c r="B211">
        <v>64</v>
      </c>
      <c r="C211">
        <v>77</v>
      </c>
      <c r="D211">
        <v>40</v>
      </c>
      <c r="E211">
        <v>19</v>
      </c>
      <c r="G211">
        <v>0.1463305511782487</v>
      </c>
      <c r="H211">
        <v>-0.15401018455555832</v>
      </c>
      <c r="I211">
        <v>-0.44489148497584557</v>
      </c>
      <c r="K211">
        <v>-0.15085703945105175</v>
      </c>
      <c r="M211" t="s">
        <v>420</v>
      </c>
      <c r="O211" s="1" t="str" cm="1">
        <f t="array" ref="O211">_xlfn.LET( _xlpm.s, UPPER(M211),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KKQIERIKAILEL</v>
      </c>
    </row>
    <row r="212" spans="1:15" ht="24">
      <c r="A212">
        <v>345</v>
      </c>
      <c r="B212">
        <v>227</v>
      </c>
      <c r="C212">
        <v>382</v>
      </c>
      <c r="D212">
        <v>126</v>
      </c>
      <c r="E212">
        <v>53</v>
      </c>
      <c r="G212">
        <v>0.29205730570824001</v>
      </c>
      <c r="H212">
        <v>-0.20554551397519338</v>
      </c>
      <c r="I212">
        <v>-0.549215099537121</v>
      </c>
      <c r="K212">
        <v>-0.15423443593469147</v>
      </c>
      <c r="M212" t="s">
        <v>352</v>
      </c>
      <c r="O212" s="1" t="str" cm="1">
        <f t="array" ref="O212">_xlfn.LET( _xlpm.s, UPPER(M212),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KQQIRRLKLICEH</v>
      </c>
    </row>
    <row r="213" spans="1:15" ht="24">
      <c r="A213">
        <v>807</v>
      </c>
      <c r="B213">
        <v>167</v>
      </c>
      <c r="C213">
        <v>63</v>
      </c>
      <c r="D213">
        <v>163</v>
      </c>
      <c r="E213">
        <v>98</v>
      </c>
      <c r="G213">
        <v>-0.35735612170434761</v>
      </c>
      <c r="H213">
        <v>3.9580931356741032E-2</v>
      </c>
      <c r="I213">
        <v>-0.14895550739987579</v>
      </c>
      <c r="K213">
        <v>-0.15557689924916079</v>
      </c>
      <c r="M213" t="s">
        <v>814</v>
      </c>
      <c r="O213" s="1" t="str" cm="1">
        <f t="array" ref="O213">_xlfn.LET( _xlpm.s, UPPER(M213),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KRLVDRLVEICKL</v>
      </c>
    </row>
    <row r="214" spans="1:15" ht="24">
      <c r="A214">
        <v>825</v>
      </c>
      <c r="B214">
        <v>157</v>
      </c>
      <c r="C214">
        <v>54</v>
      </c>
      <c r="D214">
        <v>174</v>
      </c>
      <c r="E214">
        <v>88</v>
      </c>
      <c r="G214">
        <v>-0.39748609259661122</v>
      </c>
      <c r="H214">
        <v>9.4759393973732467E-2</v>
      </c>
      <c r="I214">
        <v>-0.16888209220385247</v>
      </c>
      <c r="K214">
        <v>-0.15720293027557708</v>
      </c>
      <c r="M214" t="s">
        <v>832</v>
      </c>
      <c r="O214" s="1" t="str" cm="1">
        <f t="array" ref="O214">_xlfn.LET( _xlpm.s, UPPER(M214),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NRLVERLVEICKL</v>
      </c>
    </row>
    <row r="215" spans="1:15" ht="24">
      <c r="A215">
        <v>115</v>
      </c>
      <c r="B215">
        <v>93</v>
      </c>
      <c r="C215">
        <v>59</v>
      </c>
      <c r="D215">
        <v>58</v>
      </c>
      <c r="E215">
        <v>50</v>
      </c>
      <c r="G215">
        <v>-0.13161113692213694</v>
      </c>
      <c r="H215">
        <v>-0.15494515689063132</v>
      </c>
      <c r="I215">
        <v>-0.18697805616270369</v>
      </c>
      <c r="K215">
        <v>-0.15784478332515731</v>
      </c>
      <c r="M215" t="s">
        <v>122</v>
      </c>
      <c r="O215" s="1" t="str" cm="1">
        <f t="array" ref="O215">_xlfn.LET( _xlpm.s, UPPER(M215),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KQMEERLVQICKH</v>
      </c>
    </row>
    <row r="216" spans="1:15" ht="24">
      <c r="A216">
        <v>485</v>
      </c>
      <c r="B216">
        <v>20</v>
      </c>
      <c r="C216">
        <v>8</v>
      </c>
      <c r="D216">
        <v>21</v>
      </c>
      <c r="E216">
        <v>10</v>
      </c>
      <c r="G216">
        <v>-0.33192020868238359</v>
      </c>
      <c r="H216">
        <v>7.1299097170304582E-2</v>
      </c>
      <c r="I216">
        <v>-0.21849510760876856</v>
      </c>
      <c r="K216">
        <v>-0.15970540637361585</v>
      </c>
      <c r="M216" t="s">
        <v>492</v>
      </c>
      <c r="O216" s="1" t="str" cm="1">
        <f t="array" ref="O216">_xlfn.LET( _xlpm.s, UPPER(M216),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EKLISRLKKICEL</v>
      </c>
    </row>
    <row r="217" spans="1:15" ht="24">
      <c r="A217">
        <v>16</v>
      </c>
      <c r="B217">
        <v>99</v>
      </c>
      <c r="C217">
        <v>83</v>
      </c>
      <c r="D217">
        <v>57</v>
      </c>
      <c r="E217">
        <v>43</v>
      </c>
      <c r="G217">
        <v>-1.0537302231822032E-2</v>
      </c>
      <c r="H217">
        <v>-0.18965054082469202</v>
      </c>
      <c r="I217">
        <v>-0.27963185096275073</v>
      </c>
      <c r="K217">
        <v>-0.15993989800642158</v>
      </c>
      <c r="M217" t="s">
        <v>23</v>
      </c>
      <c r="O217" s="1" t="str" cm="1">
        <f t="array" ref="O217">_xlfn.LET( _xlpm.s, UPPER(M217),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KKMEAYLKAICEH</v>
      </c>
    </row>
    <row r="218" spans="1:15" ht="24">
      <c r="A218">
        <v>853</v>
      </c>
      <c r="B218">
        <v>168</v>
      </c>
      <c r="C218">
        <v>101</v>
      </c>
      <c r="D218">
        <v>112</v>
      </c>
      <c r="E218">
        <v>86</v>
      </c>
      <c r="G218">
        <v>-0.1549681079535663</v>
      </c>
      <c r="H218">
        <v>-0.12598146095531476</v>
      </c>
      <c r="I218">
        <v>-0.20827594242708253</v>
      </c>
      <c r="K218">
        <v>-0.16307517044532119</v>
      </c>
      <c r="M218" t="s">
        <v>860</v>
      </c>
      <c r="O218" s="1" t="str" cm="1">
        <f t="array" ref="O218">_xlfn.LET( _xlpm.s, UPPER(M218),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ERMVERLKAICER</v>
      </c>
    </row>
    <row r="219" spans="1:15" ht="24">
      <c r="A219">
        <v>194</v>
      </c>
      <c r="B219">
        <v>42</v>
      </c>
      <c r="C219">
        <v>36</v>
      </c>
      <c r="D219">
        <v>21</v>
      </c>
      <c r="E219">
        <v>20</v>
      </c>
      <c r="G219">
        <v>-9.2698964095921932E-4</v>
      </c>
      <c r="H219">
        <v>-0.25092019756361472</v>
      </c>
      <c r="I219">
        <v>-0.23968440667870666</v>
      </c>
      <c r="K219">
        <v>-0.16384386462776021</v>
      </c>
      <c r="M219" t="s">
        <v>201</v>
      </c>
      <c r="O219" s="1" t="str" cm="1">
        <f t="array" ref="O219">_xlfn.LET( _xlpm.s, UPPER(M219),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KEMEKRLIEICKH</v>
      </c>
    </row>
    <row r="220" spans="1:15" ht="24">
      <c r="A220">
        <v>604</v>
      </c>
      <c r="B220">
        <v>17</v>
      </c>
      <c r="C220">
        <v>17</v>
      </c>
      <c r="D220">
        <v>8</v>
      </c>
      <c r="E220">
        <v>7</v>
      </c>
      <c r="G220">
        <v>6.6019799989654002E-2</v>
      </c>
      <c r="H220">
        <v>-0.27724913628596387</v>
      </c>
      <c r="I220">
        <v>-0.30281599330880449</v>
      </c>
      <c r="K220">
        <v>-0.17134844320170481</v>
      </c>
      <c r="M220" t="s">
        <v>611</v>
      </c>
      <c r="O220" s="1" t="str" cm="1">
        <f t="array" ref="O220">_xlfn.LET( _xlpm.s, UPPER(M220),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EAFKKRLIEILKI</v>
      </c>
    </row>
    <row r="221" spans="1:15" ht="24">
      <c r="A221">
        <v>753</v>
      </c>
      <c r="B221">
        <v>49</v>
      </c>
      <c r="C221">
        <v>21</v>
      </c>
      <c r="D221">
        <v>45</v>
      </c>
      <c r="E221">
        <v>23</v>
      </c>
      <c r="G221">
        <v>-0.30195698530494042</v>
      </c>
      <c r="H221">
        <v>1.3126231847196516E-2</v>
      </c>
      <c r="I221">
        <v>-0.24593335595570814</v>
      </c>
      <c r="K221">
        <v>-0.17825470313781736</v>
      </c>
      <c r="M221" t="s">
        <v>760</v>
      </c>
      <c r="O221" s="1" t="str" cm="1">
        <f t="array" ref="O221">_xlfn.LET( _xlpm.s, UPPER(M221),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EKLVKRLKEICKR</v>
      </c>
    </row>
    <row r="222" spans="1:15" ht="24">
      <c r="A222">
        <v>728</v>
      </c>
      <c r="B222">
        <v>166</v>
      </c>
      <c r="C222">
        <v>97</v>
      </c>
      <c r="D222">
        <v>95</v>
      </c>
      <c r="E222">
        <v>90</v>
      </c>
      <c r="G222">
        <v>-0.16731655378415622</v>
      </c>
      <c r="H222">
        <v>-0.19227468465084085</v>
      </c>
      <c r="I222">
        <v>-0.18333069054551759</v>
      </c>
      <c r="K222">
        <v>-0.18097397632683823</v>
      </c>
      <c r="M222" t="s">
        <v>735</v>
      </c>
      <c r="O222" s="1" t="str" cm="1">
        <f t="array" ref="O222">_xlfn.LET( _xlpm.s, UPPER(M222),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ERMTARLVEICKL</v>
      </c>
    </row>
    <row r="223" spans="1:15" ht="24">
      <c r="A223">
        <v>522</v>
      </c>
      <c r="B223">
        <v>36</v>
      </c>
      <c r="C223">
        <v>17</v>
      </c>
      <c r="D223">
        <v>29</v>
      </c>
      <c r="E223">
        <v>17</v>
      </c>
      <c r="G223">
        <v>-0.25983377939935931</v>
      </c>
      <c r="H223">
        <v>-4.3794704767964668E-2</v>
      </c>
      <c r="I223">
        <v>-0.24331869133380069</v>
      </c>
      <c r="K223">
        <v>-0.18231572516704153</v>
      </c>
      <c r="M223" t="s">
        <v>529</v>
      </c>
      <c r="O223" s="1" t="str" cm="1">
        <f t="array" ref="O223">_xlfn.LET( _xlpm.s, UPPER(M223),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NKLIERLKEICKI</v>
      </c>
    </row>
    <row r="224" spans="1:15" ht="24">
      <c r="A224">
        <v>128</v>
      </c>
      <c r="B224">
        <v>42</v>
      </c>
      <c r="C224">
        <v>22</v>
      </c>
      <c r="D224">
        <v>26</v>
      </c>
      <c r="E224">
        <v>21</v>
      </c>
      <c r="G224">
        <v>-0.2148068095860402</v>
      </c>
      <c r="H224">
        <v>-0.158166144326716</v>
      </c>
      <c r="I224">
        <v>-0.21849510760876856</v>
      </c>
      <c r="K224">
        <v>-0.19715602050717493</v>
      </c>
      <c r="M224" t="s">
        <v>135</v>
      </c>
      <c r="O224" s="1" t="str" cm="1">
        <f t="array" ref="O224">_xlfn.LET( _xlpm.s, UPPER(M224),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EKMIERLKKICEH</v>
      </c>
    </row>
    <row r="225" spans="1:15" ht="24">
      <c r="A225">
        <v>329</v>
      </c>
      <c r="B225">
        <v>174</v>
      </c>
      <c r="C225">
        <v>43</v>
      </c>
      <c r="D225">
        <v>252</v>
      </c>
      <c r="E225">
        <v>73</v>
      </c>
      <c r="G225">
        <v>-0.54106099271335917</v>
      </c>
      <c r="H225">
        <v>0.21096109059931084</v>
      </c>
      <c r="I225">
        <v>-0.29469150010693118</v>
      </c>
      <c r="K225">
        <v>-0.20826380074032649</v>
      </c>
      <c r="M225" t="s">
        <v>336</v>
      </c>
      <c r="O225" s="1" t="str" cm="1">
        <f t="array" ref="O225">_xlfn.LET( _xlpm.s, UPPER(M225),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KEQIRRLKAICAH</v>
      </c>
    </row>
    <row r="226" spans="1:15" ht="24">
      <c r="A226">
        <v>445</v>
      </c>
      <c r="B226">
        <v>63</v>
      </c>
      <c r="C226">
        <v>33</v>
      </c>
      <c r="D226">
        <v>39</v>
      </c>
      <c r="E226">
        <v>28</v>
      </c>
      <c r="G226">
        <v>-0.2148068095860402</v>
      </c>
      <c r="H226">
        <v>-0.158166144326716</v>
      </c>
      <c r="I226">
        <v>-0.26964763005614989</v>
      </c>
      <c r="K226">
        <v>-0.21420686132296871</v>
      </c>
      <c r="M226" t="s">
        <v>452</v>
      </c>
      <c r="O226" s="1" t="str" cm="1">
        <f t="array" ref="O226">_xlfn.LET( _xlpm.s, UPPER(M226),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EAMIKRIVEICKI</v>
      </c>
    </row>
    <row r="227" spans="1:15" ht="24">
      <c r="A227">
        <v>519</v>
      </c>
      <c r="B227">
        <v>45</v>
      </c>
      <c r="C227">
        <v>26</v>
      </c>
      <c r="D227">
        <v>49</v>
      </c>
      <c r="E227">
        <v>10</v>
      </c>
      <c r="G227">
        <v>-0.17221936581487174</v>
      </c>
      <c r="H227">
        <v>8.7093364353536429E-2</v>
      </c>
      <c r="I227">
        <v>-0.57067762572013103</v>
      </c>
      <c r="K227">
        <v>-0.21860120906048877</v>
      </c>
      <c r="M227" t="s">
        <v>526</v>
      </c>
      <c r="O227" s="1" t="str" cm="1">
        <f t="array" ref="O227">_xlfn.LET( _xlpm.s, UPPER(M227),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KALIERIKKILEL</v>
      </c>
    </row>
    <row r="228" spans="1:15" ht="24">
      <c r="A228">
        <v>500</v>
      </c>
      <c r="B228">
        <v>82</v>
      </c>
      <c r="C228">
        <v>83</v>
      </c>
      <c r="D228">
        <v>28</v>
      </c>
      <c r="E228">
        <v>32</v>
      </c>
      <c r="G228">
        <v>7.1284039982011216E-2</v>
      </c>
      <c r="H228">
        <v>-0.41654602294113097</v>
      </c>
      <c r="I228">
        <v>-0.32612898600859808</v>
      </c>
      <c r="K228">
        <v>-0.22379698965590591</v>
      </c>
      <c r="M228" t="s">
        <v>507</v>
      </c>
      <c r="O228" s="1" t="str" cm="1">
        <f t="array" ref="O228">_xlfn.LET( _xlpm.s, UPPER(M228),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KALTDRLKEICEK</v>
      </c>
    </row>
    <row r="229" spans="1:15" ht="24">
      <c r="A229">
        <v>61</v>
      </c>
      <c r="B229">
        <v>95</v>
      </c>
      <c r="C229">
        <v>50</v>
      </c>
      <c r="D229">
        <v>29</v>
      </c>
      <c r="E229">
        <v>78</v>
      </c>
      <c r="G229">
        <v>-0.21273380096317496</v>
      </c>
      <c r="H229">
        <v>-0.46521580928952516</v>
      </c>
      <c r="I229">
        <v>-3.0941145431547107E-3</v>
      </c>
      <c r="K229">
        <v>-0.22701457493195157</v>
      </c>
      <c r="M229" t="s">
        <v>68</v>
      </c>
      <c r="O229" s="1" t="str" cm="1">
        <f t="array" ref="O229">_xlfn.LET( _xlpm.s, UPPER(M229),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KQQIKRLVLICEH</v>
      </c>
    </row>
    <row r="230" spans="1:15" ht="24">
      <c r="A230">
        <v>213</v>
      </c>
      <c r="B230">
        <v>70</v>
      </c>
      <c r="C230">
        <v>14</v>
      </c>
      <c r="D230">
        <v>61</v>
      </c>
      <c r="E230">
        <v>51</v>
      </c>
      <c r="G230">
        <v>-0.63295020434636473</v>
      </c>
      <c r="H230">
        <v>-9.6584069031232997E-3</v>
      </c>
      <c r="I230">
        <v>-5.4992975861107837E-2</v>
      </c>
      <c r="K230">
        <v>-0.2325338623701986</v>
      </c>
      <c r="M230" t="s">
        <v>220</v>
      </c>
      <c r="O230" s="1" t="str" cm="1">
        <f t="array" ref="O230">_xlfn.LET( _xlpm.s, UPPER(M230),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KKMEERLKLICKH</v>
      </c>
    </row>
    <row r="231" spans="1:15" ht="24">
      <c r="A231">
        <v>863</v>
      </c>
      <c r="B231">
        <v>99</v>
      </c>
      <c r="C231">
        <v>50</v>
      </c>
      <c r="D231">
        <v>40</v>
      </c>
      <c r="E231">
        <v>61</v>
      </c>
      <c r="G231">
        <v>-0.23064539027187708</v>
      </c>
      <c r="H231">
        <v>-0.34346540516922108</v>
      </c>
      <c r="I231">
        <v>-0.12777047153157023</v>
      </c>
      <c r="K231">
        <v>-0.23396042232422279</v>
      </c>
      <c r="M231" t="s">
        <v>870</v>
      </c>
      <c r="O231" s="1" t="str" cm="1">
        <f t="array" ref="O231">_xlfn.LET( _xlpm.s, UPPER(M231),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EALTRRIVKICEL</v>
      </c>
    </row>
    <row r="232" spans="1:15" ht="24">
      <c r="A232">
        <v>890</v>
      </c>
      <c r="B232">
        <v>56</v>
      </c>
      <c r="C232">
        <v>22</v>
      </c>
      <c r="D232">
        <v>37</v>
      </c>
      <c r="E232">
        <v>26</v>
      </c>
      <c r="G232">
        <v>-0.33974554619434016</v>
      </c>
      <c r="H232">
        <v>-0.12987650483883895</v>
      </c>
      <c r="I232">
        <v>-0.25067979098016979</v>
      </c>
      <c r="K232">
        <v>-0.24010061400444963</v>
      </c>
      <c r="M232" t="s">
        <v>897</v>
      </c>
      <c r="O232" s="1" t="str" cm="1">
        <f t="array" ref="O232">_xlfn.LET( _xlpm.s, UPPER(M232),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KKLEERLVAICKK</v>
      </c>
    </row>
    <row r="233" spans="1:15" ht="24">
      <c r="A233">
        <v>436</v>
      </c>
      <c r="B233">
        <v>33</v>
      </c>
      <c r="C233">
        <v>15</v>
      </c>
      <c r="D233">
        <v>15</v>
      </c>
      <c r="E233">
        <v>19</v>
      </c>
      <c r="G233">
        <v>-0.27640288083255221</v>
      </c>
      <c r="H233">
        <v>-0.29231288272183975</v>
      </c>
      <c r="I233">
        <v>-0.15722545086984585</v>
      </c>
      <c r="K233">
        <v>-0.24198040480807928</v>
      </c>
      <c r="M233" t="s">
        <v>443</v>
      </c>
      <c r="O233" s="1" t="str" cm="1">
        <f t="array" ref="O233">_xlfn.LET( _xlpm.s, UPPER(M233),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EKLIERIKEILKI</v>
      </c>
    </row>
    <row r="234" spans="1:15" ht="24">
      <c r="A234">
        <v>808</v>
      </c>
      <c r="B234">
        <v>103</v>
      </c>
      <c r="C234">
        <v>25</v>
      </c>
      <c r="D234">
        <v>110</v>
      </c>
      <c r="E234">
        <v>44</v>
      </c>
      <c r="G234">
        <v>-0.54887741604348061</v>
      </c>
      <c r="H234">
        <v>7.8665258553419312E-2</v>
      </c>
      <c r="I234">
        <v>-0.28684966016377217</v>
      </c>
      <c r="K234">
        <v>-0.25235393921794452</v>
      </c>
      <c r="M234" t="s">
        <v>815</v>
      </c>
      <c r="O234" s="1" t="str" cm="1">
        <f t="array" ref="O234">_xlfn.LET( _xlpm.s, UPPER(M234),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NRLVTRLVEICKL</v>
      </c>
    </row>
    <row r="235" spans="1:15" ht="24">
      <c r="A235">
        <v>507</v>
      </c>
      <c r="B235">
        <v>77</v>
      </c>
      <c r="C235">
        <v>36</v>
      </c>
      <c r="D235">
        <v>30</v>
      </c>
      <c r="E235">
        <v>43</v>
      </c>
      <c r="G235">
        <v>-0.26416842441554061</v>
      </c>
      <c r="H235">
        <v>-0.35925967235245293</v>
      </c>
      <c r="I235">
        <v>-0.17048738153768273</v>
      </c>
      <c r="K235">
        <v>-0.26463849276855872</v>
      </c>
      <c r="M235" t="s">
        <v>514</v>
      </c>
      <c r="O235" s="1" t="str" cm="1">
        <f t="array" ref="O235">_xlfn.LET( _xlpm.s, UPPER(M235),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NKLIERLVEICKR</v>
      </c>
    </row>
    <row r="236" spans="1:15" ht="24">
      <c r="A236">
        <v>515</v>
      </c>
      <c r="B236">
        <v>95</v>
      </c>
      <c r="C236">
        <v>106</v>
      </c>
      <c r="D236">
        <v>28</v>
      </c>
      <c r="E236">
        <v>29</v>
      </c>
      <c r="G236">
        <v>0.11360205996557644</v>
      </c>
      <c r="H236">
        <v>-0.48045577584626215</v>
      </c>
      <c r="I236">
        <v>-0.432790719334679</v>
      </c>
      <c r="K236">
        <v>-0.2665481450717882</v>
      </c>
      <c r="M236" t="s">
        <v>522</v>
      </c>
      <c r="O236" s="1" t="str" cm="1">
        <f t="array" ref="O236">_xlfn.LET( _xlpm.s, UPPER(M236),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KALEKRIVEICEL</v>
      </c>
    </row>
    <row r="237" spans="1:15" ht="24">
      <c r="A237">
        <v>48</v>
      </c>
      <c r="B237">
        <v>86</v>
      </c>
      <c r="C237">
        <v>56</v>
      </c>
      <c r="D237">
        <v>44</v>
      </c>
      <c r="E237">
        <v>25</v>
      </c>
      <c r="G237">
        <v>-0.12029062424771327</v>
      </c>
      <c r="H237">
        <v>-0.24093597665701377</v>
      </c>
      <c r="I237">
        <v>-0.45402355451631743</v>
      </c>
      <c r="K237">
        <v>-0.27175005180701484</v>
      </c>
      <c r="M237" t="s">
        <v>55</v>
      </c>
      <c r="O237" s="1" t="str" cm="1">
        <f t="array" ref="O237">_xlfn.LET( _xlpm.s, UPPER(M237),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KQMEARLVEICKH</v>
      </c>
    </row>
    <row r="238" spans="1:15" ht="24">
      <c r="A238">
        <v>190</v>
      </c>
      <c r="B238">
        <v>53</v>
      </c>
      <c r="C238">
        <v>28</v>
      </c>
      <c r="D238">
        <v>22</v>
      </c>
      <c r="E238">
        <v>21</v>
      </c>
      <c r="G238">
        <v>-0.21109803826891582</v>
      </c>
      <c r="H238">
        <v>-0.33174339067821629</v>
      </c>
      <c r="I238">
        <v>-0.3195216868116571</v>
      </c>
      <c r="K238">
        <v>-0.28745437191959639</v>
      </c>
      <c r="M238" t="s">
        <v>197</v>
      </c>
      <c r="O238" s="1" t="str" cm="1">
        <f t="array" ref="O238">_xlfn.LET( _xlpm.s, UPPER(M238),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EQMKARLVKICEH</v>
      </c>
    </row>
    <row r="239" spans="1:15" ht="24">
      <c r="A239">
        <v>148</v>
      </c>
      <c r="B239">
        <v>39</v>
      </c>
      <c r="C239">
        <v>12</v>
      </c>
      <c r="D239">
        <v>14</v>
      </c>
      <c r="E239">
        <v>29</v>
      </c>
      <c r="G239">
        <v>-0.44586356098922031</v>
      </c>
      <c r="H239">
        <v>-0.39482677324789472</v>
      </c>
      <c r="I239">
        <v>-4.6131721072330448E-2</v>
      </c>
      <c r="K239">
        <v>-0.29560735176981517</v>
      </c>
      <c r="M239" t="s">
        <v>155</v>
      </c>
      <c r="O239" s="1" t="str" cm="1">
        <f t="array" ref="O239">_xlfn.LET( _xlpm.s, UPPER(M239),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KKMEERLKEICKH</v>
      </c>
    </row>
    <row r="240" spans="1:15" ht="24">
      <c r="A240">
        <v>773</v>
      </c>
      <c r="B240">
        <v>77</v>
      </c>
      <c r="C240">
        <v>40</v>
      </c>
      <c r="D240">
        <v>45</v>
      </c>
      <c r="E240">
        <v>20</v>
      </c>
      <c r="G240">
        <v>-0.21841093385486549</v>
      </c>
      <c r="H240">
        <v>-0.18316841329677175</v>
      </c>
      <c r="I240">
        <v>-0.502925841453288</v>
      </c>
      <c r="K240">
        <v>-0.30150172953497506</v>
      </c>
      <c r="M240" t="s">
        <v>780</v>
      </c>
      <c r="O240" s="1" t="str" cm="1">
        <f t="array" ref="O240">_xlfn.LET( _xlpm.s, UPPER(M240),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NKMVERIVTICKL</v>
      </c>
    </row>
    <row r="241" spans="1:15" ht="24">
      <c r="A241">
        <v>817</v>
      </c>
      <c r="B241">
        <v>135</v>
      </c>
      <c r="C241">
        <v>56</v>
      </c>
      <c r="D241">
        <v>50</v>
      </c>
      <c r="E241">
        <v>69</v>
      </c>
      <c r="G241">
        <v>-0.31612594149915169</v>
      </c>
      <c r="H241">
        <v>-0.38125396605862089</v>
      </c>
      <c r="I241">
        <v>-0.20894978970253819</v>
      </c>
      <c r="K241">
        <v>-0.30210989908677027</v>
      </c>
      <c r="M241" t="s">
        <v>824</v>
      </c>
      <c r="O241" s="1" t="str" cm="1">
        <f t="array" ref="O241">_xlfn.LET( _xlpm.s, UPPER(M241),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KKLTERIVAICKL</v>
      </c>
    </row>
    <row r="242" spans="1:15" ht="24">
      <c r="A242">
        <v>539</v>
      </c>
      <c r="B242">
        <v>68</v>
      </c>
      <c r="C242">
        <v>19</v>
      </c>
      <c r="D242">
        <v>36</v>
      </c>
      <c r="E242">
        <v>36</v>
      </c>
      <c r="G242">
        <v>-0.48773551176375329</v>
      </c>
      <c r="H242">
        <v>-0.22609661383858259</v>
      </c>
      <c r="I242">
        <v>-0.19367152388373643</v>
      </c>
      <c r="K242">
        <v>-0.30250121649535744</v>
      </c>
      <c r="M242" t="s">
        <v>546</v>
      </c>
      <c r="O242" s="1" t="str" cm="1">
        <f t="array" ref="O242">_xlfn.LET( _xlpm.s, UPPER(M242),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KAMIERLKKILEL</v>
      </c>
    </row>
    <row r="243" spans="1:15" ht="24">
      <c r="A243">
        <v>435</v>
      </c>
      <c r="B243">
        <v>32</v>
      </c>
      <c r="C243">
        <v>7</v>
      </c>
      <c r="D243">
        <v>7</v>
      </c>
      <c r="E243">
        <v>49</v>
      </c>
      <c r="G243">
        <v>-0.59403213831599511</v>
      </c>
      <c r="H243">
        <v>-0.60994214020528259</v>
      </c>
      <c r="I243">
        <v>0.26758098976382033</v>
      </c>
      <c r="K243">
        <v>-0.31213109625248575</v>
      </c>
      <c r="M243" t="s">
        <v>442</v>
      </c>
      <c r="O243" s="1" t="str" cm="1">
        <f t="array" ref="O243">_xlfn.LET( _xlpm.s, UPPER(M243),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EKTIERLKAICKK</v>
      </c>
    </row>
    <row r="244" spans="1:15" ht="24">
      <c r="A244">
        <v>731</v>
      </c>
      <c r="B244">
        <v>175</v>
      </c>
      <c r="C244">
        <v>33</v>
      </c>
      <c r="D244">
        <v>438</v>
      </c>
      <c r="E244">
        <v>27</v>
      </c>
      <c r="G244">
        <v>-0.65850430881875288</v>
      </c>
      <c r="H244">
        <v>0.44854585991817153</v>
      </c>
      <c r="I244">
        <v>-0.72913939647209447</v>
      </c>
      <c r="K244">
        <v>-0.31303261512422526</v>
      </c>
      <c r="M244" t="s">
        <v>738</v>
      </c>
      <c r="O244" s="1" t="str" cm="1">
        <f t="array" ref="O244">_xlfn.LET( _xlpm.s, UPPER(M244),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NRLTERIVEICKL</v>
      </c>
    </row>
    <row r="245" spans="1:15" ht="24">
      <c r="A245">
        <v>848</v>
      </c>
      <c r="B245">
        <v>76</v>
      </c>
      <c r="C245">
        <v>12</v>
      </c>
      <c r="D245">
        <v>121</v>
      </c>
      <c r="E245">
        <v>22</v>
      </c>
      <c r="G245">
        <v>-0.73561254624351258</v>
      </c>
      <c r="H245">
        <v>0.25208157613602522</v>
      </c>
      <c r="I245">
        <v>-0.45585602340337245</v>
      </c>
      <c r="K245">
        <v>-0.3131289978369533</v>
      </c>
      <c r="M245" t="s">
        <v>855</v>
      </c>
      <c r="O245" s="1" t="str" cm="1">
        <f t="array" ref="O245">_xlfn.LET( _xlpm.s, UPPER(M245),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KKLEERIVEICKL</v>
      </c>
    </row>
    <row r="246" spans="1:15" ht="24">
      <c r="A246">
        <v>47</v>
      </c>
      <c r="B246">
        <v>193</v>
      </c>
      <c r="C246">
        <v>115</v>
      </c>
      <c r="D246">
        <v>89</v>
      </c>
      <c r="E246">
        <v>50</v>
      </c>
      <c r="G246">
        <v>-0.15883966866450805</v>
      </c>
      <c r="H246">
        <v>-0.28605750426249454</v>
      </c>
      <c r="I246">
        <v>-0.50405241661654232</v>
      </c>
      <c r="K246">
        <v>-0.3163165298478483</v>
      </c>
      <c r="M246" t="s">
        <v>54</v>
      </c>
      <c r="O246" s="1" t="str" cm="1">
        <f t="array" ref="O246">_xlfn.LET( _xlpm.s, UPPER(M246),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KQMEERLKLICEH</v>
      </c>
    </row>
    <row r="247" spans="1:15" ht="24">
      <c r="A247">
        <v>792</v>
      </c>
      <c r="B247">
        <v>68</v>
      </c>
      <c r="C247">
        <v>48</v>
      </c>
      <c r="D247">
        <v>18</v>
      </c>
      <c r="E247">
        <v>25</v>
      </c>
      <c r="G247">
        <v>-8.524787534099508E-2</v>
      </c>
      <c r="H247">
        <v>-0.52712660950256374</v>
      </c>
      <c r="I247">
        <v>-0.35203401597898604</v>
      </c>
      <c r="K247">
        <v>-0.32146950027418164</v>
      </c>
      <c r="M247" t="s">
        <v>799</v>
      </c>
      <c r="O247" s="1" t="str" cm="1">
        <f t="array" ref="O247">_xlfn.LET( _xlpm.s, UPPER(M247),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NKLVKRLVEICEL</v>
      </c>
    </row>
    <row r="248" spans="1:15" ht="24">
      <c r="A248">
        <v>123</v>
      </c>
      <c r="B248">
        <v>35</v>
      </c>
      <c r="C248">
        <v>9</v>
      </c>
      <c r="D248">
        <v>17</v>
      </c>
      <c r="E248">
        <v>19</v>
      </c>
      <c r="G248">
        <v>-0.52380573492129678</v>
      </c>
      <c r="H248">
        <v>-0.26350932487163525</v>
      </c>
      <c r="I248">
        <v>-0.18277955534223406</v>
      </c>
      <c r="K248">
        <v>-0.32336487171172207</v>
      </c>
      <c r="M248" t="s">
        <v>130</v>
      </c>
      <c r="O248" s="1" t="str" cm="1">
        <f t="array" ref="O248">_xlfn.LET( _xlpm.s, UPPER(M248),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KEMEKRLKEICEH</v>
      </c>
    </row>
    <row r="249" spans="1:15" ht="24">
      <c r="A249">
        <v>32</v>
      </c>
      <c r="B249">
        <v>59</v>
      </c>
      <c r="C249">
        <v>18</v>
      </c>
      <c r="D249">
        <v>34</v>
      </c>
      <c r="E249">
        <v>22</v>
      </c>
      <c r="G249">
        <v>-0.44955970654918409</v>
      </c>
      <c r="H249">
        <v>-0.18926329649952256</v>
      </c>
      <c r="I249">
        <v>-0.34589444276472531</v>
      </c>
      <c r="K249">
        <v>-0.32823914860447734</v>
      </c>
      <c r="M249" t="s">
        <v>39</v>
      </c>
      <c r="O249" s="1" t="str" cm="1">
        <f t="array" ref="O249">_xlfn.LET( _xlpm.s, UPPER(M249),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KQMEKRLVEICKH</v>
      </c>
    </row>
    <row r="250" spans="1:15" ht="24">
      <c r="A250">
        <v>472</v>
      </c>
      <c r="B250">
        <v>76</v>
      </c>
      <c r="C250">
        <v>15</v>
      </c>
      <c r="D250">
        <v>46</v>
      </c>
      <c r="E250">
        <v>41</v>
      </c>
      <c r="G250">
        <v>-0.63870253323545612</v>
      </c>
      <c r="H250">
        <v>-0.1679459624988508</v>
      </c>
      <c r="I250">
        <v>-0.18549484750584322</v>
      </c>
      <c r="K250">
        <v>-0.33071444774671671</v>
      </c>
      <c r="M250" t="s">
        <v>479</v>
      </c>
      <c r="O250" s="1" t="str" cm="1">
        <f t="array" ref="O250">_xlfn.LET( _xlpm.s, UPPER(M250),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KKMIERIKAICEK</v>
      </c>
    </row>
    <row r="251" spans="1:15" ht="24">
      <c r="A251">
        <v>821</v>
      </c>
      <c r="B251">
        <v>104</v>
      </c>
      <c r="C251">
        <v>20</v>
      </c>
      <c r="D251">
        <v>156</v>
      </c>
      <c r="E251">
        <v>23</v>
      </c>
      <c r="G251">
        <v>-0.6499835436451451</v>
      </c>
      <c r="H251">
        <v>0.22620105715604771</v>
      </c>
      <c r="I251">
        <v>-0.57277061522597483</v>
      </c>
      <c r="K251">
        <v>-0.33218436723835737</v>
      </c>
      <c r="M251" t="s">
        <v>828</v>
      </c>
      <c r="O251" s="1" t="str" cm="1">
        <f t="array" ref="O251">_xlfn.LET( _xlpm.s, UPPER(M251),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NRMVERIKAICKI</v>
      </c>
    </row>
    <row r="252" spans="1:15" ht="24">
      <c r="A252">
        <v>29</v>
      </c>
      <c r="B252">
        <v>202</v>
      </c>
      <c r="C252">
        <v>56</v>
      </c>
      <c r="D252">
        <v>93</v>
      </c>
      <c r="E252">
        <v>91</v>
      </c>
      <c r="G252">
        <v>-0.4911435424507693</v>
      </c>
      <c r="H252">
        <v>-0.28675862279232217</v>
      </c>
      <c r="I252">
        <v>-0.26377508907031749</v>
      </c>
      <c r="K252">
        <v>-0.34722575143780299</v>
      </c>
      <c r="M252" t="s">
        <v>36</v>
      </c>
      <c r="O252" s="1" t="str" cm="1">
        <f t="array" ref="O252">_xlfn.LET( _xlpm.s, UPPER(M252),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KEQIKRLKLICEH</v>
      </c>
    </row>
    <row r="253" spans="1:15" ht="24">
      <c r="A253">
        <v>499</v>
      </c>
      <c r="B253">
        <v>43</v>
      </c>
      <c r="C253">
        <v>31</v>
      </c>
      <c r="D253">
        <v>14</v>
      </c>
      <c r="E253">
        <v>10</v>
      </c>
      <c r="G253">
        <v>-7.6086961755659863E-2</v>
      </c>
      <c r="H253">
        <v>-0.43723062180098199</v>
      </c>
      <c r="I253">
        <v>-0.55093356752437384</v>
      </c>
      <c r="K253">
        <v>-0.3547503836936719</v>
      </c>
      <c r="M253" t="s">
        <v>506</v>
      </c>
      <c r="O253" s="1" t="str" cm="1">
        <f t="array" ref="O253">_xlfn.LET( _xlpm.s, UPPER(M253),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EKLKRRLIEICKR</v>
      </c>
    </row>
    <row r="254" spans="1:15" ht="24">
      <c r="A254">
        <v>793</v>
      </c>
      <c r="B254">
        <v>103</v>
      </c>
      <c r="C254">
        <v>27</v>
      </c>
      <c r="D254">
        <v>43</v>
      </c>
      <c r="E254">
        <v>50</v>
      </c>
      <c r="G254">
        <v>-0.51545366055653086</v>
      </c>
      <c r="H254">
        <v>-0.32925897102521923</v>
      </c>
      <c r="I254">
        <v>-0.23133233231394074</v>
      </c>
      <c r="K254">
        <v>-0.35868165463189694</v>
      </c>
      <c r="M254" t="s">
        <v>800</v>
      </c>
      <c r="O254" s="1" t="str" cm="1">
        <f t="array" ref="O254">_xlfn.LET( _xlpm.s, UPPER(M254),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ERLTKRLVEICKL</v>
      </c>
    </row>
    <row r="255" spans="1:15" ht="24">
      <c r="A255">
        <v>514</v>
      </c>
      <c r="B255">
        <v>70</v>
      </c>
      <c r="C255">
        <v>26</v>
      </c>
      <c r="D255">
        <v>46</v>
      </c>
      <c r="E255">
        <v>15</v>
      </c>
      <c r="G255">
        <v>-0.36410489205378482</v>
      </c>
      <c r="H255">
        <v>-0.13223041023231624</v>
      </c>
      <c r="I255">
        <v>-0.58647189290336288</v>
      </c>
      <c r="K255">
        <v>-0.36093573172982135</v>
      </c>
      <c r="M255" t="s">
        <v>521</v>
      </c>
      <c r="O255" s="1" t="str" cm="1">
        <f t="array" ref="O255">_xlfn.LET( _xlpm.s, UPPER(M255),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NKLIERLKAICKK</v>
      </c>
    </row>
    <row r="256" spans="1:15" ht="24">
      <c r="A256">
        <v>369</v>
      </c>
      <c r="B256">
        <v>120</v>
      </c>
      <c r="C256">
        <v>36</v>
      </c>
      <c r="D256">
        <v>43</v>
      </c>
      <c r="E256">
        <v>52</v>
      </c>
      <c r="G256">
        <v>-0.4568589452906836</v>
      </c>
      <c r="H256">
        <v>-0.39560299236767182</v>
      </c>
      <c r="I256">
        <v>-0.28064301435761302</v>
      </c>
      <c r="K256">
        <v>-0.37770165067198946</v>
      </c>
      <c r="M256" t="s">
        <v>376</v>
      </c>
      <c r="O256" s="1" t="str" cm="1">
        <f t="array" ref="O256">_xlfn.LET( _xlpm.s, UPPER(M256),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KKLTERIVEICKL</v>
      </c>
    </row>
    <row r="257" spans="1:15" ht="24">
      <c r="A257">
        <v>13</v>
      </c>
      <c r="B257">
        <v>88</v>
      </c>
      <c r="C257">
        <v>24</v>
      </c>
      <c r="D257">
        <v>30</v>
      </c>
      <c r="E257">
        <v>42</v>
      </c>
      <c r="G257">
        <v>-0.49825163044890863</v>
      </c>
      <c r="H257">
        <v>-0.41725161933013977</v>
      </c>
      <c r="I257">
        <v>-0.23869849369705548</v>
      </c>
      <c r="K257">
        <v>-0.38473391449203459</v>
      </c>
      <c r="M257" t="s">
        <v>20</v>
      </c>
      <c r="O257" s="1" t="str" cm="1">
        <f t="array" ref="O257">_xlfn.LET( _xlpm.s, UPPER(M257),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KEQIKRLKLICEY</v>
      </c>
    </row>
    <row r="258" spans="1:15" ht="24">
      <c r="A258">
        <v>428</v>
      </c>
      <c r="B258">
        <v>89</v>
      </c>
      <c r="C258">
        <v>22</v>
      </c>
      <c r="D258">
        <v>49</v>
      </c>
      <c r="E258">
        <v>29</v>
      </c>
      <c r="G258">
        <v>-0.5409475258330525</v>
      </c>
      <c r="H258">
        <v>-0.20908412851603264</v>
      </c>
      <c r="I258">
        <v>-0.40445712069074402</v>
      </c>
      <c r="K258">
        <v>-0.38482959167994307</v>
      </c>
      <c r="M258" t="s">
        <v>435</v>
      </c>
      <c r="O258" s="1" t="str" cm="1">
        <f t="array" ref="O258">_xlfn.LET( _xlpm.s, UPPER(M258),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EALIKRIKQICEL</v>
      </c>
    </row>
    <row r="259" spans="1:15" ht="24">
      <c r="A259">
        <v>374</v>
      </c>
      <c r="B259">
        <v>25</v>
      </c>
      <c r="C259">
        <v>2</v>
      </c>
      <c r="D259">
        <v>8</v>
      </c>
      <c r="E259">
        <v>43</v>
      </c>
      <c r="G259">
        <v>-1.0308902130184026</v>
      </c>
      <c r="H259">
        <v>-0.44474022357972753</v>
      </c>
      <c r="I259">
        <v>0.31806333496276157</v>
      </c>
      <c r="K259">
        <v>-0.38585570054512286</v>
      </c>
      <c r="M259" t="s">
        <v>381</v>
      </c>
      <c r="O259" s="1" t="str" cm="1">
        <f t="array" ref="O259">_xlfn.LET( _xlpm.s, UPPER(M259),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GKLIERIKEICKI</v>
      </c>
    </row>
    <row r="260" spans="1:15" ht="24">
      <c r="A260">
        <v>769</v>
      </c>
      <c r="B260">
        <v>129</v>
      </c>
      <c r="C260">
        <v>163</v>
      </c>
      <c r="D260">
        <v>18</v>
      </c>
      <c r="E260">
        <v>32</v>
      </c>
      <c r="G260">
        <v>0.16761769409436283</v>
      </c>
      <c r="H260">
        <v>-0.80520740709557637</v>
      </c>
      <c r="I260">
        <v>-0.52290484392413028</v>
      </c>
      <c r="K260">
        <v>-0.38683151897511464</v>
      </c>
      <c r="M260" t="s">
        <v>776</v>
      </c>
      <c r="O260" s="1" t="str" cm="1">
        <f t="array" ref="O260">_xlfn.LET( _xlpm.s, UPPER(M260),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ERLTKRLVAICKR</v>
      </c>
    </row>
    <row r="261" spans="1:15" ht="24">
      <c r="A261">
        <v>879</v>
      </c>
      <c r="B261">
        <v>119</v>
      </c>
      <c r="C261">
        <v>10</v>
      </c>
      <c r="D261">
        <v>14</v>
      </c>
      <c r="E261">
        <v>520</v>
      </c>
      <c r="G261">
        <v>-1.0095271614028769</v>
      </c>
      <c r="H261">
        <v>-0.87930912761392621</v>
      </c>
      <c r="I261">
        <v>0.722991270297481</v>
      </c>
      <c r="K261">
        <v>-0.38861500623977402</v>
      </c>
      <c r="M261" t="s">
        <v>886</v>
      </c>
      <c r="O261" s="1" t="str" cm="1">
        <f t="array" ref="O261">_xlfn.LET( _xlpm.s, UPPER(M261),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EKLIKRIQAICDI</v>
      </c>
    </row>
    <row r="262" spans="1:15" ht="24">
      <c r="A262">
        <v>748</v>
      </c>
      <c r="B262">
        <v>109</v>
      </c>
      <c r="C262">
        <v>46</v>
      </c>
      <c r="D262">
        <v>35</v>
      </c>
      <c r="E262">
        <v>34</v>
      </c>
      <c r="G262">
        <v>-0.30864886626939553</v>
      </c>
      <c r="H262">
        <v>-0.44324865548998149</v>
      </c>
      <c r="I262">
        <v>-0.4234126928431558</v>
      </c>
      <c r="K262">
        <v>-0.39177007153417764</v>
      </c>
      <c r="M262" t="s">
        <v>755</v>
      </c>
      <c r="O262" s="1" t="str" cm="1">
        <f t="array" ref="O262">_xlfn.LET( _xlpm.s, UPPER(M262),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EKLVDRLVEICKR</v>
      </c>
    </row>
    <row r="263" spans="1:15" ht="24">
      <c r="A263">
        <v>309</v>
      </c>
      <c r="B263">
        <v>47</v>
      </c>
      <c r="C263">
        <v>36</v>
      </c>
      <c r="D263">
        <v>6</v>
      </c>
      <c r="E263">
        <v>20</v>
      </c>
      <c r="G263">
        <v>-4.97755571787762E-2</v>
      </c>
      <c r="H263">
        <v>-0.84383680945170736</v>
      </c>
      <c r="I263">
        <v>-0.28853297421652363</v>
      </c>
      <c r="K263">
        <v>-0.39404844694900243</v>
      </c>
      <c r="M263" t="s">
        <v>316</v>
      </c>
      <c r="O263" s="1" t="str" cm="1">
        <f t="array" ref="O263">_xlfn.LET( _xlpm.s, UPPER(M263),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EKMKKRLVLICEH</v>
      </c>
    </row>
    <row r="264" spans="1:15" ht="24">
      <c r="A264">
        <v>289</v>
      </c>
      <c r="B264">
        <v>28</v>
      </c>
      <c r="C264">
        <v>36</v>
      </c>
      <c r="D264">
        <v>8</v>
      </c>
      <c r="E264">
        <v>3</v>
      </c>
      <c r="G264">
        <v>0.17516426941472207</v>
      </c>
      <c r="H264">
        <v>-0.49395824624990919</v>
      </c>
      <c r="I264">
        <v>-0.88750188856734413</v>
      </c>
      <c r="K264">
        <v>-0.40209862180084377</v>
      </c>
      <c r="M264" t="s">
        <v>296</v>
      </c>
      <c r="O264" s="1" t="str" cm="1">
        <f t="array" ref="O264">_xlfn.LET( _xlpm.s, UPPER(M264),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KEQIKRLVEICKI</v>
      </c>
    </row>
    <row r="265" spans="1:15" ht="24">
      <c r="A265">
        <v>496</v>
      </c>
      <c r="B265">
        <v>37</v>
      </c>
      <c r="C265">
        <v>6</v>
      </c>
      <c r="D265">
        <v>27</v>
      </c>
      <c r="E265">
        <v>12</v>
      </c>
      <c r="G265">
        <v>-0.72403067369369734</v>
      </c>
      <c r="H265">
        <v>-8.6728161807641216E-2</v>
      </c>
      <c r="I265">
        <v>-0.40648558996415751</v>
      </c>
      <c r="K265">
        <v>-0.40574814182183205</v>
      </c>
      <c r="M265" t="s">
        <v>503</v>
      </c>
      <c r="O265" s="1" t="str" cm="1">
        <f t="array" ref="O265">_xlfn.LET( _xlpm.s, UPPER(M265),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EKLIARIKEICKL</v>
      </c>
    </row>
    <row r="266" spans="1:15" ht="24">
      <c r="A266">
        <v>832</v>
      </c>
      <c r="B266">
        <v>118</v>
      </c>
      <c r="C266">
        <v>53</v>
      </c>
      <c r="D266">
        <v>32</v>
      </c>
      <c r="E266">
        <v>37</v>
      </c>
      <c r="G266">
        <v>-0.28158633771568231</v>
      </c>
      <c r="H266">
        <v>-0.51662223088585291</v>
      </c>
      <c r="I266">
        <v>-0.42114539518391775</v>
      </c>
      <c r="K266">
        <v>-0.40645132126181766</v>
      </c>
      <c r="M266" t="s">
        <v>839</v>
      </c>
      <c r="O266" s="1" t="str" cm="1">
        <f t="array" ref="O266">_xlfn.LET( _xlpm.s, UPPER(M266),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KKLVERIKAICEL</v>
      </c>
    </row>
    <row r="267" spans="1:15" ht="24">
      <c r="A267">
        <v>124</v>
      </c>
      <c r="B267">
        <v>39</v>
      </c>
      <c r="C267">
        <v>14</v>
      </c>
      <c r="D267">
        <v>23</v>
      </c>
      <c r="E267">
        <v>7</v>
      </c>
      <c r="G267">
        <v>-0.37891677135860719</v>
      </c>
      <c r="H267">
        <v>-0.17922697290853984</v>
      </c>
      <c r="I267">
        <v>-0.6634316789570297</v>
      </c>
      <c r="K267">
        <v>-0.40719180774139224</v>
      </c>
      <c r="M267" t="s">
        <v>131</v>
      </c>
      <c r="O267" s="1" t="str" cm="1">
        <f t="array" ref="O267">_xlfn.LET( _xlpm.s, UPPER(M267),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KEMEKRLVEICKH</v>
      </c>
    </row>
    <row r="268" spans="1:15" ht="24">
      <c r="A268">
        <v>785</v>
      </c>
      <c r="B268">
        <v>60</v>
      </c>
      <c r="C268">
        <v>11</v>
      </c>
      <c r="D268">
        <v>31</v>
      </c>
      <c r="E268">
        <v>24</v>
      </c>
      <c r="G268">
        <v>-0.67073876523576459</v>
      </c>
      <c r="H268">
        <v>-0.23667975844900441</v>
      </c>
      <c r="I268">
        <v>-0.31540512061682496</v>
      </c>
      <c r="K268">
        <v>-0.40760788143386462</v>
      </c>
      <c r="M268" t="s">
        <v>792</v>
      </c>
      <c r="O268" s="1" t="str" cm="1">
        <f t="array" ref="O268">_xlfn.LET( _xlpm.s, UPPER(M268),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KRLVKRIEEICKL</v>
      </c>
    </row>
    <row r="269" spans="1:15" ht="24">
      <c r="A269">
        <v>805</v>
      </c>
      <c r="B269">
        <v>171</v>
      </c>
      <c r="C269">
        <v>46</v>
      </c>
      <c r="D269">
        <v>81</v>
      </c>
      <c r="E269">
        <v>50</v>
      </c>
      <c r="G269">
        <v>-0.50421847872092573</v>
      </c>
      <c r="H269">
        <v>-0.27440129341313763</v>
      </c>
      <c r="I269">
        <v>-0.45149121800092246</v>
      </c>
      <c r="K269">
        <v>-0.41003699671166194</v>
      </c>
      <c r="M269" t="s">
        <v>812</v>
      </c>
      <c r="O269" s="1" t="str" cm="1">
        <f t="array" ref="O269">_xlfn.LET( _xlpm.s, UPPER(M269),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EKLIARLKAICER</v>
      </c>
    </row>
    <row r="270" spans="1:15" ht="24">
      <c r="A270">
        <v>798</v>
      </c>
      <c r="B270">
        <v>112</v>
      </c>
      <c r="C270">
        <v>26</v>
      </c>
      <c r="D270">
        <v>89</v>
      </c>
      <c r="E270">
        <v>22</v>
      </c>
      <c r="G270">
        <v>-0.56822487470970962</v>
      </c>
      <c r="H270">
        <v>-4.9718217924902358E-2</v>
      </c>
      <c r="I270">
        <v>-0.62426045379276274</v>
      </c>
      <c r="K270">
        <v>-0.41406784880912495</v>
      </c>
      <c r="M270" t="s">
        <v>805</v>
      </c>
      <c r="O270" s="1" t="str" cm="1">
        <f t="array" ref="O270">_xlfn.LET( _xlpm.s, UPPER(M270),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NKLVERIVEICKL</v>
      </c>
    </row>
    <row r="271" spans="1:15" ht="24">
      <c r="A271">
        <v>121</v>
      </c>
      <c r="B271">
        <v>142</v>
      </c>
      <c r="C271">
        <v>32</v>
      </c>
      <c r="D271">
        <v>33</v>
      </c>
      <c r="E271">
        <v>98</v>
      </c>
      <c r="G271">
        <v>-0.58111856607349643</v>
      </c>
      <c r="H271">
        <v>-0.58366460640480244</v>
      </c>
      <c r="I271">
        <v>-7.8527380635348989E-2</v>
      </c>
      <c r="K271">
        <v>-0.41443685103788264</v>
      </c>
      <c r="M271" t="s">
        <v>128</v>
      </c>
      <c r="O271" s="1" t="str" cm="1">
        <f t="array" ref="O271">_xlfn.LET( _xlpm.s, UPPER(M271),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KEQIRRLKQICDH</v>
      </c>
    </row>
    <row r="272" spans="1:15" ht="24">
      <c r="A272">
        <v>855</v>
      </c>
      <c r="B272">
        <v>128</v>
      </c>
      <c r="C272">
        <v>67</v>
      </c>
      <c r="D272">
        <v>32</v>
      </c>
      <c r="E272">
        <v>35</v>
      </c>
      <c r="G272">
        <v>-0.21511536695738792</v>
      </c>
      <c r="H272">
        <v>-0.55195019322759586</v>
      </c>
      <c r="I272">
        <v>-0.48060703724238013</v>
      </c>
      <c r="K272">
        <v>-0.41589086580912132</v>
      </c>
      <c r="M272" t="s">
        <v>862</v>
      </c>
      <c r="O272" s="1" t="str" cm="1">
        <f t="array" ref="O272">_xlfn.LET( _xlpm.s, UPPER(M272),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ERLVKRLKAICEL</v>
      </c>
    </row>
    <row r="273" spans="1:15" ht="24">
      <c r="A273">
        <v>536</v>
      </c>
      <c r="B273">
        <v>97</v>
      </c>
      <c r="C273">
        <v>32</v>
      </c>
      <c r="D273">
        <v>44</v>
      </c>
      <c r="E273">
        <v>23</v>
      </c>
      <c r="G273">
        <v>-0.41560195595668487</v>
      </c>
      <c r="H273">
        <v>-0.29320925967969097</v>
      </c>
      <c r="I273">
        <v>-0.54250901019343933</v>
      </c>
      <c r="K273">
        <v>-0.41710674194327169</v>
      </c>
      <c r="M273" t="s">
        <v>543</v>
      </c>
      <c r="O273" s="1" t="str" cm="1">
        <f t="array" ref="O273">_xlfn.LET( _xlpm.s, UPPER(M273),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NRMIERLVEILKL</v>
      </c>
    </row>
    <row r="274" spans="1:15" ht="24">
      <c r="A274">
        <v>896</v>
      </c>
      <c r="B274">
        <v>93</v>
      </c>
      <c r="C274">
        <v>96</v>
      </c>
      <c r="D274">
        <v>16</v>
      </c>
      <c r="E274">
        <v>18</v>
      </c>
      <c r="G274">
        <v>7.9808084475287283E-2</v>
      </c>
      <c r="H274">
        <v>-0.71425316779764381</v>
      </c>
      <c r="I274">
        <v>-0.63067555539541631</v>
      </c>
      <c r="K274">
        <v>-0.42170687957259095</v>
      </c>
      <c r="M274" t="s">
        <v>903</v>
      </c>
      <c r="O274" s="1" t="str" cm="1">
        <f t="array" ref="O274">_xlfn.LET( _xlpm.s, UPPER(M274),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ERLVKRLVAICEK</v>
      </c>
    </row>
    <row r="275" spans="1:15" ht="24">
      <c r="A275">
        <v>144</v>
      </c>
      <c r="B275">
        <v>71</v>
      </c>
      <c r="C275">
        <v>27</v>
      </c>
      <c r="D275">
        <v>17</v>
      </c>
      <c r="E275">
        <v>24</v>
      </c>
      <c r="G275">
        <v>-0.35387478457043398</v>
      </c>
      <c r="H275">
        <v>-0.57069962924043482</v>
      </c>
      <c r="I275">
        <v>-0.38851221895225663</v>
      </c>
      <c r="K275">
        <v>-0.43769554425437512</v>
      </c>
      <c r="M275" t="s">
        <v>151</v>
      </c>
      <c r="O275" s="1" t="str" cm="1">
        <f t="array" ref="O275">_xlfn.LET( _xlpm.s, UPPER(M275),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KQQIKRLVEICKH</v>
      </c>
    </row>
    <row r="276" spans="1:15" ht="24">
      <c r="A276">
        <v>876</v>
      </c>
      <c r="B276">
        <v>76</v>
      </c>
      <c r="C276">
        <v>40</v>
      </c>
      <c r="D276">
        <v>22</v>
      </c>
      <c r="E276">
        <v>15</v>
      </c>
      <c r="G276">
        <v>-0.21273380096317496</v>
      </c>
      <c r="H276">
        <v>-0.48828111335821861</v>
      </c>
      <c r="I276">
        <v>-0.62218744516989744</v>
      </c>
      <c r="K276">
        <v>-0.44106745316376367</v>
      </c>
      <c r="M276" t="s">
        <v>883</v>
      </c>
      <c r="O276" s="1" t="str" cm="1">
        <f t="array" ref="O276">_xlfn.LET( _xlpm.s, UPPER(M276),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EKLTERIVEICKL</v>
      </c>
    </row>
    <row r="277" spans="1:15" ht="24">
      <c r="A277">
        <v>903</v>
      </c>
      <c r="B277">
        <v>95</v>
      </c>
      <c r="C277">
        <v>32</v>
      </c>
      <c r="D277">
        <v>25</v>
      </c>
      <c r="E277">
        <v>29</v>
      </c>
      <c r="G277">
        <v>-0.40655382697928777</v>
      </c>
      <c r="H277">
        <v>-0.52967379851644369</v>
      </c>
      <c r="I277">
        <v>-0.432790719334679</v>
      </c>
      <c r="K277">
        <v>-0.45633944827680351</v>
      </c>
      <c r="M277" t="s">
        <v>910</v>
      </c>
      <c r="O277" s="1" t="str" cm="1">
        <f t="array" ref="O277">_xlfn.LET( _xlpm.s, UPPER(M277),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NRLTERLVAICKK</v>
      </c>
    </row>
    <row r="278" spans="1:15" ht="24">
      <c r="A278">
        <v>52</v>
      </c>
      <c r="B278">
        <v>146</v>
      </c>
      <c r="C278">
        <v>24</v>
      </c>
      <c r="D278">
        <v>73</v>
      </c>
      <c r="E278">
        <v>48</v>
      </c>
      <c r="G278">
        <v>-0.7181218140831771</v>
      </c>
      <c r="H278">
        <v>-0.25092019756361472</v>
      </c>
      <c r="I278">
        <v>-0.40057673035363728</v>
      </c>
      <c r="K278">
        <v>-0.45653958066680972</v>
      </c>
      <c r="M278" t="s">
        <v>59</v>
      </c>
      <c r="O278" s="1" t="str" cm="1">
        <f t="array" ref="O278">_xlfn.LET( _xlpm.s, UPPER(M278),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KQQIKRLTLICEH</v>
      </c>
    </row>
    <row r="279" spans="1:15" ht="24">
      <c r="A279">
        <v>783</v>
      </c>
      <c r="B279">
        <v>62</v>
      </c>
      <c r="C279">
        <v>12</v>
      </c>
      <c r="D279">
        <v>33</v>
      </c>
      <c r="E279">
        <v>16</v>
      </c>
      <c r="G279">
        <v>-0.64719064346097499</v>
      </c>
      <c r="H279">
        <v>-0.22376795151999995</v>
      </c>
      <c r="I279">
        <v>-0.5057368187871164</v>
      </c>
      <c r="K279">
        <v>-0.45889847125603045</v>
      </c>
      <c r="M279" t="s">
        <v>790</v>
      </c>
      <c r="O279" s="1" t="str" cm="1">
        <f t="array" ref="O279">_xlfn.LET( _xlpm.s, UPPER(M279),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EKLTKRLIEICKL</v>
      </c>
    </row>
    <row r="280" spans="1:15" ht="24">
      <c r="A280">
        <v>307</v>
      </c>
      <c r="B280">
        <v>30</v>
      </c>
      <c r="C280">
        <v>11</v>
      </c>
      <c r="D280">
        <v>10</v>
      </c>
      <c r="E280">
        <v>6</v>
      </c>
      <c r="G280">
        <v>-0.36970876957178339</v>
      </c>
      <c r="H280">
        <v>-0.42701145661929596</v>
      </c>
      <c r="I280">
        <v>-0.61643511628080605</v>
      </c>
      <c r="K280">
        <v>-0.47105178082396176</v>
      </c>
      <c r="M280" t="s">
        <v>314</v>
      </c>
      <c r="O280" s="1" t="str" cm="1">
        <f t="array" ref="O280">_xlfn.LET( _xlpm.s, UPPER(M280),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KEQIRRLKKICEI</v>
      </c>
    </row>
    <row r="281" spans="1:15" ht="24">
      <c r="A281">
        <v>143</v>
      </c>
      <c r="B281">
        <v>86</v>
      </c>
      <c r="C281">
        <v>44</v>
      </c>
      <c r="D281">
        <v>1</v>
      </c>
      <c r="E281">
        <v>349</v>
      </c>
      <c r="G281">
        <v>-0.22502597476772623</v>
      </c>
      <c r="H281">
        <v>-1.8843886531432013</v>
      </c>
      <c r="I281">
        <v>0.69086186377082492</v>
      </c>
      <c r="K281">
        <v>-0.47285092138003409</v>
      </c>
      <c r="M281" t="s">
        <v>150</v>
      </c>
      <c r="O281" s="1" t="str" cm="1">
        <f t="array" ref="O281">_xlfn.LET( _xlpm.s, UPPER(M281),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KEQIARLVEICKH</v>
      </c>
    </row>
    <row r="282" spans="1:15" ht="24">
      <c r="A282">
        <v>440</v>
      </c>
      <c r="B282">
        <v>27</v>
      </c>
      <c r="C282">
        <v>7</v>
      </c>
      <c r="D282">
        <v>11</v>
      </c>
      <c r="E282">
        <v>6</v>
      </c>
      <c r="G282">
        <v>-0.52024592415507653</v>
      </c>
      <c r="H282">
        <v>-0.3398612809003958</v>
      </c>
      <c r="I282">
        <v>-0.57067762572013103</v>
      </c>
      <c r="K282">
        <v>-0.47692827692520118</v>
      </c>
      <c r="M282" t="s">
        <v>447</v>
      </c>
      <c r="O282" s="1" t="str" cm="1">
        <f t="array" ref="O282">_xlfn.LET( _xlpm.s, UPPER(M282),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KKMVERIKEICKL</v>
      </c>
    </row>
    <row r="283" spans="1:15" ht="24">
      <c r="A283">
        <v>828</v>
      </c>
      <c r="B283">
        <v>82</v>
      </c>
      <c r="C283">
        <v>16</v>
      </c>
      <c r="D283">
        <v>46</v>
      </c>
      <c r="E283">
        <v>17</v>
      </c>
      <c r="G283">
        <v>-0.6436740697381379</v>
      </c>
      <c r="H283">
        <v>-0.20094622260177608</v>
      </c>
      <c r="I283">
        <v>-0.60083004295023013</v>
      </c>
      <c r="K283">
        <v>-0.48181677843004805</v>
      </c>
      <c r="M283" t="s">
        <v>835</v>
      </c>
      <c r="O283" s="1" t="str" cm="1">
        <f t="array" ref="O283">_xlfn.LET( _xlpm.s, UPPER(M283),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EKLTKRLVAICEK</v>
      </c>
    </row>
    <row r="284" spans="1:15" ht="24">
      <c r="A284">
        <v>224</v>
      </c>
      <c r="B284">
        <v>63</v>
      </c>
      <c r="C284">
        <v>23</v>
      </c>
      <c r="D284">
        <v>27</v>
      </c>
      <c r="E284">
        <v>9</v>
      </c>
      <c r="G284">
        <v>-0.37159291344633483</v>
      </c>
      <c r="H284">
        <v>-0.31786698719422796</v>
      </c>
      <c r="I284">
        <v>-0.76256315195904412</v>
      </c>
      <c r="K284">
        <v>-0.484007684199869</v>
      </c>
      <c r="M284" t="s">
        <v>231</v>
      </c>
      <c r="O284" s="1" t="str" cm="1">
        <f t="array" ref="O284">_xlfn.LET( _xlpm.s, UPPER(M284),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KEQIRRLKKICEH</v>
      </c>
    </row>
    <row r="285" spans="1:15" ht="24">
      <c r="A285">
        <v>117</v>
      </c>
      <c r="B285">
        <v>357</v>
      </c>
      <c r="C285">
        <v>133</v>
      </c>
      <c r="D285">
        <v>110</v>
      </c>
      <c r="E285">
        <v>64</v>
      </c>
      <c r="G285">
        <v>-0.36279677515545339</v>
      </c>
      <c r="H285">
        <v>-0.46116573285360168</v>
      </c>
      <c r="I285">
        <v>-0.6639533540730933</v>
      </c>
      <c r="K285">
        <v>-0.49597195402738281</v>
      </c>
      <c r="M285" t="s">
        <v>124</v>
      </c>
      <c r="O285" s="1" t="str" cm="1">
        <f t="array" ref="O285">_xlfn.LET( _xlpm.s, UPPER(M285),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EQQIARLKAICEH</v>
      </c>
    </row>
    <row r="286" spans="1:15" ht="24">
      <c r="A286">
        <v>19</v>
      </c>
      <c r="B286">
        <v>34</v>
      </c>
      <c r="C286">
        <v>5</v>
      </c>
      <c r="D286">
        <v>10</v>
      </c>
      <c r="E286">
        <v>16</v>
      </c>
      <c r="G286">
        <v>-0.76648911271658227</v>
      </c>
      <c r="H286">
        <v>-0.48136911894188866</v>
      </c>
      <c r="I286">
        <v>-0.24482404633111771</v>
      </c>
      <c r="K286">
        <v>-0.49756075932986293</v>
      </c>
      <c r="M286" t="s">
        <v>26</v>
      </c>
      <c r="O286" s="1" t="str" cm="1">
        <f t="array" ref="O286">_xlfn.LET( _xlpm.s, UPPER(M286),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KEQIKRLKEICRH</v>
      </c>
    </row>
    <row r="287" spans="1:15" ht="24">
      <c r="A287">
        <v>858</v>
      </c>
      <c r="B287">
        <v>94</v>
      </c>
      <c r="C287">
        <v>16</v>
      </c>
      <c r="D287">
        <v>11</v>
      </c>
      <c r="E287">
        <v>96</v>
      </c>
      <c r="G287">
        <v>-0.70298807095411986</v>
      </c>
      <c r="H287">
        <v>-0.88162537034110711</v>
      </c>
      <c r="I287">
        <v>9.1678267495082372E-2</v>
      </c>
      <c r="K287">
        <v>-0.49764505793338154</v>
      </c>
      <c r="M287" t="s">
        <v>865</v>
      </c>
      <c r="O287" s="1" t="str" cm="1">
        <f t="array" ref="O287">_xlfn.LET( _xlpm.s, UPPER(M287),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NKMTERIVAICEK</v>
      </c>
    </row>
    <row r="288" spans="1:15" ht="24">
      <c r="A288">
        <v>4</v>
      </c>
      <c r="B288">
        <v>53</v>
      </c>
      <c r="C288">
        <v>10</v>
      </c>
      <c r="D288">
        <v>13</v>
      </c>
      <c r="E288">
        <v>23</v>
      </c>
      <c r="G288">
        <v>-0.65825606961113503</v>
      </c>
      <c r="H288">
        <v>-0.56022271919358579</v>
      </c>
      <c r="I288">
        <v>-0.28001314552798351</v>
      </c>
      <c r="K288">
        <v>-0.49949731144423476</v>
      </c>
      <c r="M288" t="s">
        <v>11</v>
      </c>
      <c r="O288" s="1" t="str" cm="1">
        <f t="array" ref="O288">_xlfn.LET( _xlpm.s, UPPER(M288),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KQQIARLKEICKY</v>
      </c>
    </row>
    <row r="289" spans="1:15" ht="24">
      <c r="A289">
        <v>501</v>
      </c>
      <c r="B289">
        <v>36</v>
      </c>
      <c r="C289">
        <v>1</v>
      </c>
      <c r="D289">
        <v>86</v>
      </c>
      <c r="E289">
        <v>9</v>
      </c>
      <c r="G289">
        <v>-1.4902827007776334</v>
      </c>
      <c r="H289">
        <v>0.42830574857664694</v>
      </c>
      <c r="I289">
        <v>-0.5195251032727497</v>
      </c>
      <c r="K289">
        <v>-0.52716735182457874</v>
      </c>
      <c r="M289" t="s">
        <v>508</v>
      </c>
      <c r="O289" s="1" t="str" cm="1">
        <f t="array" ref="O289">_xlfn.LET( _xlpm.s, UPPER(M289),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EKLIKRLKEICEI</v>
      </c>
    </row>
    <row r="290" spans="1:15" ht="24">
      <c r="A290">
        <v>688</v>
      </c>
      <c r="B290">
        <v>134</v>
      </c>
      <c r="C290">
        <v>24</v>
      </c>
      <c r="D290">
        <v>91</v>
      </c>
      <c r="E290">
        <v>18</v>
      </c>
      <c r="G290">
        <v>-0.68087375666354766</v>
      </c>
      <c r="H290">
        <v>-0.11795360794334757</v>
      </c>
      <c r="I290">
        <v>-0.78929740520628888</v>
      </c>
      <c r="K290">
        <v>-0.52937492327106128</v>
      </c>
      <c r="M290" t="s">
        <v>695</v>
      </c>
      <c r="O290" s="1" t="str" cm="1">
        <f t="array" ref="O290">_xlfn.LET( _xlpm.s, UPPER(M290),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NALIERLKAILEI</v>
      </c>
    </row>
    <row r="291" spans="1:15" ht="24">
      <c r="A291">
        <v>898</v>
      </c>
      <c r="B291">
        <v>83</v>
      </c>
      <c r="C291">
        <v>29</v>
      </c>
      <c r="D291">
        <v>16</v>
      </c>
      <c r="E291">
        <v>20</v>
      </c>
      <c r="G291">
        <v>-0.39066029448746376</v>
      </c>
      <c r="H291">
        <v>-0.66484831161978253</v>
      </c>
      <c r="I291">
        <v>-0.53551320865688001</v>
      </c>
      <c r="K291">
        <v>-0.53034060492137547</v>
      </c>
      <c r="M291" t="s">
        <v>905</v>
      </c>
      <c r="O291" s="1" t="str" cm="1">
        <f t="array" ref="O291">_xlfn.LET( _xlpm.s, UPPER(M291),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KRLVERIIQICKL</v>
      </c>
    </row>
    <row r="292" spans="1:15" ht="24">
      <c r="A292">
        <v>761</v>
      </c>
      <c r="B292">
        <v>130</v>
      </c>
      <c r="C292">
        <v>28</v>
      </c>
      <c r="D292">
        <v>31</v>
      </c>
      <c r="E292">
        <v>41</v>
      </c>
      <c r="G292">
        <v>-0.6007655209749635</v>
      </c>
      <c r="H292">
        <v>-0.57247186037219755</v>
      </c>
      <c r="I292">
        <v>-0.41862460753188863</v>
      </c>
      <c r="K292">
        <v>-0.53062066295968324</v>
      </c>
      <c r="M292" t="s">
        <v>768</v>
      </c>
      <c r="O292" s="1" t="str" cm="1">
        <f t="array" ref="O292">_xlfn.LET( _xlpm.s, UPPER(M292),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KKLTDRLVAICEK</v>
      </c>
    </row>
    <row r="293" spans="1:15" ht="24">
      <c r="A293">
        <v>486</v>
      </c>
      <c r="B293">
        <v>58</v>
      </c>
      <c r="C293">
        <v>11</v>
      </c>
      <c r="D293">
        <v>14</v>
      </c>
      <c r="E293">
        <v>20</v>
      </c>
      <c r="G293">
        <v>-0.65601550841505829</v>
      </c>
      <c r="H293">
        <v>-0.56719015978433274</v>
      </c>
      <c r="I293">
        <v>-0.37986310984374344</v>
      </c>
      <c r="K293">
        <v>-0.53435625934771147</v>
      </c>
      <c r="M293" t="s">
        <v>493</v>
      </c>
      <c r="O293" s="1" t="str" cm="1">
        <f t="array" ref="O293">_xlfn.LET( _xlpm.s, UPPER(M293),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EKAIARLKAICKK</v>
      </c>
    </row>
    <row r="294" spans="1:15" ht="24">
      <c r="A294">
        <v>833</v>
      </c>
      <c r="B294">
        <v>101</v>
      </c>
      <c r="C294">
        <v>7</v>
      </c>
      <c r="D294">
        <v>23</v>
      </c>
      <c r="E294">
        <v>95</v>
      </c>
      <c r="G294">
        <v>-1.0932035337787318</v>
      </c>
      <c r="H294">
        <v>-0.59248373966468315</v>
      </c>
      <c r="I294">
        <v>5.5937119561417822E-2</v>
      </c>
      <c r="K294">
        <v>-0.54325005129399906</v>
      </c>
      <c r="M294" t="s">
        <v>840</v>
      </c>
      <c r="O294" s="1" t="str" cm="1">
        <f t="array" ref="O294">_xlfn.LET( _xlpm.s, UPPER(M294),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KKLTERLIAICEK</v>
      </c>
    </row>
    <row r="295" spans="1:15" ht="24">
      <c r="A295">
        <v>633</v>
      </c>
      <c r="B295">
        <v>82</v>
      </c>
      <c r="C295">
        <v>24</v>
      </c>
      <c r="D295">
        <v>31</v>
      </c>
      <c r="E295">
        <v>11</v>
      </c>
      <c r="G295">
        <v>-0.46758281068245666</v>
      </c>
      <c r="H295">
        <v>-0.37234236044907754</v>
      </c>
      <c r="I295">
        <v>-0.78988627917027887</v>
      </c>
      <c r="K295">
        <v>-0.54327048343393769</v>
      </c>
      <c r="M295" t="s">
        <v>640</v>
      </c>
      <c r="O295" s="1" t="str" cm="1">
        <f t="array" ref="O295">_xlfn.LET( _xlpm.s, UPPER(M295),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KARQKRIEEILTI</v>
      </c>
    </row>
    <row r="296" spans="1:15" ht="24">
      <c r="A296">
        <v>175</v>
      </c>
      <c r="B296">
        <v>96</v>
      </c>
      <c r="C296">
        <v>26</v>
      </c>
      <c r="D296">
        <v>28</v>
      </c>
      <c r="E296">
        <v>18</v>
      </c>
      <c r="G296">
        <v>-0.50127808507909644</v>
      </c>
      <c r="H296">
        <v>-0.48500340359698274</v>
      </c>
      <c r="I296">
        <v>-0.6444638398810496</v>
      </c>
      <c r="K296">
        <v>-0.54358177618570958</v>
      </c>
      <c r="M296" t="s">
        <v>182</v>
      </c>
      <c r="O296" s="1" t="str" cm="1">
        <f t="array" ref="O296">_xlfn.LET( _xlpm.s, UPPER(M296),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KEQVRRLKEICKH</v>
      </c>
    </row>
    <row r="297" spans="1:15" ht="24">
      <c r="A297">
        <v>453</v>
      </c>
      <c r="B297">
        <v>71</v>
      </c>
      <c r="C297">
        <v>20</v>
      </c>
      <c r="D297">
        <v>11</v>
      </c>
      <c r="E297">
        <v>24</v>
      </c>
      <c r="G297">
        <v>-0.48420855306544008</v>
      </c>
      <c r="H297">
        <v>-0.75975586546048379</v>
      </c>
      <c r="I297">
        <v>-0.38851221895225663</v>
      </c>
      <c r="K297">
        <v>-0.54415887915939354</v>
      </c>
      <c r="M297" t="s">
        <v>460</v>
      </c>
      <c r="O297" s="1" t="str" cm="1">
        <f t="array" ref="O297">_xlfn.LET( _xlpm.s, UPPER(M297),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AKMIERIKAICKL</v>
      </c>
    </row>
    <row r="298" spans="1:15" ht="24">
      <c r="A298">
        <v>803</v>
      </c>
      <c r="B298">
        <v>124</v>
      </c>
      <c r="C298">
        <v>5</v>
      </c>
      <c r="D298">
        <v>114</v>
      </c>
      <c r="E298">
        <v>47</v>
      </c>
      <c r="G298">
        <v>-1.3284318808365623</v>
      </c>
      <c r="H298">
        <v>1.3592964274603998E-2</v>
      </c>
      <c r="I298">
        <v>-0.33878893917130498</v>
      </c>
      <c r="K298">
        <v>-0.55120928524442114</v>
      </c>
      <c r="M298" t="s">
        <v>810</v>
      </c>
      <c r="O298" s="1" t="str" cm="1">
        <f t="array" ref="O298">_xlfn.LET( _xlpm.s, UPPER(M298),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RKLTERIVEICKL</v>
      </c>
    </row>
    <row r="299" spans="1:15" ht="24">
      <c r="A299">
        <v>391</v>
      </c>
      <c r="B299">
        <v>101</v>
      </c>
      <c r="C299">
        <v>11</v>
      </c>
      <c r="D299">
        <v>24</v>
      </c>
      <c r="E299">
        <v>49</v>
      </c>
      <c r="G299">
        <v>-0.89690888863476348</v>
      </c>
      <c r="H299">
        <v>-0.57400033397067007</v>
      </c>
      <c r="I299">
        <v>-0.23159040569891626</v>
      </c>
      <c r="K299">
        <v>-0.56749987610144992</v>
      </c>
      <c r="M299" t="s">
        <v>398</v>
      </c>
      <c r="O299" s="1" t="str" cm="1">
        <f t="array" ref="O299">_xlfn.LET( _xlpm.s, UPPER(M299),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KRLIERIKAICEK</v>
      </c>
    </row>
    <row r="300" spans="1:15" ht="24">
      <c r="A300">
        <v>449</v>
      </c>
      <c r="B300">
        <v>45</v>
      </c>
      <c r="C300">
        <v>7</v>
      </c>
      <c r="D300">
        <v>8</v>
      </c>
      <c r="E300">
        <v>20</v>
      </c>
      <c r="G300">
        <v>-0.74209467377143279</v>
      </c>
      <c r="H300">
        <v>-0.70001272868303355</v>
      </c>
      <c r="I300">
        <v>-0.26964763005614989</v>
      </c>
      <c r="K300">
        <v>-0.57058501083687208</v>
      </c>
      <c r="M300" t="s">
        <v>456</v>
      </c>
      <c r="O300" s="1" t="str" cm="1">
        <f t="array" ref="O300">_xlfn.LET( _xlpm.s, UPPER(M300),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NKLIERIKEICKL</v>
      </c>
    </row>
    <row r="301" spans="1:15" ht="24">
      <c r="A301">
        <v>724</v>
      </c>
      <c r="B301">
        <v>73</v>
      </c>
      <c r="C301">
        <v>20</v>
      </c>
      <c r="D301">
        <v>21</v>
      </c>
      <c r="E301">
        <v>11</v>
      </c>
      <c r="G301">
        <v>-0.49627306446682073</v>
      </c>
      <c r="H301">
        <v>-0.49099376728617022</v>
      </c>
      <c r="I301">
        <v>-0.73939528690701817</v>
      </c>
      <c r="K301">
        <v>-0.57555403955333639</v>
      </c>
      <c r="M301" t="s">
        <v>731</v>
      </c>
      <c r="O301" s="1" t="str" cm="1">
        <f t="array" ref="O301">_xlfn.LET( _xlpm.s, UPPER(M301),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KRLTARLVEICKK</v>
      </c>
    </row>
    <row r="302" spans="1:15" ht="24">
      <c r="A302">
        <v>147</v>
      </c>
      <c r="B302">
        <v>89</v>
      </c>
      <c r="C302">
        <v>29</v>
      </c>
      <c r="D302">
        <v>18</v>
      </c>
      <c r="E302">
        <v>16</v>
      </c>
      <c r="G302">
        <v>-0.42097220875630265</v>
      </c>
      <c r="H302">
        <v>-0.64400770344124014</v>
      </c>
      <c r="I302">
        <v>-0.66273513593377531</v>
      </c>
      <c r="K302">
        <v>-0.57590501604377264</v>
      </c>
      <c r="M302" t="s">
        <v>154</v>
      </c>
      <c r="O302" s="1" t="str" cm="1">
        <f t="array" ref="O302">_xlfn.LET( _xlpm.s, UPPER(M302),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KQQIKRLTLICEN</v>
      </c>
    </row>
    <row r="303" spans="1:15" ht="24">
      <c r="A303">
        <v>857</v>
      </c>
      <c r="B303">
        <v>110</v>
      </c>
      <c r="C303">
        <v>28</v>
      </c>
      <c r="D303">
        <v>16</v>
      </c>
      <c r="E303">
        <v>35</v>
      </c>
      <c r="G303">
        <v>-0.5282148538263518</v>
      </c>
      <c r="H303">
        <v>-0.78716290440193371</v>
      </c>
      <c r="I303">
        <v>-0.41478975275273677</v>
      </c>
      <c r="K303">
        <v>-0.57672250366034072</v>
      </c>
      <c r="M303" t="s">
        <v>864</v>
      </c>
      <c r="O303" s="1" t="str" cm="1">
        <f t="array" ref="O303">_xlfn.LET( _xlpm.s, UPPER(M303),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ERAVRRLVEICKK</v>
      </c>
    </row>
    <row r="304" spans="1:15" ht="24">
      <c r="A304">
        <v>458</v>
      </c>
      <c r="B304">
        <v>55</v>
      </c>
      <c r="C304">
        <v>11</v>
      </c>
      <c r="D304">
        <v>9</v>
      </c>
      <c r="E304">
        <v>17</v>
      </c>
      <c r="G304">
        <v>-0.63295020434636473</v>
      </c>
      <c r="H304">
        <v>-0.73601038195455248</v>
      </c>
      <c r="I304">
        <v>-0.42737888006075725</v>
      </c>
      <c r="K304">
        <v>-0.59877982212055814</v>
      </c>
      <c r="M304" t="s">
        <v>465</v>
      </c>
      <c r="O304" s="1" t="str" cm="1">
        <f t="array" ref="O304">_xlfn.LET( _xlpm.s, UPPER(M304),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KQLIERIKEILKL</v>
      </c>
    </row>
    <row r="305" spans="1:15" ht="24">
      <c r="A305">
        <v>164</v>
      </c>
      <c r="B305">
        <v>221</v>
      </c>
      <c r="C305">
        <v>47</v>
      </c>
      <c r="D305">
        <v>45</v>
      </c>
      <c r="E305">
        <v>50</v>
      </c>
      <c r="G305">
        <v>-0.60627461575973918</v>
      </c>
      <c r="H305">
        <v>-0.64106996180940046</v>
      </c>
      <c r="I305">
        <v>-0.56288738129387916</v>
      </c>
      <c r="K305">
        <v>-0.6034106529543396</v>
      </c>
      <c r="M305" t="s">
        <v>171</v>
      </c>
      <c r="O305" s="1" t="str" cm="1">
        <f t="array" ref="O305">_xlfn.LET( _xlpm.s, UPPER(M305),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KQQIERLTLICEH</v>
      </c>
    </row>
    <row r="306" spans="1:15" ht="24">
      <c r="A306">
        <v>533</v>
      </c>
      <c r="B306">
        <v>155</v>
      </c>
      <c r="C306">
        <v>29</v>
      </c>
      <c r="D306">
        <v>38</v>
      </c>
      <c r="E306">
        <v>32</v>
      </c>
      <c r="G306">
        <v>-0.6619139002816814</v>
      </c>
      <c r="H306">
        <v>-0.56043830345311485</v>
      </c>
      <c r="I306">
        <v>-0.60264683179517287</v>
      </c>
      <c r="K306">
        <v>-0.60833301184332311</v>
      </c>
      <c r="M306" t="s">
        <v>540</v>
      </c>
      <c r="O306" s="1" t="str" cm="1">
        <f t="array" ref="O306">_xlfn.LET( _xlpm.s, UPPER(M306),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KALVERIKAICEK</v>
      </c>
    </row>
    <row r="307" spans="1:15" ht="24">
      <c r="A307">
        <v>904</v>
      </c>
      <c r="B307">
        <v>42</v>
      </c>
      <c r="C307">
        <v>17</v>
      </c>
      <c r="D307">
        <v>5</v>
      </c>
      <c r="E307">
        <v>8</v>
      </c>
      <c r="G307">
        <v>-0.32678056902997249</v>
      </c>
      <c r="H307">
        <v>-0.87416948796151517</v>
      </c>
      <c r="I307">
        <v>-0.63762441535074421</v>
      </c>
      <c r="K307">
        <v>-0.61285815744741068</v>
      </c>
      <c r="M307" t="s">
        <v>911</v>
      </c>
      <c r="O307" s="1" t="str" cm="1">
        <f t="array" ref="O307">_xlfn.LET( _xlpm.s, UPPER(M307),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EKLTEKLVAICKL</v>
      </c>
    </row>
    <row r="308" spans="1:15" ht="24">
      <c r="A308">
        <v>901</v>
      </c>
      <c r="B308">
        <v>65</v>
      </c>
      <c r="C308">
        <v>9</v>
      </c>
      <c r="D308">
        <v>14</v>
      </c>
      <c r="E308">
        <v>20</v>
      </c>
      <c r="G308">
        <v>-0.79265104721387669</v>
      </c>
      <c r="H308">
        <v>-0.61667552286425098</v>
      </c>
      <c r="I308">
        <v>-0.42934847292366168</v>
      </c>
      <c r="K308">
        <v>-0.61289168100059643</v>
      </c>
      <c r="M308" t="s">
        <v>908</v>
      </c>
      <c r="O308" s="1" t="str" cm="1">
        <f t="array" ref="O308">_xlfn.LET( _xlpm.s, UPPER(M308),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KKMVERIVAICKK</v>
      </c>
    </row>
    <row r="309" spans="1:15" ht="24">
      <c r="A309">
        <v>247</v>
      </c>
      <c r="B309">
        <v>74</v>
      </c>
      <c r="C309">
        <v>14</v>
      </c>
      <c r="D309">
        <v>33</v>
      </c>
      <c r="E309">
        <v>8</v>
      </c>
      <c r="G309">
        <v>-0.65708388406308416</v>
      </c>
      <c r="H309">
        <v>-0.30060798175272224</v>
      </c>
      <c r="I309">
        <v>-0.88360684468381989</v>
      </c>
      <c r="K309">
        <v>-0.61376623683320874</v>
      </c>
      <c r="M309" t="s">
        <v>254</v>
      </c>
      <c r="O309" s="1" t="str" cm="1">
        <f t="array" ref="O309">_xlfn.LET( _xlpm.s, UPPER(M309),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KQQIARLKEICKR</v>
      </c>
    </row>
    <row r="310" spans="1:15" ht="24">
      <c r="A310">
        <v>480</v>
      </c>
      <c r="B310">
        <v>49</v>
      </c>
      <c r="C310">
        <v>12</v>
      </c>
      <c r="D310">
        <v>8</v>
      </c>
      <c r="E310">
        <v>11</v>
      </c>
      <c r="G310">
        <v>-0.54499503399123483</v>
      </c>
      <c r="H310">
        <v>-0.73699629493620356</v>
      </c>
      <c r="I310">
        <v>-0.5662685068150759</v>
      </c>
      <c r="K310">
        <v>-0.61608661191417136</v>
      </c>
      <c r="M310" t="s">
        <v>487</v>
      </c>
      <c r="O310" s="1" t="str" cm="1">
        <f t="array" ref="O310">_xlfn.LET( _xlpm.s, UPPER(M310),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ERLIKRLKEICKR</v>
      </c>
    </row>
    <row r="311" spans="1:15" ht="24">
      <c r="A311">
        <v>865</v>
      </c>
      <c r="B311">
        <v>141</v>
      </c>
      <c r="C311">
        <v>28</v>
      </c>
      <c r="D311">
        <v>18</v>
      </c>
      <c r="E311">
        <v>49</v>
      </c>
      <c r="G311">
        <v>-0.63604128132350668</v>
      </c>
      <c r="H311">
        <v>-0.84383680945170736</v>
      </c>
      <c r="I311">
        <v>-0.37648814457165358</v>
      </c>
      <c r="K311">
        <v>-0.61878874511562254</v>
      </c>
      <c r="M311" t="s">
        <v>872</v>
      </c>
      <c r="O311" s="1" t="str" cm="1">
        <f t="array" ref="O311">_xlfn.LET( _xlpm.s, UPPER(M311),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RRMVNRIVAICEK</v>
      </c>
    </row>
    <row r="312" spans="1:15" ht="24">
      <c r="A312">
        <v>414</v>
      </c>
      <c r="B312">
        <v>87</v>
      </c>
      <c r="C312">
        <v>13</v>
      </c>
      <c r="D312">
        <v>25</v>
      </c>
      <c r="E312">
        <v>17</v>
      </c>
      <c r="G312">
        <v>-0.75955610032212773</v>
      </c>
      <c r="H312">
        <v>-0.49146944584621449</v>
      </c>
      <c r="I312">
        <v>-0.62653544318513188</v>
      </c>
      <c r="K312">
        <v>-0.62585366311782475</v>
      </c>
      <c r="M312" t="s">
        <v>421</v>
      </c>
      <c r="O312" s="1" t="str" cm="1">
        <f t="array" ref="O312">_xlfn.LET( _xlpm.s, UPPER(M312),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EKMIARIKAICEL</v>
      </c>
    </row>
    <row r="313" spans="1:15" ht="24">
      <c r="A313">
        <v>842</v>
      </c>
      <c r="B313">
        <v>113</v>
      </c>
      <c r="C313">
        <v>18</v>
      </c>
      <c r="D313">
        <v>21</v>
      </c>
      <c r="E313">
        <v>31</v>
      </c>
      <c r="G313">
        <v>-0.7317861383904597</v>
      </c>
      <c r="H313">
        <v>-0.68074935064913389</v>
      </c>
      <c r="I313">
        <v>-0.47918186159393444</v>
      </c>
      <c r="K313">
        <v>-0.63057245021117603</v>
      </c>
      <c r="M313" t="s">
        <v>849</v>
      </c>
      <c r="O313" s="1" t="str" cm="1">
        <f t="array" ref="O313">_xlfn.LET( _xlpm.s, UPPER(M313),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KKLVERIKAICEK</v>
      </c>
    </row>
    <row r="314" spans="1:15" ht="24">
      <c r="A314">
        <v>75</v>
      </c>
      <c r="B314">
        <v>69</v>
      </c>
      <c r="C314">
        <v>4</v>
      </c>
      <c r="D314">
        <v>10</v>
      </c>
      <c r="E314">
        <v>66</v>
      </c>
      <c r="G314">
        <v>-1.170769299419639</v>
      </c>
      <c r="H314">
        <v>-0.7887392926368888</v>
      </c>
      <c r="I314">
        <v>6.3229732859826027E-2</v>
      </c>
      <c r="K314">
        <v>-0.63209295306556734</v>
      </c>
      <c r="M314" t="s">
        <v>82</v>
      </c>
      <c r="O314" s="1" t="str" cm="1">
        <f t="array" ref="O314">_xlfn.LET( _xlpm.s, UPPER(M314),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KQQITRLKEICKH</v>
      </c>
    </row>
    <row r="315" spans="1:15" ht="24">
      <c r="A315">
        <v>15</v>
      </c>
      <c r="B315">
        <v>187</v>
      </c>
      <c r="C315">
        <v>95</v>
      </c>
      <c r="D315">
        <v>29</v>
      </c>
      <c r="E315">
        <v>19</v>
      </c>
      <c r="G315">
        <v>-0.22809820125799718</v>
      </c>
      <c r="H315">
        <v>-0.7593338105371763</v>
      </c>
      <c r="I315">
        <v>-0.91055311752845725</v>
      </c>
      <c r="K315">
        <v>-0.63266170977454361</v>
      </c>
      <c r="M315" t="s">
        <v>22</v>
      </c>
      <c r="O315" s="1" t="str" cm="1">
        <f t="array" ref="O315">_xlfn.LET( _xlpm.s, UPPER(M315),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KQQVKRLKLICEH</v>
      </c>
    </row>
    <row r="316" spans="1:15" ht="24">
      <c r="A316">
        <v>322</v>
      </c>
      <c r="B316">
        <v>94</v>
      </c>
      <c r="C316">
        <v>7</v>
      </c>
      <c r="D316">
        <v>61</v>
      </c>
      <c r="E316">
        <v>15</v>
      </c>
      <c r="G316">
        <v>-1.0620100135957879</v>
      </c>
      <c r="H316">
        <v>-0.13768822048856516</v>
      </c>
      <c r="I316">
        <v>-0.71450170648880473</v>
      </c>
      <c r="K316">
        <v>-0.6380666468577193</v>
      </c>
      <c r="M316" t="s">
        <v>329</v>
      </c>
      <c r="O316" s="1" t="str" cm="1">
        <f t="array" ref="O316">_xlfn.LET( _xlpm.s, UPPER(M316),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KEQIKRLKLICEK</v>
      </c>
    </row>
    <row r="317" spans="1:15" ht="24">
      <c r="A317">
        <v>5</v>
      </c>
      <c r="B317">
        <v>46</v>
      </c>
      <c r="C317">
        <v>4</v>
      </c>
      <c r="D317">
        <v>23</v>
      </c>
      <c r="E317">
        <v>8</v>
      </c>
      <c r="G317">
        <v>-0.99467804036395757</v>
      </c>
      <c r="H317">
        <v>-0.25092019756361472</v>
      </c>
      <c r="I317">
        <v>-0.67713295663441786</v>
      </c>
      <c r="K317">
        <v>-0.64091039818733009</v>
      </c>
      <c r="M317" t="s">
        <v>12</v>
      </c>
      <c r="O317" s="1" t="str" cm="1">
        <f t="array" ref="O317">_xlfn.LET( _xlpm.s, UPPER(M317),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KQQIKRLIEICKY</v>
      </c>
    </row>
    <row r="318" spans="1:15" ht="24">
      <c r="A318">
        <v>492</v>
      </c>
      <c r="B318">
        <v>20</v>
      </c>
      <c r="C318">
        <v>2</v>
      </c>
      <c r="D318">
        <v>10</v>
      </c>
      <c r="E318">
        <v>3</v>
      </c>
      <c r="G318">
        <v>-0.93398020001034598</v>
      </c>
      <c r="H318">
        <v>-0.25092019756361472</v>
      </c>
      <c r="I318">
        <v>-0.74137385288910607</v>
      </c>
      <c r="K318">
        <v>-0.64209141682102222</v>
      </c>
      <c r="M318" t="s">
        <v>499</v>
      </c>
      <c r="O318" s="1" t="str" cm="1">
        <f t="array" ref="O318">_xlfn.LET( _xlpm.s, UPPER(M318),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EKMKERLVEILKI</v>
      </c>
    </row>
    <row r="319" spans="1:15" ht="24">
      <c r="A319">
        <v>114</v>
      </c>
      <c r="B319">
        <v>27</v>
      </c>
      <c r="C319">
        <v>14</v>
      </c>
      <c r="D319">
        <v>2</v>
      </c>
      <c r="E319">
        <v>5</v>
      </c>
      <c r="G319">
        <v>-0.21921592849109528</v>
      </c>
      <c r="H319">
        <v>-1.0802239703946397</v>
      </c>
      <c r="I319">
        <v>-0.64985887176775581</v>
      </c>
      <c r="K319">
        <v>-0.64976625688449696</v>
      </c>
      <c r="M319" t="s">
        <v>121</v>
      </c>
      <c r="O319" s="1" t="str" cm="1">
        <f t="array" ref="O319">_xlfn.LET( _xlpm.s, UPPER(M319),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KEQIKRLKKICDH</v>
      </c>
    </row>
    <row r="320" spans="1:15" ht="24">
      <c r="A320">
        <v>495</v>
      </c>
      <c r="B320">
        <v>42</v>
      </c>
      <c r="C320">
        <v>7</v>
      </c>
      <c r="D320">
        <v>5</v>
      </c>
      <c r="E320">
        <v>15</v>
      </c>
      <c r="G320">
        <v>-0.71213145039398962</v>
      </c>
      <c r="H320">
        <v>-0.87416948796151517</v>
      </c>
      <c r="I320">
        <v>-0.36462314328700657</v>
      </c>
      <c r="K320">
        <v>-0.65030802721417047</v>
      </c>
      <c r="M320" t="s">
        <v>502</v>
      </c>
      <c r="O320" s="1" t="str" cm="1">
        <f t="array" ref="O320">_xlfn.LET( _xlpm.s, UPPER(M320),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EKLIERIKEICKL</v>
      </c>
    </row>
    <row r="321" spans="1:15" ht="24">
      <c r="A321">
        <v>845</v>
      </c>
      <c r="B321">
        <v>125</v>
      </c>
      <c r="C321">
        <v>12</v>
      </c>
      <c r="D321">
        <v>56</v>
      </c>
      <c r="E321">
        <v>19</v>
      </c>
      <c r="G321">
        <v>-0.95170896697077756</v>
      </c>
      <c r="H321">
        <v>-0.29861218790148952</v>
      </c>
      <c r="I321">
        <v>-0.73562152400001479</v>
      </c>
      <c r="K321">
        <v>-0.66198089295742724</v>
      </c>
      <c r="M321" t="s">
        <v>852</v>
      </c>
      <c r="O321" s="1" t="str" cm="1">
        <f t="array" ref="O321">_xlfn.LET( _xlpm.s, UPPER(M321),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EKLVERIKAICEL</v>
      </c>
    </row>
    <row r="322" spans="1:15" ht="24">
      <c r="A322">
        <v>708</v>
      </c>
      <c r="B322">
        <v>26</v>
      </c>
      <c r="C322">
        <v>19</v>
      </c>
      <c r="D322">
        <v>2</v>
      </c>
      <c r="E322">
        <v>3</v>
      </c>
      <c r="G322">
        <v>-7.0199947028335027E-2</v>
      </c>
      <c r="H322">
        <v>-1.0638335542064703</v>
      </c>
      <c r="I322">
        <v>-0.85531720519594279</v>
      </c>
      <c r="K322">
        <v>-0.66311690214358265</v>
      </c>
      <c r="M322" t="s">
        <v>715</v>
      </c>
      <c r="O322" s="1" t="str" cm="1">
        <f t="array" ref="O322">_xlfn.LET( _xlpm.s, UPPER(M322),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KAKIARIKEILEI</v>
      </c>
    </row>
    <row r="323" spans="1:15" ht="24">
      <c r="A323">
        <v>138</v>
      </c>
      <c r="B323">
        <v>119</v>
      </c>
      <c r="C323">
        <v>35</v>
      </c>
      <c r="D323">
        <v>18</v>
      </c>
      <c r="E323">
        <v>16</v>
      </c>
      <c r="G323">
        <v>-0.46545911705260112</v>
      </c>
      <c r="H323">
        <v>-0.77016465818885815</v>
      </c>
      <c r="I323">
        <v>-0.78889209068139332</v>
      </c>
      <c r="K323">
        <v>-0.67483862197428424</v>
      </c>
      <c r="M323" t="s">
        <v>145</v>
      </c>
      <c r="O323" s="1" t="str" cm="1">
        <f t="array" ref="O323">_xlfn.LET( _xlpm.s, UPPER(M323),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REQIERLKLICKH</v>
      </c>
    </row>
    <row r="324" spans="1:15" ht="24">
      <c r="A324">
        <v>747</v>
      </c>
      <c r="B324">
        <v>48</v>
      </c>
      <c r="C324">
        <v>15</v>
      </c>
      <c r="D324">
        <v>7</v>
      </c>
      <c r="E324">
        <v>6</v>
      </c>
      <c r="G324">
        <v>-0.43913017833025192</v>
      </c>
      <c r="H324">
        <v>-0.78603339926096383</v>
      </c>
      <c r="I324">
        <v>-0.82055509893673084</v>
      </c>
      <c r="K324">
        <v>-0.68190622550931546</v>
      </c>
      <c r="M324" t="s">
        <v>754</v>
      </c>
      <c r="O324" s="1" t="str" cm="1">
        <f t="array" ref="O324">_xlfn.LET( _xlpm.s, UPPER(M324),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EKLVRRLVEICKK</v>
      </c>
    </row>
    <row r="325" spans="1:15" ht="24">
      <c r="A325">
        <v>361</v>
      </c>
      <c r="B325">
        <v>36</v>
      </c>
      <c r="C325">
        <v>8</v>
      </c>
      <c r="D325">
        <v>8</v>
      </c>
      <c r="E325">
        <v>4</v>
      </c>
      <c r="G325">
        <v>-0.58719271378568971</v>
      </c>
      <c r="H325">
        <v>-0.6031027156749772</v>
      </c>
      <c r="I325">
        <v>-0.87170762138411217</v>
      </c>
      <c r="K325">
        <v>-0.68733435028159295</v>
      </c>
      <c r="M325" t="s">
        <v>368</v>
      </c>
      <c r="O325" s="1" t="str" cm="1">
        <f t="array" ref="O325">_xlfn.LET( _xlpm.s, UPPER(M325),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KKLIERLKEILKL</v>
      </c>
    </row>
    <row r="326" spans="1:15" ht="24">
      <c r="A326">
        <v>98</v>
      </c>
      <c r="B326">
        <v>66</v>
      </c>
      <c r="C326">
        <v>9</v>
      </c>
      <c r="D326">
        <v>25</v>
      </c>
      <c r="E326">
        <v>7</v>
      </c>
      <c r="G326">
        <v>-0.79928162611288978</v>
      </c>
      <c r="H326">
        <v>-0.37149412876946458</v>
      </c>
      <c r="I326">
        <v>-0.89191100747239915</v>
      </c>
      <c r="K326">
        <v>-0.68756225411825111</v>
      </c>
      <c r="M326" t="s">
        <v>105</v>
      </c>
      <c r="O326" s="1" t="str" cm="1">
        <f t="array" ref="O326">_xlfn.LET( _xlpm.s, UPPER(M326),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KQQIKRLKEICKH</v>
      </c>
    </row>
    <row r="327" spans="1:15" ht="24">
      <c r="A327">
        <v>363</v>
      </c>
      <c r="B327">
        <v>48</v>
      </c>
      <c r="C327">
        <v>6</v>
      </c>
      <c r="D327">
        <v>10</v>
      </c>
      <c r="E327">
        <v>10</v>
      </c>
      <c r="G327">
        <v>-0.83707018700228952</v>
      </c>
      <c r="H327">
        <v>-0.63113143927522064</v>
      </c>
      <c r="I327">
        <v>-0.59870634932037448</v>
      </c>
      <c r="K327">
        <v>-0.68896932519929488</v>
      </c>
      <c r="M327" t="s">
        <v>370</v>
      </c>
      <c r="O327" s="1" t="str" cm="1">
        <f t="array" ref="O327">_xlfn.LET( _xlpm.s, UPPER(M327),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EKMIERIKEICRI</v>
      </c>
    </row>
    <row r="328" spans="1:15" ht="24">
      <c r="A328">
        <v>795</v>
      </c>
      <c r="B328">
        <v>53</v>
      </c>
      <c r="C328">
        <v>5</v>
      </c>
      <c r="D328">
        <v>12</v>
      </c>
      <c r="E328">
        <v>13</v>
      </c>
      <c r="G328">
        <v>-0.95928606527511617</v>
      </c>
      <c r="H328">
        <v>-0.59498482545279763</v>
      </c>
      <c r="I328">
        <v>-0.52779762923873963</v>
      </c>
      <c r="K328">
        <v>-0.69402283998888448</v>
      </c>
      <c r="M328" t="s">
        <v>802</v>
      </c>
      <c r="O328" s="1" t="str" cm="1">
        <f t="array" ref="O328">_xlfn.LET( _xlpm.s, UPPER(M328),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NKMIERIVKICEL</v>
      </c>
    </row>
    <row r="329" spans="1:15" ht="24">
      <c r="A329">
        <v>796</v>
      </c>
      <c r="B329">
        <v>146</v>
      </c>
      <c r="C329">
        <v>22</v>
      </c>
      <c r="D329">
        <v>28</v>
      </c>
      <c r="E329">
        <v>26</v>
      </c>
      <c r="G329">
        <v>-0.75591037497257685</v>
      </c>
      <c r="H329">
        <v>-0.66708502634185141</v>
      </c>
      <c r="I329">
        <v>-0.66684461975840648</v>
      </c>
      <c r="K329">
        <v>-0.69661334035761158</v>
      </c>
      <c r="M329" t="s">
        <v>803</v>
      </c>
      <c r="O329" s="1" t="str" cm="1">
        <f t="array" ref="O329">_xlfn.LET( _xlpm.s, UPPER(M329),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KRLVERIVEICKR</v>
      </c>
    </row>
    <row r="330" spans="1:15" ht="24">
      <c r="A330">
        <v>189</v>
      </c>
      <c r="B330">
        <v>53</v>
      </c>
      <c r="C330">
        <v>4</v>
      </c>
      <c r="D330">
        <v>19</v>
      </c>
      <c r="E330">
        <v>10</v>
      </c>
      <c r="G330">
        <v>-1.0561960782831727</v>
      </c>
      <c r="H330">
        <v>-0.39541247054759365</v>
      </c>
      <c r="I330">
        <v>-0.64174098154557635</v>
      </c>
      <c r="K330">
        <v>-0.69778317679211421</v>
      </c>
      <c r="M330" t="s">
        <v>196</v>
      </c>
      <c r="O330" s="1" t="str" cm="1">
        <f t="array" ref="O330">_xlfn.LET( _xlpm.s, UPPER(M330),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KEQIKRLKEICAH</v>
      </c>
    </row>
    <row r="331" spans="1:15" ht="24">
      <c r="A331">
        <v>297</v>
      </c>
      <c r="B331">
        <v>108</v>
      </c>
      <c r="C331">
        <v>10</v>
      </c>
      <c r="D331">
        <v>34</v>
      </c>
      <c r="E331">
        <v>18</v>
      </c>
      <c r="G331">
        <v>-0.96740395549729563</v>
      </c>
      <c r="H331">
        <v>-0.45183504034432814</v>
      </c>
      <c r="I331">
        <v>-0.69561636232843094</v>
      </c>
      <c r="K331">
        <v>-0.70495178605668496</v>
      </c>
      <c r="M331" t="s">
        <v>304</v>
      </c>
      <c r="O331" s="1" t="str" cm="1">
        <f t="array" ref="O331">_xlfn.LET( _xlpm.s, UPPER(M331),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KQQIKRLKEMCKH</v>
      </c>
    </row>
    <row r="332" spans="1:15" ht="24">
      <c r="A332">
        <v>856</v>
      </c>
      <c r="B332">
        <v>131</v>
      </c>
      <c r="C332">
        <v>6</v>
      </c>
      <c r="D332">
        <v>52</v>
      </c>
      <c r="E332">
        <v>35</v>
      </c>
      <c r="G332">
        <v>-1.2731002452824667</v>
      </c>
      <c r="H332">
        <v>-0.35115815392059863</v>
      </c>
      <c r="I332">
        <v>-0.49066836325027602</v>
      </c>
      <c r="K332">
        <v>-0.70497558748444711</v>
      </c>
      <c r="M332" t="s">
        <v>863</v>
      </c>
      <c r="O332" s="1" t="str" cm="1">
        <f t="array" ref="O332">_xlfn.LET( _xlpm.s, UPPER(M332),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ERLTERIVQICKL</v>
      </c>
    </row>
    <row r="333" spans="1:15" ht="24">
      <c r="A333">
        <v>130</v>
      </c>
      <c r="B333">
        <v>103</v>
      </c>
      <c r="C333">
        <v>11</v>
      </c>
      <c r="D333">
        <v>30</v>
      </c>
      <c r="E333">
        <v>16</v>
      </c>
      <c r="G333">
        <v>-0.90542473955729319</v>
      </c>
      <c r="H333">
        <v>-0.48560617188514327</v>
      </c>
      <c r="I333">
        <v>-0.72618235399403475</v>
      </c>
      <c r="K333">
        <v>-0.70573775514549031</v>
      </c>
      <c r="M333" t="s">
        <v>137</v>
      </c>
      <c r="O333" s="1" t="str" cm="1">
        <f t="array" ref="O333">_xlfn.LET( _xlpm.s, UPPER(M333),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KEQIKRLKAICDH</v>
      </c>
    </row>
    <row r="334" spans="1:15" ht="24">
      <c r="A334">
        <v>310</v>
      </c>
      <c r="B334">
        <v>59</v>
      </c>
      <c r="C334">
        <v>11</v>
      </c>
      <c r="D334">
        <v>15</v>
      </c>
      <c r="E334">
        <v>6</v>
      </c>
      <c r="G334">
        <v>-0.66343952649426507</v>
      </c>
      <c r="H334">
        <v>-0.54465095448609646</v>
      </c>
      <c r="I334">
        <v>-0.91016587320328779</v>
      </c>
      <c r="K334">
        <v>-0.7060854513945497</v>
      </c>
      <c r="M334" t="s">
        <v>317</v>
      </c>
      <c r="O334" s="1" t="str" cm="1">
        <f t="array" ref="O334">_xlfn.LET( _xlpm.s, UPPER(M334),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EQQIARLKEICKE</v>
      </c>
    </row>
    <row r="335" spans="1:15" ht="24">
      <c r="A335">
        <v>282</v>
      </c>
      <c r="B335">
        <v>60</v>
      </c>
      <c r="C335">
        <v>13</v>
      </c>
      <c r="D335">
        <v>6</v>
      </c>
      <c r="E335">
        <v>13</v>
      </c>
      <c r="G335">
        <v>-0.59818809808715279</v>
      </c>
      <c r="H335">
        <v>-0.94989020189963347</v>
      </c>
      <c r="I335">
        <v>-0.58167301002159411</v>
      </c>
      <c r="K335">
        <v>-0.70991710333612679</v>
      </c>
      <c r="M335" t="s">
        <v>289</v>
      </c>
      <c r="O335" s="1" t="str" cm="1">
        <f t="array" ref="O335">_xlfn.LET( _xlpm.s, UPPER(M335),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KEQVRRLKEICKI</v>
      </c>
    </row>
    <row r="336" spans="1:15" ht="24">
      <c r="A336">
        <v>897</v>
      </c>
      <c r="B336">
        <v>105</v>
      </c>
      <c r="C336">
        <v>9</v>
      </c>
      <c r="D336">
        <v>35</v>
      </c>
      <c r="E336">
        <v>16</v>
      </c>
      <c r="G336">
        <v>-1.0009269896409594</v>
      </c>
      <c r="H336">
        <v>-0.42701145661929596</v>
      </c>
      <c r="I336">
        <v>-0.73453442835880056</v>
      </c>
      <c r="K336">
        <v>-0.7208242915396853</v>
      </c>
      <c r="M336" t="s">
        <v>904</v>
      </c>
      <c r="O336" s="1" t="str" cm="1">
        <f t="array" ref="O336">_xlfn.LET( _xlpm.s, UPPER(M336),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EKMVERIKAICER</v>
      </c>
    </row>
    <row r="337" spans="1:15" ht="24">
      <c r="A337">
        <v>276</v>
      </c>
      <c r="B337">
        <v>31</v>
      </c>
      <c r="C337">
        <v>8</v>
      </c>
      <c r="D337">
        <v>4</v>
      </c>
      <c r="E337">
        <v>4</v>
      </c>
      <c r="G337">
        <v>-0.52225190685267509</v>
      </c>
      <c r="H337">
        <v>-0.83919190440594382</v>
      </c>
      <c r="I337">
        <v>-0.80676681445109766</v>
      </c>
      <c r="K337">
        <v>-0.72273687523657226</v>
      </c>
      <c r="M337" t="s">
        <v>283</v>
      </c>
      <c r="O337" s="1" t="str" cm="1">
        <f t="array" ref="O337">_xlfn.LET( _xlpm.s, UPPER(M337),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EEQKKRLVLICEH</v>
      </c>
    </row>
    <row r="338" spans="1:15" ht="24">
      <c r="A338">
        <v>537</v>
      </c>
      <c r="B338">
        <v>134</v>
      </c>
      <c r="C338">
        <v>17</v>
      </c>
      <c r="D338">
        <v>20</v>
      </c>
      <c r="E338">
        <v>27</v>
      </c>
      <c r="G338">
        <v>-0.83063607699687969</v>
      </c>
      <c r="H338">
        <v>-0.77596500460045992</v>
      </c>
      <c r="I338">
        <v>-0.61320614615060764</v>
      </c>
      <c r="K338">
        <v>-0.73993574258264905</v>
      </c>
      <c r="M338" t="s">
        <v>544</v>
      </c>
      <c r="O338" s="1" t="str" cm="1">
        <f t="array" ref="O338">_xlfn.LET( _xlpm.s, UPPER(M338),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KALEERIRAICEK</v>
      </c>
    </row>
    <row r="339" spans="1:15" ht="24">
      <c r="A339">
        <v>884</v>
      </c>
      <c r="B339">
        <v>136</v>
      </c>
      <c r="C339">
        <v>12</v>
      </c>
      <c r="D339">
        <v>33</v>
      </c>
      <c r="E339">
        <v>24</v>
      </c>
      <c r="G339">
        <v>-0.98833786233293874</v>
      </c>
      <c r="H339">
        <v>-0.56491517039196348</v>
      </c>
      <c r="I339">
        <v>-0.67079277860339881</v>
      </c>
      <c r="K339">
        <v>-0.74134860377610023</v>
      </c>
      <c r="M339" t="s">
        <v>891</v>
      </c>
      <c r="O339" s="1" t="str" cm="1">
        <f t="array" ref="O339">_xlfn.LET( _xlpm.s, UPPER(M339),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SRLVERIVKICEL</v>
      </c>
    </row>
    <row r="340" spans="1:15" ht="24">
      <c r="A340">
        <v>210</v>
      </c>
      <c r="B340">
        <v>40</v>
      </c>
      <c r="C340">
        <v>2</v>
      </c>
      <c r="D340">
        <v>15</v>
      </c>
      <c r="E340">
        <v>8</v>
      </c>
      <c r="G340">
        <v>-1.2350101956743273</v>
      </c>
      <c r="H340">
        <v>-0.37585893417191468</v>
      </c>
      <c r="I340">
        <v>-0.61643511628080605</v>
      </c>
      <c r="K340">
        <v>-0.74243474870901605</v>
      </c>
      <c r="M340" t="s">
        <v>217</v>
      </c>
      <c r="O340" s="1" t="str" cm="1">
        <f t="array" ref="O340">_xlfn.LET( _xlpm.s, UPPER(M340),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KLQIKRLVEICKI</v>
      </c>
    </row>
    <row r="341" spans="1:15" ht="24">
      <c r="A341">
        <v>46</v>
      </c>
      <c r="B341">
        <v>146</v>
      </c>
      <c r="C341">
        <v>8</v>
      </c>
      <c r="D341">
        <v>22</v>
      </c>
      <c r="E341">
        <v>62</v>
      </c>
      <c r="G341">
        <v>-1.1952430688028397</v>
      </c>
      <c r="H341">
        <v>-0.77182037686186433</v>
      </c>
      <c r="I341">
        <v>-0.28942627823097061</v>
      </c>
      <c r="K341">
        <v>-0.75216324129855827</v>
      </c>
      <c r="M341" t="s">
        <v>53</v>
      </c>
      <c r="O341" s="1" t="str" cm="1">
        <f t="array" ref="O341">_xlfn.LET( _xlpm.s, UPPER(M341),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KEQIKRLKLICKH</v>
      </c>
    </row>
    <row r="342" spans="1:15" ht="24">
      <c r="A342">
        <v>422</v>
      </c>
      <c r="B342">
        <v>24</v>
      </c>
      <c r="C342">
        <v>3</v>
      </c>
      <c r="D342">
        <v>4</v>
      </c>
      <c r="E342">
        <v>4</v>
      </c>
      <c r="G342">
        <v>-0.83707018700228952</v>
      </c>
      <c r="H342">
        <v>-0.7280414522832771</v>
      </c>
      <c r="I342">
        <v>-0.69561636232843094</v>
      </c>
      <c r="K342">
        <v>-0.75357600053799922</v>
      </c>
      <c r="M342" t="s">
        <v>429</v>
      </c>
      <c r="O342" s="1" t="str" cm="1">
        <f t="array" ref="O342">_xlfn.LET( _xlpm.s, UPPER(M342),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EALIQRIKKILEL</v>
      </c>
    </row>
    <row r="343" spans="1:15" ht="24">
      <c r="A343">
        <v>888</v>
      </c>
      <c r="B343">
        <v>50</v>
      </c>
      <c r="C343">
        <v>6</v>
      </c>
      <c r="D343">
        <v>9</v>
      </c>
      <c r="E343">
        <v>8</v>
      </c>
      <c r="G343">
        <v>-0.85479895396272121</v>
      </c>
      <c r="H343">
        <v>-0.69461769679632746</v>
      </c>
      <c r="I343">
        <v>-0.71334512928886251</v>
      </c>
      <c r="K343">
        <v>-0.75425392668263713</v>
      </c>
      <c r="M343" t="s">
        <v>895</v>
      </c>
      <c r="O343" s="1" t="str" cm="1">
        <f t="array" ref="O343">_xlfn.LET( _xlpm.s, UPPER(M343),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KKMEERIVAICKK</v>
      </c>
    </row>
    <row r="344" spans="1:15" ht="24">
      <c r="A344">
        <v>357</v>
      </c>
      <c r="B344">
        <v>58</v>
      </c>
      <c r="C344">
        <v>14</v>
      </c>
      <c r="D344">
        <v>3</v>
      </c>
      <c r="E344">
        <v>16</v>
      </c>
      <c r="G344">
        <v>-0.55128015789504525</v>
      </c>
      <c r="H344">
        <v>-1.2361969407429085</v>
      </c>
      <c r="I344">
        <v>-0.4767731228517999</v>
      </c>
      <c r="K344">
        <v>-0.75475007382991788</v>
      </c>
      <c r="M344" t="s">
        <v>364</v>
      </c>
      <c r="O344" s="1" t="str" cm="1">
        <f t="array" ref="O344">_xlfn.LET( _xlpm.s, UPPER(M344),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NKLIERIKEICKR</v>
      </c>
    </row>
    <row r="345" spans="1:15" ht="24">
      <c r="A345">
        <v>337</v>
      </c>
      <c r="B345">
        <v>136</v>
      </c>
      <c r="C345">
        <v>36</v>
      </c>
      <c r="D345">
        <v>14</v>
      </c>
      <c r="E345">
        <v>16</v>
      </c>
      <c r="G345">
        <v>-0.51121660761327625</v>
      </c>
      <c r="H345">
        <v>-0.93730107459161294</v>
      </c>
      <c r="I345">
        <v>-0.84688403765908005</v>
      </c>
      <c r="K345">
        <v>-0.76513390662132308</v>
      </c>
      <c r="M345" t="s">
        <v>344</v>
      </c>
      <c r="O345" s="1" t="str" cm="1">
        <f t="array" ref="O345">_xlfn.LET( _xlpm.s, UPPER(M345),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EEQVARLKEICKH</v>
      </c>
    </row>
    <row r="346" spans="1:15" ht="24">
      <c r="A346">
        <v>880</v>
      </c>
      <c r="B346">
        <v>99</v>
      </c>
      <c r="C346">
        <v>19</v>
      </c>
      <c r="D346">
        <v>16</v>
      </c>
      <c r="E346">
        <v>10</v>
      </c>
      <c r="G346">
        <v>-0.65086179365506702</v>
      </c>
      <c r="H346">
        <v>-0.74140541384125858</v>
      </c>
      <c r="I346">
        <v>-0.9131003065423372</v>
      </c>
      <c r="K346">
        <v>-0.76845583801288753</v>
      </c>
      <c r="M346" t="s">
        <v>887</v>
      </c>
      <c r="O346" s="1" t="str" cm="1">
        <f t="array" ref="O346">_xlfn.LET( _xlpm.s, UPPER(M346),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EKATQRIVEICKL</v>
      </c>
    </row>
    <row r="347" spans="1:15" ht="24">
      <c r="A347">
        <v>510</v>
      </c>
      <c r="B347">
        <v>114</v>
      </c>
      <c r="C347">
        <v>10</v>
      </c>
      <c r="D347">
        <v>17</v>
      </c>
      <c r="E347">
        <v>26</v>
      </c>
      <c r="G347">
        <v>-0.9908850513468187</v>
      </c>
      <c r="H347">
        <v>-0.77634613185783219</v>
      </c>
      <c r="I347">
        <v>-0.55939661531044194</v>
      </c>
      <c r="K347">
        <v>-0.77554259950503079</v>
      </c>
      <c r="M347" t="s">
        <v>517</v>
      </c>
      <c r="O347" s="1" t="str" cm="1">
        <f t="array" ref="O347">_xlfn.LET( _xlpm.s, UPPER(M347),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KRLVERIEEICRL</v>
      </c>
    </row>
    <row r="348" spans="1:15" ht="24">
      <c r="A348">
        <v>806</v>
      </c>
      <c r="B348">
        <v>132</v>
      </c>
      <c r="C348">
        <v>14</v>
      </c>
      <c r="D348">
        <v>17</v>
      </c>
      <c r="E348">
        <v>28</v>
      </c>
      <c r="G348">
        <v>-0.90842609553795783</v>
      </c>
      <c r="H348">
        <v>-0.84001521172720939</v>
      </c>
      <c r="I348">
        <v>-0.5908810118084179</v>
      </c>
      <c r="K348">
        <v>-0.77977410635786171</v>
      </c>
      <c r="M348" t="s">
        <v>813</v>
      </c>
      <c r="O348" s="1" t="str" cm="1">
        <f t="array" ref="O348">_xlfn.LET( _xlpm.s, UPPER(M348),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KKLTERIVAICKR</v>
      </c>
    </row>
    <row r="349" spans="1:15" ht="24">
      <c r="A349">
        <v>782</v>
      </c>
      <c r="B349">
        <v>139</v>
      </c>
      <c r="C349">
        <v>24</v>
      </c>
      <c r="D349">
        <v>13</v>
      </c>
      <c r="E349">
        <v>23</v>
      </c>
      <c r="G349">
        <v>-0.69678375855283503</v>
      </c>
      <c r="H349">
        <v>-0.97896164984689171</v>
      </c>
      <c r="I349">
        <v>-0.69875207618128954</v>
      </c>
      <c r="K349">
        <v>-0.79149916152700539</v>
      </c>
      <c r="M349" t="s">
        <v>789</v>
      </c>
      <c r="O349" s="1" t="str" cm="1">
        <f t="array" ref="O349">_xlfn.LET( _xlpm.s, UPPER(M349),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KKLVERIKAICER</v>
      </c>
    </row>
    <row r="350" spans="1:15" ht="24">
      <c r="A350">
        <v>729</v>
      </c>
      <c r="B350">
        <v>139</v>
      </c>
      <c r="C350">
        <v>19</v>
      </c>
      <c r="D350">
        <v>30</v>
      </c>
      <c r="E350">
        <v>12</v>
      </c>
      <c r="G350">
        <v>-0.79824139931161209</v>
      </c>
      <c r="H350">
        <v>-0.61578374743406616</v>
      </c>
      <c r="I350">
        <v>-0.9812986661512576</v>
      </c>
      <c r="K350">
        <v>-0.79844127096564532</v>
      </c>
      <c r="M350" t="s">
        <v>736</v>
      </c>
      <c r="O350" s="1" t="str" cm="1">
        <f t="array" ref="O350">_xlfn.LET( _xlpm.s, UPPER(M350),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NRLIERIVEICKR</v>
      </c>
    </row>
    <row r="351" spans="1:15" ht="24">
      <c r="A351">
        <v>755</v>
      </c>
      <c r="B351">
        <v>80</v>
      </c>
      <c r="C351">
        <v>18</v>
      </c>
      <c r="D351">
        <v>4</v>
      </c>
      <c r="E351">
        <v>18</v>
      </c>
      <c r="G351">
        <v>-0.58179768189898351</v>
      </c>
      <c r="H351">
        <v>-1.2509201975636148</v>
      </c>
      <c r="I351">
        <v>-0.56528259383342483</v>
      </c>
      <c r="K351">
        <v>-0.79933349109867446</v>
      </c>
      <c r="M351" t="s">
        <v>762</v>
      </c>
      <c r="O351" s="1" t="str" cm="1">
        <f t="array" ref="O351">_xlfn.LET( _xlpm.s, UPPER(M351),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EKLTKRLIEICKR</v>
      </c>
    </row>
    <row r="352" spans="1:15" ht="24">
      <c r="A352">
        <v>67</v>
      </c>
      <c r="B352">
        <v>46</v>
      </c>
      <c r="C352">
        <v>6</v>
      </c>
      <c r="D352">
        <v>4</v>
      </c>
      <c r="E352">
        <v>10</v>
      </c>
      <c r="G352">
        <v>-0.81858678130827645</v>
      </c>
      <c r="H352">
        <v>-1.0105880422532452</v>
      </c>
      <c r="I352">
        <v>-0.5802229436263614</v>
      </c>
      <c r="K352">
        <v>-0.80313258906262774</v>
      </c>
      <c r="M352" t="s">
        <v>74</v>
      </c>
      <c r="O352" s="1" t="str" cm="1">
        <f t="array" ref="O352">_xlfn.LET( _xlpm.s, UPPER(M352),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KEQIKRLKEICEH</v>
      </c>
    </row>
    <row r="353" spans="1:15" ht="24">
      <c r="A353">
        <v>382</v>
      </c>
      <c r="B353">
        <v>51</v>
      </c>
      <c r="C353">
        <v>3</v>
      </c>
      <c r="D353">
        <v>15</v>
      </c>
      <c r="E353">
        <v>7</v>
      </c>
      <c r="G353">
        <v>-1.16442912138862</v>
      </c>
      <c r="H353">
        <v>-0.48136911894188866</v>
      </c>
      <c r="I353">
        <v>-0.77993724802846676</v>
      </c>
      <c r="K353">
        <v>-0.80857849611965849</v>
      </c>
      <c r="M353" t="s">
        <v>389</v>
      </c>
      <c r="O353" s="1" t="str" cm="1">
        <f t="array" ref="O353">_xlfn.LET( _xlpm.s, UPPER(M353),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EALKKRIVEICEI</v>
      </c>
    </row>
    <row r="354" spans="1:15" ht="24">
      <c r="A354">
        <v>69</v>
      </c>
      <c r="B354">
        <v>228</v>
      </c>
      <c r="C354">
        <v>28</v>
      </c>
      <c r="D354">
        <v>59</v>
      </c>
      <c r="E354">
        <v>17</v>
      </c>
      <c r="G354">
        <v>-0.84475701566858052</v>
      </c>
      <c r="H354">
        <v>-0.53697303725794299</v>
      </c>
      <c r="I354">
        <v>-1.0449510375669673</v>
      </c>
      <c r="K354">
        <v>-0.80889369683116363</v>
      </c>
      <c r="M354" t="s">
        <v>76</v>
      </c>
      <c r="O354" s="1" t="str" cm="1">
        <f t="array" ref="O354">_xlfn.LET( _xlpm.s, UPPER(M354),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KQQIERLKLICAH</v>
      </c>
    </row>
    <row r="355" spans="1:15" ht="24">
      <c r="A355">
        <v>340</v>
      </c>
      <c r="B355">
        <v>58</v>
      </c>
      <c r="C355">
        <v>6</v>
      </c>
      <c r="D355">
        <v>4</v>
      </c>
      <c r="E355">
        <v>19</v>
      </c>
      <c r="G355">
        <v>-0.91925694318963969</v>
      </c>
      <c r="H355">
        <v>-1.1112582041346084</v>
      </c>
      <c r="I355">
        <v>-0.40213950455489572</v>
      </c>
      <c r="K355">
        <v>-0.81088488395971459</v>
      </c>
      <c r="M355" t="s">
        <v>347</v>
      </c>
      <c r="O355" s="1" t="str" cm="1">
        <f t="array" ref="O355">_xlfn.LET( _xlpm.s, UPPER(M355),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KAQEERLVAICKE</v>
      </c>
    </row>
    <row r="356" spans="1:15" ht="24">
      <c r="A356">
        <v>877</v>
      </c>
      <c r="B356">
        <v>90</v>
      </c>
      <c r="C356">
        <v>11</v>
      </c>
      <c r="D356">
        <v>6</v>
      </c>
      <c r="E356">
        <v>25</v>
      </c>
      <c r="G356">
        <v>-0.84683002429144583</v>
      </c>
      <c r="H356">
        <v>-1.1259814609553149</v>
      </c>
      <c r="I356">
        <v>-0.47376761271207463</v>
      </c>
      <c r="K356">
        <v>-0.81552636598627837</v>
      </c>
      <c r="M356" t="s">
        <v>884</v>
      </c>
      <c r="O356" s="1" t="str" cm="1">
        <f t="array" ref="O356">_xlfn.LET( _xlpm.s, UPPER(M356),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KKMVERIKAICEK</v>
      </c>
    </row>
    <row r="357" spans="1:15" ht="24">
      <c r="A357">
        <v>407</v>
      </c>
      <c r="B357">
        <v>28</v>
      </c>
      <c r="C357">
        <v>1</v>
      </c>
      <c r="D357">
        <v>6</v>
      </c>
      <c r="E357">
        <v>8</v>
      </c>
      <c r="G357">
        <v>-1.3811382313525653</v>
      </c>
      <c r="H357">
        <v>-0.61889698285820904</v>
      </c>
      <c r="I357">
        <v>-0.46153315629506303</v>
      </c>
      <c r="K357">
        <v>-0.8205227901686124</v>
      </c>
      <c r="M357" t="s">
        <v>414</v>
      </c>
      <c r="O357" s="1" t="str" cm="1">
        <f t="array" ref="O357">_xlfn.LET( _xlpm.s, UPPER(M357),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EKMIKRIKEICKL</v>
      </c>
    </row>
    <row r="358" spans="1:15" ht="24">
      <c r="A358">
        <v>367</v>
      </c>
      <c r="B358">
        <v>77</v>
      </c>
      <c r="C358">
        <v>8</v>
      </c>
      <c r="D358">
        <v>13</v>
      </c>
      <c r="E358">
        <v>9</v>
      </c>
      <c r="G358">
        <v>-0.91738093819088429</v>
      </c>
      <c r="H358">
        <v>-0.72243757476527859</v>
      </c>
      <c r="I358">
        <v>-0.84971332767794427</v>
      </c>
      <c r="K358">
        <v>-0.82984394687803575</v>
      </c>
      <c r="M358" t="s">
        <v>374</v>
      </c>
      <c r="O358" s="1" t="str" cm="1">
        <f t="array" ref="O358">_xlfn.LET( _xlpm.s, UPPER(M358),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KKLEERIKAICEI</v>
      </c>
    </row>
    <row r="359" spans="1:15" ht="24">
      <c r="A359">
        <v>579</v>
      </c>
      <c r="B359">
        <v>92</v>
      </c>
      <c r="C359">
        <v>7</v>
      </c>
      <c r="D359">
        <v>11</v>
      </c>
      <c r="E359">
        <v>20</v>
      </c>
      <c r="G359">
        <v>-1.0526699873416445</v>
      </c>
      <c r="H359">
        <v>-0.87228534408696368</v>
      </c>
      <c r="I359">
        <v>-0.5802229436263614</v>
      </c>
      <c r="K359">
        <v>-0.83505942501832331</v>
      </c>
      <c r="M359" t="s">
        <v>586</v>
      </c>
      <c r="O359" s="1" t="str" cm="1">
        <f t="array" ref="O359">_xlfn.LET( _xlpm.s, UPPER(M359),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KQLIDRLREILKK</v>
      </c>
    </row>
    <row r="360" spans="1:15" ht="24">
      <c r="A360">
        <v>459</v>
      </c>
      <c r="B360">
        <v>22</v>
      </c>
      <c r="C360">
        <v>2</v>
      </c>
      <c r="D360">
        <v>2</v>
      </c>
      <c r="E360">
        <v>5</v>
      </c>
      <c r="G360">
        <v>-0.9753728851685709</v>
      </c>
      <c r="H360">
        <v>-0.99128288705785839</v>
      </c>
      <c r="I360">
        <v>-0.56091778843097473</v>
      </c>
      <c r="K360">
        <v>-0.8425245202191346</v>
      </c>
      <c r="M360" t="s">
        <v>466</v>
      </c>
      <c r="O360" s="1" t="str" cm="1">
        <f t="array" ref="O360">_xlfn.LET( _xlpm.s, UPPER(M360),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NKMIAYLKKICEI</v>
      </c>
    </row>
    <row r="361" spans="1:15" ht="24">
      <c r="A361">
        <v>27</v>
      </c>
      <c r="B361">
        <v>56</v>
      </c>
      <c r="C361">
        <v>3</v>
      </c>
      <c r="D361">
        <v>6</v>
      </c>
      <c r="E361">
        <v>18</v>
      </c>
      <c r="G361">
        <v>-1.2050469722968842</v>
      </c>
      <c r="H361">
        <v>-0.9199269785221903</v>
      </c>
      <c r="I361">
        <v>-0.4103806338476817</v>
      </c>
      <c r="K361">
        <v>-0.84511819488891871</v>
      </c>
      <c r="M361" t="s">
        <v>34</v>
      </c>
      <c r="O361" s="1" t="str" cm="1">
        <f t="array" ref="O361">_xlfn.LET( _xlpm.s, UPPER(M361),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KEQIKRLELICKH</v>
      </c>
    </row>
    <row r="362" spans="1:15" ht="24">
      <c r="A362">
        <v>439</v>
      </c>
      <c r="B362">
        <v>188</v>
      </c>
      <c r="C362">
        <v>29</v>
      </c>
      <c r="D362">
        <v>18</v>
      </c>
      <c r="E362">
        <v>23</v>
      </c>
      <c r="G362">
        <v>-0.74574005137506971</v>
      </c>
      <c r="H362">
        <v>-0.96877554606000726</v>
      </c>
      <c r="I362">
        <v>-0.82989512519087427</v>
      </c>
      <c r="K362">
        <v>-0.84813690754198368</v>
      </c>
      <c r="M362" t="s">
        <v>446</v>
      </c>
      <c r="O362" s="1" t="str" cm="1">
        <f t="array" ref="O362">_xlfn.LET( _xlpm.s, UPPER(M362),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NRLIQRIVEICEL</v>
      </c>
    </row>
    <row r="363" spans="1:15" ht="24">
      <c r="A363">
        <v>431</v>
      </c>
      <c r="B363">
        <v>127</v>
      </c>
      <c r="C363">
        <v>18</v>
      </c>
      <c r="D363">
        <v>17</v>
      </c>
      <c r="E363">
        <v>12</v>
      </c>
      <c r="G363">
        <v>-0.78251141586299677</v>
      </c>
      <c r="H363">
        <v>-0.82324500147731638</v>
      </c>
      <c r="I363">
        <v>-0.94208758685311944</v>
      </c>
      <c r="K363">
        <v>-0.8492813347311442</v>
      </c>
      <c r="M363" t="s">
        <v>438</v>
      </c>
      <c r="O363" s="1" t="str" cm="1">
        <f t="array" ref="O363">_xlfn.LET( _xlpm.s, UPPER(M363),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NALVARIKAICEK</v>
      </c>
    </row>
    <row r="364" spans="1:15" ht="24">
      <c r="A364">
        <v>263</v>
      </c>
      <c r="B364">
        <v>111</v>
      </c>
      <c r="C364">
        <v>8</v>
      </c>
      <c r="D364">
        <v>13</v>
      </c>
      <c r="E364">
        <v>22</v>
      </c>
      <c r="G364">
        <v>-1.0762131918050599</v>
      </c>
      <c r="H364">
        <v>-0.88126982837945411</v>
      </c>
      <c r="I364">
        <v>-0.6203654099092385</v>
      </c>
      <c r="K364">
        <v>-0.85928281003125084</v>
      </c>
      <c r="M364" t="s">
        <v>270</v>
      </c>
      <c r="O364" s="1" t="str" cm="1">
        <f t="array" ref="O364">_xlfn.LET( _xlpm.s, UPPER(M364),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KEQIKRLTLICEH</v>
      </c>
    </row>
    <row r="365" spans="1:15" ht="24">
      <c r="A365">
        <v>10</v>
      </c>
      <c r="B365">
        <v>69</v>
      </c>
      <c r="C365">
        <v>10</v>
      </c>
      <c r="D365">
        <v>6</v>
      </c>
      <c r="E365">
        <v>9</v>
      </c>
      <c r="G365">
        <v>-0.77282929074760132</v>
      </c>
      <c r="H365">
        <v>-1.0105880422532452</v>
      </c>
      <c r="I365">
        <v>-0.80207169324271776</v>
      </c>
      <c r="K365">
        <v>-0.86182967541452138</v>
      </c>
      <c r="M365" t="s">
        <v>17</v>
      </c>
      <c r="O365" s="1" t="str" cm="1">
        <f t="array" ref="O365">_xlfn.LET( _xlpm.s, UPPER(M365),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KEQIKRLKEICKH</v>
      </c>
    </row>
    <row r="366" spans="1:15" ht="24">
      <c r="A366">
        <v>51</v>
      </c>
      <c r="B366">
        <v>106</v>
      </c>
      <c r="C366">
        <v>24</v>
      </c>
      <c r="D366">
        <v>9</v>
      </c>
      <c r="E366">
        <v>9</v>
      </c>
      <c r="G366">
        <v>-0.57907482356351014</v>
      </c>
      <c r="H366">
        <v>-1.020953557725079</v>
      </c>
      <c r="I366">
        <v>-0.98852846777023273</v>
      </c>
      <c r="K366">
        <v>-0.86285228301960737</v>
      </c>
      <c r="M366" t="s">
        <v>58</v>
      </c>
      <c r="O366" s="1" t="str" cm="1">
        <f t="array" ref="O366">_xlfn.LET( _xlpm.s, UPPER(M366),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KQQIARLKKICEH</v>
      </c>
    </row>
    <row r="367" spans="1:15" ht="24">
      <c r="A367">
        <v>770</v>
      </c>
      <c r="B367">
        <v>61</v>
      </c>
      <c r="C367">
        <v>12</v>
      </c>
      <c r="D367">
        <v>5</v>
      </c>
      <c r="E367">
        <v>6</v>
      </c>
      <c r="G367">
        <v>-0.64012878897348824</v>
      </c>
      <c r="H367">
        <v>-1.0362500325743818</v>
      </c>
      <c r="I367">
        <v>-0.92464369657191081</v>
      </c>
      <c r="K367">
        <v>-0.86700750603992693</v>
      </c>
      <c r="M367" t="s">
        <v>777</v>
      </c>
      <c r="O367" s="1" t="str" cm="1">
        <f t="array" ref="O367">_xlfn.LET( _xlpm.s, UPPER(M367),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NRLVERIKKICEL</v>
      </c>
    </row>
    <row r="368" spans="1:15" ht="24">
      <c r="A368">
        <v>744</v>
      </c>
      <c r="B368">
        <v>65</v>
      </c>
      <c r="C368">
        <v>7</v>
      </c>
      <c r="D368">
        <v>10</v>
      </c>
      <c r="E368">
        <v>6</v>
      </c>
      <c r="G368">
        <v>-0.90179551663894475</v>
      </c>
      <c r="H368">
        <v>-0.76280355854248905</v>
      </c>
      <c r="I368">
        <v>-0.95222721820399914</v>
      </c>
      <c r="K368">
        <v>-0.87227543112847761</v>
      </c>
      <c r="M368" t="s">
        <v>751</v>
      </c>
      <c r="O368" s="1" t="str" cm="1">
        <f t="array" ref="O368">_xlfn.LET( _xlpm.s, UPPER(M368),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ERLTKRLVEICKK</v>
      </c>
    </row>
    <row r="369" spans="1:15" ht="24">
      <c r="A369">
        <v>101</v>
      </c>
      <c r="B369">
        <v>220</v>
      </c>
      <c r="C369">
        <v>15</v>
      </c>
      <c r="D369">
        <v>45</v>
      </c>
      <c r="E369">
        <v>24</v>
      </c>
      <c r="G369">
        <v>-1.1003116217768711</v>
      </c>
      <c r="H369">
        <v>-0.63910036894649602</v>
      </c>
      <c r="I369">
        <v>-0.87967655105538756</v>
      </c>
      <c r="K369">
        <v>-0.87302951392625161</v>
      </c>
      <c r="M369" t="s">
        <v>108</v>
      </c>
      <c r="O369" s="1" t="str" cm="1">
        <f t="array" ref="O369">_xlfn.LET( _xlpm.s, UPPER(M369),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KQQIARLKEICKH</v>
      </c>
    </row>
    <row r="370" spans="1:15" ht="24">
      <c r="A370">
        <v>759</v>
      </c>
      <c r="B370">
        <v>113</v>
      </c>
      <c r="C370">
        <v>11</v>
      </c>
      <c r="D370">
        <v>15</v>
      </c>
      <c r="E370">
        <v>13</v>
      </c>
      <c r="G370">
        <v>-0.94566595833554057</v>
      </c>
      <c r="H370">
        <v>-0.82687738632737195</v>
      </c>
      <c r="I370">
        <v>-0.85660020312137031</v>
      </c>
      <c r="K370">
        <v>-0.87638118259476094</v>
      </c>
      <c r="M370" t="s">
        <v>766</v>
      </c>
      <c r="O370" s="1" t="str" cm="1">
        <f t="array" ref="O370">_xlfn.LET( _xlpm.s, UPPER(M370),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NKLVDRIVEICKR</v>
      </c>
    </row>
    <row r="371" spans="1:15" ht="24">
      <c r="A371">
        <v>831</v>
      </c>
      <c r="B371">
        <v>70</v>
      </c>
      <c r="C371">
        <v>4</v>
      </c>
      <c r="D371">
        <v>17</v>
      </c>
      <c r="E371">
        <v>7</v>
      </c>
      <c r="G371">
        <v>-1.1770182486966405</v>
      </c>
      <c r="H371">
        <v>-0.5645393205356164</v>
      </c>
      <c r="I371">
        <v>-0.9174651119447873</v>
      </c>
      <c r="K371">
        <v>-0.88634089372568148</v>
      </c>
      <c r="M371" t="s">
        <v>838</v>
      </c>
      <c r="O371" s="1" t="str" cm="1">
        <f t="array" ref="O371">_xlfn.LET( _xlpm.s, UPPER(M371),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EKLTKRIVEICKL</v>
      </c>
    </row>
    <row r="372" spans="1:15" ht="24">
      <c r="A372">
        <v>433</v>
      </c>
      <c r="B372">
        <v>46</v>
      </c>
      <c r="C372">
        <v>5</v>
      </c>
      <c r="D372">
        <v>9</v>
      </c>
      <c r="E372">
        <v>3</v>
      </c>
      <c r="G372">
        <v>-0.89776802735590122</v>
      </c>
      <c r="H372">
        <v>-0.65840552414188269</v>
      </c>
      <c r="I372">
        <v>-1.1031016889066991</v>
      </c>
      <c r="K372">
        <v>-0.88642508013482768</v>
      </c>
      <c r="M372" t="s">
        <v>440</v>
      </c>
      <c r="O372" s="1" t="str" cm="1">
        <f t="array" ref="O372">_xlfn.LET( _xlpm.s, UPPER(M372),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ERMIDRIKEICKI</v>
      </c>
    </row>
    <row r="373" spans="1:15" ht="24">
      <c r="A373">
        <v>543</v>
      </c>
      <c r="B373">
        <v>32</v>
      </c>
      <c r="C373">
        <v>4</v>
      </c>
      <c r="D373">
        <v>1</v>
      </c>
      <c r="E373">
        <v>11</v>
      </c>
      <c r="G373">
        <v>-0.83707018700228952</v>
      </c>
      <c r="H373">
        <v>-1.4550401802195396</v>
      </c>
      <c r="I373">
        <v>-0.38122240510646832</v>
      </c>
      <c r="K373">
        <v>-0.89111092410943249</v>
      </c>
      <c r="M373" t="s">
        <v>550</v>
      </c>
      <c r="O373" s="1" t="str" cm="1">
        <f t="array" ref="O373">_xlfn.LET( _xlpm.s, UPPER(M373),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KAMEERIKKILEL</v>
      </c>
    </row>
    <row r="374" spans="1:15" ht="24">
      <c r="A374">
        <v>45</v>
      </c>
      <c r="B374">
        <v>190</v>
      </c>
      <c r="C374">
        <v>39</v>
      </c>
      <c r="D374">
        <v>21</v>
      </c>
      <c r="E374">
        <v>11</v>
      </c>
      <c r="G374">
        <v>-0.62166919393667575</v>
      </c>
      <c r="H374">
        <v>-0.90642450811854314</v>
      </c>
      <c r="I374">
        <v>-1.1548260277393914</v>
      </c>
      <c r="K374">
        <v>-0.89430657659820356</v>
      </c>
      <c r="M374" t="s">
        <v>52</v>
      </c>
      <c r="O374" s="1" t="str" cm="1">
        <f t="array" ref="O374">_xlfn.LET( _xlpm.s, UPPER(M374),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ELQIKRLKLICEH</v>
      </c>
    </row>
    <row r="375" spans="1:15" ht="24">
      <c r="A375">
        <v>875</v>
      </c>
      <c r="B375">
        <v>41</v>
      </c>
      <c r="C375">
        <v>5</v>
      </c>
      <c r="D375">
        <v>3</v>
      </c>
      <c r="E375">
        <v>6</v>
      </c>
      <c r="G375">
        <v>-0.84779405239406269</v>
      </c>
      <c r="H375">
        <v>-1.0855528038997067</v>
      </c>
      <c r="I375">
        <v>-0.75209771828087923</v>
      </c>
      <c r="K375">
        <v>-0.8951481915248829</v>
      </c>
      <c r="M375" t="s">
        <v>882</v>
      </c>
      <c r="O375" s="1" t="str" cm="1">
        <f t="array" ref="O375">_xlfn.LET( _xlpm.s, UPPER(M375),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ERLIERIKKICEI</v>
      </c>
    </row>
    <row r="376" spans="1:15" ht="24">
      <c r="A376">
        <v>78</v>
      </c>
      <c r="B376">
        <v>88</v>
      </c>
      <c r="C376">
        <v>22</v>
      </c>
      <c r="D376">
        <v>10</v>
      </c>
      <c r="E376">
        <v>4</v>
      </c>
      <c r="G376">
        <v>-0.53604019133830838</v>
      </c>
      <c r="H376">
        <v>-0.89437287404980215</v>
      </c>
      <c r="I376">
        <v>-1.2598877927669936</v>
      </c>
      <c r="K376">
        <v>-0.89676695271836804</v>
      </c>
      <c r="M376" t="s">
        <v>85</v>
      </c>
      <c r="O376" s="1" t="str" cm="1">
        <f t="array" ref="O376">_xlfn.LET( _xlpm.s, UPPER(M376),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KEQIERLKKICEH</v>
      </c>
    </row>
    <row r="377" spans="1:15" ht="24">
      <c r="A377">
        <v>12</v>
      </c>
      <c r="B377">
        <v>140</v>
      </c>
      <c r="C377">
        <v>11</v>
      </c>
      <c r="D377">
        <v>20</v>
      </c>
      <c r="E377">
        <v>16</v>
      </c>
      <c r="G377">
        <v>-1.0387155505303591</v>
      </c>
      <c r="H377">
        <v>-0.79498824191389028</v>
      </c>
      <c r="I377">
        <v>-0.85947316496710058</v>
      </c>
      <c r="K377">
        <v>-0.89772565247045</v>
      </c>
      <c r="M377" t="s">
        <v>19</v>
      </c>
      <c r="O377" s="1" t="str" cm="1">
        <f t="array" ref="O377">_xlfn.LET( _xlpm.s, UPPER(M377),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KQQIERLVLICKH</v>
      </c>
    </row>
    <row r="378" spans="1:15" ht="24">
      <c r="A378">
        <v>358</v>
      </c>
      <c r="B378">
        <v>25</v>
      </c>
      <c r="C378">
        <v>5</v>
      </c>
      <c r="D378">
        <v>2</v>
      </c>
      <c r="E378">
        <v>2</v>
      </c>
      <c r="G378">
        <v>-0.63295020434636473</v>
      </c>
      <c r="H378">
        <v>-1.04680021490769</v>
      </c>
      <c r="I378">
        <v>-1.0143751249528439</v>
      </c>
      <c r="K378">
        <v>-0.89804184806896625</v>
      </c>
      <c r="M378" t="s">
        <v>365</v>
      </c>
      <c r="O378" s="1" t="str" cm="1">
        <f t="array" ref="O378">_xlfn.LET( _xlpm.s, UPPER(M378),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EKIIERLKAICKK</v>
      </c>
    </row>
    <row r="379" spans="1:15" ht="24">
      <c r="A379">
        <v>396</v>
      </c>
      <c r="B379">
        <v>40</v>
      </c>
      <c r="C379">
        <v>3</v>
      </c>
      <c r="D379">
        <v>9</v>
      </c>
      <c r="E379">
        <v>3</v>
      </c>
      <c r="G379">
        <v>-1.058918936618646</v>
      </c>
      <c r="H379">
        <v>-0.59770768378827099</v>
      </c>
      <c r="I379">
        <v>-1.0424038485530873</v>
      </c>
      <c r="K379">
        <v>-0.89967682298666818</v>
      </c>
      <c r="M379" t="s">
        <v>403</v>
      </c>
      <c r="O379" s="1" t="str" cm="1">
        <f t="array" ref="O379">_xlfn.LET( _xlpm.s, UPPER(M379),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KKMIERIKDILKL</v>
      </c>
    </row>
    <row r="380" spans="1:15" ht="24">
      <c r="A380">
        <v>237</v>
      </c>
      <c r="B380">
        <v>203</v>
      </c>
      <c r="C380">
        <v>15</v>
      </c>
      <c r="D380">
        <v>27</v>
      </c>
      <c r="E380">
        <v>26</v>
      </c>
      <c r="G380">
        <v>-1.0653849788678778</v>
      </c>
      <c r="H380">
        <v>-0.82602247565385911</v>
      </c>
      <c r="I380">
        <v>-0.80998780188718222</v>
      </c>
      <c r="K380">
        <v>-0.90046508546963955</v>
      </c>
      <c r="M380" t="s">
        <v>244</v>
      </c>
      <c r="O380" s="1" t="str" cm="1">
        <f t="array" ref="O380">_xlfn.LET( _xlpm.s, UPPER(M380),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KEQIARLKAICAH</v>
      </c>
    </row>
    <row r="381" spans="1:15" ht="24">
      <c r="A381">
        <v>448</v>
      </c>
      <c r="B381">
        <v>51</v>
      </c>
      <c r="C381">
        <v>5</v>
      </c>
      <c r="D381">
        <v>8</v>
      </c>
      <c r="E381">
        <v>4</v>
      </c>
      <c r="G381">
        <v>-0.9425803717722635</v>
      </c>
      <c r="H381">
        <v>-0.75437039100562631</v>
      </c>
      <c r="I381">
        <v>-1.0229752967147614</v>
      </c>
      <c r="K381">
        <v>-0.90664201983088377</v>
      </c>
      <c r="M381" t="s">
        <v>455</v>
      </c>
      <c r="O381" s="1" t="str" cm="1">
        <f t="array" ref="O381">_xlfn.LET( _xlpm.s, UPPER(M381),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KKLIERIKEILKL</v>
      </c>
    </row>
    <row r="382" spans="1:15" ht="24">
      <c r="A382">
        <v>383</v>
      </c>
      <c r="B382">
        <v>80</v>
      </c>
      <c r="C382">
        <v>15</v>
      </c>
      <c r="D382">
        <v>8</v>
      </c>
      <c r="E382">
        <v>5</v>
      </c>
      <c r="G382">
        <v>-0.66097892794660829</v>
      </c>
      <c r="H382">
        <v>-0.94989020189963347</v>
      </c>
      <c r="I382">
        <v>-1.1215850946007122</v>
      </c>
      <c r="K382">
        <v>-0.91081807481565136</v>
      </c>
      <c r="M382" t="s">
        <v>390</v>
      </c>
      <c r="O382" s="1" t="str" cm="1">
        <f t="array" ref="O382">_xlfn.LET( _xlpm.s, UPPER(M382),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NRLIKRIQEICKI</v>
      </c>
    </row>
    <row r="383" spans="1:15" ht="24">
      <c r="A383">
        <v>824</v>
      </c>
      <c r="B383">
        <v>138</v>
      </c>
      <c r="C383">
        <v>11</v>
      </c>
      <c r="D383">
        <v>16</v>
      </c>
      <c r="E383">
        <v>17</v>
      </c>
      <c r="G383">
        <v>-1.0324666012533577</v>
      </c>
      <c r="H383">
        <v>-0.88564930564494515</v>
      </c>
      <c r="I383">
        <v>-0.82689527696774989</v>
      </c>
      <c r="K383">
        <v>-0.91500372795535101</v>
      </c>
      <c r="M383" t="s">
        <v>831</v>
      </c>
      <c r="O383" s="1" t="str" cm="1">
        <f t="array" ref="O383">_xlfn.LET( _xlpm.s, UPPER(M383),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KRMTERIKAICEK</v>
      </c>
    </row>
    <row r="384" spans="1:15" ht="24">
      <c r="A384">
        <v>738</v>
      </c>
      <c r="B384">
        <v>79</v>
      </c>
      <c r="C384">
        <v>7</v>
      </c>
      <c r="D384">
        <v>8</v>
      </c>
      <c r="E384">
        <v>10</v>
      </c>
      <c r="G384">
        <v>-0.98650925128653066</v>
      </c>
      <c r="H384">
        <v>-0.94442730619813131</v>
      </c>
      <c r="I384">
        <v>-0.81509220323522869</v>
      </c>
      <c r="K384">
        <v>-0.91534292023996355</v>
      </c>
      <c r="M384" t="s">
        <v>745</v>
      </c>
      <c r="O384" s="1" t="str" cm="1">
        <f t="array" ref="O384">_xlfn.LET( _xlpm.s, UPPER(M384),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NKMTERIVEICKR</v>
      </c>
    </row>
    <row r="385" spans="1:15" ht="24">
      <c r="A385">
        <v>745</v>
      </c>
      <c r="B385">
        <v>187</v>
      </c>
      <c r="C385">
        <v>20</v>
      </c>
      <c r="D385">
        <v>15</v>
      </c>
      <c r="E385">
        <v>24</v>
      </c>
      <c r="G385">
        <v>-0.90479181088286376</v>
      </c>
      <c r="H385">
        <v>-1.0456405493804513</v>
      </c>
      <c r="I385">
        <v>-0.80909547676968019</v>
      </c>
      <c r="K385">
        <v>-0.91984261234433173</v>
      </c>
      <c r="M385" t="s">
        <v>752</v>
      </c>
      <c r="O385" s="1" t="str" cm="1">
        <f t="array" ref="O385">_xlfn.LET( _xlpm.s, UPPER(M385),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RRLVERIKAICER</v>
      </c>
    </row>
    <row r="386" spans="1:15" ht="24">
      <c r="A386">
        <v>356</v>
      </c>
      <c r="B386">
        <v>70</v>
      </c>
      <c r="C386">
        <v>10</v>
      </c>
      <c r="D386">
        <v>2</v>
      </c>
      <c r="E386">
        <v>18</v>
      </c>
      <c r="G386">
        <v>-0.7790782400246028</v>
      </c>
      <c r="H386">
        <v>-1.4939582462499092</v>
      </c>
      <c r="I386">
        <v>-0.5072906468557381</v>
      </c>
      <c r="K386">
        <v>-0.92677571104341672</v>
      </c>
      <c r="M386" t="s">
        <v>363</v>
      </c>
      <c r="O386" s="1" t="str" cm="1">
        <f t="array" ref="O386">_xlfn.LET( _xlpm.s, UPPER(M386),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EALKKRIVEILKL</v>
      </c>
    </row>
    <row r="387" spans="1:15" ht="24">
      <c r="A387">
        <v>8</v>
      </c>
      <c r="B387">
        <v>313</v>
      </c>
      <c r="C387">
        <v>42</v>
      </c>
      <c r="D387">
        <v>61</v>
      </c>
      <c r="E387">
        <v>12</v>
      </c>
      <c r="G387">
        <v>-0.80627524715889398</v>
      </c>
      <c r="H387">
        <v>-0.66010470443531488</v>
      </c>
      <c r="I387">
        <v>-1.3338282034436111</v>
      </c>
      <c r="K387">
        <v>-0.93340271834594002</v>
      </c>
      <c r="M387" t="s">
        <v>15</v>
      </c>
      <c r="O387" s="1" t="str" cm="1">
        <f t="array" ref="O387">_xlfn.LET( _xlpm.s, UPPER(M387),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KQQIERLKQICEH</v>
      </c>
    </row>
    <row r="388" spans="1:15" ht="24">
      <c r="A388">
        <v>17</v>
      </c>
      <c r="B388">
        <v>668</v>
      </c>
      <c r="C388">
        <v>85</v>
      </c>
      <c r="D388">
        <v>96</v>
      </c>
      <c r="E388">
        <v>36</v>
      </c>
      <c r="G388">
        <v>-0.82933773677159894</v>
      </c>
      <c r="H388">
        <v>-0.79239543133561074</v>
      </c>
      <c r="I388">
        <v>-1.1859390736530457</v>
      </c>
      <c r="K388">
        <v>-0.93589074725341848</v>
      </c>
      <c r="M388" t="s">
        <v>24</v>
      </c>
      <c r="O388" s="1" t="str" cm="1">
        <f t="array" ref="O388">_xlfn.LET( _xlpm.s, UPPER(M388),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KQQIERLKLICEH</v>
      </c>
    </row>
    <row r="389" spans="1:15" ht="24">
      <c r="A389">
        <v>393</v>
      </c>
      <c r="B389">
        <v>48</v>
      </c>
      <c r="C389">
        <v>7</v>
      </c>
      <c r="D389">
        <v>3</v>
      </c>
      <c r="E389">
        <v>5</v>
      </c>
      <c r="G389">
        <v>-0.77012339737167634</v>
      </c>
      <c r="H389">
        <v>-1.1540101845555584</v>
      </c>
      <c r="I389">
        <v>-0.89973634498435573</v>
      </c>
      <c r="K389">
        <v>-0.94128997563719674</v>
      </c>
      <c r="M389" t="s">
        <v>400</v>
      </c>
      <c r="O389" s="1" t="str" cm="1">
        <f t="array" ref="O389">_xlfn.LET( _xlpm.s, UPPER(M389),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KKLTERLKEILKL</v>
      </c>
    </row>
    <row r="390" spans="1:15" ht="24">
      <c r="A390">
        <v>207</v>
      </c>
      <c r="B390">
        <v>343</v>
      </c>
      <c r="C390">
        <v>27</v>
      </c>
      <c r="D390">
        <v>39</v>
      </c>
      <c r="E390">
        <v>33</v>
      </c>
      <c r="G390">
        <v>-1.0379105558941293</v>
      </c>
      <c r="H390">
        <v>-0.89411971491590481</v>
      </c>
      <c r="I390">
        <v>-0.93424529210967033</v>
      </c>
      <c r="K390">
        <v>-0.95542518763990147</v>
      </c>
      <c r="M390" t="s">
        <v>214</v>
      </c>
      <c r="O390" s="1" t="str" cm="1">
        <f t="array" ref="O390">_xlfn.LET( _xlpm.s, UPPER(M390),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KQQIARLKAICDH</v>
      </c>
    </row>
    <row r="391" spans="1:15" ht="24">
      <c r="A391">
        <v>737</v>
      </c>
      <c r="B391">
        <v>222</v>
      </c>
      <c r="C391">
        <v>8</v>
      </c>
      <c r="D391">
        <v>30</v>
      </c>
      <c r="E391">
        <v>37</v>
      </c>
      <c r="G391">
        <v>-1.3772431874690412</v>
      </c>
      <c r="H391">
        <v>-0.8191219216306096</v>
      </c>
      <c r="I391">
        <v>-0.69561636232843094</v>
      </c>
      <c r="K391">
        <v>-0.96399382380936061</v>
      </c>
      <c r="M391" t="s">
        <v>744</v>
      </c>
      <c r="O391" s="1" t="str" cm="1">
        <f t="array" ref="O391">_xlfn.LET( _xlpm.s, UPPER(M391),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KRLVERIVAICEK</v>
      </c>
    </row>
    <row r="392" spans="1:15" ht="24">
      <c r="A392">
        <v>92</v>
      </c>
      <c r="B392">
        <v>388</v>
      </c>
      <c r="C392">
        <v>16</v>
      </c>
      <c r="D392">
        <v>22</v>
      </c>
      <c r="E392">
        <v>126</v>
      </c>
      <c r="G392">
        <v>-1.3186919429486286</v>
      </c>
      <c r="H392">
        <v>-1.1962992466716347</v>
      </c>
      <c r="I392">
        <v>-0.40592629242143169</v>
      </c>
      <c r="K392">
        <v>-0.97363916068056489</v>
      </c>
      <c r="M392" t="s">
        <v>99</v>
      </c>
      <c r="O392" s="1" t="str" cm="1">
        <f t="array" ref="O392">_xlfn.LET( _xlpm.s, UPPER(M392),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KQQIERLKLICKH</v>
      </c>
    </row>
    <row r="393" spans="1:15" ht="24">
      <c r="A393">
        <v>272</v>
      </c>
      <c r="B393">
        <v>285</v>
      </c>
      <c r="C393">
        <v>10</v>
      </c>
      <c r="D393">
        <v>51</v>
      </c>
      <c r="E393">
        <v>32</v>
      </c>
      <c r="G393">
        <v>-1.3888250600188563</v>
      </c>
      <c r="H393">
        <v>-0.6971648858102073</v>
      </c>
      <c r="I393">
        <v>-0.86715999363339147</v>
      </c>
      <c r="K393">
        <v>-0.98438331315415173</v>
      </c>
      <c r="M393" t="s">
        <v>279</v>
      </c>
      <c r="O393" s="1" t="str" cm="1">
        <f t="array" ref="O393">_xlfn.LET( _xlpm.s, UPPER(M393),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KQQIARLKAICAH</v>
      </c>
    </row>
    <row r="394" spans="1:15" ht="24">
      <c r="A394">
        <v>163</v>
      </c>
      <c r="B394">
        <v>109</v>
      </c>
      <c r="C394">
        <v>8</v>
      </c>
      <c r="D394">
        <v>16</v>
      </c>
      <c r="E394">
        <v>7</v>
      </c>
      <c r="G394">
        <v>-1.0683167109590261</v>
      </c>
      <c r="H394">
        <v>-0.78319671718433226</v>
      </c>
      <c r="I394">
        <v>-1.1097935698711543</v>
      </c>
      <c r="K394">
        <v>-0.98710233267150416</v>
      </c>
      <c r="M394" t="s">
        <v>170</v>
      </c>
      <c r="O394" s="1" t="str" cm="1">
        <f t="array" ref="O394">_xlfn.LET( _xlpm.s, UPPER(M394),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KQQIQRLKEICKH</v>
      </c>
    </row>
    <row r="395" spans="1:15" ht="24">
      <c r="A395">
        <v>654</v>
      </c>
      <c r="B395">
        <v>55</v>
      </c>
      <c r="C395">
        <v>8</v>
      </c>
      <c r="D395">
        <v>7</v>
      </c>
      <c r="E395">
        <v>2</v>
      </c>
      <c r="G395">
        <v>-0.77125290251264622</v>
      </c>
      <c r="H395">
        <v>-0.84515485137962054</v>
      </c>
      <c r="I395">
        <v>-1.35679780577505</v>
      </c>
      <c r="K395">
        <v>-0.99106851988910571</v>
      </c>
      <c r="M395" t="s">
        <v>661</v>
      </c>
      <c r="O395" s="1" t="str" cm="1">
        <f t="array" ref="O395">_xlfn.LET( _xlpm.s, UPPER(M395),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KALEERIKEILKL</v>
      </c>
    </row>
    <row r="396" spans="1:15" ht="24">
      <c r="A396">
        <v>516</v>
      </c>
      <c r="B396">
        <v>99</v>
      </c>
      <c r="C396">
        <v>5</v>
      </c>
      <c r="D396">
        <v>13</v>
      </c>
      <c r="E396">
        <v>10</v>
      </c>
      <c r="G396">
        <v>-1.2306453902718772</v>
      </c>
      <c r="H396">
        <v>-0.83158204419034654</v>
      </c>
      <c r="I396">
        <v>-0.9131003065423372</v>
      </c>
      <c r="K396">
        <v>-0.99177591366818696</v>
      </c>
      <c r="M396" t="s">
        <v>523</v>
      </c>
      <c r="O396" s="1" t="str" cm="1">
        <f t="array" ref="O396">_xlfn.LET( _xlpm.s, UPPER(M396),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KKLVARIKAICEK</v>
      </c>
    </row>
    <row r="397" spans="1:15" ht="24">
      <c r="A397">
        <v>478</v>
      </c>
      <c r="B397">
        <v>33</v>
      </c>
      <c r="C397">
        <v>4</v>
      </c>
      <c r="D397">
        <v>1</v>
      </c>
      <c r="E397">
        <v>6</v>
      </c>
      <c r="G397">
        <v>-0.85043414856027111</v>
      </c>
      <c r="H397">
        <v>-1.4684041417775211</v>
      </c>
      <c r="I397">
        <v>-0.65782780143903119</v>
      </c>
      <c r="K397">
        <v>-0.99222203059227454</v>
      </c>
      <c r="M397" t="s">
        <v>485</v>
      </c>
      <c r="O397" s="1" t="str" cm="1">
        <f t="array" ref="O397">_xlfn.LET( _xlpm.s, UPPER(M397),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EKMIERIKEILKL</v>
      </c>
    </row>
    <row r="398" spans="1:15" ht="24">
      <c r="A398">
        <v>79</v>
      </c>
      <c r="B398">
        <v>276</v>
      </c>
      <c r="C398">
        <v>45</v>
      </c>
      <c r="D398">
        <v>17</v>
      </c>
      <c r="E398">
        <v>18</v>
      </c>
      <c r="G398">
        <v>-0.72167676830021998</v>
      </c>
      <c r="H398">
        <v>-1.1603503625865774</v>
      </c>
      <c r="I398">
        <v>-1.1031016889066991</v>
      </c>
      <c r="K398">
        <v>-0.99504293993116555</v>
      </c>
      <c r="M398" t="s">
        <v>86</v>
      </c>
      <c r="O398" s="1" t="str" cm="1">
        <f t="array" ref="O398">_xlfn.LET( _xlpm.s, UPPER(M398),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KEQIARLKAICEH</v>
      </c>
    </row>
    <row r="399" spans="1:15" ht="24">
      <c r="A399">
        <v>776</v>
      </c>
      <c r="B399">
        <v>142</v>
      </c>
      <c r="C399">
        <v>12</v>
      </c>
      <c r="D399">
        <v>11</v>
      </c>
      <c r="E399">
        <v>14</v>
      </c>
      <c r="G399">
        <v>-1.0070872983457777</v>
      </c>
      <c r="H399">
        <v>-1.0607858611244652</v>
      </c>
      <c r="I399">
        <v>-0.92362542064960584</v>
      </c>
      <c r="K399">
        <v>-0.99716619337328283</v>
      </c>
      <c r="M399" t="s">
        <v>783</v>
      </c>
      <c r="O399" s="1" t="str" cm="1">
        <f t="array" ref="O399">_xlfn.LET( _xlpm.s, UPPER(M399),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EKLTERIVAICEK</v>
      </c>
    </row>
    <row r="400" spans="1:15" ht="24">
      <c r="A400">
        <v>127</v>
      </c>
      <c r="B400">
        <v>159</v>
      </c>
      <c r="C400">
        <v>13</v>
      </c>
      <c r="D400">
        <v>18</v>
      </c>
      <c r="E400">
        <v>11</v>
      </c>
      <c r="G400">
        <v>-1.0214339720239609</v>
      </c>
      <c r="H400">
        <v>-0.89601482111677888</v>
      </c>
      <c r="I400">
        <v>-1.0774695511070138</v>
      </c>
      <c r="K400">
        <v>-0.99830611474925124</v>
      </c>
      <c r="M400" t="s">
        <v>134</v>
      </c>
      <c r="O400" s="1" t="str" cm="1">
        <f t="array" ref="O400">_xlfn.LET( _xlpm.s, UPPER(M400),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KEQIERLKAICAH</v>
      </c>
    </row>
    <row r="401" spans="1:15" ht="24">
      <c r="A401">
        <v>771</v>
      </c>
      <c r="B401">
        <v>146</v>
      </c>
      <c r="C401">
        <v>5</v>
      </c>
      <c r="D401">
        <v>14</v>
      </c>
      <c r="E401">
        <v>28</v>
      </c>
      <c r="G401">
        <v>-1.3993630514587645</v>
      </c>
      <c r="H401">
        <v>-0.96811502200583266</v>
      </c>
      <c r="I401">
        <v>-0.63465993638700524</v>
      </c>
      <c r="K401">
        <v>-1.0007126699505342</v>
      </c>
      <c r="M401" t="s">
        <v>778</v>
      </c>
      <c r="O401" s="1" t="str" cm="1">
        <f t="array" ref="O401">_xlfn.LET( _xlpm.s, UPPER(M401),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KKLTERIVAICEK</v>
      </c>
    </row>
    <row r="402" spans="1:15" ht="24">
      <c r="A402">
        <v>40</v>
      </c>
      <c r="B402">
        <v>219</v>
      </c>
      <c r="C402">
        <v>15</v>
      </c>
      <c r="D402">
        <v>11</v>
      </c>
      <c r="E402">
        <v>39</v>
      </c>
      <c r="G402">
        <v>-1.0983330557947832</v>
      </c>
      <c r="H402">
        <v>-1.2489416315815269</v>
      </c>
      <c r="I402">
        <v>-0.66684461975840648</v>
      </c>
      <c r="K402">
        <v>-1.0047064357115723</v>
      </c>
      <c r="M402" t="s">
        <v>47</v>
      </c>
      <c r="O402" s="1" t="str" cm="1">
        <f t="array" ref="O402">_xlfn.LET( _xlpm.s, UPPER(M402),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KEQIERLKLICKH</v>
      </c>
    </row>
    <row r="403" spans="1:15" ht="24">
      <c r="A403">
        <v>791</v>
      </c>
      <c r="B403">
        <v>75</v>
      </c>
      <c r="C403">
        <v>3</v>
      </c>
      <c r="D403">
        <v>6</v>
      </c>
      <c r="E403">
        <v>14</v>
      </c>
      <c r="G403">
        <v>-1.3319202086823836</v>
      </c>
      <c r="H403">
        <v>-1.04680021490769</v>
      </c>
      <c r="I403">
        <v>-0.64639833965824933</v>
      </c>
      <c r="K403">
        <v>-1.0083729210827743</v>
      </c>
      <c r="M403" t="s">
        <v>798</v>
      </c>
      <c r="O403" s="1" t="str" cm="1">
        <f t="array" ref="O403">_xlfn.LET( _xlpm.s, UPPER(M403),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KKLTERIVAICKK</v>
      </c>
    </row>
    <row r="404" spans="1:15" ht="24">
      <c r="A404">
        <v>730</v>
      </c>
      <c r="B404">
        <v>89</v>
      </c>
      <c r="C404">
        <v>10</v>
      </c>
      <c r="D404">
        <v>6</v>
      </c>
      <c r="E404">
        <v>7</v>
      </c>
      <c r="G404">
        <v>-0.88337020665525878</v>
      </c>
      <c r="H404">
        <v>-1.1211289581609027</v>
      </c>
      <c r="I404">
        <v>-1.0217570785754433</v>
      </c>
      <c r="K404">
        <v>-1.0087520811305348</v>
      </c>
      <c r="M404" t="s">
        <v>737</v>
      </c>
      <c r="O404" s="1" t="str" cm="1">
        <f t="array" ref="O404">_xlfn.LET( _xlpm.s, UPPER(M404),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KKLVDRIVEICKR</v>
      </c>
    </row>
    <row r="405" spans="1:15" ht="24">
      <c r="A405">
        <v>734</v>
      </c>
      <c r="B405">
        <v>108</v>
      </c>
      <c r="C405">
        <v>6</v>
      </c>
      <c r="D405">
        <v>10</v>
      </c>
      <c r="E405">
        <v>11</v>
      </c>
      <c r="G405">
        <v>-1.1892527051136521</v>
      </c>
      <c r="H405">
        <v>-0.98331395738658312</v>
      </c>
      <c r="I405">
        <v>-0.90949618227351203</v>
      </c>
      <c r="K405">
        <v>-1.0273542815912491</v>
      </c>
      <c r="M405" t="s">
        <v>741</v>
      </c>
      <c r="O405" s="1" t="str" cm="1">
        <f t="array" ref="O405">_xlfn.LET( _xlpm.s, UPPER(M405),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KRLTERIIEICKL</v>
      </c>
    </row>
    <row r="406" spans="1:15" ht="24">
      <c r="A406">
        <v>41</v>
      </c>
      <c r="B406">
        <v>125</v>
      </c>
      <c r="C406">
        <v>7</v>
      </c>
      <c r="D406">
        <v>5</v>
      </c>
      <c r="E406">
        <v>29</v>
      </c>
      <c r="G406">
        <v>-1.1857921730041456</v>
      </c>
      <c r="H406">
        <v>-1.3478302105716711</v>
      </c>
      <c r="I406">
        <v>-0.55197712705388757</v>
      </c>
      <c r="K406">
        <v>-1.0285331702099014</v>
      </c>
      <c r="M406" t="s">
        <v>48</v>
      </c>
      <c r="O406" s="1" t="str" cm="1">
        <f t="array" ref="O406">_xlfn.LET( _xlpm.s, UPPER(M406),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KEQIARLKEICKH</v>
      </c>
    </row>
    <row r="407" spans="1:15" ht="24">
      <c r="A407">
        <v>466</v>
      </c>
      <c r="B407">
        <v>60</v>
      </c>
      <c r="C407">
        <v>4</v>
      </c>
      <c r="D407">
        <v>4</v>
      </c>
      <c r="E407">
        <v>7</v>
      </c>
      <c r="G407">
        <v>-1.1100714590660274</v>
      </c>
      <c r="H407">
        <v>-1.1259814609553149</v>
      </c>
      <c r="I407">
        <v>-0.85051832231417412</v>
      </c>
      <c r="K407">
        <v>-1.0288570807785056</v>
      </c>
      <c r="M407" t="s">
        <v>473</v>
      </c>
      <c r="O407" s="1" t="str" cm="1">
        <f t="array" ref="O407">_xlfn.LET( _xlpm.s, UPPER(M407),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ERLIERIKEILKL</v>
      </c>
    </row>
    <row r="408" spans="1:15" ht="24">
      <c r="A408">
        <v>837</v>
      </c>
      <c r="B408">
        <v>34</v>
      </c>
      <c r="C408">
        <v>2</v>
      </c>
      <c r="D408">
        <v>2</v>
      </c>
      <c r="E408">
        <v>5</v>
      </c>
      <c r="G408">
        <v>-1.16442912138862</v>
      </c>
      <c r="H408">
        <v>-1.1803391232779075</v>
      </c>
      <c r="I408">
        <v>-0.74997402465102359</v>
      </c>
      <c r="K408">
        <v>-1.0315807564391835</v>
      </c>
      <c r="M408" t="s">
        <v>844</v>
      </c>
      <c r="O408" s="1" t="str" cm="1">
        <f t="array" ref="O408">_xlfn.LET( _xlpm.s, UPPER(M408),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KKAVDRIKEICKL</v>
      </c>
    </row>
    <row r="409" spans="1:15" ht="24">
      <c r="A409">
        <v>509</v>
      </c>
      <c r="B409">
        <v>111</v>
      </c>
      <c r="C409">
        <v>8</v>
      </c>
      <c r="D409">
        <v>21</v>
      </c>
      <c r="E409">
        <v>4</v>
      </c>
      <c r="G409">
        <v>-1.0762131918050599</v>
      </c>
      <c r="H409">
        <v>-0.67299388595237164</v>
      </c>
      <c r="I409">
        <v>-1.3607280994034825</v>
      </c>
      <c r="K409">
        <v>-1.036645059053638</v>
      </c>
      <c r="M409" t="s">
        <v>516</v>
      </c>
      <c r="O409" s="1" t="str" cm="1">
        <f t="array" ref="O409">_xlfn.LET( _xlpm.s, UPPER(M409),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KQWEKRIVDICKL</v>
      </c>
    </row>
    <row r="410" spans="1:15" ht="24">
      <c r="A410">
        <v>569</v>
      </c>
      <c r="B410">
        <v>30</v>
      </c>
      <c r="C410">
        <v>2</v>
      </c>
      <c r="D410">
        <v>2</v>
      </c>
      <c r="E410">
        <v>3</v>
      </c>
      <c r="G410">
        <v>-1.1100714590660274</v>
      </c>
      <c r="H410">
        <v>-1.1259814609553149</v>
      </c>
      <c r="I410">
        <v>-0.9174651119447873</v>
      </c>
      <c r="K410">
        <v>-1.0511726773220433</v>
      </c>
      <c r="M410" t="s">
        <v>576</v>
      </c>
      <c r="O410" s="1" t="str" cm="1">
        <f t="array" ref="O410">_xlfn.LET( _xlpm.s, UPPER(M410),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KAVIDRLKKILEI</v>
      </c>
    </row>
    <row r="411" spans="1:15" ht="24">
      <c r="A411">
        <v>137</v>
      </c>
      <c r="B411">
        <v>145</v>
      </c>
      <c r="C411">
        <v>17</v>
      </c>
      <c r="D411">
        <v>6</v>
      </c>
      <c r="E411">
        <v>13</v>
      </c>
      <c r="G411">
        <v>-0.86489928086704693</v>
      </c>
      <c r="H411">
        <v>-1.3331069537509648</v>
      </c>
      <c r="I411">
        <v>-0.96488976187292541</v>
      </c>
      <c r="K411">
        <v>-1.054298665496979</v>
      </c>
      <c r="M411" t="s">
        <v>144</v>
      </c>
      <c r="O411" s="1" t="str" cm="1">
        <f t="array" ref="O411">_xlfn.LET( _xlpm.s, UPPER(M411),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KQQVARLVEICKH</v>
      </c>
    </row>
    <row r="412" spans="1:15" ht="24">
      <c r="A412">
        <v>376</v>
      </c>
      <c r="B412">
        <v>69</v>
      </c>
      <c r="C412">
        <v>4</v>
      </c>
      <c r="D412">
        <v>5</v>
      </c>
      <c r="E412">
        <v>7</v>
      </c>
      <c r="G412">
        <v>-1.170769299419639</v>
      </c>
      <c r="H412">
        <v>-1.0897692883008701</v>
      </c>
      <c r="I412">
        <v>-0.91121616266778571</v>
      </c>
      <c r="K412">
        <v>-1.0572515834627649</v>
      </c>
      <c r="M412" t="s">
        <v>383</v>
      </c>
      <c r="O412" s="1" t="str" cm="1">
        <f t="array" ref="O412">_xlfn.LET( _xlpm.s, UPPER(M412),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KQLEQRIKEILKL</v>
      </c>
    </row>
    <row r="413" spans="1:15" ht="24">
      <c r="A413">
        <v>149</v>
      </c>
      <c r="B413">
        <v>218</v>
      </c>
      <c r="C413">
        <v>17</v>
      </c>
      <c r="D413">
        <v>17</v>
      </c>
      <c r="E413">
        <v>15</v>
      </c>
      <c r="G413">
        <v>-1.041987772236677</v>
      </c>
      <c r="H413">
        <v>-1.0578977741259645</v>
      </c>
      <c r="I413">
        <v>-1.0798303464937109</v>
      </c>
      <c r="K413">
        <v>-1.0599052976187842</v>
      </c>
      <c r="M413" t="s">
        <v>156</v>
      </c>
      <c r="O413" s="1" t="str" cm="1">
        <f t="array" ref="O413">_xlfn.LET( _xlpm.s, UPPER(M413),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KEQIARLKLICDH</v>
      </c>
    </row>
    <row r="414" spans="1:15" ht="24">
      <c r="A414">
        <v>217</v>
      </c>
      <c r="B414">
        <v>166</v>
      </c>
      <c r="C414">
        <v>14</v>
      </c>
      <c r="D414">
        <v>11</v>
      </c>
      <c r="E414">
        <v>12</v>
      </c>
      <c r="G414">
        <v>-1.0079602523721631</v>
      </c>
      <c r="H414">
        <v>-1.1286056047814637</v>
      </c>
      <c r="I414">
        <v>-1.0583919539372177</v>
      </c>
      <c r="K414">
        <v>-1.0649859370302817</v>
      </c>
      <c r="M414" t="s">
        <v>224</v>
      </c>
      <c r="O414" s="1" t="str" cm="1">
        <f t="array" ref="O414">_xlfn.LET( _xlpm.s, UPPER(M414),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EQQIARLKEICKH</v>
      </c>
    </row>
    <row r="415" spans="1:15" ht="24">
      <c r="A415">
        <v>852</v>
      </c>
      <c r="B415">
        <v>147</v>
      </c>
      <c r="C415">
        <v>2</v>
      </c>
      <c r="D415">
        <v>11</v>
      </c>
      <c r="E415">
        <v>55</v>
      </c>
      <c r="G415">
        <v>-1.8002675390945411</v>
      </c>
      <c r="H415">
        <v>-1.0758148514895847</v>
      </c>
      <c r="I415">
        <v>-0.34441975719871959</v>
      </c>
      <c r="K415">
        <v>-1.0735007159276151</v>
      </c>
      <c r="M415" t="s">
        <v>859</v>
      </c>
      <c r="O415" s="1" t="str" cm="1">
        <f t="array" ref="O415">_xlfn.LET( _xlpm.s, UPPER(M415),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NRMIERIKAICEK</v>
      </c>
    </row>
    <row r="416" spans="1:15" ht="24">
      <c r="A416">
        <v>107</v>
      </c>
      <c r="B416">
        <v>85</v>
      </c>
      <c r="C416">
        <v>9</v>
      </c>
      <c r="D416">
        <v>3</v>
      </c>
      <c r="E416">
        <v>8</v>
      </c>
      <c r="G416">
        <v>-0.90915661628531386</v>
      </c>
      <c r="H416">
        <v>-1.4021878728942638</v>
      </c>
      <c r="I416">
        <v>-0.9437940506671364</v>
      </c>
      <c r="K416">
        <v>-1.0850461799489046</v>
      </c>
      <c r="M416" t="s">
        <v>114</v>
      </c>
      <c r="O416" s="1" t="str" cm="1">
        <f t="array" ref="O416">_xlfn.LET( _xlpm.s, UPPER(M416),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KKQIERLKEICKH</v>
      </c>
    </row>
    <row r="417" spans="1:15" ht="24">
      <c r="A417">
        <v>502</v>
      </c>
      <c r="B417">
        <v>77</v>
      </c>
      <c r="C417">
        <v>4</v>
      </c>
      <c r="D417">
        <v>10</v>
      </c>
      <c r="E417">
        <v>4</v>
      </c>
      <c r="G417">
        <v>-1.2184109338548657</v>
      </c>
      <c r="H417">
        <v>-0.83638092707211542</v>
      </c>
      <c r="I417">
        <v>-1.201895845789307</v>
      </c>
      <c r="K417">
        <v>-1.0855625689054293</v>
      </c>
      <c r="M417" t="s">
        <v>509</v>
      </c>
      <c r="O417" s="1" t="str" cm="1">
        <f t="array" ref="O417">_xlfn.LET( _xlpm.s, UPPER(M417),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EKAIERLKQILEL</v>
      </c>
    </row>
    <row r="418" spans="1:15" ht="24">
      <c r="A418">
        <v>23</v>
      </c>
      <c r="B418">
        <v>109</v>
      </c>
      <c r="C418">
        <v>15</v>
      </c>
      <c r="D418">
        <v>6</v>
      </c>
      <c r="E418">
        <v>5</v>
      </c>
      <c r="G418">
        <v>-0.79531543889528833</v>
      </c>
      <c r="H418">
        <v>-1.2091654494566135</v>
      </c>
      <c r="I418">
        <v>-1.2559216055493923</v>
      </c>
      <c r="K418">
        <v>-1.0868008313004314</v>
      </c>
      <c r="M418" t="s">
        <v>30</v>
      </c>
      <c r="O418" s="1" t="str" cm="1">
        <f t="array" ref="O418">_xlfn.LET( _xlpm.s, UPPER(M418),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KEQIERLKQICAH</v>
      </c>
    </row>
    <row r="419" spans="1:15" ht="24">
      <c r="A419">
        <v>631</v>
      </c>
      <c r="B419">
        <v>165</v>
      </c>
      <c r="C419">
        <v>12</v>
      </c>
      <c r="D419">
        <v>10</v>
      </c>
      <c r="E419">
        <v>13</v>
      </c>
      <c r="G419">
        <v>-1.0722828981766275</v>
      </c>
      <c r="H419">
        <v>-1.1673741461135398</v>
      </c>
      <c r="I419">
        <v>-1.021005703851857</v>
      </c>
      <c r="K419">
        <v>-1.0868875827140081</v>
      </c>
      <c r="M419" t="s">
        <v>638</v>
      </c>
      <c r="O419" s="1" t="str" cm="1">
        <f t="array" ref="O419">_xlfn.LET( _xlpm.s, UPPER(M419),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RARIERLKAILEK</v>
      </c>
    </row>
    <row r="420" spans="1:15" ht="24">
      <c r="A420">
        <v>111</v>
      </c>
      <c r="B420">
        <v>151</v>
      </c>
      <c r="C420">
        <v>2</v>
      </c>
      <c r="D420">
        <v>10</v>
      </c>
      <c r="E420">
        <v>59</v>
      </c>
      <c r="G420">
        <v>-1.8119271516395343</v>
      </c>
      <c r="H420">
        <v>-1.1288671491928031</v>
      </c>
      <c r="I420">
        <v>-0.32559004759581262</v>
      </c>
      <c r="K420">
        <v>-1.0887947828093834</v>
      </c>
      <c r="M420" t="s">
        <v>118</v>
      </c>
      <c r="O420" s="1" t="str" cm="1">
        <f t="array" ref="O420">_xlfn.LET( _xlpm.s, UPPER(M420),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KKQIERLKLICKH</v>
      </c>
    </row>
    <row r="421" spans="1:15" ht="24">
      <c r="A421">
        <v>214</v>
      </c>
      <c r="B421">
        <v>117</v>
      </c>
      <c r="C421">
        <v>11</v>
      </c>
      <c r="D421">
        <v>4</v>
      </c>
      <c r="E421">
        <v>12</v>
      </c>
      <c r="G421">
        <v>-0.96077337659828255</v>
      </c>
      <c r="H421">
        <v>-1.4160160723178328</v>
      </c>
      <c r="I421">
        <v>-0.90646972764332412</v>
      </c>
      <c r="K421">
        <v>-1.0944197255198131</v>
      </c>
      <c r="M421" t="s">
        <v>221</v>
      </c>
      <c r="O421" s="1" t="str" cm="1">
        <f t="array" ref="O421">_xlfn.LET( _xlpm.s, UPPER(M421),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KEQIERLVAICKH</v>
      </c>
    </row>
    <row r="422" spans="1:15" ht="24">
      <c r="A422">
        <v>280</v>
      </c>
      <c r="B422">
        <v>179</v>
      </c>
      <c r="C422">
        <v>17</v>
      </c>
      <c r="D422">
        <v>10</v>
      </c>
      <c r="E422">
        <v>11</v>
      </c>
      <c r="G422">
        <v>-0.95638430961196519</v>
      </c>
      <c r="H422">
        <v>-1.2027432328795267</v>
      </c>
      <c r="I422">
        <v>-1.1289254577664556</v>
      </c>
      <c r="K422">
        <v>-1.0960176667526491</v>
      </c>
      <c r="M422" t="s">
        <v>287</v>
      </c>
      <c r="O422" s="1" t="str" cm="1">
        <f t="array" ref="O422">_xlfn.LET( _xlpm.s, UPPER(M422),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KQQIERLTLICKH</v>
      </c>
    </row>
    <row r="423" spans="1:15" ht="24">
      <c r="A423">
        <v>779</v>
      </c>
      <c r="B423">
        <v>85</v>
      </c>
      <c r="C423">
        <v>6</v>
      </c>
      <c r="D423">
        <v>6</v>
      </c>
      <c r="E423">
        <v>5</v>
      </c>
      <c r="G423">
        <v>-1.0852478753409951</v>
      </c>
      <c r="H423">
        <v>-1.1011578772302826</v>
      </c>
      <c r="I423">
        <v>-1.1479140333230613</v>
      </c>
      <c r="K423">
        <v>-1.1114399286314465</v>
      </c>
      <c r="M423" t="s">
        <v>786</v>
      </c>
      <c r="O423" s="1" t="str" cm="1">
        <f t="array" ref="O423">_xlfn.LET( _xlpm.s, UPPER(M423),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NKLTKRVVEICKL</v>
      </c>
    </row>
    <row r="424" spans="1:15" ht="24">
      <c r="A424">
        <v>772</v>
      </c>
      <c r="B424">
        <v>126</v>
      </c>
      <c r="C424">
        <v>8</v>
      </c>
      <c r="D424">
        <v>5</v>
      </c>
      <c r="E424">
        <v>14</v>
      </c>
      <c r="G424">
        <v>-1.1312607581359655</v>
      </c>
      <c r="H424">
        <v>-1.3512907426811778</v>
      </c>
      <c r="I424">
        <v>-0.87170762138411217</v>
      </c>
      <c r="K424">
        <v>-1.118086374067085</v>
      </c>
      <c r="M424" t="s">
        <v>779</v>
      </c>
      <c r="O424" s="1" t="str" cm="1">
        <f t="array" ref="O424">_xlfn.LET( _xlpm.s, UPPER(M424),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ERLTKRIVEICKL</v>
      </c>
    </row>
    <row r="425" spans="1:15" ht="24">
      <c r="A425">
        <v>116</v>
      </c>
      <c r="B425">
        <v>235</v>
      </c>
      <c r="C425">
        <v>12</v>
      </c>
      <c r="D425">
        <v>15</v>
      </c>
      <c r="E425">
        <v>20</v>
      </c>
      <c r="G425">
        <v>-1.2258668162344575</v>
      </c>
      <c r="H425">
        <v>-1.1448668051156887</v>
      </c>
      <c r="I425">
        <v>-0.98750297855254232</v>
      </c>
      <c r="K425">
        <v>-1.1194121999675628</v>
      </c>
      <c r="M425" t="s">
        <v>123</v>
      </c>
      <c r="O425" s="1" t="str" cm="1">
        <f t="array" ref="O425">_xlfn.LET( _xlpm.s, UPPER(M425),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KQQIERLKAICAH</v>
      </c>
    </row>
    <row r="426" spans="1:15" ht="24">
      <c r="A426">
        <v>63</v>
      </c>
      <c r="B426">
        <v>81</v>
      </c>
      <c r="C426">
        <v>8</v>
      </c>
      <c r="D426">
        <v>9</v>
      </c>
      <c r="E426">
        <v>2</v>
      </c>
      <c r="G426">
        <v>-0.93937523189705219</v>
      </c>
      <c r="H426">
        <v>-0.90413271133895834</v>
      </c>
      <c r="I426">
        <v>-1.5249201351594559</v>
      </c>
      <c r="K426">
        <v>-1.1228093594651554</v>
      </c>
      <c r="M426" t="s">
        <v>70</v>
      </c>
      <c r="O426" s="1" t="str" cm="1">
        <f t="array" ref="O426">_xlfn.LET( _xlpm.s, UPPER(M426),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KEQIARLKKICEH</v>
      </c>
    </row>
    <row r="427" spans="1:15" ht="24">
      <c r="A427">
        <v>25</v>
      </c>
      <c r="B427">
        <v>288</v>
      </c>
      <c r="C427">
        <v>21</v>
      </c>
      <c r="D427">
        <v>16</v>
      </c>
      <c r="E427">
        <v>19</v>
      </c>
      <c r="G427">
        <v>-1.0711533930356576</v>
      </c>
      <c r="H427">
        <v>-1.2051627070029396</v>
      </c>
      <c r="I427">
        <v>-1.0981039987511894</v>
      </c>
      <c r="K427">
        <v>-1.1248066995965955</v>
      </c>
      <c r="M427" t="s">
        <v>32</v>
      </c>
      <c r="O427" s="1" t="str" cm="1">
        <f t="array" ref="O427">_xlfn.LET( _xlpm.s, UPPER(M427),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KEQIERLKLICEH</v>
      </c>
    </row>
    <row r="428" spans="1:15" ht="24">
      <c r="A428">
        <v>330</v>
      </c>
      <c r="B428">
        <v>201</v>
      </c>
      <c r="C428">
        <v>11</v>
      </c>
      <c r="D428">
        <v>21</v>
      </c>
      <c r="E428">
        <v>9</v>
      </c>
      <c r="G428">
        <v>-1.19578357227261</v>
      </c>
      <c r="H428">
        <v>-0.93086696458620311</v>
      </c>
      <c r="I428">
        <v>-1.2664186599259515</v>
      </c>
      <c r="K428">
        <v>-1.1310230655949216</v>
      </c>
      <c r="M428" t="s">
        <v>337</v>
      </c>
      <c r="O428" s="1" t="str" cm="1">
        <f t="array" ref="O428">_xlfn.LET( _xlpm.s, UPPER(M428),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KQQIARLKAICKH</v>
      </c>
    </row>
    <row r="429" spans="1:15" ht="24">
      <c r="A429">
        <v>527</v>
      </c>
      <c r="B429">
        <v>32</v>
      </c>
      <c r="C429">
        <v>1</v>
      </c>
      <c r="D429">
        <v>2</v>
      </c>
      <c r="E429">
        <v>4</v>
      </c>
      <c r="G429">
        <v>-1.4391301783302521</v>
      </c>
      <c r="H429">
        <v>-1.1540101845555584</v>
      </c>
      <c r="I429">
        <v>-0.82055509893673084</v>
      </c>
      <c r="K429">
        <v>-1.1378984872741804</v>
      </c>
      <c r="M429" t="s">
        <v>534</v>
      </c>
      <c r="O429" s="1" t="str" cm="1">
        <f t="array" ref="O429">_xlfn.LET( _xlpm.s, UPPER(M429),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QRLINRIKEICKI</v>
      </c>
    </row>
    <row r="430" spans="1:15" ht="24">
      <c r="A430">
        <v>245</v>
      </c>
      <c r="B430">
        <v>363</v>
      </c>
      <c r="C430">
        <v>28</v>
      </c>
      <c r="D430">
        <v>18</v>
      </c>
      <c r="E430">
        <v>21</v>
      </c>
      <c r="G430">
        <v>-1.0467287937042393</v>
      </c>
      <c r="H430">
        <v>-1.25452432183244</v>
      </c>
      <c r="I430">
        <v>-1.1551524422469805</v>
      </c>
      <c r="K430">
        <v>-1.1521351859278866</v>
      </c>
      <c r="M430" t="s">
        <v>252</v>
      </c>
      <c r="O430" s="1" t="str" cm="1">
        <f t="array" ref="O430">_xlfn.LET( _xlpm.s, UPPER(M430),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KQQIARLKAICEH</v>
      </c>
    </row>
    <row r="431" spans="1:15" ht="24">
      <c r="A431">
        <v>133</v>
      </c>
      <c r="B431">
        <v>206</v>
      </c>
      <c r="C431">
        <v>96</v>
      </c>
      <c r="D431">
        <v>4</v>
      </c>
      <c r="E431">
        <v>5</v>
      </c>
      <c r="G431">
        <v>-0.26557618733993094</v>
      </c>
      <c r="H431">
        <v>-1.6616974309408246</v>
      </c>
      <c r="I431">
        <v>-1.5323623279779219</v>
      </c>
      <c r="K431">
        <v>-1.1532119820862257</v>
      </c>
      <c r="M431" t="s">
        <v>140</v>
      </c>
      <c r="O431" s="1" t="str" cm="1">
        <f t="array" ref="O431">_xlfn.LET( _xlpm.s, UPPER(M431),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KQQIARLKEICAH</v>
      </c>
    </row>
    <row r="432" spans="1:15" ht="24">
      <c r="A432">
        <v>677</v>
      </c>
      <c r="B432">
        <v>67</v>
      </c>
      <c r="C432">
        <v>1</v>
      </c>
      <c r="D432">
        <v>5</v>
      </c>
      <c r="E432">
        <v>13</v>
      </c>
      <c r="G432">
        <v>-1.7600550027111725</v>
      </c>
      <c r="H432">
        <v>-1.0769950002644413</v>
      </c>
      <c r="I432">
        <v>-0.62959656233877692</v>
      </c>
      <c r="K432">
        <v>-1.155548855104797</v>
      </c>
      <c r="M432" t="s">
        <v>684</v>
      </c>
      <c r="O432" s="1" t="str" cm="1">
        <f t="array" ref="O432">_xlfn.LET( _xlpm.s, UPPER(M432),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KAREKRIEEILKL</v>
      </c>
    </row>
    <row r="433" spans="1:15" ht="24">
      <c r="A433">
        <v>526</v>
      </c>
      <c r="B433">
        <v>42</v>
      </c>
      <c r="C433">
        <v>4</v>
      </c>
      <c r="D433">
        <v>2</v>
      </c>
      <c r="E433">
        <v>2</v>
      </c>
      <c r="G433">
        <v>-0.95516949908028403</v>
      </c>
      <c r="H433">
        <v>-1.2721094966335529</v>
      </c>
      <c r="I433">
        <v>-1.2396844066787067</v>
      </c>
      <c r="K433">
        <v>-1.1556544674641811</v>
      </c>
      <c r="M433" t="s">
        <v>533</v>
      </c>
      <c r="O433" s="1" t="str" cm="1">
        <f t="array" ref="O433">_xlfn.LET( _xlpm.s, UPPER(M433),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KRLIERIKKILEL</v>
      </c>
    </row>
    <row r="434" spans="1:15" ht="24">
      <c r="A434">
        <v>53</v>
      </c>
      <c r="B434">
        <v>216</v>
      </c>
      <c r="C434">
        <v>75</v>
      </c>
      <c r="D434">
        <v>14</v>
      </c>
      <c r="E434">
        <v>2</v>
      </c>
      <c r="G434">
        <v>-0.39337268776957685</v>
      </c>
      <c r="H434">
        <v>-1.1382159173723265</v>
      </c>
      <c r="I434">
        <v>-1.9508888674317373</v>
      </c>
      <c r="K434">
        <v>-1.1608258241912137</v>
      </c>
      <c r="M434" t="s">
        <v>60</v>
      </c>
      <c r="O434" s="1" t="str" cm="1">
        <f t="array" ref="O434">_xlfn.LET( _xlpm.s, UPPER(M434),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KQQIERLKKICEH</v>
      </c>
    </row>
    <row r="435" spans="1:15" ht="24">
      <c r="A435">
        <v>59</v>
      </c>
      <c r="B435">
        <v>235</v>
      </c>
      <c r="C435">
        <v>11</v>
      </c>
      <c r="D435">
        <v>16</v>
      </c>
      <c r="E435">
        <v>15</v>
      </c>
      <c r="G435">
        <v>-1.2636553771238574</v>
      </c>
      <c r="H435">
        <v>-1.1168380815154451</v>
      </c>
      <c r="I435">
        <v>-1.1124417151608426</v>
      </c>
      <c r="K435">
        <v>-1.1643117246000483</v>
      </c>
      <c r="M435" t="s">
        <v>66</v>
      </c>
      <c r="O435" s="1" t="str" cm="1">
        <f t="array" ref="O435">_xlfn.LET( _xlpm.s, UPPER(M435),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KKQIERLKLICEH</v>
      </c>
    </row>
    <row r="436" spans="1:15" ht="24">
      <c r="A436">
        <v>308</v>
      </c>
      <c r="B436">
        <v>282</v>
      </c>
      <c r="C436">
        <v>20</v>
      </c>
      <c r="D436">
        <v>15</v>
      </c>
      <c r="E436">
        <v>15</v>
      </c>
      <c r="G436">
        <v>-1.083199312665726</v>
      </c>
      <c r="H436">
        <v>-1.2240480511633134</v>
      </c>
      <c r="I436">
        <v>-1.1916229612084672</v>
      </c>
      <c r="K436">
        <v>-1.1662901083458355</v>
      </c>
      <c r="M436" t="s">
        <v>315</v>
      </c>
      <c r="O436" s="1" t="str" cm="1">
        <f t="array" ref="O436">_xlfn.LET( _xlpm.s, UPPER(M436),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KQQIERLKAICDH</v>
      </c>
    </row>
    <row r="437" spans="1:15" ht="24">
      <c r="A437">
        <v>91</v>
      </c>
      <c r="B437">
        <v>284</v>
      </c>
      <c r="C437">
        <v>8</v>
      </c>
      <c r="D437">
        <v>16</v>
      </c>
      <c r="E437">
        <v>35</v>
      </c>
      <c r="G437">
        <v>-1.4842085530654401</v>
      </c>
      <c r="H437">
        <v>-1.1990885592907465</v>
      </c>
      <c r="I437">
        <v>-0.82671540764154938</v>
      </c>
      <c r="K437">
        <v>-1.1700041733325788</v>
      </c>
      <c r="M437" t="s">
        <v>98</v>
      </c>
      <c r="O437" s="1" t="str" cm="1">
        <f t="array" ref="O437">_xlfn.LET( _xlpm.s, UPPER(M437),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KEQIARLKAICDH</v>
      </c>
    </row>
    <row r="438" spans="1:15" ht="24">
      <c r="A438">
        <v>787</v>
      </c>
      <c r="B438">
        <v>123</v>
      </c>
      <c r="C438">
        <v>5</v>
      </c>
      <c r="D438">
        <v>9</v>
      </c>
      <c r="E438">
        <v>8</v>
      </c>
      <c r="G438">
        <v>-1.3249153071137252</v>
      </c>
      <c r="H438">
        <v>-1.0855528038997067</v>
      </c>
      <c r="I438">
        <v>-1.1042802363922417</v>
      </c>
      <c r="K438">
        <v>-1.1715827824685581</v>
      </c>
      <c r="M438" t="s">
        <v>794</v>
      </c>
      <c r="O438" s="1" t="str" cm="1">
        <f t="array" ref="O438">_xlfn.LET( _xlpm.s, UPPER(M438),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NKLIERIKAICEK</v>
      </c>
    </row>
    <row r="439" spans="1:15" ht="24">
      <c r="A439">
        <v>105</v>
      </c>
      <c r="B439">
        <v>399</v>
      </c>
      <c r="C439">
        <v>45</v>
      </c>
      <c r="D439">
        <v>15</v>
      </c>
      <c r="E439">
        <v>18</v>
      </c>
      <c r="G439">
        <v>-0.88174058192175053</v>
      </c>
      <c r="H439">
        <v>-1.3747718385307006</v>
      </c>
      <c r="I439">
        <v>-1.2631655025282296</v>
      </c>
      <c r="K439">
        <v>-1.1732259743268936</v>
      </c>
      <c r="M439" t="s">
        <v>112</v>
      </c>
      <c r="O439" s="1" t="str" cm="1">
        <f t="array" ref="O439">_xlfn.LET( _xlpm.s, UPPER(M439),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KQQIERLKLICDH</v>
      </c>
    </row>
    <row r="440" spans="1:15" ht="24">
      <c r="A440">
        <v>85</v>
      </c>
      <c r="B440">
        <v>140</v>
      </c>
      <c r="C440">
        <v>5</v>
      </c>
      <c r="D440">
        <v>8</v>
      </c>
      <c r="E440">
        <v>13</v>
      </c>
      <c r="G440">
        <v>-1.3811382313525653</v>
      </c>
      <c r="H440">
        <v>-1.192928250585928</v>
      </c>
      <c r="I440">
        <v>-0.94964979531618854</v>
      </c>
      <c r="K440">
        <v>-1.1745720924182272</v>
      </c>
      <c r="M440" t="s">
        <v>92</v>
      </c>
      <c r="O440" s="1" t="str" cm="1">
        <f t="array" ref="O440">_xlfn.LET( _xlpm.s, UPPER(M440),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KQQEERLVLICKH</v>
      </c>
    </row>
    <row r="441" spans="1:15" ht="24">
      <c r="A441">
        <v>185</v>
      </c>
      <c r="B441">
        <v>220</v>
      </c>
      <c r="C441">
        <v>7</v>
      </c>
      <c r="D441">
        <v>15</v>
      </c>
      <c r="E441">
        <v>19</v>
      </c>
      <c r="G441">
        <v>-1.4313048408182956</v>
      </c>
      <c r="H441">
        <v>-1.1162216236661586</v>
      </c>
      <c r="I441">
        <v>-0.98113419181416461</v>
      </c>
      <c r="K441">
        <v>-1.1762202187662061</v>
      </c>
      <c r="M441" t="s">
        <v>192</v>
      </c>
      <c r="O441" s="1" t="str" cm="1">
        <f t="array" ref="O441">_xlfn.LET( _xlpm.s, UPPER(M441),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KQQIERLKEICKH</v>
      </c>
    </row>
    <row r="442" spans="1:15" ht="24">
      <c r="A442">
        <v>617</v>
      </c>
      <c r="B442">
        <v>58</v>
      </c>
      <c r="C442">
        <v>9</v>
      </c>
      <c r="D442">
        <v>4</v>
      </c>
      <c r="E442">
        <v>1</v>
      </c>
      <c r="G442">
        <v>-0.74316568413395834</v>
      </c>
      <c r="H442">
        <v>-1.1112582041346084</v>
      </c>
      <c r="I442">
        <v>-1.6808931055077247</v>
      </c>
      <c r="K442">
        <v>-1.1784389979254304</v>
      </c>
      <c r="M442" t="s">
        <v>624</v>
      </c>
      <c r="O442" s="1" t="str" cm="1">
        <f t="array" ref="O442">_xlfn.LET( _xlpm.s, UPPER(M442),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EQRIKRIEEILKI</v>
      </c>
    </row>
    <row r="443" spans="1:15" ht="24">
      <c r="A443">
        <v>816</v>
      </c>
      <c r="B443">
        <v>242</v>
      </c>
      <c r="C443">
        <v>18</v>
      </c>
      <c r="D443">
        <v>11</v>
      </c>
      <c r="E443">
        <v>13</v>
      </c>
      <c r="G443">
        <v>-1.0625230608874714</v>
      </c>
      <c r="H443">
        <v>-1.2923128827218398</v>
      </c>
      <c r="I443">
        <v>-1.187337125618382</v>
      </c>
      <c r="K443">
        <v>-1.1807243564092309</v>
      </c>
      <c r="M443" t="s">
        <v>823</v>
      </c>
      <c r="O443" s="1" t="str" cm="1">
        <f t="array" ref="O443">_xlfn.LET( _xlpm.s, UPPER(M443),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ERLTKRIVAICER</v>
      </c>
    </row>
    <row r="444" spans="1:15" ht="24">
      <c r="A444">
        <v>97</v>
      </c>
      <c r="B444">
        <v>179</v>
      </c>
      <c r="C444">
        <v>31</v>
      </c>
      <c r="D444">
        <v>3</v>
      </c>
      <c r="E444">
        <v>11</v>
      </c>
      <c r="G444">
        <v>-0.69547153715596643</v>
      </c>
      <c r="H444">
        <v>-1.7256219781598643</v>
      </c>
      <c r="I444">
        <v>-1.1289254577664556</v>
      </c>
      <c r="K444">
        <v>-1.1833396576940955</v>
      </c>
      <c r="M444" t="s">
        <v>104</v>
      </c>
      <c r="O444" s="1" t="str" cm="1">
        <f t="array" ref="O444">_xlfn.LET( _xlpm.s, UPPER(M444),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KRQIERLKLICKH</v>
      </c>
    </row>
    <row r="445" spans="1:15" ht="24">
      <c r="A445">
        <v>220</v>
      </c>
      <c r="B445">
        <v>106</v>
      </c>
      <c r="C445">
        <v>7</v>
      </c>
      <c r="D445">
        <v>10</v>
      </c>
      <c r="E445">
        <v>3</v>
      </c>
      <c r="G445">
        <v>-1.1141880252608596</v>
      </c>
      <c r="H445">
        <v>-0.97519606716440366</v>
      </c>
      <c r="I445">
        <v>-1.4656497224898952</v>
      </c>
      <c r="K445">
        <v>-1.185011271638386</v>
      </c>
      <c r="M445" t="s">
        <v>227</v>
      </c>
      <c r="O445" s="1" t="str" cm="1">
        <f t="array" ref="O445">_xlfn.LET( _xlpm.s, UPPER(M445),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KEQIERLKEICKH</v>
      </c>
    </row>
    <row r="446" spans="1:15" ht="24">
      <c r="A446">
        <v>279</v>
      </c>
      <c r="B446">
        <v>52</v>
      </c>
      <c r="C446">
        <v>6</v>
      </c>
      <c r="D446">
        <v>2</v>
      </c>
      <c r="E446">
        <v>2</v>
      </c>
      <c r="G446">
        <v>-0.87183229326150147</v>
      </c>
      <c r="H446">
        <v>-1.3648635498704516</v>
      </c>
      <c r="I446">
        <v>-1.3324384599156054</v>
      </c>
      <c r="K446">
        <v>-1.1897114343491861</v>
      </c>
      <c r="M446" t="s">
        <v>286</v>
      </c>
      <c r="O446" s="1" t="str" cm="1">
        <f t="array" ref="O446">_xlfn.LET( _xlpm.s, UPPER(M446),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KKQIQRLKEICKH</v>
      </c>
    </row>
    <row r="447" spans="1:15" ht="24">
      <c r="A447">
        <v>187</v>
      </c>
      <c r="B447">
        <v>168</v>
      </c>
      <c r="C447">
        <v>7</v>
      </c>
      <c r="D447">
        <v>14</v>
      </c>
      <c r="E447">
        <v>8</v>
      </c>
      <c r="G447">
        <v>-1.3141914417219522</v>
      </c>
      <c r="H447">
        <v>-1.0290714479472585</v>
      </c>
      <c r="I447">
        <v>-1.2396844066787067</v>
      </c>
      <c r="K447">
        <v>-1.1943157654493057</v>
      </c>
      <c r="M447" t="s">
        <v>194</v>
      </c>
      <c r="O447" s="1" t="str" cm="1">
        <f t="array" ref="O447">_xlfn.LET( _xlpm.s, UPPER(M447),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KEQIARLKQICEH</v>
      </c>
    </row>
    <row r="448" spans="1:15" ht="24">
      <c r="A448">
        <v>635</v>
      </c>
      <c r="B448">
        <v>23</v>
      </c>
      <c r="C448">
        <v>1</v>
      </c>
      <c r="D448">
        <v>1</v>
      </c>
      <c r="E448">
        <v>2</v>
      </c>
      <c r="G448">
        <v>-1.2957080360279389</v>
      </c>
      <c r="H448">
        <v>-1.3116180379172264</v>
      </c>
      <c r="I448">
        <v>-0.97816295229839889</v>
      </c>
      <c r="K448">
        <v>-1.1951630087478546</v>
      </c>
      <c r="M448" t="s">
        <v>642</v>
      </c>
      <c r="O448" s="1" t="str" cm="1">
        <f t="array" ref="O448">_xlfn.LET( _xlpm.s, UPPER(M448),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KAKIKRIKEILEI</v>
      </c>
    </row>
    <row r="449" spans="1:15" ht="24">
      <c r="A449">
        <v>288</v>
      </c>
      <c r="B449">
        <v>83</v>
      </c>
      <c r="C449">
        <v>9</v>
      </c>
      <c r="D449">
        <v>5</v>
      </c>
      <c r="E449">
        <v>2</v>
      </c>
      <c r="G449">
        <v>-0.89881578294709497</v>
      </c>
      <c r="H449">
        <v>-1.1699982899396886</v>
      </c>
      <c r="I449">
        <v>-1.5355132086568801</v>
      </c>
      <c r="K449">
        <v>-1.2014424271812212</v>
      </c>
      <c r="M449" t="s">
        <v>295</v>
      </c>
      <c r="O449" s="1" t="str" cm="1">
        <f t="array" ref="O449">_xlfn.LET( _xlpm.s, UPPER(M449),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KEQIARLKQICEI</v>
      </c>
    </row>
    <row r="450" spans="1:15" ht="24">
      <c r="A450">
        <v>834</v>
      </c>
      <c r="B450">
        <v>119</v>
      </c>
      <c r="C450">
        <v>4</v>
      </c>
      <c r="D450">
        <v>6</v>
      </c>
      <c r="E450">
        <v>11</v>
      </c>
      <c r="G450">
        <v>-1.4074671700749144</v>
      </c>
      <c r="H450">
        <v>-1.2472859129085208</v>
      </c>
      <c r="I450">
        <v>-0.95161938817909297</v>
      </c>
      <c r="K450">
        <v>-1.2021241570541761</v>
      </c>
      <c r="M450" t="s">
        <v>841</v>
      </c>
      <c r="O450" s="1" t="str" cm="1">
        <f t="array" ref="O450">_xlfn.LET( _xlpm.s, UPPER(M450),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KRLEKRIVEICER</v>
      </c>
    </row>
    <row r="451" spans="1:15" ht="24">
      <c r="A451">
        <v>186</v>
      </c>
      <c r="B451">
        <v>189</v>
      </c>
      <c r="C451">
        <v>8</v>
      </c>
      <c r="D451">
        <v>14</v>
      </c>
      <c r="E451">
        <v>9</v>
      </c>
      <c r="G451">
        <v>-1.3073520171916466</v>
      </c>
      <c r="H451">
        <v>-1.0802239703946397</v>
      </c>
      <c r="I451">
        <v>-1.2396844066787067</v>
      </c>
      <c r="K451">
        <v>-1.2090867980883311</v>
      </c>
      <c r="M451" t="s">
        <v>193</v>
      </c>
      <c r="O451" s="1" t="str" cm="1">
        <f t="array" ref="O451">_xlfn.LET( _xlpm.s, UPPER(M451),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KQQIARLKQICAH</v>
      </c>
    </row>
    <row r="452" spans="1:15" ht="24">
      <c r="A452">
        <v>26</v>
      </c>
      <c r="B452">
        <v>99</v>
      </c>
      <c r="C452">
        <v>3</v>
      </c>
      <c r="D452">
        <v>4</v>
      </c>
      <c r="E452">
        <v>12</v>
      </c>
      <c r="G452">
        <v>-1.4524941398882336</v>
      </c>
      <c r="H452">
        <v>-1.343465405169221</v>
      </c>
      <c r="I452">
        <v>-0.83391906049471243</v>
      </c>
      <c r="K452">
        <v>-1.2099595351840557</v>
      </c>
      <c r="M452" t="s">
        <v>33</v>
      </c>
      <c r="O452" s="1" t="str" cm="1">
        <f t="array" ref="O452">_xlfn.LET( _xlpm.s, UPPER(M452),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KQQIARLVQICKH</v>
      </c>
    </row>
    <row r="453" spans="1:15" ht="24">
      <c r="A453">
        <v>299</v>
      </c>
      <c r="B453">
        <v>83</v>
      </c>
      <c r="C453">
        <v>6</v>
      </c>
      <c r="D453">
        <v>2</v>
      </c>
      <c r="E453">
        <v>7</v>
      </c>
      <c r="G453">
        <v>-1.0749070420027764</v>
      </c>
      <c r="H453">
        <v>-1.5679382986117263</v>
      </c>
      <c r="I453">
        <v>-0.99144516430660434</v>
      </c>
      <c r="K453">
        <v>-1.2114301683070356</v>
      </c>
      <c r="M453" t="s">
        <v>306</v>
      </c>
      <c r="O453" s="1" t="str" cm="1">
        <f t="array" ref="O453">_xlfn.LET( _xlpm.s, UPPER(M453),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KEQIERLKLICEK</v>
      </c>
    </row>
    <row r="454" spans="1:15" ht="24">
      <c r="A454">
        <v>866</v>
      </c>
      <c r="B454">
        <v>44</v>
      </c>
      <c r="C454">
        <v>3</v>
      </c>
      <c r="D454">
        <v>1</v>
      </c>
      <c r="E454">
        <v>4</v>
      </c>
      <c r="G454">
        <v>-1.1003116217768711</v>
      </c>
      <c r="H454">
        <v>-1.593342878385821</v>
      </c>
      <c r="I454">
        <v>-0.95885779710301222</v>
      </c>
      <c r="K454">
        <v>-1.2175040990885682</v>
      </c>
      <c r="M454" t="s">
        <v>873</v>
      </c>
      <c r="O454" s="1" t="str" cm="1">
        <f t="array" ref="O454">_xlfn.LET( _xlpm.s, UPPER(M454),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NKLVERIIEICKI</v>
      </c>
    </row>
    <row r="455" spans="1:15" ht="24">
      <c r="A455">
        <v>907</v>
      </c>
      <c r="B455">
        <v>69</v>
      </c>
      <c r="C455">
        <v>3</v>
      </c>
      <c r="D455">
        <v>3</v>
      </c>
      <c r="E455">
        <v>5</v>
      </c>
      <c r="G455">
        <v>-1.2957080360279389</v>
      </c>
      <c r="H455">
        <v>-1.3116180379172264</v>
      </c>
      <c r="I455">
        <v>-1.0573441983460239</v>
      </c>
      <c r="K455">
        <v>-1.2215567574303963</v>
      </c>
      <c r="M455" t="s">
        <v>914</v>
      </c>
      <c r="O455" s="1" t="str" cm="1">
        <f t="array" ref="O455">_xlfn.LET( _xlpm.s, UPPER(M455),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NRLVERIKEICKI</v>
      </c>
    </row>
    <row r="456" spans="1:15" ht="24">
      <c r="A456">
        <v>851</v>
      </c>
      <c r="B456">
        <v>25</v>
      </c>
      <c r="C456">
        <v>1</v>
      </c>
      <c r="D456">
        <v>1</v>
      </c>
      <c r="E456">
        <v>2</v>
      </c>
      <c r="G456">
        <v>-1.3319202086823836</v>
      </c>
      <c r="H456">
        <v>-1.3478302105716711</v>
      </c>
      <c r="I456">
        <v>-1.0143751249528439</v>
      </c>
      <c r="K456">
        <v>-1.2313751814022995</v>
      </c>
      <c r="M456" t="s">
        <v>858</v>
      </c>
      <c r="O456" s="1" t="str" cm="1">
        <f t="array" ref="O456">_xlfn.LET( _xlpm.s, UPPER(M456),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NKMVEKIVAICEK</v>
      </c>
    </row>
    <row r="457" spans="1:15" ht="24">
      <c r="A457">
        <v>487</v>
      </c>
      <c r="B457">
        <v>145</v>
      </c>
      <c r="C457">
        <v>5</v>
      </c>
      <c r="D457">
        <v>6</v>
      </c>
      <c r="E457">
        <v>13</v>
      </c>
      <c r="G457">
        <v>-1.3963781979093022</v>
      </c>
      <c r="H457">
        <v>-1.3331069537509648</v>
      </c>
      <c r="I457">
        <v>-0.96488976187292541</v>
      </c>
      <c r="K457">
        <v>-1.2314583045110641</v>
      </c>
      <c r="M457" t="s">
        <v>494</v>
      </c>
      <c r="O457" s="1" t="str" cm="1">
        <f t="array" ref="O457">_xlfn.LET( _xlpm.s, UPPER(M457),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EALIARIKAILEL</v>
      </c>
    </row>
    <row r="458" spans="1:15" ht="24">
      <c r="A458">
        <v>206</v>
      </c>
      <c r="B458">
        <v>120</v>
      </c>
      <c r="C458">
        <v>9</v>
      </c>
      <c r="D458">
        <v>6</v>
      </c>
      <c r="E458">
        <v>4</v>
      </c>
      <c r="G458">
        <v>-1.058918936618646</v>
      </c>
      <c r="H458">
        <v>-1.2509201975636148</v>
      </c>
      <c r="I458">
        <v>-1.3945863666644498</v>
      </c>
      <c r="K458">
        <v>-1.2348085002822369</v>
      </c>
      <c r="M458" t="s">
        <v>213</v>
      </c>
      <c r="O458" s="1" t="str" cm="1">
        <f t="array" ref="O458">_xlfn.LET( _xlpm.s, UPPER(M458),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KQQIERLKKICDH</v>
      </c>
    </row>
    <row r="459" spans="1:15" ht="24">
      <c r="A459">
        <v>77</v>
      </c>
      <c r="B459">
        <v>274</v>
      </c>
      <c r="C459">
        <v>13</v>
      </c>
      <c r="D459">
        <v>12</v>
      </c>
      <c r="E459">
        <v>16</v>
      </c>
      <c r="G459">
        <v>-1.2577874105238973</v>
      </c>
      <c r="H459">
        <v>-1.3084595186723966</v>
      </c>
      <c r="I459">
        <v>-1.1510956921092506</v>
      </c>
      <c r="K459">
        <v>-1.2391142071018482</v>
      </c>
      <c r="M459" t="s">
        <v>84</v>
      </c>
      <c r="O459" s="1" t="str" cm="1">
        <f t="array" ref="O459">_xlfn.LET( _xlpm.s, UPPER(M459),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KQQIERLKAICEH</v>
      </c>
    </row>
    <row r="460" spans="1:15" ht="24">
      <c r="A460">
        <v>94</v>
      </c>
      <c r="B460">
        <v>262</v>
      </c>
      <c r="C460">
        <v>22</v>
      </c>
      <c r="D460">
        <v>9</v>
      </c>
      <c r="E460">
        <v>11</v>
      </c>
      <c r="G460">
        <v>-1.0098588105078854</v>
      </c>
      <c r="H460">
        <v>-1.4139489837800541</v>
      </c>
      <c r="I460">
        <v>-1.2943737181063077</v>
      </c>
      <c r="K460">
        <v>-1.2393938374647491</v>
      </c>
      <c r="M460" t="s">
        <v>101</v>
      </c>
      <c r="O460" s="1" t="str" cm="1">
        <f t="array" ref="O460">_xlfn.LET( _xlpm.s, UPPER(M460),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KQQVERLKLICEH</v>
      </c>
    </row>
    <row r="461" spans="1:15" ht="24">
      <c r="A461">
        <v>585</v>
      </c>
      <c r="B461">
        <v>26</v>
      </c>
      <c r="C461">
        <v>2</v>
      </c>
      <c r="D461">
        <v>1</v>
      </c>
      <c r="E461">
        <v>1</v>
      </c>
      <c r="G461">
        <v>-1.0479235523171828</v>
      </c>
      <c r="H461">
        <v>-1.3648635498704516</v>
      </c>
      <c r="I461">
        <v>-1.3324384599156054</v>
      </c>
      <c r="K461">
        <v>-1.2484085207010798</v>
      </c>
      <c r="M461" t="s">
        <v>592</v>
      </c>
      <c r="O461" s="1" t="str" cm="1">
        <f t="array" ref="O461">_xlfn.LET( _xlpm.s, UPPER(M461),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EKRIKRLEEILKL</v>
      </c>
    </row>
    <row r="462" spans="1:15" ht="24">
      <c r="A462">
        <v>216</v>
      </c>
      <c r="B462">
        <v>113</v>
      </c>
      <c r="C462">
        <v>5</v>
      </c>
      <c r="D462">
        <v>8</v>
      </c>
      <c r="E462">
        <v>4</v>
      </c>
      <c r="G462">
        <v>-1.2880886391577471</v>
      </c>
      <c r="H462">
        <v>-1.0998786583911098</v>
      </c>
      <c r="I462">
        <v>-1.3684835641002449</v>
      </c>
      <c r="K462">
        <v>-1.2521502872163672</v>
      </c>
      <c r="M462" t="s">
        <v>223</v>
      </c>
      <c r="O462" s="1" t="str" cm="1">
        <f t="array" ref="O462">_xlfn.LET( _xlpm.s, UPPER(M462),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EQQIKRLKQICEH</v>
      </c>
    </row>
    <row r="463" spans="1:15" ht="24">
      <c r="A463">
        <v>442</v>
      </c>
      <c r="B463">
        <v>38</v>
      </c>
      <c r="C463">
        <v>3</v>
      </c>
      <c r="D463">
        <v>2</v>
      </c>
      <c r="E463">
        <v>1</v>
      </c>
      <c r="G463">
        <v>-1.0366425419074938</v>
      </c>
      <c r="H463">
        <v>-1.2286438028524627</v>
      </c>
      <c r="I463">
        <v>-1.4972487085615975</v>
      </c>
      <c r="K463">
        <v>-1.2541783511071847</v>
      </c>
      <c r="M463" t="s">
        <v>449</v>
      </c>
      <c r="O463" s="1" t="str" cm="1">
        <f t="array" ref="O463">_xlfn.LET( _xlpm.s, UPPER(M463),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KALEERIKKILEL</v>
      </c>
    </row>
    <row r="464" spans="1:15" ht="24">
      <c r="A464">
        <v>471</v>
      </c>
      <c r="B464">
        <v>136</v>
      </c>
      <c r="C464">
        <v>3</v>
      </c>
      <c r="D464">
        <v>13</v>
      </c>
      <c r="E464">
        <v>7</v>
      </c>
      <c r="G464">
        <v>-1.5903978536609011</v>
      </c>
      <c r="H464">
        <v>-0.96948575796301417</v>
      </c>
      <c r="I464">
        <v>-1.2059059803007481</v>
      </c>
      <c r="K464">
        <v>-1.2552631973082211</v>
      </c>
      <c r="M464" t="s">
        <v>478</v>
      </c>
      <c r="O464" s="1" t="str" cm="1">
        <f t="array" ref="O464">_xlfn.LET( _xlpm.s, UPPER(M464),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NARIRRIEEICKL</v>
      </c>
    </row>
    <row r="465" spans="1:15" ht="24">
      <c r="A465">
        <v>326</v>
      </c>
      <c r="B465">
        <v>61</v>
      </c>
      <c r="C465">
        <v>3</v>
      </c>
      <c r="D465">
        <v>2</v>
      </c>
      <c r="E465">
        <v>4</v>
      </c>
      <c r="G465">
        <v>-1.2421887803014506</v>
      </c>
      <c r="H465">
        <v>-1.4341900412464195</v>
      </c>
      <c r="I465">
        <v>-1.100734955627592</v>
      </c>
      <c r="K465">
        <v>-1.2590379257251543</v>
      </c>
      <c r="M465" t="s">
        <v>333</v>
      </c>
      <c r="O465" s="1" t="str" cm="1">
        <f t="array" ref="O465">_xlfn.LET( _xlpm.s, UPPER(M465),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KQQETRLVEICKH</v>
      </c>
    </row>
    <row r="466" spans="1:15" ht="24">
      <c r="A466">
        <v>108</v>
      </c>
      <c r="B466">
        <v>196</v>
      </c>
      <c r="C466">
        <v>6</v>
      </c>
      <c r="D466">
        <v>12</v>
      </c>
      <c r="E466">
        <v>11</v>
      </c>
      <c r="G466">
        <v>-1.4480850209831786</v>
      </c>
      <c r="H466">
        <v>-1.1629650272084848</v>
      </c>
      <c r="I466">
        <v>-1.1683284981430384</v>
      </c>
      <c r="K466">
        <v>-1.2597928487782342</v>
      </c>
      <c r="M466" t="s">
        <v>115</v>
      </c>
      <c r="O466" s="1" t="str" cm="1">
        <f t="array" ref="O466">_xlfn.LET( _xlpm.s, UPPER(M466),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EQQIARLKAICKH</v>
      </c>
    </row>
    <row r="467" spans="1:15" ht="24">
      <c r="A467">
        <v>592</v>
      </c>
      <c r="B467">
        <v>46</v>
      </c>
      <c r="C467">
        <v>5</v>
      </c>
      <c r="D467">
        <v>2</v>
      </c>
      <c r="E467">
        <v>1</v>
      </c>
      <c r="G467">
        <v>-0.89776802735590122</v>
      </c>
      <c r="H467">
        <v>-1.3116180379172264</v>
      </c>
      <c r="I467">
        <v>-1.5802229436263615</v>
      </c>
      <c r="K467">
        <v>-1.2632030029664965</v>
      </c>
      <c r="M467" t="s">
        <v>599</v>
      </c>
      <c r="O467" s="1" t="str" cm="1">
        <f t="array" ref="O467">_xlfn.LET( _xlpm.s, UPPER(M467),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EKLIARLKEILEI</v>
      </c>
    </row>
    <row r="468" spans="1:15" ht="24">
      <c r="A468">
        <v>162</v>
      </c>
      <c r="B468">
        <v>59</v>
      </c>
      <c r="C468">
        <v>1</v>
      </c>
      <c r="D468">
        <v>3</v>
      </c>
      <c r="E468">
        <v>7</v>
      </c>
      <c r="G468">
        <v>-1.7048322116524903</v>
      </c>
      <c r="H468">
        <v>-1.2436209588221152</v>
      </c>
      <c r="I468">
        <v>-0.84321908357267461</v>
      </c>
      <c r="K468">
        <v>-1.2638907513490933</v>
      </c>
      <c r="M468" t="s">
        <v>169</v>
      </c>
      <c r="O468" s="1" t="str" cm="1">
        <f t="array" ref="O468">_xlfn.LET( _xlpm.s, UPPER(M468),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KQQIERLKKICEI</v>
      </c>
    </row>
    <row r="469" spans="1:15" ht="24">
      <c r="A469">
        <v>152</v>
      </c>
      <c r="B469">
        <v>190</v>
      </c>
      <c r="C469">
        <v>5</v>
      </c>
      <c r="D469">
        <v>9</v>
      </c>
      <c r="E469">
        <v>15</v>
      </c>
      <c r="G469">
        <v>-1.5137637966271562</v>
      </c>
      <c r="H469">
        <v>-1.2744012934131377</v>
      </c>
      <c r="I469">
        <v>-1.0201274538419352</v>
      </c>
      <c r="K469">
        <v>-1.269430847960743</v>
      </c>
      <c r="M469" t="s">
        <v>159</v>
      </c>
      <c r="O469" s="1" t="str" cm="1">
        <f t="array" ref="O469">_xlfn.LET( _xlpm.s, UPPER(M469),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KEQVERLKRICEH</v>
      </c>
    </row>
    <row r="470" spans="1:15" ht="24">
      <c r="A470">
        <v>134</v>
      </c>
      <c r="B470">
        <v>243</v>
      </c>
      <c r="C470">
        <v>18</v>
      </c>
      <c r="D470">
        <v>11</v>
      </c>
      <c r="E470">
        <v>7</v>
      </c>
      <c r="G470">
        <v>-1.0643139685053522</v>
      </c>
      <c r="H470">
        <v>-1.2941037903397208</v>
      </c>
      <c r="I470">
        <v>-1.4579733455288428</v>
      </c>
      <c r="K470">
        <v>-1.2721303681246388</v>
      </c>
      <c r="M470" t="s">
        <v>141</v>
      </c>
      <c r="O470" s="1" t="str" cm="1">
        <f t="array" ref="O470">_xlfn.LET( _xlpm.s, UPPER(M470),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KQQIDRLIAICEH</v>
      </c>
    </row>
    <row r="471" spans="1:15" ht="24">
      <c r="A471">
        <v>118</v>
      </c>
      <c r="B471">
        <v>95</v>
      </c>
      <c r="C471">
        <v>5</v>
      </c>
      <c r="D471">
        <v>4</v>
      </c>
      <c r="E471">
        <v>4</v>
      </c>
      <c r="G471">
        <v>-1.2127338009631752</v>
      </c>
      <c r="H471">
        <v>-1.3255538158605189</v>
      </c>
      <c r="I471">
        <v>-1.2931287259056727</v>
      </c>
      <c r="K471">
        <v>-1.2771387809097889</v>
      </c>
      <c r="M471" t="s">
        <v>125</v>
      </c>
      <c r="O471" s="1" t="str" cm="1">
        <f t="array" ref="O471">_xlfn.LET( _xlpm.s, UPPER(M471),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KKQIERLKQICAH</v>
      </c>
    </row>
    <row r="472" spans="1:15" ht="24">
      <c r="A472">
        <v>35</v>
      </c>
      <c r="B472">
        <v>182</v>
      </c>
      <c r="C472">
        <v>8</v>
      </c>
      <c r="D472">
        <v>7</v>
      </c>
      <c r="E472">
        <v>10</v>
      </c>
      <c r="G472">
        <v>-1.2909616010034772</v>
      </c>
      <c r="H472">
        <v>-1.3648635498704516</v>
      </c>
      <c r="I472">
        <v>-1.1775364999298623</v>
      </c>
      <c r="K472">
        <v>-1.277787216934597</v>
      </c>
      <c r="M472" t="s">
        <v>42</v>
      </c>
      <c r="O472" s="1" t="str" cm="1">
        <f t="array" ref="O472">_xlfn.LET( _xlpm.s, UPPER(M472),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KEQIERLKAICEH</v>
      </c>
    </row>
    <row r="473" spans="1:15" ht="24">
      <c r="A473">
        <v>893</v>
      </c>
      <c r="B473">
        <v>87</v>
      </c>
      <c r="C473">
        <v>2</v>
      </c>
      <c r="D473">
        <v>6</v>
      </c>
      <c r="E473">
        <v>5</v>
      </c>
      <c r="G473">
        <v>-1.5724694569649835</v>
      </c>
      <c r="H473">
        <v>-1.1112582041346084</v>
      </c>
      <c r="I473">
        <v>-1.1580143602273871</v>
      </c>
      <c r="K473">
        <v>-1.2805806737756598</v>
      </c>
      <c r="M473" t="s">
        <v>900</v>
      </c>
      <c r="O473" s="1" t="str" cm="1">
        <f t="array" ref="O473">_xlfn.LET( _xlpm.s, UPPER(M473),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EKLVARVVEICKL</v>
      </c>
    </row>
    <row r="474" spans="1:15" ht="24">
      <c r="A474">
        <v>497</v>
      </c>
      <c r="B474">
        <v>145</v>
      </c>
      <c r="C474">
        <v>11</v>
      </c>
      <c r="D474">
        <v>5</v>
      </c>
      <c r="E474">
        <v>5</v>
      </c>
      <c r="G474">
        <v>-1.053955517087096</v>
      </c>
      <c r="H474">
        <v>-1.4122881997985897</v>
      </c>
      <c r="I474">
        <v>-1.3798631098437435</v>
      </c>
      <c r="K474">
        <v>-1.2820356089098095</v>
      </c>
      <c r="M474" t="s">
        <v>504</v>
      </c>
      <c r="O474" s="1" t="str" cm="1">
        <f t="array" ref="O474">_xlfn.LET( _xlpm.s, UPPER(M474),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KALIERLKAILEK</v>
      </c>
    </row>
    <row r="475" spans="1:15" ht="24">
      <c r="A475">
        <v>295</v>
      </c>
      <c r="B475">
        <v>42</v>
      </c>
      <c r="C475">
        <v>1</v>
      </c>
      <c r="D475">
        <v>3</v>
      </c>
      <c r="E475">
        <v>2</v>
      </c>
      <c r="G475">
        <v>-1.5572294904082467</v>
      </c>
      <c r="H475">
        <v>-1.0960182375778715</v>
      </c>
      <c r="I475">
        <v>-1.2396844066787067</v>
      </c>
      <c r="K475">
        <v>-1.2976440448882749</v>
      </c>
      <c r="M475" t="s">
        <v>302</v>
      </c>
      <c r="O475" s="1" t="str" cm="1">
        <f t="array" ref="O475">_xlfn.LET( _xlpm.s, UPPER(M475),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EQQIERLKKICEI</v>
      </c>
    </row>
    <row r="476" spans="1:15" ht="24">
      <c r="A476">
        <v>171</v>
      </c>
      <c r="B476">
        <v>58</v>
      </c>
      <c r="C476">
        <v>1</v>
      </c>
      <c r="D476">
        <v>3</v>
      </c>
      <c r="E476">
        <v>5</v>
      </c>
      <c r="G476">
        <v>-1.6974081935732834</v>
      </c>
      <c r="H476">
        <v>-1.2361969407429085</v>
      </c>
      <c r="I476">
        <v>-0.98192310117170567</v>
      </c>
      <c r="K476">
        <v>-1.3051760784959658</v>
      </c>
      <c r="M476" t="s">
        <v>178</v>
      </c>
      <c r="O476" s="1" t="str" cm="1">
        <f t="array" ref="O476">_xlfn.LET( _xlpm.s, UPPER(M476),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KQQIERLKEICKI</v>
      </c>
    </row>
    <row r="477" spans="1:15" ht="24">
      <c r="A477">
        <v>378</v>
      </c>
      <c r="B477">
        <v>34</v>
      </c>
      <c r="C477">
        <v>1</v>
      </c>
      <c r="D477">
        <v>1</v>
      </c>
      <c r="E477">
        <v>3</v>
      </c>
      <c r="G477">
        <v>-1.4654591170526012</v>
      </c>
      <c r="H477">
        <v>-1.4813691189418887</v>
      </c>
      <c r="I477">
        <v>-0.97182277426738006</v>
      </c>
      <c r="K477">
        <v>-1.3062170034206233</v>
      </c>
      <c r="M477" t="s">
        <v>385</v>
      </c>
      <c r="O477" s="1" t="str" cm="1">
        <f t="array" ref="O477">_xlfn.LET( _xlpm.s, UPPER(M477),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KKLIERIKTILEK</v>
      </c>
    </row>
    <row r="478" spans="1:15" ht="24">
      <c r="A478">
        <v>891</v>
      </c>
      <c r="B478">
        <v>155</v>
      </c>
      <c r="C478">
        <v>1</v>
      </c>
      <c r="D478">
        <v>11</v>
      </c>
      <c r="E478">
        <v>25</v>
      </c>
      <c r="G478">
        <v>-2.1243118981806375</v>
      </c>
      <c r="H478">
        <v>-1.0988292149117</v>
      </c>
      <c r="I478">
        <v>-0.7098568014430412</v>
      </c>
      <c r="K478">
        <v>-1.3109993048451261</v>
      </c>
      <c r="M478" t="s">
        <v>898</v>
      </c>
      <c r="O478" s="1" t="str" cm="1">
        <f t="array" ref="O478">_xlfn.LET( _xlpm.s, UPPER(M478),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ERLVERIKAICEK</v>
      </c>
    </row>
    <row r="479" spans="1:15" ht="24">
      <c r="A479">
        <v>325</v>
      </c>
      <c r="B479">
        <v>38</v>
      </c>
      <c r="C479">
        <v>2</v>
      </c>
      <c r="D479">
        <v>2</v>
      </c>
      <c r="E479">
        <v>1</v>
      </c>
      <c r="G479">
        <v>-1.2127338009631752</v>
      </c>
      <c r="H479">
        <v>-1.2286438028524627</v>
      </c>
      <c r="I479">
        <v>-1.4972487085615975</v>
      </c>
      <c r="K479">
        <v>-1.3128754374590785</v>
      </c>
      <c r="M479" t="s">
        <v>332</v>
      </c>
      <c r="O479" s="1" t="str" cm="1">
        <f t="array" ref="O479">_xlfn.LET( _xlpm.s, UPPER(M479),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ARQIERLKQICKI</v>
      </c>
    </row>
    <row r="480" spans="1:15" ht="24">
      <c r="A480">
        <v>323</v>
      </c>
      <c r="B480">
        <v>134</v>
      </c>
      <c r="C480">
        <v>6</v>
      </c>
      <c r="D480">
        <v>9</v>
      </c>
      <c r="E480">
        <v>3</v>
      </c>
      <c r="G480">
        <v>-1.2829337479915102</v>
      </c>
      <c r="H480">
        <v>-1.1227524908251163</v>
      </c>
      <c r="I480">
        <v>-1.5674486555899327</v>
      </c>
      <c r="K480">
        <v>-1.3243782981355197</v>
      </c>
      <c r="M480" t="s">
        <v>330</v>
      </c>
      <c r="O480" s="1" t="str" cm="1">
        <f t="array" ref="O480">_xlfn.LET( _xlpm.s, UPPER(M480),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EQQIKRLKMICEH</v>
      </c>
    </row>
    <row r="481" spans="1:15" ht="24">
      <c r="A481">
        <v>843</v>
      </c>
      <c r="B481">
        <v>31</v>
      </c>
      <c r="C481">
        <v>2</v>
      </c>
      <c r="D481">
        <v>1</v>
      </c>
      <c r="E481">
        <v>1</v>
      </c>
      <c r="G481">
        <v>-1.1243118981806375</v>
      </c>
      <c r="H481">
        <v>-1.4412518957339062</v>
      </c>
      <c r="I481">
        <v>-1.4088268057790601</v>
      </c>
      <c r="K481">
        <v>-1.3247968665645347</v>
      </c>
      <c r="M481" t="s">
        <v>850</v>
      </c>
      <c r="O481" s="1" t="str" cm="1">
        <f t="array" ref="O481">_xlfn.LET( _xlpm.s, UPPER(M481),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ERLKEYLVKICEL</v>
      </c>
    </row>
    <row r="482" spans="1:15" ht="24">
      <c r="A482">
        <v>18</v>
      </c>
      <c r="B482">
        <v>156</v>
      </c>
      <c r="C482">
        <v>6</v>
      </c>
      <c r="D482">
        <v>6</v>
      </c>
      <c r="E482">
        <v>7</v>
      </c>
      <c r="G482">
        <v>-1.3489535479811641</v>
      </c>
      <c r="H482">
        <v>-1.3648635498704516</v>
      </c>
      <c r="I482">
        <v>-1.2654916702849921</v>
      </c>
      <c r="K482">
        <v>-1.3264362560455358</v>
      </c>
      <c r="M482" t="s">
        <v>25</v>
      </c>
      <c r="O482" s="1" t="str" cm="1">
        <f t="array" ref="O482">_xlfn.LET( _xlpm.s, UPPER(M482),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KQQIERLKQICKH</v>
      </c>
    </row>
    <row r="483" spans="1:15" ht="24">
      <c r="A483">
        <v>113</v>
      </c>
      <c r="B483">
        <v>157</v>
      </c>
      <c r="C483">
        <v>6</v>
      </c>
      <c r="D483">
        <v>8</v>
      </c>
      <c r="E483">
        <v>5</v>
      </c>
      <c r="G483">
        <v>-1.3517286020359363</v>
      </c>
      <c r="H483">
        <v>-1.2426998673169236</v>
      </c>
      <c r="I483">
        <v>-1.4143947600180022</v>
      </c>
      <c r="K483">
        <v>-1.3362744097902874</v>
      </c>
      <c r="M483" t="s">
        <v>120</v>
      </c>
      <c r="O483" s="1" t="str" cm="1">
        <f t="array" ref="O483">_xlfn.LET( _xlpm.s, UPPER(M483),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EQQIKRLTLICDH</v>
      </c>
    </row>
    <row r="484" spans="1:15" ht="24">
      <c r="A484">
        <v>812</v>
      </c>
      <c r="B484">
        <v>220</v>
      </c>
      <c r="C484">
        <v>6</v>
      </c>
      <c r="D484">
        <v>11</v>
      </c>
      <c r="E484">
        <v>10</v>
      </c>
      <c r="G484">
        <v>-1.4982516304489086</v>
      </c>
      <c r="H484">
        <v>-1.2509201975636148</v>
      </c>
      <c r="I484">
        <v>-1.2598877927669936</v>
      </c>
      <c r="K484">
        <v>-1.3363532069265058</v>
      </c>
      <c r="M484" t="s">
        <v>819</v>
      </c>
      <c r="O484" s="1" t="str" cm="1">
        <f t="array" ref="O484">_xlfn.LET( _xlpm.s, UPPER(M484),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NRLVDRIVAICEK</v>
      </c>
    </row>
    <row r="485" spans="1:15" ht="24">
      <c r="A485">
        <v>241</v>
      </c>
      <c r="B485">
        <v>59</v>
      </c>
      <c r="C485">
        <v>6</v>
      </c>
      <c r="D485">
        <v>1</v>
      </c>
      <c r="E485">
        <v>2</v>
      </c>
      <c r="G485">
        <v>-0.92668096126884647</v>
      </c>
      <c r="H485">
        <v>-1.7207422135417778</v>
      </c>
      <c r="I485">
        <v>-1.3872871279229504</v>
      </c>
      <c r="K485">
        <v>-1.344903434244525</v>
      </c>
      <c r="M485" t="s">
        <v>248</v>
      </c>
      <c r="O485" s="1" t="str" cm="1">
        <f t="array" ref="O485">_xlfn.LET( _xlpm.s, UPPER(M485),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KQQETRLKEICKH</v>
      </c>
    </row>
    <row r="486" spans="1:15" ht="24">
      <c r="A486">
        <v>38</v>
      </c>
      <c r="B486">
        <v>301</v>
      </c>
      <c r="C486">
        <v>12</v>
      </c>
      <c r="D486">
        <v>12</v>
      </c>
      <c r="E486">
        <v>11</v>
      </c>
      <c r="G486">
        <v>-1.3333654495565646</v>
      </c>
      <c r="H486">
        <v>-1.349275451445852</v>
      </c>
      <c r="I486">
        <v>-1.3546389223804056</v>
      </c>
      <c r="K486">
        <v>-1.3457599411276073</v>
      </c>
      <c r="M486" t="s">
        <v>45</v>
      </c>
      <c r="O486" s="1" t="str" cm="1">
        <f t="array" ref="O486">_xlfn.LET( _xlpm.s, UPPER(M486),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KAQIERLKLICEH</v>
      </c>
    </row>
    <row r="487" spans="1:15" ht="24">
      <c r="A487">
        <v>106</v>
      </c>
      <c r="B487">
        <v>232</v>
      </c>
      <c r="C487">
        <v>10</v>
      </c>
      <c r="D487">
        <v>8</v>
      </c>
      <c r="E487">
        <v>9</v>
      </c>
      <c r="G487">
        <v>-1.2994681849012457</v>
      </c>
      <c r="H487">
        <v>-1.4122881997985897</v>
      </c>
      <c r="I487">
        <v>-1.3287105873963623</v>
      </c>
      <c r="K487">
        <v>-1.3468223240320658</v>
      </c>
      <c r="M487" t="s">
        <v>113</v>
      </c>
      <c r="O487" s="1" t="str" cm="1">
        <f t="array" ref="O487">_xlfn.LET( _xlpm.s, UPPER(M487),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KQQIDRLKQICDH</v>
      </c>
    </row>
    <row r="488" spans="1:15" ht="24">
      <c r="A488">
        <v>161</v>
      </c>
      <c r="B488">
        <v>99</v>
      </c>
      <c r="C488">
        <v>3</v>
      </c>
      <c r="D488">
        <v>3</v>
      </c>
      <c r="E488">
        <v>6</v>
      </c>
      <c r="G488">
        <v>-1.4524941398882336</v>
      </c>
      <c r="H488">
        <v>-1.4684041417775211</v>
      </c>
      <c r="I488">
        <v>-1.1349490561586937</v>
      </c>
      <c r="K488">
        <v>-1.3519491126081495</v>
      </c>
      <c r="M488" t="s">
        <v>168</v>
      </c>
      <c r="O488" s="1" t="str" cm="1">
        <f t="array" ref="O488">_xlfn.LET( _xlpm.s, UPPER(M488),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KEQIERLKQICKH</v>
      </c>
    </row>
    <row r="489" spans="1:15" ht="24">
      <c r="A489">
        <v>721</v>
      </c>
      <c r="B489">
        <v>57</v>
      </c>
      <c r="C489">
        <v>5</v>
      </c>
      <c r="D489">
        <v>1</v>
      </c>
      <c r="E489">
        <v>2</v>
      </c>
      <c r="G489">
        <v>-0.9908850513468187</v>
      </c>
      <c r="H489">
        <v>-1.705765057572125</v>
      </c>
      <c r="I489">
        <v>-1.3723099719532976</v>
      </c>
      <c r="K489">
        <v>-1.3563200269574136</v>
      </c>
      <c r="M489" t="s">
        <v>728</v>
      </c>
      <c r="O489" s="1" t="str" cm="1">
        <f t="array" ref="O489">_xlfn.LET( _xlpm.s, UPPER(M489),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ERLVSRIVEICKI</v>
      </c>
    </row>
    <row r="490" spans="1:15" ht="24">
      <c r="A490">
        <v>83</v>
      </c>
      <c r="B490">
        <v>53</v>
      </c>
      <c r="C490">
        <v>4</v>
      </c>
      <c r="D490">
        <v>1</v>
      </c>
      <c r="E490">
        <v>2</v>
      </c>
      <c r="G490">
        <v>-1.0561960782831727</v>
      </c>
      <c r="H490">
        <v>-1.6741660715004227</v>
      </c>
      <c r="I490">
        <v>-1.3407109858815953</v>
      </c>
      <c r="K490">
        <v>-1.3570243785550637</v>
      </c>
      <c r="M490" t="s">
        <v>90</v>
      </c>
      <c r="O490" s="1" t="str" cm="1">
        <f t="array" ref="O490">_xlfn.LET( _xlpm.s, UPPER(M490),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KKQIERLKAICKY</v>
      </c>
    </row>
    <row r="491" spans="1:15" ht="24">
      <c r="A491">
        <v>778</v>
      </c>
      <c r="B491">
        <v>133</v>
      </c>
      <c r="C491">
        <v>7</v>
      </c>
      <c r="D491">
        <v>9</v>
      </c>
      <c r="E491">
        <v>2</v>
      </c>
      <c r="G491">
        <v>-1.2127338009631752</v>
      </c>
      <c r="H491">
        <v>-1.1194993334273946</v>
      </c>
      <c r="I491">
        <v>-1.7402867572478919</v>
      </c>
      <c r="K491">
        <v>-1.3575066305461538</v>
      </c>
      <c r="M491" t="s">
        <v>785</v>
      </c>
      <c r="O491" s="1" t="str" cm="1">
        <f t="array" ref="O491">_xlfn.LET( _xlpm.s, UPPER(M491),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NRLVKRVVEICKL</v>
      </c>
    </row>
    <row r="492" spans="1:15" ht="24">
      <c r="A492">
        <v>258</v>
      </c>
      <c r="B492">
        <v>247</v>
      </c>
      <c r="C492">
        <v>11</v>
      </c>
      <c r="D492">
        <v>8</v>
      </c>
      <c r="E492">
        <v>9</v>
      </c>
      <c r="G492">
        <v>-1.2852844681117868</v>
      </c>
      <c r="H492">
        <v>-1.4394971681673556</v>
      </c>
      <c r="I492">
        <v>-1.3559195557651282</v>
      </c>
      <c r="K492">
        <v>-1.3602337306814236</v>
      </c>
      <c r="M492" t="s">
        <v>265</v>
      </c>
      <c r="O492" s="1" t="str" cm="1">
        <f t="array" ref="O492">_xlfn.LET( _xlpm.s, UPPER(M492),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KAQIERLKLICDH</v>
      </c>
    </row>
    <row r="493" spans="1:15" ht="24">
      <c r="A493">
        <v>894</v>
      </c>
      <c r="B493">
        <v>112</v>
      </c>
      <c r="C493">
        <v>4</v>
      </c>
      <c r="D493">
        <v>6</v>
      </c>
      <c r="E493">
        <v>3</v>
      </c>
      <c r="G493">
        <v>-1.3811382313525653</v>
      </c>
      <c r="H493">
        <v>-1.2209569741861717</v>
      </c>
      <c r="I493">
        <v>-1.4895618798953065</v>
      </c>
      <c r="K493">
        <v>-1.3638856951446812</v>
      </c>
      <c r="M493" t="s">
        <v>901</v>
      </c>
      <c r="O493" s="1" t="str" cm="1">
        <f t="array" ref="O493">_xlfn.LET( _xlpm.s, UPPER(M493),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KKLEERIVAICEK</v>
      </c>
    </row>
    <row r="494" spans="1:15" ht="24">
      <c r="A494">
        <v>81</v>
      </c>
      <c r="B494">
        <v>215</v>
      </c>
      <c r="C494">
        <v>8</v>
      </c>
      <c r="D494">
        <v>5</v>
      </c>
      <c r="E494">
        <v>12</v>
      </c>
      <c r="G494">
        <v>-1.3633286729340079</v>
      </c>
      <c r="H494">
        <v>-1.5833586574792202</v>
      </c>
      <c r="I494">
        <v>-1.1707223258127679</v>
      </c>
      <c r="K494">
        <v>-1.3724698854086654</v>
      </c>
      <c r="M494" t="s">
        <v>88</v>
      </c>
      <c r="O494" s="1" t="str" cm="1">
        <f t="array" ref="O494">_xlfn.LET( _xlpm.s, UPPER(M494),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KQQIERLKQICAH</v>
      </c>
    </row>
    <row r="495" spans="1:15" ht="24">
      <c r="A495">
        <v>906</v>
      </c>
      <c r="B495">
        <v>50</v>
      </c>
      <c r="C495">
        <v>1</v>
      </c>
      <c r="D495">
        <v>3</v>
      </c>
      <c r="E495">
        <v>2</v>
      </c>
      <c r="G495">
        <v>-1.6329502043463648</v>
      </c>
      <c r="H495">
        <v>-1.1717389515159899</v>
      </c>
      <c r="I495">
        <v>-1.3154051206168249</v>
      </c>
      <c r="K495">
        <v>-1.3733647588263933</v>
      </c>
      <c r="M495" t="s">
        <v>913</v>
      </c>
      <c r="O495" s="1" t="str" cm="1">
        <f t="array" ref="O495">_xlfn.LET( _xlpm.s, UPPER(M495),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EKMTKRIVEICKK</v>
      </c>
    </row>
    <row r="496" spans="1:15" ht="24">
      <c r="A496">
        <v>319</v>
      </c>
      <c r="B496">
        <v>174</v>
      </c>
      <c r="C496">
        <v>7</v>
      </c>
      <c r="D496">
        <v>4</v>
      </c>
      <c r="E496">
        <v>9</v>
      </c>
      <c r="G496">
        <v>-1.3294314082786889</v>
      </c>
      <c r="H496">
        <v>-1.588379458854271</v>
      </c>
      <c r="I496">
        <v>-1.2037718507880624</v>
      </c>
      <c r="K496">
        <v>-1.3738609059736742</v>
      </c>
      <c r="M496" t="s">
        <v>326</v>
      </c>
      <c r="O496" s="1" t="str" cm="1">
        <f t="array" ref="O496">_xlfn.LET( _xlpm.s, UPPER(M496),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EQQIKRLKLICKH</v>
      </c>
    </row>
    <row r="497" spans="1:15" ht="24">
      <c r="A497">
        <v>818</v>
      </c>
      <c r="B497">
        <v>96</v>
      </c>
      <c r="C497">
        <v>7</v>
      </c>
      <c r="D497">
        <v>3</v>
      </c>
      <c r="E497">
        <v>2</v>
      </c>
      <c r="G497">
        <v>-1.0711533930356576</v>
      </c>
      <c r="H497">
        <v>-1.4550401802195396</v>
      </c>
      <c r="I497">
        <v>-1.5987063493203746</v>
      </c>
      <c r="K497">
        <v>-1.3749666408585239</v>
      </c>
      <c r="M497" t="s">
        <v>825</v>
      </c>
      <c r="O497" s="1" t="str" cm="1">
        <f t="array" ref="O497">_xlfn.LET( _xlpm.s, UPPER(M497),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EKMVKRIVEICER</v>
      </c>
    </row>
    <row r="498" spans="1:15" ht="24">
      <c r="A498">
        <v>285</v>
      </c>
      <c r="B498">
        <v>192</v>
      </c>
      <c r="C498">
        <v>14</v>
      </c>
      <c r="D498">
        <v>4</v>
      </c>
      <c r="E498">
        <v>6</v>
      </c>
      <c r="G498">
        <v>-1.0711533930356576</v>
      </c>
      <c r="H498">
        <v>-1.6311314392752208</v>
      </c>
      <c r="I498">
        <v>-1.4226150902646935</v>
      </c>
      <c r="K498">
        <v>-1.3749666408585242</v>
      </c>
      <c r="M498" t="s">
        <v>292</v>
      </c>
      <c r="O498" s="1" t="str" cm="1">
        <f t="array" ref="O498">_xlfn.LET( _xlpm.s, UPPER(M498),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KQQIDRLKAICKH</v>
      </c>
    </row>
    <row r="499" spans="1:15" ht="24">
      <c r="A499">
        <v>180</v>
      </c>
      <c r="B499">
        <v>60</v>
      </c>
      <c r="C499">
        <v>5</v>
      </c>
      <c r="D499">
        <v>1</v>
      </c>
      <c r="E499">
        <v>2</v>
      </c>
      <c r="G499">
        <v>-1.013161446057971</v>
      </c>
      <c r="H499">
        <v>-1.7280414522832772</v>
      </c>
      <c r="I499">
        <v>-1.3945863666644498</v>
      </c>
      <c r="K499">
        <v>-1.378596421668566</v>
      </c>
      <c r="M499" t="s">
        <v>187</v>
      </c>
      <c r="O499" s="1" t="str" cm="1">
        <f t="array" ref="O499">_xlfn.LET( _xlpm.s, UPPER(M499),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KKQIERLVEICKH</v>
      </c>
    </row>
    <row r="500" spans="1:15" ht="24">
      <c r="A500">
        <v>103</v>
      </c>
      <c r="B500">
        <v>133</v>
      </c>
      <c r="C500">
        <v>9</v>
      </c>
      <c r="D500">
        <v>4</v>
      </c>
      <c r="E500">
        <v>3</v>
      </c>
      <c r="G500">
        <v>-1.1035893315381071</v>
      </c>
      <c r="H500">
        <v>-1.4716818515387571</v>
      </c>
      <c r="I500">
        <v>-1.5641954981922108</v>
      </c>
      <c r="K500">
        <v>-1.3798222270896918</v>
      </c>
      <c r="M500" t="s">
        <v>110</v>
      </c>
      <c r="O500" s="1" t="str" cm="1">
        <f t="array" ref="O500">_xlfn.LET( _xlpm.s, UPPER(M500),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KQQIARLEQICEY</v>
      </c>
    </row>
    <row r="501" spans="1:15" ht="24">
      <c r="A501">
        <v>287</v>
      </c>
      <c r="B501">
        <v>112</v>
      </c>
      <c r="C501">
        <v>4</v>
      </c>
      <c r="D501">
        <v>4</v>
      </c>
      <c r="E501">
        <v>4</v>
      </c>
      <c r="G501">
        <v>-1.3811382313525653</v>
      </c>
      <c r="H501">
        <v>-1.3970482332418528</v>
      </c>
      <c r="I501">
        <v>-1.3646231432870066</v>
      </c>
      <c r="K501">
        <v>-1.3809365359604751</v>
      </c>
      <c r="M501" t="s">
        <v>294</v>
      </c>
      <c r="O501" s="1" t="str" cm="1">
        <f t="array" ref="O501">_xlfn.LET( _xlpm.s, UPPER(M501),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EQQIQRLKEICKH</v>
      </c>
    </row>
    <row r="502" spans="1:15" ht="24">
      <c r="A502">
        <v>574</v>
      </c>
      <c r="B502">
        <v>81</v>
      </c>
      <c r="C502">
        <v>6</v>
      </c>
      <c r="D502">
        <v>4</v>
      </c>
      <c r="E502">
        <v>1</v>
      </c>
      <c r="G502">
        <v>-1.0643139685053522</v>
      </c>
      <c r="H502">
        <v>-1.256315229450321</v>
      </c>
      <c r="I502">
        <v>-1.8259501308234372</v>
      </c>
      <c r="K502">
        <v>-1.3821931095930369</v>
      </c>
      <c r="M502" t="s">
        <v>581</v>
      </c>
      <c r="O502" s="1" t="str" cm="1">
        <f t="array" ref="O502">_xlfn.LET( _xlpm.s, UPPER(M502),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KARIKRLKEILKI</v>
      </c>
    </row>
    <row r="503" spans="1:15" ht="24">
      <c r="A503">
        <v>7</v>
      </c>
      <c r="B503">
        <v>93</v>
      </c>
      <c r="C503">
        <v>4</v>
      </c>
      <c r="D503">
        <v>3</v>
      </c>
      <c r="E503">
        <v>3</v>
      </c>
      <c r="G503">
        <v>-1.3004031572363188</v>
      </c>
      <c r="H503">
        <v>-1.4412518957339062</v>
      </c>
      <c r="I503">
        <v>-1.4088268057790601</v>
      </c>
      <c r="K503">
        <v>-1.3834939529164283</v>
      </c>
      <c r="M503" t="s">
        <v>14</v>
      </c>
      <c r="O503" s="1" t="str" cm="1">
        <f t="array" ref="O503">_xlfn.LET( _xlpm.s, UPPER(M503),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KQQIERLKQICEY</v>
      </c>
    </row>
    <row r="504" spans="1:15" ht="24">
      <c r="A504">
        <v>332</v>
      </c>
      <c r="B504">
        <v>57</v>
      </c>
      <c r="C504">
        <v>1</v>
      </c>
      <c r="D504">
        <v>4</v>
      </c>
      <c r="E504">
        <v>2</v>
      </c>
      <c r="G504">
        <v>-1.6898550556828376</v>
      </c>
      <c r="H504">
        <v>-1.1037050662441625</v>
      </c>
      <c r="I504">
        <v>-1.3723099719532976</v>
      </c>
      <c r="K504">
        <v>-1.3886233646267661</v>
      </c>
      <c r="M504" t="s">
        <v>339</v>
      </c>
      <c r="O504" s="1" t="str" cm="1">
        <f t="array" ref="O504">_xlfn.LET( _xlpm.s, UPPER(M504),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EKQIERLKEICKH</v>
      </c>
    </row>
    <row r="505" spans="1:15" ht="24">
      <c r="A505">
        <v>234</v>
      </c>
      <c r="B505">
        <v>316</v>
      </c>
      <c r="C505">
        <v>12</v>
      </c>
      <c r="D505">
        <v>14</v>
      </c>
      <c r="E505">
        <v>8</v>
      </c>
      <c r="G505">
        <v>-1.3544860365811251</v>
      </c>
      <c r="H505">
        <v>-1.3034492488397993</v>
      </c>
      <c r="I505">
        <v>-1.5140622075712478</v>
      </c>
      <c r="K505">
        <v>-1.3906658309973909</v>
      </c>
      <c r="M505" t="s">
        <v>241</v>
      </c>
      <c r="O505" s="1" t="str" cm="1">
        <f t="array" ref="O505">_xlfn.LET( _xlpm.s, UPPER(M505),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EQQIERLKLICEH</v>
      </c>
    </row>
    <row r="506" spans="1:15" ht="24">
      <c r="A506">
        <v>139</v>
      </c>
      <c r="B506">
        <v>202</v>
      </c>
      <c r="C506">
        <v>16</v>
      </c>
      <c r="D506">
        <v>7</v>
      </c>
      <c r="E506">
        <v>3</v>
      </c>
      <c r="G506">
        <v>-1.035211586801045</v>
      </c>
      <c r="H506">
        <v>-1.4101435313320005</v>
      </c>
      <c r="I506">
        <v>-1.7456952266717487</v>
      </c>
      <c r="K506">
        <v>-1.3970167816015981</v>
      </c>
      <c r="M506" t="s">
        <v>146</v>
      </c>
      <c r="O506" s="1" t="str" cm="1">
        <f t="array" ref="O506">_xlfn.LET( _xlpm.s, UPPER(M506),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KQQIERLVAICEH</v>
      </c>
    </row>
    <row r="507" spans="1:15" ht="24">
      <c r="A507">
        <v>333</v>
      </c>
      <c r="B507">
        <v>175</v>
      </c>
      <c r="C507">
        <v>2</v>
      </c>
      <c r="D507">
        <v>12</v>
      </c>
      <c r="E507">
        <v>9</v>
      </c>
      <c r="G507">
        <v>-1.8759882530326593</v>
      </c>
      <c r="H507">
        <v>-1.1137470045383031</v>
      </c>
      <c r="I507">
        <v>-1.2062606511917571</v>
      </c>
      <c r="K507">
        <v>-1.3986653029209064</v>
      </c>
      <c r="M507" t="s">
        <v>340</v>
      </c>
      <c r="O507" s="1" t="str" cm="1">
        <f t="array" ref="O507">_xlfn.LET( _xlpm.s, UPPER(M507),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KQQIERLRQICDH</v>
      </c>
    </row>
    <row r="508" spans="1:15" ht="24">
      <c r="A508">
        <v>379</v>
      </c>
      <c r="B508">
        <v>122</v>
      </c>
      <c r="C508">
        <v>6</v>
      </c>
      <c r="D508">
        <v>3</v>
      </c>
      <c r="E508">
        <v>4</v>
      </c>
      <c r="G508">
        <v>-1.2421887803014506</v>
      </c>
      <c r="H508">
        <v>-1.5591287778547194</v>
      </c>
      <c r="I508">
        <v>-1.4017649512915733</v>
      </c>
      <c r="K508">
        <v>-1.4010275031492478</v>
      </c>
      <c r="M508" t="s">
        <v>386</v>
      </c>
      <c r="O508" s="1" t="str" cm="1">
        <f t="array" ref="O508">_xlfn.LET( _xlpm.s, UPPER(M508),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KAAIERIKAILEK</v>
      </c>
    </row>
    <row r="509" spans="1:15" ht="24">
      <c r="A509">
        <v>713</v>
      </c>
      <c r="B509">
        <v>47</v>
      </c>
      <c r="C509">
        <v>2</v>
      </c>
      <c r="D509">
        <v>2</v>
      </c>
      <c r="E509">
        <v>1</v>
      </c>
      <c r="G509">
        <v>-1.3050480622820824</v>
      </c>
      <c r="H509">
        <v>-1.3209580641713699</v>
      </c>
      <c r="I509">
        <v>-1.5895629698805049</v>
      </c>
      <c r="K509">
        <v>-1.4051896987779857</v>
      </c>
      <c r="M509" t="s">
        <v>720</v>
      </c>
      <c r="O509" s="1" t="str" cm="1">
        <f t="array" ref="O509">_xlfn.LET( _xlpm.s, UPPER(M509),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QARIKRLKEILKI</v>
      </c>
    </row>
    <row r="510" spans="1:15" ht="24">
      <c r="A510">
        <v>195</v>
      </c>
      <c r="B510">
        <v>54</v>
      </c>
      <c r="C510">
        <v>3</v>
      </c>
      <c r="D510">
        <v>1</v>
      </c>
      <c r="E510">
        <v>2</v>
      </c>
      <c r="G510">
        <v>-1.1892527051136521</v>
      </c>
      <c r="H510">
        <v>-1.6822839617226022</v>
      </c>
      <c r="I510">
        <v>-1.3488288761037748</v>
      </c>
      <c r="K510">
        <v>-1.406788514313343</v>
      </c>
      <c r="M510" t="s">
        <v>202</v>
      </c>
      <c r="O510" s="1" t="str" cm="1">
        <f t="array" ref="O510">_xlfn.LET( _xlpm.s, UPPER(M510),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EEQIKRLKEICEH</v>
      </c>
    </row>
    <row r="511" spans="1:15" ht="24">
      <c r="A511">
        <v>74</v>
      </c>
      <c r="B511">
        <v>117</v>
      </c>
      <c r="C511">
        <v>4</v>
      </c>
      <c r="D511">
        <v>3</v>
      </c>
      <c r="E511">
        <v>5</v>
      </c>
      <c r="G511">
        <v>-1.4001060704285453</v>
      </c>
      <c r="H511">
        <v>-1.5409548089261329</v>
      </c>
      <c r="I511">
        <v>-1.2866809693549301</v>
      </c>
      <c r="K511">
        <v>-1.4092472829032028</v>
      </c>
      <c r="M511" t="s">
        <v>81</v>
      </c>
      <c r="O511" s="1" t="str" cm="1">
        <f t="array" ref="O511">_xlfn.LET( _xlpm.s, UPPER(M511),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EQQIERLKEICKH</v>
      </c>
    </row>
    <row r="512" spans="1:15" ht="24">
      <c r="A512">
        <v>60</v>
      </c>
      <c r="B512">
        <v>296</v>
      </c>
      <c r="C512">
        <v>10</v>
      </c>
      <c r="D512">
        <v>16</v>
      </c>
      <c r="E512">
        <v>6</v>
      </c>
      <c r="G512">
        <v>-1.4052719110692846</v>
      </c>
      <c r="H512">
        <v>-1.2170619303026473</v>
      </c>
      <c r="I512">
        <v>-1.6106055726200823</v>
      </c>
      <c r="K512">
        <v>-1.4109798046640047</v>
      </c>
      <c r="M512" t="s">
        <v>67</v>
      </c>
      <c r="O512" s="1" t="str" cm="1">
        <f t="array" ref="O512">_xlfn.LET( _xlpm.s, UPPER(M512),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KQQIERLKQICDH</v>
      </c>
    </row>
    <row r="513" spans="1:15" ht="24">
      <c r="A513">
        <v>266</v>
      </c>
      <c r="B513">
        <v>38</v>
      </c>
      <c r="C513">
        <v>1</v>
      </c>
      <c r="D513">
        <v>2</v>
      </c>
      <c r="E513">
        <v>1</v>
      </c>
      <c r="G513">
        <v>-1.5137637966271562</v>
      </c>
      <c r="H513">
        <v>-1.2286438028524627</v>
      </c>
      <c r="I513">
        <v>-1.4972487085615975</v>
      </c>
      <c r="K513">
        <v>-1.4132187693470721</v>
      </c>
      <c r="M513" t="s">
        <v>273</v>
      </c>
      <c r="O513" s="1" t="str" cm="1">
        <f t="array" ref="O513">_xlfn.LET( _xlpm.s, UPPER(M513),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EQQKKRLVAICDH</v>
      </c>
    </row>
    <row r="514" spans="1:15" ht="24">
      <c r="A514">
        <v>498</v>
      </c>
      <c r="B514">
        <v>48</v>
      </c>
      <c r="C514">
        <v>4</v>
      </c>
      <c r="D514">
        <v>1</v>
      </c>
      <c r="E514">
        <v>1</v>
      </c>
      <c r="G514">
        <v>-1.013161446057971</v>
      </c>
      <c r="H514">
        <v>-1.6311314392752208</v>
      </c>
      <c r="I514">
        <v>-1.5987063493203746</v>
      </c>
      <c r="K514">
        <v>-1.4143330782178554</v>
      </c>
      <c r="M514" t="s">
        <v>505</v>
      </c>
      <c r="O514" s="1" t="str" cm="1">
        <f t="array" ref="O514">_xlfn.LET( _xlpm.s, UPPER(M514),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EKLKKRIIAICEK</v>
      </c>
    </row>
    <row r="515" spans="1:15" ht="24">
      <c r="A515">
        <v>174</v>
      </c>
      <c r="B515">
        <v>239</v>
      </c>
      <c r="C515">
        <v>7</v>
      </c>
      <c r="D515">
        <v>10</v>
      </c>
      <c r="E515">
        <v>7</v>
      </c>
      <c r="G515">
        <v>-1.4672800609442269</v>
      </c>
      <c r="H515">
        <v>-1.3282881028477713</v>
      </c>
      <c r="I515">
        <v>-1.4507649728786682</v>
      </c>
      <c r="K515">
        <v>-1.415444378890222</v>
      </c>
      <c r="M515" t="s">
        <v>181</v>
      </c>
      <c r="O515" s="1" t="str" cm="1">
        <f t="array" ref="O515">_xlfn.LET( _xlpm.s, UPPER(M515),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KQQIDRLKQICEH</v>
      </c>
    </row>
    <row r="516" spans="1:15" ht="24">
      <c r="A516">
        <v>183</v>
      </c>
      <c r="B516">
        <v>231</v>
      </c>
      <c r="C516">
        <v>6</v>
      </c>
      <c r="D516">
        <v>12</v>
      </c>
      <c r="E516">
        <v>6</v>
      </c>
      <c r="G516">
        <v>-1.5194409295188467</v>
      </c>
      <c r="H516">
        <v>-1.2343209357441531</v>
      </c>
      <c r="I516">
        <v>-1.502925841453288</v>
      </c>
      <c r="K516">
        <v>-1.4188959022387626</v>
      </c>
      <c r="M516" t="s">
        <v>190</v>
      </c>
      <c r="O516" s="1" t="str" cm="1">
        <f t="array" ref="O516">_xlfn.LET( _xlpm.s, UPPER(M516),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KQQIERLKRICEH</v>
      </c>
    </row>
    <row r="517" spans="1:15" ht="24">
      <c r="A517">
        <v>513</v>
      </c>
      <c r="B517">
        <v>63</v>
      </c>
      <c r="C517">
        <v>1</v>
      </c>
      <c r="D517">
        <v>8</v>
      </c>
      <c r="E517">
        <v>1</v>
      </c>
      <c r="G517">
        <v>-1.7333207494639278</v>
      </c>
      <c r="H517">
        <v>-0.84614076436127161</v>
      </c>
      <c r="I517">
        <v>-1.7168056613983691</v>
      </c>
      <c r="K517">
        <v>-1.4320890584078561</v>
      </c>
      <c r="M517" t="s">
        <v>520</v>
      </c>
      <c r="O517" s="1" t="str" cm="1">
        <f t="array" ref="O517">_xlfn.LET( _xlpm.s, UPPER(M517),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KAMIKRIEEILKK</v>
      </c>
    </row>
    <row r="518" spans="1:15" ht="24">
      <c r="A518">
        <v>327</v>
      </c>
      <c r="B518">
        <v>78</v>
      </c>
      <c r="C518">
        <v>1</v>
      </c>
      <c r="D518">
        <v>5</v>
      </c>
      <c r="E518">
        <v>3</v>
      </c>
      <c r="G518">
        <v>-1.8260748027008264</v>
      </c>
      <c r="H518">
        <v>-1.1430148002540952</v>
      </c>
      <c r="I518">
        <v>-1.3324384599156054</v>
      </c>
      <c r="K518">
        <v>-1.4338426876235093</v>
      </c>
      <c r="M518" t="s">
        <v>334</v>
      </c>
      <c r="O518" s="1" t="str" cm="1">
        <f t="array" ref="O518">_xlfn.LET( _xlpm.s, UPPER(M518),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KKQIERLVLICKH</v>
      </c>
    </row>
    <row r="519" spans="1:15" ht="24">
      <c r="A519">
        <v>188</v>
      </c>
      <c r="B519">
        <v>103</v>
      </c>
      <c r="C519">
        <v>2</v>
      </c>
      <c r="D519">
        <v>4</v>
      </c>
      <c r="E519">
        <v>4</v>
      </c>
      <c r="G519">
        <v>-1.6457874290515371</v>
      </c>
      <c r="H519">
        <v>-1.3606674352768435</v>
      </c>
      <c r="I519">
        <v>-1.3282423453219974</v>
      </c>
      <c r="K519">
        <v>-1.4448990698834594</v>
      </c>
      <c r="M519" t="s">
        <v>195</v>
      </c>
      <c r="O519" s="1" t="str" cm="1">
        <f t="array" ref="O519">_xlfn.LET( _xlpm.s, UPPER(M519),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AQQIARLKEICKH</v>
      </c>
    </row>
    <row r="520" spans="1:15" ht="24">
      <c r="A520">
        <v>321</v>
      </c>
      <c r="B520">
        <v>111</v>
      </c>
      <c r="C520">
        <v>4</v>
      </c>
      <c r="D520">
        <v>5</v>
      </c>
      <c r="E520">
        <v>2</v>
      </c>
      <c r="G520">
        <v>-1.3772431874690412</v>
      </c>
      <c r="H520">
        <v>-1.2962431763502722</v>
      </c>
      <c r="I520">
        <v>-1.6617580950674637</v>
      </c>
      <c r="K520">
        <v>-1.4450814862955923</v>
      </c>
      <c r="M520" t="s">
        <v>328</v>
      </c>
      <c r="O520" s="1" t="str" cm="1">
        <f t="array" ref="O520">_xlfn.LET( _xlpm.s, UPPER(M520),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KQQIERLKQICDY</v>
      </c>
    </row>
    <row r="521" spans="1:15" ht="24">
      <c r="A521">
        <v>281</v>
      </c>
      <c r="B521">
        <v>210</v>
      </c>
      <c r="C521">
        <v>5</v>
      </c>
      <c r="D521">
        <v>9</v>
      </c>
      <c r="E521">
        <v>6</v>
      </c>
      <c r="G521">
        <v>-1.5572294904082467</v>
      </c>
      <c r="H521">
        <v>-1.3178669871942279</v>
      </c>
      <c r="I521">
        <v>-1.4615331562950631</v>
      </c>
      <c r="K521">
        <v>-1.4455432112991791</v>
      </c>
      <c r="M521" t="s">
        <v>288</v>
      </c>
      <c r="O521" s="1" t="str" cm="1">
        <f t="array" ref="O521">_xlfn.LET( _xlpm.s, UPPER(M521),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KQQIERLKRICDH</v>
      </c>
    </row>
    <row r="522" spans="1:15" ht="24">
      <c r="A522">
        <v>215</v>
      </c>
      <c r="B522">
        <v>266</v>
      </c>
      <c r="C522">
        <v>9</v>
      </c>
      <c r="D522">
        <v>8</v>
      </c>
      <c r="E522">
        <v>7</v>
      </c>
      <c r="G522">
        <v>-1.4046193272020882</v>
      </c>
      <c r="H522">
        <v>-1.4716818515387571</v>
      </c>
      <c r="I522">
        <v>-1.4972487085615975</v>
      </c>
      <c r="K522">
        <v>-1.4578499624341477</v>
      </c>
      <c r="M522" t="s">
        <v>222</v>
      </c>
      <c r="O522" s="1" t="str" cm="1">
        <f t="array" ref="O522">_xlfn.LET( _xlpm.s, UPPER(M522),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EQQIERLKLICDH</v>
      </c>
    </row>
    <row r="523" spans="1:15" ht="24">
      <c r="A523">
        <v>102</v>
      </c>
      <c r="B523">
        <v>135</v>
      </c>
      <c r="C523">
        <v>3</v>
      </c>
      <c r="D523">
        <v>4</v>
      </c>
      <c r="E523">
        <v>5</v>
      </c>
      <c r="G523">
        <v>-1.5871927137856898</v>
      </c>
      <c r="H523">
        <v>-1.4781639790666772</v>
      </c>
      <c r="I523">
        <v>-1.3488288761037748</v>
      </c>
      <c r="K523">
        <v>-1.4713951896520472</v>
      </c>
      <c r="M523" t="s">
        <v>109</v>
      </c>
      <c r="O523" s="1" t="str" cm="1">
        <f t="array" ref="O523">_xlfn.LET( _xlpm.s, UPPER(M523),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KQQIERLTKICEH</v>
      </c>
    </row>
    <row r="524" spans="1:15" ht="24">
      <c r="A524">
        <v>141</v>
      </c>
      <c r="B524">
        <v>79</v>
      </c>
      <c r="C524">
        <v>2</v>
      </c>
      <c r="D524">
        <v>2</v>
      </c>
      <c r="E524">
        <v>3</v>
      </c>
      <c r="G524">
        <v>-1.5305772956368064</v>
      </c>
      <c r="H524">
        <v>-1.5464872975260939</v>
      </c>
      <c r="I524">
        <v>-1.3379709485155664</v>
      </c>
      <c r="K524">
        <v>-1.4716785138928223</v>
      </c>
      <c r="M524" t="s">
        <v>148</v>
      </c>
      <c r="O524" s="1" t="str" cm="1">
        <f t="array" ref="O524">_xlfn.LET( _xlpm.s, UPPER(M524),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KKQIERLKEICAH</v>
      </c>
    </row>
    <row r="525" spans="1:15" ht="24">
      <c r="A525">
        <v>131</v>
      </c>
      <c r="B525">
        <v>159</v>
      </c>
      <c r="C525">
        <v>4</v>
      </c>
      <c r="D525">
        <v>3</v>
      </c>
      <c r="E525">
        <v>8</v>
      </c>
      <c r="G525">
        <v>-1.5333173330028351</v>
      </c>
      <c r="H525">
        <v>-1.6741660715004227</v>
      </c>
      <c r="I525">
        <v>-1.2157722492732952</v>
      </c>
      <c r="K525">
        <v>-1.474418551258851</v>
      </c>
      <c r="M525" t="s">
        <v>138</v>
      </c>
      <c r="O525" s="1" t="str" cm="1">
        <f t="array" ref="O525">_xlfn.LET( _xlpm.s, UPPER(M525),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AEQIKRLKLICEH</v>
      </c>
    </row>
    <row r="526" spans="1:15" ht="24">
      <c r="A526">
        <v>630</v>
      </c>
      <c r="B526">
        <v>76</v>
      </c>
      <c r="C526">
        <v>2</v>
      </c>
      <c r="D526">
        <v>1</v>
      </c>
      <c r="E526">
        <v>5</v>
      </c>
      <c r="G526">
        <v>-1.5137637966271562</v>
      </c>
      <c r="H526">
        <v>-1.8307037941804249</v>
      </c>
      <c r="I526">
        <v>-1.09930869988956</v>
      </c>
      <c r="K526">
        <v>-1.481258763565714</v>
      </c>
      <c r="M526" t="s">
        <v>637</v>
      </c>
      <c r="O526" s="1" t="str" cm="1">
        <f t="array" ref="O526">_xlfn.LET( _xlpm.s, UPPER(M526),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KKRIERIKEILKL</v>
      </c>
    </row>
    <row r="527" spans="1:15" ht="24">
      <c r="A527">
        <v>208</v>
      </c>
      <c r="B527">
        <v>125</v>
      </c>
      <c r="C527">
        <v>1</v>
      </c>
      <c r="D527">
        <v>11</v>
      </c>
      <c r="E527">
        <v>4</v>
      </c>
      <c r="G527">
        <v>-2.0308902130184023</v>
      </c>
      <c r="H527">
        <v>-1.0054075297494649</v>
      </c>
      <c r="I527">
        <v>-1.4123151336248814</v>
      </c>
      <c r="K527">
        <v>-1.4828709587975828</v>
      </c>
      <c r="M527" t="s">
        <v>215</v>
      </c>
      <c r="O527" s="1" t="str" cm="1">
        <f t="array" ref="O527">_xlfn.LET( _xlpm.s, UPPER(M527),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KEQIERLKAICEK</v>
      </c>
    </row>
    <row r="528" spans="1:15" ht="24">
      <c r="A528">
        <v>201</v>
      </c>
      <c r="B528">
        <v>45</v>
      </c>
      <c r="C528">
        <v>1</v>
      </c>
      <c r="D528">
        <v>1</v>
      </c>
      <c r="E528">
        <v>2</v>
      </c>
      <c r="G528">
        <v>-1.5871927137856898</v>
      </c>
      <c r="H528">
        <v>-1.6031027156749773</v>
      </c>
      <c r="I528">
        <v>-1.2696476300561499</v>
      </c>
      <c r="K528">
        <v>-1.4866476865056057</v>
      </c>
      <c r="M528" t="s">
        <v>208</v>
      </c>
      <c r="O528" s="1" t="str" cm="1">
        <f t="array" ref="O528">_xlfn.LET( _xlpm.s, UPPER(M528),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KEQIERLIKICEH</v>
      </c>
    </row>
    <row r="529" spans="1:15" ht="24">
      <c r="A529">
        <v>9</v>
      </c>
      <c r="B529">
        <v>82</v>
      </c>
      <c r="C529">
        <v>3</v>
      </c>
      <c r="D529">
        <v>2</v>
      </c>
      <c r="E529">
        <v>2</v>
      </c>
      <c r="G529">
        <v>-1.3706727976744004</v>
      </c>
      <c r="H529">
        <v>-1.562674058619369</v>
      </c>
      <c r="I529">
        <v>-1.5302489686645229</v>
      </c>
      <c r="K529">
        <v>-1.4878652749860974</v>
      </c>
      <c r="M529" t="s">
        <v>16</v>
      </c>
      <c r="O529" s="1" t="str" cm="1">
        <f t="array" ref="O529">_xlfn.LET( _xlpm.s, UPPER(M529),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EQQIKRLKEICKH</v>
      </c>
    </row>
    <row r="530" spans="1:15" ht="24">
      <c r="A530">
        <v>57</v>
      </c>
      <c r="B530">
        <v>66</v>
      </c>
      <c r="C530">
        <v>1</v>
      </c>
      <c r="D530">
        <v>3</v>
      </c>
      <c r="E530">
        <v>2</v>
      </c>
      <c r="G530">
        <v>-1.7535241355522146</v>
      </c>
      <c r="H530">
        <v>-1.2923128827218398</v>
      </c>
      <c r="I530">
        <v>-1.4359790518226749</v>
      </c>
      <c r="K530">
        <v>-1.4939386900322431</v>
      </c>
      <c r="M530" t="s">
        <v>64</v>
      </c>
      <c r="O530" s="1" t="str" cm="1">
        <f t="array" ref="O530">_xlfn.LET( _xlpm.s, UPPER(M530),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EKQKERLVLICKH</v>
      </c>
    </row>
    <row r="531" spans="1:15" ht="24">
      <c r="A531">
        <v>62</v>
      </c>
      <c r="B531">
        <v>184</v>
      </c>
      <c r="C531">
        <v>7</v>
      </c>
      <c r="D531">
        <v>6</v>
      </c>
      <c r="E531">
        <v>3</v>
      </c>
      <c r="G531">
        <v>-1.3536999830056258</v>
      </c>
      <c r="H531">
        <v>-1.4365567745255263</v>
      </c>
      <c r="I531">
        <v>-1.7051616802346614</v>
      </c>
      <c r="K531">
        <v>-1.4984728125886047</v>
      </c>
      <c r="M531" t="s">
        <v>69</v>
      </c>
      <c r="O531" s="1" t="str" cm="1">
        <f t="array" ref="O531">_xlfn.LET( _xlpm.s, UPPER(M531),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QQQIKRLKLICDH</v>
      </c>
    </row>
    <row r="532" spans="1:15" ht="24">
      <c r="A532">
        <v>399</v>
      </c>
      <c r="B532">
        <v>53</v>
      </c>
      <c r="C532">
        <v>3</v>
      </c>
      <c r="D532">
        <v>1</v>
      </c>
      <c r="E532">
        <v>1</v>
      </c>
      <c r="G532">
        <v>-1.1811348148914727</v>
      </c>
      <c r="H532">
        <v>-1.6741660715004227</v>
      </c>
      <c r="I532">
        <v>-1.6417409815455766</v>
      </c>
      <c r="K532">
        <v>-1.4990139559791575</v>
      </c>
      <c r="M532" t="s">
        <v>406</v>
      </c>
      <c r="O532" s="1" t="str" cm="1">
        <f t="array" ref="O532">_xlfn.LET( _xlpm.s, UPPER(M532),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QMLTKRLVEILKI</v>
      </c>
    </row>
    <row r="533" spans="1:15" ht="24">
      <c r="A533">
        <v>273</v>
      </c>
      <c r="B533">
        <v>107</v>
      </c>
      <c r="C533">
        <v>3</v>
      </c>
      <c r="D533">
        <v>7</v>
      </c>
      <c r="E533">
        <v>1</v>
      </c>
      <c r="G533">
        <v>-1.4862427229758932</v>
      </c>
      <c r="H533">
        <v>-1.1341759395705864</v>
      </c>
      <c r="I533">
        <v>-1.9468488896299971</v>
      </c>
      <c r="K533">
        <v>-1.5224225173921591</v>
      </c>
      <c r="M533" t="s">
        <v>280</v>
      </c>
      <c r="O533" s="1" t="str" cm="1">
        <f t="array" ref="O533">_xlfn.LET( _xlpm.s, UPPER(M533),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KKQIERLKQICEH</v>
      </c>
    </row>
    <row r="534" spans="1:15" ht="24">
      <c r="A534">
        <v>632</v>
      </c>
      <c r="B534">
        <v>152</v>
      </c>
      <c r="C534">
        <v>5</v>
      </c>
      <c r="D534">
        <v>4</v>
      </c>
      <c r="E534">
        <v>3</v>
      </c>
      <c r="G534">
        <v>-1.4168537836191</v>
      </c>
      <c r="H534">
        <v>-1.5296737985164437</v>
      </c>
      <c r="I534">
        <v>-1.6221874451698977</v>
      </c>
      <c r="K534">
        <v>-1.5229050091018139</v>
      </c>
      <c r="M534" t="s">
        <v>639</v>
      </c>
      <c r="O534" s="1" t="str" cm="1">
        <f t="array" ref="O534">_xlfn.LET( _xlpm.s, UPPER(M534),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NARIDRLKQILEL</v>
      </c>
    </row>
    <row r="535" spans="1:15" ht="24">
      <c r="A535">
        <v>547</v>
      </c>
      <c r="B535">
        <v>72</v>
      </c>
      <c r="C535">
        <v>1</v>
      </c>
      <c r="D535">
        <v>3</v>
      </c>
      <c r="E535">
        <v>2</v>
      </c>
      <c r="G535">
        <v>-1.7913126964416146</v>
      </c>
      <c r="H535">
        <v>-1.3301014436112397</v>
      </c>
      <c r="I535">
        <v>-1.4737676127120747</v>
      </c>
      <c r="K535">
        <v>-1.5317272509216429</v>
      </c>
      <c r="M535" t="s">
        <v>554</v>
      </c>
      <c r="O535" s="1" t="str" cm="1">
        <f t="array" ref="O535">_xlfn.LET( _xlpm.s, UPPER(M535),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KERIARLKEILKI</v>
      </c>
    </row>
    <row r="536" spans="1:15" ht="24">
      <c r="A536">
        <v>268</v>
      </c>
      <c r="B536">
        <v>240</v>
      </c>
      <c r="C536">
        <v>9</v>
      </c>
      <c r="D536">
        <v>12</v>
      </c>
      <c r="E536">
        <v>2</v>
      </c>
      <c r="G536">
        <v>-1.3599489322826273</v>
      </c>
      <c r="H536">
        <v>-1.2509201975636148</v>
      </c>
      <c r="I536">
        <v>-1.9966463579924121</v>
      </c>
      <c r="K536">
        <v>-1.5358384959462181</v>
      </c>
      <c r="M536" t="s">
        <v>275</v>
      </c>
      <c r="O536" s="1" t="str" cm="1">
        <f t="array" ref="O536">_xlfn.LET( _xlpm.s, UPPER(M536),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EQQIRRLKLICDH</v>
      </c>
    </row>
    <row r="537" spans="1:15" ht="24">
      <c r="A537">
        <v>652</v>
      </c>
      <c r="B537">
        <v>58</v>
      </c>
      <c r="C537">
        <v>3</v>
      </c>
      <c r="D537">
        <v>1</v>
      </c>
      <c r="E537">
        <v>1</v>
      </c>
      <c r="G537">
        <v>-1.2202869388536211</v>
      </c>
      <c r="H537">
        <v>-1.7133181954625709</v>
      </c>
      <c r="I537">
        <v>-1.6808931055077247</v>
      </c>
      <c r="K537">
        <v>-1.5381660799413055</v>
      </c>
      <c r="M537" t="s">
        <v>659</v>
      </c>
      <c r="O537" s="1" t="str" cm="1">
        <f t="array" ref="O537">_xlfn.LET( _xlpm.s, UPPER(M537),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KARIDRIKEILKI</v>
      </c>
    </row>
    <row r="538" spans="1:15" ht="24">
      <c r="A538">
        <v>609</v>
      </c>
      <c r="B538">
        <v>134</v>
      </c>
      <c r="C538">
        <v>3</v>
      </c>
      <c r="D538">
        <v>3</v>
      </c>
      <c r="E538">
        <v>4</v>
      </c>
      <c r="G538">
        <v>-1.5839637436554914</v>
      </c>
      <c r="H538">
        <v>-1.5998737455447789</v>
      </c>
      <c r="I538">
        <v>-1.4425099189816326</v>
      </c>
      <c r="K538">
        <v>-1.5421158027273008</v>
      </c>
      <c r="M538" t="s">
        <v>616</v>
      </c>
      <c r="O538" s="1" t="str" cm="1">
        <f t="array" ref="O538">_xlfn.LET( _xlpm.s, UPPER(M538),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KARIKRIEEILRI</v>
      </c>
    </row>
    <row r="539" spans="1:15" ht="24">
      <c r="A539">
        <v>261</v>
      </c>
      <c r="B539">
        <v>119</v>
      </c>
      <c r="C539">
        <v>5</v>
      </c>
      <c r="D539">
        <v>5</v>
      </c>
      <c r="E539">
        <v>1</v>
      </c>
      <c r="G539">
        <v>-1.3105571570668579</v>
      </c>
      <c r="H539">
        <v>-1.3264671589561454</v>
      </c>
      <c r="I539">
        <v>-1.993012073337318</v>
      </c>
      <c r="K539">
        <v>-1.5433454631201071</v>
      </c>
      <c r="M539" t="s">
        <v>268</v>
      </c>
      <c r="O539" s="1" t="str" cm="1">
        <f t="array" ref="O539">_xlfn.LET( _xlpm.s, UPPER(M539),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KRQIERLKKICEH</v>
      </c>
    </row>
    <row r="540" spans="1:15" ht="24">
      <c r="A540">
        <v>112</v>
      </c>
      <c r="B540">
        <v>82</v>
      </c>
      <c r="C540">
        <v>4</v>
      </c>
      <c r="D540">
        <v>2</v>
      </c>
      <c r="E540">
        <v>1</v>
      </c>
      <c r="G540">
        <v>-1.2457340610661003</v>
      </c>
      <c r="H540">
        <v>-1.562674058619369</v>
      </c>
      <c r="I540">
        <v>-1.8312789643285041</v>
      </c>
      <c r="K540">
        <v>-1.5465623613379913</v>
      </c>
      <c r="M540" t="s">
        <v>119</v>
      </c>
      <c r="O540" s="1" t="str" cm="1">
        <f t="array" ref="O540">_xlfn.LET( _xlpm.s, UPPER(M540),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EKQIARLKEICAH</v>
      </c>
    </row>
    <row r="541" spans="1:15" ht="24">
      <c r="A541">
        <v>559</v>
      </c>
      <c r="B541">
        <v>60</v>
      </c>
      <c r="C541">
        <v>1</v>
      </c>
      <c r="D541">
        <v>1</v>
      </c>
      <c r="E541">
        <v>3</v>
      </c>
      <c r="G541">
        <v>-1.7121314503939897</v>
      </c>
      <c r="H541">
        <v>-1.7280414522832772</v>
      </c>
      <c r="I541">
        <v>-1.2184951076087687</v>
      </c>
      <c r="K541">
        <v>-1.5528893367620118</v>
      </c>
      <c r="M541" t="s">
        <v>566</v>
      </c>
      <c r="O541" s="1" t="str" cm="1">
        <f t="array" ref="O541">_xlfn.LET( _xlpm.s, UPPER(M541),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KARIKRIKEILKL</v>
      </c>
    </row>
    <row r="542" spans="1:15" ht="24">
      <c r="A542">
        <v>184</v>
      </c>
      <c r="B542">
        <v>139</v>
      </c>
      <c r="C542">
        <v>3</v>
      </c>
      <c r="D542">
        <v>3</v>
      </c>
      <c r="E542">
        <v>4</v>
      </c>
      <c r="G542">
        <v>-1.5998737455447787</v>
      </c>
      <c r="H542">
        <v>-1.6157837474340662</v>
      </c>
      <c r="I542">
        <v>-1.4584199208709201</v>
      </c>
      <c r="K542">
        <v>-1.5580258046165882</v>
      </c>
      <c r="M542" t="s">
        <v>191</v>
      </c>
      <c r="O542" s="1" t="str" cm="1">
        <f t="array" ref="O542">_xlfn.LET( _xlpm.s, UPPER(M542),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EQQIQRLKEICAH</v>
      </c>
    </row>
    <row r="543" spans="1:15" ht="24">
      <c r="A543">
        <v>240</v>
      </c>
      <c r="B543">
        <v>123</v>
      </c>
      <c r="C543">
        <v>3</v>
      </c>
      <c r="D543">
        <v>2</v>
      </c>
      <c r="E543">
        <v>4</v>
      </c>
      <c r="G543">
        <v>-1.5467640567300815</v>
      </c>
      <c r="H543">
        <v>-1.7387653176750502</v>
      </c>
      <c r="I543">
        <v>-1.405310232056223</v>
      </c>
      <c r="K543">
        <v>-1.5636132021537847</v>
      </c>
      <c r="M543" t="s">
        <v>247</v>
      </c>
      <c r="O543" s="1" t="str" cm="1">
        <f t="array" ref="O543">_xlfn.LET( _xlpm.s, UPPER(M543),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ARQIERLKQICKH</v>
      </c>
    </row>
    <row r="544" spans="1:15" ht="24">
      <c r="A544">
        <v>192</v>
      </c>
      <c r="B544">
        <v>184</v>
      </c>
      <c r="C544">
        <v>5</v>
      </c>
      <c r="D544">
        <v>8</v>
      </c>
      <c r="E544">
        <v>2</v>
      </c>
      <c r="G544">
        <v>-1.4998280186838637</v>
      </c>
      <c r="H544">
        <v>-1.3116180379172264</v>
      </c>
      <c r="I544">
        <v>-1.8812529392903428</v>
      </c>
      <c r="K544">
        <v>-1.5642329986304777</v>
      </c>
      <c r="M544" t="s">
        <v>199</v>
      </c>
      <c r="O544" s="1" t="str" cm="1">
        <f t="array" ref="O544">_xlfn.LET( _xlpm.s, UPPER(M544),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KRQIERLKQICEH</v>
      </c>
    </row>
    <row r="545" spans="1:15" ht="24">
      <c r="A545">
        <v>232</v>
      </c>
      <c r="B545">
        <v>125</v>
      </c>
      <c r="C545">
        <v>1</v>
      </c>
      <c r="D545">
        <v>5</v>
      </c>
      <c r="E545">
        <v>5</v>
      </c>
      <c r="G545">
        <v>-2.0308902130184023</v>
      </c>
      <c r="H545">
        <v>-1.3478302105716711</v>
      </c>
      <c r="I545">
        <v>-1.3154051206168249</v>
      </c>
      <c r="K545">
        <v>-1.564708514735633</v>
      </c>
      <c r="M545" t="s">
        <v>239</v>
      </c>
      <c r="O545" s="1" t="str" cm="1">
        <f t="array" ref="O545">_xlfn.LET( _xlpm.s, UPPER(M545),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KQQIERLVKICEH</v>
      </c>
    </row>
    <row r="546" spans="1:15" ht="24">
      <c r="A546">
        <v>290</v>
      </c>
      <c r="B546">
        <v>90</v>
      </c>
      <c r="C546">
        <v>1</v>
      </c>
      <c r="D546">
        <v>3</v>
      </c>
      <c r="E546">
        <v>3</v>
      </c>
      <c r="G546">
        <v>-1.8882227094496709</v>
      </c>
      <c r="H546">
        <v>-1.427011456619296</v>
      </c>
      <c r="I546">
        <v>-1.3945863666644498</v>
      </c>
      <c r="K546">
        <v>-1.5699401775778057</v>
      </c>
      <c r="M546" t="s">
        <v>297</v>
      </c>
      <c r="O546" s="1" t="str" cm="1">
        <f t="array" ref="O546">_xlfn.LET( _xlpm.s, UPPER(M546),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AEQIKRLKLICKH</v>
      </c>
    </row>
    <row r="547" spans="1:15" ht="24">
      <c r="A547">
        <v>182</v>
      </c>
      <c r="B547">
        <v>226</v>
      </c>
      <c r="C547">
        <v>1</v>
      </c>
      <c r="D547">
        <v>8</v>
      </c>
      <c r="E547">
        <v>17</v>
      </c>
      <c r="G547">
        <v>-2.2880886391577469</v>
      </c>
      <c r="H547">
        <v>-1.400908654055091</v>
      </c>
      <c r="I547">
        <v>-1.0411246297139143</v>
      </c>
      <c r="K547">
        <v>-1.5767073076422509</v>
      </c>
      <c r="M547" t="s">
        <v>189</v>
      </c>
      <c r="O547" s="1" t="str" cm="1">
        <f t="array" ref="O547">_xlfn.LET( _xlpm.s, UPPER(M547),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EQQIERLKLICKH</v>
      </c>
    </row>
    <row r="548" spans="1:15" ht="24">
      <c r="A548">
        <v>177</v>
      </c>
      <c r="B548">
        <v>173</v>
      </c>
      <c r="C548">
        <v>6</v>
      </c>
      <c r="D548">
        <v>2</v>
      </c>
      <c r="E548">
        <v>5</v>
      </c>
      <c r="G548">
        <v>-1.3938750527554979</v>
      </c>
      <c r="H548">
        <v>-1.8869063093644478</v>
      </c>
      <c r="I548">
        <v>-1.4565412107375639</v>
      </c>
      <c r="K548">
        <v>-1.5791075242858366</v>
      </c>
      <c r="M548" t="s">
        <v>184</v>
      </c>
      <c r="O548" s="1" t="str" cm="1">
        <f t="array" ref="O548">_xlfn.LET( _xlpm.s, UPPER(M548),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QQQIERLKQICDH</v>
      </c>
    </row>
    <row r="549" spans="1:15" ht="24">
      <c r="A549">
        <v>140</v>
      </c>
      <c r="B549">
        <v>120</v>
      </c>
      <c r="C549">
        <v>4</v>
      </c>
      <c r="D549">
        <v>5</v>
      </c>
      <c r="E549">
        <v>1</v>
      </c>
      <c r="G549">
        <v>-1.4111014547300085</v>
      </c>
      <c r="H549">
        <v>-1.3301014436112397</v>
      </c>
      <c r="I549">
        <v>-1.9966463579924121</v>
      </c>
      <c r="K549">
        <v>-1.5792830854445532</v>
      </c>
      <c r="M549" t="s">
        <v>147</v>
      </c>
      <c r="O549" s="1" t="str" cm="1">
        <f t="array" ref="O549">_xlfn.LET( _xlpm.s, UPPER(M549),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KQQIDRLKKICEH</v>
      </c>
    </row>
    <row r="550" spans="1:15" ht="24">
      <c r="A550">
        <v>153</v>
      </c>
      <c r="B550">
        <v>56</v>
      </c>
      <c r="C550">
        <v>1</v>
      </c>
      <c r="D550">
        <v>2</v>
      </c>
      <c r="E550">
        <v>1</v>
      </c>
      <c r="G550">
        <v>-1.6821682270165466</v>
      </c>
      <c r="H550">
        <v>-1.3970482332418528</v>
      </c>
      <c r="I550">
        <v>-1.6656531389509879</v>
      </c>
      <c r="K550">
        <v>-1.5816231997364625</v>
      </c>
      <c r="M550" t="s">
        <v>160</v>
      </c>
      <c r="O550" s="1" t="str" cm="1">
        <f t="array" ref="O550">_xlfn.LET( _xlpm.s, UPPER(M550),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EEQIKRLKEICDH</v>
      </c>
    </row>
    <row r="551" spans="1:15" ht="24">
      <c r="A551">
        <v>87</v>
      </c>
      <c r="B551">
        <v>147</v>
      </c>
      <c r="C551">
        <v>6</v>
      </c>
      <c r="D551">
        <v>3</v>
      </c>
      <c r="E551">
        <v>2</v>
      </c>
      <c r="G551">
        <v>-1.3231462843748787</v>
      </c>
      <c r="H551">
        <v>-1.6400862819281472</v>
      </c>
      <c r="I551">
        <v>-1.7837524510289824</v>
      </c>
      <c r="K551">
        <v>-1.5823283391106695</v>
      </c>
      <c r="M551" t="s">
        <v>94</v>
      </c>
      <c r="O551" s="1" t="str" cm="1">
        <f t="array" ref="O551">_xlfn.LET( _xlpm.s, UPPER(M551),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NEQIARLKQICDH</v>
      </c>
    </row>
    <row r="552" spans="1:15" ht="24">
      <c r="A552">
        <v>269</v>
      </c>
      <c r="B552">
        <v>184</v>
      </c>
      <c r="C552">
        <v>2</v>
      </c>
      <c r="D552">
        <v>7</v>
      </c>
      <c r="E552">
        <v>5</v>
      </c>
      <c r="G552">
        <v>-1.8977680273559014</v>
      </c>
      <c r="H552">
        <v>-1.3696099848949133</v>
      </c>
      <c r="I552">
        <v>-1.483312930618305</v>
      </c>
      <c r="K552">
        <v>-1.5835636476230397</v>
      </c>
      <c r="M552" t="s">
        <v>276</v>
      </c>
      <c r="O552" s="1" t="str" cm="1">
        <f t="array" ref="O552">_xlfn.LET( _xlpm.s, UPPER(M552),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KQQIERLKMICDI</v>
      </c>
    </row>
    <row r="553" spans="1:15" ht="24">
      <c r="A553">
        <v>151</v>
      </c>
      <c r="B553">
        <v>249</v>
      </c>
      <c r="C553">
        <v>7</v>
      </c>
      <c r="D553">
        <v>6</v>
      </c>
      <c r="E553">
        <v>4</v>
      </c>
      <c r="G553">
        <v>-1.4850815070918255</v>
      </c>
      <c r="H553">
        <v>-1.5679382986117263</v>
      </c>
      <c r="I553">
        <v>-1.7116044677125615</v>
      </c>
      <c r="K553">
        <v>-1.5882080911387044</v>
      </c>
      <c r="M553" t="s">
        <v>158</v>
      </c>
      <c r="O553" s="1" t="str" cm="1">
        <f t="array" ref="O553">_xlfn.LET( _xlpm.s, UPPER(M553),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KRQVERLKAICDH</v>
      </c>
    </row>
    <row r="554" spans="1:15" ht="24">
      <c r="A554">
        <v>56</v>
      </c>
      <c r="B554">
        <v>83</v>
      </c>
      <c r="C554">
        <v>2</v>
      </c>
      <c r="D554">
        <v>3</v>
      </c>
      <c r="E554">
        <v>1</v>
      </c>
      <c r="G554">
        <v>-1.5520282967224388</v>
      </c>
      <c r="H554">
        <v>-1.3918470395560452</v>
      </c>
      <c r="I554">
        <v>-1.8365432043208614</v>
      </c>
      <c r="K554">
        <v>-1.5934728468664485</v>
      </c>
      <c r="M554" t="s">
        <v>63</v>
      </c>
      <c r="O554" s="1" t="str" cm="1">
        <f t="array" ref="O554">_xlfn.LET( _xlpm.s, UPPER(M554),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QQQIERLKKICEH</v>
      </c>
    </row>
    <row r="555" spans="1:15" ht="24">
      <c r="A555">
        <v>135</v>
      </c>
      <c r="B555">
        <v>125</v>
      </c>
      <c r="C555">
        <v>5</v>
      </c>
      <c r="D555">
        <v>2</v>
      </c>
      <c r="E555">
        <v>2</v>
      </c>
      <c r="G555">
        <v>-1.3319202086823836</v>
      </c>
      <c r="H555">
        <v>-1.7457702192437088</v>
      </c>
      <c r="I555">
        <v>-1.7133451292888626</v>
      </c>
      <c r="K555">
        <v>-1.597011852404985</v>
      </c>
      <c r="M555" t="s">
        <v>142</v>
      </c>
      <c r="O555" s="1" t="str" cm="1">
        <f t="array" ref="O555">_xlfn.LET( _xlpm.s, UPPER(M555),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EQQIKRLKQICDH</v>
      </c>
    </row>
    <row r="556" spans="1:15" ht="24">
      <c r="A556">
        <v>231</v>
      </c>
      <c r="B556">
        <v>261</v>
      </c>
      <c r="C556">
        <v>6</v>
      </c>
      <c r="D556">
        <v>4</v>
      </c>
      <c r="E556">
        <v>7</v>
      </c>
      <c r="G556">
        <v>-1.5724694569649835</v>
      </c>
      <c r="H556">
        <v>-1.7644707179099521</v>
      </c>
      <c r="I556">
        <v>-1.4890075792688116</v>
      </c>
      <c r="K556">
        <v>-1.6086492513812491</v>
      </c>
      <c r="M556" t="s">
        <v>238</v>
      </c>
      <c r="O556" s="1" t="str" cm="1">
        <f t="array" ref="O556">_xlfn.LET( _xlpm.s, UPPER(M556),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EQQIQRLKLICEH</v>
      </c>
    </row>
    <row r="557" spans="1:15" ht="24">
      <c r="A557">
        <v>781</v>
      </c>
      <c r="B557">
        <v>96</v>
      </c>
      <c r="C557">
        <v>2</v>
      </c>
      <c r="D557">
        <v>2</v>
      </c>
      <c r="E557">
        <v>2</v>
      </c>
      <c r="G557">
        <v>-1.6152214373859333</v>
      </c>
      <c r="H557">
        <v>-1.6311314392752208</v>
      </c>
      <c r="I557">
        <v>-1.5987063493203746</v>
      </c>
      <c r="K557">
        <v>-1.6150197419938428</v>
      </c>
      <c r="M557" t="s">
        <v>788</v>
      </c>
      <c r="O557" s="1" t="str" cm="1">
        <f t="array" ref="O557">_xlfn.LET( _xlpm.s, UPPER(M557),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EKLVKRIVAICEK</v>
      </c>
    </row>
    <row r="558" spans="1:15" ht="24">
      <c r="A558">
        <v>72</v>
      </c>
      <c r="B558">
        <v>238</v>
      </c>
      <c r="C558">
        <v>4</v>
      </c>
      <c r="D558">
        <v>5</v>
      </c>
      <c r="E558">
        <v>6</v>
      </c>
      <c r="G558">
        <v>-1.7084971657388957</v>
      </c>
      <c r="H558">
        <v>-1.6274971546201267</v>
      </c>
      <c r="I558">
        <v>-1.5158908186176556</v>
      </c>
      <c r="K558">
        <v>-1.6172950463255595</v>
      </c>
      <c r="M558" t="s">
        <v>79</v>
      </c>
      <c r="O558" s="1" t="str" cm="1">
        <f t="array" ref="O558">_xlfn.LET( _xlpm.s, UPPER(M558),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KQQIDRLKLICDH</v>
      </c>
    </row>
    <row r="559" spans="1:15" ht="24">
      <c r="A559">
        <v>344</v>
      </c>
      <c r="B559">
        <v>143</v>
      </c>
      <c r="C559">
        <v>1</v>
      </c>
      <c r="D559">
        <v>8</v>
      </c>
      <c r="E559">
        <v>3</v>
      </c>
      <c r="G559">
        <v>-2.089316237475408</v>
      </c>
      <c r="H559">
        <v>-1.2021362523727519</v>
      </c>
      <c r="I559">
        <v>-1.5956798946901867</v>
      </c>
      <c r="K559">
        <v>-1.6290441281794488</v>
      </c>
      <c r="M559" t="s">
        <v>351</v>
      </c>
      <c r="O559" s="1" t="str" cm="1">
        <f t="array" ref="O559">_xlfn.LET( _xlpm.s, UPPER(M559),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EKQIERLKAICDH</v>
      </c>
    </row>
    <row r="560" spans="1:15" ht="24">
      <c r="A560">
        <v>298</v>
      </c>
      <c r="B560">
        <v>302</v>
      </c>
      <c r="C560">
        <v>8</v>
      </c>
      <c r="D560">
        <v>7</v>
      </c>
      <c r="E560">
        <v>4</v>
      </c>
      <c r="G560">
        <v>-1.5108971559755531</v>
      </c>
      <c r="H560">
        <v>-1.5847991048425274</v>
      </c>
      <c r="I560">
        <v>-1.7954120635739756</v>
      </c>
      <c r="K560">
        <v>-1.6303694414640184</v>
      </c>
      <c r="M560" t="s">
        <v>305</v>
      </c>
      <c r="O560" s="1" t="str" cm="1">
        <f t="array" ref="O560">_xlfn.LET( _xlpm.s, UPPER(M560),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ERQIARLKAICDH</v>
      </c>
    </row>
    <row r="561" spans="1:15" ht="24">
      <c r="A561">
        <v>341</v>
      </c>
      <c r="B561">
        <v>150</v>
      </c>
      <c r="C561">
        <v>3</v>
      </c>
      <c r="D561">
        <v>3</v>
      </c>
      <c r="E561">
        <v>3</v>
      </c>
      <c r="G561">
        <v>-1.6329502043463648</v>
      </c>
      <c r="H561">
        <v>-1.6488602062356523</v>
      </c>
      <c r="I561">
        <v>-1.6164351162808062</v>
      </c>
      <c r="K561">
        <v>-1.6327485089542746</v>
      </c>
      <c r="M561" t="s">
        <v>348</v>
      </c>
      <c r="O561" s="1" t="str" cm="1">
        <f t="array" ref="O561">_xlfn.LET( _xlpm.s, UPPER(M561),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EKQIARLKAICDH</v>
      </c>
    </row>
    <row r="562" spans="1:15" ht="24">
      <c r="A562">
        <v>350</v>
      </c>
      <c r="B562">
        <v>100</v>
      </c>
      <c r="C562">
        <v>1</v>
      </c>
      <c r="D562">
        <v>2</v>
      </c>
      <c r="E562">
        <v>4</v>
      </c>
      <c r="G562">
        <v>-1.9339802000103461</v>
      </c>
      <c r="H562">
        <v>-1.6488602062356523</v>
      </c>
      <c r="I562">
        <v>-1.3154051206168249</v>
      </c>
      <c r="K562">
        <v>-1.6327485089542746</v>
      </c>
      <c r="M562" t="s">
        <v>357</v>
      </c>
      <c r="O562" s="1" t="str" cm="1">
        <f t="array" ref="O562">_xlfn.LET( _xlpm.s, UPPER(M562),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EQQIKRLKLICEK</v>
      </c>
    </row>
    <row r="563" spans="1:15" ht="24">
      <c r="A563">
        <v>154</v>
      </c>
      <c r="B563">
        <v>284</v>
      </c>
      <c r="C563">
        <v>4</v>
      </c>
      <c r="D563">
        <v>4</v>
      </c>
      <c r="E563">
        <v>11</v>
      </c>
      <c r="G563">
        <v>-1.7852385487294213</v>
      </c>
      <c r="H563">
        <v>-1.8011485506187088</v>
      </c>
      <c r="I563">
        <v>-1.3293907668336</v>
      </c>
      <c r="K563">
        <v>-1.6385926220605767</v>
      </c>
      <c r="M563" t="s">
        <v>161</v>
      </c>
      <c r="O563" s="1" t="str" cm="1">
        <f t="array" ref="O563">_xlfn.LET( _xlpm.s, UPPER(M563),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EQQIRRLKLICEH</v>
      </c>
    </row>
    <row r="564" spans="1:15" ht="24">
      <c r="A564">
        <v>546</v>
      </c>
      <c r="B564">
        <v>51</v>
      </c>
      <c r="C564">
        <v>1</v>
      </c>
      <c r="D564">
        <v>1</v>
      </c>
      <c r="E564">
        <v>1</v>
      </c>
      <c r="G564">
        <v>-1.6415503761082824</v>
      </c>
      <c r="H564">
        <v>-1.6574603779975698</v>
      </c>
      <c r="I564">
        <v>-1.6250352880427237</v>
      </c>
      <c r="K564">
        <v>-1.6413486807161919</v>
      </c>
      <c r="M564" t="s">
        <v>553</v>
      </c>
      <c r="O564" s="1" t="str" cm="1">
        <f t="array" ref="O564">_xlfn.LET( _xlpm.s, UPPER(M564),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EARIKRIKEILEK</v>
      </c>
    </row>
    <row r="565" spans="1:15" ht="24">
      <c r="A565">
        <v>199</v>
      </c>
      <c r="B565">
        <v>320</v>
      </c>
      <c r="C565">
        <v>7</v>
      </c>
      <c r="D565">
        <v>5</v>
      </c>
      <c r="E565">
        <v>7</v>
      </c>
      <c r="G565">
        <v>-1.5940321383159952</v>
      </c>
      <c r="H565">
        <v>-1.7560701758835207</v>
      </c>
      <c r="I565">
        <v>-1.5775170502504365</v>
      </c>
      <c r="K565">
        <v>-1.6425397881499844</v>
      </c>
      <c r="M565" t="s">
        <v>206</v>
      </c>
      <c r="O565" s="1" t="str" cm="1">
        <f t="array" ref="O565">_xlfn.LET( _xlpm.s, UPPER(M565),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EQQIKRLKLICEH</v>
      </c>
    </row>
    <row r="566" spans="1:15" ht="24">
      <c r="A566">
        <v>166</v>
      </c>
      <c r="B566">
        <v>233</v>
      </c>
      <c r="C566">
        <v>9</v>
      </c>
      <c r="D566">
        <v>5</v>
      </c>
      <c r="E566">
        <v>2</v>
      </c>
      <c r="G566">
        <v>-1.3470936115970402</v>
      </c>
      <c r="H566">
        <v>-1.6182761185896337</v>
      </c>
      <c r="I566">
        <v>-1.983791037306825</v>
      </c>
      <c r="K566">
        <v>-1.6497202558311663</v>
      </c>
      <c r="M566" t="s">
        <v>173</v>
      </c>
      <c r="O566" s="1" t="str" cm="1">
        <f t="array" ref="O566">_xlfn.LET( _xlpm.s, UPPER(M566),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EQQIARLKQICDH</v>
      </c>
    </row>
    <row r="567" spans="1:15" ht="24">
      <c r="A567">
        <v>109</v>
      </c>
      <c r="B567">
        <v>83</v>
      </c>
      <c r="C567">
        <v>1</v>
      </c>
      <c r="D567">
        <v>2</v>
      </c>
      <c r="E567">
        <v>2</v>
      </c>
      <c r="G567">
        <v>-1.8530582923864201</v>
      </c>
      <c r="H567">
        <v>-1.5679382986117263</v>
      </c>
      <c r="I567">
        <v>-1.5355132086568801</v>
      </c>
      <c r="K567">
        <v>-1.6521699332183422</v>
      </c>
      <c r="M567" t="s">
        <v>116</v>
      </c>
      <c r="O567" s="1" t="str" cm="1">
        <f t="array" ref="O567">_xlfn.LET( _xlpm.s, UPPER(M567),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AQQIKRLTEICKH</v>
      </c>
    </row>
    <row r="568" spans="1:15" ht="24">
      <c r="A568">
        <v>338</v>
      </c>
      <c r="B568">
        <v>121</v>
      </c>
      <c r="C568">
        <v>2</v>
      </c>
      <c r="D568">
        <v>2</v>
      </c>
      <c r="E568">
        <v>3</v>
      </c>
      <c r="G568">
        <v>-1.7157355746628149</v>
      </c>
      <c r="H568">
        <v>-1.7316455765521024</v>
      </c>
      <c r="I568">
        <v>-1.5231292275415751</v>
      </c>
      <c r="K568">
        <v>-1.6568367929188306</v>
      </c>
      <c r="M568" t="s">
        <v>345</v>
      </c>
      <c r="O568" s="1" t="str" cm="1">
        <f t="array" ref="O568">_xlfn.LET( _xlpm.s, UPPER(M568),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KRQIERLKEICKH</v>
      </c>
    </row>
    <row r="569" spans="1:15" ht="24">
      <c r="A569">
        <v>156</v>
      </c>
      <c r="B569">
        <v>140</v>
      </c>
      <c r="C569">
        <v>2</v>
      </c>
      <c r="D569">
        <v>3</v>
      </c>
      <c r="E569">
        <v>3</v>
      </c>
      <c r="G569">
        <v>-1.779078240024603</v>
      </c>
      <c r="H569">
        <v>-1.6188969828582092</v>
      </c>
      <c r="I569">
        <v>-1.586471892903363</v>
      </c>
      <c r="K569">
        <v>-1.6614823719287253</v>
      </c>
      <c r="M569" t="s">
        <v>163</v>
      </c>
      <c r="O569" s="1" t="str" cm="1">
        <f t="array" ref="O569">_xlfn.LET( _xlpm.s, UPPER(M569),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EEQIKRLKLICDH</v>
      </c>
    </row>
    <row r="570" spans="1:15" ht="24">
      <c r="A570">
        <v>155</v>
      </c>
      <c r="B570">
        <v>165</v>
      </c>
      <c r="C570">
        <v>1</v>
      </c>
      <c r="D570">
        <v>3</v>
      </c>
      <c r="E570">
        <v>9</v>
      </c>
      <c r="G570">
        <v>-2.1514641442242524</v>
      </c>
      <c r="H570">
        <v>-1.6902528913938775</v>
      </c>
      <c r="I570">
        <v>-1.1807065467193689</v>
      </c>
      <c r="K570">
        <v>-1.6741411941124997</v>
      </c>
      <c r="M570" t="s">
        <v>162</v>
      </c>
      <c r="O570" s="1" t="str" cm="1">
        <f t="array" ref="O570">_xlfn.LET( _xlpm.s, UPPER(M570),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KRQIERLTAICKH</v>
      </c>
    </row>
    <row r="571" spans="1:15" ht="24">
      <c r="A571">
        <v>167</v>
      </c>
      <c r="B571">
        <v>150</v>
      </c>
      <c r="C571">
        <v>4</v>
      </c>
      <c r="D571">
        <v>1</v>
      </c>
      <c r="E571">
        <v>5</v>
      </c>
      <c r="G571">
        <v>-1.5080114677380649</v>
      </c>
      <c r="H571">
        <v>-2.1259814609553147</v>
      </c>
      <c r="I571">
        <v>-1.3945863666644498</v>
      </c>
      <c r="K571">
        <v>-1.6761930984526099</v>
      </c>
      <c r="M571" t="s">
        <v>174</v>
      </c>
      <c r="O571" s="1" t="str" cm="1">
        <f t="array" ref="O571">_xlfn.LET( _xlpm.s, UPPER(M571),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AQQIERLKQICDH</v>
      </c>
    </row>
    <row r="572" spans="1:15" ht="24">
      <c r="A572">
        <v>225</v>
      </c>
      <c r="B572">
        <v>168</v>
      </c>
      <c r="C572">
        <v>2</v>
      </c>
      <c r="D572">
        <v>7</v>
      </c>
      <c r="E572">
        <v>2</v>
      </c>
      <c r="G572">
        <v>-1.8582594860722277</v>
      </c>
      <c r="H572">
        <v>-1.3301014436112397</v>
      </c>
      <c r="I572">
        <v>-1.841744398006669</v>
      </c>
      <c r="K572">
        <v>-1.676701775896712</v>
      </c>
      <c r="M572" t="s">
        <v>232</v>
      </c>
      <c r="O572" s="1" t="str" cm="1">
        <f t="array" ref="O572">_xlfn.LET( _xlpm.s, UPPER(M572),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KAQIERLKQICDH</v>
      </c>
    </row>
    <row r="573" spans="1:15" ht="24">
      <c r="A573">
        <v>403</v>
      </c>
      <c r="B573">
        <v>111</v>
      </c>
      <c r="C573">
        <v>1</v>
      </c>
      <c r="D573">
        <v>2</v>
      </c>
      <c r="E573">
        <v>4</v>
      </c>
      <c r="G573">
        <v>-1.9793031787970037</v>
      </c>
      <c r="H573">
        <v>-1.6941831850223099</v>
      </c>
      <c r="I573">
        <v>-1.3607280994034825</v>
      </c>
      <c r="K573">
        <v>-1.6780714877409322</v>
      </c>
      <c r="M573" t="s">
        <v>410</v>
      </c>
      <c r="O573" s="1" t="str" cm="1">
        <f t="array" ref="O573">_xlfn.LET( _xlpm.s, UPPER(M573),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EALIERLKAILEK</v>
      </c>
    </row>
    <row r="574" spans="1:15" ht="24">
      <c r="A574">
        <v>304</v>
      </c>
      <c r="B574">
        <v>112</v>
      </c>
      <c r="C574">
        <v>2</v>
      </c>
      <c r="D574">
        <v>1</v>
      </c>
      <c r="E574">
        <v>4</v>
      </c>
      <c r="G574">
        <v>-1.6821682270165466</v>
      </c>
      <c r="H574">
        <v>-1.9991082245698151</v>
      </c>
      <c r="I574">
        <v>-1.3646231432870066</v>
      </c>
      <c r="K574">
        <v>-1.6819665316244563</v>
      </c>
      <c r="M574" t="s">
        <v>311</v>
      </c>
      <c r="O574" s="1" t="str" cm="1">
        <f t="array" ref="O574">_xlfn.LET( _xlpm.s, UPPER(M574),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KKQIERLVAICKH</v>
      </c>
    </row>
    <row r="575" spans="1:15" ht="24">
      <c r="A575">
        <v>607</v>
      </c>
      <c r="B575">
        <v>56</v>
      </c>
      <c r="C575">
        <v>1</v>
      </c>
      <c r="D575">
        <v>1</v>
      </c>
      <c r="E575">
        <v>1</v>
      </c>
      <c r="G575">
        <v>-1.6821682270165466</v>
      </c>
      <c r="H575">
        <v>-1.698078228905834</v>
      </c>
      <c r="I575">
        <v>-1.6656531389509879</v>
      </c>
      <c r="K575">
        <v>-1.6819665316244563</v>
      </c>
      <c r="M575" t="s">
        <v>614</v>
      </c>
      <c r="O575" s="1" t="str" cm="1">
        <f t="array" ref="O575">_xlfn.LET( _xlpm.s, UPPER(M575),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KKRIERIKEILAI</v>
      </c>
    </row>
    <row r="576" spans="1:15" ht="24">
      <c r="A576">
        <v>346</v>
      </c>
      <c r="B576">
        <v>96</v>
      </c>
      <c r="C576">
        <v>1</v>
      </c>
      <c r="D576">
        <v>5</v>
      </c>
      <c r="E576">
        <v>1</v>
      </c>
      <c r="G576">
        <v>-1.9162514330499145</v>
      </c>
      <c r="H576">
        <v>-1.2331914306031833</v>
      </c>
      <c r="I576">
        <v>-1.8997363449843558</v>
      </c>
      <c r="K576">
        <v>-1.6830597362124846</v>
      </c>
      <c r="M576" t="s">
        <v>353</v>
      </c>
      <c r="O576" s="1" t="str" cm="1">
        <f t="array" ref="O576">_xlfn.LET( _xlpm.s, UPPER(M576),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KKQIERLKMICDI</v>
      </c>
    </row>
    <row r="577" spans="1:15" ht="24">
      <c r="A577">
        <v>86</v>
      </c>
      <c r="B577">
        <v>225</v>
      </c>
      <c r="C577">
        <v>4</v>
      </c>
      <c r="D577">
        <v>5</v>
      </c>
      <c r="E577">
        <v>3</v>
      </c>
      <c r="G577">
        <v>-1.6841027267937463</v>
      </c>
      <c r="H577">
        <v>-1.6031027156749773</v>
      </c>
      <c r="I577">
        <v>-1.7925263753364875</v>
      </c>
      <c r="K577">
        <v>-1.6932439392684036</v>
      </c>
      <c r="M577" t="s">
        <v>93</v>
      </c>
      <c r="O577" s="1" t="str" cm="1">
        <f t="array" ref="O577">_xlfn.LET( _xlpm.s, UPPER(M577),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AQQIARLKAICEH</v>
      </c>
    </row>
    <row r="578" spans="1:15" ht="24">
      <c r="A578">
        <v>401</v>
      </c>
      <c r="B578">
        <v>73</v>
      </c>
      <c r="C578">
        <v>1</v>
      </c>
      <c r="D578">
        <v>2</v>
      </c>
      <c r="E578">
        <v>1</v>
      </c>
      <c r="G578">
        <v>-1.797303060130802</v>
      </c>
      <c r="H578">
        <v>-1.5121830663561082</v>
      </c>
      <c r="I578">
        <v>-1.7807879720652433</v>
      </c>
      <c r="K578">
        <v>-1.6967580328507179</v>
      </c>
      <c r="M578" t="s">
        <v>408</v>
      </c>
      <c r="O578" s="1" t="str" cm="1">
        <f t="array" ref="O578">_xlfn.LET( _xlpm.s, UPPER(M578),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EKLIERIKAILAK</v>
      </c>
    </row>
    <row r="579" spans="1:15" ht="24">
      <c r="A579">
        <v>73</v>
      </c>
      <c r="B579">
        <v>222</v>
      </c>
      <c r="C579">
        <v>2</v>
      </c>
      <c r="D579">
        <v>7</v>
      </c>
      <c r="E579">
        <v>4</v>
      </c>
      <c r="G579">
        <v>-1.9793031787970037</v>
      </c>
      <c r="H579">
        <v>-1.4511451363360155</v>
      </c>
      <c r="I579">
        <v>-1.6617580950674637</v>
      </c>
      <c r="K579">
        <v>-1.6974021367334944</v>
      </c>
      <c r="M579" t="s">
        <v>80</v>
      </c>
      <c r="O579" s="1" t="str" cm="1">
        <f t="array" ref="O579">_xlfn.LET( _xlpm.s, UPPER(M579),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EEQIKRLKLICEH</v>
      </c>
    </row>
    <row r="580" spans="1:15" ht="24">
      <c r="A580">
        <v>274</v>
      </c>
      <c r="B580">
        <v>93</v>
      </c>
      <c r="C580">
        <v>2</v>
      </c>
      <c r="D580">
        <v>1</v>
      </c>
      <c r="E580">
        <v>2</v>
      </c>
      <c r="G580">
        <v>-1.6014331529003001</v>
      </c>
      <c r="H580">
        <v>-1.9183731504535686</v>
      </c>
      <c r="I580">
        <v>-1.5849180648347414</v>
      </c>
      <c r="K580">
        <v>-1.7015747893962034</v>
      </c>
      <c r="M580" t="s">
        <v>281</v>
      </c>
      <c r="O580" s="1" t="str" cm="1">
        <f t="array" ref="O580">_xlfn.LET( _xlpm.s, UPPER(M580),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KAQIERLKEICKH</v>
      </c>
    </row>
    <row r="581" spans="1:15" ht="24">
      <c r="A581">
        <v>96</v>
      </c>
      <c r="B581">
        <v>59</v>
      </c>
      <c r="C581">
        <v>1</v>
      </c>
      <c r="D581">
        <v>1</v>
      </c>
      <c r="E581">
        <v>1</v>
      </c>
      <c r="G581">
        <v>-1.7048322116524903</v>
      </c>
      <c r="H581">
        <v>-1.7207422135417778</v>
      </c>
      <c r="I581">
        <v>-1.6883171235869316</v>
      </c>
      <c r="K581">
        <v>-1.7046305162603999</v>
      </c>
      <c r="M581" t="s">
        <v>103</v>
      </c>
      <c r="O581" s="1" t="str" cm="1">
        <f t="array" ref="O581">_xlfn.LET( _xlpm.s, UPPER(M581),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KQQEERLKKICEH</v>
      </c>
    </row>
    <row r="582" spans="1:15" ht="24">
      <c r="A582">
        <v>827</v>
      </c>
      <c r="B582">
        <v>146</v>
      </c>
      <c r="C582">
        <v>1</v>
      </c>
      <c r="D582">
        <v>5</v>
      </c>
      <c r="E582">
        <v>3</v>
      </c>
      <c r="G582">
        <v>-2.0983330557947832</v>
      </c>
      <c r="H582">
        <v>-1.415273053348052</v>
      </c>
      <c r="I582">
        <v>-1.6046967130095622</v>
      </c>
      <c r="K582">
        <v>-1.7061009407174659</v>
      </c>
      <c r="M582" t="s">
        <v>834</v>
      </c>
      <c r="O582" s="1" t="str" cm="1">
        <f t="array" ref="O582">_xlfn.LET( _xlpm.s, UPPER(M582),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ERLINRIVAICKH</v>
      </c>
    </row>
    <row r="583" spans="1:15" ht="24">
      <c r="A583">
        <v>651</v>
      </c>
      <c r="B583">
        <v>119</v>
      </c>
      <c r="C583">
        <v>1</v>
      </c>
      <c r="D583">
        <v>2</v>
      </c>
      <c r="E583">
        <v>4</v>
      </c>
      <c r="G583">
        <v>-2.0095271614028767</v>
      </c>
      <c r="H583">
        <v>-1.7244071676281831</v>
      </c>
      <c r="I583">
        <v>-1.3909520820093557</v>
      </c>
      <c r="K583">
        <v>-1.7082954703468054</v>
      </c>
      <c r="M583" t="s">
        <v>658</v>
      </c>
      <c r="O583" s="1" t="str" cm="1">
        <f t="array" ref="O583">_xlfn.LET( _xlpm.s, UPPER(M583),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KERIERLKQILEI</v>
      </c>
    </row>
    <row r="584" spans="1:15" ht="24">
      <c r="A584">
        <v>11</v>
      </c>
      <c r="B584">
        <v>76</v>
      </c>
      <c r="C584">
        <v>1</v>
      </c>
      <c r="D584">
        <v>1</v>
      </c>
      <c r="E584">
        <v>2</v>
      </c>
      <c r="G584">
        <v>-1.8147937922911375</v>
      </c>
      <c r="H584">
        <v>-1.8307037941804249</v>
      </c>
      <c r="I584">
        <v>-1.4972487085615975</v>
      </c>
      <c r="K584">
        <v>-1.7142487650110534</v>
      </c>
      <c r="M584" t="s">
        <v>18</v>
      </c>
      <c r="O584" s="1" t="str" cm="1">
        <f t="array" ref="O584">_xlfn.LET( _xlpm.s, UPPER(M584),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AEQIKRLVLICEH</v>
      </c>
    </row>
    <row r="585" spans="1:15" ht="24">
      <c r="A585">
        <v>612</v>
      </c>
      <c r="B585">
        <v>151</v>
      </c>
      <c r="C585">
        <v>7</v>
      </c>
      <c r="D585">
        <v>2</v>
      </c>
      <c r="E585">
        <v>1</v>
      </c>
      <c r="G585">
        <v>-1.2678591072892587</v>
      </c>
      <c r="H585">
        <v>-1.8278371535288218</v>
      </c>
      <c r="I585">
        <v>-2.0964420592379565</v>
      </c>
      <c r="K585">
        <v>-1.7307127733520122</v>
      </c>
      <c r="M585" t="s">
        <v>619</v>
      </c>
      <c r="O585" s="1" t="str" cm="1">
        <f t="array" ref="O585">_xlfn.LET( _xlpm.s, UPPER(M585),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KARIERIKEILKL</v>
      </c>
    </row>
    <row r="586" spans="1:15" ht="24">
      <c r="A586">
        <v>643</v>
      </c>
      <c r="B586">
        <v>63</v>
      </c>
      <c r="C586">
        <v>1</v>
      </c>
      <c r="D586">
        <v>1</v>
      </c>
      <c r="E586">
        <v>1</v>
      </c>
      <c r="G586">
        <v>-1.7333207494639278</v>
      </c>
      <c r="H586">
        <v>-1.7492307513532153</v>
      </c>
      <c r="I586">
        <v>-1.7168056613983691</v>
      </c>
      <c r="K586">
        <v>-1.7331190540718373</v>
      </c>
      <c r="M586" t="s">
        <v>650</v>
      </c>
      <c r="O586" s="1" t="str" cm="1">
        <f t="array" ref="O586">_xlfn.LET( _xlpm.s, UPPER(M586),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KERIERLKEILKI</v>
      </c>
    </row>
    <row r="587" spans="1:15" ht="24">
      <c r="A587">
        <v>678</v>
      </c>
      <c r="B587">
        <v>138</v>
      </c>
      <c r="C587">
        <v>1</v>
      </c>
      <c r="D587">
        <v>2</v>
      </c>
      <c r="E587">
        <v>5</v>
      </c>
      <c r="G587">
        <v>-2.0738592864115826</v>
      </c>
      <c r="H587">
        <v>-1.7887392926368888</v>
      </c>
      <c r="I587">
        <v>-1.3583741940100051</v>
      </c>
      <c r="K587">
        <v>-1.7403242576861588</v>
      </c>
      <c r="M587" t="s">
        <v>685</v>
      </c>
      <c r="O587" s="1" t="str" cm="1">
        <f t="array" ref="O587">_xlfn.LET( _xlpm.s, UPPER(M587),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EARIRRIEEILQL</v>
      </c>
    </row>
    <row r="588" spans="1:15" ht="24">
      <c r="A588">
        <v>179</v>
      </c>
      <c r="B588">
        <v>256</v>
      </c>
      <c r="C588">
        <v>7</v>
      </c>
      <c r="D588">
        <v>9</v>
      </c>
      <c r="E588">
        <v>1</v>
      </c>
      <c r="G588">
        <v>-1.4971221253079388</v>
      </c>
      <c r="H588">
        <v>-1.4038876577721582</v>
      </c>
      <c r="I588">
        <v>-2.3257050772566368</v>
      </c>
      <c r="K588">
        <v>-1.7422382867789112</v>
      </c>
      <c r="M588" t="s">
        <v>186</v>
      </c>
      <c r="O588" s="1" t="str" cm="1">
        <f t="array" ref="O588">_xlfn.LET( _xlpm.s, UPPER(M588),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KQQIDRLKAICEH</v>
      </c>
    </row>
    <row r="589" spans="1:15" ht="24">
      <c r="A589">
        <v>193</v>
      </c>
      <c r="B589">
        <v>149</v>
      </c>
      <c r="C589">
        <v>4</v>
      </c>
      <c r="D589">
        <v>1</v>
      </c>
      <c r="E589">
        <v>3</v>
      </c>
      <c r="G589">
        <v>-1.5051064770946578</v>
      </c>
      <c r="H589">
        <v>-2.1230764703119074</v>
      </c>
      <c r="I589">
        <v>-1.6135301256373991</v>
      </c>
      <c r="K589">
        <v>-1.7472376910146548</v>
      </c>
      <c r="M589" t="s">
        <v>200</v>
      </c>
      <c r="O589" s="1" t="str" cm="1">
        <f t="array" ref="O589">_xlfn.LET( _xlpm.s, UPPER(M589),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EKQIQRLKLICEH</v>
      </c>
    </row>
    <row r="590" spans="1:15" ht="24">
      <c r="A590">
        <v>566</v>
      </c>
      <c r="B590">
        <v>141</v>
      </c>
      <c r="C590">
        <v>5</v>
      </c>
      <c r="D590">
        <v>2</v>
      </c>
      <c r="E590">
        <v>1</v>
      </c>
      <c r="G590">
        <v>-1.3842293083297073</v>
      </c>
      <c r="H590">
        <v>-1.7980793188910322</v>
      </c>
      <c r="I590">
        <v>-2.0666842246001673</v>
      </c>
      <c r="K590">
        <v>-1.7496642839403023</v>
      </c>
      <c r="M590" t="s">
        <v>573</v>
      </c>
      <c r="O590" s="1" t="str" cm="1">
        <f t="array" ref="O590">_xlfn.LET( _xlpm.s, UPPER(M590),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KARIARLKQILEI</v>
      </c>
    </row>
    <row r="591" spans="1:15" ht="24">
      <c r="A591">
        <v>119</v>
      </c>
      <c r="B591">
        <v>66</v>
      </c>
      <c r="C591">
        <v>1</v>
      </c>
      <c r="D591">
        <v>1</v>
      </c>
      <c r="E591">
        <v>1</v>
      </c>
      <c r="G591">
        <v>-1.7535241355522146</v>
      </c>
      <c r="H591">
        <v>-1.7694341374415021</v>
      </c>
      <c r="I591">
        <v>-1.737009047486656</v>
      </c>
      <c r="K591">
        <v>-1.7533224401601242</v>
      </c>
      <c r="M591" t="s">
        <v>126</v>
      </c>
      <c r="O591" s="1" t="str" cm="1">
        <f t="array" ref="O591">_xlfn.LET( _xlpm.s, UPPER(M591),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EEQIQRLKKICEH</v>
      </c>
    </row>
    <row r="592" spans="1:15" ht="24">
      <c r="A592">
        <v>551</v>
      </c>
      <c r="B592">
        <v>120</v>
      </c>
      <c r="C592">
        <v>3</v>
      </c>
      <c r="D592">
        <v>2</v>
      </c>
      <c r="E592">
        <v>1</v>
      </c>
      <c r="G592">
        <v>-1.5360401913383084</v>
      </c>
      <c r="H592">
        <v>-1.7280414522832772</v>
      </c>
      <c r="I592">
        <v>-1.9966463579924121</v>
      </c>
      <c r="K592">
        <v>-1.753576000537999</v>
      </c>
      <c r="M592" t="s">
        <v>558</v>
      </c>
      <c r="O592" s="1" t="str" cm="1">
        <f t="array" ref="O592">_xlfn.LET( _xlpm.s, UPPER(M592),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EARIARLKEILKL</v>
      </c>
    </row>
    <row r="593" spans="1:15" ht="24">
      <c r="A593">
        <v>71</v>
      </c>
      <c r="B593">
        <v>154</v>
      </c>
      <c r="C593">
        <v>3</v>
      </c>
      <c r="D593">
        <v>1</v>
      </c>
      <c r="E593">
        <v>4</v>
      </c>
      <c r="G593">
        <v>-1.6443796661271468</v>
      </c>
      <c r="H593">
        <v>-2.1374109227360965</v>
      </c>
      <c r="I593">
        <v>-1.502925841453288</v>
      </c>
      <c r="K593">
        <v>-1.7615721434388438</v>
      </c>
      <c r="M593" t="s">
        <v>78</v>
      </c>
      <c r="O593" s="1" t="str" cm="1">
        <f t="array" ref="O593">_xlfn.LET( _xlpm.s, UPPER(M593),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AEQIRRLKLICEH</v>
      </c>
    </row>
    <row r="594" spans="1:15" ht="24">
      <c r="A594">
        <v>552</v>
      </c>
      <c r="B594">
        <v>144</v>
      </c>
      <c r="C594">
        <v>1</v>
      </c>
      <c r="D594">
        <v>2</v>
      </c>
      <c r="E594">
        <v>4</v>
      </c>
      <c r="G594">
        <v>-2.0923426921055959</v>
      </c>
      <c r="H594">
        <v>-1.8072226983309021</v>
      </c>
      <c r="I594">
        <v>-1.4737676127120747</v>
      </c>
      <c r="K594">
        <v>-1.7911110010495241</v>
      </c>
      <c r="M594" t="s">
        <v>559</v>
      </c>
      <c r="O594" s="1" t="str" cm="1">
        <f t="array" ref="O594">_xlfn.LET( _xlpm.s, UPPER(M594),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KARIERIKEILRI</v>
      </c>
    </row>
    <row r="595" spans="1:15" ht="24">
      <c r="A595">
        <v>2</v>
      </c>
      <c r="B595">
        <v>30</v>
      </c>
      <c r="C595">
        <v>0</v>
      </c>
      <c r="D595">
        <v>0</v>
      </c>
      <c r="E595">
        <v>0</v>
      </c>
      <c r="G595">
        <v>-1.8</v>
      </c>
      <c r="H595">
        <v>-1.8</v>
      </c>
      <c r="I595">
        <v>-1.8</v>
      </c>
      <c r="K595">
        <v>-1.8</v>
      </c>
      <c r="M595" t="s">
        <v>9</v>
      </c>
      <c r="O595" s="1" t="str" cm="1">
        <f t="array" ref="O595">_xlfn.LET( _xlpm.s, UPPER(M595),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KEQIEYLKKICDH</v>
      </c>
    </row>
    <row r="596" spans="1:15" ht="24">
      <c r="A596">
        <v>6</v>
      </c>
      <c r="B596">
        <v>16</v>
      </c>
      <c r="C596">
        <v>0</v>
      </c>
      <c r="D596">
        <v>0</v>
      </c>
      <c r="E596">
        <v>0</v>
      </c>
      <c r="G596">
        <v>-1.8</v>
      </c>
      <c r="H596">
        <v>-1.8</v>
      </c>
      <c r="I596">
        <v>-1.8</v>
      </c>
      <c r="K596">
        <v>-1.8</v>
      </c>
      <c r="M596" t="s">
        <v>13</v>
      </c>
      <c r="O596" s="1" t="str" cm="1">
        <f t="array" ref="O596">_xlfn.LET( _xlpm.s, UPPER(M596),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KKQIEKLKKICEH</v>
      </c>
    </row>
    <row r="597" spans="1:15" ht="24">
      <c r="A597">
        <v>20</v>
      </c>
      <c r="B597">
        <v>45</v>
      </c>
      <c r="C597">
        <v>0</v>
      </c>
      <c r="D597">
        <v>0</v>
      </c>
      <c r="E597">
        <v>3</v>
      </c>
      <c r="G597">
        <v>-1.8</v>
      </c>
      <c r="H597">
        <v>-1.8</v>
      </c>
      <c r="I597">
        <v>-1.0935563710004688</v>
      </c>
      <c r="K597">
        <v>-1.8</v>
      </c>
      <c r="M597" t="s">
        <v>27</v>
      </c>
      <c r="O597" s="1" t="str" cm="1">
        <f t="array" ref="O597">_xlfn.LET( _xlpm.s, UPPER(M597),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EQQKKRLIQICEH</v>
      </c>
    </row>
    <row r="598" spans="1:15" ht="24">
      <c r="A598">
        <v>21</v>
      </c>
      <c r="B598">
        <v>92</v>
      </c>
      <c r="C598">
        <v>0</v>
      </c>
      <c r="D598">
        <v>3</v>
      </c>
      <c r="E598">
        <v>1</v>
      </c>
      <c r="G598">
        <v>-1.8</v>
      </c>
      <c r="H598">
        <v>-1.4365567745255263</v>
      </c>
      <c r="I598">
        <v>-1.8812529392903428</v>
      </c>
      <c r="K598">
        <v>-1.8</v>
      </c>
      <c r="M598" t="s">
        <v>28</v>
      </c>
      <c r="O598" s="1" t="str" cm="1">
        <f t="array" ref="O598">_xlfn.LET( _xlpm.s, UPPER(M598),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AQQIERLKLICKE</v>
      </c>
    </row>
    <row r="599" spans="1:15" ht="24">
      <c r="A599">
        <v>28</v>
      </c>
      <c r="B599">
        <v>70</v>
      </c>
      <c r="C599">
        <v>0</v>
      </c>
      <c r="D599">
        <v>2</v>
      </c>
      <c r="E599">
        <v>2</v>
      </c>
      <c r="G599">
        <v>-1.8</v>
      </c>
      <c r="H599">
        <v>-1.4939582462499092</v>
      </c>
      <c r="I599">
        <v>-1.4615331562950631</v>
      </c>
      <c r="K599">
        <v>-1.8</v>
      </c>
      <c r="M599" t="s">
        <v>35</v>
      </c>
      <c r="O599" s="1" t="str" cm="1">
        <f t="array" ref="O599">_xlfn.LET( _xlpm.s, UPPER(M599),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KLQKERLVEICKH</v>
      </c>
    </row>
    <row r="600" spans="1:15" ht="24">
      <c r="A600">
        <v>30</v>
      </c>
      <c r="B600">
        <v>50</v>
      </c>
      <c r="C600">
        <v>0</v>
      </c>
      <c r="D600">
        <v>2</v>
      </c>
      <c r="E600">
        <v>2</v>
      </c>
      <c r="G600">
        <v>-1.8</v>
      </c>
      <c r="H600">
        <v>-1.3478302105716711</v>
      </c>
      <c r="I600">
        <v>-1.3154051206168249</v>
      </c>
      <c r="K600">
        <v>-1.8</v>
      </c>
      <c r="M600" t="s">
        <v>37</v>
      </c>
      <c r="O600" s="1" t="str" cm="1">
        <f t="array" ref="O600">_xlfn.LET( _xlpm.s, UPPER(M600),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EEQIKRLVEICEH</v>
      </c>
    </row>
    <row r="601" spans="1:15" ht="24">
      <c r="A601">
        <v>31</v>
      </c>
      <c r="B601">
        <v>93</v>
      </c>
      <c r="C601">
        <v>6</v>
      </c>
      <c r="D601">
        <v>2</v>
      </c>
      <c r="E601">
        <v>0</v>
      </c>
      <c r="G601">
        <v>-1.1243118981806375</v>
      </c>
      <c r="H601">
        <v>-1.6173431547895876</v>
      </c>
      <c r="I601">
        <v>-1.8</v>
      </c>
      <c r="K601">
        <v>-1.8</v>
      </c>
      <c r="M601" t="s">
        <v>38</v>
      </c>
      <c r="O601" s="1" t="str" cm="1">
        <f t="array" ref="O601">_xlfn.LET( _xlpm.s, UPPER(M601),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AEQIERLKAICEH</v>
      </c>
    </row>
    <row r="602" spans="1:15" ht="24">
      <c r="A602">
        <v>33</v>
      </c>
      <c r="B602">
        <v>155</v>
      </c>
      <c r="C602">
        <v>1</v>
      </c>
      <c r="D602">
        <v>0</v>
      </c>
      <c r="E602">
        <v>4</v>
      </c>
      <c r="G602">
        <v>-2.1243118981806375</v>
      </c>
      <c r="H602">
        <v>-1.8</v>
      </c>
      <c r="I602">
        <v>-1.5057368187871165</v>
      </c>
      <c r="K602">
        <v>-1.8</v>
      </c>
      <c r="M602" t="s">
        <v>40</v>
      </c>
      <c r="O602" s="1" t="str" cm="1">
        <f t="array" ref="O602">_xlfn.LET( _xlpm.s, UPPER(M602),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KLQIERLKQICEH</v>
      </c>
    </row>
    <row r="603" spans="1:15" ht="24">
      <c r="A603">
        <v>34</v>
      </c>
      <c r="B603">
        <v>69</v>
      </c>
      <c r="C603">
        <v>24</v>
      </c>
      <c r="D603">
        <v>1</v>
      </c>
      <c r="E603">
        <v>0</v>
      </c>
      <c r="G603">
        <v>-0.39261804903599529</v>
      </c>
      <c r="H603">
        <v>-1.7887392926368888</v>
      </c>
      <c r="I603">
        <v>-1.8</v>
      </c>
      <c r="K603">
        <v>-1.8</v>
      </c>
      <c r="M603" t="s">
        <v>41</v>
      </c>
      <c r="O603" s="1" t="str" cm="1">
        <f t="array" ref="O603">_xlfn.LET( _xlpm.s, UPPER(M603),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KKQIERLKKICEH</v>
      </c>
    </row>
    <row r="604" spans="1:15" ht="24">
      <c r="A604">
        <v>39</v>
      </c>
      <c r="B604">
        <v>85</v>
      </c>
      <c r="C604">
        <v>0</v>
      </c>
      <c r="D604">
        <v>0</v>
      </c>
      <c r="E604">
        <v>1</v>
      </c>
      <c r="G604">
        <v>-1.8</v>
      </c>
      <c r="H604">
        <v>-1.8</v>
      </c>
      <c r="I604">
        <v>-1.84688403765908</v>
      </c>
      <c r="K604">
        <v>-1.8</v>
      </c>
      <c r="M604" t="s">
        <v>46</v>
      </c>
      <c r="O604" s="1" t="str" cm="1">
        <f t="array" ref="O604">_xlfn.LET( _xlpm.s, UPPER(M604),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KEQIEYLKQICEH</v>
      </c>
    </row>
    <row r="605" spans="1:15" ht="24">
      <c r="A605">
        <v>43</v>
      </c>
      <c r="B605">
        <v>13</v>
      </c>
      <c r="C605">
        <v>0</v>
      </c>
      <c r="D605">
        <v>2</v>
      </c>
      <c r="E605">
        <v>0</v>
      </c>
      <c r="G605">
        <v>-1.8</v>
      </c>
      <c r="H605">
        <v>-0.76280355854248905</v>
      </c>
      <c r="I605">
        <v>-1.8</v>
      </c>
      <c r="K605">
        <v>-1.8</v>
      </c>
      <c r="M605" t="s">
        <v>50</v>
      </c>
      <c r="O605" s="1" t="str" cm="1">
        <f t="array" ref="O605">_xlfn.LET( _xlpm.s, UPPER(M605),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KEQIKYLKEICKH</v>
      </c>
    </row>
    <row r="606" spans="1:15" ht="24">
      <c r="A606">
        <v>49</v>
      </c>
      <c r="B606">
        <v>31</v>
      </c>
      <c r="C606">
        <v>1</v>
      </c>
      <c r="D606">
        <v>0</v>
      </c>
      <c r="E606">
        <v>0</v>
      </c>
      <c r="G606">
        <v>-1.4253418938446187</v>
      </c>
      <c r="H606">
        <v>-1.8</v>
      </c>
      <c r="I606">
        <v>-1.8</v>
      </c>
      <c r="K606">
        <v>-1.8</v>
      </c>
      <c r="M606" t="s">
        <v>56</v>
      </c>
      <c r="O606" s="1" t="str" cm="1">
        <f t="array" ref="O606">_xlfn.LET( _xlpm.s, UPPER(M606),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EKQKERLVQICKH</v>
      </c>
    </row>
    <row r="607" spans="1:15" ht="24">
      <c r="A607">
        <v>54</v>
      </c>
      <c r="B607">
        <v>108</v>
      </c>
      <c r="C607">
        <v>0</v>
      </c>
      <c r="D607">
        <v>4</v>
      </c>
      <c r="E607">
        <v>0</v>
      </c>
      <c r="G607">
        <v>-1.8</v>
      </c>
      <c r="H607">
        <v>-1.3812539660586209</v>
      </c>
      <c r="I607">
        <v>-1.8</v>
      </c>
      <c r="K607">
        <v>-1.8</v>
      </c>
      <c r="M607" t="s">
        <v>61</v>
      </c>
      <c r="O607" s="1" t="str" cm="1">
        <f t="array" ref="O607">_xlfn.LET( _xlpm.s, UPPER(M607),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EEQIKRLTLICDH</v>
      </c>
    </row>
    <row r="608" spans="1:15" ht="24">
      <c r="A608">
        <v>66</v>
      </c>
      <c r="B608">
        <v>89</v>
      </c>
      <c r="C608">
        <v>0</v>
      </c>
      <c r="D608">
        <v>1</v>
      </c>
      <c r="E608">
        <v>2</v>
      </c>
      <c r="G608">
        <v>-1.8</v>
      </c>
      <c r="H608">
        <v>-1.8992802085445464</v>
      </c>
      <c r="I608">
        <v>-1.565825122925719</v>
      </c>
      <c r="K608">
        <v>-1.8</v>
      </c>
      <c r="M608" t="s">
        <v>73</v>
      </c>
      <c r="O608" s="1" t="str" cm="1">
        <f t="array" ref="O608">_xlfn.LET( _xlpm.s, UPPER(M608),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EQQIKRLVEICKH</v>
      </c>
    </row>
    <row r="609" spans="1:15" ht="24">
      <c r="A609">
        <v>68</v>
      </c>
      <c r="B609">
        <v>23</v>
      </c>
      <c r="C609">
        <v>1</v>
      </c>
      <c r="D609">
        <v>1</v>
      </c>
      <c r="E609">
        <v>0</v>
      </c>
      <c r="G609">
        <v>-1.2957080360279389</v>
      </c>
      <c r="H609">
        <v>-1.3116180379172264</v>
      </c>
      <c r="I609">
        <v>-1.8</v>
      </c>
      <c r="K609">
        <v>-1.8</v>
      </c>
      <c r="M609" t="s">
        <v>75</v>
      </c>
      <c r="O609" s="1" t="str" cm="1">
        <f t="array" ref="O609">_xlfn.LET( _xlpm.s, UPPER(M609),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ELQKKRLVEICKH</v>
      </c>
    </row>
    <row r="610" spans="1:15" ht="24">
      <c r="A610">
        <v>76</v>
      </c>
      <c r="B610">
        <v>60</v>
      </c>
      <c r="C610">
        <v>1</v>
      </c>
      <c r="D610">
        <v>0</v>
      </c>
      <c r="E610">
        <v>0</v>
      </c>
      <c r="G610">
        <v>-1.7121314503939897</v>
      </c>
      <c r="H610">
        <v>-1.8</v>
      </c>
      <c r="I610">
        <v>-1.8</v>
      </c>
      <c r="K610">
        <v>-1.8</v>
      </c>
      <c r="M610" t="s">
        <v>83</v>
      </c>
      <c r="O610" s="1" t="str" cm="1">
        <f t="array" ref="O610">_xlfn.LET( _xlpm.s, UPPER(M610),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KLQEKRLVEICKH</v>
      </c>
    </row>
    <row r="611" spans="1:15" ht="24">
      <c r="A611">
        <v>84</v>
      </c>
      <c r="B611">
        <v>110</v>
      </c>
      <c r="C611">
        <v>0</v>
      </c>
      <c r="D611">
        <v>5</v>
      </c>
      <c r="E611">
        <v>1</v>
      </c>
      <c r="G611">
        <v>-1.8</v>
      </c>
      <c r="H611">
        <v>-1.2923128827218398</v>
      </c>
      <c r="I611">
        <v>-1.9588577971030123</v>
      </c>
      <c r="K611">
        <v>-1.8</v>
      </c>
      <c r="M611" t="s">
        <v>91</v>
      </c>
      <c r="O611" s="1" t="str" cm="1">
        <f t="array" ref="O611">_xlfn.LET( _xlpm.s, UPPER(M611),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EAQIERLKKICEH</v>
      </c>
    </row>
    <row r="612" spans="1:15" ht="24">
      <c r="A612">
        <v>93</v>
      </c>
      <c r="B612">
        <v>43</v>
      </c>
      <c r="C612">
        <v>0</v>
      </c>
      <c r="D612">
        <v>0</v>
      </c>
      <c r="E612">
        <v>1</v>
      </c>
      <c r="G612">
        <v>-1.8</v>
      </c>
      <c r="H612">
        <v>-1.8</v>
      </c>
      <c r="I612">
        <v>-1.5509335675243741</v>
      </c>
      <c r="K612">
        <v>-1.8</v>
      </c>
      <c r="M612" t="s">
        <v>100</v>
      </c>
      <c r="O612" s="1" t="str" cm="1">
        <f t="array" ref="O612">_xlfn.LET( _xlpm.s, UPPER(M612),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EEQKAYLVKICDH</v>
      </c>
    </row>
    <row r="613" spans="1:15" ht="24">
      <c r="A613">
        <v>99</v>
      </c>
      <c r="B613">
        <v>122</v>
      </c>
      <c r="C613">
        <v>1</v>
      </c>
      <c r="D613">
        <v>8</v>
      </c>
      <c r="E613">
        <v>0</v>
      </c>
      <c r="G613">
        <v>-2.0203400306850945</v>
      </c>
      <c r="H613">
        <v>-1.1331600455824382</v>
      </c>
      <c r="I613">
        <v>-1.8</v>
      </c>
      <c r="K613">
        <v>-1.8</v>
      </c>
      <c r="M613" t="s">
        <v>106</v>
      </c>
      <c r="O613" s="1" t="str" cm="1">
        <f t="array" ref="O613">_xlfn.LET( _xlpm.s, UPPER(M613),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KRQIERLKQICKH</v>
      </c>
    </row>
    <row r="614" spans="1:15" ht="24">
      <c r="A614">
        <v>100</v>
      </c>
      <c r="B614">
        <v>44</v>
      </c>
      <c r="C614">
        <v>3</v>
      </c>
      <c r="D614">
        <v>0</v>
      </c>
      <c r="E614">
        <v>1</v>
      </c>
      <c r="G614">
        <v>-1.1003116217768711</v>
      </c>
      <c r="H614">
        <v>-1.8</v>
      </c>
      <c r="I614">
        <v>-1.5609177884309748</v>
      </c>
      <c r="K614">
        <v>-1.8</v>
      </c>
      <c r="M614" t="s">
        <v>107</v>
      </c>
      <c r="O614" s="1" t="str" cm="1">
        <f t="array" ref="O614">_xlfn.LET( _xlpm.s, UPPER(M614),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KKQIERLVKICEH</v>
      </c>
    </row>
    <row r="615" spans="1:15" ht="24">
      <c r="A615">
        <v>104</v>
      </c>
      <c r="B615">
        <v>17</v>
      </c>
      <c r="C615">
        <v>0</v>
      </c>
      <c r="D615">
        <v>1</v>
      </c>
      <c r="E615">
        <v>0</v>
      </c>
      <c r="G615">
        <v>-1.8</v>
      </c>
      <c r="H615">
        <v>-1.1803391232779075</v>
      </c>
      <c r="I615">
        <v>-1.8</v>
      </c>
      <c r="K615">
        <v>-1.8</v>
      </c>
      <c r="M615" t="s">
        <v>111</v>
      </c>
      <c r="O615" s="1" t="str" cm="1">
        <f t="array" ref="O615">_xlfn.LET( _xlpm.s, UPPER(M615),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KEKIKYLKLICDH</v>
      </c>
    </row>
    <row r="616" spans="1:15" ht="24">
      <c r="A616">
        <v>110</v>
      </c>
      <c r="B616">
        <v>142</v>
      </c>
      <c r="C616">
        <v>0</v>
      </c>
      <c r="D616">
        <v>2</v>
      </c>
      <c r="E616">
        <v>1</v>
      </c>
      <c r="G616">
        <v>-1.8</v>
      </c>
      <c r="H616">
        <v>-1.8011485506187088</v>
      </c>
      <c r="I616">
        <v>-2.0697534563278435</v>
      </c>
      <c r="K616">
        <v>-1.8</v>
      </c>
      <c r="M616" t="s">
        <v>117</v>
      </c>
      <c r="O616" s="1" t="str" cm="1">
        <f t="array" ref="O616">_xlfn.LET( _xlpm.s, UPPER(M616),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EAQIARLKEICAH</v>
      </c>
    </row>
    <row r="617" spans="1:15" ht="24">
      <c r="A617">
        <v>122</v>
      </c>
      <c r="B617">
        <v>44</v>
      </c>
      <c r="C617">
        <v>0</v>
      </c>
      <c r="D617">
        <v>2</v>
      </c>
      <c r="E617">
        <v>0</v>
      </c>
      <c r="G617">
        <v>-1.8</v>
      </c>
      <c r="H617">
        <v>-1.2923128827218398</v>
      </c>
      <c r="I617">
        <v>-1.8</v>
      </c>
      <c r="K617">
        <v>-1.8</v>
      </c>
      <c r="M617" t="s">
        <v>129</v>
      </c>
      <c r="O617" s="1" t="str" cm="1">
        <f t="array" ref="O617">_xlfn.LET( _xlpm.s, UPPER(M617),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EEQIKRLKEICKH</v>
      </c>
    </row>
    <row r="618" spans="1:15" ht="24">
      <c r="A618">
        <v>132</v>
      </c>
      <c r="B618">
        <v>53</v>
      </c>
      <c r="C618">
        <v>0</v>
      </c>
      <c r="D618">
        <v>0</v>
      </c>
      <c r="E618">
        <v>1</v>
      </c>
      <c r="G618">
        <v>-1.8</v>
      </c>
      <c r="H618">
        <v>-1.8</v>
      </c>
      <c r="I618">
        <v>-1.6417409815455766</v>
      </c>
      <c r="K618">
        <v>-1.8</v>
      </c>
      <c r="M618" t="s">
        <v>139</v>
      </c>
      <c r="O618" s="1" t="str" cm="1">
        <f t="array" ref="O618">_xlfn.LET( _xlpm.s, UPPER(M618),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KLQIERLREICKE</v>
      </c>
    </row>
    <row r="619" spans="1:15" ht="24">
      <c r="A619">
        <v>136</v>
      </c>
      <c r="B619">
        <v>97</v>
      </c>
      <c r="C619">
        <v>0</v>
      </c>
      <c r="D619">
        <v>2</v>
      </c>
      <c r="E619">
        <v>0</v>
      </c>
      <c r="G619">
        <v>-1.8</v>
      </c>
      <c r="H619">
        <v>-1.6356319405018973</v>
      </c>
      <c r="I619">
        <v>-1.8</v>
      </c>
      <c r="K619">
        <v>-1.8</v>
      </c>
      <c r="M619" t="s">
        <v>143</v>
      </c>
      <c r="O619" s="1" t="str" cm="1">
        <f t="array" ref="O619">_xlfn.LET( _xlpm.s, UPPER(M619),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EQQIKRLVAICEH</v>
      </c>
    </row>
    <row r="620" spans="1:15" ht="24">
      <c r="A620">
        <v>142</v>
      </c>
      <c r="B620">
        <v>167</v>
      </c>
      <c r="C620">
        <v>0</v>
      </c>
      <c r="D620">
        <v>2</v>
      </c>
      <c r="E620">
        <v>4</v>
      </c>
      <c r="G620">
        <v>-1.8</v>
      </c>
      <c r="H620">
        <v>-1.8715766773832356</v>
      </c>
      <c r="I620">
        <v>-1.5381215917644082</v>
      </c>
      <c r="K620">
        <v>-1.8</v>
      </c>
      <c r="M620" t="s">
        <v>149</v>
      </c>
      <c r="O620" s="1" t="str" cm="1">
        <f t="array" ref="O620">_xlfn.LET( _xlpm.s, UPPER(M620),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ERQIERLKLICKH</v>
      </c>
    </row>
    <row r="621" spans="1:15" ht="24">
      <c r="A621">
        <v>145</v>
      </c>
      <c r="B621">
        <v>86</v>
      </c>
      <c r="C621">
        <v>0</v>
      </c>
      <c r="D621">
        <v>4</v>
      </c>
      <c r="E621">
        <v>0</v>
      </c>
      <c r="G621">
        <v>-1.8</v>
      </c>
      <c r="H621">
        <v>-1.282328661815239</v>
      </c>
      <c r="I621">
        <v>-1.8</v>
      </c>
      <c r="K621">
        <v>-1.8</v>
      </c>
      <c r="M621" t="s">
        <v>152</v>
      </c>
      <c r="O621" s="1" t="str" cm="1">
        <f t="array" ref="O621">_xlfn.LET( _xlpm.s, UPPER(M621),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EEQIKRLVLICEH</v>
      </c>
    </row>
    <row r="622" spans="1:15" ht="24">
      <c r="A622">
        <v>146</v>
      </c>
      <c r="B622">
        <v>27</v>
      </c>
      <c r="C622">
        <v>0</v>
      </c>
      <c r="D622">
        <v>2</v>
      </c>
      <c r="E622">
        <v>2</v>
      </c>
      <c r="G622">
        <v>-1.8</v>
      </c>
      <c r="H622">
        <v>-1.0802239703946397</v>
      </c>
      <c r="I622">
        <v>-1.0477988804397935</v>
      </c>
      <c r="K622">
        <v>-1.8</v>
      </c>
      <c r="M622" t="s">
        <v>153</v>
      </c>
      <c r="O622" s="1" t="str" cm="1">
        <f t="array" ref="O622">_xlfn.LET( _xlpm.s, UPPER(M622),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KEQEKRLVQICKH</v>
      </c>
    </row>
    <row r="623" spans="1:15" ht="24">
      <c r="A623">
        <v>158</v>
      </c>
      <c r="B623">
        <v>38</v>
      </c>
      <c r="C623">
        <v>0</v>
      </c>
      <c r="D623">
        <v>1</v>
      </c>
      <c r="E623">
        <v>0</v>
      </c>
      <c r="G623">
        <v>-1.8</v>
      </c>
      <c r="H623">
        <v>-1.5296737985164437</v>
      </c>
      <c r="I623">
        <v>-1.8</v>
      </c>
      <c r="K623">
        <v>-1.8</v>
      </c>
      <c r="M623" t="s">
        <v>165</v>
      </c>
      <c r="O623" s="1" t="str" cm="1">
        <f t="array" ref="O623">_xlfn.LET( _xlpm.s, UPPER(M623),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EKQIEYLKKICEH</v>
      </c>
    </row>
    <row r="624" spans="1:15" ht="24">
      <c r="A624">
        <v>160</v>
      </c>
      <c r="B624">
        <v>58</v>
      </c>
      <c r="C624">
        <v>1</v>
      </c>
      <c r="D624">
        <v>0</v>
      </c>
      <c r="E624">
        <v>0</v>
      </c>
      <c r="G624">
        <v>-1.6974081935732834</v>
      </c>
      <c r="H624">
        <v>-1.8</v>
      </c>
      <c r="I624">
        <v>-1.8</v>
      </c>
      <c r="K624">
        <v>-1.8</v>
      </c>
      <c r="M624" t="s">
        <v>167</v>
      </c>
      <c r="O624" s="1" t="str" cm="1">
        <f t="array" ref="O624">_xlfn.LET( _xlpm.s, UPPER(M624),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KEQIAYLKKICEH</v>
      </c>
    </row>
    <row r="625" spans="1:15" ht="24">
      <c r="A625">
        <v>168</v>
      </c>
      <c r="B625">
        <v>69</v>
      </c>
      <c r="C625">
        <v>3</v>
      </c>
      <c r="D625">
        <v>0</v>
      </c>
      <c r="E625">
        <v>2</v>
      </c>
      <c r="G625">
        <v>-1.2957080360279389</v>
      </c>
      <c r="H625">
        <v>-1.8</v>
      </c>
      <c r="I625">
        <v>-1.4552842070180616</v>
      </c>
      <c r="K625">
        <v>-1.8</v>
      </c>
      <c r="M625" t="s">
        <v>175</v>
      </c>
      <c r="O625" s="1" t="str" cm="1">
        <f t="array" ref="O625">_xlfn.LET( _xlpm.s, UPPER(M625),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EKQIERLKKICEH</v>
      </c>
    </row>
    <row r="626" spans="1:15" ht="24">
      <c r="A626">
        <v>169</v>
      </c>
      <c r="B626">
        <v>100</v>
      </c>
      <c r="C626">
        <v>0</v>
      </c>
      <c r="D626">
        <v>1</v>
      </c>
      <c r="E626">
        <v>4</v>
      </c>
      <c r="G626">
        <v>-1.8</v>
      </c>
      <c r="H626">
        <v>-1.9498902018996336</v>
      </c>
      <c r="I626">
        <v>-1.3154051206168249</v>
      </c>
      <c r="K626">
        <v>-1.8</v>
      </c>
      <c r="M626" t="s">
        <v>176</v>
      </c>
      <c r="O626" s="1" t="str" cm="1">
        <f t="array" ref="O626">_xlfn.LET( _xlpm.s, UPPER(M626),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AEQIKRLKAICEH</v>
      </c>
    </row>
    <row r="627" spans="1:15" ht="24">
      <c r="A627">
        <v>170</v>
      </c>
      <c r="B627">
        <v>59</v>
      </c>
      <c r="C627">
        <v>0</v>
      </c>
      <c r="D627">
        <v>4</v>
      </c>
      <c r="E627">
        <v>0</v>
      </c>
      <c r="G627">
        <v>-1.8</v>
      </c>
      <c r="H627">
        <v>-1.1186822222138153</v>
      </c>
      <c r="I627">
        <v>-1.8</v>
      </c>
      <c r="K627">
        <v>-1.8</v>
      </c>
      <c r="M627" t="s">
        <v>177</v>
      </c>
      <c r="O627" s="1" t="str" cm="1">
        <f t="array" ref="O627">_xlfn.LET( _xlpm.s, UPPER(M627),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EEQKRRLVLICKH</v>
      </c>
    </row>
    <row r="628" spans="1:15" ht="24">
      <c r="A628">
        <v>176</v>
      </c>
      <c r="B628">
        <v>120</v>
      </c>
      <c r="C628">
        <v>2</v>
      </c>
      <c r="D628">
        <v>7</v>
      </c>
      <c r="E628">
        <v>0</v>
      </c>
      <c r="G628">
        <v>-1.7121314503939897</v>
      </c>
      <c r="H628">
        <v>-1.1839734079330015</v>
      </c>
      <c r="I628">
        <v>-1.8</v>
      </c>
      <c r="K628">
        <v>-1.8</v>
      </c>
      <c r="M628" t="s">
        <v>183</v>
      </c>
      <c r="O628" s="1" t="str" cm="1">
        <f t="array" ref="O628">_xlfn.LET( _xlpm.s, UPPER(M628),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KQQEERLVQICDH</v>
      </c>
    </row>
    <row r="629" spans="1:15" ht="24">
      <c r="A629">
        <v>178</v>
      </c>
      <c r="B629">
        <v>116</v>
      </c>
      <c r="C629">
        <v>0</v>
      </c>
      <c r="D629">
        <v>0</v>
      </c>
      <c r="E629">
        <v>2</v>
      </c>
      <c r="G629">
        <v>-1.8</v>
      </c>
      <c r="H629">
        <v>-1.8</v>
      </c>
      <c r="I629">
        <v>-1.6808931055077247</v>
      </c>
      <c r="K629">
        <v>-1.8</v>
      </c>
      <c r="M629" t="s">
        <v>185</v>
      </c>
      <c r="O629" s="1" t="str" cm="1">
        <f t="array" ref="O629">_xlfn.LET( _xlpm.s, UPPER(M629),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EQQINRLKQICEH</v>
      </c>
    </row>
    <row r="630" spans="1:15" ht="24">
      <c r="A630">
        <v>196</v>
      </c>
      <c r="B630">
        <v>109</v>
      </c>
      <c r="C630">
        <v>0</v>
      </c>
      <c r="D630">
        <v>2</v>
      </c>
      <c r="E630">
        <v>1</v>
      </c>
      <c r="G630">
        <v>-1.8</v>
      </c>
      <c r="H630">
        <v>-1.6862867041762759</v>
      </c>
      <c r="I630">
        <v>-1.9548916098854112</v>
      </c>
      <c r="K630">
        <v>-1.8</v>
      </c>
      <c r="M630" t="s">
        <v>203</v>
      </c>
      <c r="O630" s="1" t="str" cm="1">
        <f t="array" ref="O630">_xlfn.LET( _xlpm.s, UPPER(M630),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KLQIERLKKICEH</v>
      </c>
    </row>
    <row r="631" spans="1:15" ht="24">
      <c r="A631">
        <v>202</v>
      </c>
      <c r="B631">
        <v>97</v>
      </c>
      <c r="C631">
        <v>0</v>
      </c>
      <c r="D631">
        <v>4</v>
      </c>
      <c r="E631">
        <v>3</v>
      </c>
      <c r="G631">
        <v>-1.8</v>
      </c>
      <c r="H631">
        <v>-1.3346019448379161</v>
      </c>
      <c r="I631">
        <v>-1.4271155914913698</v>
      </c>
      <c r="K631">
        <v>-1.8</v>
      </c>
      <c r="M631" t="s">
        <v>209</v>
      </c>
      <c r="O631" s="1" t="str" cm="1">
        <f t="array" ref="O631">_xlfn.LET( _xlpm.s, UPPER(M631),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KKQIERLKLICEK</v>
      </c>
    </row>
    <row r="632" spans="1:15" ht="24">
      <c r="A632">
        <v>203</v>
      </c>
      <c r="B632">
        <v>105</v>
      </c>
      <c r="C632">
        <v>0</v>
      </c>
      <c r="D632">
        <v>2</v>
      </c>
      <c r="E632">
        <v>1</v>
      </c>
      <c r="G632">
        <v>-1.8</v>
      </c>
      <c r="H632">
        <v>-1.6700495053055904</v>
      </c>
      <c r="I632">
        <v>-1.9386544110147252</v>
      </c>
      <c r="K632">
        <v>-1.8</v>
      </c>
      <c r="M632" t="s">
        <v>210</v>
      </c>
      <c r="O632" s="1" t="str" cm="1">
        <f t="array" ref="O632">_xlfn.LET( _xlpm.s, UPPER(M632),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KEQIERLKQMCKH</v>
      </c>
    </row>
    <row r="633" spans="1:15" ht="24">
      <c r="A633">
        <v>204</v>
      </c>
      <c r="B633">
        <v>104</v>
      </c>
      <c r="C633">
        <v>5</v>
      </c>
      <c r="D633">
        <v>0</v>
      </c>
      <c r="E633">
        <v>1</v>
      </c>
      <c r="G633">
        <v>-1.2520435349731076</v>
      </c>
      <c r="H633">
        <v>-1.8</v>
      </c>
      <c r="I633">
        <v>-1.9344984512435677</v>
      </c>
      <c r="K633">
        <v>-1.8</v>
      </c>
      <c r="M633" t="s">
        <v>211</v>
      </c>
      <c r="O633" s="1" t="str" cm="1">
        <f t="array" ref="O633">_xlfn.LET( _xlpm.s, UPPER(M633),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EQQIERLKKICEH</v>
      </c>
    </row>
    <row r="634" spans="1:15" ht="24">
      <c r="A634">
        <v>209</v>
      </c>
      <c r="B634">
        <v>15</v>
      </c>
      <c r="C634">
        <v>2</v>
      </c>
      <c r="D634">
        <v>0</v>
      </c>
      <c r="E634">
        <v>1</v>
      </c>
      <c r="G634">
        <v>-0.80904146340204608</v>
      </c>
      <c r="H634">
        <v>-1.8</v>
      </c>
      <c r="I634">
        <v>-1.0935563710004688</v>
      </c>
      <c r="K634">
        <v>-1.8</v>
      </c>
      <c r="M634" t="s">
        <v>216</v>
      </c>
      <c r="O634" s="1" t="str" cm="1">
        <f t="array" ref="O634">_xlfn.LET( _xlpm.s, UPPER(M634),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EKQKERLVKICEH</v>
      </c>
    </row>
    <row r="635" spans="1:15" ht="24">
      <c r="A635">
        <v>218</v>
      </c>
      <c r="B635">
        <v>46</v>
      </c>
      <c r="C635">
        <v>0</v>
      </c>
      <c r="D635">
        <v>0</v>
      </c>
      <c r="E635">
        <v>0</v>
      </c>
      <c r="G635">
        <v>-1.8</v>
      </c>
      <c r="H635">
        <v>-1.8</v>
      </c>
      <c r="I635">
        <v>-1.8</v>
      </c>
      <c r="K635">
        <v>-1.8</v>
      </c>
      <c r="M635" t="s">
        <v>225</v>
      </c>
      <c r="O635" s="1" t="str" cm="1">
        <f t="array" ref="O635">_xlfn.LET( _xlpm.s, UPPER(M635),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KEQIEYLKKICEH</v>
      </c>
    </row>
    <row r="636" spans="1:15" ht="24">
      <c r="A636">
        <v>219</v>
      </c>
      <c r="B636">
        <v>39</v>
      </c>
      <c r="C636">
        <v>0</v>
      </c>
      <c r="D636">
        <v>0</v>
      </c>
      <c r="E636">
        <v>2</v>
      </c>
      <c r="G636">
        <v>-1.8</v>
      </c>
      <c r="H636">
        <v>-1.8</v>
      </c>
      <c r="I636">
        <v>-1.2074997233073055</v>
      </c>
      <c r="K636">
        <v>-1.8</v>
      </c>
      <c r="M636" t="s">
        <v>226</v>
      </c>
      <c r="O636" s="1" t="str" cm="1">
        <f t="array" ref="O636">_xlfn.LET( _xlpm.s, UPPER(M636),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EQQIKRLQQICKH</v>
      </c>
    </row>
    <row r="637" spans="1:15" ht="24">
      <c r="A637">
        <v>221</v>
      </c>
      <c r="B637">
        <v>18</v>
      </c>
      <c r="C637">
        <v>0</v>
      </c>
      <c r="D637">
        <v>1</v>
      </c>
      <c r="E637">
        <v>2</v>
      </c>
      <c r="G637">
        <v>-1.8</v>
      </c>
      <c r="H637">
        <v>-1.2051627070029396</v>
      </c>
      <c r="I637">
        <v>-0.87170762138411217</v>
      </c>
      <c r="K637">
        <v>-1.8</v>
      </c>
      <c r="M637" t="s">
        <v>228</v>
      </c>
      <c r="O637" s="1" t="str" cm="1">
        <f t="array" ref="O637">_xlfn.LET( _xlpm.s, UPPER(M637),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KEQIKRLVEICKK</v>
      </c>
    </row>
    <row r="638" spans="1:15" ht="24">
      <c r="A638">
        <v>222</v>
      </c>
      <c r="B638">
        <v>76</v>
      </c>
      <c r="C638">
        <v>0</v>
      </c>
      <c r="D638">
        <v>1</v>
      </c>
      <c r="E638">
        <v>0</v>
      </c>
      <c r="G638">
        <v>-1.8</v>
      </c>
      <c r="H638">
        <v>-1.8307037941804249</v>
      </c>
      <c r="I638">
        <v>-1.8</v>
      </c>
      <c r="K638">
        <v>-1.8</v>
      </c>
      <c r="M638" t="s">
        <v>229</v>
      </c>
      <c r="O638" s="1" t="str" cm="1">
        <f t="array" ref="O638">_xlfn.LET( _xlpm.s, UPPER(M638),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EEQIARLKKICEH</v>
      </c>
    </row>
    <row r="639" spans="1:15" ht="24">
      <c r="A639">
        <v>223</v>
      </c>
      <c r="B639">
        <v>271</v>
      </c>
      <c r="C639">
        <v>0</v>
      </c>
      <c r="D639">
        <v>2</v>
      </c>
      <c r="E639">
        <v>3</v>
      </c>
      <c r="G639">
        <v>-1.8</v>
      </c>
      <c r="H639">
        <v>-2.0818294971100579</v>
      </c>
      <c r="I639">
        <v>-1.8733131480995306</v>
      </c>
      <c r="K639">
        <v>-1.8</v>
      </c>
      <c r="M639" t="s">
        <v>230</v>
      </c>
      <c r="O639" s="1" t="str" cm="1">
        <f t="array" ref="O639">_xlfn.LET( _xlpm.s, UPPER(M639),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KQQIERLKLMCDH</v>
      </c>
    </row>
    <row r="640" spans="1:15" ht="24">
      <c r="A640">
        <v>229</v>
      </c>
      <c r="B640">
        <v>28</v>
      </c>
      <c r="C640">
        <v>0</v>
      </c>
      <c r="D640">
        <v>0</v>
      </c>
      <c r="E640">
        <v>1</v>
      </c>
      <c r="G640">
        <v>-1.8</v>
      </c>
      <c r="H640">
        <v>-1.8</v>
      </c>
      <c r="I640">
        <v>-1.3646231432870066</v>
      </c>
      <c r="K640">
        <v>-1.8</v>
      </c>
      <c r="M640" t="s">
        <v>236</v>
      </c>
      <c r="O640" s="1" t="str" cm="1">
        <f t="array" ref="O640">_xlfn.LET( _xlpm.s, UPPER(M640),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DQQIKYLKEICKH</v>
      </c>
    </row>
    <row r="641" spans="1:15" ht="24">
      <c r="A641">
        <v>233</v>
      </c>
      <c r="B641">
        <v>90</v>
      </c>
      <c r="C641">
        <v>0</v>
      </c>
      <c r="D641">
        <v>1</v>
      </c>
      <c r="E641">
        <v>2</v>
      </c>
      <c r="G641">
        <v>-1.8</v>
      </c>
      <c r="H641">
        <v>-1.9041327113389583</v>
      </c>
      <c r="I641">
        <v>-1.5706776257201311</v>
      </c>
      <c r="K641">
        <v>-1.8</v>
      </c>
      <c r="M641" t="s">
        <v>240</v>
      </c>
      <c r="O641" s="1" t="str" cm="1">
        <f t="array" ref="O641">_xlfn.LET( _xlpm.s, UPPER(M641),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KEQIAYLKQICDY</v>
      </c>
    </row>
    <row r="642" spans="1:15" ht="24">
      <c r="A642">
        <v>235</v>
      </c>
      <c r="B642">
        <v>29</v>
      </c>
      <c r="C642">
        <v>0</v>
      </c>
      <c r="D642">
        <v>1</v>
      </c>
      <c r="E642">
        <v>1</v>
      </c>
      <c r="G642">
        <v>-1.8</v>
      </c>
      <c r="H642">
        <v>-1.4122881997985897</v>
      </c>
      <c r="I642">
        <v>-1.3798631098437435</v>
      </c>
      <c r="K642">
        <v>-1.8</v>
      </c>
      <c r="M642" t="s">
        <v>242</v>
      </c>
      <c r="O642" s="1" t="str" cm="1">
        <f t="array" ref="O642">_xlfn.LET( _xlpm.s, UPPER(M642),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EAQKKRLVEICKH</v>
      </c>
    </row>
    <row r="643" spans="1:15" ht="24">
      <c r="A643">
        <v>236</v>
      </c>
      <c r="B643">
        <v>90</v>
      </c>
      <c r="C643">
        <v>1</v>
      </c>
      <c r="D643">
        <v>1</v>
      </c>
      <c r="E643">
        <v>0</v>
      </c>
      <c r="G643">
        <v>-1.8882227094496709</v>
      </c>
      <c r="H643">
        <v>-1.9041327113389583</v>
      </c>
      <c r="I643">
        <v>-1.8</v>
      </c>
      <c r="K643">
        <v>-1.8</v>
      </c>
      <c r="M643" t="s">
        <v>243</v>
      </c>
      <c r="O643" s="1" t="str" cm="1">
        <f t="array" ref="O643">_xlfn.LET( _xlpm.s, UPPER(M643),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EEQIKRLKAICEH</v>
      </c>
    </row>
    <row r="644" spans="1:15" ht="24">
      <c r="A644">
        <v>238</v>
      </c>
      <c r="B644">
        <v>32</v>
      </c>
      <c r="C644">
        <v>0</v>
      </c>
      <c r="D644">
        <v>0</v>
      </c>
      <c r="E644">
        <v>2</v>
      </c>
      <c r="G644">
        <v>-1.8</v>
      </c>
      <c r="H644">
        <v>-1.8</v>
      </c>
      <c r="I644">
        <v>-1.1215850946007122</v>
      </c>
      <c r="K644">
        <v>-1.8</v>
      </c>
      <c r="M644" t="s">
        <v>245</v>
      </c>
      <c r="O644" s="1" t="str" cm="1">
        <f t="array" ref="O644">_xlfn.LET( _xlpm.s, UPPER(M644),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ERQIEYLKKICEH</v>
      </c>
    </row>
    <row r="645" spans="1:15" ht="24">
      <c r="A645">
        <v>242</v>
      </c>
      <c r="B645">
        <v>51</v>
      </c>
      <c r="C645">
        <v>3</v>
      </c>
      <c r="D645">
        <v>0</v>
      </c>
      <c r="E645">
        <v>3</v>
      </c>
      <c r="G645">
        <v>-1.16442912138862</v>
      </c>
      <c r="H645">
        <v>-1.8</v>
      </c>
      <c r="I645">
        <v>-1.1479140333230613</v>
      </c>
      <c r="K645">
        <v>-1.8</v>
      </c>
      <c r="M645" t="s">
        <v>249</v>
      </c>
      <c r="O645" s="1" t="str" cm="1">
        <f t="array" ref="O645">_xlfn.LET( _xlpm.s, UPPER(M645),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QKQIERLKAICKE</v>
      </c>
    </row>
    <row r="646" spans="1:15" ht="24">
      <c r="A646">
        <v>243</v>
      </c>
      <c r="B646">
        <v>122</v>
      </c>
      <c r="C646">
        <v>0</v>
      </c>
      <c r="D646">
        <v>1</v>
      </c>
      <c r="E646">
        <v>4</v>
      </c>
      <c r="G646">
        <v>-1.8</v>
      </c>
      <c r="H646">
        <v>-2.0362500325743818</v>
      </c>
      <c r="I646">
        <v>-1.4017649512915733</v>
      </c>
      <c r="K646">
        <v>-1.8</v>
      </c>
      <c r="M646" t="s">
        <v>250</v>
      </c>
      <c r="O646" s="1" t="str" cm="1">
        <f t="array" ref="O646">_xlfn.LET( _xlpm.s, UPPER(M646),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EKQIARLKQICEH</v>
      </c>
    </row>
    <row r="647" spans="1:15" ht="24">
      <c r="A647">
        <v>244</v>
      </c>
      <c r="B647">
        <v>38</v>
      </c>
      <c r="C647">
        <v>0</v>
      </c>
      <c r="D647">
        <v>0</v>
      </c>
      <c r="E647">
        <v>2</v>
      </c>
      <c r="G647">
        <v>-1.8</v>
      </c>
      <c r="H647">
        <v>-1.8</v>
      </c>
      <c r="I647">
        <v>-1.1962187128976165</v>
      </c>
      <c r="K647">
        <v>-1.8</v>
      </c>
      <c r="M647" t="s">
        <v>251</v>
      </c>
      <c r="O647" s="1" t="str" cm="1">
        <f t="array" ref="O647">_xlfn.LET( _xlpm.s, UPPER(M647),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EQQKKRLVEICKH</v>
      </c>
    </row>
    <row r="648" spans="1:15" ht="24">
      <c r="A648">
        <v>250</v>
      </c>
      <c r="B648">
        <v>28</v>
      </c>
      <c r="C648">
        <v>0</v>
      </c>
      <c r="D648">
        <v>2</v>
      </c>
      <c r="E648">
        <v>2</v>
      </c>
      <c r="G648">
        <v>-1.8</v>
      </c>
      <c r="H648">
        <v>-1.0960182375778715</v>
      </c>
      <c r="I648">
        <v>-1.0635931476230254</v>
      </c>
      <c r="K648">
        <v>-1.8</v>
      </c>
      <c r="M648" t="s">
        <v>257</v>
      </c>
      <c r="O648" s="1" t="str" cm="1">
        <f t="array" ref="O648">_xlfn.LET( _xlpm.s, UPPER(M648),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EEQKKRLVEICKH</v>
      </c>
    </row>
    <row r="649" spans="1:15" ht="24">
      <c r="A649">
        <v>252</v>
      </c>
      <c r="B649">
        <v>111</v>
      </c>
      <c r="C649">
        <v>0</v>
      </c>
      <c r="D649">
        <v>1</v>
      </c>
      <c r="E649">
        <v>0</v>
      </c>
      <c r="G649">
        <v>-1.8</v>
      </c>
      <c r="H649">
        <v>-1.9952131806862912</v>
      </c>
      <c r="I649">
        <v>-1.8</v>
      </c>
      <c r="K649">
        <v>-1.8</v>
      </c>
      <c r="M649" t="s">
        <v>259</v>
      </c>
      <c r="O649" s="1" t="str" cm="1">
        <f t="array" ref="O649">_xlfn.LET( _xlpm.s, UPPER(M649),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KRQIDRLVKICEH</v>
      </c>
    </row>
    <row r="650" spans="1:15" ht="24">
      <c r="A650">
        <v>256</v>
      </c>
      <c r="B650">
        <v>54</v>
      </c>
      <c r="C650">
        <v>1</v>
      </c>
      <c r="D650">
        <v>0</v>
      </c>
      <c r="E650">
        <v>0</v>
      </c>
      <c r="G650">
        <v>-1.6663739598333147</v>
      </c>
      <c r="H650">
        <v>-1.8</v>
      </c>
      <c r="I650">
        <v>-1.8</v>
      </c>
      <c r="K650">
        <v>-1.8</v>
      </c>
      <c r="M650" t="s">
        <v>263</v>
      </c>
      <c r="O650" s="1" t="str" cm="1">
        <f t="array" ref="O650">_xlfn.LET( _xlpm.s, UPPER(M650),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EEQKKRLVAICEH</v>
      </c>
    </row>
    <row r="651" spans="1:15" ht="24">
      <c r="A651">
        <v>262</v>
      </c>
      <c r="B651">
        <v>78</v>
      </c>
      <c r="C651">
        <v>7</v>
      </c>
      <c r="D651">
        <v>2</v>
      </c>
      <c r="E651">
        <v>0</v>
      </c>
      <c r="G651">
        <v>-0.98097676268656964</v>
      </c>
      <c r="H651">
        <v>-1.5409548089261329</v>
      </c>
      <c r="I651">
        <v>-1.8</v>
      </c>
      <c r="K651">
        <v>-1.8</v>
      </c>
      <c r="M651" t="s">
        <v>269</v>
      </c>
      <c r="O651" s="1" t="str" cm="1">
        <f t="array" ref="O651">_xlfn.LET( _xlpm.s, UPPER(M651),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EQQIKRLVEICEH</v>
      </c>
    </row>
    <row r="652" spans="1:15" ht="24">
      <c r="A652">
        <v>264</v>
      </c>
      <c r="B652">
        <v>47</v>
      </c>
      <c r="C652">
        <v>4</v>
      </c>
      <c r="D652">
        <v>3</v>
      </c>
      <c r="E652">
        <v>0</v>
      </c>
      <c r="G652">
        <v>-1.0040180666181011</v>
      </c>
      <c r="H652">
        <v>-1.1448668051156887</v>
      </c>
      <c r="I652">
        <v>-1.8</v>
      </c>
      <c r="K652">
        <v>-1.8</v>
      </c>
      <c r="M652" t="s">
        <v>271</v>
      </c>
      <c r="O652" s="1" t="str" cm="1">
        <f t="array" ref="O652">_xlfn.LET( _xlpm.s, UPPER(M652),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KEQIKRLKLICKE</v>
      </c>
    </row>
    <row r="653" spans="1:15" ht="24">
      <c r="A653">
        <v>265</v>
      </c>
      <c r="B653">
        <v>118</v>
      </c>
      <c r="C653">
        <v>0</v>
      </c>
      <c r="D653">
        <v>1</v>
      </c>
      <c r="E653">
        <v>6</v>
      </c>
      <c r="G653">
        <v>-1.8</v>
      </c>
      <c r="H653">
        <v>-2.0217722092057588</v>
      </c>
      <c r="I653">
        <v>-1.211195868867269</v>
      </c>
      <c r="K653">
        <v>-1.8</v>
      </c>
      <c r="M653" t="s">
        <v>272</v>
      </c>
      <c r="O653" s="1" t="str" cm="1">
        <f t="array" ref="O653">_xlfn.LET( _xlpm.s, UPPER(M653),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EKQIERLKLICKH</v>
      </c>
    </row>
    <row r="654" spans="1:15" ht="24">
      <c r="A654">
        <v>267</v>
      </c>
      <c r="B654">
        <v>113</v>
      </c>
      <c r="C654">
        <v>2</v>
      </c>
      <c r="D654">
        <v>0</v>
      </c>
      <c r="E654">
        <v>0</v>
      </c>
      <c r="G654">
        <v>-1.6860286478297846</v>
      </c>
      <c r="H654">
        <v>-1.8</v>
      </c>
      <c r="I654">
        <v>-1.8</v>
      </c>
      <c r="K654">
        <v>-1.8</v>
      </c>
      <c r="M654" t="s">
        <v>274</v>
      </c>
      <c r="O654" s="1" t="str" cm="1">
        <f t="array" ref="O654">_xlfn.LET( _xlpm.s, UPPER(M654),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EQQIRYLKEICKH</v>
      </c>
    </row>
    <row r="655" spans="1:15" ht="24">
      <c r="A655">
        <v>275</v>
      </c>
      <c r="B655">
        <v>62</v>
      </c>
      <c r="C655">
        <v>0</v>
      </c>
      <c r="D655">
        <v>1</v>
      </c>
      <c r="E655">
        <v>0</v>
      </c>
      <c r="G655">
        <v>-1.8</v>
      </c>
      <c r="H655">
        <v>-1.7422818913978875</v>
      </c>
      <c r="I655">
        <v>-1.8</v>
      </c>
      <c r="K655">
        <v>-1.8</v>
      </c>
      <c r="M655" t="s">
        <v>282</v>
      </c>
      <c r="O655" s="1" t="str" cm="1">
        <f t="array" ref="O655">_xlfn.LET( _xlpm.s, UPPER(M655),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EEQIKRLKLICEK</v>
      </c>
    </row>
    <row r="656" spans="1:15" ht="24">
      <c r="A656">
        <v>277</v>
      </c>
      <c r="B656">
        <v>16</v>
      </c>
      <c r="C656">
        <v>0</v>
      </c>
      <c r="D656">
        <v>0</v>
      </c>
      <c r="E656">
        <v>0</v>
      </c>
      <c r="G656">
        <v>-1.8</v>
      </c>
      <c r="H656">
        <v>-1.8</v>
      </c>
      <c r="I656">
        <v>-1.8</v>
      </c>
      <c r="K656">
        <v>-1.8</v>
      </c>
      <c r="M656" t="s">
        <v>284</v>
      </c>
      <c r="O656" s="1" t="str" cm="1">
        <f t="array" ref="O656">_xlfn.LET( _xlpm.s, UPPER(M656),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EKQIEYLKKICEI</v>
      </c>
    </row>
    <row r="657" spans="1:15" ht="24">
      <c r="A657">
        <v>278</v>
      </c>
      <c r="B657">
        <v>18</v>
      </c>
      <c r="C657">
        <v>3</v>
      </c>
      <c r="D657">
        <v>1</v>
      </c>
      <c r="E657">
        <v>0</v>
      </c>
      <c r="G657">
        <v>-0.71213145039398962</v>
      </c>
      <c r="H657">
        <v>-1.2051627070029396</v>
      </c>
      <c r="I657">
        <v>-1.8</v>
      </c>
      <c r="K657">
        <v>-1.8</v>
      </c>
      <c r="M657" t="s">
        <v>285</v>
      </c>
      <c r="O657" s="1" t="str" cm="1">
        <f t="array" ref="O657">_xlfn.LET( _xlpm.s, UPPER(M657),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KLQEKRLVEICKK</v>
      </c>
    </row>
    <row r="658" spans="1:15" ht="24">
      <c r="A658">
        <v>283</v>
      </c>
      <c r="B658">
        <v>54</v>
      </c>
      <c r="C658">
        <v>0</v>
      </c>
      <c r="D658">
        <v>3</v>
      </c>
      <c r="E658">
        <v>3</v>
      </c>
      <c r="G658">
        <v>-1.8</v>
      </c>
      <c r="H658">
        <v>-1.2051627070029396</v>
      </c>
      <c r="I658">
        <v>-1.1727376170480934</v>
      </c>
      <c r="K658">
        <v>-1.8</v>
      </c>
      <c r="M658" t="s">
        <v>290</v>
      </c>
      <c r="O658" s="1" t="str" cm="1">
        <f t="array" ref="O658">_xlfn.LET( _xlpm.s, UPPER(M658),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REQEKRLIEICKH</v>
      </c>
    </row>
    <row r="659" spans="1:15" ht="24">
      <c r="A659">
        <v>284</v>
      </c>
      <c r="B659">
        <v>90</v>
      </c>
      <c r="C659">
        <v>0</v>
      </c>
      <c r="D659">
        <v>3</v>
      </c>
      <c r="E659">
        <v>5</v>
      </c>
      <c r="G659">
        <v>-1.8</v>
      </c>
      <c r="H659">
        <v>-1.427011456619296</v>
      </c>
      <c r="I659">
        <v>-1.1727376170480934</v>
      </c>
      <c r="K659">
        <v>-1.8</v>
      </c>
      <c r="M659" t="s">
        <v>291</v>
      </c>
      <c r="O659" s="1" t="str" cm="1">
        <f t="array" ref="O659">_xlfn.LET( _xlpm.s, UPPER(M659),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KQQEERLVQICKH</v>
      </c>
    </row>
    <row r="660" spans="1:15" ht="24">
      <c r="A660">
        <v>286</v>
      </c>
      <c r="B660">
        <v>28</v>
      </c>
      <c r="C660">
        <v>4</v>
      </c>
      <c r="D660">
        <v>0</v>
      </c>
      <c r="E660">
        <v>1</v>
      </c>
      <c r="G660">
        <v>-0.7790782400246028</v>
      </c>
      <c r="H660">
        <v>-1.8</v>
      </c>
      <c r="I660">
        <v>-1.3646231432870066</v>
      </c>
      <c r="K660">
        <v>-1.8</v>
      </c>
      <c r="M660" t="s">
        <v>293</v>
      </c>
      <c r="O660" s="1" t="str" cm="1">
        <f t="array" ref="O660">_xlfn.LET( _xlpm.s, UPPER(M660),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EQQIKRLKEICKI</v>
      </c>
    </row>
    <row r="661" spans="1:15" ht="24">
      <c r="A661">
        <v>291</v>
      </c>
      <c r="B661">
        <v>52</v>
      </c>
      <c r="C661">
        <v>0</v>
      </c>
      <c r="D661">
        <v>1</v>
      </c>
      <c r="E661">
        <v>0</v>
      </c>
      <c r="G661">
        <v>-1.8</v>
      </c>
      <c r="H661">
        <v>-1.6658935455344328</v>
      </c>
      <c r="I661">
        <v>-1.8</v>
      </c>
      <c r="K661">
        <v>-1.8</v>
      </c>
      <c r="M661" t="s">
        <v>298</v>
      </c>
      <c r="O661" s="1" t="str" cm="1">
        <f t="array" ref="O661">_xlfn.LET( _xlpm.s, UPPER(M661),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KLQIERLKKICEI</v>
      </c>
    </row>
    <row r="662" spans="1:15" ht="24">
      <c r="A662">
        <v>300</v>
      </c>
      <c r="B662">
        <v>48</v>
      </c>
      <c r="C662">
        <v>3</v>
      </c>
      <c r="D662">
        <v>0</v>
      </c>
      <c r="E662">
        <v>2</v>
      </c>
      <c r="G662">
        <v>-1.1381001826662709</v>
      </c>
      <c r="H662">
        <v>-1.8</v>
      </c>
      <c r="I662">
        <v>-1.2976763536563936</v>
      </c>
      <c r="K662">
        <v>-1.8</v>
      </c>
      <c r="M662" t="s">
        <v>307</v>
      </c>
      <c r="O662" s="1" t="str" cm="1">
        <f t="array" ref="O662">_xlfn.LET( _xlpm.s, UPPER(M662),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KKQEERLVEICKI</v>
      </c>
    </row>
    <row r="663" spans="1:15" ht="24">
      <c r="A663">
        <v>301</v>
      </c>
      <c r="B663">
        <v>40</v>
      </c>
      <c r="C663">
        <v>0</v>
      </c>
      <c r="D663">
        <v>2</v>
      </c>
      <c r="E663">
        <v>0</v>
      </c>
      <c r="G663">
        <v>-1.8</v>
      </c>
      <c r="H663">
        <v>-1.2509201975636148</v>
      </c>
      <c r="I663">
        <v>-1.8</v>
      </c>
      <c r="K663">
        <v>-1.8</v>
      </c>
      <c r="M663" t="s">
        <v>308</v>
      </c>
      <c r="O663" s="1" t="str" cm="1">
        <f t="array" ref="O663">_xlfn.LET( _xlpm.s, UPPER(M663),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ELQKERLVKICEI</v>
      </c>
    </row>
    <row r="664" spans="1:15" ht="24">
      <c r="A664">
        <v>305</v>
      </c>
      <c r="B664">
        <v>42</v>
      </c>
      <c r="C664">
        <v>0</v>
      </c>
      <c r="D664">
        <v>1</v>
      </c>
      <c r="E664">
        <v>1</v>
      </c>
      <c r="G664">
        <v>-1.8</v>
      </c>
      <c r="H664">
        <v>-1.5731394922975341</v>
      </c>
      <c r="I664">
        <v>-1.540714402342688</v>
      </c>
      <c r="K664">
        <v>-1.8</v>
      </c>
      <c r="M664" t="s">
        <v>312</v>
      </c>
      <c r="O664" s="1" t="str" cm="1">
        <f t="array" ref="O664">_xlfn.LET( _xlpm.s, UPPER(M664),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EEQIARLKKICEI</v>
      </c>
    </row>
    <row r="665" spans="1:15" ht="24">
      <c r="A665">
        <v>306</v>
      </c>
      <c r="B665">
        <v>185</v>
      </c>
      <c r="C665">
        <v>0</v>
      </c>
      <c r="D665">
        <v>3</v>
      </c>
      <c r="E665">
        <v>2</v>
      </c>
      <c r="G665">
        <v>-1.8</v>
      </c>
      <c r="H665">
        <v>-1.7399406755829849</v>
      </c>
      <c r="I665">
        <v>-1.8836068446838199</v>
      </c>
      <c r="K665">
        <v>-1.8</v>
      </c>
      <c r="M665" t="s">
        <v>313</v>
      </c>
      <c r="O665" s="1" t="str" cm="1">
        <f t="array" ref="O665">_xlfn.LET( _xlpm.s, UPPER(M665),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KQQIERLKLMCKH</v>
      </c>
    </row>
    <row r="666" spans="1:15" ht="24">
      <c r="A666">
        <v>311</v>
      </c>
      <c r="B666">
        <v>25</v>
      </c>
      <c r="C666">
        <v>1</v>
      </c>
      <c r="D666">
        <v>0</v>
      </c>
      <c r="E666">
        <v>0</v>
      </c>
      <c r="G666">
        <v>-1.3319202086823836</v>
      </c>
      <c r="H666">
        <v>-1.8</v>
      </c>
      <c r="I666">
        <v>-1.8</v>
      </c>
      <c r="K666">
        <v>-1.8</v>
      </c>
      <c r="M666" t="s">
        <v>318</v>
      </c>
      <c r="O666" s="1" t="str" cm="1">
        <f t="array" ref="O666">_xlfn.LET( _xlpm.s, UPPER(M666),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KKQEERLKKICEH</v>
      </c>
    </row>
    <row r="667" spans="1:15" ht="24">
      <c r="A667">
        <v>312</v>
      </c>
      <c r="B667">
        <v>24</v>
      </c>
      <c r="C667">
        <v>1</v>
      </c>
      <c r="D667">
        <v>1</v>
      </c>
      <c r="E667">
        <v>0</v>
      </c>
      <c r="G667">
        <v>-1.3141914417219522</v>
      </c>
      <c r="H667">
        <v>-1.3301014436112397</v>
      </c>
      <c r="I667">
        <v>-1.8</v>
      </c>
      <c r="K667">
        <v>-1.8</v>
      </c>
      <c r="M667" t="s">
        <v>319</v>
      </c>
      <c r="O667" s="1" t="str" cm="1">
        <f t="array" ref="O667">_xlfn.LET( _xlpm.s, UPPER(M667),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EQQIKYLKEICKH</v>
      </c>
    </row>
    <row r="668" spans="1:15" ht="24">
      <c r="A668">
        <v>314</v>
      </c>
      <c r="B668">
        <v>102</v>
      </c>
      <c r="C668">
        <v>0</v>
      </c>
      <c r="D668">
        <v>2</v>
      </c>
      <c r="E668">
        <v>2</v>
      </c>
      <c r="G668">
        <v>-1.8</v>
      </c>
      <c r="H668">
        <v>-1.6574603779975698</v>
      </c>
      <c r="I668">
        <v>-1.6250352880427237</v>
      </c>
      <c r="K668">
        <v>-1.8</v>
      </c>
      <c r="M668" t="s">
        <v>321</v>
      </c>
      <c r="O668" s="1" t="str" cm="1">
        <f t="array" ref="O668">_xlfn.LET( _xlpm.s, UPPER(M668),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KRQIERLVKICEH</v>
      </c>
    </row>
    <row r="669" spans="1:15" ht="24">
      <c r="A669">
        <v>315</v>
      </c>
      <c r="B669">
        <v>67</v>
      </c>
      <c r="C669">
        <v>0</v>
      </c>
      <c r="D669">
        <v>0</v>
      </c>
      <c r="E669">
        <v>0</v>
      </c>
      <c r="G669">
        <v>-1.8</v>
      </c>
      <c r="H669">
        <v>-1.8</v>
      </c>
      <c r="I669">
        <v>-1.8</v>
      </c>
      <c r="K669">
        <v>-1.8</v>
      </c>
      <c r="M669" t="s">
        <v>322</v>
      </c>
      <c r="O669" s="1" t="str" cm="1">
        <f t="array" ref="O669">_xlfn.LET( _xlpm.s, UPPER(M669),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EKQIERLVQICKH</v>
      </c>
    </row>
    <row r="670" spans="1:15" ht="24">
      <c r="A670">
        <v>316</v>
      </c>
      <c r="B670">
        <v>36</v>
      </c>
      <c r="C670">
        <v>0</v>
      </c>
      <c r="D670">
        <v>2</v>
      </c>
      <c r="E670">
        <v>1</v>
      </c>
      <c r="G670">
        <v>-1.8</v>
      </c>
      <c r="H670">
        <v>-1.2051627070029396</v>
      </c>
      <c r="I670">
        <v>-1.4737676127120747</v>
      </c>
      <c r="K670">
        <v>-1.8</v>
      </c>
      <c r="M670" t="s">
        <v>323</v>
      </c>
      <c r="O670" s="1" t="str" cm="1">
        <f t="array" ref="O670">_xlfn.LET( _xlpm.s, UPPER(M670),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KQQIERLKKICKH</v>
      </c>
    </row>
    <row r="671" spans="1:15" ht="24">
      <c r="A671">
        <v>317</v>
      </c>
      <c r="B671">
        <v>46</v>
      </c>
      <c r="C671">
        <v>0</v>
      </c>
      <c r="D671">
        <v>1</v>
      </c>
      <c r="E671">
        <v>1</v>
      </c>
      <c r="G671">
        <v>-1.8</v>
      </c>
      <c r="H671">
        <v>-1.6126480335812077</v>
      </c>
      <c r="I671">
        <v>-1.5802229436263615</v>
      </c>
      <c r="K671">
        <v>-1.8</v>
      </c>
      <c r="M671" t="s">
        <v>324</v>
      </c>
      <c r="O671" s="1" t="str" cm="1">
        <f t="array" ref="O671">_xlfn.LET( _xlpm.s, UPPER(M671),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EQQIKRLVQICEK</v>
      </c>
    </row>
    <row r="672" spans="1:15" ht="24">
      <c r="A672">
        <v>320</v>
      </c>
      <c r="B672">
        <v>105</v>
      </c>
      <c r="C672">
        <v>0</v>
      </c>
      <c r="D672">
        <v>4</v>
      </c>
      <c r="E672">
        <v>3</v>
      </c>
      <c r="G672">
        <v>-1.8</v>
      </c>
      <c r="H672">
        <v>-1.3690195096416091</v>
      </c>
      <c r="I672">
        <v>-1.4615331562950631</v>
      </c>
      <c r="K672">
        <v>-1.8</v>
      </c>
      <c r="M672" t="s">
        <v>327</v>
      </c>
      <c r="O672" s="1" t="str" cm="1">
        <f t="array" ref="O672">_xlfn.LET( _xlpm.s, UPPER(M672),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KRQIERLKQICEI</v>
      </c>
    </row>
    <row r="673" spans="1:15" ht="24">
      <c r="A673">
        <v>328</v>
      </c>
      <c r="B673">
        <v>19</v>
      </c>
      <c r="C673">
        <v>0</v>
      </c>
      <c r="D673">
        <v>1</v>
      </c>
      <c r="E673">
        <v>2</v>
      </c>
      <c r="G673">
        <v>-1.8</v>
      </c>
      <c r="H673">
        <v>-1.2286438028524627</v>
      </c>
      <c r="I673">
        <v>-0.89518871723363513</v>
      </c>
      <c r="K673">
        <v>-1.8</v>
      </c>
      <c r="M673" t="s">
        <v>335</v>
      </c>
      <c r="O673" s="1" t="str" cm="1">
        <f t="array" ref="O673">_xlfn.LET( _xlpm.s, UPPER(M673),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EQQKKRLKEICDY</v>
      </c>
    </row>
    <row r="674" spans="1:15" ht="24">
      <c r="A674">
        <v>331</v>
      </c>
      <c r="B674">
        <v>28</v>
      </c>
      <c r="C674">
        <v>0</v>
      </c>
      <c r="D674">
        <v>2</v>
      </c>
      <c r="E674">
        <v>1</v>
      </c>
      <c r="G674">
        <v>-1.8</v>
      </c>
      <c r="H674">
        <v>-1.0960182375778715</v>
      </c>
      <c r="I674">
        <v>-1.3646231432870066</v>
      </c>
      <c r="K674">
        <v>-1.8</v>
      </c>
      <c r="M674" t="s">
        <v>338</v>
      </c>
      <c r="O674" s="1" t="str" cm="1">
        <f t="array" ref="O674">_xlfn.LET( _xlpm.s, UPPER(M674),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KQQIERLKEICKK</v>
      </c>
    </row>
    <row r="675" spans="1:15" ht="24">
      <c r="A675">
        <v>335</v>
      </c>
      <c r="B675">
        <v>73</v>
      </c>
      <c r="C675">
        <v>1</v>
      </c>
      <c r="D675">
        <v>0</v>
      </c>
      <c r="E675">
        <v>1</v>
      </c>
      <c r="G675">
        <v>-1.797303060130802</v>
      </c>
      <c r="H675">
        <v>-1.8</v>
      </c>
      <c r="I675">
        <v>-1.7807879720652433</v>
      </c>
      <c r="K675">
        <v>-1.8</v>
      </c>
      <c r="M675" t="s">
        <v>342</v>
      </c>
      <c r="O675" s="1" t="str" cm="1">
        <f t="array" ref="O675">_xlfn.LET( _xlpm.s, UPPER(M675),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ERQKDRLVKICEH</v>
      </c>
    </row>
    <row r="676" spans="1:15" ht="24">
      <c r="A676">
        <v>336</v>
      </c>
      <c r="B676">
        <v>72</v>
      </c>
      <c r="C676">
        <v>0</v>
      </c>
      <c r="D676">
        <v>1</v>
      </c>
      <c r="E676">
        <v>1</v>
      </c>
      <c r="G676">
        <v>-1.8</v>
      </c>
      <c r="H676">
        <v>-1.8072226983309021</v>
      </c>
      <c r="I676">
        <v>-1.7747976083760559</v>
      </c>
      <c r="K676">
        <v>-1.8</v>
      </c>
      <c r="M676" t="s">
        <v>343</v>
      </c>
      <c r="O676" s="1" t="str" cm="1">
        <f t="array" ref="O676">_xlfn.LET( _xlpm.s, UPPER(M676),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EEQIRRLKEICKH</v>
      </c>
    </row>
    <row r="677" spans="1:15" ht="24">
      <c r="A677">
        <v>342</v>
      </c>
      <c r="B677">
        <v>26</v>
      </c>
      <c r="C677">
        <v>0</v>
      </c>
      <c r="D677">
        <v>0</v>
      </c>
      <c r="E677">
        <v>1</v>
      </c>
      <c r="G677">
        <v>-1.8</v>
      </c>
      <c r="H677">
        <v>-1.8</v>
      </c>
      <c r="I677">
        <v>-1.3324384599156054</v>
      </c>
      <c r="K677">
        <v>-1.8</v>
      </c>
      <c r="M677" t="s">
        <v>349</v>
      </c>
      <c r="O677" s="1" t="str" cm="1">
        <f t="array" ref="O677">_xlfn.LET( _xlpm.s, UPPER(M677),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EKQIERLKKICEI</v>
      </c>
    </row>
    <row r="678" spans="1:15" ht="24">
      <c r="A678">
        <v>343</v>
      </c>
      <c r="B678">
        <v>49</v>
      </c>
      <c r="C678">
        <v>0</v>
      </c>
      <c r="D678">
        <v>1</v>
      </c>
      <c r="E678">
        <v>1</v>
      </c>
      <c r="G678">
        <v>-1.8</v>
      </c>
      <c r="H678">
        <v>-1.6400862819281472</v>
      </c>
      <c r="I678">
        <v>-1.607661191973301</v>
      </c>
      <c r="K678">
        <v>-1.8</v>
      </c>
      <c r="M678" t="s">
        <v>350</v>
      </c>
      <c r="O678" s="1" t="str" cm="1">
        <f t="array" ref="O678">_xlfn.LET( _xlpm.s, UPPER(M678),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EKQIEYLKEICKH</v>
      </c>
    </row>
    <row r="679" spans="1:15" ht="24">
      <c r="A679">
        <v>347</v>
      </c>
      <c r="B679">
        <v>23</v>
      </c>
      <c r="C679">
        <v>0</v>
      </c>
      <c r="D679">
        <v>2</v>
      </c>
      <c r="E679">
        <v>1</v>
      </c>
      <c r="G679">
        <v>-1.8</v>
      </c>
      <c r="H679">
        <v>-1.0105880422532452</v>
      </c>
      <c r="I679">
        <v>-1.2791929479623803</v>
      </c>
      <c r="K679">
        <v>-1.8</v>
      </c>
      <c r="M679" t="s">
        <v>354</v>
      </c>
      <c r="O679" s="1" t="str" cm="1">
        <f t="array" ref="O679">_xlfn.LET( _xlpm.s, UPPER(M679),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KEQIARLKKICEN</v>
      </c>
    </row>
    <row r="680" spans="1:15" ht="24">
      <c r="A680">
        <v>349</v>
      </c>
      <c r="B680">
        <v>15</v>
      </c>
      <c r="C680">
        <v>0</v>
      </c>
      <c r="D680">
        <v>0</v>
      </c>
      <c r="E680">
        <v>2</v>
      </c>
      <c r="G680">
        <v>-1.8</v>
      </c>
      <c r="H680">
        <v>-1.8</v>
      </c>
      <c r="I680">
        <v>-0.7925263753364874</v>
      </c>
      <c r="K680">
        <v>-1.8</v>
      </c>
      <c r="M680" t="s">
        <v>356</v>
      </c>
      <c r="O680" s="1" t="str" cm="1">
        <f t="array" ref="O680">_xlfn.LET( _xlpm.s, UPPER(M680),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EEQKKRLVEICKI</v>
      </c>
    </row>
    <row r="681" spans="1:15" ht="24">
      <c r="A681">
        <v>351</v>
      </c>
      <c r="B681">
        <v>54</v>
      </c>
      <c r="C681">
        <v>2</v>
      </c>
      <c r="D681">
        <v>0</v>
      </c>
      <c r="E681">
        <v>1</v>
      </c>
      <c r="G681">
        <v>-1.3653439641693335</v>
      </c>
      <c r="H681">
        <v>-1.8</v>
      </c>
      <c r="I681">
        <v>-1.649858871767756</v>
      </c>
      <c r="K681">
        <v>-1.8</v>
      </c>
      <c r="M681" t="s">
        <v>358</v>
      </c>
      <c r="O681" s="1" t="str" cm="1">
        <f t="array" ref="O681">_xlfn.LET( _xlpm.s, UPPER(M681),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KKQQERLVQICKH</v>
      </c>
    </row>
    <row r="682" spans="1:15" ht="24">
      <c r="A682">
        <v>352</v>
      </c>
      <c r="B682">
        <v>94</v>
      </c>
      <c r="C682">
        <v>0</v>
      </c>
      <c r="D682">
        <v>7</v>
      </c>
      <c r="E682">
        <v>10</v>
      </c>
      <c r="G682">
        <v>-1.8</v>
      </c>
      <c r="H682">
        <v>-1.0779200154850754</v>
      </c>
      <c r="I682">
        <v>-0.89059296554448597</v>
      </c>
      <c r="K682">
        <v>-1.8</v>
      </c>
      <c r="M682" t="s">
        <v>359</v>
      </c>
      <c r="O682" s="1" t="str" cm="1">
        <f t="array" ref="O682">_xlfn.LET( _xlpm.s, UPPER(M682),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ERLTKRIVEICKI</v>
      </c>
    </row>
    <row r="683" spans="1:15" ht="24">
      <c r="A683">
        <v>353</v>
      </c>
      <c r="B683">
        <v>57</v>
      </c>
      <c r="C683">
        <v>5</v>
      </c>
      <c r="D683">
        <v>0</v>
      </c>
      <c r="E683">
        <v>0</v>
      </c>
      <c r="G683">
        <v>-0.9908850513468187</v>
      </c>
      <c r="H683">
        <v>-1.8</v>
      </c>
      <c r="I683">
        <v>-1.8</v>
      </c>
      <c r="K683">
        <v>-1.8</v>
      </c>
      <c r="M683" t="s">
        <v>360</v>
      </c>
      <c r="O683" s="1" t="str" cm="1">
        <f t="array" ref="O683">_xlfn.LET( _xlpm.s, UPPER(M683),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KALENRIVEILKI</v>
      </c>
    </row>
    <row r="684" spans="1:15" ht="24">
      <c r="A684">
        <v>355</v>
      </c>
      <c r="B684">
        <v>67</v>
      </c>
      <c r="C684">
        <v>0</v>
      </c>
      <c r="D684">
        <v>1</v>
      </c>
      <c r="E684">
        <v>0</v>
      </c>
      <c r="G684">
        <v>-1.8</v>
      </c>
      <c r="H684">
        <v>-1.77596500460046</v>
      </c>
      <c r="I684">
        <v>-1.8</v>
      </c>
      <c r="K684">
        <v>-1.8</v>
      </c>
      <c r="M684" t="s">
        <v>362</v>
      </c>
      <c r="O684" s="1" t="str" cm="1">
        <f t="array" ref="O684">_xlfn.LET( _xlpm.s, UPPER(M684),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KKLIERIKAILKR</v>
      </c>
    </row>
    <row r="685" spans="1:15" ht="24">
      <c r="A685">
        <v>364</v>
      </c>
      <c r="B685">
        <v>69</v>
      </c>
      <c r="C685">
        <v>4</v>
      </c>
      <c r="D685">
        <v>0</v>
      </c>
      <c r="E685">
        <v>3</v>
      </c>
      <c r="G685">
        <v>-1.170769299419639</v>
      </c>
      <c r="H685">
        <v>-1.8</v>
      </c>
      <c r="I685">
        <v>-1.2791929479623803</v>
      </c>
      <c r="K685">
        <v>-1.8</v>
      </c>
      <c r="M685" t="s">
        <v>371</v>
      </c>
      <c r="O685" s="1" t="str" cm="1">
        <f t="array" ref="O685">_xlfn.LET( _xlpm.s, UPPER(M685),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NALTKRIIEILKI</v>
      </c>
    </row>
    <row r="686" spans="1:15" ht="24">
      <c r="A686">
        <v>372</v>
      </c>
      <c r="B686">
        <v>44</v>
      </c>
      <c r="C686">
        <v>1</v>
      </c>
      <c r="D686">
        <v>1</v>
      </c>
      <c r="E686">
        <v>0</v>
      </c>
      <c r="G686">
        <v>-1.5774328764965335</v>
      </c>
      <c r="H686">
        <v>-1.593342878385821</v>
      </c>
      <c r="I686">
        <v>-1.8</v>
      </c>
      <c r="K686">
        <v>-1.8</v>
      </c>
      <c r="M686" t="s">
        <v>379</v>
      </c>
      <c r="O686" s="1" t="str" cm="1">
        <f t="array" ref="O686">_xlfn.LET( _xlpm.s, UPPER(M686),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KKLIERIKAILKK</v>
      </c>
    </row>
    <row r="687" spans="1:15" ht="24">
      <c r="A687">
        <v>373</v>
      </c>
      <c r="B687">
        <v>78</v>
      </c>
      <c r="C687">
        <v>0</v>
      </c>
      <c r="D687">
        <v>4</v>
      </c>
      <c r="E687">
        <v>1</v>
      </c>
      <c r="G687">
        <v>-1.8</v>
      </c>
      <c r="H687">
        <v>-1.2399248132621516</v>
      </c>
      <c r="I687">
        <v>-1.8095597146352678</v>
      </c>
      <c r="K687">
        <v>-1.8</v>
      </c>
      <c r="M687" t="s">
        <v>380</v>
      </c>
      <c r="O687" s="1" t="str" cm="1">
        <f t="array" ref="O687">_xlfn.LET( _xlpm.s, UPPER(M687),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NKLIERIKAILEK</v>
      </c>
    </row>
    <row r="688" spans="1:15" ht="24">
      <c r="A688">
        <v>377</v>
      </c>
      <c r="B688">
        <v>129</v>
      </c>
      <c r="C688">
        <v>5</v>
      </c>
      <c r="D688">
        <v>4</v>
      </c>
      <c r="E688">
        <v>0</v>
      </c>
      <c r="G688">
        <v>-1.3455999059735764</v>
      </c>
      <c r="H688">
        <v>-1.4584199208709201</v>
      </c>
      <c r="I688">
        <v>-1.8</v>
      </c>
      <c r="K688">
        <v>-1.8</v>
      </c>
      <c r="M688" t="s">
        <v>384</v>
      </c>
      <c r="O688" s="1" t="str" cm="1">
        <f t="array" ref="O688">_xlfn.LET( _xlpm.s, UPPER(M688),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KALVERIKAILEK</v>
      </c>
    </row>
    <row r="689" spans="1:15" ht="24">
      <c r="A689">
        <v>390</v>
      </c>
      <c r="B689">
        <v>101</v>
      </c>
      <c r="C689">
        <v>0</v>
      </c>
      <c r="D689">
        <v>2</v>
      </c>
      <c r="E689">
        <v>2</v>
      </c>
      <c r="G689">
        <v>-1.8</v>
      </c>
      <c r="H689">
        <v>-1.653181580018295</v>
      </c>
      <c r="I689">
        <v>-1.6207564900634488</v>
      </c>
      <c r="K689">
        <v>-1.8</v>
      </c>
      <c r="M689" t="s">
        <v>397</v>
      </c>
      <c r="O689" s="1" t="str" cm="1">
        <f t="array" ref="O689">_xlfn.LET( _xlpm.s, UPPER(M689),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KRLEERIKAILEK</v>
      </c>
    </row>
    <row r="690" spans="1:15" ht="24">
      <c r="A690">
        <v>395</v>
      </c>
      <c r="B690">
        <v>55</v>
      </c>
      <c r="C690">
        <v>0</v>
      </c>
      <c r="D690">
        <v>2</v>
      </c>
      <c r="E690">
        <v>0</v>
      </c>
      <c r="G690">
        <v>-1.8</v>
      </c>
      <c r="H690">
        <v>-1.3892228957298962</v>
      </c>
      <c r="I690">
        <v>-1.8</v>
      </c>
      <c r="K690">
        <v>-1.8</v>
      </c>
      <c r="M690" t="s">
        <v>402</v>
      </c>
      <c r="O690" s="1" t="str" cm="1">
        <f t="array" ref="O690">_xlfn.LET( _xlpm.s, UPPER(M690),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KALVERIKEILKK</v>
      </c>
    </row>
    <row r="691" spans="1:15" ht="24">
      <c r="A691">
        <v>405</v>
      </c>
      <c r="B691">
        <v>63</v>
      </c>
      <c r="C691">
        <v>2</v>
      </c>
      <c r="D691">
        <v>0</v>
      </c>
      <c r="E691">
        <v>1</v>
      </c>
      <c r="G691">
        <v>-1.4322907537999465</v>
      </c>
      <c r="H691">
        <v>-1.8</v>
      </c>
      <c r="I691">
        <v>-1.7168056613983691</v>
      </c>
      <c r="K691">
        <v>-1.8</v>
      </c>
      <c r="M691" t="s">
        <v>412</v>
      </c>
      <c r="O691" s="1" t="str" cm="1">
        <f t="array" ref="O691">_xlfn.LET( _xlpm.s, UPPER(M691),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KKAEERIIAILKK</v>
      </c>
    </row>
    <row r="692" spans="1:15" ht="24">
      <c r="A692">
        <v>406</v>
      </c>
      <c r="B692">
        <v>106</v>
      </c>
      <c r="C692">
        <v>3</v>
      </c>
      <c r="D692">
        <v>1</v>
      </c>
      <c r="E692">
        <v>0</v>
      </c>
      <c r="G692">
        <v>-1.4821648105554539</v>
      </c>
      <c r="H692">
        <v>-1.975196067164404</v>
      </c>
      <c r="I692">
        <v>-1.8</v>
      </c>
      <c r="K692">
        <v>-1.8</v>
      </c>
      <c r="M692" t="s">
        <v>413</v>
      </c>
      <c r="O692" s="1" t="str" cm="1">
        <f t="array" ref="O692">_xlfn.LET( _xlpm.s, UPPER(M692),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KRLIARIKAILEK</v>
      </c>
    </row>
    <row r="693" spans="1:15" ht="24">
      <c r="A693">
        <v>411</v>
      </c>
      <c r="B693">
        <v>58</v>
      </c>
      <c r="C693">
        <v>0</v>
      </c>
      <c r="D693">
        <v>0</v>
      </c>
      <c r="E693">
        <v>1</v>
      </c>
      <c r="G693">
        <v>-1.8</v>
      </c>
      <c r="H693">
        <v>-1.8</v>
      </c>
      <c r="I693">
        <v>-1.6808931055077247</v>
      </c>
      <c r="K693">
        <v>-1.8</v>
      </c>
      <c r="M693" t="s">
        <v>418</v>
      </c>
      <c r="O693" s="1" t="str" cm="1">
        <f t="array" ref="O693">_xlfn.LET( _xlpm.s, UPPER(M693),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KKMIARIEAILKK</v>
      </c>
    </row>
    <row r="694" spans="1:15" ht="24">
      <c r="A694">
        <v>416</v>
      </c>
      <c r="B694">
        <v>53</v>
      </c>
      <c r="C694">
        <v>0</v>
      </c>
      <c r="D694">
        <v>1</v>
      </c>
      <c r="E694">
        <v>1</v>
      </c>
      <c r="G694">
        <v>-1.8</v>
      </c>
      <c r="H694">
        <v>-1.6741660715004227</v>
      </c>
      <c r="I694">
        <v>-1.6417409815455766</v>
      </c>
      <c r="K694">
        <v>-1.8</v>
      </c>
      <c r="M694" t="s">
        <v>423</v>
      </c>
      <c r="O694" s="1" t="str" cm="1">
        <f t="array" ref="O694">_xlfn.LET( _xlpm.s, UPPER(M694),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KKRIEYLKAILEK</v>
      </c>
    </row>
    <row r="695" spans="1:15" ht="24">
      <c r="A695">
        <v>417</v>
      </c>
      <c r="B695">
        <v>37</v>
      </c>
      <c r="C695">
        <v>0</v>
      </c>
      <c r="D695">
        <v>0</v>
      </c>
      <c r="E695">
        <v>0</v>
      </c>
      <c r="G695">
        <v>-1.8</v>
      </c>
      <c r="H695">
        <v>-1.8</v>
      </c>
      <c r="I695">
        <v>-1.8</v>
      </c>
      <c r="K695">
        <v>-1.8</v>
      </c>
      <c r="M695" t="s">
        <v>424</v>
      </c>
      <c r="O695" s="1" t="str" cm="1">
        <f t="array" ref="O695">_xlfn.LET( _xlpm.s, UPPER(M695),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ERLIKRIKEILKL</v>
      </c>
    </row>
    <row r="696" spans="1:15" ht="24">
      <c r="A696">
        <v>420</v>
      </c>
      <c r="B696">
        <v>101</v>
      </c>
      <c r="C696">
        <v>1</v>
      </c>
      <c r="D696">
        <v>0</v>
      </c>
      <c r="E696">
        <v>3</v>
      </c>
      <c r="G696">
        <v>-1.9383015737929887</v>
      </c>
      <c r="H696">
        <v>-1.8</v>
      </c>
      <c r="I696">
        <v>-1.4446652310077677</v>
      </c>
      <c r="K696">
        <v>-1.8</v>
      </c>
      <c r="M696" t="s">
        <v>427</v>
      </c>
      <c r="O696" s="1" t="str" cm="1">
        <f t="array" ref="O696">_xlfn.LET( _xlpm.s, UPPER(M696),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KRMEARIVQICKD</v>
      </c>
    </row>
    <row r="697" spans="1:15" ht="24">
      <c r="A697">
        <v>423</v>
      </c>
      <c r="B697">
        <v>11</v>
      </c>
      <c r="C697">
        <v>0</v>
      </c>
      <c r="D697">
        <v>0</v>
      </c>
      <c r="E697">
        <v>0</v>
      </c>
      <c r="G697">
        <v>-1.8</v>
      </c>
      <c r="H697">
        <v>-1.8</v>
      </c>
      <c r="I697">
        <v>-1.8</v>
      </c>
      <c r="K697">
        <v>-1.8</v>
      </c>
      <c r="M697" t="s">
        <v>430</v>
      </c>
      <c r="O697" s="1" t="str" cm="1">
        <f t="array" ref="O697">_xlfn.LET( _xlpm.s, UPPER(M697),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NKKIERLKKILEL</v>
      </c>
    </row>
    <row r="698" spans="1:15" ht="24">
      <c r="A698">
        <v>424</v>
      </c>
      <c r="B698">
        <v>67</v>
      </c>
      <c r="C698">
        <v>0</v>
      </c>
      <c r="D698">
        <v>0</v>
      </c>
      <c r="E698">
        <v>2</v>
      </c>
      <c r="G698">
        <v>-1.8</v>
      </c>
      <c r="H698">
        <v>-1.8</v>
      </c>
      <c r="I698">
        <v>-1.4425099189816326</v>
      </c>
      <c r="K698">
        <v>-1.8</v>
      </c>
      <c r="M698" t="s">
        <v>431</v>
      </c>
      <c r="O698" s="1" t="str" cm="1">
        <f t="array" ref="O698">_xlfn.LET( _xlpm.s, UPPER(M698),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ERLINRIKAILEK</v>
      </c>
    </row>
    <row r="699" spans="1:15" ht="24">
      <c r="A699">
        <v>425</v>
      </c>
      <c r="B699">
        <v>13</v>
      </c>
      <c r="C699">
        <v>0</v>
      </c>
      <c r="D699">
        <v>0</v>
      </c>
      <c r="E699">
        <v>1</v>
      </c>
      <c r="G699">
        <v>-1.8</v>
      </c>
      <c r="H699">
        <v>-1.8</v>
      </c>
      <c r="I699">
        <v>-1.0314084642516241</v>
      </c>
      <c r="K699">
        <v>-1.8</v>
      </c>
      <c r="M699" t="s">
        <v>432</v>
      </c>
      <c r="O699" s="1" t="str" cm="1">
        <f t="array" ref="O699">_xlfn.LET( _xlpm.s, UPPER(M699),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EKMIKRIKEILKL</v>
      </c>
    </row>
    <row r="700" spans="1:15" ht="24">
      <c r="A700">
        <v>426</v>
      </c>
      <c r="B700">
        <v>41</v>
      </c>
      <c r="C700">
        <v>0</v>
      </c>
      <c r="D700">
        <v>2</v>
      </c>
      <c r="E700">
        <v>1</v>
      </c>
      <c r="G700">
        <v>-1.8</v>
      </c>
      <c r="H700">
        <v>-1.2616440629553878</v>
      </c>
      <c r="I700">
        <v>-1.5302489686645229</v>
      </c>
      <c r="K700">
        <v>-1.8</v>
      </c>
      <c r="M700" t="s">
        <v>433</v>
      </c>
      <c r="O700" s="1" t="str" cm="1">
        <f t="array" ref="O700">_xlfn.LET( _xlpm.s, UPPER(M700),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NKLIERIKEILKK</v>
      </c>
    </row>
    <row r="701" spans="1:15" ht="24">
      <c r="A701">
        <v>427</v>
      </c>
      <c r="B701">
        <v>19</v>
      </c>
      <c r="C701">
        <v>2</v>
      </c>
      <c r="D701">
        <v>0</v>
      </c>
      <c r="E701">
        <v>0</v>
      </c>
      <c r="G701">
        <v>-0.91170380529919381</v>
      </c>
      <c r="H701">
        <v>-1.8</v>
      </c>
      <c r="I701">
        <v>-1.8</v>
      </c>
      <c r="K701">
        <v>-1.8</v>
      </c>
      <c r="M701" t="s">
        <v>434</v>
      </c>
      <c r="O701" s="1" t="str" cm="1">
        <f t="array" ref="O701">_xlfn.LET( _xlpm.s, UPPER(M701),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KKMIERIKEILKK</v>
      </c>
    </row>
    <row r="702" spans="1:15" ht="24">
      <c r="A702">
        <v>432</v>
      </c>
      <c r="B702">
        <v>61</v>
      </c>
      <c r="C702">
        <v>0</v>
      </c>
      <c r="D702">
        <v>3</v>
      </c>
      <c r="E702">
        <v>4</v>
      </c>
      <c r="G702">
        <v>-1.8</v>
      </c>
      <c r="H702">
        <v>-1.2580987821907381</v>
      </c>
      <c r="I702">
        <v>-1.100734955627592</v>
      </c>
      <c r="K702">
        <v>-1.8</v>
      </c>
      <c r="M702" t="s">
        <v>439</v>
      </c>
      <c r="O702" s="1" t="str" cm="1">
        <f t="array" ref="O702">_xlfn.LET( _xlpm.s, UPPER(M702),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NKLVERIKAICKK</v>
      </c>
    </row>
    <row r="703" spans="1:15" ht="24">
      <c r="A703">
        <v>434</v>
      </c>
      <c r="B703">
        <v>57</v>
      </c>
      <c r="C703">
        <v>2</v>
      </c>
      <c r="D703">
        <v>0</v>
      </c>
      <c r="E703">
        <v>1</v>
      </c>
      <c r="G703">
        <v>-1.3888250600188563</v>
      </c>
      <c r="H703">
        <v>-1.8</v>
      </c>
      <c r="I703">
        <v>-1.6733399676172789</v>
      </c>
      <c r="K703">
        <v>-1.8</v>
      </c>
      <c r="M703" t="s">
        <v>441</v>
      </c>
      <c r="O703" s="1" t="str" cm="1">
        <f t="array" ref="O703">_xlfn.LET( _xlpm.s, UPPER(M703),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KALINRIKAILKK</v>
      </c>
    </row>
    <row r="704" spans="1:15" ht="24">
      <c r="A704">
        <v>437</v>
      </c>
      <c r="B704">
        <v>110</v>
      </c>
      <c r="C704">
        <v>5</v>
      </c>
      <c r="D704">
        <v>3</v>
      </c>
      <c r="E704">
        <v>0</v>
      </c>
      <c r="G704">
        <v>-1.2764028808325523</v>
      </c>
      <c r="H704">
        <v>-1.5141616323381961</v>
      </c>
      <c r="I704">
        <v>-1.8</v>
      </c>
      <c r="K704">
        <v>-1.8</v>
      </c>
      <c r="M704" t="s">
        <v>444</v>
      </c>
      <c r="O704" s="1" t="str" cm="1">
        <f t="array" ref="O704">_xlfn.LET( _xlpm.s, UPPER(M704),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KALVERIKAILKK</v>
      </c>
    </row>
    <row r="705" spans="1:15" ht="24">
      <c r="A705">
        <v>438</v>
      </c>
      <c r="B705">
        <v>58</v>
      </c>
      <c r="C705">
        <v>2</v>
      </c>
      <c r="D705">
        <v>5</v>
      </c>
      <c r="E705">
        <v>0</v>
      </c>
      <c r="G705">
        <v>-1.3963781979093022</v>
      </c>
      <c r="H705">
        <v>-1.0143481911265519</v>
      </c>
      <c r="I705">
        <v>-1.8</v>
      </c>
      <c r="K705">
        <v>-1.8</v>
      </c>
      <c r="M705" t="s">
        <v>445</v>
      </c>
      <c r="O705" s="1" t="str" cm="1">
        <f t="array" ref="O705">_xlfn.LET( _xlpm.s, UPPER(M705),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EALIKRIKEILEI</v>
      </c>
    </row>
    <row r="706" spans="1:15" ht="24">
      <c r="A706">
        <v>441</v>
      </c>
      <c r="B706">
        <v>100</v>
      </c>
      <c r="C706">
        <v>2</v>
      </c>
      <c r="D706">
        <v>0</v>
      </c>
      <c r="E706">
        <v>2</v>
      </c>
      <c r="G706">
        <v>-1.6329502043463648</v>
      </c>
      <c r="H706">
        <v>-1.8</v>
      </c>
      <c r="I706">
        <v>-1.6164351162808062</v>
      </c>
      <c r="K706">
        <v>-1.8</v>
      </c>
      <c r="M706" t="s">
        <v>448</v>
      </c>
      <c r="O706" s="1" t="str" cm="1">
        <f t="array" ref="O706">_xlfn.LET( _xlpm.s, UPPER(M706),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DALIKRIKAILEI</v>
      </c>
    </row>
    <row r="707" spans="1:15" ht="24">
      <c r="A707">
        <v>444</v>
      </c>
      <c r="B707">
        <v>31</v>
      </c>
      <c r="C707">
        <v>0</v>
      </c>
      <c r="D707">
        <v>0</v>
      </c>
      <c r="E707">
        <v>1</v>
      </c>
      <c r="G707">
        <v>-1.8</v>
      </c>
      <c r="H707">
        <v>-1.8</v>
      </c>
      <c r="I707">
        <v>-1.4088268057790601</v>
      </c>
      <c r="K707">
        <v>-1.8</v>
      </c>
      <c r="M707" t="s">
        <v>451</v>
      </c>
      <c r="O707" s="1" t="str" cm="1">
        <f t="array" ref="O707">_xlfn.LET( _xlpm.s, UPPER(M707),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EKMIKRIEEILKL</v>
      </c>
    </row>
    <row r="708" spans="1:15" ht="24">
      <c r="A708">
        <v>447</v>
      </c>
      <c r="B708">
        <v>46</v>
      </c>
      <c r="C708">
        <v>4</v>
      </c>
      <c r="D708">
        <v>0</v>
      </c>
      <c r="E708">
        <v>0</v>
      </c>
      <c r="G708">
        <v>-0.99467804036395757</v>
      </c>
      <c r="H708">
        <v>-1.8</v>
      </c>
      <c r="I708">
        <v>-1.8</v>
      </c>
      <c r="K708">
        <v>-1.8</v>
      </c>
      <c r="M708" t="s">
        <v>454</v>
      </c>
      <c r="O708" s="1" t="str" cm="1">
        <f t="array" ref="O708">_xlfn.LET( _xlpm.s, UPPER(M708),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KKRIERLKEIAKI</v>
      </c>
    </row>
    <row r="709" spans="1:15" ht="24">
      <c r="A709">
        <v>450</v>
      </c>
      <c r="B709">
        <v>55</v>
      </c>
      <c r="C709">
        <v>3</v>
      </c>
      <c r="D709">
        <v>2</v>
      </c>
      <c r="E709">
        <v>0</v>
      </c>
      <c r="G709">
        <v>-1.1972216347849276</v>
      </c>
      <c r="H709">
        <v>-1.3892228957298962</v>
      </c>
      <c r="I709">
        <v>-1.8</v>
      </c>
      <c r="K709">
        <v>-1.8</v>
      </c>
      <c r="M709" t="s">
        <v>457</v>
      </c>
      <c r="O709" s="1" t="str" cm="1">
        <f t="array" ref="O709">_xlfn.LET( _xlpm.s, UPPER(M709),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KQLIERIKDILKK</v>
      </c>
    </row>
    <row r="710" spans="1:15" ht="24">
      <c r="A710">
        <v>452</v>
      </c>
      <c r="B710">
        <v>219</v>
      </c>
      <c r="C710">
        <v>0</v>
      </c>
      <c r="D710">
        <v>6</v>
      </c>
      <c r="E710">
        <v>8</v>
      </c>
      <c r="G710">
        <v>-1.8</v>
      </c>
      <c r="H710">
        <v>-1.5121830663561082</v>
      </c>
      <c r="I710">
        <v>-1.3548192397929621</v>
      </c>
      <c r="K710">
        <v>-1.8</v>
      </c>
      <c r="M710" t="s">
        <v>459</v>
      </c>
      <c r="O710" s="1" t="str" cm="1">
        <f t="array" ref="O710">_xlfn.LET( _xlpm.s, UPPER(M710),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KARIARIEAICER</v>
      </c>
    </row>
    <row r="711" spans="1:15" ht="24">
      <c r="A711">
        <v>454</v>
      </c>
      <c r="B711">
        <v>67</v>
      </c>
      <c r="C711">
        <v>1</v>
      </c>
      <c r="D711">
        <v>0</v>
      </c>
      <c r="E711">
        <v>0</v>
      </c>
      <c r="G711">
        <v>-1.7600550027111725</v>
      </c>
      <c r="H711">
        <v>-1.8</v>
      </c>
      <c r="I711">
        <v>-1.8</v>
      </c>
      <c r="K711">
        <v>-1.8</v>
      </c>
      <c r="M711" t="s">
        <v>461</v>
      </c>
      <c r="O711" s="1" t="str" cm="1">
        <f t="array" ref="O711">_xlfn.LET( _xlpm.s, UPPER(M711),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KRAIERIKEILKI</v>
      </c>
    </row>
    <row r="712" spans="1:15" ht="24">
      <c r="A712">
        <v>455</v>
      </c>
      <c r="B712">
        <v>42</v>
      </c>
      <c r="C712">
        <v>0</v>
      </c>
      <c r="D712">
        <v>2</v>
      </c>
      <c r="E712">
        <v>1</v>
      </c>
      <c r="G712">
        <v>-1.8</v>
      </c>
      <c r="H712">
        <v>-1.2721094966335529</v>
      </c>
      <c r="I712">
        <v>-1.540714402342688</v>
      </c>
      <c r="K712">
        <v>-1.8</v>
      </c>
      <c r="M712" t="s">
        <v>462</v>
      </c>
      <c r="O712" s="1" t="str" cm="1">
        <f t="array" ref="O712">_xlfn.LET( _xlpm.s, UPPER(M712),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EKLIERIKSILEK</v>
      </c>
    </row>
    <row r="713" spans="1:15" ht="24">
      <c r="A713">
        <v>456</v>
      </c>
      <c r="B713">
        <v>83</v>
      </c>
      <c r="C713">
        <v>1</v>
      </c>
      <c r="D713">
        <v>0</v>
      </c>
      <c r="E713">
        <v>5</v>
      </c>
      <c r="G713">
        <v>-1.8530582923864201</v>
      </c>
      <c r="H713">
        <v>-1.8</v>
      </c>
      <c r="I713">
        <v>-1.1375731999848424</v>
      </c>
      <c r="K713">
        <v>-1.8</v>
      </c>
      <c r="M713" t="s">
        <v>463</v>
      </c>
      <c r="O713" s="1" t="str" cm="1">
        <f t="array" ref="O713">_xlfn.LET( _xlpm.s, UPPER(M713),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KALTERLVEILKK</v>
      </c>
    </row>
    <row r="714" spans="1:15" ht="24">
      <c r="A714">
        <v>463</v>
      </c>
      <c r="B714">
        <v>78</v>
      </c>
      <c r="C714">
        <v>2</v>
      </c>
      <c r="D714">
        <v>0</v>
      </c>
      <c r="E714">
        <v>0</v>
      </c>
      <c r="G714">
        <v>-1.5250448070368454</v>
      </c>
      <c r="H714">
        <v>-1.8</v>
      </c>
      <c r="I714">
        <v>-1.8</v>
      </c>
      <c r="K714">
        <v>-1.8</v>
      </c>
      <c r="M714" t="s">
        <v>470</v>
      </c>
      <c r="O714" s="1" t="str" cm="1">
        <f t="array" ref="O714">_xlfn.LET( _xlpm.s, UPPER(M714),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ERAIQRIKEILKL</v>
      </c>
    </row>
    <row r="715" spans="1:15" ht="24">
      <c r="A715">
        <v>467</v>
      </c>
      <c r="B715">
        <v>46</v>
      </c>
      <c r="C715">
        <v>0</v>
      </c>
      <c r="D715">
        <v>1</v>
      </c>
      <c r="E715">
        <v>2</v>
      </c>
      <c r="G715">
        <v>-1.8</v>
      </c>
      <c r="H715">
        <v>-1.6126480335812077</v>
      </c>
      <c r="I715">
        <v>-1.2791929479623803</v>
      </c>
      <c r="K715">
        <v>-1.8</v>
      </c>
      <c r="M715" t="s">
        <v>474</v>
      </c>
      <c r="O715" s="1" t="str" cm="1">
        <f t="array" ref="O715">_xlfn.LET( _xlpm.s, UPPER(M715),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ERMIKRIKSILEK</v>
      </c>
    </row>
    <row r="716" spans="1:15" ht="24">
      <c r="A716">
        <v>468</v>
      </c>
      <c r="B716">
        <v>39</v>
      </c>
      <c r="C716">
        <v>0</v>
      </c>
      <c r="D716">
        <v>3</v>
      </c>
      <c r="E716">
        <v>0</v>
      </c>
      <c r="G716">
        <v>-1.8</v>
      </c>
      <c r="H716">
        <v>-1.0638335542064703</v>
      </c>
      <c r="I716">
        <v>-1.8</v>
      </c>
      <c r="K716">
        <v>-1.8</v>
      </c>
      <c r="M716" t="s">
        <v>475</v>
      </c>
      <c r="O716" s="1" t="str" cm="1">
        <f t="array" ref="O716">_xlfn.LET( _xlpm.s, UPPER(M716),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EKAVKRIKEILKL</v>
      </c>
    </row>
    <row r="717" spans="1:15" ht="24">
      <c r="A717">
        <v>469</v>
      </c>
      <c r="B717">
        <v>12</v>
      </c>
      <c r="C717">
        <v>0</v>
      </c>
      <c r="D717">
        <v>1</v>
      </c>
      <c r="E717">
        <v>0</v>
      </c>
      <c r="G717">
        <v>-1.8</v>
      </c>
      <c r="H717">
        <v>-1.0290714479472585</v>
      </c>
      <c r="I717">
        <v>-1.8</v>
      </c>
      <c r="K717">
        <v>-1.8</v>
      </c>
      <c r="M717" t="s">
        <v>476</v>
      </c>
      <c r="O717" s="1" t="str" cm="1">
        <f t="array" ref="O717">_xlfn.LET( _xlpm.s, UPPER(M717),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EKMQKRLKEILKK</v>
      </c>
    </row>
    <row r="718" spans="1:15" ht="24">
      <c r="A718">
        <v>474</v>
      </c>
      <c r="B718">
        <v>12</v>
      </c>
      <c r="C718">
        <v>0</v>
      </c>
      <c r="D718">
        <v>0</v>
      </c>
      <c r="E718">
        <v>0</v>
      </c>
      <c r="G718">
        <v>-1.8</v>
      </c>
      <c r="H718">
        <v>-1.8</v>
      </c>
      <c r="I718">
        <v>-1.8</v>
      </c>
      <c r="K718">
        <v>-1.8</v>
      </c>
      <c r="M718" t="s">
        <v>481</v>
      </c>
      <c r="O718" s="1" t="str" cm="1">
        <f t="array" ref="O718">_xlfn.LET( _xlpm.s, UPPER(M718),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NKLIKRIKEILKK</v>
      </c>
    </row>
    <row r="719" spans="1:15" ht="24">
      <c r="A719">
        <v>475</v>
      </c>
      <c r="B719">
        <v>55</v>
      </c>
      <c r="C719">
        <v>4</v>
      </c>
      <c r="D719">
        <v>0</v>
      </c>
      <c r="E719">
        <v>0</v>
      </c>
      <c r="G719">
        <v>-1.0722828981766275</v>
      </c>
      <c r="H719">
        <v>-1.8</v>
      </c>
      <c r="I719">
        <v>-1.8</v>
      </c>
      <c r="K719">
        <v>-1.8</v>
      </c>
      <c r="M719" t="s">
        <v>482</v>
      </c>
      <c r="O719" s="1" t="str" cm="1">
        <f t="array" ref="O719">_xlfn.LET( _xlpm.s, UPPER(M719),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NKLIERIKEILKL</v>
      </c>
    </row>
    <row r="720" spans="1:15" ht="24">
      <c r="A720">
        <v>481</v>
      </c>
      <c r="B720">
        <v>83</v>
      </c>
      <c r="C720">
        <v>0</v>
      </c>
      <c r="D720">
        <v>2</v>
      </c>
      <c r="E720">
        <v>2</v>
      </c>
      <c r="G720">
        <v>-1.8</v>
      </c>
      <c r="H720">
        <v>-1.5679382986117263</v>
      </c>
      <c r="I720">
        <v>-1.5355132086568801</v>
      </c>
      <c r="K720">
        <v>-1.8</v>
      </c>
      <c r="M720" t="s">
        <v>488</v>
      </c>
      <c r="O720" s="1" t="str" cm="1">
        <f t="array" ref="O720">_xlfn.LET( _xlpm.s, UPPER(M720),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KKLIERIKAILER</v>
      </c>
    </row>
    <row r="721" spans="1:15" ht="24">
      <c r="A721">
        <v>482</v>
      </c>
      <c r="B721">
        <v>175</v>
      </c>
      <c r="C721">
        <v>5</v>
      </c>
      <c r="D721">
        <v>3</v>
      </c>
      <c r="E721">
        <v>0</v>
      </c>
      <c r="G721">
        <v>-1.4780482443606218</v>
      </c>
      <c r="H721">
        <v>-1.7158069958662656</v>
      </c>
      <c r="I721">
        <v>-1.8</v>
      </c>
      <c r="K721">
        <v>-1.8</v>
      </c>
      <c r="M721" t="s">
        <v>489</v>
      </c>
      <c r="O721" s="1" t="str" cm="1">
        <f t="array" ref="O721">_xlfn.LET( _xlpm.s, UPPER(M721),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NALIARIKAILEK</v>
      </c>
    </row>
    <row r="722" spans="1:15" ht="24">
      <c r="A722">
        <v>483</v>
      </c>
      <c r="B722">
        <v>31</v>
      </c>
      <c r="C722">
        <v>0</v>
      </c>
      <c r="D722">
        <v>2</v>
      </c>
      <c r="E722">
        <v>0</v>
      </c>
      <c r="G722">
        <v>-1.8</v>
      </c>
      <c r="H722">
        <v>-1.140221900069925</v>
      </c>
      <c r="I722">
        <v>-1.8</v>
      </c>
      <c r="K722">
        <v>-1.8</v>
      </c>
      <c r="M722" t="s">
        <v>490</v>
      </c>
      <c r="O722" s="1" t="str" cm="1">
        <f t="array" ref="O722">_xlfn.LET( _xlpm.s, UPPER(M722),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KKLIERIKEILKI</v>
      </c>
    </row>
    <row r="723" spans="1:15" ht="24">
      <c r="A723">
        <v>488</v>
      </c>
      <c r="B723">
        <v>84</v>
      </c>
      <c r="C723">
        <v>3</v>
      </c>
      <c r="D723">
        <v>0</v>
      </c>
      <c r="E723">
        <v>3</v>
      </c>
      <c r="G723">
        <v>-1.3811382313525653</v>
      </c>
      <c r="H723">
        <v>-1.8</v>
      </c>
      <c r="I723">
        <v>-1.3646231432870066</v>
      </c>
      <c r="K723">
        <v>-1.8</v>
      </c>
      <c r="M723" t="s">
        <v>495</v>
      </c>
      <c r="O723" s="1" t="str" cm="1">
        <f t="array" ref="O723">_xlfn.LET( _xlpm.s, UPPER(M723),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KALERRIKAILEQ</v>
      </c>
    </row>
    <row r="724" spans="1:15" ht="24">
      <c r="A724">
        <v>490</v>
      </c>
      <c r="B724">
        <v>25</v>
      </c>
      <c r="C724">
        <v>7</v>
      </c>
      <c r="D724">
        <v>0</v>
      </c>
      <c r="E724">
        <v>6</v>
      </c>
      <c r="G724">
        <v>-0.48682216866812678</v>
      </c>
      <c r="H724">
        <v>-1.8</v>
      </c>
      <c r="I724">
        <v>-0.53725387023318127</v>
      </c>
      <c r="K724">
        <v>-1.8</v>
      </c>
      <c r="M724" t="s">
        <v>497</v>
      </c>
      <c r="O724" s="1" t="str" cm="1">
        <f t="array" ref="O724">_xlfn.LET( _xlpm.s, UPPER(M724),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NKLIERIKKICEI</v>
      </c>
    </row>
    <row r="725" spans="1:15" ht="24">
      <c r="A725">
        <v>494</v>
      </c>
      <c r="B725">
        <v>33</v>
      </c>
      <c r="C725">
        <v>1</v>
      </c>
      <c r="D725">
        <v>0</v>
      </c>
      <c r="E725">
        <v>1</v>
      </c>
      <c r="G725">
        <v>-1.4524941398882336</v>
      </c>
      <c r="H725">
        <v>-1.8</v>
      </c>
      <c r="I725">
        <v>-1.4359790518226749</v>
      </c>
      <c r="K725">
        <v>-1.8</v>
      </c>
      <c r="M725" t="s">
        <v>501</v>
      </c>
      <c r="O725" s="1" t="str" cm="1">
        <f t="array" ref="O725">_xlfn.LET( _xlpm.s, UPPER(M725),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EKLIKRIKEILEL</v>
      </c>
    </row>
    <row r="726" spans="1:15" ht="24">
      <c r="A726">
        <v>504</v>
      </c>
      <c r="B726">
        <v>82</v>
      </c>
      <c r="C726">
        <v>0</v>
      </c>
      <c r="D726">
        <v>2</v>
      </c>
      <c r="E726">
        <v>2</v>
      </c>
      <c r="G726">
        <v>-1.8</v>
      </c>
      <c r="H726">
        <v>-1.562674058619369</v>
      </c>
      <c r="I726">
        <v>-1.5302489686645229</v>
      </c>
      <c r="K726">
        <v>-1.8</v>
      </c>
      <c r="M726" t="s">
        <v>511</v>
      </c>
      <c r="O726" s="1" t="str" cm="1">
        <f t="array" ref="O726">_xlfn.LET( _xlpm.s, UPPER(M726),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KQRIERIKEILKL</v>
      </c>
    </row>
    <row r="727" spans="1:15" ht="24">
      <c r="A727">
        <v>505</v>
      </c>
      <c r="B727">
        <v>116</v>
      </c>
      <c r="C727">
        <v>1</v>
      </c>
      <c r="D727">
        <v>0</v>
      </c>
      <c r="E727">
        <v>2</v>
      </c>
      <c r="G727">
        <v>-1.9984381892372647</v>
      </c>
      <c r="H727">
        <v>-1.8</v>
      </c>
      <c r="I727">
        <v>-1.6808931055077247</v>
      </c>
      <c r="K727">
        <v>-1.8</v>
      </c>
      <c r="M727" t="s">
        <v>512</v>
      </c>
      <c r="O727" s="1" t="str" cm="1">
        <f t="array" ref="O727">_xlfn.LET( _xlpm.s, UPPER(M727),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KAQIERLKAILAK</v>
      </c>
    </row>
    <row r="728" spans="1:15" ht="24">
      <c r="A728">
        <v>506</v>
      </c>
      <c r="B728">
        <v>49</v>
      </c>
      <c r="C728">
        <v>0</v>
      </c>
      <c r="D728">
        <v>1</v>
      </c>
      <c r="E728">
        <v>0</v>
      </c>
      <c r="G728">
        <v>-1.8</v>
      </c>
      <c r="H728">
        <v>-1.6400862819281472</v>
      </c>
      <c r="I728">
        <v>-1.8</v>
      </c>
      <c r="K728">
        <v>-1.8</v>
      </c>
      <c r="M728" t="s">
        <v>513</v>
      </c>
      <c r="O728" s="1" t="str" cm="1">
        <f t="array" ref="O728">_xlfn.LET( _xlpm.s, UPPER(M728),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NKLIERLKEILKK</v>
      </c>
    </row>
    <row r="729" spans="1:15" ht="24">
      <c r="A729">
        <v>508</v>
      </c>
      <c r="B729">
        <v>52</v>
      </c>
      <c r="C729">
        <v>0</v>
      </c>
      <c r="D729">
        <v>1</v>
      </c>
      <c r="E729">
        <v>3</v>
      </c>
      <c r="G729">
        <v>-1.8</v>
      </c>
      <c r="H729">
        <v>-1.6658935455344328</v>
      </c>
      <c r="I729">
        <v>-1.156347200859924</v>
      </c>
      <c r="K729">
        <v>-1.8</v>
      </c>
      <c r="M729" t="s">
        <v>515</v>
      </c>
      <c r="O729" s="1" t="str" cm="1">
        <f t="array" ref="O729">_xlfn.LET( _xlpm.s, UPPER(M729),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ERLIKRIKEICEL</v>
      </c>
    </row>
    <row r="730" spans="1:15" ht="24">
      <c r="A730">
        <v>511</v>
      </c>
      <c r="B730">
        <v>47</v>
      </c>
      <c r="C730">
        <v>0</v>
      </c>
      <c r="D730">
        <v>5</v>
      </c>
      <c r="E730">
        <v>6</v>
      </c>
      <c r="G730">
        <v>-1.8</v>
      </c>
      <c r="H730">
        <v>-0.92301805549933214</v>
      </c>
      <c r="I730">
        <v>-0.81141171949686119</v>
      </c>
      <c r="K730">
        <v>-1.8</v>
      </c>
      <c r="M730" t="s">
        <v>518</v>
      </c>
      <c r="O730" s="1" t="str" cm="1">
        <f t="array" ref="O730">_xlfn.LET( _xlpm.s, UPPER(M730),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NQLIERIKEILKI</v>
      </c>
    </row>
    <row r="731" spans="1:15" ht="24">
      <c r="A731">
        <v>517</v>
      </c>
      <c r="B731">
        <v>184</v>
      </c>
      <c r="C731">
        <v>0</v>
      </c>
      <c r="D731">
        <v>0</v>
      </c>
      <c r="E731">
        <v>3</v>
      </c>
      <c r="G731">
        <v>-1.8</v>
      </c>
      <c r="H731">
        <v>-1.8</v>
      </c>
      <c r="I731">
        <v>-1.7051616802346614</v>
      </c>
      <c r="K731">
        <v>-1.8</v>
      </c>
      <c r="M731" t="s">
        <v>524</v>
      </c>
      <c r="O731" s="1" t="str" cm="1">
        <f t="array" ref="O731">_xlfn.LET( _xlpm.s, UPPER(M731),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KARIERIKAILEK</v>
      </c>
    </row>
    <row r="732" spans="1:15" ht="24">
      <c r="A732">
        <v>518</v>
      </c>
      <c r="B732">
        <v>43</v>
      </c>
      <c r="C732">
        <v>0</v>
      </c>
      <c r="D732">
        <v>0</v>
      </c>
      <c r="E732">
        <v>1</v>
      </c>
      <c r="G732">
        <v>-1.8</v>
      </c>
      <c r="H732">
        <v>-1.8</v>
      </c>
      <c r="I732">
        <v>-1.5509335675243741</v>
      </c>
      <c r="K732">
        <v>-1.8</v>
      </c>
      <c r="M732" t="s">
        <v>525</v>
      </c>
      <c r="O732" s="1" t="str" cm="1">
        <f t="array" ref="O732">_xlfn.LET( _xlpm.s, UPPER(M732),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EKLIKRLKEILEI</v>
      </c>
    </row>
    <row r="733" spans="1:15" ht="24">
      <c r="A733">
        <v>523</v>
      </c>
      <c r="B733">
        <v>21</v>
      </c>
      <c r="C733">
        <v>0</v>
      </c>
      <c r="D733">
        <v>2</v>
      </c>
      <c r="E733">
        <v>0</v>
      </c>
      <c r="G733">
        <v>-1.8</v>
      </c>
      <c r="H733">
        <v>-0.97107950096957152</v>
      </c>
      <c r="I733">
        <v>-1.8</v>
      </c>
      <c r="K733">
        <v>-1.8</v>
      </c>
      <c r="M733" t="s">
        <v>530</v>
      </c>
      <c r="O733" s="1" t="str" cm="1">
        <f t="array" ref="O733">_xlfn.LET( _xlpm.s, UPPER(M733),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EKLKERIKKILEL</v>
      </c>
    </row>
    <row r="734" spans="1:15" ht="24">
      <c r="A734">
        <v>525</v>
      </c>
      <c r="B734">
        <v>78</v>
      </c>
      <c r="C734">
        <v>2</v>
      </c>
      <c r="D734">
        <v>0</v>
      </c>
      <c r="E734">
        <v>2</v>
      </c>
      <c r="G734">
        <v>-1.5250448070368454</v>
      </c>
      <c r="H734">
        <v>-1.8</v>
      </c>
      <c r="I734">
        <v>-1.5085297189712867</v>
      </c>
      <c r="K734">
        <v>-1.8</v>
      </c>
      <c r="M734" t="s">
        <v>532</v>
      </c>
      <c r="O734" s="1" t="str" cm="1">
        <f t="array" ref="O734">_xlfn.LET( _xlpm.s, UPPER(M734),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EKAIERIKAILEK</v>
      </c>
    </row>
    <row r="735" spans="1:15" ht="24">
      <c r="A735">
        <v>531</v>
      </c>
      <c r="B735">
        <v>28</v>
      </c>
      <c r="C735">
        <v>0</v>
      </c>
      <c r="D735">
        <v>2</v>
      </c>
      <c r="E735">
        <v>5</v>
      </c>
      <c r="G735">
        <v>-1.8</v>
      </c>
      <c r="H735">
        <v>-1.0960182375778715</v>
      </c>
      <c r="I735">
        <v>-0.66565313895098766</v>
      </c>
      <c r="K735">
        <v>-1.8</v>
      </c>
      <c r="M735" t="s">
        <v>538</v>
      </c>
      <c r="O735" s="1" t="str" cm="1">
        <f t="array" ref="O735">_xlfn.LET( _xlpm.s, UPPER(M735),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KKLINRIIEILKL</v>
      </c>
    </row>
    <row r="736" spans="1:15" ht="24">
      <c r="A736">
        <v>540</v>
      </c>
      <c r="B736">
        <v>40</v>
      </c>
      <c r="C736">
        <v>3</v>
      </c>
      <c r="D736">
        <v>0</v>
      </c>
      <c r="E736">
        <v>4</v>
      </c>
      <c r="G736">
        <v>-1.058918936618646</v>
      </c>
      <c r="H736">
        <v>-1.8</v>
      </c>
      <c r="I736">
        <v>-0.9174651119447873</v>
      </c>
      <c r="K736">
        <v>-1.8</v>
      </c>
      <c r="M736" t="s">
        <v>547</v>
      </c>
      <c r="O736" s="1" t="str" cm="1">
        <f t="array" ref="O736">_xlfn.LET( _xlpm.s, UPPER(M736),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EKLIKRLVEILKL</v>
      </c>
    </row>
    <row r="737" spans="1:15" ht="24">
      <c r="A737">
        <v>541</v>
      </c>
      <c r="B737">
        <v>94</v>
      </c>
      <c r="C737">
        <v>0</v>
      </c>
      <c r="D737">
        <v>4</v>
      </c>
      <c r="E737">
        <v>1</v>
      </c>
      <c r="G737">
        <v>-1.8</v>
      </c>
      <c r="H737">
        <v>-1.3209580641713699</v>
      </c>
      <c r="I737">
        <v>-1.8905929655444862</v>
      </c>
      <c r="K737">
        <v>-1.8</v>
      </c>
      <c r="M737" t="s">
        <v>548</v>
      </c>
      <c r="O737" s="1" t="str" cm="1">
        <f t="array" ref="O737">_xlfn.LET( _xlpm.s, UPPER(M737),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KKLIERIKAILEK</v>
      </c>
    </row>
    <row r="738" spans="1:15" ht="24">
      <c r="A738">
        <v>544</v>
      </c>
      <c r="B738">
        <v>56</v>
      </c>
      <c r="C738">
        <v>0</v>
      </c>
      <c r="D738">
        <v>1</v>
      </c>
      <c r="E738">
        <v>1</v>
      </c>
      <c r="G738">
        <v>-1.8</v>
      </c>
      <c r="H738">
        <v>-1.698078228905834</v>
      </c>
      <c r="I738">
        <v>-1.6656531389509879</v>
      </c>
      <c r="K738">
        <v>-1.8</v>
      </c>
      <c r="M738" t="s">
        <v>551</v>
      </c>
      <c r="O738" s="1" t="str" cm="1">
        <f t="array" ref="O738">_xlfn.LET( _xlpm.s, UPPER(M738),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EQRISRIKEILKI</v>
      </c>
    </row>
    <row r="739" spans="1:15" ht="24">
      <c r="A739">
        <v>545</v>
      </c>
      <c r="B739">
        <v>29</v>
      </c>
      <c r="C739">
        <v>0</v>
      </c>
      <c r="D739">
        <v>1</v>
      </c>
      <c r="E739">
        <v>0</v>
      </c>
      <c r="G739">
        <v>-1.8</v>
      </c>
      <c r="H739">
        <v>-1.4122881997985897</v>
      </c>
      <c r="I739">
        <v>-1.8</v>
      </c>
      <c r="K739">
        <v>-1.8</v>
      </c>
      <c r="M739" t="s">
        <v>552</v>
      </c>
      <c r="O739" s="1" t="str" cm="1">
        <f t="array" ref="O739">_xlfn.LET( _xlpm.s, UPPER(M739),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KKRIKRLEEILKI</v>
      </c>
    </row>
    <row r="740" spans="1:15" ht="24">
      <c r="A740">
        <v>549</v>
      </c>
      <c r="B740">
        <v>28</v>
      </c>
      <c r="C740">
        <v>0</v>
      </c>
      <c r="D740">
        <v>2</v>
      </c>
      <c r="E740">
        <v>1</v>
      </c>
      <c r="G740">
        <v>-1.8</v>
      </c>
      <c r="H740">
        <v>-1.0960182375778715</v>
      </c>
      <c r="I740">
        <v>-1.3646231432870066</v>
      </c>
      <c r="K740">
        <v>-1.8</v>
      </c>
      <c r="M740" t="s">
        <v>556</v>
      </c>
      <c r="O740" s="1" t="str" cm="1">
        <f t="array" ref="O740">_xlfn.LET( _xlpm.s, UPPER(M740),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ERRIKRIKEILEK</v>
      </c>
    </row>
    <row r="741" spans="1:15" ht="24">
      <c r="A741">
        <v>550</v>
      </c>
      <c r="B741">
        <v>68</v>
      </c>
      <c r="C741">
        <v>1</v>
      </c>
      <c r="D741">
        <v>1</v>
      </c>
      <c r="E741">
        <v>0</v>
      </c>
      <c r="G741">
        <v>-1.7664891127165825</v>
      </c>
      <c r="H741">
        <v>-1.78239911460587</v>
      </c>
      <c r="I741">
        <v>-1.8</v>
      </c>
      <c r="K741">
        <v>-1.8</v>
      </c>
      <c r="M741" t="s">
        <v>557</v>
      </c>
      <c r="O741" s="1" t="str" cm="1">
        <f t="array" ref="O741">_xlfn.LET( _xlpm.s, UPPER(M741),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KKRIERLKQILEL</v>
      </c>
    </row>
    <row r="742" spans="1:15" ht="24">
      <c r="A742">
        <v>553</v>
      </c>
      <c r="B742">
        <v>13</v>
      </c>
      <c r="C742">
        <v>0</v>
      </c>
      <c r="D742">
        <v>0</v>
      </c>
      <c r="E742">
        <v>0</v>
      </c>
      <c r="G742">
        <v>-1.8</v>
      </c>
      <c r="H742">
        <v>-1.8</v>
      </c>
      <c r="I742">
        <v>-1.8</v>
      </c>
      <c r="K742">
        <v>-1.8</v>
      </c>
      <c r="M742" t="s">
        <v>560</v>
      </c>
      <c r="O742" s="1" t="str" cm="1">
        <f t="array" ref="O742">_xlfn.LET( _xlpm.s, UPPER(M742),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KKKIDRIKEILKL</v>
      </c>
    </row>
    <row r="743" spans="1:15" ht="24">
      <c r="A743">
        <v>554</v>
      </c>
      <c r="B743">
        <v>96</v>
      </c>
      <c r="C743">
        <v>0</v>
      </c>
      <c r="D743">
        <v>0</v>
      </c>
      <c r="E743">
        <v>1</v>
      </c>
      <c r="G743">
        <v>-1.8</v>
      </c>
      <c r="H743">
        <v>-1.8</v>
      </c>
      <c r="I743">
        <v>-1.8997363449843558</v>
      </c>
      <c r="K743">
        <v>-1.8</v>
      </c>
      <c r="M743" t="s">
        <v>561</v>
      </c>
      <c r="O743" s="1" t="str" cm="1">
        <f t="array" ref="O743">_xlfn.LET( _xlpm.s, UPPER(M743),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NARIKRIKEILEL</v>
      </c>
    </row>
    <row r="744" spans="1:15" ht="24">
      <c r="A744">
        <v>555</v>
      </c>
      <c r="B744">
        <v>218</v>
      </c>
      <c r="C744">
        <v>0</v>
      </c>
      <c r="D744">
        <v>2</v>
      </c>
      <c r="E744">
        <v>7</v>
      </c>
      <c r="G744">
        <v>-1.8</v>
      </c>
      <c r="H744">
        <v>-1.9873166998402574</v>
      </c>
      <c r="I744">
        <v>-1.4108235655351353</v>
      </c>
      <c r="K744">
        <v>-1.8</v>
      </c>
      <c r="M744" t="s">
        <v>562</v>
      </c>
      <c r="O744" s="1" t="str" cm="1">
        <f t="array" ref="O744">_xlfn.LET( _xlpm.s, UPPER(M744),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QARIARLKAILEK</v>
      </c>
    </row>
    <row r="745" spans="1:15" ht="24">
      <c r="A745">
        <v>556</v>
      </c>
      <c r="B745">
        <v>87</v>
      </c>
      <c r="C745">
        <v>0</v>
      </c>
      <c r="D745">
        <v>1</v>
      </c>
      <c r="E745">
        <v>0</v>
      </c>
      <c r="G745">
        <v>-1.8</v>
      </c>
      <c r="H745">
        <v>-1.889409454518252</v>
      </c>
      <c r="I745">
        <v>-1.8</v>
      </c>
      <c r="K745">
        <v>-1.8</v>
      </c>
      <c r="M745" t="s">
        <v>563</v>
      </c>
      <c r="O745" s="1" t="str" cm="1">
        <f t="array" ref="O745">_xlfn.LET( _xlpm.s, UPPER(M745),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KARIQRIKEILTL</v>
      </c>
    </row>
    <row r="746" spans="1:15" ht="24">
      <c r="A746">
        <v>557</v>
      </c>
      <c r="B746">
        <v>68</v>
      </c>
      <c r="C746">
        <v>0</v>
      </c>
      <c r="D746">
        <v>1</v>
      </c>
      <c r="E746">
        <v>3</v>
      </c>
      <c r="G746">
        <v>-1.8</v>
      </c>
      <c r="H746">
        <v>-1.78239911460587</v>
      </c>
      <c r="I746">
        <v>-1.2728527699313612</v>
      </c>
      <c r="K746">
        <v>-1.8</v>
      </c>
      <c r="M746" t="s">
        <v>564</v>
      </c>
      <c r="O746" s="1" t="str" cm="1">
        <f t="array" ref="O746">_xlfn.LET( _xlpm.s, UPPER(M746),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KRRIERIKEILKL</v>
      </c>
    </row>
    <row r="747" spans="1:15" ht="24">
      <c r="A747">
        <v>558</v>
      </c>
      <c r="B747">
        <v>127</v>
      </c>
      <c r="C747">
        <v>1</v>
      </c>
      <c r="D747">
        <v>0</v>
      </c>
      <c r="E747">
        <v>0</v>
      </c>
      <c r="G747">
        <v>-2.0377839209663029</v>
      </c>
      <c r="H747">
        <v>-1.8</v>
      </c>
      <c r="I747">
        <v>-1.8</v>
      </c>
      <c r="K747">
        <v>-1.8</v>
      </c>
      <c r="M747" t="s">
        <v>565</v>
      </c>
      <c r="O747" s="1" t="str" cm="1">
        <f t="array" ref="O747">_xlfn.LET( _xlpm.s, UPPER(M747),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KARIARLEEILKI</v>
      </c>
    </row>
    <row r="748" spans="1:15" ht="24">
      <c r="A748">
        <v>560</v>
      </c>
      <c r="B748">
        <v>142</v>
      </c>
      <c r="C748">
        <v>3</v>
      </c>
      <c r="D748">
        <v>0</v>
      </c>
      <c r="E748">
        <v>4</v>
      </c>
      <c r="G748">
        <v>-1.6091472896737402</v>
      </c>
      <c r="H748">
        <v>-1.8</v>
      </c>
      <c r="I748">
        <v>-1.4676934649998814</v>
      </c>
      <c r="K748">
        <v>-1.8</v>
      </c>
      <c r="M748" t="s">
        <v>567</v>
      </c>
      <c r="O748" s="1" t="str" cm="1">
        <f t="array" ref="O748">_xlfn.LET( _xlpm.s, UPPER(M748),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KERIERIKAILEL</v>
      </c>
    </row>
    <row r="749" spans="1:15" ht="24">
      <c r="A749">
        <v>561</v>
      </c>
      <c r="B749">
        <v>40</v>
      </c>
      <c r="C749">
        <v>2</v>
      </c>
      <c r="D749">
        <v>0</v>
      </c>
      <c r="E749">
        <v>2</v>
      </c>
      <c r="G749">
        <v>-1.2350101956743273</v>
      </c>
      <c r="H749">
        <v>-1.8</v>
      </c>
      <c r="I749">
        <v>-1.2184951076087687</v>
      </c>
      <c r="K749">
        <v>-1.8</v>
      </c>
      <c r="M749" t="s">
        <v>568</v>
      </c>
      <c r="O749" s="1" t="str" cm="1">
        <f t="array" ref="O749">_xlfn.LET( _xlpm.s, UPPER(M749),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NKRIERIKEILKI</v>
      </c>
    </row>
    <row r="750" spans="1:15" ht="24">
      <c r="A750">
        <v>562</v>
      </c>
      <c r="B750">
        <v>20</v>
      </c>
      <c r="C750">
        <v>1</v>
      </c>
      <c r="D750">
        <v>0</v>
      </c>
      <c r="E750">
        <v>1</v>
      </c>
      <c r="G750">
        <v>-1.2350101956743273</v>
      </c>
      <c r="H750">
        <v>-1.8</v>
      </c>
      <c r="I750">
        <v>-1.2184951076087687</v>
      </c>
      <c r="K750">
        <v>-1.8</v>
      </c>
      <c r="M750" t="s">
        <v>569</v>
      </c>
      <c r="O750" s="1" t="str" cm="1">
        <f t="array" ref="O750">_xlfn.LET( _xlpm.s, UPPER(M750),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KAKIERLKKILEI</v>
      </c>
    </row>
    <row r="751" spans="1:15" ht="24">
      <c r="A751">
        <v>563</v>
      </c>
      <c r="B751">
        <v>32</v>
      </c>
      <c r="C751">
        <v>0</v>
      </c>
      <c r="D751">
        <v>0</v>
      </c>
      <c r="E751">
        <v>0</v>
      </c>
      <c r="G751">
        <v>-1.8</v>
      </c>
      <c r="H751">
        <v>-1.8</v>
      </c>
      <c r="I751">
        <v>-1.8</v>
      </c>
      <c r="K751">
        <v>-1.8</v>
      </c>
      <c r="M751" t="s">
        <v>570</v>
      </c>
      <c r="O751" s="1" t="str" cm="1">
        <f t="array" ref="O751">_xlfn.LET( _xlpm.s, UPPER(M751),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KEREKRLVEILKI</v>
      </c>
    </row>
    <row r="752" spans="1:15" ht="24">
      <c r="A752">
        <v>564</v>
      </c>
      <c r="B752">
        <v>7</v>
      </c>
      <c r="C752">
        <v>2</v>
      </c>
      <c r="D752">
        <v>2</v>
      </c>
      <c r="E752">
        <v>0</v>
      </c>
      <c r="G752">
        <v>-0.47804824436062165</v>
      </c>
      <c r="H752">
        <v>-0.49395824624990919</v>
      </c>
      <c r="I752">
        <v>-1.8</v>
      </c>
      <c r="K752">
        <v>-1.8</v>
      </c>
      <c r="M752" t="s">
        <v>571</v>
      </c>
      <c r="O752" s="1" t="str" cm="1">
        <f t="array" ref="O752">_xlfn.LET( _xlpm.s, UPPER(M752),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REKIKRLKEILEK</v>
      </c>
    </row>
    <row r="753" spans="1:15" ht="24">
      <c r="A753">
        <v>567</v>
      </c>
      <c r="B753">
        <v>6</v>
      </c>
      <c r="C753">
        <v>0</v>
      </c>
      <c r="D753">
        <v>0</v>
      </c>
      <c r="E753">
        <v>1</v>
      </c>
      <c r="G753">
        <v>-1.8</v>
      </c>
      <c r="H753">
        <v>-1.8</v>
      </c>
      <c r="I753">
        <v>-0.69561636232843094</v>
      </c>
      <c r="K753">
        <v>-1.8</v>
      </c>
      <c r="M753" t="s">
        <v>574</v>
      </c>
      <c r="O753" s="1" t="str" cm="1">
        <f t="array" ref="O753">_xlfn.LET( _xlpm.s, UPPER(M753),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KAKIKRLEEILKI</v>
      </c>
    </row>
    <row r="754" spans="1:15" ht="24">
      <c r="A754">
        <v>568</v>
      </c>
      <c r="B754">
        <v>103</v>
      </c>
      <c r="C754">
        <v>0</v>
      </c>
      <c r="D754">
        <v>0</v>
      </c>
      <c r="E754">
        <v>1</v>
      </c>
      <c r="G754">
        <v>-1.8</v>
      </c>
      <c r="H754">
        <v>-1.8</v>
      </c>
      <c r="I754">
        <v>-1.9303023366499599</v>
      </c>
      <c r="K754">
        <v>-1.8</v>
      </c>
      <c r="M754" t="s">
        <v>575</v>
      </c>
      <c r="O754" s="1" t="str" cm="1">
        <f t="array" ref="O754">_xlfn.LET( _xlpm.s, UPPER(M754),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KKRIERIKAILEK</v>
      </c>
    </row>
    <row r="755" spans="1:15" ht="24">
      <c r="A755">
        <v>570</v>
      </c>
      <c r="B755">
        <v>58</v>
      </c>
      <c r="C755">
        <v>0</v>
      </c>
      <c r="D755">
        <v>1</v>
      </c>
      <c r="E755">
        <v>0</v>
      </c>
      <c r="G755">
        <v>-1.8</v>
      </c>
      <c r="H755">
        <v>-1.7133181954625709</v>
      </c>
      <c r="I755">
        <v>-1.8</v>
      </c>
      <c r="K755">
        <v>-1.8</v>
      </c>
      <c r="M755" t="s">
        <v>577</v>
      </c>
      <c r="O755" s="1" t="str" cm="1">
        <f t="array" ref="O755">_xlfn.LET( _xlpm.s, UPPER(M755),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EARLRRIKEILKI</v>
      </c>
    </row>
    <row r="756" spans="1:15" ht="24">
      <c r="A756">
        <v>571</v>
      </c>
      <c r="B756">
        <v>64</v>
      </c>
      <c r="C756">
        <v>0</v>
      </c>
      <c r="D756">
        <v>1</v>
      </c>
      <c r="E756">
        <v>0</v>
      </c>
      <c r="G756">
        <v>-1.8</v>
      </c>
      <c r="H756">
        <v>-1.7560701758835207</v>
      </c>
      <c r="I756">
        <v>-1.8</v>
      </c>
      <c r="K756">
        <v>-1.8</v>
      </c>
      <c r="M756" t="s">
        <v>578</v>
      </c>
      <c r="O756" s="1" t="str" cm="1">
        <f t="array" ref="O756">_xlfn.LET( _xlpm.s, UPPER(M756),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EKRIDRLKEILKI</v>
      </c>
    </row>
    <row r="757" spans="1:15" ht="24">
      <c r="A757">
        <v>572</v>
      </c>
      <c r="B757">
        <v>14</v>
      </c>
      <c r="C757">
        <v>0</v>
      </c>
      <c r="D757">
        <v>1</v>
      </c>
      <c r="E757">
        <v>0</v>
      </c>
      <c r="G757">
        <v>-1.8</v>
      </c>
      <c r="H757">
        <v>-1.0960182375778715</v>
      </c>
      <c r="I757">
        <v>-1.8</v>
      </c>
      <c r="K757">
        <v>-1.8</v>
      </c>
      <c r="M757" t="s">
        <v>579</v>
      </c>
      <c r="O757" s="1" t="str" cm="1">
        <f t="array" ref="O757">_xlfn.LET( _xlpm.s, UPPER(M757),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KERIKKLEEILKI</v>
      </c>
    </row>
    <row r="758" spans="1:15" ht="24">
      <c r="A758">
        <v>573</v>
      </c>
      <c r="B758">
        <v>63</v>
      </c>
      <c r="C758">
        <v>0</v>
      </c>
      <c r="D758">
        <v>1</v>
      </c>
      <c r="E758">
        <v>0</v>
      </c>
      <c r="G758">
        <v>-1.8</v>
      </c>
      <c r="H758">
        <v>-1.7492307513532153</v>
      </c>
      <c r="I758">
        <v>-1.8</v>
      </c>
      <c r="K758">
        <v>-1.8</v>
      </c>
      <c r="M758" t="s">
        <v>580</v>
      </c>
      <c r="O758" s="1" t="str" cm="1">
        <f t="array" ref="O758">_xlfn.LET( _xlpm.s, UPPER(M758),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EARIKRIKEILEI</v>
      </c>
    </row>
    <row r="759" spans="1:15" ht="24">
      <c r="A759">
        <v>575</v>
      </c>
      <c r="B759">
        <v>29</v>
      </c>
      <c r="C759">
        <v>0</v>
      </c>
      <c r="D759">
        <v>1</v>
      </c>
      <c r="E759">
        <v>0</v>
      </c>
      <c r="G759">
        <v>-1.8</v>
      </c>
      <c r="H759">
        <v>-1.4122881997985897</v>
      </c>
      <c r="I759">
        <v>-1.8</v>
      </c>
      <c r="K759">
        <v>-1.8</v>
      </c>
      <c r="M759" t="s">
        <v>582</v>
      </c>
      <c r="O759" s="1" t="str" cm="1">
        <f t="array" ref="O759">_xlfn.LET( _xlpm.s, UPPER(M759),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KKRIERLKEILKK</v>
      </c>
    </row>
    <row r="760" spans="1:15" ht="24">
      <c r="A760">
        <v>576</v>
      </c>
      <c r="B760">
        <v>71</v>
      </c>
      <c r="C760">
        <v>0</v>
      </c>
      <c r="D760">
        <v>0</v>
      </c>
      <c r="E760">
        <v>0</v>
      </c>
      <c r="G760">
        <v>-1.8</v>
      </c>
      <c r="H760">
        <v>-1.8</v>
      </c>
      <c r="I760">
        <v>-1.8</v>
      </c>
      <c r="K760">
        <v>-1.8</v>
      </c>
      <c r="M760" t="s">
        <v>583</v>
      </c>
      <c r="O760" s="1" t="str" cm="1">
        <f t="array" ref="O760">_xlfn.LET( _xlpm.s, UPPER(M760),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KKRIERLKEILKI</v>
      </c>
    </row>
    <row r="761" spans="1:15" ht="24">
      <c r="A761">
        <v>577</v>
      </c>
      <c r="B761">
        <v>109</v>
      </c>
      <c r="C761">
        <v>2</v>
      </c>
      <c r="D761">
        <v>0</v>
      </c>
      <c r="E761">
        <v>0</v>
      </c>
      <c r="G761">
        <v>-1.6703767022869884</v>
      </c>
      <c r="H761">
        <v>-1.8</v>
      </c>
      <c r="I761">
        <v>-1.8</v>
      </c>
      <c r="K761">
        <v>-1.8</v>
      </c>
      <c r="M761" t="s">
        <v>584</v>
      </c>
      <c r="O761" s="1" t="str" cm="1">
        <f t="array" ref="O761">_xlfn.LET( _xlpm.s, UPPER(M761),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KKRIERLKAILEK</v>
      </c>
    </row>
    <row r="762" spans="1:15" ht="24">
      <c r="A762">
        <v>578</v>
      </c>
      <c r="B762">
        <v>46</v>
      </c>
      <c r="C762">
        <v>0</v>
      </c>
      <c r="D762">
        <v>2</v>
      </c>
      <c r="E762">
        <v>1</v>
      </c>
      <c r="G762">
        <v>-1.8</v>
      </c>
      <c r="H762">
        <v>-1.3116180379172264</v>
      </c>
      <c r="I762">
        <v>-1.5802229436263615</v>
      </c>
      <c r="K762">
        <v>-1.8</v>
      </c>
      <c r="M762" t="s">
        <v>585</v>
      </c>
      <c r="O762" s="1" t="str" cm="1">
        <f t="array" ref="O762">_xlfn.LET( _xlpm.s, UPPER(M762),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EKRIKRLKEILEI</v>
      </c>
    </row>
    <row r="763" spans="1:15" ht="24">
      <c r="A763">
        <v>580</v>
      </c>
      <c r="B763">
        <v>53</v>
      </c>
      <c r="C763">
        <v>0</v>
      </c>
      <c r="D763">
        <v>3</v>
      </c>
      <c r="E763">
        <v>0</v>
      </c>
      <c r="G763">
        <v>-1.8</v>
      </c>
      <c r="H763">
        <v>-1.1970448167807601</v>
      </c>
      <c r="I763">
        <v>-1.8</v>
      </c>
      <c r="K763">
        <v>-1.8</v>
      </c>
      <c r="M763" t="s">
        <v>587</v>
      </c>
      <c r="O763" s="1" t="str" cm="1">
        <f t="array" ref="O763">_xlfn.LET( _xlpm.s, UPPER(M763),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EQRIKRLEAILKK</v>
      </c>
    </row>
    <row r="764" spans="1:15" ht="24">
      <c r="A764">
        <v>581</v>
      </c>
      <c r="B764">
        <v>26</v>
      </c>
      <c r="C764">
        <v>0</v>
      </c>
      <c r="D764">
        <v>0</v>
      </c>
      <c r="E764">
        <v>0</v>
      </c>
      <c r="G764">
        <v>-1.8</v>
      </c>
      <c r="H764">
        <v>-1.8</v>
      </c>
      <c r="I764">
        <v>-1.8</v>
      </c>
      <c r="K764">
        <v>-1.8</v>
      </c>
      <c r="M764" t="s">
        <v>588</v>
      </c>
      <c r="O764" s="1" t="str" cm="1">
        <f t="array" ref="O764">_xlfn.LET( _xlpm.s, UPPER(M764),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EKRIKRIKEILKI</v>
      </c>
    </row>
    <row r="765" spans="1:15" ht="24">
      <c r="A765">
        <v>582</v>
      </c>
      <c r="B765">
        <v>15</v>
      </c>
      <c r="C765">
        <v>0</v>
      </c>
      <c r="D765">
        <v>1</v>
      </c>
      <c r="E765">
        <v>0</v>
      </c>
      <c r="G765">
        <v>-1.8</v>
      </c>
      <c r="H765">
        <v>-1.1259814609553149</v>
      </c>
      <c r="I765">
        <v>-1.8</v>
      </c>
      <c r="K765">
        <v>-1.8</v>
      </c>
      <c r="M765" t="s">
        <v>589</v>
      </c>
      <c r="O765" s="1" t="str" cm="1">
        <f t="array" ref="O765">_xlfn.LET( _xlpm.s, UPPER(M765),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NKIIDRIKEILKI</v>
      </c>
    </row>
    <row r="766" spans="1:15" ht="24">
      <c r="A766">
        <v>583</v>
      </c>
      <c r="B766">
        <v>42</v>
      </c>
      <c r="C766">
        <v>0</v>
      </c>
      <c r="D766">
        <v>0</v>
      </c>
      <c r="E766">
        <v>0</v>
      </c>
      <c r="G766">
        <v>-1.8</v>
      </c>
      <c r="H766">
        <v>-1.8</v>
      </c>
      <c r="I766">
        <v>-1.8</v>
      </c>
      <c r="K766">
        <v>-1.8</v>
      </c>
      <c r="M766" t="s">
        <v>590</v>
      </c>
      <c r="O766" s="1" t="str" cm="1">
        <f t="array" ref="O766">_xlfn.LET( _xlpm.s, UPPER(M766),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EARIKRIKEILKI</v>
      </c>
    </row>
    <row r="767" spans="1:15" ht="24">
      <c r="A767">
        <v>586</v>
      </c>
      <c r="B767">
        <v>124</v>
      </c>
      <c r="C767">
        <v>1</v>
      </c>
      <c r="D767">
        <v>0</v>
      </c>
      <c r="E767">
        <v>0</v>
      </c>
      <c r="G767">
        <v>-2.0274018851725812</v>
      </c>
      <c r="H767">
        <v>-1.8</v>
      </c>
      <c r="I767">
        <v>-1.8</v>
      </c>
      <c r="K767">
        <v>-1.8</v>
      </c>
      <c r="M767" t="s">
        <v>593</v>
      </c>
      <c r="O767" s="1" t="str" cm="1">
        <f t="array" ref="O767">_xlfn.LET( _xlpm.s, UPPER(M767),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KARIERLKQILEI</v>
      </c>
    </row>
    <row r="768" spans="1:15" ht="24">
      <c r="A768">
        <v>587</v>
      </c>
      <c r="B768">
        <v>54</v>
      </c>
      <c r="C768">
        <v>0</v>
      </c>
      <c r="D768">
        <v>0</v>
      </c>
      <c r="E768">
        <v>0</v>
      </c>
      <c r="G768">
        <v>-1.8</v>
      </c>
      <c r="H768">
        <v>-1.8</v>
      </c>
      <c r="I768">
        <v>-1.8</v>
      </c>
      <c r="K768">
        <v>-1.8</v>
      </c>
      <c r="M768" t="s">
        <v>594</v>
      </c>
      <c r="O768" s="1" t="str" cm="1">
        <f t="array" ref="O768">_xlfn.LET( _xlpm.s, UPPER(M768),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KQRIERIKEILKI</v>
      </c>
    </row>
    <row r="769" spans="1:15" ht="24">
      <c r="A769">
        <v>589</v>
      </c>
      <c r="B769">
        <v>72</v>
      </c>
      <c r="C769">
        <v>1</v>
      </c>
      <c r="D769">
        <v>1</v>
      </c>
      <c r="E769">
        <v>0</v>
      </c>
      <c r="G769">
        <v>-1.7913126964416146</v>
      </c>
      <c r="H769">
        <v>-1.8072226983309021</v>
      </c>
      <c r="I769">
        <v>-1.8</v>
      </c>
      <c r="K769">
        <v>-1.8</v>
      </c>
      <c r="M769" t="s">
        <v>596</v>
      </c>
      <c r="O769" s="1" t="str" cm="1">
        <f t="array" ref="O769">_xlfn.LET( _xlpm.s, UPPER(M769),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EARIKRIKEILKL</v>
      </c>
    </row>
    <row r="770" spans="1:15" ht="24">
      <c r="A770">
        <v>593</v>
      </c>
      <c r="B770">
        <v>207</v>
      </c>
      <c r="C770">
        <v>9</v>
      </c>
      <c r="D770">
        <v>1</v>
      </c>
      <c r="E770">
        <v>0</v>
      </c>
      <c r="G770">
        <v>-1.2957080360279389</v>
      </c>
      <c r="H770">
        <v>-2.2658605473565512</v>
      </c>
      <c r="I770">
        <v>-1.8</v>
      </c>
      <c r="K770">
        <v>-1.8</v>
      </c>
      <c r="M770" t="s">
        <v>600</v>
      </c>
      <c r="O770" s="1" t="str" cm="1">
        <f t="array" ref="O770">_xlfn.LET( _xlpm.s, UPPER(M770),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KARIERLKAILEK</v>
      </c>
    </row>
    <row r="771" spans="1:15" ht="24">
      <c r="A771">
        <v>594</v>
      </c>
      <c r="B771">
        <v>11</v>
      </c>
      <c r="C771">
        <v>0</v>
      </c>
      <c r="D771">
        <v>1</v>
      </c>
      <c r="E771">
        <v>1</v>
      </c>
      <c r="G771">
        <v>-1.8</v>
      </c>
      <c r="H771">
        <v>-0.99128288705785839</v>
      </c>
      <c r="I771">
        <v>-0.95885779710301222</v>
      </c>
      <c r="K771">
        <v>-1.8</v>
      </c>
      <c r="M771" t="s">
        <v>601</v>
      </c>
      <c r="O771" s="1" t="str" cm="1">
        <f t="array" ref="O771">_xlfn.LET( _xlpm.s, UPPER(M771),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KEKIERIKKILEL</v>
      </c>
    </row>
    <row r="772" spans="1:15" ht="24">
      <c r="A772">
        <v>595</v>
      </c>
      <c r="B772">
        <v>27</v>
      </c>
      <c r="C772">
        <v>0</v>
      </c>
      <c r="D772">
        <v>1</v>
      </c>
      <c r="E772">
        <v>1</v>
      </c>
      <c r="G772">
        <v>-1.8</v>
      </c>
      <c r="H772">
        <v>-1.3812539660586209</v>
      </c>
      <c r="I772">
        <v>-1.3488288761037748</v>
      </c>
      <c r="K772">
        <v>-1.8</v>
      </c>
      <c r="M772" t="s">
        <v>602</v>
      </c>
      <c r="O772" s="1" t="str" cm="1">
        <f t="array" ref="O772">_xlfn.LET( _xlpm.s, UPPER(M772),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KKLIERIKEILEK</v>
      </c>
    </row>
    <row r="773" spans="1:15" ht="24">
      <c r="A773">
        <v>596</v>
      </c>
      <c r="B773">
        <v>10</v>
      </c>
      <c r="C773">
        <v>0</v>
      </c>
      <c r="D773">
        <v>0</v>
      </c>
      <c r="E773">
        <v>0</v>
      </c>
      <c r="G773">
        <v>-1.8</v>
      </c>
      <c r="H773">
        <v>-1.8</v>
      </c>
      <c r="I773">
        <v>-1.8</v>
      </c>
      <c r="K773">
        <v>-1.8</v>
      </c>
      <c r="M773" t="s">
        <v>603</v>
      </c>
      <c r="O773" s="1" t="str" cm="1">
        <f t="array" ref="O773">_xlfn.LET( _xlpm.s, UPPER(M773),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EEKIKRIKEILKI</v>
      </c>
    </row>
    <row r="774" spans="1:15" ht="24">
      <c r="A774">
        <v>598</v>
      </c>
      <c r="B774">
        <v>104</v>
      </c>
      <c r="C774">
        <v>0</v>
      </c>
      <c r="D774">
        <v>0</v>
      </c>
      <c r="E774">
        <v>1</v>
      </c>
      <c r="G774">
        <v>-1.8</v>
      </c>
      <c r="H774">
        <v>-1.8</v>
      </c>
      <c r="I774">
        <v>-1.9344984512435677</v>
      </c>
      <c r="K774">
        <v>-1.8</v>
      </c>
      <c r="M774" t="s">
        <v>605</v>
      </c>
      <c r="O774" s="1" t="str" cm="1">
        <f t="array" ref="O774">_xlfn.LET( _xlpm.s, UPPER(M774),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KARIERIKEILKI</v>
      </c>
    </row>
    <row r="775" spans="1:15" ht="24">
      <c r="A775">
        <v>599</v>
      </c>
      <c r="B775">
        <v>14</v>
      </c>
      <c r="C775">
        <v>0</v>
      </c>
      <c r="D775">
        <v>0</v>
      </c>
      <c r="E775">
        <v>0</v>
      </c>
      <c r="G775">
        <v>-1.8</v>
      </c>
      <c r="H775">
        <v>-1.8</v>
      </c>
      <c r="I775">
        <v>-1.8</v>
      </c>
      <c r="K775">
        <v>-1.8</v>
      </c>
      <c r="M775" t="s">
        <v>606</v>
      </c>
      <c r="O775" s="1" t="str" cm="1">
        <f t="array" ref="O775">_xlfn.LET( _xlpm.s, UPPER(M775),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KEKIKRLKEILKV</v>
      </c>
    </row>
    <row r="776" spans="1:15" ht="24">
      <c r="A776">
        <v>600</v>
      </c>
      <c r="B776">
        <v>90</v>
      </c>
      <c r="C776">
        <v>0</v>
      </c>
      <c r="D776">
        <v>1</v>
      </c>
      <c r="E776">
        <v>1</v>
      </c>
      <c r="G776">
        <v>-1.8</v>
      </c>
      <c r="H776">
        <v>-1.9041327113389583</v>
      </c>
      <c r="I776">
        <v>-1.8717076213841122</v>
      </c>
      <c r="K776">
        <v>-1.8</v>
      </c>
      <c r="M776" t="s">
        <v>607</v>
      </c>
      <c r="O776" s="1" t="str" cm="1">
        <f t="array" ref="O776">_xlfn.LET( _xlpm.s, UPPER(M776),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QKRIERIKQILEI</v>
      </c>
    </row>
    <row r="777" spans="1:15" ht="24">
      <c r="A777">
        <v>601</v>
      </c>
      <c r="B777">
        <v>67</v>
      </c>
      <c r="C777">
        <v>1</v>
      </c>
      <c r="D777">
        <v>0</v>
      </c>
      <c r="E777">
        <v>0</v>
      </c>
      <c r="G777">
        <v>-1.7600550027111725</v>
      </c>
      <c r="H777">
        <v>-1.8</v>
      </c>
      <c r="I777">
        <v>-1.8</v>
      </c>
      <c r="K777">
        <v>-1.8</v>
      </c>
      <c r="M777" t="s">
        <v>608</v>
      </c>
      <c r="O777" s="1" t="str" cm="1">
        <f t="array" ref="O777">_xlfn.LET( _xlpm.s, UPPER(M777),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KAREKRLKEILKL</v>
      </c>
    </row>
    <row r="778" spans="1:15" ht="24">
      <c r="A778">
        <v>602</v>
      </c>
      <c r="B778">
        <v>42</v>
      </c>
      <c r="C778">
        <v>0</v>
      </c>
      <c r="D778">
        <v>0</v>
      </c>
      <c r="E778">
        <v>1</v>
      </c>
      <c r="G778">
        <v>-1.8</v>
      </c>
      <c r="H778">
        <v>-1.8</v>
      </c>
      <c r="I778">
        <v>-1.540714402342688</v>
      </c>
      <c r="K778">
        <v>-1.8</v>
      </c>
      <c r="M778" t="s">
        <v>609</v>
      </c>
      <c r="O778" s="1" t="str" cm="1">
        <f t="array" ref="O778">_xlfn.LET( _xlpm.s, UPPER(M778),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EAVKKRLEAILKQ</v>
      </c>
    </row>
    <row r="779" spans="1:15" ht="24">
      <c r="A779">
        <v>603</v>
      </c>
      <c r="B779">
        <v>202</v>
      </c>
      <c r="C779">
        <v>0</v>
      </c>
      <c r="D779">
        <v>1</v>
      </c>
      <c r="E779">
        <v>2</v>
      </c>
      <c r="G779">
        <v>-1.8</v>
      </c>
      <c r="H779">
        <v>-2.2552415713462572</v>
      </c>
      <c r="I779">
        <v>-1.92178648572743</v>
      </c>
      <c r="K779">
        <v>-1.8</v>
      </c>
      <c r="M779" t="s">
        <v>610</v>
      </c>
      <c r="O779" s="1" t="str" cm="1">
        <f t="array" ref="O779">_xlfn.LET( _xlpm.s, UPPER(M779),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KARIERIKAILRI</v>
      </c>
    </row>
    <row r="780" spans="1:15" ht="24">
      <c r="A780">
        <v>605</v>
      </c>
      <c r="B780">
        <v>81</v>
      </c>
      <c r="C780">
        <v>0</v>
      </c>
      <c r="D780">
        <v>0</v>
      </c>
      <c r="E780">
        <v>0</v>
      </c>
      <c r="G780">
        <v>-1.8</v>
      </c>
      <c r="H780">
        <v>-1.8</v>
      </c>
      <c r="I780">
        <v>-1.8</v>
      </c>
      <c r="K780">
        <v>-1.8</v>
      </c>
      <c r="M780" t="s">
        <v>612</v>
      </c>
      <c r="O780" s="1" t="str" cm="1">
        <f t="array" ref="O780">_xlfn.LET( _xlpm.s, UPPER(M780),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EARIKRIKDILEI</v>
      </c>
    </row>
    <row r="781" spans="1:15" ht="24">
      <c r="A781">
        <v>606</v>
      </c>
      <c r="B781">
        <v>59</v>
      </c>
      <c r="C781">
        <v>0</v>
      </c>
      <c r="D781">
        <v>3</v>
      </c>
      <c r="E781">
        <v>0</v>
      </c>
      <c r="G781">
        <v>-1.8</v>
      </c>
      <c r="H781">
        <v>-1.2436209588221152</v>
      </c>
      <c r="I781">
        <v>-1.8</v>
      </c>
      <c r="K781">
        <v>-1.8</v>
      </c>
      <c r="M781" t="s">
        <v>613</v>
      </c>
      <c r="O781" s="1" t="str" cm="1">
        <f t="array" ref="O781">_xlfn.LET( _xlpm.s, UPPER(M781),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KRRIKRIEEILKI</v>
      </c>
    </row>
    <row r="782" spans="1:15" ht="24">
      <c r="A782">
        <v>608</v>
      </c>
      <c r="B782">
        <v>100</v>
      </c>
      <c r="C782">
        <v>0</v>
      </c>
      <c r="D782">
        <v>1</v>
      </c>
      <c r="E782">
        <v>0</v>
      </c>
      <c r="G782">
        <v>-1.8</v>
      </c>
      <c r="H782">
        <v>-1.9498902018996336</v>
      </c>
      <c r="I782">
        <v>-1.8</v>
      </c>
      <c r="K782">
        <v>-1.8</v>
      </c>
      <c r="M782" t="s">
        <v>615</v>
      </c>
      <c r="O782" s="1" t="str" cm="1">
        <f t="array" ref="O782">_xlfn.LET( _xlpm.s, UPPER(M782),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KARIERIKEILTI</v>
      </c>
    </row>
    <row r="783" spans="1:15" ht="24">
      <c r="A783">
        <v>610</v>
      </c>
      <c r="B783">
        <v>35</v>
      </c>
      <c r="C783">
        <v>0</v>
      </c>
      <c r="D783">
        <v>2</v>
      </c>
      <c r="E783">
        <v>0</v>
      </c>
      <c r="G783">
        <v>-1.8</v>
      </c>
      <c r="H783">
        <v>-1.192928250585928</v>
      </c>
      <c r="I783">
        <v>-1.8</v>
      </c>
      <c r="K783">
        <v>-1.8</v>
      </c>
      <c r="M783" t="s">
        <v>617</v>
      </c>
      <c r="O783" s="1" t="str" cm="1">
        <f t="array" ref="O783">_xlfn.LET( _xlpm.s, UPPER(M783),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EAKIQRLKQILEQ</v>
      </c>
    </row>
    <row r="784" spans="1:15" ht="24">
      <c r="A784">
        <v>611</v>
      </c>
      <c r="B784">
        <v>79</v>
      </c>
      <c r="C784">
        <v>1</v>
      </c>
      <c r="D784">
        <v>7</v>
      </c>
      <c r="E784">
        <v>0</v>
      </c>
      <c r="G784">
        <v>-1.8316072913007875</v>
      </c>
      <c r="H784">
        <v>-1.0024192531758183</v>
      </c>
      <c r="I784">
        <v>-1.8</v>
      </c>
      <c r="K784">
        <v>-1.8</v>
      </c>
      <c r="M784" t="s">
        <v>618</v>
      </c>
      <c r="O784" s="1" t="str" cm="1">
        <f t="array" ref="O784">_xlfn.LET( _xlpm.s, UPPER(M784),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KARIDRLKEILKI</v>
      </c>
    </row>
    <row r="785" spans="1:15" ht="24">
      <c r="A785">
        <v>613</v>
      </c>
      <c r="B785">
        <v>19</v>
      </c>
      <c r="C785">
        <v>0</v>
      </c>
      <c r="D785">
        <v>0</v>
      </c>
      <c r="E785">
        <v>0</v>
      </c>
      <c r="G785">
        <v>-1.8</v>
      </c>
      <c r="H785">
        <v>-1.8</v>
      </c>
      <c r="I785">
        <v>-1.8</v>
      </c>
      <c r="K785">
        <v>-1.8</v>
      </c>
      <c r="M785" t="s">
        <v>620</v>
      </c>
      <c r="O785" s="1" t="str" cm="1">
        <f t="array" ref="O785">_xlfn.LET( _xlpm.s, UPPER(M785),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KKVIKRLKEILEL</v>
      </c>
    </row>
    <row r="786" spans="1:15" ht="24">
      <c r="A786">
        <v>614</v>
      </c>
      <c r="B786">
        <v>16</v>
      </c>
      <c r="C786">
        <v>0</v>
      </c>
      <c r="D786">
        <v>0</v>
      </c>
      <c r="E786">
        <v>0</v>
      </c>
      <c r="G786">
        <v>-1.8</v>
      </c>
      <c r="H786">
        <v>-1.8</v>
      </c>
      <c r="I786">
        <v>-1.8</v>
      </c>
      <c r="K786">
        <v>-1.8</v>
      </c>
      <c r="M786" t="s">
        <v>621</v>
      </c>
      <c r="O786" s="1" t="str" cm="1">
        <f t="array" ref="O786">_xlfn.LET( _xlpm.s, UPPER(M786),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EAKIKRLKEILKI</v>
      </c>
    </row>
    <row r="787" spans="1:15" ht="24">
      <c r="A787">
        <v>615</v>
      </c>
      <c r="B787">
        <v>63</v>
      </c>
      <c r="C787">
        <v>0</v>
      </c>
      <c r="D787">
        <v>0</v>
      </c>
      <c r="E787">
        <v>1</v>
      </c>
      <c r="G787">
        <v>-1.8</v>
      </c>
      <c r="H787">
        <v>-1.8</v>
      </c>
      <c r="I787">
        <v>-1.7168056613983691</v>
      </c>
      <c r="K787">
        <v>-1.8</v>
      </c>
      <c r="M787" t="s">
        <v>622</v>
      </c>
      <c r="O787" s="1" t="str" cm="1">
        <f t="array" ref="O787">_xlfn.LET( _xlpm.s, UPPER(M787),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KKRIERLKEILKL</v>
      </c>
    </row>
    <row r="788" spans="1:15" ht="24">
      <c r="A788">
        <v>616</v>
      </c>
      <c r="B788">
        <v>63</v>
      </c>
      <c r="C788">
        <v>0</v>
      </c>
      <c r="D788">
        <v>0</v>
      </c>
      <c r="E788">
        <v>1</v>
      </c>
      <c r="G788">
        <v>-1.8</v>
      </c>
      <c r="H788">
        <v>-1.8</v>
      </c>
      <c r="I788">
        <v>-1.7168056613983691</v>
      </c>
      <c r="K788">
        <v>-1.8</v>
      </c>
      <c r="M788" t="s">
        <v>623</v>
      </c>
      <c r="O788" s="1" t="str" cm="1">
        <f t="array" ref="O788">_xlfn.LET( _xlpm.s, UPPER(M788),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KARIERIKKILEL</v>
      </c>
    </row>
    <row r="789" spans="1:15" ht="24">
      <c r="A789">
        <v>618</v>
      </c>
      <c r="B789">
        <v>23</v>
      </c>
      <c r="C789">
        <v>1</v>
      </c>
      <c r="D789">
        <v>0</v>
      </c>
      <c r="E789">
        <v>0</v>
      </c>
      <c r="G789">
        <v>-1.2957080360279389</v>
      </c>
      <c r="H789">
        <v>-1.8</v>
      </c>
      <c r="I789">
        <v>-1.8</v>
      </c>
      <c r="K789">
        <v>-1.8</v>
      </c>
      <c r="M789" t="s">
        <v>625</v>
      </c>
      <c r="O789" s="1" t="str" cm="1">
        <f t="array" ref="O789">_xlfn.LET( _xlpm.s, UPPER(M789),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KAKIERLKEILKI</v>
      </c>
    </row>
    <row r="790" spans="1:15" ht="24">
      <c r="A790">
        <v>619</v>
      </c>
      <c r="B790">
        <v>63</v>
      </c>
      <c r="C790">
        <v>0</v>
      </c>
      <c r="D790">
        <v>0</v>
      </c>
      <c r="E790">
        <v>0</v>
      </c>
      <c r="G790">
        <v>-1.8</v>
      </c>
      <c r="H790">
        <v>-1.8</v>
      </c>
      <c r="I790">
        <v>-1.8</v>
      </c>
      <c r="K790">
        <v>-1.8</v>
      </c>
      <c r="M790" t="s">
        <v>626</v>
      </c>
      <c r="O790" s="1" t="str" cm="1">
        <f t="array" ref="O790">_xlfn.LET( _xlpm.s, UPPER(M790),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KARIKRLKEILKL</v>
      </c>
    </row>
    <row r="791" spans="1:15" ht="24">
      <c r="A791">
        <v>620</v>
      </c>
      <c r="B791">
        <v>58</v>
      </c>
      <c r="C791">
        <v>0</v>
      </c>
      <c r="D791">
        <v>0</v>
      </c>
      <c r="E791">
        <v>0</v>
      </c>
      <c r="G791">
        <v>-1.8</v>
      </c>
      <c r="H791">
        <v>-1.8</v>
      </c>
      <c r="I791">
        <v>-1.8</v>
      </c>
      <c r="K791">
        <v>-1.8</v>
      </c>
      <c r="M791" t="s">
        <v>627</v>
      </c>
      <c r="O791" s="1" t="str" cm="1">
        <f t="array" ref="O791">_xlfn.LET( _xlpm.s, UPPER(M791),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KKRIERIKEILKI</v>
      </c>
    </row>
    <row r="792" spans="1:15" ht="24">
      <c r="A792">
        <v>621</v>
      </c>
      <c r="B792">
        <v>77</v>
      </c>
      <c r="C792">
        <v>0</v>
      </c>
      <c r="D792">
        <v>1</v>
      </c>
      <c r="E792">
        <v>0</v>
      </c>
      <c r="G792">
        <v>-1.8</v>
      </c>
      <c r="H792">
        <v>-1.8363809270721154</v>
      </c>
      <c r="I792">
        <v>-1.8</v>
      </c>
      <c r="K792">
        <v>-1.8</v>
      </c>
      <c r="M792" t="s">
        <v>628</v>
      </c>
      <c r="O792" s="1" t="str" cm="1">
        <f t="array" ref="O792">_xlfn.LET( _xlpm.s, UPPER(M792),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KQRIERIKEILEK</v>
      </c>
    </row>
    <row r="793" spans="1:15" ht="24">
      <c r="A793">
        <v>622</v>
      </c>
      <c r="B793">
        <v>179</v>
      </c>
      <c r="C793">
        <v>1</v>
      </c>
      <c r="D793">
        <v>1</v>
      </c>
      <c r="E793">
        <v>0</v>
      </c>
      <c r="G793">
        <v>-2.1868332309902394</v>
      </c>
      <c r="H793">
        <v>-2.2027432328795267</v>
      </c>
      <c r="I793">
        <v>-1.8</v>
      </c>
      <c r="K793">
        <v>-1.8</v>
      </c>
      <c r="M793" t="s">
        <v>629</v>
      </c>
      <c r="O793" s="1" t="str" cm="1">
        <f t="array" ref="O793">_xlfn.LET( _xlpm.s, UPPER(M793),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KQRIERIKAILEK</v>
      </c>
    </row>
    <row r="794" spans="1:15" ht="24">
      <c r="A794">
        <v>624</v>
      </c>
      <c r="B794">
        <v>78</v>
      </c>
      <c r="C794">
        <v>0</v>
      </c>
      <c r="D794">
        <v>2</v>
      </c>
      <c r="E794">
        <v>2</v>
      </c>
      <c r="G794">
        <v>-1.8</v>
      </c>
      <c r="H794">
        <v>-1.5409548089261329</v>
      </c>
      <c r="I794">
        <v>-1.5085297189712867</v>
      </c>
      <c r="K794">
        <v>-1.8</v>
      </c>
      <c r="M794" t="s">
        <v>631</v>
      </c>
      <c r="O794" s="1" t="str" cm="1">
        <f t="array" ref="O794">_xlfn.LET( _xlpm.s, UPPER(M794),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KARIERLKSILKI</v>
      </c>
    </row>
    <row r="795" spans="1:15" ht="24">
      <c r="A795">
        <v>625</v>
      </c>
      <c r="B795">
        <v>125</v>
      </c>
      <c r="C795">
        <v>0</v>
      </c>
      <c r="D795">
        <v>1</v>
      </c>
      <c r="E795">
        <v>3</v>
      </c>
      <c r="G795">
        <v>-1.8</v>
      </c>
      <c r="H795">
        <v>-2.0468002149076896</v>
      </c>
      <c r="I795">
        <v>-1.5372538702331813</v>
      </c>
      <c r="K795">
        <v>-1.8</v>
      </c>
      <c r="M795" t="s">
        <v>632</v>
      </c>
      <c r="O795" s="1" t="str" cm="1">
        <f t="array" ref="O795">_xlfn.LET( _xlpm.s, UPPER(M795),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EKRIARLKAILEI</v>
      </c>
    </row>
    <row r="796" spans="1:15" ht="24">
      <c r="A796">
        <v>626</v>
      </c>
      <c r="B796">
        <v>35</v>
      </c>
      <c r="C796">
        <v>0</v>
      </c>
      <c r="D796">
        <v>0</v>
      </c>
      <c r="E796">
        <v>0</v>
      </c>
      <c r="G796">
        <v>-1.8</v>
      </c>
      <c r="H796">
        <v>-1.8</v>
      </c>
      <c r="I796">
        <v>-1.8</v>
      </c>
      <c r="K796">
        <v>-1.8</v>
      </c>
      <c r="M796" t="s">
        <v>633</v>
      </c>
      <c r="O796" s="1" t="str" cm="1">
        <f t="array" ref="O796">_xlfn.LET( _xlpm.s, UPPER(M796),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EAKIKRIKDILTI</v>
      </c>
    </row>
    <row r="797" spans="1:15" ht="24">
      <c r="A797">
        <v>627</v>
      </c>
      <c r="B797">
        <v>41</v>
      </c>
      <c r="C797">
        <v>0</v>
      </c>
      <c r="D797">
        <v>0</v>
      </c>
      <c r="E797">
        <v>1</v>
      </c>
      <c r="G797">
        <v>-1.8</v>
      </c>
      <c r="H797">
        <v>-1.8</v>
      </c>
      <c r="I797">
        <v>-1.5302489686645229</v>
      </c>
      <c r="K797">
        <v>-1.8</v>
      </c>
      <c r="M797" t="s">
        <v>634</v>
      </c>
      <c r="O797" s="1" t="str" cm="1">
        <f t="array" ref="O797">_xlfn.LET( _xlpm.s, UPPER(M797),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KARIKRLEEILTL</v>
      </c>
    </row>
    <row r="798" spans="1:15" ht="24">
      <c r="A798">
        <v>628</v>
      </c>
      <c r="B798">
        <v>55</v>
      </c>
      <c r="C798">
        <v>0</v>
      </c>
      <c r="D798">
        <v>1</v>
      </c>
      <c r="E798">
        <v>0</v>
      </c>
      <c r="G798">
        <v>-1.8</v>
      </c>
      <c r="H798">
        <v>-1.6902528913938775</v>
      </c>
      <c r="I798">
        <v>-1.8</v>
      </c>
      <c r="K798">
        <v>-1.8</v>
      </c>
      <c r="M798" t="s">
        <v>635</v>
      </c>
      <c r="O798" s="1" t="str" cm="1">
        <f t="array" ref="O798">_xlfn.LET( _xlpm.s, UPPER(M798),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KERITRLKEILKL</v>
      </c>
    </row>
    <row r="799" spans="1:15" ht="24">
      <c r="A799">
        <v>634</v>
      </c>
      <c r="B799">
        <v>21</v>
      </c>
      <c r="C799">
        <v>0</v>
      </c>
      <c r="D799">
        <v>0</v>
      </c>
      <c r="E799">
        <v>0</v>
      </c>
      <c r="G799">
        <v>-1.8</v>
      </c>
      <c r="H799">
        <v>-1.8</v>
      </c>
      <c r="I799">
        <v>-1.8</v>
      </c>
      <c r="K799">
        <v>-1.8</v>
      </c>
      <c r="M799" t="s">
        <v>641</v>
      </c>
      <c r="O799" s="1" t="str" cm="1">
        <f t="array" ref="O799">_xlfn.LET( _xlpm.s, UPPER(M799),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KEKIQRLKEILAI</v>
      </c>
    </row>
    <row r="800" spans="1:15" ht="24">
      <c r="A800">
        <v>637</v>
      </c>
      <c r="B800">
        <v>2</v>
      </c>
      <c r="C800">
        <v>0</v>
      </c>
      <c r="D800">
        <v>0</v>
      </c>
      <c r="E800">
        <v>0</v>
      </c>
      <c r="G800">
        <v>-1.8</v>
      </c>
      <c r="H800">
        <v>-1.8</v>
      </c>
      <c r="I800">
        <v>-1.8</v>
      </c>
      <c r="K800">
        <v>-1.8</v>
      </c>
      <c r="M800" t="s">
        <v>644</v>
      </c>
      <c r="O800" s="1" t="str" cm="1">
        <f t="array" ref="O800">_xlfn.LET( _xlpm.s, UPPER(M800),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EKRIKYIKEILSI</v>
      </c>
    </row>
    <row r="801" spans="1:15" ht="24">
      <c r="A801">
        <v>638</v>
      </c>
      <c r="B801">
        <v>65</v>
      </c>
      <c r="C801">
        <v>0</v>
      </c>
      <c r="D801">
        <v>1</v>
      </c>
      <c r="E801">
        <v>2</v>
      </c>
      <c r="G801">
        <v>-1.8</v>
      </c>
      <c r="H801">
        <v>-1.762803558542489</v>
      </c>
      <c r="I801">
        <v>-1.4293484729236619</v>
      </c>
      <c r="K801">
        <v>-1.8</v>
      </c>
      <c r="M801" t="s">
        <v>645</v>
      </c>
      <c r="O801" s="1" t="str" cm="1">
        <f t="array" ref="O801">_xlfn.LET( _xlpm.s, UPPER(M801),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KKRIERLKAILKK</v>
      </c>
    </row>
    <row r="802" spans="1:15" ht="24">
      <c r="A802">
        <v>639</v>
      </c>
      <c r="B802">
        <v>8</v>
      </c>
      <c r="C802">
        <v>0</v>
      </c>
      <c r="D802">
        <v>0</v>
      </c>
      <c r="E802">
        <v>0</v>
      </c>
      <c r="G802">
        <v>-1.8</v>
      </c>
      <c r="H802">
        <v>-1.8</v>
      </c>
      <c r="I802">
        <v>-1.8</v>
      </c>
      <c r="K802">
        <v>-1.8</v>
      </c>
      <c r="M802" t="s">
        <v>646</v>
      </c>
      <c r="O802" s="1" t="str" cm="1">
        <f t="array" ref="O802">_xlfn.LET( _xlpm.s, UPPER(M802),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KEKIERIKKILEI</v>
      </c>
    </row>
    <row r="803" spans="1:15" ht="24">
      <c r="A803">
        <v>640</v>
      </c>
      <c r="B803">
        <v>14</v>
      </c>
      <c r="C803">
        <v>0</v>
      </c>
      <c r="D803">
        <v>0</v>
      </c>
      <c r="E803">
        <v>0</v>
      </c>
      <c r="G803">
        <v>-1.8</v>
      </c>
      <c r="H803">
        <v>-1.8</v>
      </c>
      <c r="I803">
        <v>-1.8</v>
      </c>
      <c r="K803">
        <v>-1.8</v>
      </c>
      <c r="M803" t="s">
        <v>647</v>
      </c>
      <c r="O803" s="1" t="str" cm="1">
        <f t="array" ref="O803">_xlfn.LET( _xlpm.s, UPPER(M803),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EKKIERIKEILKK</v>
      </c>
    </row>
    <row r="804" spans="1:15" ht="24">
      <c r="A804">
        <v>641</v>
      </c>
      <c r="B804">
        <v>162</v>
      </c>
      <c r="C804">
        <v>0</v>
      </c>
      <c r="D804">
        <v>0</v>
      </c>
      <c r="E804">
        <v>2</v>
      </c>
      <c r="G804">
        <v>-1.8</v>
      </c>
      <c r="H804">
        <v>-1.8</v>
      </c>
      <c r="I804">
        <v>-1.8259501308234372</v>
      </c>
      <c r="K804">
        <v>-1.8</v>
      </c>
      <c r="M804" t="s">
        <v>648</v>
      </c>
      <c r="O804" s="1" t="str" cm="1">
        <f t="array" ref="O804">_xlfn.LET( _xlpm.s, UPPER(M804),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KARIARIKEILRI</v>
      </c>
    </row>
    <row r="805" spans="1:15" ht="24">
      <c r="A805">
        <v>642</v>
      </c>
      <c r="B805">
        <v>98</v>
      </c>
      <c r="C805">
        <v>0</v>
      </c>
      <c r="D805">
        <v>0</v>
      </c>
      <c r="E805">
        <v>1</v>
      </c>
      <c r="G805">
        <v>-1.8</v>
      </c>
      <c r="H805">
        <v>-1.8</v>
      </c>
      <c r="I805">
        <v>-1.9086911876372823</v>
      </c>
      <c r="K805">
        <v>-1.8</v>
      </c>
      <c r="M805" t="s">
        <v>649</v>
      </c>
      <c r="O805" s="1" t="str" cm="1">
        <f t="array" ref="O805">_xlfn.LET( _xlpm.s, UPPER(M805),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KARIERLKEILKI</v>
      </c>
    </row>
    <row r="806" spans="1:15" ht="24">
      <c r="A806">
        <v>644</v>
      </c>
      <c r="B806">
        <v>55</v>
      </c>
      <c r="C806">
        <v>3</v>
      </c>
      <c r="D806">
        <v>0</v>
      </c>
      <c r="E806">
        <v>2</v>
      </c>
      <c r="G806">
        <v>-1.1972216347849276</v>
      </c>
      <c r="H806">
        <v>-1.8</v>
      </c>
      <c r="I806">
        <v>-1.35679780577505</v>
      </c>
      <c r="K806">
        <v>-1.8</v>
      </c>
      <c r="M806" t="s">
        <v>651</v>
      </c>
      <c r="O806" s="1" t="str" cm="1">
        <f t="array" ref="O806">_xlfn.LET( _xlpm.s, UPPER(M806),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KERIARIKEILKI</v>
      </c>
    </row>
    <row r="807" spans="1:15" ht="24">
      <c r="A807">
        <v>645</v>
      </c>
      <c r="B807">
        <v>61</v>
      </c>
      <c r="C807">
        <v>0</v>
      </c>
      <c r="D807">
        <v>4</v>
      </c>
      <c r="E807">
        <v>0</v>
      </c>
      <c r="G807">
        <v>-1.8</v>
      </c>
      <c r="H807">
        <v>-1.1331600455824382</v>
      </c>
      <c r="I807">
        <v>-1.8</v>
      </c>
      <c r="K807">
        <v>-1.8</v>
      </c>
      <c r="M807" t="s">
        <v>652</v>
      </c>
      <c r="O807" s="1" t="str" cm="1">
        <f t="array" ref="O807">_xlfn.LET( _xlpm.s, UPPER(M807),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EKRIKRLKDILEK</v>
      </c>
    </row>
    <row r="808" spans="1:15" ht="24">
      <c r="A808">
        <v>646</v>
      </c>
      <c r="B808">
        <v>55</v>
      </c>
      <c r="C808">
        <v>2</v>
      </c>
      <c r="D808">
        <v>0</v>
      </c>
      <c r="E808">
        <v>3</v>
      </c>
      <c r="G808">
        <v>-1.3733128938406087</v>
      </c>
      <c r="H808">
        <v>-1.8</v>
      </c>
      <c r="I808">
        <v>-1.1807065467193689</v>
      </c>
      <c r="K808">
        <v>-1.8</v>
      </c>
      <c r="M808" t="s">
        <v>653</v>
      </c>
      <c r="O808" s="1" t="str" cm="1">
        <f t="array" ref="O808">_xlfn.LET( _xlpm.s, UPPER(M808),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KRRIERLKEILKK</v>
      </c>
    </row>
    <row r="809" spans="1:15" ht="24">
      <c r="A809">
        <v>647</v>
      </c>
      <c r="B809">
        <v>30</v>
      </c>
      <c r="C809">
        <v>1</v>
      </c>
      <c r="D809">
        <v>1</v>
      </c>
      <c r="E809">
        <v>0</v>
      </c>
      <c r="G809">
        <v>-1.4111014547300085</v>
      </c>
      <c r="H809">
        <v>-1.427011456619296</v>
      </c>
      <c r="I809">
        <v>-1.8</v>
      </c>
      <c r="K809">
        <v>-1.8</v>
      </c>
      <c r="M809" t="s">
        <v>654</v>
      </c>
      <c r="O809" s="1" t="str" cm="1">
        <f t="array" ref="O809">_xlfn.LET( _xlpm.s, UPPER(M809),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EKLIKRLKEILKI</v>
      </c>
    </row>
    <row r="810" spans="1:15" ht="24">
      <c r="A810">
        <v>648</v>
      </c>
      <c r="B810">
        <v>62</v>
      </c>
      <c r="C810">
        <v>0</v>
      </c>
      <c r="D810">
        <v>0</v>
      </c>
      <c r="E810">
        <v>0</v>
      </c>
      <c r="G810">
        <v>-1.8</v>
      </c>
      <c r="H810">
        <v>-1.8</v>
      </c>
      <c r="I810">
        <v>-1.8</v>
      </c>
      <c r="K810">
        <v>-1.8</v>
      </c>
      <c r="M810" t="s">
        <v>655</v>
      </c>
      <c r="O810" s="1" t="str" cm="1">
        <f t="array" ref="O810">_xlfn.LET( _xlpm.s, UPPER(M810),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EKRIKRIKDILKL</v>
      </c>
    </row>
    <row r="811" spans="1:15" ht="24">
      <c r="A811">
        <v>649</v>
      </c>
      <c r="B811">
        <v>20</v>
      </c>
      <c r="C811">
        <v>0</v>
      </c>
      <c r="D811">
        <v>0</v>
      </c>
      <c r="E811">
        <v>0</v>
      </c>
      <c r="G811">
        <v>-1.8</v>
      </c>
      <c r="H811">
        <v>-1.8</v>
      </c>
      <c r="I811">
        <v>-1.8</v>
      </c>
      <c r="K811">
        <v>-1.8</v>
      </c>
      <c r="M811" t="s">
        <v>656</v>
      </c>
      <c r="O811" s="1" t="str" cm="1">
        <f t="array" ref="O811">_xlfn.LET( _xlpm.s, UPPER(M811),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KAKIERIKEILKI</v>
      </c>
    </row>
    <row r="812" spans="1:15" ht="24">
      <c r="A812">
        <v>653</v>
      </c>
      <c r="B812">
        <v>58</v>
      </c>
      <c r="C812">
        <v>0</v>
      </c>
      <c r="D812">
        <v>0</v>
      </c>
      <c r="E812">
        <v>0</v>
      </c>
      <c r="G812">
        <v>-1.8</v>
      </c>
      <c r="H812">
        <v>-1.8</v>
      </c>
      <c r="I812">
        <v>-1.8</v>
      </c>
      <c r="K812">
        <v>-1.8</v>
      </c>
      <c r="M812" t="s">
        <v>660</v>
      </c>
      <c r="O812" s="1" t="str" cm="1">
        <f t="array" ref="O812">_xlfn.LET( _xlpm.s, UPPER(M812),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EKRIARIKEILKI</v>
      </c>
    </row>
    <row r="813" spans="1:15" ht="24">
      <c r="A813">
        <v>655</v>
      </c>
      <c r="B813">
        <v>195</v>
      </c>
      <c r="C813">
        <v>2</v>
      </c>
      <c r="D813">
        <v>3</v>
      </c>
      <c r="E813">
        <v>0</v>
      </c>
      <c r="G813">
        <v>-1.9229848157088829</v>
      </c>
      <c r="H813">
        <v>-1.762803558542489</v>
      </c>
      <c r="I813">
        <v>-1.8</v>
      </c>
      <c r="K813">
        <v>-1.8</v>
      </c>
      <c r="M813" t="s">
        <v>662</v>
      </c>
      <c r="O813" s="1" t="str" cm="1">
        <f t="array" ref="O813">_xlfn.LET( _xlpm.s, UPPER(M813),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NARIERLKAILEI</v>
      </c>
    </row>
    <row r="814" spans="1:15" ht="24">
      <c r="A814">
        <v>657</v>
      </c>
      <c r="B814">
        <v>24</v>
      </c>
      <c r="C814">
        <v>0</v>
      </c>
      <c r="D814">
        <v>0</v>
      </c>
      <c r="E814">
        <v>1</v>
      </c>
      <c r="G814">
        <v>-1.8</v>
      </c>
      <c r="H814">
        <v>-1.8</v>
      </c>
      <c r="I814">
        <v>-1.2976763536563936</v>
      </c>
      <c r="K814">
        <v>-1.8</v>
      </c>
      <c r="M814" t="s">
        <v>664</v>
      </c>
      <c r="O814" s="1" t="str" cm="1">
        <f t="array" ref="O814">_xlfn.LET( _xlpm.s, UPPER(M814),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KAKIERIKKILEI</v>
      </c>
    </row>
    <row r="815" spans="1:15" ht="24">
      <c r="A815">
        <v>659</v>
      </c>
      <c r="B815">
        <v>29</v>
      </c>
      <c r="C815">
        <v>0</v>
      </c>
      <c r="D815">
        <v>1</v>
      </c>
      <c r="E815">
        <v>2</v>
      </c>
      <c r="G815">
        <v>-1.8</v>
      </c>
      <c r="H815">
        <v>-1.4122881997985897</v>
      </c>
      <c r="I815">
        <v>-1.0788331141797622</v>
      </c>
      <c r="K815">
        <v>-1.8</v>
      </c>
      <c r="M815" t="s">
        <v>666</v>
      </c>
      <c r="O815" s="1" t="str" cm="1">
        <f t="array" ref="O815">_xlfn.LET( _xlpm.s, UPPER(M815),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KAKIERIKEILKL</v>
      </c>
    </row>
    <row r="816" spans="1:15" ht="24">
      <c r="A816">
        <v>660</v>
      </c>
      <c r="B816">
        <v>193</v>
      </c>
      <c r="C816">
        <v>1</v>
      </c>
      <c r="D816">
        <v>0</v>
      </c>
      <c r="E816">
        <v>1</v>
      </c>
      <c r="G816">
        <v>-2.21953750901812</v>
      </c>
      <c r="H816">
        <v>-1.8</v>
      </c>
      <c r="I816">
        <v>-2.2030224209525611</v>
      </c>
      <c r="K816">
        <v>-1.8</v>
      </c>
      <c r="M816" t="s">
        <v>667</v>
      </c>
      <c r="O816" s="1" t="str" cm="1">
        <f t="array" ref="O816">_xlfn.LET( _xlpm.s, UPPER(M816),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KARIERLKAILEL</v>
      </c>
    </row>
    <row r="817" spans="1:15" ht="24">
      <c r="A817">
        <v>661</v>
      </c>
      <c r="B817">
        <v>140</v>
      </c>
      <c r="C817">
        <v>0</v>
      </c>
      <c r="D817">
        <v>1</v>
      </c>
      <c r="E817">
        <v>1</v>
      </c>
      <c r="G817">
        <v>-1.8</v>
      </c>
      <c r="H817">
        <v>-2.0960182375778715</v>
      </c>
      <c r="I817">
        <v>-2.0635931476230254</v>
      </c>
      <c r="K817">
        <v>-1.8</v>
      </c>
      <c r="M817" t="s">
        <v>668</v>
      </c>
      <c r="O817" s="1" t="str" cm="1">
        <f t="array" ref="O817">_xlfn.LET( _xlpm.s, UPPER(M817),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KERIERIKAILEK</v>
      </c>
    </row>
    <row r="818" spans="1:15" ht="24">
      <c r="A818">
        <v>662</v>
      </c>
      <c r="B818">
        <v>7</v>
      </c>
      <c r="C818">
        <v>0</v>
      </c>
      <c r="D818">
        <v>0</v>
      </c>
      <c r="E818">
        <v>1</v>
      </c>
      <c r="G818">
        <v>-1.8</v>
      </c>
      <c r="H818">
        <v>-1.8</v>
      </c>
      <c r="I818">
        <v>-0.76256315195904412</v>
      </c>
      <c r="K818">
        <v>-1.8</v>
      </c>
      <c r="M818" t="s">
        <v>669</v>
      </c>
      <c r="O818" s="1" t="str" cm="1">
        <f t="array" ref="O818">_xlfn.LET( _xlpm.s, UPPER(M818),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EQKIKRIKEILEK</v>
      </c>
    </row>
    <row r="819" spans="1:15" ht="24">
      <c r="A819">
        <v>663</v>
      </c>
      <c r="B819">
        <v>59</v>
      </c>
      <c r="C819">
        <v>1</v>
      </c>
      <c r="D819">
        <v>0</v>
      </c>
      <c r="E819">
        <v>1</v>
      </c>
      <c r="G819">
        <v>-1.7048322116524903</v>
      </c>
      <c r="H819">
        <v>-1.8</v>
      </c>
      <c r="I819">
        <v>-1.6883171235869316</v>
      </c>
      <c r="K819">
        <v>-1.8</v>
      </c>
      <c r="M819" t="s">
        <v>670</v>
      </c>
      <c r="O819" s="1" t="str" cm="1">
        <f t="array" ref="O819">_xlfn.LET( _xlpm.s, UPPER(M819),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EKRIKRIEEILKL</v>
      </c>
    </row>
    <row r="820" spans="1:15" ht="24">
      <c r="A820">
        <v>664</v>
      </c>
      <c r="B820">
        <v>53</v>
      </c>
      <c r="C820">
        <v>0</v>
      </c>
      <c r="D820">
        <v>1</v>
      </c>
      <c r="E820">
        <v>0</v>
      </c>
      <c r="G820">
        <v>-1.8</v>
      </c>
      <c r="H820">
        <v>-1.6741660715004227</v>
      </c>
      <c r="I820">
        <v>-1.8</v>
      </c>
      <c r="K820">
        <v>-1.8</v>
      </c>
      <c r="M820" t="s">
        <v>671</v>
      </c>
      <c r="O820" s="1" t="str" cm="1">
        <f t="array" ref="O820">_xlfn.LET( _xlpm.s, UPPER(M820),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KARIKRLEEILKL</v>
      </c>
    </row>
    <row r="821" spans="1:15" ht="24">
      <c r="A821">
        <v>665</v>
      </c>
      <c r="B821">
        <v>107</v>
      </c>
      <c r="C821">
        <v>3</v>
      </c>
      <c r="D821">
        <v>2</v>
      </c>
      <c r="E821">
        <v>0</v>
      </c>
      <c r="G821">
        <v>-1.4862427229758932</v>
      </c>
      <c r="H821">
        <v>-1.678243983920862</v>
      </c>
      <c r="I821">
        <v>-1.8</v>
      </c>
      <c r="K821">
        <v>-1.8</v>
      </c>
      <c r="M821" t="s">
        <v>672</v>
      </c>
      <c r="O821" s="1" t="str" cm="1">
        <f t="array" ref="O821">_xlfn.LET( _xlpm.s, UPPER(M821),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RARIKRLKDILKL</v>
      </c>
    </row>
    <row r="822" spans="1:15" ht="24">
      <c r="A822">
        <v>666</v>
      </c>
      <c r="B822">
        <v>69</v>
      </c>
      <c r="C822">
        <v>0</v>
      </c>
      <c r="D822">
        <v>0</v>
      </c>
      <c r="E822">
        <v>0</v>
      </c>
      <c r="G822">
        <v>-1.8</v>
      </c>
      <c r="H822">
        <v>-1.8</v>
      </c>
      <c r="I822">
        <v>-1.8</v>
      </c>
      <c r="K822">
        <v>-1.8</v>
      </c>
      <c r="M822" t="s">
        <v>673</v>
      </c>
      <c r="O822" s="1" t="str" cm="1">
        <f t="array" ref="O822">_xlfn.LET( _xlpm.s, UPPER(M822),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KKRIARIEEILKI</v>
      </c>
    </row>
    <row r="823" spans="1:15" ht="24">
      <c r="A823">
        <v>667</v>
      </c>
      <c r="B823">
        <v>62</v>
      </c>
      <c r="C823">
        <v>0</v>
      </c>
      <c r="D823">
        <v>0</v>
      </c>
      <c r="E823">
        <v>0</v>
      </c>
      <c r="G823">
        <v>-1.8</v>
      </c>
      <c r="H823">
        <v>-1.8</v>
      </c>
      <c r="I823">
        <v>-1.8</v>
      </c>
      <c r="K823">
        <v>-1.8</v>
      </c>
      <c r="M823" t="s">
        <v>674</v>
      </c>
      <c r="O823" s="1" t="str" cm="1">
        <f t="array" ref="O823">_xlfn.LET( _xlpm.s, UPPER(M823),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KARIERIKKILEI</v>
      </c>
    </row>
    <row r="824" spans="1:15" ht="24">
      <c r="A824">
        <v>668</v>
      </c>
      <c r="B824">
        <v>39</v>
      </c>
      <c r="C824">
        <v>0</v>
      </c>
      <c r="D824">
        <v>0</v>
      </c>
      <c r="E824">
        <v>0</v>
      </c>
      <c r="G824">
        <v>-1.8</v>
      </c>
      <c r="H824">
        <v>-1.8</v>
      </c>
      <c r="I824">
        <v>-1.8</v>
      </c>
      <c r="K824">
        <v>-1.8</v>
      </c>
      <c r="M824" t="s">
        <v>675</v>
      </c>
      <c r="O824" s="1" t="str" cm="1">
        <f t="array" ref="O824">_xlfn.LET( _xlpm.s, UPPER(M824),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EAKIKRLKAILEK</v>
      </c>
    </row>
    <row r="825" spans="1:15" ht="24">
      <c r="A825">
        <v>669</v>
      </c>
      <c r="B825">
        <v>61</v>
      </c>
      <c r="C825">
        <v>0</v>
      </c>
      <c r="D825">
        <v>0</v>
      </c>
      <c r="E825">
        <v>1</v>
      </c>
      <c r="G825">
        <v>-1.8</v>
      </c>
      <c r="H825">
        <v>-1.8</v>
      </c>
      <c r="I825">
        <v>-1.7027949469555543</v>
      </c>
      <c r="K825">
        <v>-1.8</v>
      </c>
      <c r="M825" t="s">
        <v>676</v>
      </c>
      <c r="O825" s="1" t="str" cm="1">
        <f t="array" ref="O825">_xlfn.LET( _xlpm.s, UPPER(M825),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KERIKRIKEILKL</v>
      </c>
    </row>
    <row r="826" spans="1:15" ht="24">
      <c r="A826">
        <v>670</v>
      </c>
      <c r="B826">
        <v>14</v>
      </c>
      <c r="C826">
        <v>0</v>
      </c>
      <c r="D826">
        <v>0</v>
      </c>
      <c r="E826">
        <v>0</v>
      </c>
      <c r="G826">
        <v>-1.8</v>
      </c>
      <c r="H826">
        <v>-1.8</v>
      </c>
      <c r="I826">
        <v>-1.8</v>
      </c>
      <c r="K826">
        <v>-1.8</v>
      </c>
      <c r="M826" t="s">
        <v>677</v>
      </c>
      <c r="O826" s="1" t="str" cm="1">
        <f t="array" ref="O826">_xlfn.LET( _xlpm.s, UPPER(M826),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KEKIKRLKAILEI</v>
      </c>
    </row>
    <row r="827" spans="1:15" ht="24">
      <c r="A827">
        <v>671</v>
      </c>
      <c r="B827">
        <v>87</v>
      </c>
      <c r="C827">
        <v>4</v>
      </c>
      <c r="D827">
        <v>1</v>
      </c>
      <c r="E827">
        <v>0</v>
      </c>
      <c r="G827">
        <v>-1.2714394613010023</v>
      </c>
      <c r="H827">
        <v>-1.889409454518252</v>
      </c>
      <c r="I827">
        <v>-1.8</v>
      </c>
      <c r="K827">
        <v>-1.8</v>
      </c>
      <c r="M827" t="s">
        <v>678</v>
      </c>
      <c r="O827" s="1" t="str" cm="1">
        <f t="array" ref="O827">_xlfn.LET( _xlpm.s, UPPER(M827),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KARIARIKEILKL</v>
      </c>
    </row>
    <row r="828" spans="1:15" ht="24">
      <c r="A828">
        <v>672</v>
      </c>
      <c r="B828">
        <v>8</v>
      </c>
      <c r="C828">
        <v>0</v>
      </c>
      <c r="D828">
        <v>0</v>
      </c>
      <c r="E828">
        <v>0</v>
      </c>
      <c r="G828">
        <v>-1.8</v>
      </c>
      <c r="H828">
        <v>-1.8</v>
      </c>
      <c r="I828">
        <v>-1.8</v>
      </c>
      <c r="K828">
        <v>-1.8</v>
      </c>
      <c r="M828" t="s">
        <v>679</v>
      </c>
      <c r="O828" s="1" t="str" cm="1">
        <f t="array" ref="O828">_xlfn.LET( _xlpm.s, UPPER(M828),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EAKIKRLEEILKI</v>
      </c>
    </row>
    <row r="829" spans="1:15" ht="24">
      <c r="A829">
        <v>673</v>
      </c>
      <c r="B829">
        <v>61</v>
      </c>
      <c r="C829">
        <v>0</v>
      </c>
      <c r="D829">
        <v>0</v>
      </c>
      <c r="E829">
        <v>0</v>
      </c>
      <c r="G829">
        <v>-1.8</v>
      </c>
      <c r="H829">
        <v>-1.8</v>
      </c>
      <c r="I829">
        <v>-1.8</v>
      </c>
      <c r="K829">
        <v>-1.8</v>
      </c>
      <c r="M829" t="s">
        <v>680</v>
      </c>
      <c r="O829" s="1" t="str" cm="1">
        <f t="array" ref="O829">_xlfn.LET( _xlpm.s, UPPER(M829),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EQRIKRLKEILKL</v>
      </c>
    </row>
    <row r="830" spans="1:15" ht="24">
      <c r="A830">
        <v>674</v>
      </c>
      <c r="B830">
        <v>122</v>
      </c>
      <c r="C830">
        <v>0</v>
      </c>
      <c r="D830">
        <v>1</v>
      </c>
      <c r="E830">
        <v>3</v>
      </c>
      <c r="G830">
        <v>-1.8</v>
      </c>
      <c r="H830">
        <v>-2.0362500325743818</v>
      </c>
      <c r="I830">
        <v>-1.5267036878998732</v>
      </c>
      <c r="K830">
        <v>-1.8</v>
      </c>
      <c r="M830" t="s">
        <v>681</v>
      </c>
      <c r="O830" s="1" t="str" cm="1">
        <f t="array" ref="O830">_xlfn.LET( _xlpm.s, UPPER(M830),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KERIARIKAILEK</v>
      </c>
    </row>
    <row r="831" spans="1:15" ht="24">
      <c r="A831">
        <v>675</v>
      </c>
      <c r="B831">
        <v>40</v>
      </c>
      <c r="C831">
        <v>0</v>
      </c>
      <c r="D831">
        <v>1</v>
      </c>
      <c r="E831">
        <v>0</v>
      </c>
      <c r="G831">
        <v>-1.8</v>
      </c>
      <c r="H831">
        <v>-1.5519501932275959</v>
      </c>
      <c r="I831">
        <v>-1.8</v>
      </c>
      <c r="K831">
        <v>-1.8</v>
      </c>
      <c r="M831" t="s">
        <v>682</v>
      </c>
      <c r="O831" s="1" t="str" cm="1">
        <f t="array" ref="O831">_xlfn.LET( _xlpm.s, UPPER(M831),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KERIKRLKEILKI</v>
      </c>
    </row>
    <row r="832" spans="1:15" ht="24">
      <c r="A832">
        <v>676</v>
      </c>
      <c r="B832">
        <v>93</v>
      </c>
      <c r="C832">
        <v>0</v>
      </c>
      <c r="D832">
        <v>0</v>
      </c>
      <c r="E832">
        <v>0</v>
      </c>
      <c r="G832">
        <v>-1.8</v>
      </c>
      <c r="H832">
        <v>-1.8</v>
      </c>
      <c r="I832">
        <v>-1.8</v>
      </c>
      <c r="K832">
        <v>-1.8</v>
      </c>
      <c r="M832" t="s">
        <v>683</v>
      </c>
      <c r="O832" s="1" t="str" cm="1">
        <f t="array" ref="O832">_xlfn.LET( _xlpm.s, UPPER(M832),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KARISRLKEILKI</v>
      </c>
    </row>
    <row r="833" spans="1:15" ht="24">
      <c r="A833">
        <v>679</v>
      </c>
      <c r="B833">
        <v>32</v>
      </c>
      <c r="C833">
        <v>0</v>
      </c>
      <c r="D833">
        <v>0</v>
      </c>
      <c r="E833">
        <v>0</v>
      </c>
      <c r="G833">
        <v>-1.8</v>
      </c>
      <c r="H833">
        <v>-1.8</v>
      </c>
      <c r="I833">
        <v>-1.8</v>
      </c>
      <c r="K833">
        <v>-1.8</v>
      </c>
      <c r="M833" t="s">
        <v>686</v>
      </c>
      <c r="O833" s="1" t="str" cm="1">
        <f t="array" ref="O833">_xlfn.LET( _xlpm.s, UPPER(M833),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KERIKRIKEILKI</v>
      </c>
    </row>
    <row r="834" spans="1:15" ht="24">
      <c r="A834">
        <v>680</v>
      </c>
      <c r="B834">
        <v>5</v>
      </c>
      <c r="C834">
        <v>0</v>
      </c>
      <c r="D834">
        <v>0</v>
      </c>
      <c r="E834">
        <v>0</v>
      </c>
      <c r="G834">
        <v>-1.8</v>
      </c>
      <c r="H834">
        <v>-1.8</v>
      </c>
      <c r="I834">
        <v>-1.8</v>
      </c>
      <c r="K834">
        <v>-1.8</v>
      </c>
      <c r="M834" t="s">
        <v>687</v>
      </c>
      <c r="O834" s="1" t="str" cm="1">
        <f t="array" ref="O834">_xlfn.LET( _xlpm.s, UPPER(M834),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KEKINRIKEILEK</v>
      </c>
    </row>
    <row r="835" spans="1:15" ht="24">
      <c r="A835">
        <v>681</v>
      </c>
      <c r="B835">
        <v>16</v>
      </c>
      <c r="C835">
        <v>0</v>
      </c>
      <c r="D835">
        <v>1</v>
      </c>
      <c r="E835">
        <v>0</v>
      </c>
      <c r="G835">
        <v>-1.8</v>
      </c>
      <c r="H835">
        <v>-1.1540101845555584</v>
      </c>
      <c r="I835">
        <v>-1.8</v>
      </c>
      <c r="K835">
        <v>-1.8</v>
      </c>
      <c r="M835" t="s">
        <v>688</v>
      </c>
      <c r="O835" s="1" t="str" cm="1">
        <f t="array" ref="O835">_xlfn.LET( _xlpm.s, UPPER(M835),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NKIIERIIEILKI</v>
      </c>
    </row>
    <row r="836" spans="1:15" ht="24">
      <c r="A836">
        <v>682</v>
      </c>
      <c r="B836">
        <v>41</v>
      </c>
      <c r="C836">
        <v>1</v>
      </c>
      <c r="D836">
        <v>1</v>
      </c>
      <c r="E836">
        <v>0</v>
      </c>
      <c r="G836">
        <v>-1.5467640567300815</v>
      </c>
      <c r="H836">
        <v>-1.562674058619369</v>
      </c>
      <c r="I836">
        <v>-1.8</v>
      </c>
      <c r="K836">
        <v>-1.8</v>
      </c>
      <c r="M836" t="s">
        <v>689</v>
      </c>
      <c r="O836" s="1" t="str" cm="1">
        <f t="array" ref="O836">_xlfn.LET( _xlpm.s, UPPER(M836),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EERIKRLKEILEI</v>
      </c>
    </row>
    <row r="837" spans="1:15" ht="24">
      <c r="A837">
        <v>683</v>
      </c>
      <c r="B837">
        <v>14</v>
      </c>
      <c r="C837">
        <v>0</v>
      </c>
      <c r="D837">
        <v>0</v>
      </c>
      <c r="E837">
        <v>0</v>
      </c>
      <c r="G837">
        <v>-1.8</v>
      </c>
      <c r="H837">
        <v>-1.8</v>
      </c>
      <c r="I837">
        <v>-1.8</v>
      </c>
      <c r="K837">
        <v>-1.8</v>
      </c>
      <c r="M837" t="s">
        <v>690</v>
      </c>
      <c r="O837" s="1" t="str" cm="1">
        <f t="array" ref="O837">_xlfn.LET( _xlpm.s, UPPER(M837),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EEVKKRLEEILEI</v>
      </c>
    </row>
    <row r="838" spans="1:15" ht="24">
      <c r="A838">
        <v>684</v>
      </c>
      <c r="B838">
        <v>60</v>
      </c>
      <c r="C838">
        <v>1</v>
      </c>
      <c r="D838">
        <v>0</v>
      </c>
      <c r="E838">
        <v>0</v>
      </c>
      <c r="G838">
        <v>-1.7121314503939897</v>
      </c>
      <c r="H838">
        <v>-1.8</v>
      </c>
      <c r="I838">
        <v>-1.8</v>
      </c>
      <c r="K838">
        <v>-1.8</v>
      </c>
      <c r="M838" t="s">
        <v>691</v>
      </c>
      <c r="O838" s="1" t="str" cm="1">
        <f t="array" ref="O838">_xlfn.LET( _xlpm.s, UPPER(M838),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KAKIERLKAILEK</v>
      </c>
    </row>
    <row r="839" spans="1:15" ht="24">
      <c r="A839">
        <v>685</v>
      </c>
      <c r="B839">
        <v>79</v>
      </c>
      <c r="C839">
        <v>0</v>
      </c>
      <c r="D839">
        <v>0</v>
      </c>
      <c r="E839">
        <v>0</v>
      </c>
      <c r="G839">
        <v>-1.8</v>
      </c>
      <c r="H839">
        <v>-1.8</v>
      </c>
      <c r="I839">
        <v>-1.8</v>
      </c>
      <c r="K839">
        <v>-1.8</v>
      </c>
      <c r="M839" t="s">
        <v>692</v>
      </c>
      <c r="O839" s="1" t="str" cm="1">
        <f t="array" ref="O839">_xlfn.LET( _xlpm.s, UPPER(M839),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NARIKRLKEILEI</v>
      </c>
    </row>
    <row r="840" spans="1:15" ht="24">
      <c r="A840">
        <v>686</v>
      </c>
      <c r="B840">
        <v>47</v>
      </c>
      <c r="C840">
        <v>0</v>
      </c>
      <c r="D840">
        <v>0</v>
      </c>
      <c r="E840">
        <v>1</v>
      </c>
      <c r="G840">
        <v>-1.8</v>
      </c>
      <c r="H840">
        <v>-1.8</v>
      </c>
      <c r="I840">
        <v>-1.5895629698805049</v>
      </c>
      <c r="K840">
        <v>-1.8</v>
      </c>
      <c r="M840" t="s">
        <v>693</v>
      </c>
      <c r="O840" s="1" t="str" cm="1">
        <f t="array" ref="O840">_xlfn.LET( _xlpm.s, UPPER(M840),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KARIARIEKILEI</v>
      </c>
    </row>
    <row r="841" spans="1:15" ht="24">
      <c r="A841">
        <v>687</v>
      </c>
      <c r="B841">
        <v>23</v>
      </c>
      <c r="C841">
        <v>0</v>
      </c>
      <c r="D841">
        <v>0</v>
      </c>
      <c r="E841">
        <v>2</v>
      </c>
      <c r="G841">
        <v>-1.8</v>
      </c>
      <c r="H841">
        <v>-1.8</v>
      </c>
      <c r="I841">
        <v>-0.97816295229839889</v>
      </c>
      <c r="K841">
        <v>-1.8</v>
      </c>
      <c r="M841" t="s">
        <v>694</v>
      </c>
      <c r="O841" s="1" t="str" cm="1">
        <f t="array" ref="O841">_xlfn.LET( _xlpm.s, UPPER(M841),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KERIKRLEEILKI</v>
      </c>
    </row>
    <row r="842" spans="1:15" ht="24">
      <c r="A842">
        <v>689</v>
      </c>
      <c r="B842">
        <v>12</v>
      </c>
      <c r="C842">
        <v>1</v>
      </c>
      <c r="D842">
        <v>0</v>
      </c>
      <c r="E842">
        <v>0</v>
      </c>
      <c r="G842">
        <v>-1.013161446057971</v>
      </c>
      <c r="H842">
        <v>-1.8</v>
      </c>
      <c r="I842">
        <v>-1.8</v>
      </c>
      <c r="K842">
        <v>-1.8</v>
      </c>
      <c r="M842" t="s">
        <v>696</v>
      </c>
      <c r="O842" s="1" t="str" cm="1">
        <f t="array" ref="O842">_xlfn.LET( _xlpm.s, UPPER(M842),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EEKIKRLKEILEI</v>
      </c>
    </row>
    <row r="843" spans="1:15" ht="24">
      <c r="A843">
        <v>690</v>
      </c>
      <c r="B843">
        <v>109</v>
      </c>
      <c r="C843">
        <v>2</v>
      </c>
      <c r="D843">
        <v>1</v>
      </c>
      <c r="E843">
        <v>0</v>
      </c>
      <c r="G843">
        <v>-1.6703767022869884</v>
      </c>
      <c r="H843">
        <v>-1.9873166998402574</v>
      </c>
      <c r="I843">
        <v>-1.8</v>
      </c>
      <c r="K843">
        <v>-1.8</v>
      </c>
      <c r="M843" t="s">
        <v>697</v>
      </c>
      <c r="O843" s="1" t="str" cm="1">
        <f t="array" ref="O843">_xlfn.LET( _xlpm.s, UPPER(M843),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EQRIARIKEILKL</v>
      </c>
    </row>
    <row r="844" spans="1:15" ht="24">
      <c r="A844">
        <v>691</v>
      </c>
      <c r="B844">
        <v>102</v>
      </c>
      <c r="C844">
        <v>0</v>
      </c>
      <c r="D844">
        <v>0</v>
      </c>
      <c r="E844">
        <v>1</v>
      </c>
      <c r="G844">
        <v>-1.8</v>
      </c>
      <c r="H844">
        <v>-1.8</v>
      </c>
      <c r="I844">
        <v>-1.9260652837067049</v>
      </c>
      <c r="K844">
        <v>-1.8</v>
      </c>
      <c r="M844" t="s">
        <v>698</v>
      </c>
      <c r="O844" s="1" t="str" cm="1">
        <f t="array" ref="O844">_xlfn.LET( _xlpm.s, UPPER(M844),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KKRIERIKAILEI</v>
      </c>
    </row>
    <row r="845" spans="1:15" ht="24">
      <c r="A845">
        <v>692</v>
      </c>
      <c r="B845">
        <v>25</v>
      </c>
      <c r="C845">
        <v>2</v>
      </c>
      <c r="D845">
        <v>0</v>
      </c>
      <c r="E845">
        <v>0</v>
      </c>
      <c r="G845">
        <v>-1.0308902130184026</v>
      </c>
      <c r="H845">
        <v>-1.8</v>
      </c>
      <c r="I845">
        <v>-1.8</v>
      </c>
      <c r="K845">
        <v>-1.8</v>
      </c>
      <c r="M845" t="s">
        <v>699</v>
      </c>
      <c r="O845" s="1" t="str" cm="1">
        <f t="array" ref="O845">_xlfn.LET( _xlpm.s, UPPER(M845),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EAKIKRIKDILEI</v>
      </c>
    </row>
    <row r="846" spans="1:15" ht="24">
      <c r="A846">
        <v>693</v>
      </c>
      <c r="B846">
        <v>10</v>
      </c>
      <c r="C846">
        <v>0</v>
      </c>
      <c r="D846">
        <v>0</v>
      </c>
      <c r="E846">
        <v>0</v>
      </c>
      <c r="G846">
        <v>-1.8</v>
      </c>
      <c r="H846">
        <v>-1.8</v>
      </c>
      <c r="I846">
        <v>-1.8</v>
      </c>
      <c r="K846">
        <v>-1.8</v>
      </c>
      <c r="M846" t="s">
        <v>700</v>
      </c>
      <c r="O846" s="1" t="str" cm="1">
        <f t="array" ref="O846">_xlfn.LET( _xlpm.s, UPPER(M846),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EKKIQRIKEILKL</v>
      </c>
    </row>
    <row r="847" spans="1:15" ht="24">
      <c r="A847">
        <v>694</v>
      </c>
      <c r="B847">
        <v>167</v>
      </c>
      <c r="C847">
        <v>1</v>
      </c>
      <c r="D847">
        <v>0</v>
      </c>
      <c r="E847">
        <v>0</v>
      </c>
      <c r="G847">
        <v>-2.1566966711579294</v>
      </c>
      <c r="H847">
        <v>-1.8</v>
      </c>
      <c r="I847">
        <v>-1.8</v>
      </c>
      <c r="K847">
        <v>-1.8</v>
      </c>
      <c r="M847" t="s">
        <v>701</v>
      </c>
      <c r="O847" s="1" t="str" cm="1">
        <f t="array" ref="O847">_xlfn.LET( _xlpm.s, UPPER(M847),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NARIERLEAILKL</v>
      </c>
    </row>
    <row r="848" spans="1:15" ht="24">
      <c r="A848">
        <v>695</v>
      </c>
      <c r="B848">
        <v>122</v>
      </c>
      <c r="C848">
        <v>0</v>
      </c>
      <c r="D848">
        <v>3</v>
      </c>
      <c r="E848">
        <v>0</v>
      </c>
      <c r="G848">
        <v>-1.8</v>
      </c>
      <c r="H848">
        <v>-1.5591287778547194</v>
      </c>
      <c r="I848">
        <v>-1.8</v>
      </c>
      <c r="K848">
        <v>-1.8</v>
      </c>
      <c r="M848" t="s">
        <v>702</v>
      </c>
      <c r="O848" s="1" t="str" cm="1">
        <f t="array" ref="O848">_xlfn.LET( _xlpm.s, UPPER(M848),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EARIARLKAILEK</v>
      </c>
    </row>
    <row r="849" spans="1:15" ht="24">
      <c r="A849">
        <v>697</v>
      </c>
      <c r="B849">
        <v>109</v>
      </c>
      <c r="C849">
        <v>0</v>
      </c>
      <c r="D849">
        <v>1</v>
      </c>
      <c r="E849">
        <v>0</v>
      </c>
      <c r="G849">
        <v>-1.8</v>
      </c>
      <c r="H849">
        <v>-1.9873166998402574</v>
      </c>
      <c r="I849">
        <v>-1.8</v>
      </c>
      <c r="K849">
        <v>-1.8</v>
      </c>
      <c r="M849" t="s">
        <v>704</v>
      </c>
      <c r="O849" s="1" t="str" cm="1">
        <f t="array" ref="O849">_xlfn.LET( _xlpm.s, UPPER(M849),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KARIERIKQILTL</v>
      </c>
    </row>
    <row r="850" spans="1:15" ht="24">
      <c r="A850">
        <v>698</v>
      </c>
      <c r="B850">
        <v>22</v>
      </c>
      <c r="C850">
        <v>1</v>
      </c>
      <c r="D850">
        <v>1</v>
      </c>
      <c r="E850">
        <v>0</v>
      </c>
      <c r="G850">
        <v>-1.2764028808325523</v>
      </c>
      <c r="H850">
        <v>-1.2923128827218398</v>
      </c>
      <c r="I850">
        <v>-1.8</v>
      </c>
      <c r="K850">
        <v>-1.8</v>
      </c>
      <c r="M850" t="s">
        <v>705</v>
      </c>
      <c r="O850" s="1" t="str" cm="1">
        <f t="array" ref="O850">_xlfn.LET( _xlpm.s, UPPER(M850),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KAKIQRIKEILEK</v>
      </c>
    </row>
    <row r="851" spans="1:15" ht="24">
      <c r="A851">
        <v>699</v>
      </c>
      <c r="B851">
        <v>99</v>
      </c>
      <c r="C851">
        <v>2</v>
      </c>
      <c r="D851">
        <v>1</v>
      </c>
      <c r="E851">
        <v>0</v>
      </c>
      <c r="G851">
        <v>-1.6285853989439147</v>
      </c>
      <c r="H851">
        <v>-1.9455253964971835</v>
      </c>
      <c r="I851">
        <v>-1.8</v>
      </c>
      <c r="K851">
        <v>-1.8</v>
      </c>
      <c r="M851" t="s">
        <v>706</v>
      </c>
      <c r="O851" s="1" t="str" cm="1">
        <f t="array" ref="O851">_xlfn.LET( _xlpm.s, UPPER(M851),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KARIERLKAILKK</v>
      </c>
    </row>
    <row r="852" spans="1:15" ht="24">
      <c r="A852">
        <v>701</v>
      </c>
      <c r="B852">
        <v>33</v>
      </c>
      <c r="C852">
        <v>1</v>
      </c>
      <c r="D852">
        <v>0</v>
      </c>
      <c r="E852">
        <v>0</v>
      </c>
      <c r="G852">
        <v>-1.4524941398882336</v>
      </c>
      <c r="H852">
        <v>-1.8</v>
      </c>
      <c r="I852">
        <v>-1.8</v>
      </c>
      <c r="K852">
        <v>-1.8</v>
      </c>
      <c r="M852" t="s">
        <v>708</v>
      </c>
      <c r="O852" s="1" t="str" cm="1">
        <f t="array" ref="O852">_xlfn.LET( _xlpm.s, UPPER(M852),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KKRIERIKEILKK</v>
      </c>
    </row>
    <row r="853" spans="1:15" ht="24">
      <c r="A853">
        <v>702</v>
      </c>
      <c r="B853">
        <v>56</v>
      </c>
      <c r="C853">
        <v>0</v>
      </c>
      <c r="D853">
        <v>1</v>
      </c>
      <c r="E853">
        <v>0</v>
      </c>
      <c r="G853">
        <v>-1.8</v>
      </c>
      <c r="H853">
        <v>-1.698078228905834</v>
      </c>
      <c r="I853">
        <v>-1.8</v>
      </c>
      <c r="K853">
        <v>-1.8</v>
      </c>
      <c r="M853" t="s">
        <v>709</v>
      </c>
      <c r="O853" s="1" t="str" cm="1">
        <f t="array" ref="O853">_xlfn.LET( _xlpm.s, UPPER(M853),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KKRIQRIKDILEI</v>
      </c>
    </row>
    <row r="854" spans="1:15" ht="24">
      <c r="A854">
        <v>703</v>
      </c>
      <c r="B854">
        <v>62</v>
      </c>
      <c r="C854">
        <v>0</v>
      </c>
      <c r="D854">
        <v>0</v>
      </c>
      <c r="E854">
        <v>0</v>
      </c>
      <c r="G854">
        <v>-1.8</v>
      </c>
      <c r="H854">
        <v>-1.8</v>
      </c>
      <c r="I854">
        <v>-1.8</v>
      </c>
      <c r="K854">
        <v>-1.8</v>
      </c>
      <c r="M854" t="s">
        <v>710</v>
      </c>
      <c r="O854" s="1" t="str" cm="1">
        <f t="array" ref="O854">_xlfn.LET( _xlpm.s, UPPER(M854),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KKRIKRLKDILTI</v>
      </c>
    </row>
    <row r="855" spans="1:15" ht="24">
      <c r="A855">
        <v>704</v>
      </c>
      <c r="B855">
        <v>93</v>
      </c>
      <c r="C855">
        <v>0</v>
      </c>
      <c r="D855">
        <v>1</v>
      </c>
      <c r="E855">
        <v>4</v>
      </c>
      <c r="G855">
        <v>-1.8</v>
      </c>
      <c r="H855">
        <v>-1.9183731504535686</v>
      </c>
      <c r="I855">
        <v>-1.2838880691707601</v>
      </c>
      <c r="K855">
        <v>-1.8</v>
      </c>
      <c r="M855" t="s">
        <v>711</v>
      </c>
      <c r="O855" s="1" t="str" cm="1">
        <f t="array" ref="O855">_xlfn.LET( _xlpm.s, UPPER(M855),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KARIERIKEILAL</v>
      </c>
    </row>
    <row r="856" spans="1:15" ht="24">
      <c r="A856">
        <v>705</v>
      </c>
      <c r="B856">
        <v>13</v>
      </c>
      <c r="C856">
        <v>0</v>
      </c>
      <c r="D856">
        <v>0</v>
      </c>
      <c r="E856">
        <v>0</v>
      </c>
      <c r="G856">
        <v>-1.8</v>
      </c>
      <c r="H856">
        <v>-1.8</v>
      </c>
      <c r="I856">
        <v>-1.8</v>
      </c>
      <c r="K856">
        <v>-1.8</v>
      </c>
      <c r="M856" t="s">
        <v>712</v>
      </c>
      <c r="O856" s="1" t="str" cm="1">
        <f t="array" ref="O856">_xlfn.LET( _xlpm.s, UPPER(M856),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EEKIKRIKEILEI</v>
      </c>
    </row>
    <row r="857" spans="1:15" ht="24">
      <c r="A857">
        <v>706</v>
      </c>
      <c r="B857">
        <v>34</v>
      </c>
      <c r="C857">
        <v>0</v>
      </c>
      <c r="D857">
        <v>1</v>
      </c>
      <c r="E857">
        <v>5</v>
      </c>
      <c r="G857">
        <v>-1.8</v>
      </c>
      <c r="H857">
        <v>-1.4813691189418887</v>
      </c>
      <c r="I857">
        <v>-0.74997402465102359</v>
      </c>
      <c r="K857">
        <v>-1.8</v>
      </c>
      <c r="M857" t="s">
        <v>713</v>
      </c>
      <c r="O857" s="1" t="str" cm="1">
        <f t="array" ref="O857">_xlfn.LET( _xlpm.s, UPPER(M857),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NKLIERLKKILEI</v>
      </c>
    </row>
    <row r="858" spans="1:15" ht="24">
      <c r="A858">
        <v>709</v>
      </c>
      <c r="B858">
        <v>122</v>
      </c>
      <c r="C858">
        <v>0</v>
      </c>
      <c r="D858">
        <v>4</v>
      </c>
      <c r="E858">
        <v>2</v>
      </c>
      <c r="G858">
        <v>-1.8</v>
      </c>
      <c r="H858">
        <v>-1.4341900412464195</v>
      </c>
      <c r="I858">
        <v>-1.7027949469555543</v>
      </c>
      <c r="K858">
        <v>-1.8</v>
      </c>
      <c r="M858" t="s">
        <v>716</v>
      </c>
      <c r="O858" s="1" t="str" cm="1">
        <f t="array" ref="O858">_xlfn.LET( _xlpm.s, UPPER(M858),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KARIKRLKAILEI</v>
      </c>
    </row>
    <row r="859" spans="1:15" ht="24">
      <c r="A859">
        <v>710</v>
      </c>
      <c r="B859">
        <v>41</v>
      </c>
      <c r="C859">
        <v>0</v>
      </c>
      <c r="D859">
        <v>0</v>
      </c>
      <c r="E859">
        <v>0</v>
      </c>
      <c r="G859">
        <v>-1.8</v>
      </c>
      <c r="H859">
        <v>-1.8</v>
      </c>
      <c r="I859">
        <v>-1.8</v>
      </c>
      <c r="K859">
        <v>-1.8</v>
      </c>
      <c r="M859" t="s">
        <v>717</v>
      </c>
      <c r="O859" s="1" t="str" cm="1">
        <f t="array" ref="O859">_xlfn.LET( _xlpm.s, UPPER(M859),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EAKIQRIKDILRI</v>
      </c>
    </row>
    <row r="860" spans="1:15" ht="24">
      <c r="A860">
        <v>711</v>
      </c>
      <c r="B860">
        <v>84</v>
      </c>
      <c r="C860">
        <v>1</v>
      </c>
      <c r="D860">
        <v>0</v>
      </c>
      <c r="E860">
        <v>0</v>
      </c>
      <c r="G860">
        <v>-1.8582594860722277</v>
      </c>
      <c r="H860">
        <v>-1.8</v>
      </c>
      <c r="I860">
        <v>-1.8</v>
      </c>
      <c r="K860">
        <v>-1.8</v>
      </c>
      <c r="M860" t="s">
        <v>718</v>
      </c>
      <c r="O860" s="1" t="str" cm="1">
        <f t="array" ref="O860">_xlfn.LET( _xlpm.s, UPPER(M860),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KARIERIKQILKI</v>
      </c>
    </row>
    <row r="861" spans="1:15" ht="24">
      <c r="A861">
        <v>712</v>
      </c>
      <c r="B861">
        <v>29</v>
      </c>
      <c r="C861">
        <v>0</v>
      </c>
      <c r="D861">
        <v>1</v>
      </c>
      <c r="E861">
        <v>1</v>
      </c>
      <c r="G861">
        <v>-1.8</v>
      </c>
      <c r="H861">
        <v>-1.4122881997985897</v>
      </c>
      <c r="I861">
        <v>-1.3798631098437435</v>
      </c>
      <c r="K861">
        <v>-1.8</v>
      </c>
      <c r="M861" t="s">
        <v>719</v>
      </c>
      <c r="O861" s="1" t="str" cm="1">
        <f t="array" ref="O861">_xlfn.LET( _xlpm.s, UPPER(M861),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KAKIRRIKEILTI</v>
      </c>
    </row>
    <row r="862" spans="1:15" ht="24">
      <c r="A862">
        <v>714</v>
      </c>
      <c r="B862">
        <v>73</v>
      </c>
      <c r="C862">
        <v>3</v>
      </c>
      <c r="D862">
        <v>0</v>
      </c>
      <c r="E862">
        <v>1</v>
      </c>
      <c r="G862">
        <v>-1.3201818054111396</v>
      </c>
      <c r="H862">
        <v>-1.8</v>
      </c>
      <c r="I862">
        <v>-1.7807879720652433</v>
      </c>
      <c r="K862">
        <v>-1.8</v>
      </c>
      <c r="M862" t="s">
        <v>721</v>
      </c>
      <c r="O862" s="1" t="str" cm="1">
        <f t="array" ref="O862">_xlfn.LET( _xlpm.s, UPPER(M862),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KERVKRIEEILKI</v>
      </c>
    </row>
    <row r="863" spans="1:15" ht="24">
      <c r="A863">
        <v>715</v>
      </c>
      <c r="B863">
        <v>58</v>
      </c>
      <c r="C863">
        <v>1</v>
      </c>
      <c r="D863">
        <v>1</v>
      </c>
      <c r="E863">
        <v>0</v>
      </c>
      <c r="G863">
        <v>-1.6974081935732834</v>
      </c>
      <c r="H863">
        <v>-1.7133181954625709</v>
      </c>
      <c r="I863">
        <v>-1.8</v>
      </c>
      <c r="K863">
        <v>-1.8</v>
      </c>
      <c r="M863" t="s">
        <v>722</v>
      </c>
      <c r="O863" s="1" t="str" cm="1">
        <f t="array" ref="O863">_xlfn.LET( _xlpm.s, UPPER(M863),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ERRIKRLKEILRK</v>
      </c>
    </row>
    <row r="864" spans="1:15" ht="24">
      <c r="A864">
        <v>716</v>
      </c>
      <c r="B864">
        <v>92</v>
      </c>
      <c r="C864">
        <v>0</v>
      </c>
      <c r="D864">
        <v>0</v>
      </c>
      <c r="E864">
        <v>0</v>
      </c>
      <c r="G864">
        <v>-1.8</v>
      </c>
      <c r="H864">
        <v>-1.8</v>
      </c>
      <c r="I864">
        <v>-1.8</v>
      </c>
      <c r="K864">
        <v>-1.8</v>
      </c>
      <c r="M864" t="s">
        <v>723</v>
      </c>
      <c r="O864" s="1" t="str" cm="1">
        <f t="array" ref="O864">_xlfn.LET( _xlpm.s, UPPER(M864),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KQRIARLKAILKK</v>
      </c>
    </row>
    <row r="865" spans="1:15" ht="24">
      <c r="A865">
        <v>718</v>
      </c>
      <c r="B865">
        <v>77</v>
      </c>
      <c r="C865">
        <v>0</v>
      </c>
      <c r="D865">
        <v>2</v>
      </c>
      <c r="E865">
        <v>0</v>
      </c>
      <c r="G865">
        <v>-1.8</v>
      </c>
      <c r="H865">
        <v>-1.5353509314081342</v>
      </c>
      <c r="I865">
        <v>-1.8</v>
      </c>
      <c r="K865">
        <v>-1.8</v>
      </c>
      <c r="M865" t="s">
        <v>725</v>
      </c>
      <c r="O865" s="1" t="str" cm="1">
        <f t="array" ref="O865">_xlfn.LET( _xlpm.s, UPPER(M865),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EERIRRIKEILEL</v>
      </c>
    </row>
    <row r="866" spans="1:15" ht="24">
      <c r="A866">
        <v>719</v>
      </c>
      <c r="B866">
        <v>40</v>
      </c>
      <c r="C866">
        <v>0</v>
      </c>
      <c r="D866">
        <v>0</v>
      </c>
      <c r="E866">
        <v>0</v>
      </c>
      <c r="G866">
        <v>-1.8</v>
      </c>
      <c r="H866">
        <v>-1.8</v>
      </c>
      <c r="I866">
        <v>-1.8</v>
      </c>
      <c r="K866">
        <v>-1.8</v>
      </c>
      <c r="M866" t="s">
        <v>726</v>
      </c>
      <c r="O866" s="1" t="str" cm="1">
        <f t="array" ref="O866">_xlfn.LET( _xlpm.s, UPPER(M866),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EKRIKRIKEILQK</v>
      </c>
    </row>
    <row r="867" spans="1:15" ht="24">
      <c r="A867">
        <v>720</v>
      </c>
      <c r="B867">
        <v>36</v>
      </c>
      <c r="C867">
        <v>0</v>
      </c>
      <c r="D867">
        <v>0</v>
      </c>
      <c r="E867">
        <v>1</v>
      </c>
      <c r="G867">
        <v>-1.8</v>
      </c>
      <c r="H867">
        <v>-1.8</v>
      </c>
      <c r="I867">
        <v>-1.4737676127120747</v>
      </c>
      <c r="K867">
        <v>-1.8</v>
      </c>
      <c r="M867" t="s">
        <v>727</v>
      </c>
      <c r="O867" s="1" t="str" cm="1">
        <f t="array" ref="O867">_xlfn.LET( _xlpm.s, UPPER(M867),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QKTIERLKEILKI</v>
      </c>
    </row>
    <row r="868" spans="1:15" ht="24">
      <c r="A868">
        <v>722</v>
      </c>
      <c r="B868">
        <v>25</v>
      </c>
      <c r="C868">
        <v>0</v>
      </c>
      <c r="D868">
        <v>0</v>
      </c>
      <c r="E868">
        <v>0</v>
      </c>
      <c r="G868">
        <v>-1.8</v>
      </c>
      <c r="H868">
        <v>-1.8</v>
      </c>
      <c r="I868">
        <v>-1.8</v>
      </c>
      <c r="K868">
        <v>-1.8</v>
      </c>
      <c r="M868" t="s">
        <v>729</v>
      </c>
      <c r="O868" s="1" t="str" cm="1">
        <f t="array" ref="O868">_xlfn.LET( _xlpm.s, UPPER(M868),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KKLVEYLVEICKL</v>
      </c>
    </row>
    <row r="869" spans="1:15" ht="24">
      <c r="A869">
        <v>723</v>
      </c>
      <c r="B869">
        <v>34</v>
      </c>
      <c r="C869">
        <v>0</v>
      </c>
      <c r="D869">
        <v>0</v>
      </c>
      <c r="E869">
        <v>1</v>
      </c>
      <c r="G869">
        <v>-1.8</v>
      </c>
      <c r="H869">
        <v>-1.8</v>
      </c>
      <c r="I869">
        <v>-1.4489440289870426</v>
      </c>
      <c r="K869">
        <v>-1.8</v>
      </c>
      <c r="M869" t="s">
        <v>730</v>
      </c>
      <c r="O869" s="1" t="str" cm="1">
        <f t="array" ref="O869">_xlfn.LET( _xlpm.s, UPPER(M869),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KRLVEYIVEICKK</v>
      </c>
    </row>
    <row r="870" spans="1:15" ht="24">
      <c r="A870">
        <v>726</v>
      </c>
      <c r="B870">
        <v>28</v>
      </c>
      <c r="C870">
        <v>0</v>
      </c>
      <c r="D870">
        <v>0</v>
      </c>
      <c r="E870">
        <v>0</v>
      </c>
      <c r="G870">
        <v>-1.8</v>
      </c>
      <c r="H870">
        <v>-1.8</v>
      </c>
      <c r="I870">
        <v>-1.8</v>
      </c>
      <c r="K870">
        <v>-1.8</v>
      </c>
      <c r="M870" t="s">
        <v>733</v>
      </c>
      <c r="O870" s="1" t="str" cm="1">
        <f t="array" ref="O870">_xlfn.LET( _xlpm.s, UPPER(M870),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ERLVKYIKAICEK</v>
      </c>
    </row>
    <row r="871" spans="1:15" ht="24">
      <c r="A871">
        <v>733</v>
      </c>
      <c r="B871">
        <v>10</v>
      </c>
      <c r="C871">
        <v>0</v>
      </c>
      <c r="D871">
        <v>0</v>
      </c>
      <c r="E871">
        <v>0</v>
      </c>
      <c r="G871">
        <v>-1.8</v>
      </c>
      <c r="H871">
        <v>-1.8</v>
      </c>
      <c r="I871">
        <v>-1.8</v>
      </c>
      <c r="K871">
        <v>-1.8</v>
      </c>
      <c r="M871" t="s">
        <v>740</v>
      </c>
      <c r="O871" s="1" t="str" cm="1">
        <f t="array" ref="O871">_xlfn.LET( _xlpm.s, UPPER(M871),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KKLVQKIVEICKL</v>
      </c>
    </row>
    <row r="872" spans="1:15" ht="24">
      <c r="A872">
        <v>741</v>
      </c>
      <c r="B872">
        <v>38</v>
      </c>
      <c r="C872">
        <v>0</v>
      </c>
      <c r="D872">
        <v>1</v>
      </c>
      <c r="E872">
        <v>2</v>
      </c>
      <c r="G872">
        <v>-1.8</v>
      </c>
      <c r="H872">
        <v>-1.5296737985164437</v>
      </c>
      <c r="I872">
        <v>-1.1962187128976165</v>
      </c>
      <c r="K872">
        <v>-1.8</v>
      </c>
      <c r="M872" t="s">
        <v>748</v>
      </c>
      <c r="O872" s="1" t="str" cm="1">
        <f t="array" ref="O872">_xlfn.LET( _xlpm.s, UPPER(M872),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RKLTEFLVKICEK</v>
      </c>
    </row>
    <row r="873" spans="1:15" ht="24">
      <c r="A873">
        <v>749</v>
      </c>
      <c r="B873">
        <v>7</v>
      </c>
      <c r="C873">
        <v>0</v>
      </c>
      <c r="D873">
        <v>0</v>
      </c>
      <c r="E873">
        <v>0</v>
      </c>
      <c r="G873">
        <v>-1.8</v>
      </c>
      <c r="H873">
        <v>-1.8</v>
      </c>
      <c r="I873">
        <v>-1.8</v>
      </c>
      <c r="K873">
        <v>-1.8</v>
      </c>
      <c r="M873" t="s">
        <v>756</v>
      </c>
      <c r="O873" s="1" t="str" cm="1">
        <f t="array" ref="O873">_xlfn.LET( _xlpm.s, UPPER(M873),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KKLTKKLEAICKK</v>
      </c>
    </row>
    <row r="874" spans="1:15" ht="24">
      <c r="A874">
        <v>750</v>
      </c>
      <c r="B874">
        <v>111</v>
      </c>
      <c r="C874">
        <v>0</v>
      </c>
      <c r="D874">
        <v>1</v>
      </c>
      <c r="E874">
        <v>3</v>
      </c>
      <c r="G874">
        <v>-1.8</v>
      </c>
      <c r="H874">
        <v>-1.9952131806862912</v>
      </c>
      <c r="I874">
        <v>-1.4856668360117824</v>
      </c>
      <c r="K874">
        <v>-1.8</v>
      </c>
      <c r="M874" t="s">
        <v>757</v>
      </c>
      <c r="O874" s="1" t="str" cm="1">
        <f t="array" ref="O874">_xlfn.LET( _xlpm.s, UPPER(M874),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KRLSEYLVAICER</v>
      </c>
    </row>
    <row r="875" spans="1:15" ht="24">
      <c r="A875">
        <v>751</v>
      </c>
      <c r="B875">
        <v>60</v>
      </c>
      <c r="C875">
        <v>0</v>
      </c>
      <c r="D875">
        <v>1</v>
      </c>
      <c r="E875">
        <v>1</v>
      </c>
      <c r="G875">
        <v>-1.8</v>
      </c>
      <c r="H875">
        <v>-1.7280414522832772</v>
      </c>
      <c r="I875">
        <v>-1.695616362328431</v>
      </c>
      <c r="K875">
        <v>-1.8</v>
      </c>
      <c r="M875" t="s">
        <v>758</v>
      </c>
      <c r="O875" s="1" t="str" cm="1">
        <f t="array" ref="O875">_xlfn.LET( _xlpm.s, UPPER(M875),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KALTNYLVEICKR</v>
      </c>
    </row>
    <row r="876" spans="1:15" ht="24">
      <c r="A876">
        <v>765</v>
      </c>
      <c r="B876">
        <v>6</v>
      </c>
      <c r="C876">
        <v>0</v>
      </c>
      <c r="D876">
        <v>0</v>
      </c>
      <c r="E876">
        <v>0</v>
      </c>
      <c r="G876">
        <v>-1.8</v>
      </c>
      <c r="H876">
        <v>-1.8</v>
      </c>
      <c r="I876">
        <v>-1.8</v>
      </c>
      <c r="K876">
        <v>-1.8</v>
      </c>
      <c r="M876" t="s">
        <v>772</v>
      </c>
      <c r="O876" s="1" t="str" cm="1">
        <f t="array" ref="O876">_xlfn.LET( _xlpm.s, UPPER(M876),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KKLTEYIKEICKL</v>
      </c>
    </row>
    <row r="877" spans="1:15" ht="24">
      <c r="A877">
        <v>777</v>
      </c>
      <c r="B877">
        <v>12</v>
      </c>
      <c r="C877">
        <v>0</v>
      </c>
      <c r="D877">
        <v>2</v>
      </c>
      <c r="E877">
        <v>6</v>
      </c>
      <c r="G877">
        <v>-1.8</v>
      </c>
      <c r="H877">
        <v>-0.7280414522832771</v>
      </c>
      <c r="I877">
        <v>-0.21849510760876856</v>
      </c>
      <c r="K877">
        <v>-1.8</v>
      </c>
      <c r="M877" t="s">
        <v>784</v>
      </c>
      <c r="O877" s="1" t="str" cm="1">
        <f t="array" ref="O877">_xlfn.LET( _xlpm.s, UPPER(M877),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KKLVEKLVKICEL</v>
      </c>
    </row>
    <row r="878" spans="1:15" ht="24">
      <c r="A878">
        <v>784</v>
      </c>
      <c r="B878">
        <v>33</v>
      </c>
      <c r="C878">
        <v>0</v>
      </c>
      <c r="D878">
        <v>0</v>
      </c>
      <c r="E878">
        <v>1</v>
      </c>
      <c r="G878">
        <v>-1.8</v>
      </c>
      <c r="H878">
        <v>-1.8</v>
      </c>
      <c r="I878">
        <v>-1.4359790518226749</v>
      </c>
      <c r="K878">
        <v>-1.8</v>
      </c>
      <c r="M878" t="s">
        <v>791</v>
      </c>
      <c r="O878" s="1" t="str" cm="1">
        <f t="array" ref="O878">_xlfn.LET( _xlpm.s, UPPER(M878),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EKLVNYLVEICKR</v>
      </c>
    </row>
    <row r="879" spans="1:15" ht="24">
      <c r="A879">
        <v>802</v>
      </c>
      <c r="B879">
        <v>97</v>
      </c>
      <c r="C879">
        <v>4</v>
      </c>
      <c r="D879">
        <v>0</v>
      </c>
      <c r="E879">
        <v>1</v>
      </c>
      <c r="G879">
        <v>-1.3186919429486286</v>
      </c>
      <c r="H879">
        <v>-1.8</v>
      </c>
      <c r="I879">
        <v>-1.9042368462110322</v>
      </c>
      <c r="K879">
        <v>-1.8</v>
      </c>
      <c r="M879" t="s">
        <v>809</v>
      </c>
      <c r="O879" s="1" t="str" cm="1">
        <f t="array" ref="O879">_xlfn.LET( _xlpm.s, UPPER(M879),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NRLINRIKAICEA</v>
      </c>
    </row>
    <row r="880" spans="1:15" ht="24">
      <c r="A880">
        <v>804</v>
      </c>
      <c r="B880">
        <v>62</v>
      </c>
      <c r="C880">
        <v>2</v>
      </c>
      <c r="D880">
        <v>0</v>
      </c>
      <c r="E880">
        <v>3</v>
      </c>
      <c r="G880">
        <v>-1.4253418938446187</v>
      </c>
      <c r="H880">
        <v>-1.8</v>
      </c>
      <c r="I880">
        <v>-1.2327355467233789</v>
      </c>
      <c r="K880">
        <v>-1.8</v>
      </c>
      <c r="M880" t="s">
        <v>811</v>
      </c>
      <c r="O880" s="1" t="str" cm="1">
        <f t="array" ref="O880">_xlfn.LET( _xlpm.s, UPPER(M880),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KKLTELIVEICKR</v>
      </c>
    </row>
    <row r="881" spans="1:15" ht="24">
      <c r="A881">
        <v>811</v>
      </c>
      <c r="B881">
        <v>71</v>
      </c>
      <c r="C881">
        <v>0</v>
      </c>
      <c r="D881">
        <v>4</v>
      </c>
      <c r="E881">
        <v>2</v>
      </c>
      <c r="G881">
        <v>-1.8</v>
      </c>
      <c r="H881">
        <v>-1.1990885592907465</v>
      </c>
      <c r="I881">
        <v>-1.4676934649998814</v>
      </c>
      <c r="K881">
        <v>-1.8</v>
      </c>
      <c r="M881" t="s">
        <v>818</v>
      </c>
      <c r="O881" s="1" t="str" cm="1">
        <f t="array" ref="O881">_xlfn.LET( _xlpm.s, UPPER(M881),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NRLVDYLKQICEL</v>
      </c>
    </row>
    <row r="882" spans="1:15" ht="24">
      <c r="A882">
        <v>813</v>
      </c>
      <c r="B882">
        <v>21</v>
      </c>
      <c r="C882">
        <v>0</v>
      </c>
      <c r="D882">
        <v>1</v>
      </c>
      <c r="E882">
        <v>0</v>
      </c>
      <c r="G882">
        <v>-1.8</v>
      </c>
      <c r="H882">
        <v>-1.2721094966335529</v>
      </c>
      <c r="I882">
        <v>-1.8</v>
      </c>
      <c r="K882">
        <v>-1.8</v>
      </c>
      <c r="M882" t="s">
        <v>820</v>
      </c>
      <c r="O882" s="1" t="str" cm="1">
        <f t="array" ref="O882">_xlfn.LET( _xlpm.s, UPPER(M882),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KRLQNYIVQICEI</v>
      </c>
    </row>
    <row r="883" spans="1:15" ht="24">
      <c r="A883">
        <v>822</v>
      </c>
      <c r="B883">
        <v>46</v>
      </c>
      <c r="C883">
        <v>0</v>
      </c>
      <c r="D883">
        <v>1</v>
      </c>
      <c r="E883">
        <v>2</v>
      </c>
      <c r="G883">
        <v>-1.8</v>
      </c>
      <c r="H883">
        <v>-1.6126480335812077</v>
      </c>
      <c r="I883">
        <v>-1.2791929479623803</v>
      </c>
      <c r="K883">
        <v>-1.8</v>
      </c>
      <c r="M883" t="s">
        <v>829</v>
      </c>
      <c r="O883" s="1" t="str" cm="1">
        <f t="array" ref="O883">_xlfn.LET( _xlpm.s, UPPER(M883),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EKLVERIIAICKK</v>
      </c>
    </row>
    <row r="884" spans="1:15" ht="24">
      <c r="A884">
        <v>841</v>
      </c>
      <c r="B884">
        <v>58</v>
      </c>
      <c r="C884">
        <v>0</v>
      </c>
      <c r="D884">
        <v>2</v>
      </c>
      <c r="E884">
        <v>3</v>
      </c>
      <c r="G884">
        <v>-1.8</v>
      </c>
      <c r="H884">
        <v>-1.4122881997985897</v>
      </c>
      <c r="I884">
        <v>-1.2037718507880624</v>
      </c>
      <c r="K884">
        <v>-1.8</v>
      </c>
      <c r="M884" t="s">
        <v>848</v>
      </c>
      <c r="O884" s="1" t="str" cm="1">
        <f t="array" ref="O884">_xlfn.LET( _xlpm.s, UPPER(M884),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ERLTNRIKEICKR</v>
      </c>
    </row>
    <row r="885" spans="1:15" ht="24">
      <c r="A885">
        <v>846</v>
      </c>
      <c r="B885">
        <v>53</v>
      </c>
      <c r="C885">
        <v>0</v>
      </c>
      <c r="D885">
        <v>0</v>
      </c>
      <c r="E885">
        <v>0</v>
      </c>
      <c r="G885">
        <v>-1.8</v>
      </c>
      <c r="H885">
        <v>-1.8</v>
      </c>
      <c r="I885">
        <v>-1.8</v>
      </c>
      <c r="K885">
        <v>-1.8</v>
      </c>
      <c r="M885" t="s">
        <v>853</v>
      </c>
      <c r="O885" s="1" t="str" cm="1">
        <f t="array" ref="O885">_xlfn.LET( _xlpm.s, UPPER(M885),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KKMEEYIVAVCER</v>
      </c>
    </row>
    <row r="886" spans="1:15" ht="24">
      <c r="A886">
        <v>860</v>
      </c>
      <c r="B886">
        <v>22</v>
      </c>
      <c r="C886">
        <v>0</v>
      </c>
      <c r="D886">
        <v>0</v>
      </c>
      <c r="E886">
        <v>0</v>
      </c>
      <c r="G886">
        <v>-1.8</v>
      </c>
      <c r="H886">
        <v>-1.8</v>
      </c>
      <c r="I886">
        <v>-1.8</v>
      </c>
      <c r="K886">
        <v>-1.8</v>
      </c>
      <c r="M886" t="s">
        <v>867</v>
      </c>
      <c r="O886" s="1" t="str" cm="1">
        <f t="array" ref="O886">_xlfn.LET( _xlpm.s, UPPER(M886),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KKLEELLVEICKI</v>
      </c>
    </row>
    <row r="887" spans="1:15" ht="24">
      <c r="A887">
        <v>867</v>
      </c>
      <c r="B887">
        <v>40</v>
      </c>
      <c r="C887">
        <v>0</v>
      </c>
      <c r="D887">
        <v>2</v>
      </c>
      <c r="E887">
        <v>1</v>
      </c>
      <c r="G887">
        <v>-1.8</v>
      </c>
      <c r="H887">
        <v>-1.2509201975636148</v>
      </c>
      <c r="I887">
        <v>-1.5195251032727497</v>
      </c>
      <c r="K887">
        <v>-1.8</v>
      </c>
      <c r="M887" t="s">
        <v>874</v>
      </c>
      <c r="O887" s="1" t="str" cm="1">
        <f t="array" ref="O887">_xlfn.LET( _xlpm.s, UPPER(M887),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EELTKYLVEICKR</v>
      </c>
    </row>
    <row r="888" spans="1:15" ht="24">
      <c r="A888">
        <v>868</v>
      </c>
      <c r="B888">
        <v>42</v>
      </c>
      <c r="C888">
        <v>0</v>
      </c>
      <c r="D888">
        <v>0</v>
      </c>
      <c r="E888">
        <v>0</v>
      </c>
      <c r="G888">
        <v>-1.8</v>
      </c>
      <c r="H888">
        <v>-1.8</v>
      </c>
      <c r="I888">
        <v>-1.8</v>
      </c>
      <c r="K888">
        <v>-1.8</v>
      </c>
      <c r="M888" t="s">
        <v>875</v>
      </c>
      <c r="O888" s="1" t="str" cm="1">
        <f t="array" ref="O888">_xlfn.LET( _xlpm.s, UPPER(M888),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EKLTSLIIEICER</v>
      </c>
    </row>
    <row r="889" spans="1:15" ht="24">
      <c r="A889">
        <v>870</v>
      </c>
      <c r="B889">
        <v>44</v>
      </c>
      <c r="C889">
        <v>1</v>
      </c>
      <c r="D889">
        <v>0</v>
      </c>
      <c r="E889">
        <v>0</v>
      </c>
      <c r="G889">
        <v>-1.5774328764965335</v>
      </c>
      <c r="H889">
        <v>-1.8</v>
      </c>
      <c r="I889">
        <v>-1.8</v>
      </c>
      <c r="K889">
        <v>-1.8</v>
      </c>
      <c r="M889" t="s">
        <v>877</v>
      </c>
      <c r="O889" s="1" t="str" cm="1">
        <f t="array" ref="O889">_xlfn.LET( _xlpm.s, UPPER(M889),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NKAVKYLVEVCKR</v>
      </c>
    </row>
    <row r="890" spans="1:15" ht="24">
      <c r="A890">
        <v>872</v>
      </c>
      <c r="B890">
        <v>13</v>
      </c>
      <c r="C890">
        <v>0</v>
      </c>
      <c r="D890">
        <v>1</v>
      </c>
      <c r="E890">
        <v>1</v>
      </c>
      <c r="G890">
        <v>-1.8</v>
      </c>
      <c r="H890">
        <v>-1.0638335542064703</v>
      </c>
      <c r="I890">
        <v>-1.0314084642516241</v>
      </c>
      <c r="K890">
        <v>-1.8</v>
      </c>
      <c r="M890" t="s">
        <v>879</v>
      </c>
      <c r="O890" s="1" t="str" cm="1">
        <f t="array" ref="O890">_xlfn.LET( _xlpm.s, UPPER(M890),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KKLTDYIVKICEL</v>
      </c>
    </row>
    <row r="891" spans="1:15" ht="24">
      <c r="A891">
        <v>881</v>
      </c>
      <c r="B891">
        <v>31</v>
      </c>
      <c r="C891">
        <v>0</v>
      </c>
      <c r="D891">
        <v>0</v>
      </c>
      <c r="E891">
        <v>0</v>
      </c>
      <c r="G891">
        <v>-1.8</v>
      </c>
      <c r="H891">
        <v>-1.8</v>
      </c>
      <c r="I891">
        <v>-1.8</v>
      </c>
      <c r="K891">
        <v>-1.8</v>
      </c>
      <c r="M891" t="s">
        <v>888</v>
      </c>
      <c r="O891" s="1" t="str" cm="1">
        <f t="array" ref="O891">_xlfn.LET( _xlpm.s, UPPER(M891),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NKLTEYLEAVCKK</v>
      </c>
    </row>
    <row r="892" spans="1:15" ht="24">
      <c r="A892">
        <v>885</v>
      </c>
      <c r="B892">
        <v>8</v>
      </c>
      <c r="C892">
        <v>0</v>
      </c>
      <c r="D892">
        <v>0</v>
      </c>
      <c r="E892">
        <v>0</v>
      </c>
      <c r="G892">
        <v>-1.8</v>
      </c>
      <c r="H892">
        <v>-1.8</v>
      </c>
      <c r="I892">
        <v>-1.8</v>
      </c>
      <c r="K892">
        <v>-1.8</v>
      </c>
      <c r="M892" t="s">
        <v>892</v>
      </c>
      <c r="O892" s="1" t="str" cm="1">
        <f t="array" ref="O892">_xlfn.LET( _xlpm.s, UPPER(M892),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EKLVNYLKEICKK</v>
      </c>
    </row>
    <row r="893" spans="1:15" ht="24">
      <c r="A893">
        <v>892</v>
      </c>
      <c r="B893">
        <v>11</v>
      </c>
      <c r="C893">
        <v>0</v>
      </c>
      <c r="D893">
        <v>2</v>
      </c>
      <c r="E893">
        <v>1</v>
      </c>
      <c r="G893">
        <v>-1.8</v>
      </c>
      <c r="H893">
        <v>-0.69025289139387735</v>
      </c>
      <c r="I893">
        <v>-0.95885779710301222</v>
      </c>
      <c r="K893">
        <v>-1.8</v>
      </c>
      <c r="M893" t="s">
        <v>899</v>
      </c>
      <c r="O893" s="1" t="str" cm="1">
        <f t="array" ref="O893">_xlfn.LET( _xlpm.s, UPPER(M893),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NKLVNYLKKICEL</v>
      </c>
    </row>
    <row r="894" spans="1:15" ht="24">
      <c r="A894">
        <v>895</v>
      </c>
      <c r="B894">
        <v>87</v>
      </c>
      <c r="C894">
        <v>0</v>
      </c>
      <c r="D894">
        <v>5</v>
      </c>
      <c r="E894">
        <v>6</v>
      </c>
      <c r="G894">
        <v>-1.8</v>
      </c>
      <c r="H894">
        <v>-1.1904394501822333</v>
      </c>
      <c r="I894">
        <v>-1.0788331141797622</v>
      </c>
      <c r="K894">
        <v>-1.8</v>
      </c>
      <c r="M894" t="s">
        <v>902</v>
      </c>
      <c r="O894" s="1" t="str" cm="1">
        <f t="array" ref="O894">_xlfn.LET( _xlpm.s, UPPER(M894),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KKLVERIVAICKK</v>
      </c>
    </row>
    <row r="895" spans="1:15" ht="24">
      <c r="A895">
        <v>902</v>
      </c>
      <c r="B895">
        <v>24</v>
      </c>
      <c r="C895">
        <v>0</v>
      </c>
      <c r="D895">
        <v>0</v>
      </c>
      <c r="E895">
        <v>0</v>
      </c>
      <c r="G895">
        <v>-1.8</v>
      </c>
      <c r="H895">
        <v>-1.8</v>
      </c>
      <c r="I895">
        <v>-1.8</v>
      </c>
      <c r="K895">
        <v>-1.8</v>
      </c>
      <c r="M895" t="s">
        <v>909</v>
      </c>
      <c r="O895" s="1" t="str" cm="1">
        <f t="array" ref="O895">_xlfn.LET( _xlpm.s, UPPER(M895),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ERMTKYLVEICKK</v>
      </c>
    </row>
    <row r="896" spans="1:15" ht="24">
      <c r="A896">
        <v>421</v>
      </c>
      <c r="B896">
        <v>97</v>
      </c>
      <c r="C896">
        <v>2</v>
      </c>
      <c r="D896">
        <v>1</v>
      </c>
      <c r="E896">
        <v>1</v>
      </c>
      <c r="G896">
        <v>-1.6197219386126098</v>
      </c>
      <c r="H896">
        <v>-1.9366619361658783</v>
      </c>
      <c r="I896">
        <v>-1.9042368462110322</v>
      </c>
      <c r="K896">
        <v>-1.8202069069965068</v>
      </c>
      <c r="M896" t="s">
        <v>428</v>
      </c>
      <c r="O896" s="1" t="str" cm="1">
        <f t="array" ref="O896">_xlfn.LET( _xlpm.s, UPPER(M896),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EKAIARLKAILEK</v>
      </c>
    </row>
    <row r="897" spans="1:15" ht="24">
      <c r="A897">
        <v>90</v>
      </c>
      <c r="B897">
        <v>226</v>
      </c>
      <c r="C897">
        <v>2</v>
      </c>
      <c r="D897">
        <v>3</v>
      </c>
      <c r="E897">
        <v>4</v>
      </c>
      <c r="G897">
        <v>-1.987058643493766</v>
      </c>
      <c r="H897">
        <v>-1.8268773863273722</v>
      </c>
      <c r="I897">
        <v>-1.6695135597642259</v>
      </c>
      <c r="K897">
        <v>-1.8278165298617879</v>
      </c>
      <c r="M897" t="s">
        <v>97</v>
      </c>
      <c r="O897" s="1" t="str" cm="1">
        <f t="array" ref="O897">_xlfn.LET( _xlpm.s, UPPER(M897),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EQQIKRLKLICDH</v>
      </c>
    </row>
    <row r="898" spans="1:15" ht="24">
      <c r="A898">
        <v>700</v>
      </c>
      <c r="B898">
        <v>135</v>
      </c>
      <c r="C898">
        <v>1</v>
      </c>
      <c r="D898">
        <v>1</v>
      </c>
      <c r="E898">
        <v>5</v>
      </c>
      <c r="G898">
        <v>-2.0643139685053522</v>
      </c>
      <c r="H898">
        <v>-2.0802239703946395</v>
      </c>
      <c r="I898">
        <v>-1.3488288761037748</v>
      </c>
      <c r="K898">
        <v>-1.8311222716679223</v>
      </c>
      <c r="M898" t="s">
        <v>707</v>
      </c>
      <c r="O898" s="1" t="str" cm="1">
        <f t="array" ref="O898">_xlfn.LET( _xlpm.s, UPPER(M898),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KARIARLKEILKL</v>
      </c>
    </row>
    <row r="899" spans="1:15" ht="24">
      <c r="A899">
        <v>591</v>
      </c>
      <c r="B899">
        <v>213</v>
      </c>
      <c r="C899">
        <v>3</v>
      </c>
      <c r="D899">
        <v>3</v>
      </c>
      <c r="E899">
        <v>2</v>
      </c>
      <c r="G899">
        <v>-1.7852385487294213</v>
      </c>
      <c r="H899">
        <v>-1.8011485506187088</v>
      </c>
      <c r="I899">
        <v>-1.9448147197195438</v>
      </c>
      <c r="K899">
        <v>-1.8437339396892245</v>
      </c>
      <c r="M899" t="s">
        <v>598</v>
      </c>
      <c r="O899" s="1" t="str" cm="1">
        <f t="array" ref="O899">_xlfn.LET( _xlpm.s, UPPER(M899),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KARIARLKAILEK</v>
      </c>
    </row>
    <row r="900" spans="1:15" ht="24">
      <c r="A900">
        <v>597</v>
      </c>
      <c r="B900">
        <v>107</v>
      </c>
      <c r="C900">
        <v>1</v>
      </c>
      <c r="D900">
        <v>1</v>
      </c>
      <c r="E900">
        <v>2</v>
      </c>
      <c r="G900">
        <v>-1.9633639776955558</v>
      </c>
      <c r="H900">
        <v>-1.9792739795848433</v>
      </c>
      <c r="I900">
        <v>-1.6458188939660159</v>
      </c>
      <c r="K900">
        <v>-1.8628189504154717</v>
      </c>
      <c r="M900" t="s">
        <v>604</v>
      </c>
      <c r="O900" s="1" t="str" cm="1">
        <f t="array" ref="O900">_xlfn.LET( _xlpm.s, UPPER(M900),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EERIKRIREILEI</v>
      </c>
    </row>
    <row r="901" spans="1:15" ht="24">
      <c r="A901">
        <v>548</v>
      </c>
      <c r="B901">
        <v>114</v>
      </c>
      <c r="C901">
        <v>1</v>
      </c>
      <c r="D901">
        <v>2</v>
      </c>
      <c r="E901">
        <v>1</v>
      </c>
      <c r="G901">
        <v>-1.9908850513468188</v>
      </c>
      <c r="H901">
        <v>-1.705765057572125</v>
      </c>
      <c r="I901">
        <v>-1.9743699632812601</v>
      </c>
      <c r="K901">
        <v>-1.8903400240667347</v>
      </c>
      <c r="M901" t="s">
        <v>555</v>
      </c>
      <c r="O901" s="1" t="str" cm="1">
        <f t="array" ref="O901">_xlfn.LET( _xlpm.s, UPPER(M901),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KARIERLKEILEL</v>
      </c>
    </row>
    <row r="902" spans="1:15" ht="24">
      <c r="A902">
        <v>658</v>
      </c>
      <c r="B902">
        <v>152</v>
      </c>
      <c r="C902">
        <v>1</v>
      </c>
      <c r="D902">
        <v>2</v>
      </c>
      <c r="E902">
        <v>2</v>
      </c>
      <c r="G902">
        <v>-2.1158237879551187</v>
      </c>
      <c r="H902">
        <v>-1.8307037941804249</v>
      </c>
      <c r="I902">
        <v>-1.7982787042255788</v>
      </c>
      <c r="K902">
        <v>-1.914935428787041</v>
      </c>
      <c r="M902" t="s">
        <v>665</v>
      </c>
      <c r="O902" s="1" t="str" cm="1">
        <f t="array" ref="O902">_xlfn.LET( _xlpm.s, UPPER(M902),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ARRIERLKAILEK</v>
      </c>
    </row>
    <row r="903" spans="1:15" ht="24">
      <c r="A903">
        <v>58</v>
      </c>
      <c r="B903">
        <v>221</v>
      </c>
      <c r="C903">
        <v>6</v>
      </c>
      <c r="D903">
        <v>1</v>
      </c>
      <c r="E903">
        <v>2</v>
      </c>
      <c r="G903">
        <v>-1.5002212233118131</v>
      </c>
      <c r="H903">
        <v>-2.294282475584744</v>
      </c>
      <c r="I903">
        <v>-1.9608273899659168</v>
      </c>
      <c r="K903">
        <v>-1.9184436962874913</v>
      </c>
      <c r="M903" t="s">
        <v>65</v>
      </c>
      <c r="O903" s="1" t="str" cm="1">
        <f t="array" ref="O903">_xlfn.LET( _xlpm.s, UPPER(M903),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ERQIARLKAICEH</v>
      </c>
    </row>
    <row r="904" spans="1:15" ht="24">
      <c r="A904">
        <v>707</v>
      </c>
      <c r="B904">
        <v>197</v>
      </c>
      <c r="C904">
        <v>2</v>
      </c>
      <c r="D904">
        <v>1</v>
      </c>
      <c r="E904">
        <v>4</v>
      </c>
      <c r="G904">
        <v>-1.927416430507958</v>
      </c>
      <c r="H904">
        <v>-2.2443564280612263</v>
      </c>
      <c r="I904">
        <v>-1.609871346778418</v>
      </c>
      <c r="K904">
        <v>-1.9272147351158673</v>
      </c>
      <c r="M904" t="s">
        <v>714</v>
      </c>
      <c r="O904" s="1" t="str" cm="1">
        <f t="array" ref="O904">_xlfn.LET( _xlpm.s, UPPER(M904),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KARIARLKAILAK</v>
      </c>
    </row>
    <row r="905" spans="1:15" ht="24">
      <c r="A905">
        <v>584</v>
      </c>
      <c r="B905">
        <v>181</v>
      </c>
      <c r="C905">
        <v>1</v>
      </c>
      <c r="D905">
        <v>2</v>
      </c>
      <c r="E905">
        <v>3</v>
      </c>
      <c r="G905">
        <v>-2.1916587748795306</v>
      </c>
      <c r="H905">
        <v>-1.9065387811048369</v>
      </c>
      <c r="I905">
        <v>-1.6980224320943096</v>
      </c>
      <c r="K905">
        <v>-1.9320733293595591</v>
      </c>
      <c r="M905" t="s">
        <v>591</v>
      </c>
      <c r="O905" s="1" t="str" cm="1">
        <f t="array" ref="O905">_xlfn.LET( _xlpm.s, UPPER(M905),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KARIDRLKAILEK</v>
      </c>
    </row>
    <row r="906" spans="1:15" ht="24">
      <c r="A906">
        <v>565</v>
      </c>
      <c r="B906">
        <v>126</v>
      </c>
      <c r="C906">
        <v>1</v>
      </c>
      <c r="D906">
        <v>2</v>
      </c>
      <c r="E906">
        <v>1</v>
      </c>
      <c r="G906">
        <v>-2.034350745127909</v>
      </c>
      <c r="H906">
        <v>-1.7492307513532153</v>
      </c>
      <c r="I906">
        <v>-2.0178356570623501</v>
      </c>
      <c r="K906">
        <v>-1.933805717847825</v>
      </c>
      <c r="M906" t="s">
        <v>572</v>
      </c>
      <c r="O906" s="1" t="str" cm="1">
        <f t="array" ref="O906">_xlfn.LET( _xlpm.s, UPPER(M906),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KARIERIKAILKI</v>
      </c>
    </row>
    <row r="907" spans="1:15" ht="24">
      <c r="A907">
        <v>50</v>
      </c>
      <c r="B907">
        <v>146</v>
      </c>
      <c r="C907">
        <v>1</v>
      </c>
      <c r="D907">
        <v>3</v>
      </c>
      <c r="E907">
        <v>1</v>
      </c>
      <c r="G907">
        <v>-2.0983330557947832</v>
      </c>
      <c r="H907">
        <v>-1.6371218029644083</v>
      </c>
      <c r="I907">
        <v>-2.0818179677292243</v>
      </c>
      <c r="K907">
        <v>-1.9390909421628055</v>
      </c>
      <c r="M907" t="s">
        <v>57</v>
      </c>
      <c r="O907" s="1" t="str" cm="1">
        <f t="array" ref="O907">_xlfn.LET( _xlpm.s, UPPER(M907),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EEQIERLKRICEH</v>
      </c>
    </row>
    <row r="908" spans="1:15" ht="24">
      <c r="A908">
        <v>590</v>
      </c>
      <c r="B908">
        <v>182</v>
      </c>
      <c r="C908">
        <v>5</v>
      </c>
      <c r="D908">
        <v>1</v>
      </c>
      <c r="E908">
        <v>1</v>
      </c>
      <c r="G908">
        <v>-1.495081583659402</v>
      </c>
      <c r="H908">
        <v>-2.209961589884708</v>
      </c>
      <c r="I908">
        <v>-2.1775364999298619</v>
      </c>
      <c r="K908">
        <v>-1.9608598911579904</v>
      </c>
      <c r="M908" t="s">
        <v>597</v>
      </c>
      <c r="O908" s="1" t="str" cm="1">
        <f t="array" ref="O908">_xlfn.LET( _xlpm.s, UPPER(M908),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KARIARLREILEI</v>
      </c>
    </row>
    <row r="909" spans="1:15" ht="24">
      <c r="A909">
        <v>318</v>
      </c>
      <c r="B909">
        <v>145</v>
      </c>
      <c r="C909">
        <v>1</v>
      </c>
      <c r="D909">
        <v>1</v>
      </c>
      <c r="E909">
        <v>2</v>
      </c>
      <c r="G909">
        <v>-2.0953482022453209</v>
      </c>
      <c r="H909">
        <v>-2.1112582041346082</v>
      </c>
      <c r="I909">
        <v>-1.7778031185157812</v>
      </c>
      <c r="K909">
        <v>-1.9948031749652368</v>
      </c>
      <c r="M909" t="s">
        <v>325</v>
      </c>
      <c r="O909" s="1" t="str" cm="1">
        <f t="array" ref="O909">_xlfn.LET( _xlpm.s, UPPER(M909),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KQQIERLKLICKE</v>
      </c>
    </row>
    <row r="910" spans="1:15" ht="24">
      <c r="A910">
        <v>636</v>
      </c>
      <c r="B910">
        <v>168</v>
      </c>
      <c r="C910">
        <v>1</v>
      </c>
      <c r="D910">
        <v>1</v>
      </c>
      <c r="E910">
        <v>3</v>
      </c>
      <c r="G910">
        <v>-2.1592894817362089</v>
      </c>
      <c r="H910">
        <v>-2.1751994836254962</v>
      </c>
      <c r="I910">
        <v>-1.6656531389509879</v>
      </c>
      <c r="K910">
        <v>-2.0000473681042314</v>
      </c>
      <c r="M910" t="s">
        <v>643</v>
      </c>
      <c r="O910" s="1" t="str" cm="1">
        <f t="array" ref="O910">_xlfn.LET( _xlpm.s, UPPER(M910), _xlpm.k, _xlfn.SEQUENCE(INT(LEN(_xlpm.s)/3)), _xlpm.codons, MID(_xlpm.s, 3*_xlpm.k-2, 3), _xlpm.codonList, {"TTT","TTC","TTA","TTG","TCT","TCC","TCA","TCG","TAT","TAC","TAA","TAG","TGT","TGC","TGA","TGG","CTT","CTC","CTA","CTG","CCT","CCC","CCA","CCG","CAT","CAC","CAA","CAG","CGT","CGC","CGA","CGG","ATT","ATC","ATA","ATG","ACT","ACC","ACA","ACG","AAT","AAC","AAA","AAG","AGT","AGC","AGA","AGG","GTT","GTC","GTA","GTG","GCT","GCC","GCA","GCG","GAT","GAC","GAA","GAG","GGT","GGC","GGA","GGG"}, _xlpm.aaList, {"F","F","L","L","S","S","S","S","Y","Y","*","*","C","C","*","W","L","L","L","L","P","P","P","P","H","H","Q","Q","R","R","R","R","I","I","I","M","T","T","T","T","N","N","K","K","S","S","R","R","V","V","V","V","A","A","A","A","D","D","E","E","G","G","G","G"}, _xlfn.TEXTJOIN("", TRUE, INDEX(_xlpm.aaList, _xlfn.XMATCH(_xlpm.codons, _xlpm.codonList, 0))) )</f>
        <v>KARIARIKAILKL</v>
      </c>
    </row>
  </sheetData>
  <sortState xmlns:xlrd2="http://schemas.microsoft.com/office/spreadsheetml/2017/richdata2" ref="A1:M911">
    <sortCondition descending="1" ref="K1:K9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3447-2C59-C042-9D81-A2FE73FE9CC3}">
  <dimension ref="A1:O910"/>
  <sheetViews>
    <sheetView tabSelected="1" zoomScale="68" workbookViewId="0">
      <selection activeCell="R23" sqref="R23"/>
    </sheetView>
  </sheetViews>
  <sheetFormatPr baseColWidth="10" defaultRowHeight="22"/>
  <cols>
    <col min="15" max="15" width="52.75" style="2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</v>
      </c>
      <c r="H1" t="s">
        <v>3</v>
      </c>
      <c r="I1" t="s">
        <v>4</v>
      </c>
      <c r="J1" s="3" t="s">
        <v>919</v>
      </c>
      <c r="K1" t="s">
        <v>5</v>
      </c>
      <c r="M1" t="s">
        <v>918</v>
      </c>
    </row>
    <row r="2" spans="1:15">
      <c r="A2" t="s">
        <v>7</v>
      </c>
      <c r="B2">
        <v>116</v>
      </c>
      <c r="C2">
        <v>437</v>
      </c>
      <c r="D2">
        <v>324</v>
      </c>
      <c r="E2">
        <v>331</v>
      </c>
      <c r="G2">
        <f t="shared" ref="G2:G65" si="0">LOG10(C2/B2)-LOG10(437/116)</f>
        <v>0</v>
      </c>
      <c r="H2">
        <f t="shared" ref="H2:H65" si="1">LOG10(D2/B2)-LOG10(324/116)</f>
        <v>0</v>
      </c>
      <c r="I2">
        <f t="shared" ref="I2:I65" si="2">LOG10(E2/B2)-LOG10(331/116)</f>
        <v>0</v>
      </c>
      <c r="J2" s="4"/>
      <c r="K2">
        <f t="shared" ref="K2:K65" si="3">AVERAGE(G2:I2)</f>
        <v>0</v>
      </c>
      <c r="M2">
        <f t="shared" ref="M2:M65" si="4">STDEV(G2:I2)</f>
        <v>0</v>
      </c>
      <c r="O2" s="2" t="s">
        <v>920</v>
      </c>
    </row>
    <row r="3" spans="1:15">
      <c r="A3">
        <v>1</v>
      </c>
      <c r="B3">
        <v>182</v>
      </c>
      <c r="C3">
        <v>2960</v>
      </c>
      <c r="D3">
        <v>3148</v>
      </c>
      <c r="E3">
        <v>3331</v>
      </c>
      <c r="G3">
        <f t="shared" si="0"/>
        <v>0.63519687533036051</v>
      </c>
      <c r="H3">
        <f t="shared" si="1"/>
        <v>0.7918763147222585</v>
      </c>
      <c r="I3">
        <f t="shared" si="2"/>
        <v>0.8071332401573017</v>
      </c>
      <c r="J3" s="4"/>
      <c r="K3">
        <f t="shared" si="3"/>
        <v>0.7447354767366402</v>
      </c>
      <c r="M3">
        <f t="shared" si="4"/>
        <v>9.5169440168394973E-2</v>
      </c>
      <c r="O3" s="2" t="s">
        <v>8</v>
      </c>
    </row>
    <row r="4" spans="1:15">
      <c r="A4">
        <v>2</v>
      </c>
      <c r="B4">
        <v>53</v>
      </c>
      <c r="C4">
        <v>1</v>
      </c>
      <c r="D4">
        <v>1</v>
      </c>
      <c r="E4">
        <v>0</v>
      </c>
      <c r="G4">
        <f t="shared" si="0"/>
        <v>-2.3002993173442925</v>
      </c>
      <c r="H4">
        <f t="shared" si="1"/>
        <v>-2.170362890580483</v>
      </c>
      <c r="I4" t="e">
        <f t="shared" si="2"/>
        <v>#NUM!</v>
      </c>
      <c r="J4" s="4"/>
      <c r="K4" t="e">
        <f t="shared" si="3"/>
        <v>#NUM!</v>
      </c>
      <c r="M4" t="e">
        <f t="shared" si="4"/>
        <v>#NUM!</v>
      </c>
      <c r="O4" s="2" t="s">
        <v>9</v>
      </c>
    </row>
    <row r="5" spans="1:15">
      <c r="A5">
        <v>3</v>
      </c>
      <c r="B5">
        <v>89</v>
      </c>
      <c r="C5">
        <v>4</v>
      </c>
      <c r="D5">
        <v>4</v>
      </c>
      <c r="E5">
        <v>4</v>
      </c>
      <c r="G5">
        <f t="shared" si="0"/>
        <v>-1.9233534630604538</v>
      </c>
      <c r="H5">
        <f t="shared" si="1"/>
        <v>-1.7934170362966442</v>
      </c>
      <c r="I5">
        <f t="shared" si="2"/>
        <v>-1.8027000198657508</v>
      </c>
      <c r="J5" s="4"/>
      <c r="K5">
        <f t="shared" si="3"/>
        <v>-1.8398235064076163</v>
      </c>
      <c r="M5">
        <f t="shared" si="4"/>
        <v>7.2487817526842191E-2</v>
      </c>
      <c r="O5" s="2" t="s">
        <v>10</v>
      </c>
    </row>
    <row r="6" spans="1:15">
      <c r="A6">
        <v>4</v>
      </c>
      <c r="B6">
        <v>114</v>
      </c>
      <c r="C6">
        <v>1</v>
      </c>
      <c r="D6">
        <v>1</v>
      </c>
      <c r="E6">
        <v>0</v>
      </c>
      <c r="G6">
        <f t="shared" si="0"/>
        <v>-2.6329282990799761</v>
      </c>
      <c r="H6">
        <f t="shared" si="1"/>
        <v>-2.5029918723161666</v>
      </c>
      <c r="I6" t="e">
        <f t="shared" si="2"/>
        <v>#NUM!</v>
      </c>
      <c r="J6" s="4"/>
      <c r="K6" t="e">
        <f t="shared" si="3"/>
        <v>#NUM!</v>
      </c>
      <c r="M6" t="e">
        <f t="shared" si="4"/>
        <v>#NUM!</v>
      </c>
      <c r="O6" s="2" t="s">
        <v>11</v>
      </c>
    </row>
    <row r="7" spans="1:15">
      <c r="A7">
        <v>5</v>
      </c>
      <c r="B7">
        <v>66</v>
      </c>
      <c r="C7">
        <v>1</v>
      </c>
      <c r="D7">
        <v>0</v>
      </c>
      <c r="E7">
        <v>2</v>
      </c>
      <c r="G7">
        <f t="shared" si="0"/>
        <v>-2.3955673832853721</v>
      </c>
      <c r="H7" t="e">
        <f t="shared" si="1"/>
        <v>#NUM!</v>
      </c>
      <c r="I7">
        <f t="shared" si="2"/>
        <v>-1.9738839444266878</v>
      </c>
      <c r="J7" s="4"/>
      <c r="K7" t="e">
        <f t="shared" si="3"/>
        <v>#NUM!</v>
      </c>
      <c r="M7" t="e">
        <f t="shared" si="4"/>
        <v>#NUM!</v>
      </c>
      <c r="O7" s="2" t="s">
        <v>12</v>
      </c>
    </row>
    <row r="8" spans="1:15">
      <c r="A8">
        <v>6</v>
      </c>
      <c r="B8">
        <v>36</v>
      </c>
      <c r="C8">
        <v>0</v>
      </c>
      <c r="D8">
        <v>0</v>
      </c>
      <c r="E8">
        <v>0</v>
      </c>
      <c r="G8" t="e">
        <f t="shared" si="0"/>
        <v>#NUM!</v>
      </c>
      <c r="H8" t="e">
        <f t="shared" si="1"/>
        <v>#NUM!</v>
      </c>
      <c r="I8" t="e">
        <f t="shared" si="2"/>
        <v>#NUM!</v>
      </c>
      <c r="J8" s="4"/>
      <c r="K8" t="e">
        <f t="shared" si="3"/>
        <v>#NUM!</v>
      </c>
      <c r="M8" t="e">
        <f t="shared" si="4"/>
        <v>#NUM!</v>
      </c>
      <c r="O8" s="2" t="s">
        <v>13</v>
      </c>
    </row>
    <row r="9" spans="1:15">
      <c r="A9">
        <v>7</v>
      </c>
      <c r="B9">
        <v>174</v>
      </c>
      <c r="C9">
        <v>1</v>
      </c>
      <c r="D9">
        <v>2</v>
      </c>
      <c r="E9">
        <v>11</v>
      </c>
      <c r="G9">
        <f t="shared" si="0"/>
        <v>-2.8165726960261033</v>
      </c>
      <c r="H9">
        <f t="shared" si="1"/>
        <v>-2.3856062735983121</v>
      </c>
      <c r="I9">
        <f t="shared" si="2"/>
        <v>-1.6545265676731749</v>
      </c>
      <c r="J9" s="4"/>
      <c r="K9">
        <f t="shared" si="3"/>
        <v>-2.2855685124325302</v>
      </c>
      <c r="M9">
        <f t="shared" si="4"/>
        <v>0.58744656467571876</v>
      </c>
      <c r="O9" s="2" t="s">
        <v>14</v>
      </c>
    </row>
    <row r="10" spans="1:15">
      <c r="A10">
        <v>8</v>
      </c>
      <c r="B10">
        <v>516</v>
      </c>
      <c r="C10">
        <v>8</v>
      </c>
      <c r="D10">
        <v>10</v>
      </c>
      <c r="E10">
        <v>17</v>
      </c>
      <c r="G10">
        <f t="shared" si="0"/>
        <v>-2.3855831623787713</v>
      </c>
      <c r="H10">
        <f t="shared" si="1"/>
        <v>-2.1587367226069052</v>
      </c>
      <c r="I10">
        <f t="shared" si="2"/>
        <v>-1.9375707847977377</v>
      </c>
      <c r="J10" s="4"/>
      <c r="K10">
        <f t="shared" si="3"/>
        <v>-2.1606302232611383</v>
      </c>
      <c r="M10">
        <f t="shared" si="4"/>
        <v>0.22401219079549742</v>
      </c>
      <c r="O10" s="2" t="s">
        <v>15</v>
      </c>
    </row>
    <row r="11" spans="1:15">
      <c r="A11">
        <v>9</v>
      </c>
      <c r="B11">
        <v>129</v>
      </c>
      <c r="C11">
        <v>2</v>
      </c>
      <c r="D11">
        <v>1</v>
      </c>
      <c r="E11">
        <v>1</v>
      </c>
      <c r="G11">
        <f t="shared" si="0"/>
        <v>-2.3855831623787713</v>
      </c>
      <c r="H11">
        <f t="shared" si="1"/>
        <v>-2.5566767312789427</v>
      </c>
      <c r="I11">
        <f t="shared" si="2"/>
        <v>-2.5659597148480491</v>
      </c>
      <c r="J11" s="4"/>
      <c r="K11">
        <f t="shared" si="3"/>
        <v>-2.5027398695019212</v>
      </c>
      <c r="M11">
        <f t="shared" si="4"/>
        <v>0.10156679557779048</v>
      </c>
      <c r="O11" s="2" t="s">
        <v>16</v>
      </c>
    </row>
    <row r="12" spans="1:15">
      <c r="A12">
        <v>10</v>
      </c>
      <c r="B12">
        <v>101</v>
      </c>
      <c r="C12">
        <v>0</v>
      </c>
      <c r="D12">
        <v>4</v>
      </c>
      <c r="E12">
        <v>2</v>
      </c>
      <c r="G12" t="e">
        <f t="shared" si="0"/>
        <v>#NUM!</v>
      </c>
      <c r="H12">
        <f t="shared" si="1"/>
        <v>-1.8483484034343738</v>
      </c>
      <c r="I12">
        <f t="shared" si="2"/>
        <v>-2.1586613826674617</v>
      </c>
      <c r="J12" s="4"/>
      <c r="K12" t="e">
        <f t="shared" si="3"/>
        <v>#NUM!</v>
      </c>
      <c r="M12" t="e">
        <f t="shared" si="4"/>
        <v>#NUM!</v>
      </c>
      <c r="O12" s="2" t="s">
        <v>17</v>
      </c>
    </row>
    <row r="13" spans="1:15">
      <c r="A13">
        <v>11</v>
      </c>
      <c r="B13">
        <v>175</v>
      </c>
      <c r="C13">
        <v>2</v>
      </c>
      <c r="D13">
        <v>1</v>
      </c>
      <c r="E13">
        <v>4</v>
      </c>
      <c r="G13">
        <f t="shared" si="0"/>
        <v>-2.5180315007658165</v>
      </c>
      <c r="H13">
        <f t="shared" si="1"/>
        <v>-2.6891250696659883</v>
      </c>
      <c r="I13">
        <f t="shared" si="2"/>
        <v>-2.0963480619071326</v>
      </c>
      <c r="J13" s="4"/>
      <c r="K13">
        <f t="shared" si="3"/>
        <v>-2.4345015441129791</v>
      </c>
      <c r="M13">
        <f t="shared" si="4"/>
        <v>0.30508865183042161</v>
      </c>
      <c r="O13" s="2" t="s">
        <v>18</v>
      </c>
    </row>
    <row r="14" spans="1:15">
      <c r="A14">
        <v>12</v>
      </c>
      <c r="B14">
        <v>272</v>
      </c>
      <c r="C14">
        <v>3</v>
      </c>
      <c r="D14">
        <v>3</v>
      </c>
      <c r="E14">
        <v>5</v>
      </c>
      <c r="G14">
        <f t="shared" si="0"/>
        <v>-2.5334710970580394</v>
      </c>
      <c r="H14">
        <f t="shared" si="1"/>
        <v>-2.40353467029423</v>
      </c>
      <c r="I14">
        <f t="shared" si="2"/>
        <v>-2.1909689042469802</v>
      </c>
      <c r="J14" s="4"/>
      <c r="K14">
        <f t="shared" si="3"/>
        <v>-2.3759915571997499</v>
      </c>
      <c r="M14">
        <f t="shared" si="4"/>
        <v>0.17290432420647403</v>
      </c>
      <c r="O14" s="2" t="s">
        <v>19</v>
      </c>
    </row>
    <row r="15" spans="1:15">
      <c r="A15">
        <v>13</v>
      </c>
      <c r="B15">
        <v>121</v>
      </c>
      <c r="C15">
        <v>9</v>
      </c>
      <c r="D15">
        <v>6</v>
      </c>
      <c r="E15">
        <v>13</v>
      </c>
      <c r="G15">
        <f t="shared" si="0"/>
        <v>-1.7045663086206286</v>
      </c>
      <c r="H15">
        <f t="shared" si="1"/>
        <v>-1.7507211409125001</v>
      </c>
      <c r="I15">
        <f t="shared" si="2"/>
        <v>-1.4242120225584136</v>
      </c>
      <c r="J15" s="4"/>
      <c r="K15">
        <f t="shared" si="3"/>
        <v>-1.626499824030514</v>
      </c>
      <c r="M15">
        <f t="shared" si="4"/>
        <v>0.17669983900469366</v>
      </c>
      <c r="O15" s="2" t="s">
        <v>20</v>
      </c>
    </row>
    <row r="16" spans="1:15">
      <c r="A16">
        <v>14</v>
      </c>
      <c r="B16">
        <v>86</v>
      </c>
      <c r="C16">
        <v>291</v>
      </c>
      <c r="D16">
        <v>354</v>
      </c>
      <c r="E16">
        <v>327</v>
      </c>
      <c r="G16">
        <f t="shared" si="0"/>
        <v>-4.6628910001163759E-2</v>
      </c>
      <c r="H16">
        <f t="shared" si="1"/>
        <v>0.16841778980252642</v>
      </c>
      <c r="I16">
        <f t="shared" si="2"/>
        <v>0.12467929686791812</v>
      </c>
      <c r="J16" s="4"/>
      <c r="K16">
        <f t="shared" si="3"/>
        <v>8.2156058889760256E-2</v>
      </c>
      <c r="M16">
        <f t="shared" si="4"/>
        <v>0.11365491674461294</v>
      </c>
      <c r="O16" s="2" t="s">
        <v>21</v>
      </c>
    </row>
    <row r="17" spans="1:15">
      <c r="A17">
        <v>15</v>
      </c>
      <c r="B17">
        <v>321</v>
      </c>
      <c r="C17">
        <v>5</v>
      </c>
      <c r="D17">
        <v>4</v>
      </c>
      <c r="E17">
        <v>5</v>
      </c>
      <c r="G17">
        <f t="shared" si="0"/>
        <v>-2.3835584758123565</v>
      </c>
      <c r="H17">
        <f t="shared" si="1"/>
        <v>-2.3505320620566033</v>
      </c>
      <c r="I17">
        <f t="shared" si="2"/>
        <v>-2.2629050326176534</v>
      </c>
      <c r="J17" s="4"/>
      <c r="K17">
        <f t="shared" si="3"/>
        <v>-2.3323318568288713</v>
      </c>
      <c r="M17">
        <f t="shared" si="4"/>
        <v>6.2351815863157002E-2</v>
      </c>
      <c r="O17" s="2" t="s">
        <v>22</v>
      </c>
    </row>
    <row r="18" spans="1:15">
      <c r="A18">
        <v>16</v>
      </c>
      <c r="B18">
        <v>171</v>
      </c>
      <c r="C18">
        <v>5</v>
      </c>
      <c r="D18">
        <v>4</v>
      </c>
      <c r="E18">
        <v>1</v>
      </c>
      <c r="G18">
        <f t="shared" si="0"/>
        <v>-2.1100495537996382</v>
      </c>
      <c r="H18">
        <f t="shared" si="1"/>
        <v>-2.0770231400438854</v>
      </c>
      <c r="I18">
        <f t="shared" si="2"/>
        <v>-2.6883661149409543</v>
      </c>
      <c r="J18" s="4"/>
      <c r="K18">
        <f t="shared" si="3"/>
        <v>-2.291812936261493</v>
      </c>
      <c r="M18">
        <f t="shared" si="4"/>
        <v>0.34382190686746344</v>
      </c>
      <c r="O18" s="2" t="s">
        <v>23</v>
      </c>
    </row>
    <row r="19" spans="1:15">
      <c r="A19">
        <v>17</v>
      </c>
      <c r="B19">
        <v>1124</v>
      </c>
      <c r="C19">
        <v>24</v>
      </c>
      <c r="D19">
        <v>28</v>
      </c>
      <c r="E19">
        <v>28</v>
      </c>
      <c r="G19">
        <f t="shared" si="0"/>
        <v>-2.2465785172649397</v>
      </c>
      <c r="H19">
        <f t="shared" si="1"/>
        <v>-2.0496953008705168</v>
      </c>
      <c r="I19">
        <f t="shared" si="2"/>
        <v>-2.0589782844396236</v>
      </c>
      <c r="J19" s="4"/>
      <c r="K19">
        <f t="shared" si="3"/>
        <v>-2.1184173675250269</v>
      </c>
      <c r="M19">
        <f t="shared" si="4"/>
        <v>0.11108781964274204</v>
      </c>
      <c r="O19" s="2" t="s">
        <v>24</v>
      </c>
    </row>
    <row r="20" spans="1:15">
      <c r="A20">
        <v>18</v>
      </c>
      <c r="B20">
        <v>269</v>
      </c>
      <c r="C20">
        <v>2</v>
      </c>
      <c r="D20">
        <v>3</v>
      </c>
      <c r="E20">
        <v>5</v>
      </c>
      <c r="G20">
        <f t="shared" si="0"/>
        <v>-2.7047457320819301</v>
      </c>
      <c r="H20">
        <f t="shared" si="1"/>
        <v>-2.3987180462624389</v>
      </c>
      <c r="I20">
        <f t="shared" si="2"/>
        <v>-2.1861522802151896</v>
      </c>
      <c r="J20" s="4"/>
      <c r="K20">
        <f t="shared" si="3"/>
        <v>-2.4298720195198529</v>
      </c>
      <c r="M20">
        <f t="shared" si="4"/>
        <v>0.26069660453687937</v>
      </c>
      <c r="O20" s="2" t="s">
        <v>25</v>
      </c>
    </row>
    <row r="21" spans="1:15">
      <c r="A21">
        <v>19</v>
      </c>
      <c r="B21">
        <v>85</v>
      </c>
      <c r="C21">
        <v>0</v>
      </c>
      <c r="D21">
        <v>1</v>
      </c>
      <c r="E21">
        <v>2</v>
      </c>
      <c r="G21" t="e">
        <f t="shared" si="0"/>
        <v>#NUM!</v>
      </c>
      <c r="H21">
        <f t="shared" si="1"/>
        <v>-2.3755059466939863</v>
      </c>
      <c r="I21">
        <f t="shared" si="2"/>
        <v>-2.0837589345991119</v>
      </c>
      <c r="J21" s="4"/>
      <c r="K21" t="e">
        <f t="shared" si="3"/>
        <v>#NUM!</v>
      </c>
      <c r="M21" t="e">
        <f t="shared" si="4"/>
        <v>#NUM!</v>
      </c>
      <c r="O21" s="2" t="s">
        <v>26</v>
      </c>
    </row>
    <row r="22" spans="1:15">
      <c r="A22">
        <v>20</v>
      </c>
      <c r="B22">
        <v>89</v>
      </c>
      <c r="C22">
        <v>0</v>
      </c>
      <c r="D22">
        <v>3</v>
      </c>
      <c r="E22">
        <v>1</v>
      </c>
      <c r="G22" t="e">
        <f t="shared" si="0"/>
        <v>#NUM!</v>
      </c>
      <c r="H22">
        <f t="shared" si="1"/>
        <v>-1.9183557729049441</v>
      </c>
      <c r="I22">
        <f t="shared" si="2"/>
        <v>-2.4047600111937131</v>
      </c>
      <c r="J22" s="4"/>
      <c r="K22" t="e">
        <f t="shared" si="3"/>
        <v>#NUM!</v>
      </c>
      <c r="M22" t="e">
        <f t="shared" si="4"/>
        <v>#NUM!</v>
      </c>
      <c r="O22" s="2" t="s">
        <v>27</v>
      </c>
    </row>
    <row r="23" spans="1:15">
      <c r="A23">
        <v>21</v>
      </c>
      <c r="B23">
        <v>182</v>
      </c>
      <c r="C23">
        <v>2</v>
      </c>
      <c r="D23">
        <v>1</v>
      </c>
      <c r="E23">
        <v>1</v>
      </c>
      <c r="G23">
        <f t="shared" si="0"/>
        <v>-2.5350648400645968</v>
      </c>
      <c r="H23">
        <f t="shared" si="1"/>
        <v>-2.7061584089647681</v>
      </c>
      <c r="I23">
        <f t="shared" si="2"/>
        <v>-2.715441392533875</v>
      </c>
      <c r="J23" s="4"/>
      <c r="K23">
        <f t="shared" si="3"/>
        <v>-2.6522215471877466</v>
      </c>
      <c r="M23">
        <f t="shared" si="4"/>
        <v>0.10156679557779062</v>
      </c>
      <c r="O23" s="2" t="s">
        <v>28</v>
      </c>
    </row>
    <row r="24" spans="1:15">
      <c r="A24">
        <v>22</v>
      </c>
      <c r="B24">
        <v>171</v>
      </c>
      <c r="C24">
        <v>703</v>
      </c>
      <c r="D24">
        <v>577</v>
      </c>
      <c r="E24">
        <v>585</v>
      </c>
      <c r="G24">
        <f t="shared" si="0"/>
        <v>3.7935766884166777E-2</v>
      </c>
      <c r="H24">
        <f t="shared" si="1"/>
        <v>8.2092681783883958E-2</v>
      </c>
      <c r="I24">
        <f t="shared" si="2"/>
        <v>7.8789751141226327E-2</v>
      </c>
      <c r="J24" s="4"/>
      <c r="K24">
        <f t="shared" si="3"/>
        <v>6.6272733269759021E-2</v>
      </c>
      <c r="M24">
        <f t="shared" si="4"/>
        <v>2.4596038007394398E-2</v>
      </c>
      <c r="O24" s="2" t="s">
        <v>29</v>
      </c>
    </row>
    <row r="25" spans="1:15">
      <c r="A25">
        <v>23</v>
      </c>
      <c r="B25">
        <v>212</v>
      </c>
      <c r="C25">
        <v>7</v>
      </c>
      <c r="D25">
        <v>1</v>
      </c>
      <c r="E25">
        <v>3</v>
      </c>
      <c r="G25">
        <f t="shared" si="0"/>
        <v>-2.0572612686579976</v>
      </c>
      <c r="H25">
        <f t="shared" si="1"/>
        <v>-2.7724228819084455</v>
      </c>
      <c r="I25">
        <f t="shared" si="2"/>
        <v>-2.3045846107578893</v>
      </c>
      <c r="J25" s="4"/>
      <c r="K25">
        <f t="shared" si="3"/>
        <v>-2.3780895871081107</v>
      </c>
      <c r="M25">
        <f t="shared" si="4"/>
        <v>0.36320279380524151</v>
      </c>
      <c r="O25" s="2" t="s">
        <v>30</v>
      </c>
    </row>
    <row r="26" spans="1:15">
      <c r="A26">
        <v>24</v>
      </c>
      <c r="B26">
        <v>112</v>
      </c>
      <c r="C26">
        <v>602</v>
      </c>
      <c r="D26">
        <v>718</v>
      </c>
      <c r="E26">
        <v>782</v>
      </c>
      <c r="G26">
        <f t="shared" si="0"/>
        <v>0.15435502084413966</v>
      </c>
      <c r="H26">
        <f t="shared" si="1"/>
        <v>0.36081940059242501</v>
      </c>
      <c r="I26">
        <f t="shared" si="2"/>
        <v>0.3886187258408661</v>
      </c>
      <c r="J26" s="4"/>
      <c r="K26">
        <f t="shared" si="3"/>
        <v>0.30126438242581027</v>
      </c>
      <c r="M26">
        <f t="shared" si="4"/>
        <v>0.12798426079529346</v>
      </c>
      <c r="O26" s="2" t="s">
        <v>31</v>
      </c>
    </row>
    <row r="27" spans="1:15">
      <c r="A27">
        <v>25</v>
      </c>
      <c r="B27">
        <v>501</v>
      </c>
      <c r="C27">
        <v>21</v>
      </c>
      <c r="D27">
        <v>11</v>
      </c>
      <c r="E27">
        <v>17</v>
      </c>
      <c r="G27">
        <f t="shared" si="0"/>
        <v>-1.9536418788768297</v>
      </c>
      <c r="H27">
        <f t="shared" si="1"/>
        <v>-2.1045320616887144</v>
      </c>
      <c r="I27">
        <f t="shared" si="2"/>
        <v>-1.9247588090377721</v>
      </c>
      <c r="J27" s="4"/>
      <c r="K27">
        <f t="shared" si="3"/>
        <v>-1.9943109165344388</v>
      </c>
      <c r="M27">
        <f t="shared" si="4"/>
        <v>9.6540579862417972E-2</v>
      </c>
      <c r="O27" s="2" t="s">
        <v>32</v>
      </c>
    </row>
    <row r="28" spans="1:15">
      <c r="A28">
        <v>26</v>
      </c>
      <c r="B28">
        <v>209</v>
      </c>
      <c r="C28">
        <v>1</v>
      </c>
      <c r="D28">
        <v>2</v>
      </c>
      <c r="E28">
        <v>5</v>
      </c>
      <c r="G28">
        <f t="shared" si="0"/>
        <v>-2.8961697338545576</v>
      </c>
      <c r="H28">
        <f t="shared" si="1"/>
        <v>-2.4652033114267669</v>
      </c>
      <c r="I28">
        <f t="shared" si="2"/>
        <v>-2.0765462863238353</v>
      </c>
      <c r="J28" s="4"/>
      <c r="K28">
        <f t="shared" si="3"/>
        <v>-2.4793064438683863</v>
      </c>
      <c r="M28">
        <f t="shared" si="4"/>
        <v>0.40999368616362536</v>
      </c>
      <c r="O28" s="2" t="s">
        <v>33</v>
      </c>
    </row>
    <row r="29" spans="1:15">
      <c r="A29">
        <v>27</v>
      </c>
      <c r="B29">
        <v>117</v>
      </c>
      <c r="C29">
        <v>0</v>
      </c>
      <c r="D29">
        <v>3</v>
      </c>
      <c r="E29">
        <v>1</v>
      </c>
      <c r="G29" t="e">
        <f t="shared" si="0"/>
        <v>#NUM!</v>
      </c>
      <c r="H29">
        <f t="shared" si="1"/>
        <v>-2.037151628006193</v>
      </c>
      <c r="I29">
        <f t="shared" si="2"/>
        <v>-2.523555866294962</v>
      </c>
      <c r="J29" s="4"/>
      <c r="K29" t="e">
        <f t="shared" si="3"/>
        <v>#NUM!</v>
      </c>
      <c r="M29" t="e">
        <f t="shared" si="4"/>
        <v>#NUM!</v>
      </c>
      <c r="O29" s="2" t="s">
        <v>34</v>
      </c>
    </row>
    <row r="30" spans="1:15">
      <c r="A30">
        <v>28</v>
      </c>
      <c r="B30">
        <v>149</v>
      </c>
      <c r="C30">
        <v>3</v>
      </c>
      <c r="D30">
        <v>1</v>
      </c>
      <c r="E30">
        <v>2</v>
      </c>
      <c r="G30">
        <f t="shared" si="0"/>
        <v>-2.2720884614361152</v>
      </c>
      <c r="H30">
        <f t="shared" si="1"/>
        <v>-2.6192732893919679</v>
      </c>
      <c r="I30">
        <f t="shared" si="2"/>
        <v>-2.327526277297093</v>
      </c>
      <c r="J30" s="4"/>
      <c r="K30">
        <f t="shared" si="3"/>
        <v>-2.4062960093750587</v>
      </c>
      <c r="M30">
        <f t="shared" si="4"/>
        <v>0.1865149570662086</v>
      </c>
      <c r="O30" s="2" t="s">
        <v>35</v>
      </c>
    </row>
    <row r="31" spans="1:15">
      <c r="A31">
        <v>29</v>
      </c>
      <c r="B31">
        <v>396</v>
      </c>
      <c r="C31">
        <v>17</v>
      </c>
      <c r="D31">
        <v>50</v>
      </c>
      <c r="E31">
        <v>19</v>
      </c>
      <c r="G31">
        <f t="shared" si="0"/>
        <v>-1.9432697122907416</v>
      </c>
      <c r="H31">
        <f t="shared" si="1"/>
        <v>-1.3448122025691871</v>
      </c>
      <c r="I31">
        <f t="shared" si="2"/>
        <v>-1.7743115895214836</v>
      </c>
      <c r="J31" s="4"/>
      <c r="K31">
        <f t="shared" si="3"/>
        <v>-1.6874645014604708</v>
      </c>
      <c r="M31">
        <f t="shared" si="4"/>
        <v>0.30853631919765817</v>
      </c>
      <c r="O31" s="2" t="s">
        <v>36</v>
      </c>
    </row>
    <row r="32" spans="1:15">
      <c r="A32">
        <v>30</v>
      </c>
      <c r="B32">
        <v>92</v>
      </c>
      <c r="C32">
        <v>0</v>
      </c>
      <c r="D32">
        <v>2</v>
      </c>
      <c r="E32">
        <v>0</v>
      </c>
      <c r="G32" t="e">
        <f t="shared" si="0"/>
        <v>#NUM!</v>
      </c>
      <c r="H32">
        <f t="shared" si="1"/>
        <v>-2.1088448526612678</v>
      </c>
      <c r="I32" t="e">
        <f t="shared" si="2"/>
        <v>#NUM!</v>
      </c>
      <c r="J32" s="4"/>
      <c r="K32" t="e">
        <f t="shared" si="3"/>
        <v>#NUM!</v>
      </c>
      <c r="M32" t="e">
        <f t="shared" si="4"/>
        <v>#NUM!</v>
      </c>
      <c r="O32" s="2" t="s">
        <v>37</v>
      </c>
    </row>
    <row r="33" spans="1:15">
      <c r="A33">
        <v>31</v>
      </c>
      <c r="B33">
        <v>207</v>
      </c>
      <c r="C33">
        <v>2</v>
      </c>
      <c r="D33">
        <v>1</v>
      </c>
      <c r="E33">
        <v>3</v>
      </c>
      <c r="G33">
        <f t="shared" si="0"/>
        <v>-2.5909637975364399</v>
      </c>
      <c r="H33">
        <f t="shared" si="1"/>
        <v>-2.7620573664366113</v>
      </c>
      <c r="I33">
        <f t="shared" si="2"/>
        <v>-2.2942190952860555</v>
      </c>
      <c r="J33" s="4"/>
      <c r="K33">
        <f t="shared" si="3"/>
        <v>-2.5490800864197021</v>
      </c>
      <c r="M33">
        <f t="shared" si="4"/>
        <v>0.23671469310325455</v>
      </c>
      <c r="O33" s="2" t="s">
        <v>38</v>
      </c>
    </row>
    <row r="34" spans="1:15">
      <c r="A34">
        <v>32</v>
      </c>
      <c r="B34">
        <v>87</v>
      </c>
      <c r="C34">
        <v>345</v>
      </c>
      <c r="D34">
        <v>255</v>
      </c>
      <c r="E34">
        <v>259</v>
      </c>
      <c r="G34">
        <f t="shared" si="0"/>
        <v>2.2276394711152281E-2</v>
      </c>
      <c r="H34">
        <f t="shared" si="1"/>
        <v>2.0933906835642946E-2</v>
      </c>
      <c r="I34">
        <f t="shared" si="2"/>
        <v>1.8410506913833002E-2</v>
      </c>
      <c r="J34" s="4"/>
      <c r="K34">
        <f t="shared" si="3"/>
        <v>2.0540269486876078E-2</v>
      </c>
      <c r="M34">
        <f t="shared" si="4"/>
        <v>1.9627747927675461E-3</v>
      </c>
      <c r="O34" s="2" t="s">
        <v>39</v>
      </c>
    </row>
    <row r="35" spans="1:15">
      <c r="A35">
        <v>33</v>
      </c>
      <c r="B35">
        <v>290</v>
      </c>
      <c r="C35">
        <v>4</v>
      </c>
      <c r="D35">
        <v>7</v>
      </c>
      <c r="E35">
        <v>6</v>
      </c>
      <c r="G35">
        <f t="shared" si="0"/>
        <v>-2.4363614543144969</v>
      </c>
      <c r="H35">
        <f t="shared" si="1"/>
        <v>-2.0633869788643926</v>
      </c>
      <c r="I35">
        <f t="shared" si="2"/>
        <v>-2.1396167520641125</v>
      </c>
      <c r="J35" s="4"/>
      <c r="K35">
        <f t="shared" si="3"/>
        <v>-2.2131217284143339</v>
      </c>
      <c r="M35">
        <f t="shared" si="4"/>
        <v>0.1970525970280653</v>
      </c>
      <c r="O35" s="2" t="s">
        <v>40</v>
      </c>
    </row>
    <row r="36" spans="1:15">
      <c r="A36">
        <v>34</v>
      </c>
      <c r="B36">
        <v>104</v>
      </c>
      <c r="C36">
        <v>2</v>
      </c>
      <c r="D36">
        <v>0</v>
      </c>
      <c r="E36">
        <v>2</v>
      </c>
      <c r="G36">
        <f t="shared" si="0"/>
        <v>-2.2920267913783023</v>
      </c>
      <c r="H36" t="e">
        <f t="shared" si="1"/>
        <v>#NUM!</v>
      </c>
      <c r="I36">
        <f t="shared" si="2"/>
        <v>-2.1713733481835993</v>
      </c>
      <c r="J36" s="4"/>
      <c r="K36" t="e">
        <f t="shared" si="3"/>
        <v>#NUM!</v>
      </c>
      <c r="M36" t="e">
        <f t="shared" si="4"/>
        <v>#NUM!</v>
      </c>
      <c r="O36" s="2" t="s">
        <v>41</v>
      </c>
    </row>
    <row r="37" spans="1:15">
      <c r="A37">
        <v>35</v>
      </c>
      <c r="B37">
        <v>325</v>
      </c>
      <c r="C37">
        <v>2</v>
      </c>
      <c r="D37">
        <v>4</v>
      </c>
      <c r="E37">
        <v>4</v>
      </c>
      <c r="G37">
        <f t="shared" si="0"/>
        <v>-2.7868768130583965</v>
      </c>
      <c r="H37">
        <f t="shared" si="1"/>
        <v>-2.3559103906306058</v>
      </c>
      <c r="I37">
        <f t="shared" si="2"/>
        <v>-2.3651933741997122</v>
      </c>
      <c r="J37" s="4"/>
      <c r="K37">
        <f t="shared" si="3"/>
        <v>-2.5026601926295715</v>
      </c>
      <c r="M37">
        <f t="shared" si="4"/>
        <v>0.24618257237662697</v>
      </c>
      <c r="O37" s="2" t="s">
        <v>42</v>
      </c>
    </row>
    <row r="38" spans="1:15">
      <c r="A38">
        <v>36</v>
      </c>
      <c r="B38">
        <v>365</v>
      </c>
      <c r="C38">
        <v>1489</v>
      </c>
      <c r="D38">
        <v>1451</v>
      </c>
      <c r="E38">
        <v>1443</v>
      </c>
      <c r="G38">
        <f t="shared" si="0"/>
        <v>3.4578385552198165E-2</v>
      </c>
      <c r="H38">
        <f t="shared" si="1"/>
        <v>0.15328752700156756</v>
      </c>
      <c r="I38">
        <f t="shared" si="2"/>
        <v>0.14160346208821928</v>
      </c>
      <c r="J38" s="4"/>
      <c r="K38">
        <f t="shared" si="3"/>
        <v>0.10982312488066166</v>
      </c>
      <c r="M38">
        <f t="shared" si="4"/>
        <v>6.5425204934192974E-2</v>
      </c>
      <c r="O38" s="2" t="s">
        <v>43</v>
      </c>
    </row>
    <row r="39" spans="1:15">
      <c r="A39">
        <v>37</v>
      </c>
      <c r="B39">
        <v>238</v>
      </c>
      <c r="C39">
        <v>1605</v>
      </c>
      <c r="D39">
        <v>948</v>
      </c>
      <c r="E39">
        <v>1309</v>
      </c>
      <c r="G39">
        <f t="shared" si="0"/>
        <v>0.25287463194087556</v>
      </c>
      <c r="H39">
        <f t="shared" si="1"/>
        <v>0.15414435930186066</v>
      </c>
      <c r="I39">
        <f t="shared" si="2"/>
        <v>0.28499268494544361</v>
      </c>
      <c r="J39" s="4"/>
      <c r="K39">
        <f t="shared" si="3"/>
        <v>0.23067055872939327</v>
      </c>
      <c r="M39">
        <f t="shared" si="4"/>
        <v>6.8191544426841666E-2</v>
      </c>
      <c r="O39" s="2" t="s">
        <v>44</v>
      </c>
    </row>
    <row r="40" spans="1:15">
      <c r="A40">
        <v>38</v>
      </c>
      <c r="B40">
        <v>510</v>
      </c>
      <c r="C40">
        <v>8</v>
      </c>
      <c r="D40">
        <v>5</v>
      </c>
      <c r="E40">
        <v>8</v>
      </c>
      <c r="G40">
        <f t="shared" si="0"/>
        <v>-2.3805036368494958</v>
      </c>
      <c r="H40">
        <f t="shared" si="1"/>
        <v>-2.454687192741611</v>
      </c>
      <c r="I40">
        <f t="shared" si="2"/>
        <v>-2.2598501936547928</v>
      </c>
      <c r="J40" s="4"/>
      <c r="K40">
        <f t="shared" si="3"/>
        <v>-2.3650136744152999</v>
      </c>
      <c r="M40">
        <f t="shared" si="4"/>
        <v>9.8337776339760694E-2</v>
      </c>
      <c r="O40" s="2" t="s">
        <v>45</v>
      </c>
    </row>
    <row r="41" spans="1:15">
      <c r="A41">
        <v>39</v>
      </c>
      <c r="B41">
        <v>161</v>
      </c>
      <c r="C41">
        <v>2</v>
      </c>
      <c r="D41">
        <v>0</v>
      </c>
      <c r="E41">
        <v>0</v>
      </c>
      <c r="G41">
        <f t="shared" si="0"/>
        <v>-2.4818193281113716</v>
      </c>
      <c r="H41" t="e">
        <f t="shared" si="1"/>
        <v>#NUM!</v>
      </c>
      <c r="I41" t="e">
        <f t="shared" si="2"/>
        <v>#NUM!</v>
      </c>
      <c r="J41" s="4"/>
      <c r="K41" t="e">
        <f t="shared" si="3"/>
        <v>#NUM!</v>
      </c>
      <c r="M41" t="e">
        <f t="shared" si="4"/>
        <v>#NUM!</v>
      </c>
      <c r="O41" s="2" t="s">
        <v>46</v>
      </c>
    </row>
    <row r="42" spans="1:15">
      <c r="A42">
        <v>40</v>
      </c>
      <c r="B42">
        <v>318</v>
      </c>
      <c r="C42">
        <v>7</v>
      </c>
      <c r="D42">
        <v>5</v>
      </c>
      <c r="E42">
        <v>7</v>
      </c>
      <c r="G42">
        <f t="shared" si="0"/>
        <v>-2.233352527713679</v>
      </c>
      <c r="H42">
        <f t="shared" si="1"/>
        <v>-2.2495441366281073</v>
      </c>
      <c r="I42">
        <f t="shared" si="2"/>
        <v>-2.1126990845189759</v>
      </c>
      <c r="J42" s="4"/>
      <c r="K42">
        <f t="shared" si="3"/>
        <v>-2.1985319162869206</v>
      </c>
      <c r="M42">
        <f t="shared" si="4"/>
        <v>7.4772978453366987E-2</v>
      </c>
      <c r="O42" s="2" t="s">
        <v>47</v>
      </c>
    </row>
    <row r="43" spans="1:15">
      <c r="A43">
        <v>41</v>
      </c>
      <c r="B43">
        <v>217</v>
      </c>
      <c r="C43">
        <v>6</v>
      </c>
      <c r="D43">
        <v>5</v>
      </c>
      <c r="E43">
        <v>2</v>
      </c>
      <c r="G43">
        <f t="shared" si="0"/>
        <v>-2.134331931208389</v>
      </c>
      <c r="H43">
        <f t="shared" si="1"/>
        <v>-2.0835767504922043</v>
      </c>
      <c r="I43">
        <f t="shared" si="2"/>
        <v>-2.4907997427333486</v>
      </c>
      <c r="J43" s="4"/>
      <c r="K43">
        <f t="shared" si="3"/>
        <v>-2.2362361414779808</v>
      </c>
      <c r="M43">
        <f t="shared" si="4"/>
        <v>0.22191438079912629</v>
      </c>
      <c r="O43" s="2" t="s">
        <v>48</v>
      </c>
    </row>
    <row r="44" spans="1:15">
      <c r="A44">
        <v>42</v>
      </c>
      <c r="B44">
        <v>349</v>
      </c>
      <c r="C44">
        <v>3336</v>
      </c>
      <c r="D44">
        <v>2834</v>
      </c>
      <c r="E44">
        <v>2668</v>
      </c>
      <c r="G44">
        <f t="shared" si="0"/>
        <v>0.40437716726301787</v>
      </c>
      <c r="H44">
        <f t="shared" si="1"/>
        <v>0.4634873979725681</v>
      </c>
      <c r="I44">
        <f t="shared" si="2"/>
        <v>0.42799039373653114</v>
      </c>
      <c r="J44" s="4"/>
      <c r="K44">
        <f t="shared" si="3"/>
        <v>0.4319516529907057</v>
      </c>
      <c r="M44">
        <f t="shared" si="4"/>
        <v>2.9753546423798825E-2</v>
      </c>
      <c r="O44" s="2" t="s">
        <v>49</v>
      </c>
    </row>
    <row r="45" spans="1:15">
      <c r="A45">
        <v>43</v>
      </c>
      <c r="B45">
        <v>35</v>
      </c>
      <c r="C45">
        <v>0</v>
      </c>
      <c r="D45">
        <v>1</v>
      </c>
      <c r="E45">
        <v>0</v>
      </c>
      <c r="G45" t="e">
        <f t="shared" si="0"/>
        <v>#NUM!</v>
      </c>
      <c r="H45">
        <f t="shared" si="1"/>
        <v>-1.9901550653299693</v>
      </c>
      <c r="I45" t="e">
        <f t="shared" si="2"/>
        <v>#NUM!</v>
      </c>
      <c r="J45" s="4"/>
      <c r="K45" t="e">
        <f t="shared" si="3"/>
        <v>#NUM!</v>
      </c>
      <c r="M45" t="e">
        <f t="shared" si="4"/>
        <v>#NUM!</v>
      </c>
      <c r="O45" s="2" t="s">
        <v>50</v>
      </c>
    </row>
    <row r="46" spans="1:15">
      <c r="A46">
        <v>44</v>
      </c>
      <c r="B46">
        <v>228</v>
      </c>
      <c r="C46">
        <v>3163</v>
      </c>
      <c r="D46">
        <v>3272</v>
      </c>
      <c r="E46">
        <v>3183</v>
      </c>
      <c r="G46">
        <f t="shared" si="0"/>
        <v>0.56614089717176563</v>
      </c>
      <c r="H46">
        <f t="shared" si="1"/>
        <v>0.710791427019138</v>
      </c>
      <c r="I46">
        <f t="shared" si="2"/>
        <v>0.689531787071749</v>
      </c>
      <c r="J46" s="4"/>
      <c r="K46">
        <f t="shared" si="3"/>
        <v>0.65548803708755088</v>
      </c>
      <c r="M46">
        <f t="shared" si="4"/>
        <v>7.8103627515124632E-2</v>
      </c>
      <c r="O46" s="2" t="s">
        <v>51</v>
      </c>
    </row>
    <row r="47" spans="1:15">
      <c r="A47">
        <v>45</v>
      </c>
      <c r="B47">
        <v>310</v>
      </c>
      <c r="C47">
        <v>4</v>
      </c>
      <c r="D47">
        <v>3</v>
      </c>
      <c r="E47">
        <v>1</v>
      </c>
      <c r="G47">
        <f t="shared" si="0"/>
        <v>-2.4653251502498135</v>
      </c>
      <c r="H47">
        <f t="shared" si="1"/>
        <v>-2.4603274600943035</v>
      </c>
      <c r="I47">
        <f t="shared" si="2"/>
        <v>-2.9467316983830729</v>
      </c>
      <c r="J47" s="4"/>
      <c r="K47">
        <f t="shared" si="3"/>
        <v>-2.6241281029090633</v>
      </c>
      <c r="M47">
        <f t="shared" si="4"/>
        <v>0.27939408384268172</v>
      </c>
      <c r="O47" s="2" t="s">
        <v>52</v>
      </c>
    </row>
    <row r="48" spans="1:15">
      <c r="A48">
        <v>46</v>
      </c>
      <c r="B48">
        <v>178</v>
      </c>
      <c r="C48">
        <v>8</v>
      </c>
      <c r="D48">
        <v>5</v>
      </c>
      <c r="E48">
        <v>10</v>
      </c>
      <c r="G48">
        <f t="shared" si="0"/>
        <v>-1.9233534630604538</v>
      </c>
      <c r="H48">
        <f t="shared" si="1"/>
        <v>-1.9975370189525687</v>
      </c>
      <c r="I48">
        <f t="shared" si="2"/>
        <v>-1.7057900068576943</v>
      </c>
      <c r="J48" s="4"/>
      <c r="K48">
        <f t="shared" si="3"/>
        <v>-1.8755601629569056</v>
      </c>
      <c r="M48">
        <f t="shared" si="4"/>
        <v>0.15163188786552309</v>
      </c>
      <c r="O48" s="2" t="s">
        <v>53</v>
      </c>
    </row>
    <row r="49" spans="1:15">
      <c r="A49">
        <v>47</v>
      </c>
      <c r="B49">
        <v>369</v>
      </c>
      <c r="C49">
        <v>1702</v>
      </c>
      <c r="D49">
        <v>1581</v>
      </c>
      <c r="E49">
        <v>1371</v>
      </c>
      <c r="G49">
        <f t="shared" si="0"/>
        <v>8.7909741846005307E-2</v>
      </c>
      <c r="H49">
        <f t="shared" si="1"/>
        <v>0.18581848279345503</v>
      </c>
      <c r="I49">
        <f t="shared" si="2"/>
        <v>0.11464108408165197</v>
      </c>
      <c r="J49" s="4"/>
      <c r="K49">
        <f t="shared" si="3"/>
        <v>0.12945643624037076</v>
      </c>
      <c r="M49">
        <f t="shared" si="4"/>
        <v>5.0607819387608881E-2</v>
      </c>
      <c r="O49" s="2" t="s">
        <v>54</v>
      </c>
    </row>
    <row r="50" spans="1:15">
      <c r="A50">
        <v>48</v>
      </c>
      <c r="B50">
        <v>194</v>
      </c>
      <c r="C50">
        <v>1170</v>
      </c>
      <c r="D50">
        <v>1082</v>
      </c>
      <c r="E50">
        <v>1017</v>
      </c>
      <c r="G50">
        <f t="shared" si="0"/>
        <v>0.20436068407243224</v>
      </c>
      <c r="H50">
        <f t="shared" si="1"/>
        <v>0.30033850986063093</v>
      </c>
      <c r="I50">
        <f t="shared" si="2"/>
        <v>0.2641492184437183</v>
      </c>
      <c r="J50" s="4"/>
      <c r="K50">
        <f t="shared" si="3"/>
        <v>0.25628280412559384</v>
      </c>
      <c r="M50">
        <f t="shared" si="4"/>
        <v>4.8470053810840213E-2</v>
      </c>
      <c r="O50" s="2" t="s">
        <v>55</v>
      </c>
    </row>
    <row r="51" spans="1:15">
      <c r="A51">
        <v>49</v>
      </c>
      <c r="B51">
        <v>63</v>
      </c>
      <c r="C51">
        <v>0</v>
      </c>
      <c r="D51">
        <v>0</v>
      </c>
      <c r="E51">
        <v>0</v>
      </c>
      <c r="G51" t="e">
        <f t="shared" si="0"/>
        <v>#NUM!</v>
      </c>
      <c r="H51" t="e">
        <f t="shared" si="1"/>
        <v>#NUM!</v>
      </c>
      <c r="I51" t="e">
        <f t="shared" si="2"/>
        <v>#NUM!</v>
      </c>
      <c r="J51" s="4"/>
      <c r="K51" t="e">
        <f t="shared" si="3"/>
        <v>#NUM!</v>
      </c>
      <c r="M51" t="e">
        <f t="shared" si="4"/>
        <v>#NUM!</v>
      </c>
      <c r="O51" s="2" t="s">
        <v>56</v>
      </c>
    </row>
    <row r="52" spans="1:15">
      <c r="A52">
        <v>50</v>
      </c>
      <c r="B52">
        <v>303</v>
      </c>
      <c r="C52">
        <v>3</v>
      </c>
      <c r="D52">
        <v>2</v>
      </c>
      <c r="E52">
        <v>6</v>
      </c>
      <c r="G52">
        <f t="shared" si="0"/>
        <v>-2.580344821526146</v>
      </c>
      <c r="H52">
        <f t="shared" si="1"/>
        <v>-2.6264996538180174</v>
      </c>
      <c r="I52">
        <f t="shared" si="2"/>
        <v>-2.1586613826674617</v>
      </c>
      <c r="J52" s="4"/>
      <c r="K52">
        <f t="shared" si="3"/>
        <v>-2.4551686193372082</v>
      </c>
      <c r="M52">
        <f t="shared" si="4"/>
        <v>0.2578177130922536</v>
      </c>
      <c r="O52" s="2" t="s">
        <v>57</v>
      </c>
    </row>
    <row r="53" spans="1:15">
      <c r="A53">
        <v>51</v>
      </c>
      <c r="B53">
        <v>224</v>
      </c>
      <c r="C53">
        <v>1</v>
      </c>
      <c r="D53">
        <v>0</v>
      </c>
      <c r="E53">
        <v>2</v>
      </c>
      <c r="G53">
        <f t="shared" si="0"/>
        <v>-2.9262714660776661</v>
      </c>
      <c r="H53" t="e">
        <f t="shared" si="1"/>
        <v>#NUM!</v>
      </c>
      <c r="I53">
        <f t="shared" si="2"/>
        <v>-2.5045880272189818</v>
      </c>
      <c r="J53" s="4"/>
      <c r="K53" t="e">
        <f t="shared" si="3"/>
        <v>#NUM!</v>
      </c>
      <c r="M53" t="e">
        <f t="shared" si="4"/>
        <v>#NUM!</v>
      </c>
      <c r="O53" s="2" t="s">
        <v>58</v>
      </c>
    </row>
    <row r="54" spans="1:15">
      <c r="A54">
        <v>52</v>
      </c>
      <c r="B54">
        <v>253</v>
      </c>
      <c r="C54">
        <v>4</v>
      </c>
      <c r="D54">
        <v>2</v>
      </c>
      <c r="E54">
        <v>5</v>
      </c>
      <c r="G54">
        <f t="shared" si="0"/>
        <v>-2.3770839775913588</v>
      </c>
      <c r="H54">
        <f t="shared" si="1"/>
        <v>-2.5481775464915302</v>
      </c>
      <c r="I54">
        <f t="shared" si="2"/>
        <v>-2.1595205213885995</v>
      </c>
      <c r="J54" s="4"/>
      <c r="K54">
        <f t="shared" si="3"/>
        <v>-2.3615940151571628</v>
      </c>
      <c r="M54">
        <f t="shared" si="4"/>
        <v>0.19479097769821019</v>
      </c>
      <c r="O54" s="2" t="s">
        <v>59</v>
      </c>
    </row>
    <row r="55" spans="1:15">
      <c r="A55">
        <v>53</v>
      </c>
      <c r="B55">
        <v>346</v>
      </c>
      <c r="C55">
        <v>3</v>
      </c>
      <c r="D55">
        <v>5</v>
      </c>
      <c r="E55">
        <v>5</v>
      </c>
      <c r="G55">
        <f t="shared" si="0"/>
        <v>-2.6379782918166175</v>
      </c>
      <c r="H55">
        <f t="shared" si="1"/>
        <v>-2.2861931154364514</v>
      </c>
      <c r="I55">
        <f t="shared" si="2"/>
        <v>-2.2954760990055583</v>
      </c>
      <c r="J55" s="4"/>
      <c r="K55">
        <f t="shared" si="3"/>
        <v>-2.4065491687528757</v>
      </c>
      <c r="M55">
        <f t="shared" si="4"/>
        <v>0.20047723735508097</v>
      </c>
      <c r="O55" s="2" t="s">
        <v>60</v>
      </c>
    </row>
    <row r="56" spans="1:15">
      <c r="A56">
        <v>54</v>
      </c>
      <c r="B56">
        <v>159</v>
      </c>
      <c r="C56">
        <v>2</v>
      </c>
      <c r="D56">
        <v>1</v>
      </c>
      <c r="E56">
        <v>3</v>
      </c>
      <c r="G56">
        <f t="shared" si="0"/>
        <v>-2.4763905763999734</v>
      </c>
      <c r="H56">
        <f t="shared" si="1"/>
        <v>-2.6474841453001448</v>
      </c>
      <c r="I56">
        <f t="shared" si="2"/>
        <v>-2.1796458741495894</v>
      </c>
      <c r="J56" s="4"/>
      <c r="K56">
        <f t="shared" si="3"/>
        <v>-2.434506865283236</v>
      </c>
      <c r="M56">
        <f t="shared" si="4"/>
        <v>0.2367146931032543</v>
      </c>
      <c r="O56" s="2" t="s">
        <v>61</v>
      </c>
    </row>
    <row r="57" spans="1:15">
      <c r="A57">
        <v>55</v>
      </c>
      <c r="B57">
        <v>334</v>
      </c>
      <c r="C57">
        <v>20</v>
      </c>
      <c r="D57">
        <v>15</v>
      </c>
      <c r="E57">
        <v>12</v>
      </c>
      <c r="G57">
        <f t="shared" si="0"/>
        <v>-1.7987399188910866</v>
      </c>
      <c r="H57">
        <f t="shared" si="1"/>
        <v>-1.7937422287355769</v>
      </c>
      <c r="I57">
        <f t="shared" si="2"/>
        <v>-1.89993522531274</v>
      </c>
      <c r="J57" s="4"/>
      <c r="K57">
        <f t="shared" si="3"/>
        <v>-1.8308057909798012</v>
      </c>
      <c r="M57">
        <f t="shared" si="4"/>
        <v>5.9919973674198927E-2</v>
      </c>
      <c r="O57" s="2" t="s">
        <v>62</v>
      </c>
    </row>
    <row r="58" spans="1:15">
      <c r="A58">
        <v>56</v>
      </c>
      <c r="B58">
        <v>182</v>
      </c>
      <c r="C58">
        <v>3</v>
      </c>
      <c r="D58">
        <v>0</v>
      </c>
      <c r="E58">
        <v>3</v>
      </c>
      <c r="G58">
        <f t="shared" si="0"/>
        <v>-2.3589735810089154</v>
      </c>
      <c r="H58" t="e">
        <f t="shared" si="1"/>
        <v>#NUM!</v>
      </c>
      <c r="I58">
        <f t="shared" si="2"/>
        <v>-2.2383201378142124</v>
      </c>
      <c r="J58" s="4"/>
      <c r="K58" t="e">
        <f t="shared" si="3"/>
        <v>#NUM!</v>
      </c>
      <c r="M58" t="e">
        <f t="shared" si="4"/>
        <v>#NUM!</v>
      </c>
      <c r="O58" s="2" t="s">
        <v>63</v>
      </c>
    </row>
    <row r="59" spans="1:15">
      <c r="A59">
        <v>57</v>
      </c>
      <c r="B59">
        <v>99</v>
      </c>
      <c r="C59">
        <v>2</v>
      </c>
      <c r="D59">
        <v>1</v>
      </c>
      <c r="E59">
        <v>1</v>
      </c>
      <c r="G59">
        <f t="shared" si="0"/>
        <v>-2.2706286466770722</v>
      </c>
      <c r="H59">
        <f t="shared" si="1"/>
        <v>-2.4417222155772436</v>
      </c>
      <c r="I59">
        <f t="shared" si="2"/>
        <v>-2.4510051991463504</v>
      </c>
      <c r="J59" s="4"/>
      <c r="K59">
        <f t="shared" si="3"/>
        <v>-2.3877853538002221</v>
      </c>
      <c r="M59">
        <f t="shared" si="4"/>
        <v>0.10156679557779062</v>
      </c>
      <c r="O59" s="2" t="s">
        <v>64</v>
      </c>
    </row>
    <row r="60" spans="1:15">
      <c r="A60">
        <v>58</v>
      </c>
      <c r="B60">
        <v>561</v>
      </c>
      <c r="C60">
        <v>2</v>
      </c>
      <c r="D60">
        <v>3</v>
      </c>
      <c r="E60">
        <v>4</v>
      </c>
      <c r="G60">
        <f t="shared" si="0"/>
        <v>-3.0239563133356837</v>
      </c>
      <c r="H60">
        <f t="shared" si="1"/>
        <v>-2.7179286275161925</v>
      </c>
      <c r="I60">
        <f t="shared" si="2"/>
        <v>-2.6022728744769994</v>
      </c>
      <c r="J60" s="4"/>
      <c r="K60">
        <f t="shared" si="3"/>
        <v>-2.7813859384429587</v>
      </c>
      <c r="M60">
        <f t="shared" si="4"/>
        <v>0.21788610186164614</v>
      </c>
      <c r="O60" s="2" t="s">
        <v>65</v>
      </c>
    </row>
    <row r="61" spans="1:15">
      <c r="A61">
        <v>59</v>
      </c>
      <c r="B61">
        <v>401</v>
      </c>
      <c r="C61">
        <v>5</v>
      </c>
      <c r="D61">
        <v>5</v>
      </c>
      <c r="E61">
        <v>10</v>
      </c>
      <c r="G61">
        <f t="shared" si="0"/>
        <v>-2.4801978160276668</v>
      </c>
      <c r="H61">
        <f t="shared" si="1"/>
        <v>-2.3502613892638573</v>
      </c>
      <c r="I61">
        <f t="shared" si="2"/>
        <v>-2.0585143771689829</v>
      </c>
      <c r="J61" s="4"/>
      <c r="K61">
        <f t="shared" si="3"/>
        <v>-2.2963245274868354</v>
      </c>
      <c r="M61">
        <f t="shared" si="4"/>
        <v>0.21595397529493757</v>
      </c>
      <c r="O61" s="2" t="s">
        <v>66</v>
      </c>
    </row>
    <row r="62" spans="1:15">
      <c r="A62">
        <v>60</v>
      </c>
      <c r="B62">
        <v>429</v>
      </c>
      <c r="C62">
        <v>5</v>
      </c>
      <c r="D62">
        <v>6</v>
      </c>
      <c r="E62">
        <v>1</v>
      </c>
      <c r="G62">
        <f t="shared" si="0"/>
        <v>-2.5095107355922091</v>
      </c>
      <c r="H62">
        <f t="shared" si="1"/>
        <v>-2.300393062780774</v>
      </c>
      <c r="I62">
        <f t="shared" si="2"/>
        <v>-3.0878272967335247</v>
      </c>
      <c r="J62" s="4"/>
      <c r="K62">
        <f t="shared" si="3"/>
        <v>-2.6325770317021693</v>
      </c>
      <c r="M62">
        <f t="shared" si="4"/>
        <v>0.40788742702963549</v>
      </c>
      <c r="O62" s="2" t="s">
        <v>67</v>
      </c>
    </row>
    <row r="63" spans="1:15">
      <c r="A63">
        <v>61</v>
      </c>
      <c r="B63">
        <v>168</v>
      </c>
      <c r="C63">
        <v>12</v>
      </c>
      <c r="D63">
        <v>3</v>
      </c>
      <c r="E63">
        <v>18</v>
      </c>
      <c r="G63">
        <f t="shared" si="0"/>
        <v>-1.7221514834217413</v>
      </c>
      <c r="H63">
        <f t="shared" si="1"/>
        <v>-2.1942750479858941</v>
      </c>
      <c r="I63">
        <f t="shared" si="2"/>
        <v>-1.4254067811713571</v>
      </c>
      <c r="J63" s="4"/>
      <c r="K63">
        <f t="shared" si="3"/>
        <v>-1.7806111041929977</v>
      </c>
      <c r="M63">
        <f t="shared" si="4"/>
        <v>0.38775346339412087</v>
      </c>
      <c r="O63" s="2" t="s">
        <v>68</v>
      </c>
    </row>
    <row r="64" spans="1:15">
      <c r="A64">
        <v>62</v>
      </c>
      <c r="B64">
        <v>300</v>
      </c>
      <c r="C64">
        <v>1</v>
      </c>
      <c r="D64">
        <v>2</v>
      </c>
      <c r="E64">
        <v>3</v>
      </c>
      <c r="G64">
        <f t="shared" si="0"/>
        <v>-3.0531447024631659</v>
      </c>
      <c r="H64">
        <f t="shared" si="1"/>
        <v>-2.6221782800353752</v>
      </c>
      <c r="I64">
        <f t="shared" si="2"/>
        <v>-2.4553700045488003</v>
      </c>
      <c r="J64" s="4"/>
      <c r="K64">
        <f t="shared" si="3"/>
        <v>-2.7102309956824473</v>
      </c>
      <c r="M64">
        <f t="shared" si="4"/>
        <v>0.30846167981820832</v>
      </c>
      <c r="O64" s="2" t="s">
        <v>69</v>
      </c>
    </row>
    <row r="65" spans="1:15">
      <c r="A65">
        <v>63</v>
      </c>
      <c r="B65">
        <v>142</v>
      </c>
      <c r="C65">
        <v>3</v>
      </c>
      <c r="D65">
        <v>0</v>
      </c>
      <c r="E65">
        <v>1</v>
      </c>
      <c r="G65">
        <f t="shared" si="0"/>
        <v>-2.2511905374068975</v>
      </c>
      <c r="H65" t="e">
        <f t="shared" si="1"/>
        <v>#NUM!</v>
      </c>
      <c r="I65">
        <f t="shared" si="2"/>
        <v>-2.6076583489318566</v>
      </c>
      <c r="J65" s="4"/>
      <c r="K65" t="e">
        <f t="shared" si="3"/>
        <v>#NUM!</v>
      </c>
      <c r="M65" t="e">
        <f t="shared" si="4"/>
        <v>#NUM!</v>
      </c>
      <c r="O65" s="2" t="s">
        <v>70</v>
      </c>
    </row>
    <row r="66" spans="1:15">
      <c r="A66">
        <v>64</v>
      </c>
      <c r="B66">
        <v>304</v>
      </c>
      <c r="C66">
        <v>2425</v>
      </c>
      <c r="D66">
        <v>2160</v>
      </c>
      <c r="E66">
        <v>2820</v>
      </c>
      <c r="G66">
        <f t="shared" ref="G66:G129" si="5">LOG10(C66/B66)-LOG10(437/116)</f>
        <v>0.32581471158602537</v>
      </c>
      <c r="H66">
        <f t="shared" ref="H66:H129" si="6">LOG10(D66/B66)-LOG10(324/116)</f>
        <v>0.40549314656248348</v>
      </c>
      <c r="I66">
        <f t="shared" ref="I66:I129" si="7">LOG10(E66/B66)-LOG10(331/116)</f>
        <v>0.51200552016180712</v>
      </c>
      <c r="J66" s="4"/>
      <c r="K66">
        <f t="shared" ref="K66:K129" si="8">AVERAGE(G66:I66)</f>
        <v>0.41443779277010534</v>
      </c>
      <c r="M66">
        <f t="shared" ref="M66:M129" si="9">STDEV(G66:I66)</f>
        <v>9.341712541798966E-2</v>
      </c>
      <c r="O66" s="2" t="s">
        <v>71</v>
      </c>
    </row>
    <row r="67" spans="1:15">
      <c r="A67">
        <v>65</v>
      </c>
      <c r="B67">
        <v>265</v>
      </c>
      <c r="C67">
        <v>2055</v>
      </c>
      <c r="D67">
        <v>2094</v>
      </c>
      <c r="E67">
        <v>2023</v>
      </c>
      <c r="G67">
        <f t="shared" si="5"/>
        <v>0.31354250453177679</v>
      </c>
      <c r="H67">
        <f t="shared" si="6"/>
        <v>0.45164378242632197</v>
      </c>
      <c r="I67">
        <f t="shared" si="7"/>
        <v>0.42738000428519651</v>
      </c>
      <c r="J67" s="4"/>
      <c r="K67">
        <f t="shared" si="8"/>
        <v>0.39752209708109842</v>
      </c>
      <c r="M67">
        <f t="shared" si="9"/>
        <v>7.3733382575214695E-2</v>
      </c>
      <c r="O67" s="2" t="s">
        <v>72</v>
      </c>
    </row>
    <row r="68" spans="1:15">
      <c r="A68">
        <v>66</v>
      </c>
      <c r="B68">
        <v>114</v>
      </c>
      <c r="C68">
        <v>2</v>
      </c>
      <c r="D68">
        <v>1</v>
      </c>
      <c r="E68">
        <v>1</v>
      </c>
      <c r="G68">
        <f t="shared" si="5"/>
        <v>-2.3318983034159948</v>
      </c>
      <c r="H68">
        <f t="shared" si="6"/>
        <v>-2.5029918723161666</v>
      </c>
      <c r="I68">
        <f t="shared" si="7"/>
        <v>-2.512274855885273</v>
      </c>
      <c r="J68" s="4"/>
      <c r="K68">
        <f t="shared" si="8"/>
        <v>-2.4490550105391447</v>
      </c>
      <c r="M68">
        <f t="shared" si="9"/>
        <v>0.10156679557779075</v>
      </c>
      <c r="O68" s="2" t="s">
        <v>73</v>
      </c>
    </row>
    <row r="69" spans="1:15">
      <c r="A69">
        <v>67</v>
      </c>
      <c r="B69">
        <v>76</v>
      </c>
      <c r="C69">
        <v>0</v>
      </c>
      <c r="D69">
        <v>1</v>
      </c>
      <c r="E69">
        <v>2</v>
      </c>
      <c r="G69" t="e">
        <f t="shared" si="5"/>
        <v>#NUM!</v>
      </c>
      <c r="H69">
        <f t="shared" si="6"/>
        <v>-2.3269006132604853</v>
      </c>
      <c r="I69">
        <f t="shared" si="7"/>
        <v>-2.0351536011656104</v>
      </c>
      <c r="J69" s="4"/>
      <c r="K69" t="e">
        <f t="shared" si="8"/>
        <v>#NUM!</v>
      </c>
      <c r="M69" t="e">
        <f t="shared" si="9"/>
        <v>#NUM!</v>
      </c>
      <c r="O69" s="2" t="s">
        <v>74</v>
      </c>
    </row>
    <row r="70" spans="1:15">
      <c r="A70">
        <v>68</v>
      </c>
      <c r="B70">
        <v>54</v>
      </c>
      <c r="C70">
        <v>0</v>
      </c>
      <c r="D70">
        <v>2</v>
      </c>
      <c r="E70">
        <v>1</v>
      </c>
      <c r="G70" t="e">
        <f t="shared" si="5"/>
        <v>#NUM!</v>
      </c>
      <c r="H70">
        <f t="shared" si="6"/>
        <v>-1.877450785138681</v>
      </c>
      <c r="I70">
        <f t="shared" si="7"/>
        <v>-2.1877637643717689</v>
      </c>
      <c r="J70" s="4"/>
      <c r="K70" t="e">
        <f t="shared" si="8"/>
        <v>#NUM!</v>
      </c>
      <c r="M70" t="e">
        <f t="shared" si="9"/>
        <v>#NUM!</v>
      </c>
      <c r="O70" s="2" t="s">
        <v>75</v>
      </c>
    </row>
    <row r="71" spans="1:15">
      <c r="A71">
        <v>69</v>
      </c>
      <c r="B71">
        <v>442</v>
      </c>
      <c r="C71">
        <v>10</v>
      </c>
      <c r="D71">
        <v>6</v>
      </c>
      <c r="E71">
        <v>4</v>
      </c>
      <c r="G71">
        <f t="shared" si="5"/>
        <v>-2.2214457170925952</v>
      </c>
      <c r="H71">
        <f t="shared" si="6"/>
        <v>-2.3133580399451419</v>
      </c>
      <c r="I71">
        <f t="shared" si="7"/>
        <v>-2.4987322825699296</v>
      </c>
      <c r="J71" s="4"/>
      <c r="K71">
        <f t="shared" si="8"/>
        <v>-2.3445120132025559</v>
      </c>
      <c r="M71">
        <f t="shared" si="9"/>
        <v>0.14124407026791164</v>
      </c>
      <c r="O71" s="2" t="s">
        <v>76</v>
      </c>
    </row>
    <row r="72" spans="1:15">
      <c r="A72">
        <v>70</v>
      </c>
      <c r="B72">
        <v>152</v>
      </c>
      <c r="C72">
        <v>2</v>
      </c>
      <c r="D72">
        <v>2</v>
      </c>
      <c r="E72">
        <v>2</v>
      </c>
      <c r="G72">
        <f t="shared" si="5"/>
        <v>-2.4568370400242947</v>
      </c>
      <c r="H72">
        <f t="shared" si="6"/>
        <v>-2.3269006132604853</v>
      </c>
      <c r="I72">
        <f t="shared" si="7"/>
        <v>-2.3361835968295916</v>
      </c>
      <c r="J72" s="4"/>
      <c r="K72">
        <f t="shared" si="8"/>
        <v>-2.3733070833714573</v>
      </c>
      <c r="M72">
        <f t="shared" si="9"/>
        <v>7.2487817526842122E-2</v>
      </c>
      <c r="O72" s="2" t="s">
        <v>77</v>
      </c>
    </row>
    <row r="73" spans="1:15">
      <c r="A73">
        <v>71</v>
      </c>
      <c r="B73">
        <v>291</v>
      </c>
      <c r="C73">
        <v>0</v>
      </c>
      <c r="D73">
        <v>3</v>
      </c>
      <c r="E73">
        <v>1</v>
      </c>
      <c r="G73" t="e">
        <f t="shared" si="5"/>
        <v>#NUM!</v>
      </c>
      <c r="H73">
        <f t="shared" si="6"/>
        <v>-2.4328587552459382</v>
      </c>
      <c r="I73">
        <f t="shared" si="7"/>
        <v>-2.9192629935347076</v>
      </c>
      <c r="J73" s="4"/>
      <c r="K73" t="e">
        <f t="shared" si="8"/>
        <v>#NUM!</v>
      </c>
      <c r="M73" t="e">
        <f t="shared" si="9"/>
        <v>#NUM!</v>
      </c>
      <c r="O73" s="2" t="s">
        <v>78</v>
      </c>
    </row>
    <row r="74" spans="1:15">
      <c r="A74">
        <v>72</v>
      </c>
      <c r="B74">
        <v>442</v>
      </c>
      <c r="C74">
        <v>8</v>
      </c>
      <c r="D74">
        <v>6</v>
      </c>
      <c r="E74">
        <v>4</v>
      </c>
      <c r="G74">
        <f t="shared" si="5"/>
        <v>-2.3183557301006514</v>
      </c>
      <c r="H74">
        <f t="shared" si="6"/>
        <v>-2.3133580399451419</v>
      </c>
      <c r="I74">
        <f t="shared" si="7"/>
        <v>-2.4987322825699296</v>
      </c>
      <c r="J74" s="4"/>
      <c r="K74">
        <f t="shared" si="8"/>
        <v>-2.3768153508719077</v>
      </c>
      <c r="M74">
        <f t="shared" si="9"/>
        <v>0.10561272604529123</v>
      </c>
      <c r="O74" s="2" t="s">
        <v>79</v>
      </c>
    </row>
    <row r="75" spans="1:15">
      <c r="A75">
        <v>73</v>
      </c>
      <c r="B75">
        <v>333</v>
      </c>
      <c r="C75">
        <v>6</v>
      </c>
      <c r="D75">
        <v>3</v>
      </c>
      <c r="E75">
        <v>2</v>
      </c>
      <c r="G75">
        <f t="shared" si="5"/>
        <v>-2.3203164308661797</v>
      </c>
      <c r="H75">
        <f t="shared" si="6"/>
        <v>-2.4914099997663515</v>
      </c>
      <c r="I75">
        <f t="shared" si="7"/>
        <v>-2.6767842423911388</v>
      </c>
      <c r="J75" s="4"/>
      <c r="K75">
        <f t="shared" si="8"/>
        <v>-2.4961702243412232</v>
      </c>
      <c r="M75">
        <f t="shared" si="9"/>
        <v>0.17828157495055638</v>
      </c>
      <c r="O75" s="2" t="s">
        <v>80</v>
      </c>
    </row>
    <row r="76" spans="1:15">
      <c r="A76">
        <v>74</v>
      </c>
      <c r="B76">
        <v>206</v>
      </c>
      <c r="C76">
        <v>4</v>
      </c>
      <c r="D76">
        <v>1</v>
      </c>
      <c r="E76">
        <v>3</v>
      </c>
      <c r="G76">
        <f t="shared" si="5"/>
        <v>-2.2878306767846945</v>
      </c>
      <c r="H76">
        <f t="shared" si="6"/>
        <v>-2.7599542413488471</v>
      </c>
      <c r="I76">
        <f t="shared" si="7"/>
        <v>-2.2921159701982914</v>
      </c>
      <c r="J76" s="4"/>
      <c r="K76">
        <f t="shared" si="8"/>
        <v>-2.4466336294439444</v>
      </c>
      <c r="M76">
        <f t="shared" si="9"/>
        <v>0.27135206894043978</v>
      </c>
      <c r="O76" s="2" t="s">
        <v>81</v>
      </c>
    </row>
    <row r="77" spans="1:15">
      <c r="A77">
        <v>75</v>
      </c>
      <c r="B77">
        <v>86</v>
      </c>
      <c r="C77">
        <v>4</v>
      </c>
      <c r="D77">
        <v>2</v>
      </c>
      <c r="E77">
        <v>1</v>
      </c>
      <c r="G77">
        <f t="shared" si="5"/>
        <v>-1.9084619076591087</v>
      </c>
      <c r="H77">
        <f t="shared" si="6"/>
        <v>-2.0795554765592801</v>
      </c>
      <c r="I77">
        <f t="shared" si="7"/>
        <v>-2.3898684557923682</v>
      </c>
      <c r="J77" s="4"/>
      <c r="K77">
        <f t="shared" si="8"/>
        <v>-2.1259619466702522</v>
      </c>
      <c r="M77">
        <f t="shared" si="9"/>
        <v>0.24403531813554258</v>
      </c>
      <c r="O77" s="2" t="s">
        <v>82</v>
      </c>
    </row>
    <row r="78" spans="1:15">
      <c r="A78">
        <v>76</v>
      </c>
      <c r="B78">
        <v>105</v>
      </c>
      <c r="C78">
        <v>2</v>
      </c>
      <c r="D78">
        <v>2</v>
      </c>
      <c r="E78">
        <v>1</v>
      </c>
      <c r="G78">
        <f t="shared" si="5"/>
        <v>-2.2961827511494599</v>
      </c>
      <c r="H78">
        <f t="shared" si="6"/>
        <v>-2.1662463243856505</v>
      </c>
      <c r="I78">
        <f t="shared" si="7"/>
        <v>-2.4765593036187381</v>
      </c>
      <c r="J78" s="4"/>
      <c r="K78">
        <f t="shared" si="8"/>
        <v>-2.3129961263846162</v>
      </c>
      <c r="M78">
        <f t="shared" si="9"/>
        <v>0.15583822849425391</v>
      </c>
      <c r="O78" s="2" t="s">
        <v>83</v>
      </c>
    </row>
    <row r="79" spans="1:15">
      <c r="A79">
        <v>77</v>
      </c>
      <c r="B79">
        <v>522</v>
      </c>
      <c r="C79">
        <v>5</v>
      </c>
      <c r="D79">
        <v>2</v>
      </c>
      <c r="E79">
        <v>5</v>
      </c>
      <c r="G79">
        <f t="shared" si="5"/>
        <v>-2.5947239464097467</v>
      </c>
      <c r="H79">
        <f t="shared" si="6"/>
        <v>-2.8627275283179747</v>
      </c>
      <c r="I79">
        <f t="shared" si="7"/>
        <v>-2.4740705032150436</v>
      </c>
      <c r="J79" s="4"/>
      <c r="K79">
        <f t="shared" si="8"/>
        <v>-2.6438406593142552</v>
      </c>
      <c r="M79">
        <f t="shared" si="9"/>
        <v>0.19892940809586959</v>
      </c>
      <c r="O79" s="2" t="s">
        <v>84</v>
      </c>
    </row>
    <row r="80" spans="1:15">
      <c r="A80">
        <v>78</v>
      </c>
      <c r="B80">
        <v>129</v>
      </c>
      <c r="C80">
        <v>2</v>
      </c>
      <c r="D80">
        <v>3</v>
      </c>
      <c r="E80">
        <v>4</v>
      </c>
      <c r="G80">
        <f t="shared" si="5"/>
        <v>-2.3855831623787713</v>
      </c>
      <c r="H80">
        <f t="shared" si="6"/>
        <v>-2.0795554765592801</v>
      </c>
      <c r="I80">
        <f t="shared" si="7"/>
        <v>-1.9638997235200868</v>
      </c>
      <c r="J80" s="4"/>
      <c r="K80">
        <f t="shared" si="8"/>
        <v>-2.1430127874860463</v>
      </c>
      <c r="M80">
        <f t="shared" si="9"/>
        <v>0.21788610186164623</v>
      </c>
      <c r="O80" s="2" t="s">
        <v>85</v>
      </c>
    </row>
    <row r="81" spans="1:15">
      <c r="A81">
        <v>79</v>
      </c>
      <c r="B81">
        <v>469</v>
      </c>
      <c r="C81">
        <v>4</v>
      </c>
      <c r="D81">
        <v>10</v>
      </c>
      <c r="E81">
        <v>18</v>
      </c>
      <c r="G81">
        <f t="shared" si="5"/>
        <v>-2.6451362991306242</v>
      </c>
      <c r="H81">
        <f t="shared" si="6"/>
        <v>-2.1172598636947768</v>
      </c>
      <c r="I81">
        <f t="shared" si="7"/>
        <v>-1.8712703421605774</v>
      </c>
      <c r="J81" s="4"/>
      <c r="K81">
        <f t="shared" si="8"/>
        <v>-2.2112221683286593</v>
      </c>
      <c r="M81">
        <f t="shared" si="9"/>
        <v>0.3953970357227955</v>
      </c>
      <c r="O81" s="2" t="s">
        <v>86</v>
      </c>
    </row>
    <row r="82" spans="1:15">
      <c r="A82">
        <v>80</v>
      </c>
      <c r="B82">
        <v>366</v>
      </c>
      <c r="C82">
        <v>6</v>
      </c>
      <c r="D82">
        <v>3</v>
      </c>
      <c r="E82">
        <v>9</v>
      </c>
      <c r="G82">
        <f t="shared" si="5"/>
        <v>-2.36135328275427</v>
      </c>
      <c r="H82">
        <f t="shared" si="6"/>
        <v>-2.5324468516544423</v>
      </c>
      <c r="I82">
        <f t="shared" si="7"/>
        <v>-2.0646085805038861</v>
      </c>
      <c r="J82" s="4"/>
      <c r="K82">
        <f t="shared" si="8"/>
        <v>-2.3194695716375331</v>
      </c>
      <c r="M82">
        <f t="shared" si="9"/>
        <v>0.23671469310325471</v>
      </c>
      <c r="O82" s="2" t="s">
        <v>87</v>
      </c>
    </row>
    <row r="83" spans="1:15">
      <c r="A83">
        <v>81</v>
      </c>
      <c r="B83">
        <v>332</v>
      </c>
      <c r="C83">
        <v>7</v>
      </c>
      <c r="D83">
        <v>4</v>
      </c>
      <c r="E83">
        <v>4</v>
      </c>
      <c r="G83">
        <f t="shared" si="5"/>
        <v>-2.2520634914332831</v>
      </c>
      <c r="H83">
        <f t="shared" si="6"/>
        <v>-2.3651651133557676</v>
      </c>
      <c r="I83">
        <f t="shared" si="7"/>
        <v>-2.3744480969248745</v>
      </c>
      <c r="J83" s="4"/>
      <c r="K83">
        <f t="shared" si="8"/>
        <v>-2.3305589005713085</v>
      </c>
      <c r="M83">
        <f t="shared" si="9"/>
        <v>6.8137290728319727E-2</v>
      </c>
      <c r="O83" s="2" t="s">
        <v>88</v>
      </c>
    </row>
    <row r="84" spans="1:15">
      <c r="A84">
        <v>82</v>
      </c>
      <c r="B84">
        <v>156</v>
      </c>
      <c r="C84">
        <v>932</v>
      </c>
      <c r="D84">
        <v>678</v>
      </c>
      <c r="E84">
        <v>904</v>
      </c>
      <c r="G84">
        <f t="shared" si="5"/>
        <v>0.20026786625601645</v>
      </c>
      <c r="H84">
        <f t="shared" si="6"/>
        <v>0.19201807453290809</v>
      </c>
      <c r="I84">
        <f t="shared" si="7"/>
        <v>0.30767382757210138</v>
      </c>
      <c r="J84" s="4"/>
      <c r="K84">
        <f t="shared" si="8"/>
        <v>0.23331992278700864</v>
      </c>
      <c r="M84">
        <f t="shared" si="9"/>
        <v>6.4524353026292683E-2</v>
      </c>
      <c r="O84" s="2" t="s">
        <v>89</v>
      </c>
    </row>
    <row r="85" spans="1:15">
      <c r="A85">
        <v>83</v>
      </c>
      <c r="B85">
        <v>82</v>
      </c>
      <c r="C85">
        <v>1</v>
      </c>
      <c r="D85">
        <v>0</v>
      </c>
      <c r="E85">
        <v>1</v>
      </c>
      <c r="G85">
        <f t="shared" si="5"/>
        <v>-2.48983730012722</v>
      </c>
      <c r="H85" t="e">
        <f t="shared" si="6"/>
        <v>#NUM!</v>
      </c>
      <c r="I85">
        <f t="shared" si="7"/>
        <v>-2.369183856932517</v>
      </c>
      <c r="J85" s="4"/>
      <c r="K85" t="e">
        <f t="shared" si="8"/>
        <v>#NUM!</v>
      </c>
      <c r="M85" t="e">
        <f t="shared" si="9"/>
        <v>#NUM!</v>
      </c>
      <c r="O85" s="2" t="s">
        <v>90</v>
      </c>
    </row>
    <row r="86" spans="1:15">
      <c r="A86">
        <v>84</v>
      </c>
      <c r="B86">
        <v>154</v>
      </c>
      <c r="C86">
        <v>4</v>
      </c>
      <c r="D86">
        <v>3</v>
      </c>
      <c r="E86">
        <v>1</v>
      </c>
      <c r="G86">
        <f t="shared" si="5"/>
        <v>-2.1614841772520039</v>
      </c>
      <c r="H86">
        <f t="shared" si="6"/>
        <v>-2.1564864870964944</v>
      </c>
      <c r="I86">
        <f t="shared" si="7"/>
        <v>-2.6428907253852634</v>
      </c>
      <c r="J86" s="4"/>
      <c r="K86">
        <f t="shared" si="8"/>
        <v>-2.3202871299112542</v>
      </c>
      <c r="M86">
        <f t="shared" si="9"/>
        <v>0.27939408384268155</v>
      </c>
      <c r="O86" s="2" t="s">
        <v>91</v>
      </c>
    </row>
    <row r="87" spans="1:15">
      <c r="A87">
        <v>85</v>
      </c>
      <c r="B87">
        <v>250</v>
      </c>
      <c r="C87">
        <v>5</v>
      </c>
      <c r="D87">
        <v>4</v>
      </c>
      <c r="E87">
        <v>6</v>
      </c>
      <c r="G87">
        <f t="shared" si="5"/>
        <v>-2.2749934520795221</v>
      </c>
      <c r="H87">
        <f t="shared" si="6"/>
        <v>-2.2419670383237689</v>
      </c>
      <c r="I87">
        <f t="shared" si="7"/>
        <v>-2.0751587628371944</v>
      </c>
      <c r="J87" s="4"/>
      <c r="K87">
        <f t="shared" si="8"/>
        <v>-2.1973730844134951</v>
      </c>
      <c r="M87">
        <f t="shared" si="9"/>
        <v>0.10712115244039405</v>
      </c>
      <c r="O87" s="2" t="s">
        <v>92</v>
      </c>
    </row>
    <row r="88" spans="1:15">
      <c r="A88">
        <v>86</v>
      </c>
      <c r="B88">
        <v>443</v>
      </c>
      <c r="C88">
        <v>5</v>
      </c>
      <c r="D88">
        <v>1</v>
      </c>
      <c r="E88">
        <v>3</v>
      </c>
      <c r="G88">
        <f t="shared" si="5"/>
        <v>-2.5234571696305541</v>
      </c>
      <c r="H88">
        <f t="shared" si="6"/>
        <v>-3.0924907472027634</v>
      </c>
      <c r="I88">
        <f t="shared" si="7"/>
        <v>-2.6246524760522072</v>
      </c>
      <c r="J88" s="4"/>
      <c r="K88">
        <f t="shared" si="8"/>
        <v>-2.7468667976285079</v>
      </c>
      <c r="M88">
        <f t="shared" si="9"/>
        <v>0.30356557512327303</v>
      </c>
      <c r="O88" s="2" t="s">
        <v>93</v>
      </c>
    </row>
    <row r="89" spans="1:15">
      <c r="A89">
        <v>87</v>
      </c>
      <c r="B89">
        <v>256</v>
      </c>
      <c r="C89">
        <v>2</v>
      </c>
      <c r="D89">
        <v>4</v>
      </c>
      <c r="E89">
        <v>3</v>
      </c>
      <c r="G89">
        <f t="shared" si="5"/>
        <v>-2.6832334173913717</v>
      </c>
      <c r="H89">
        <f t="shared" si="6"/>
        <v>-2.2522669949635805</v>
      </c>
      <c r="I89">
        <f t="shared" si="7"/>
        <v>-2.3864887151409873</v>
      </c>
      <c r="J89" s="4"/>
      <c r="K89">
        <f t="shared" si="8"/>
        <v>-2.4406630424986466</v>
      </c>
      <c r="M89">
        <f t="shared" si="9"/>
        <v>0.22053153430641942</v>
      </c>
      <c r="O89" s="2" t="s">
        <v>94</v>
      </c>
    </row>
    <row r="90" spans="1:15">
      <c r="A90">
        <v>88</v>
      </c>
      <c r="B90">
        <v>189</v>
      </c>
      <c r="C90">
        <v>670</v>
      </c>
      <c r="D90">
        <v>513</v>
      </c>
      <c r="E90">
        <v>788</v>
      </c>
      <c r="G90">
        <f t="shared" si="5"/>
        <v>-2.6410449215921061E-2</v>
      </c>
      <c r="H90">
        <f t="shared" si="6"/>
        <v>-1.24314600411215E-2</v>
      </c>
      <c r="I90">
        <f t="shared" si="7"/>
        <v>0.16469440876751085</v>
      </c>
      <c r="J90" s="4"/>
      <c r="K90">
        <f t="shared" si="8"/>
        <v>4.1950833170156097E-2</v>
      </c>
      <c r="M90">
        <f t="shared" si="9"/>
        <v>0.1065285973220569</v>
      </c>
      <c r="O90" s="2" t="s">
        <v>95</v>
      </c>
    </row>
    <row r="91" spans="1:15">
      <c r="A91">
        <v>89</v>
      </c>
      <c r="B91">
        <v>129</v>
      </c>
      <c r="C91">
        <v>658</v>
      </c>
      <c r="D91">
        <v>439</v>
      </c>
      <c r="E91">
        <v>1054</v>
      </c>
      <c r="G91">
        <f t="shared" si="5"/>
        <v>0.13161273557120323</v>
      </c>
      <c r="H91">
        <f t="shared" si="6"/>
        <v>8.5787788963178735E-2</v>
      </c>
      <c r="I91">
        <f t="shared" si="7"/>
        <v>0.45688089602847859</v>
      </c>
      <c r="J91" s="4"/>
      <c r="K91">
        <f t="shared" si="8"/>
        <v>0.22476047352095352</v>
      </c>
      <c r="M91">
        <f t="shared" si="9"/>
        <v>0.20232374883268409</v>
      </c>
      <c r="O91" s="2" t="s">
        <v>96</v>
      </c>
    </row>
    <row r="92" spans="1:15">
      <c r="A92">
        <v>90</v>
      </c>
      <c r="B92">
        <v>339</v>
      </c>
      <c r="C92">
        <v>2</v>
      </c>
      <c r="D92">
        <v>1</v>
      </c>
      <c r="E92">
        <v>3</v>
      </c>
      <c r="G92">
        <f t="shared" si="5"/>
        <v>-2.8051931502826042</v>
      </c>
      <c r="H92">
        <f t="shared" si="6"/>
        <v>-2.9762867191827755</v>
      </c>
      <c r="I92">
        <f t="shared" si="7"/>
        <v>-2.5084484480322202</v>
      </c>
      <c r="J92" s="4"/>
      <c r="K92">
        <f t="shared" si="8"/>
        <v>-2.7633094391658664</v>
      </c>
      <c r="M92">
        <f t="shared" si="9"/>
        <v>0.2367146931032543</v>
      </c>
      <c r="O92" s="2" t="s">
        <v>97</v>
      </c>
    </row>
    <row r="93" spans="1:15">
      <c r="A93">
        <v>91</v>
      </c>
      <c r="B93">
        <v>459</v>
      </c>
      <c r="C93">
        <v>13</v>
      </c>
      <c r="D93">
        <v>9</v>
      </c>
      <c r="E93">
        <v>9</v>
      </c>
      <c r="G93">
        <f t="shared" si="5"/>
        <v>-2.1238927809739279</v>
      </c>
      <c r="H93">
        <f t="shared" si="6"/>
        <v>-2.1536571970776297</v>
      </c>
      <c r="I93">
        <f t="shared" si="7"/>
        <v>-2.1629401806467365</v>
      </c>
      <c r="J93" s="4"/>
      <c r="K93">
        <f t="shared" si="8"/>
        <v>-2.1468300528994315</v>
      </c>
      <c r="M93">
        <f t="shared" si="9"/>
        <v>2.0399320540754426E-2</v>
      </c>
      <c r="O93" s="2" t="s">
        <v>98</v>
      </c>
    </row>
    <row r="94" spans="1:15">
      <c r="A94">
        <v>92</v>
      </c>
      <c r="B94">
        <v>636</v>
      </c>
      <c r="C94">
        <v>19</v>
      </c>
      <c r="D94">
        <v>4</v>
      </c>
      <c r="E94">
        <v>9</v>
      </c>
      <c r="G94">
        <f t="shared" si="5"/>
        <v>-2.1007269624390883</v>
      </c>
      <c r="H94">
        <f t="shared" si="6"/>
        <v>-2.6474841453001448</v>
      </c>
      <c r="I94">
        <f t="shared" si="7"/>
        <v>-2.3045846107578893</v>
      </c>
      <c r="J94" s="4"/>
      <c r="K94">
        <f t="shared" si="8"/>
        <v>-2.3509319061657075</v>
      </c>
      <c r="M94">
        <f t="shared" si="9"/>
        <v>0.27630944264764884</v>
      </c>
      <c r="O94" s="2" t="s">
        <v>99</v>
      </c>
    </row>
    <row r="95" spans="1:15">
      <c r="A95">
        <v>93</v>
      </c>
      <c r="B95">
        <v>77</v>
      </c>
      <c r="C95">
        <v>2</v>
      </c>
      <c r="D95">
        <v>0</v>
      </c>
      <c r="E95">
        <v>1</v>
      </c>
      <c r="G95">
        <f t="shared" si="5"/>
        <v>-2.1614841772520039</v>
      </c>
      <c r="H95" t="e">
        <f t="shared" si="6"/>
        <v>#NUM!</v>
      </c>
      <c r="I95">
        <f t="shared" si="7"/>
        <v>-2.3418607297212821</v>
      </c>
      <c r="J95" s="4"/>
      <c r="K95" t="e">
        <f t="shared" si="8"/>
        <v>#NUM!</v>
      </c>
      <c r="M95" t="e">
        <f t="shared" si="9"/>
        <v>#NUM!</v>
      </c>
      <c r="O95" s="2" t="s">
        <v>100</v>
      </c>
    </row>
    <row r="96" spans="1:15">
      <c r="A96">
        <v>94</v>
      </c>
      <c r="B96">
        <v>479</v>
      </c>
      <c r="C96">
        <v>6</v>
      </c>
      <c r="D96">
        <v>8</v>
      </c>
      <c r="E96">
        <v>5</v>
      </c>
      <c r="G96">
        <f t="shared" si="5"/>
        <v>-2.4782077107744227</v>
      </c>
      <c r="H96">
        <f t="shared" si="6"/>
        <v>-2.2233325474023133</v>
      </c>
      <c r="I96">
        <f t="shared" si="7"/>
        <v>-2.4367355136273448</v>
      </c>
      <c r="J96" s="4"/>
      <c r="K96">
        <f t="shared" si="8"/>
        <v>-2.3794252572680272</v>
      </c>
      <c r="M96">
        <f t="shared" si="9"/>
        <v>0.13676142123774493</v>
      </c>
      <c r="O96" s="2" t="s">
        <v>101</v>
      </c>
    </row>
    <row r="97" spans="1:15">
      <c r="A97">
        <v>95</v>
      </c>
      <c r="B97">
        <v>48</v>
      </c>
      <c r="C97">
        <v>886</v>
      </c>
      <c r="D97">
        <v>1034</v>
      </c>
      <c r="E97">
        <v>852</v>
      </c>
      <c r="G97">
        <f t="shared" si="5"/>
        <v>0.69016903676796026</v>
      </c>
      <c r="H97">
        <f t="shared" si="6"/>
        <v>0.88719228040264286</v>
      </c>
      <c r="I97">
        <f t="shared" si="7"/>
        <v>0.79382835284231268</v>
      </c>
      <c r="J97" s="4"/>
      <c r="K97">
        <f t="shared" si="8"/>
        <v>0.79039655667097186</v>
      </c>
      <c r="M97">
        <f t="shared" si="9"/>
        <v>9.8556443481916833E-2</v>
      </c>
      <c r="O97" s="2" t="s">
        <v>102</v>
      </c>
    </row>
    <row r="98" spans="1:15">
      <c r="A98">
        <v>96</v>
      </c>
      <c r="B98">
        <v>128</v>
      </c>
      <c r="C98">
        <v>2</v>
      </c>
      <c r="D98">
        <v>0</v>
      </c>
      <c r="E98">
        <v>0</v>
      </c>
      <c r="G98">
        <f t="shared" si="5"/>
        <v>-2.3822034217273904</v>
      </c>
      <c r="H98" t="e">
        <f t="shared" si="6"/>
        <v>#NUM!</v>
      </c>
      <c r="I98" t="e">
        <f t="shared" si="7"/>
        <v>#NUM!</v>
      </c>
      <c r="J98" s="4"/>
      <c r="K98" t="e">
        <f t="shared" si="8"/>
        <v>#NUM!</v>
      </c>
      <c r="M98" t="e">
        <f t="shared" si="9"/>
        <v>#NUM!</v>
      </c>
      <c r="O98" s="2" t="s">
        <v>103</v>
      </c>
    </row>
    <row r="99" spans="1:15">
      <c r="A99">
        <v>97</v>
      </c>
      <c r="B99">
        <v>410</v>
      </c>
      <c r="C99">
        <v>4</v>
      </c>
      <c r="D99">
        <v>5</v>
      </c>
      <c r="E99">
        <v>5</v>
      </c>
      <c r="G99">
        <f t="shared" si="5"/>
        <v>-2.5867473131352763</v>
      </c>
      <c r="H99">
        <f t="shared" si="6"/>
        <v>-2.3599008733634106</v>
      </c>
      <c r="I99">
        <f t="shared" si="7"/>
        <v>-2.369183856932517</v>
      </c>
      <c r="J99" s="4"/>
      <c r="K99">
        <f t="shared" si="8"/>
        <v>-2.4386106811437345</v>
      </c>
      <c r="M99">
        <f t="shared" si="9"/>
        <v>0.12837402287586908</v>
      </c>
      <c r="O99" s="2" t="s">
        <v>104</v>
      </c>
    </row>
    <row r="100" spans="1:15">
      <c r="A100">
        <v>98</v>
      </c>
      <c r="B100">
        <v>96</v>
      </c>
      <c r="C100">
        <v>2</v>
      </c>
      <c r="D100">
        <v>5</v>
      </c>
      <c r="E100">
        <v>2</v>
      </c>
      <c r="G100">
        <f t="shared" si="5"/>
        <v>-2.2572646851190905</v>
      </c>
      <c r="H100">
        <f t="shared" si="6"/>
        <v>-1.7293882496832433</v>
      </c>
      <c r="I100">
        <f t="shared" si="7"/>
        <v>-2.1366112419243874</v>
      </c>
      <c r="J100" s="4"/>
      <c r="K100">
        <f t="shared" si="8"/>
        <v>-2.0410880589089069</v>
      </c>
      <c r="M100">
        <f t="shared" si="9"/>
        <v>0.27659879183064223</v>
      </c>
      <c r="O100" s="2" t="s">
        <v>105</v>
      </c>
    </row>
    <row r="101" spans="1:15">
      <c r="A101">
        <v>99</v>
      </c>
      <c r="B101">
        <v>252</v>
      </c>
      <c r="C101">
        <v>2</v>
      </c>
      <c r="D101">
        <v>3</v>
      </c>
      <c r="E101">
        <v>4</v>
      </c>
      <c r="G101">
        <f t="shared" si="5"/>
        <v>-2.6763939928610663</v>
      </c>
      <c r="H101">
        <f t="shared" si="6"/>
        <v>-2.370366307041575</v>
      </c>
      <c r="I101">
        <f t="shared" si="7"/>
        <v>-2.254710554002382</v>
      </c>
      <c r="J101" s="4"/>
      <c r="K101">
        <f t="shared" si="8"/>
        <v>-2.4338236179683412</v>
      </c>
      <c r="M101">
        <f t="shared" si="9"/>
        <v>0.21788610186164614</v>
      </c>
      <c r="O101" s="2" t="s">
        <v>106</v>
      </c>
    </row>
    <row r="102" spans="1:15">
      <c r="A102">
        <v>100</v>
      </c>
      <c r="B102">
        <v>86</v>
      </c>
      <c r="C102">
        <v>0</v>
      </c>
      <c r="D102">
        <v>1</v>
      </c>
      <c r="E102">
        <v>1</v>
      </c>
      <c r="G102" t="e">
        <f t="shared" si="5"/>
        <v>#NUM!</v>
      </c>
      <c r="H102">
        <f t="shared" si="6"/>
        <v>-2.3805854722232613</v>
      </c>
      <c r="I102">
        <f t="shared" si="7"/>
        <v>-2.3898684557923682</v>
      </c>
      <c r="J102" s="4"/>
      <c r="K102" t="e">
        <f t="shared" si="8"/>
        <v>#NUM!</v>
      </c>
      <c r="M102" t="e">
        <f t="shared" si="9"/>
        <v>#NUM!</v>
      </c>
      <c r="O102" s="2" t="s">
        <v>107</v>
      </c>
    </row>
    <row r="103" spans="1:15">
      <c r="A103">
        <v>101</v>
      </c>
      <c r="B103">
        <v>368</v>
      </c>
      <c r="C103">
        <v>6</v>
      </c>
      <c r="D103">
        <v>7</v>
      </c>
      <c r="E103">
        <v>6</v>
      </c>
      <c r="G103">
        <f t="shared" si="5"/>
        <v>-2.3637200160333771</v>
      </c>
      <c r="H103">
        <f t="shared" si="6"/>
        <v>-2.1668367996389541</v>
      </c>
      <c r="I103">
        <f t="shared" si="7"/>
        <v>-2.2430665728386741</v>
      </c>
      <c r="J103" s="4"/>
      <c r="K103">
        <f t="shared" si="8"/>
        <v>-2.2578744628370018</v>
      </c>
      <c r="M103">
        <f t="shared" si="9"/>
        <v>9.927338731556018E-2</v>
      </c>
      <c r="O103" s="2" t="s">
        <v>108</v>
      </c>
    </row>
    <row r="104" spans="1:15">
      <c r="A104">
        <v>102</v>
      </c>
      <c r="B104">
        <v>208</v>
      </c>
      <c r="C104">
        <v>2</v>
      </c>
      <c r="D104">
        <v>3</v>
      </c>
      <c r="E104">
        <v>1</v>
      </c>
      <c r="G104">
        <f t="shared" si="5"/>
        <v>-2.5930567870422836</v>
      </c>
      <c r="H104">
        <f t="shared" si="6"/>
        <v>-2.2870291012227928</v>
      </c>
      <c r="I104">
        <f t="shared" si="7"/>
        <v>-2.7734333395115618</v>
      </c>
      <c r="J104" s="4"/>
      <c r="K104">
        <f t="shared" si="8"/>
        <v>-2.5511730759255462</v>
      </c>
      <c r="M104">
        <f t="shared" si="9"/>
        <v>0.24589216071075168</v>
      </c>
      <c r="O104" s="2" t="s">
        <v>109</v>
      </c>
    </row>
    <row r="105" spans="1:15">
      <c r="A105">
        <v>103</v>
      </c>
      <c r="B105">
        <v>258</v>
      </c>
      <c r="C105">
        <v>7</v>
      </c>
      <c r="D105">
        <v>2</v>
      </c>
      <c r="E105">
        <v>2</v>
      </c>
      <c r="G105">
        <f t="shared" si="5"/>
        <v>-2.1425451136924769</v>
      </c>
      <c r="H105">
        <f t="shared" si="6"/>
        <v>-2.5566767312789427</v>
      </c>
      <c r="I105">
        <f t="shared" si="7"/>
        <v>-2.5659597148480491</v>
      </c>
      <c r="J105" s="4"/>
      <c r="K105">
        <f t="shared" si="8"/>
        <v>-2.4217271866064896</v>
      </c>
      <c r="M105">
        <f t="shared" si="9"/>
        <v>0.2418233153015025</v>
      </c>
      <c r="O105" s="2" t="s">
        <v>110</v>
      </c>
    </row>
    <row r="106" spans="1:15">
      <c r="A106">
        <v>104</v>
      </c>
      <c r="B106">
        <v>24</v>
      </c>
      <c r="C106">
        <v>0</v>
      </c>
      <c r="D106">
        <v>0</v>
      </c>
      <c r="E106">
        <v>0</v>
      </c>
      <c r="G106" t="e">
        <f t="shared" si="5"/>
        <v>#NUM!</v>
      </c>
      <c r="H106" t="e">
        <f t="shared" si="6"/>
        <v>#NUM!</v>
      </c>
      <c r="I106" t="e">
        <f t="shared" si="7"/>
        <v>#NUM!</v>
      </c>
      <c r="J106" s="4"/>
      <c r="K106" t="e">
        <f t="shared" si="8"/>
        <v>#NUM!</v>
      </c>
      <c r="M106" t="e">
        <f t="shared" si="9"/>
        <v>#NUM!</v>
      </c>
      <c r="O106" s="2" t="s">
        <v>111</v>
      </c>
    </row>
    <row r="107" spans="1:15">
      <c r="A107">
        <v>105</v>
      </c>
      <c r="B107">
        <v>651</v>
      </c>
      <c r="C107">
        <v>13</v>
      </c>
      <c r="D107">
        <v>2</v>
      </c>
      <c r="E107">
        <v>4</v>
      </c>
      <c r="G107">
        <f t="shared" si="5"/>
        <v>-2.2756610840048586</v>
      </c>
      <c r="H107">
        <f t="shared" si="6"/>
        <v>-2.9586380138839043</v>
      </c>
      <c r="I107">
        <f t="shared" si="7"/>
        <v>-2.6668910017890299</v>
      </c>
      <c r="J107" s="4"/>
      <c r="K107">
        <f t="shared" si="8"/>
        <v>-2.6337300332259308</v>
      </c>
      <c r="M107">
        <f t="shared" si="9"/>
        <v>0.34269389995122901</v>
      </c>
      <c r="O107" s="2" t="s">
        <v>112</v>
      </c>
    </row>
    <row r="108" spans="1:15">
      <c r="A108">
        <v>106</v>
      </c>
      <c r="B108">
        <v>346</v>
      </c>
      <c r="C108">
        <v>1</v>
      </c>
      <c r="D108">
        <v>5</v>
      </c>
      <c r="E108">
        <v>1</v>
      </c>
      <c r="G108">
        <f t="shared" si="5"/>
        <v>-3.1150995465362801</v>
      </c>
      <c r="H108">
        <f t="shared" si="6"/>
        <v>-2.2861931154364514</v>
      </c>
      <c r="I108">
        <f t="shared" si="7"/>
        <v>-2.994446103341577</v>
      </c>
      <c r="J108" s="4"/>
      <c r="K108">
        <f t="shared" si="8"/>
        <v>-2.7985795884381033</v>
      </c>
      <c r="M108">
        <f t="shared" si="9"/>
        <v>0.44782165716385941</v>
      </c>
      <c r="O108" s="2" t="s">
        <v>113</v>
      </c>
    </row>
    <row r="109" spans="1:15">
      <c r="A109">
        <v>107</v>
      </c>
      <c r="B109">
        <v>123</v>
      </c>
      <c r="C109">
        <v>1</v>
      </c>
      <c r="D109">
        <v>1</v>
      </c>
      <c r="E109">
        <v>4</v>
      </c>
      <c r="G109">
        <f t="shared" si="5"/>
        <v>-2.6659285591829014</v>
      </c>
      <c r="H109">
        <f t="shared" si="6"/>
        <v>-2.5359921324190919</v>
      </c>
      <c r="I109">
        <f t="shared" si="7"/>
        <v>-1.9432151246602358</v>
      </c>
      <c r="J109" s="4"/>
      <c r="K109">
        <f t="shared" si="8"/>
        <v>-2.3817119387540764</v>
      </c>
      <c r="M109">
        <f t="shared" si="9"/>
        <v>0.38526673971143005</v>
      </c>
      <c r="O109" s="2" t="s">
        <v>114</v>
      </c>
    </row>
    <row r="110" spans="1:15">
      <c r="A110">
        <v>108</v>
      </c>
      <c r="B110">
        <v>374</v>
      </c>
      <c r="C110">
        <v>4</v>
      </c>
      <c r="D110">
        <v>4</v>
      </c>
      <c r="E110">
        <v>8</v>
      </c>
      <c r="G110">
        <f t="shared" si="5"/>
        <v>-2.5468350586160211</v>
      </c>
      <c r="H110">
        <f t="shared" si="6"/>
        <v>-2.4168986318522112</v>
      </c>
      <c r="I110">
        <f t="shared" si="7"/>
        <v>-2.1251516197573368</v>
      </c>
      <c r="J110" s="4"/>
      <c r="K110">
        <f t="shared" si="8"/>
        <v>-2.3629617700751897</v>
      </c>
      <c r="M110">
        <f t="shared" si="9"/>
        <v>0.21595397529493773</v>
      </c>
      <c r="O110" s="2" t="s">
        <v>115</v>
      </c>
    </row>
    <row r="111" spans="1:15">
      <c r="A111">
        <v>109</v>
      </c>
      <c r="B111">
        <v>136</v>
      </c>
      <c r="C111">
        <v>1</v>
      </c>
      <c r="D111">
        <v>1</v>
      </c>
      <c r="E111">
        <v>1</v>
      </c>
      <c r="G111">
        <f t="shared" si="5"/>
        <v>-2.7095623561137208</v>
      </c>
      <c r="H111">
        <f t="shared" si="6"/>
        <v>-2.5796259293499109</v>
      </c>
      <c r="I111">
        <f t="shared" si="7"/>
        <v>-2.5889089129190177</v>
      </c>
      <c r="J111" s="4"/>
      <c r="K111">
        <f t="shared" si="8"/>
        <v>-2.626032399460883</v>
      </c>
      <c r="M111">
        <f t="shared" si="9"/>
        <v>7.248781752684226E-2</v>
      </c>
      <c r="O111" s="2" t="s">
        <v>116</v>
      </c>
    </row>
    <row r="112" spans="1:15">
      <c r="A112">
        <v>110</v>
      </c>
      <c r="B112">
        <v>343</v>
      </c>
      <c r="C112">
        <v>2</v>
      </c>
      <c r="D112">
        <v>1</v>
      </c>
      <c r="E112">
        <v>3</v>
      </c>
      <c r="G112">
        <f t="shared" si="5"/>
        <v>-2.8102875721222929</v>
      </c>
      <c r="H112">
        <f t="shared" si="6"/>
        <v>-2.9813811410224638</v>
      </c>
      <c r="I112">
        <f t="shared" si="7"/>
        <v>-2.5135428698719084</v>
      </c>
      <c r="J112" s="4"/>
      <c r="K112">
        <f t="shared" si="8"/>
        <v>-2.7684038610055555</v>
      </c>
      <c r="M112">
        <f t="shared" si="9"/>
        <v>0.23671469310325435</v>
      </c>
      <c r="O112" s="2" t="s">
        <v>117</v>
      </c>
    </row>
    <row r="113" spans="1:15">
      <c r="A113">
        <v>111</v>
      </c>
      <c r="B113">
        <v>254</v>
      </c>
      <c r="C113">
        <v>1</v>
      </c>
      <c r="D113">
        <v>1</v>
      </c>
      <c r="E113">
        <v>1</v>
      </c>
      <c r="G113">
        <f t="shared" si="5"/>
        <v>-2.9808571643634414</v>
      </c>
      <c r="H113">
        <f t="shared" si="6"/>
        <v>-2.8509207375996315</v>
      </c>
      <c r="I113">
        <f t="shared" si="7"/>
        <v>-2.8602037211687383</v>
      </c>
      <c r="J113" s="4"/>
      <c r="K113">
        <f t="shared" si="8"/>
        <v>-2.8973272077106036</v>
      </c>
      <c r="M113">
        <f t="shared" si="9"/>
        <v>7.248781752684226E-2</v>
      </c>
      <c r="O113" s="2" t="s">
        <v>118</v>
      </c>
    </row>
    <row r="114" spans="1:15">
      <c r="A114">
        <v>112</v>
      </c>
      <c r="B114">
        <v>179</v>
      </c>
      <c r="C114">
        <v>2</v>
      </c>
      <c r="D114">
        <v>1</v>
      </c>
      <c r="E114">
        <v>0</v>
      </c>
      <c r="G114">
        <f t="shared" si="5"/>
        <v>-2.5278464830594154</v>
      </c>
      <c r="H114">
        <f t="shared" si="6"/>
        <v>-2.6989400519595872</v>
      </c>
      <c r="I114" t="e">
        <f t="shared" si="7"/>
        <v>#NUM!</v>
      </c>
      <c r="J114" s="4"/>
      <c r="K114" t="e">
        <f t="shared" si="8"/>
        <v>#NUM!</v>
      </c>
      <c r="M114" t="e">
        <f t="shared" si="9"/>
        <v>#NUM!</v>
      </c>
      <c r="O114" s="2" t="s">
        <v>119</v>
      </c>
    </row>
    <row r="115" spans="1:15">
      <c r="A115">
        <v>113</v>
      </c>
      <c r="B115">
        <v>240</v>
      </c>
      <c r="C115">
        <v>1</v>
      </c>
      <c r="D115">
        <v>2</v>
      </c>
      <c r="E115">
        <v>0</v>
      </c>
      <c r="G115">
        <f t="shared" si="5"/>
        <v>-2.9562346894551093</v>
      </c>
      <c r="H115">
        <f t="shared" si="6"/>
        <v>-2.5252682670273181</v>
      </c>
      <c r="I115" t="e">
        <f t="shared" si="7"/>
        <v>#NUM!</v>
      </c>
      <c r="J115" s="4"/>
      <c r="K115" t="e">
        <f t="shared" si="8"/>
        <v>#NUM!</v>
      </c>
      <c r="M115" t="e">
        <f t="shared" si="9"/>
        <v>#NUM!</v>
      </c>
      <c r="O115" s="2" t="s">
        <v>120</v>
      </c>
    </row>
    <row r="116" spans="1:15">
      <c r="A116">
        <v>114</v>
      </c>
      <c r="B116">
        <v>77</v>
      </c>
      <c r="C116">
        <v>2</v>
      </c>
      <c r="D116">
        <v>1</v>
      </c>
      <c r="E116">
        <v>0</v>
      </c>
      <c r="G116">
        <f t="shared" si="5"/>
        <v>-2.1614841772520039</v>
      </c>
      <c r="H116">
        <f t="shared" si="6"/>
        <v>-2.3325777461521753</v>
      </c>
      <c r="I116" t="e">
        <f t="shared" si="7"/>
        <v>#NUM!</v>
      </c>
      <c r="J116" s="4"/>
      <c r="K116" t="e">
        <f t="shared" si="8"/>
        <v>#NUM!</v>
      </c>
      <c r="M116" t="e">
        <f t="shared" si="9"/>
        <v>#NUM!</v>
      </c>
      <c r="O116" s="2" t="s">
        <v>121</v>
      </c>
    </row>
    <row r="117" spans="1:15">
      <c r="A117">
        <v>115</v>
      </c>
      <c r="B117">
        <v>173</v>
      </c>
      <c r="C117">
        <v>798</v>
      </c>
      <c r="D117">
        <v>818</v>
      </c>
      <c r="E117">
        <v>902</v>
      </c>
      <c r="G117">
        <f t="shared" si="5"/>
        <v>8.793334047843071E-2</v>
      </c>
      <c r="H117">
        <f t="shared" si="6"/>
        <v>0.22862017956283387</v>
      </c>
      <c r="I117">
        <f t="shared" si="7"/>
        <v>0.26179042986434609</v>
      </c>
      <c r="J117" s="4"/>
      <c r="K117">
        <f t="shared" si="8"/>
        <v>0.19278131663520356</v>
      </c>
      <c r="M117">
        <f t="shared" si="9"/>
        <v>9.2303249966589201E-2</v>
      </c>
      <c r="O117" s="2" t="s">
        <v>122</v>
      </c>
    </row>
    <row r="118" spans="1:15">
      <c r="A118">
        <v>116</v>
      </c>
      <c r="B118">
        <v>424</v>
      </c>
      <c r="C118">
        <v>4</v>
      </c>
      <c r="D118">
        <v>1</v>
      </c>
      <c r="E118">
        <v>6</v>
      </c>
      <c r="G118">
        <f t="shared" si="5"/>
        <v>-2.6013293130082737</v>
      </c>
      <c r="H118">
        <f t="shared" si="6"/>
        <v>-3.0734528775724259</v>
      </c>
      <c r="I118">
        <f t="shared" si="7"/>
        <v>-2.3045846107578893</v>
      </c>
      <c r="J118" s="4"/>
      <c r="K118">
        <f t="shared" si="8"/>
        <v>-2.6597889337795295</v>
      </c>
      <c r="M118">
        <f t="shared" si="9"/>
        <v>0.38775346339412314</v>
      </c>
      <c r="O118" s="2" t="s">
        <v>123</v>
      </c>
    </row>
    <row r="119" spans="1:15">
      <c r="A119">
        <v>117</v>
      </c>
      <c r="B119">
        <v>640</v>
      </c>
      <c r="C119">
        <v>6</v>
      </c>
      <c r="D119">
        <v>4</v>
      </c>
      <c r="E119">
        <v>7</v>
      </c>
      <c r="G119">
        <f t="shared" si="5"/>
        <v>-2.604052171343747</v>
      </c>
      <c r="H119">
        <f t="shared" si="6"/>
        <v>-2.650207003635618</v>
      </c>
      <c r="I119">
        <f t="shared" si="7"/>
        <v>-2.4164519385184304</v>
      </c>
      <c r="J119" s="4"/>
      <c r="K119">
        <f t="shared" si="8"/>
        <v>-2.5569037044992653</v>
      </c>
      <c r="M119">
        <f t="shared" si="9"/>
        <v>0.12380464878720854</v>
      </c>
      <c r="O119" s="2" t="s">
        <v>124</v>
      </c>
    </row>
    <row r="120" spans="1:15">
      <c r="A120">
        <v>118</v>
      </c>
      <c r="B120">
        <v>180</v>
      </c>
      <c r="C120">
        <v>2</v>
      </c>
      <c r="D120">
        <v>0</v>
      </c>
      <c r="E120">
        <v>2</v>
      </c>
      <c r="G120">
        <f t="shared" si="5"/>
        <v>-2.5302659571828281</v>
      </c>
      <c r="H120" t="e">
        <f t="shared" si="6"/>
        <v>#NUM!</v>
      </c>
      <c r="I120">
        <f t="shared" si="7"/>
        <v>-2.409612513988125</v>
      </c>
      <c r="J120" s="4"/>
      <c r="K120" t="e">
        <f t="shared" si="8"/>
        <v>#NUM!</v>
      </c>
      <c r="M120" t="e">
        <f t="shared" si="9"/>
        <v>#NUM!</v>
      </c>
      <c r="O120" s="2" t="s">
        <v>125</v>
      </c>
    </row>
    <row r="121" spans="1:15">
      <c r="A121">
        <v>119</v>
      </c>
      <c r="B121">
        <v>99</v>
      </c>
      <c r="C121">
        <v>0</v>
      </c>
      <c r="D121">
        <v>2</v>
      </c>
      <c r="E121">
        <v>0</v>
      </c>
      <c r="G121" t="e">
        <f t="shared" si="5"/>
        <v>#NUM!</v>
      </c>
      <c r="H121">
        <f t="shared" si="6"/>
        <v>-2.1406922199132623</v>
      </c>
      <c r="I121" t="e">
        <f t="shared" si="7"/>
        <v>#NUM!</v>
      </c>
      <c r="J121" s="4"/>
      <c r="K121" t="e">
        <f t="shared" si="8"/>
        <v>#NUM!</v>
      </c>
      <c r="M121" t="e">
        <f t="shared" si="9"/>
        <v>#NUM!</v>
      </c>
      <c r="O121" s="2" t="s">
        <v>126</v>
      </c>
    </row>
    <row r="122" spans="1:15">
      <c r="A122">
        <v>120</v>
      </c>
      <c r="B122">
        <v>45</v>
      </c>
      <c r="C122">
        <v>255</v>
      </c>
      <c r="D122">
        <v>185</v>
      </c>
      <c r="E122">
        <v>382</v>
      </c>
      <c r="G122">
        <f t="shared" si="5"/>
        <v>0.17730421891510817</v>
      </c>
      <c r="H122">
        <f t="shared" si="6"/>
        <v>0.16787219364797645</v>
      </c>
      <c r="I122">
        <f t="shared" si="7"/>
        <v>0.47348084458756479</v>
      </c>
      <c r="J122" s="4"/>
      <c r="K122">
        <f t="shared" si="8"/>
        <v>0.27288575238354978</v>
      </c>
      <c r="M122">
        <f t="shared" si="9"/>
        <v>0.17378444705270055</v>
      </c>
      <c r="O122" s="2" t="s">
        <v>127</v>
      </c>
    </row>
    <row r="123" spans="1:15">
      <c r="A123">
        <v>121</v>
      </c>
      <c r="B123">
        <v>241</v>
      </c>
      <c r="C123">
        <v>12</v>
      </c>
      <c r="D123">
        <v>9</v>
      </c>
      <c r="E123">
        <v>11</v>
      </c>
      <c r="G123">
        <f t="shared" si="5"/>
        <v>-1.878859244270747</v>
      </c>
      <c r="H123">
        <f t="shared" si="6"/>
        <v>-1.8738615541152372</v>
      </c>
      <c r="I123">
        <f t="shared" si="7"/>
        <v>-1.7959943619654437</v>
      </c>
      <c r="J123" s="4"/>
      <c r="K123">
        <f t="shared" si="8"/>
        <v>-1.8495717201171427</v>
      </c>
      <c r="M123">
        <f t="shared" si="9"/>
        <v>4.6466592371392876E-2</v>
      </c>
      <c r="O123" s="2" t="s">
        <v>128</v>
      </c>
    </row>
    <row r="124" spans="1:15">
      <c r="A124">
        <v>122</v>
      </c>
      <c r="B124">
        <v>95</v>
      </c>
      <c r="C124">
        <v>0</v>
      </c>
      <c r="D124">
        <v>1</v>
      </c>
      <c r="E124">
        <v>0</v>
      </c>
      <c r="G124" t="e">
        <f t="shared" si="5"/>
        <v>#NUM!</v>
      </c>
      <c r="H124">
        <f t="shared" si="6"/>
        <v>-2.4238106262685415</v>
      </c>
      <c r="I124" t="e">
        <f t="shared" si="7"/>
        <v>#NUM!</v>
      </c>
      <c r="J124" s="4"/>
      <c r="K124" t="e">
        <f t="shared" si="8"/>
        <v>#NUM!</v>
      </c>
      <c r="M124" t="e">
        <f t="shared" si="9"/>
        <v>#NUM!</v>
      </c>
      <c r="O124" s="2" t="s">
        <v>129</v>
      </c>
    </row>
    <row r="125" spans="1:15">
      <c r="A125">
        <v>123</v>
      </c>
      <c r="B125">
        <v>82</v>
      </c>
      <c r="C125">
        <v>129</v>
      </c>
      <c r="D125">
        <v>253</v>
      </c>
      <c r="E125">
        <v>137</v>
      </c>
      <c r="G125">
        <f t="shared" si="5"/>
        <v>-0.37924758982797102</v>
      </c>
      <c r="H125">
        <f t="shared" si="6"/>
        <v>4.3219647812407558E-2</v>
      </c>
      <c r="I125">
        <f t="shared" si="7"/>
        <v>-0.23246328977611022</v>
      </c>
      <c r="J125" s="4"/>
      <c r="K125">
        <f t="shared" si="8"/>
        <v>-0.18949707726389123</v>
      </c>
      <c r="M125">
        <f t="shared" si="9"/>
        <v>0.21448592793725862</v>
      </c>
      <c r="O125" s="2" t="s">
        <v>130</v>
      </c>
    </row>
    <row r="126" spans="1:15">
      <c r="A126">
        <v>124</v>
      </c>
      <c r="B126">
        <v>70</v>
      </c>
      <c r="C126">
        <v>200</v>
      </c>
      <c r="D126">
        <v>218</v>
      </c>
      <c r="E126">
        <v>203</v>
      </c>
      <c r="G126">
        <f t="shared" si="5"/>
        <v>-0.12009149209377895</v>
      </c>
      <c r="H126">
        <f t="shared" si="6"/>
        <v>4.7271432610654363E-2</v>
      </c>
      <c r="I126">
        <f t="shared" si="7"/>
        <v>7.0279933501558034E-3</v>
      </c>
      <c r="J126" s="4"/>
      <c r="K126">
        <f t="shared" si="8"/>
        <v>-2.1930688710989594E-2</v>
      </c>
      <c r="M126">
        <f t="shared" si="9"/>
        <v>8.7358692134465538E-2</v>
      </c>
      <c r="O126" s="2" t="s">
        <v>131</v>
      </c>
    </row>
    <row r="127" spans="1:15">
      <c r="A127">
        <v>125</v>
      </c>
      <c r="B127">
        <v>76</v>
      </c>
      <c r="C127">
        <v>1500</v>
      </c>
      <c r="D127">
        <v>1273</v>
      </c>
      <c r="E127">
        <v>1498</v>
      </c>
      <c r="G127">
        <f t="shared" si="5"/>
        <v>0.71925421903138664</v>
      </c>
      <c r="H127">
        <f t="shared" si="6"/>
        <v>0.77792779039317028</v>
      </c>
      <c r="I127">
        <f t="shared" si="7"/>
        <v>0.83932821653385603</v>
      </c>
      <c r="J127" s="4"/>
      <c r="K127">
        <f t="shared" si="8"/>
        <v>0.77883674198613762</v>
      </c>
      <c r="M127">
        <f t="shared" si="9"/>
        <v>6.0042159053489447E-2</v>
      </c>
      <c r="O127" s="2" t="s">
        <v>132</v>
      </c>
    </row>
    <row r="128" spans="1:15">
      <c r="A128">
        <v>126</v>
      </c>
      <c r="B128">
        <v>178</v>
      </c>
      <c r="C128">
        <v>3493</v>
      </c>
      <c r="D128">
        <v>3879</v>
      </c>
      <c r="E128">
        <v>3499</v>
      </c>
      <c r="G128">
        <f t="shared" si="5"/>
        <v>0.7167551355852495</v>
      </c>
      <c r="H128">
        <f t="shared" si="6"/>
        <v>0.89221275631146879</v>
      </c>
      <c r="I128">
        <f t="shared" si="7"/>
        <v>0.83815393562521212</v>
      </c>
      <c r="J128" s="4"/>
      <c r="K128">
        <f t="shared" si="8"/>
        <v>0.8157072758406434</v>
      </c>
      <c r="M128">
        <f t="shared" si="9"/>
        <v>8.9856739142590653E-2</v>
      </c>
      <c r="O128" s="2" t="s">
        <v>133</v>
      </c>
    </row>
    <row r="129" spans="1:15">
      <c r="A129">
        <v>127</v>
      </c>
      <c r="B129">
        <v>299</v>
      </c>
      <c r="C129">
        <v>3</v>
      </c>
      <c r="D129">
        <v>4</v>
      </c>
      <c r="E129">
        <v>4</v>
      </c>
      <c r="G129">
        <f t="shared" si="5"/>
        <v>-2.5745733813482703</v>
      </c>
      <c r="H129">
        <f t="shared" si="6"/>
        <v>-2.3196982179761609</v>
      </c>
      <c r="I129">
        <f t="shared" si="7"/>
        <v>-2.3289812015452673</v>
      </c>
      <c r="J129" s="4"/>
      <c r="K129">
        <f t="shared" si="8"/>
        <v>-2.407750933623233</v>
      </c>
      <c r="M129">
        <f t="shared" si="9"/>
        <v>0.14454701741895512</v>
      </c>
      <c r="O129" s="2" t="s">
        <v>134</v>
      </c>
    </row>
    <row r="130" spans="1:15">
      <c r="A130">
        <v>128</v>
      </c>
      <c r="B130">
        <v>100</v>
      </c>
      <c r="C130">
        <v>40</v>
      </c>
      <c r="D130">
        <v>45</v>
      </c>
      <c r="E130">
        <v>46</v>
      </c>
      <c r="G130">
        <f t="shared" ref="G130:G193" si="10">LOG10(C130/B130)-LOG10(437/116)</f>
        <v>-0.97396345641554094</v>
      </c>
      <c r="H130">
        <f t="shared" ref="H130:H193" si="11">LOG10(D130/B130)-LOG10(324/116)</f>
        <v>-0.79287450720434993</v>
      </c>
      <c r="I130">
        <f t="shared" ref="I130:I193" si="12">LOG10(E130/B130)-LOG10(331/116)</f>
        <v>-0.79261217286722618</v>
      </c>
      <c r="J130" s="4"/>
      <c r="K130">
        <f t="shared" ref="K130:K193" si="13">AVERAGE(G130:I130)</f>
        <v>-0.85315004549570561</v>
      </c>
      <c r="M130">
        <f t="shared" ref="M130:M193" si="14">STDEV(G130:I130)</f>
        <v>0.10462756519383329</v>
      </c>
      <c r="O130" s="2" t="s">
        <v>135</v>
      </c>
    </row>
    <row r="131" spans="1:15">
      <c r="A131">
        <v>129</v>
      </c>
      <c r="B131">
        <v>65</v>
      </c>
      <c r="C131">
        <v>190</v>
      </c>
      <c r="D131">
        <v>190</v>
      </c>
      <c r="E131">
        <v>180</v>
      </c>
      <c r="G131">
        <f t="shared" si="10"/>
        <v>-0.11018320343353</v>
      </c>
      <c r="H131">
        <f t="shared" si="11"/>
        <v>1.9753223330279679E-2</v>
      </c>
      <c r="I131">
        <f t="shared" si="12"/>
        <v>-1.3010856088349787E-2</v>
      </c>
      <c r="J131" s="4"/>
      <c r="K131">
        <f t="shared" si="13"/>
        <v>-3.4480278730533366E-2</v>
      </c>
      <c r="M131">
        <f t="shared" si="14"/>
        <v>6.7576407358472729E-2</v>
      </c>
      <c r="O131" s="2" t="s">
        <v>136</v>
      </c>
    </row>
    <row r="132" spans="1:15">
      <c r="A132">
        <v>130</v>
      </c>
      <c r="B132">
        <v>153</v>
      </c>
      <c r="C132">
        <v>18</v>
      </c>
      <c r="D132">
        <v>2</v>
      </c>
      <c r="E132">
        <v>6</v>
      </c>
      <c r="G132">
        <f t="shared" si="10"/>
        <v>-1.5054423734577962</v>
      </c>
      <c r="H132">
        <f t="shared" si="11"/>
        <v>-2.3297484561333111</v>
      </c>
      <c r="I132">
        <f t="shared" si="12"/>
        <v>-1.8619101849827555</v>
      </c>
      <c r="J132" s="4"/>
      <c r="K132">
        <f t="shared" si="13"/>
        <v>-1.899033671524621</v>
      </c>
      <c r="M132">
        <f t="shared" si="14"/>
        <v>0.41340506095563306</v>
      </c>
      <c r="O132" s="2" t="s">
        <v>137</v>
      </c>
    </row>
    <row r="133" spans="1:15">
      <c r="A133">
        <v>131</v>
      </c>
      <c r="B133">
        <v>270</v>
      </c>
      <c r="C133">
        <v>8</v>
      </c>
      <c r="D133">
        <v>2</v>
      </c>
      <c r="E133">
        <v>4</v>
      </c>
      <c r="G133">
        <f t="shared" si="10"/>
        <v>-2.1042972249105469</v>
      </c>
      <c r="H133">
        <f t="shared" si="11"/>
        <v>-2.5764207894746995</v>
      </c>
      <c r="I133">
        <f t="shared" si="12"/>
        <v>-2.2846737773798251</v>
      </c>
      <c r="J133" s="4"/>
      <c r="K133">
        <f t="shared" si="13"/>
        <v>-2.3217972639216904</v>
      </c>
      <c r="M133">
        <f t="shared" si="14"/>
        <v>0.23824101240961523</v>
      </c>
      <c r="O133" s="2" t="s">
        <v>138</v>
      </c>
    </row>
    <row r="134" spans="1:15">
      <c r="A134">
        <v>132</v>
      </c>
      <c r="B134">
        <v>103</v>
      </c>
      <c r="C134">
        <v>1</v>
      </c>
      <c r="D134">
        <v>0</v>
      </c>
      <c r="E134">
        <v>0</v>
      </c>
      <c r="G134">
        <f t="shared" si="10"/>
        <v>-2.5888606724486758</v>
      </c>
      <c r="H134" t="e">
        <f t="shared" si="11"/>
        <v>#NUM!</v>
      </c>
      <c r="I134" t="e">
        <f t="shared" si="12"/>
        <v>#NUM!</v>
      </c>
      <c r="J134" s="4"/>
      <c r="K134" t="e">
        <f t="shared" si="13"/>
        <v>#NUM!</v>
      </c>
      <c r="M134" t="e">
        <f t="shared" si="14"/>
        <v>#NUM!</v>
      </c>
      <c r="O134" s="2" t="s">
        <v>139</v>
      </c>
    </row>
    <row r="135" spans="1:15">
      <c r="A135">
        <v>133</v>
      </c>
      <c r="B135">
        <v>334</v>
      </c>
      <c r="C135">
        <v>3</v>
      </c>
      <c r="D135">
        <v>3</v>
      </c>
      <c r="E135">
        <v>4</v>
      </c>
      <c r="G135">
        <f t="shared" si="10"/>
        <v>-2.6226486598354053</v>
      </c>
      <c r="H135">
        <f t="shared" si="11"/>
        <v>-2.4927122330715958</v>
      </c>
      <c r="I135">
        <f t="shared" si="12"/>
        <v>-2.3770564800324023</v>
      </c>
      <c r="J135" s="4"/>
      <c r="K135">
        <f t="shared" si="13"/>
        <v>-2.497472457646468</v>
      </c>
      <c r="M135">
        <f t="shared" si="14"/>
        <v>0.1228652697005954</v>
      </c>
      <c r="O135" s="2" t="s">
        <v>140</v>
      </c>
    </row>
    <row r="136" spans="1:15">
      <c r="A136">
        <v>134</v>
      </c>
      <c r="B136">
        <v>459</v>
      </c>
      <c r="C136">
        <v>5</v>
      </c>
      <c r="D136">
        <v>5</v>
      </c>
      <c r="E136">
        <v>2</v>
      </c>
      <c r="G136">
        <f t="shared" si="10"/>
        <v>-2.5388661289447461</v>
      </c>
      <c r="H136">
        <f t="shared" si="11"/>
        <v>-2.4089297021809362</v>
      </c>
      <c r="I136">
        <f t="shared" si="12"/>
        <v>-2.8161526944220805</v>
      </c>
      <c r="J136" s="4"/>
      <c r="K136">
        <f t="shared" si="13"/>
        <v>-2.5879828418492541</v>
      </c>
      <c r="M136">
        <f t="shared" si="14"/>
        <v>0.20800716325974375</v>
      </c>
      <c r="O136" s="2" t="s">
        <v>141</v>
      </c>
    </row>
    <row r="137" spans="1:15">
      <c r="A137">
        <v>135</v>
      </c>
      <c r="B137">
        <v>197</v>
      </c>
      <c r="C137">
        <v>1</v>
      </c>
      <c r="D137">
        <v>1</v>
      </c>
      <c r="E137">
        <v>0</v>
      </c>
      <c r="G137">
        <f t="shared" si="10"/>
        <v>-2.8704896739050962</v>
      </c>
      <c r="H137">
        <f t="shared" si="11"/>
        <v>-2.7405532471412863</v>
      </c>
      <c r="I137" t="e">
        <f t="shared" si="12"/>
        <v>#NUM!</v>
      </c>
      <c r="J137" s="4"/>
      <c r="K137" t="e">
        <f t="shared" si="13"/>
        <v>#NUM!</v>
      </c>
      <c r="M137" t="e">
        <f t="shared" si="14"/>
        <v>#NUM!</v>
      </c>
      <c r="O137" s="2" t="s">
        <v>142</v>
      </c>
    </row>
    <row r="138" spans="1:15">
      <c r="A138">
        <v>136</v>
      </c>
      <c r="B138">
        <v>174</v>
      </c>
      <c r="C138">
        <v>1</v>
      </c>
      <c r="D138">
        <v>1</v>
      </c>
      <c r="E138">
        <v>2</v>
      </c>
      <c r="G138">
        <f t="shared" si="10"/>
        <v>-2.8165726960261033</v>
      </c>
      <c r="H138">
        <f t="shared" si="11"/>
        <v>-2.6866362692622934</v>
      </c>
      <c r="I138">
        <f t="shared" si="12"/>
        <v>-2.394889257167419</v>
      </c>
      <c r="J138" s="4"/>
      <c r="K138">
        <f t="shared" si="13"/>
        <v>-2.6326994074852719</v>
      </c>
      <c r="M138">
        <f t="shared" si="14"/>
        <v>0.21595397529493773</v>
      </c>
      <c r="O138" s="2" t="s">
        <v>143</v>
      </c>
    </row>
    <row r="139" spans="1:15">
      <c r="A139">
        <v>137</v>
      </c>
      <c r="B139">
        <v>309</v>
      </c>
      <c r="C139">
        <v>0</v>
      </c>
      <c r="D139">
        <v>7</v>
      </c>
      <c r="E139">
        <v>12</v>
      </c>
      <c r="G139" t="e">
        <f t="shared" si="10"/>
        <v>#NUM!</v>
      </c>
      <c r="H139">
        <f t="shared" si="11"/>
        <v>-2.0909474603902716</v>
      </c>
      <c r="I139">
        <f t="shared" si="12"/>
        <v>-1.8661472379260102</v>
      </c>
      <c r="J139" s="4"/>
      <c r="K139" t="e">
        <f t="shared" si="13"/>
        <v>#NUM!</v>
      </c>
      <c r="M139" t="e">
        <f t="shared" si="14"/>
        <v>#NUM!</v>
      </c>
      <c r="O139" s="2" t="s">
        <v>144</v>
      </c>
    </row>
    <row r="140" spans="1:15">
      <c r="A140">
        <v>138</v>
      </c>
      <c r="B140">
        <v>264</v>
      </c>
      <c r="C140">
        <v>11</v>
      </c>
      <c r="D140">
        <v>7</v>
      </c>
      <c r="E140">
        <v>2</v>
      </c>
      <c r="G140">
        <f t="shared" si="10"/>
        <v>-1.9562346894551095</v>
      </c>
      <c r="H140">
        <f t="shared" si="11"/>
        <v>-2.0225929078352678</v>
      </c>
      <c r="I140">
        <f t="shared" si="12"/>
        <v>-2.5759439357546503</v>
      </c>
      <c r="J140" s="4"/>
      <c r="K140">
        <f t="shared" si="13"/>
        <v>-2.1849238443483423</v>
      </c>
      <c r="M140">
        <f t="shared" si="14"/>
        <v>0.34025488563604089</v>
      </c>
      <c r="O140" s="2" t="s">
        <v>145</v>
      </c>
    </row>
    <row r="141" spans="1:15">
      <c r="A141">
        <v>139</v>
      </c>
      <c r="B141">
        <v>357</v>
      </c>
      <c r="C141">
        <v>2</v>
      </c>
      <c r="D141">
        <v>3</v>
      </c>
      <c r="E141">
        <v>6</v>
      </c>
      <c r="G141">
        <f t="shared" si="10"/>
        <v>-2.8276616681917153</v>
      </c>
      <c r="H141">
        <f t="shared" si="11"/>
        <v>-2.521633982372224</v>
      </c>
      <c r="I141">
        <f t="shared" si="12"/>
        <v>-2.2298869702773496</v>
      </c>
      <c r="J141" s="4"/>
      <c r="K141">
        <f t="shared" si="13"/>
        <v>-2.5263942069470962</v>
      </c>
      <c r="M141">
        <f t="shared" si="14"/>
        <v>0.29891577772033917</v>
      </c>
      <c r="O141" s="2" t="s">
        <v>146</v>
      </c>
    </row>
    <row r="142" spans="1:15">
      <c r="A142">
        <v>140</v>
      </c>
      <c r="B142">
        <v>174</v>
      </c>
      <c r="C142">
        <v>4</v>
      </c>
      <c r="D142">
        <v>0</v>
      </c>
      <c r="E142">
        <v>2</v>
      </c>
      <c r="G142">
        <f t="shared" si="10"/>
        <v>-2.2145127046981408</v>
      </c>
      <c r="H142" t="e">
        <f t="shared" si="11"/>
        <v>#NUM!</v>
      </c>
      <c r="I142">
        <f t="shared" si="12"/>
        <v>-2.394889257167419</v>
      </c>
      <c r="J142" s="4"/>
      <c r="K142" t="e">
        <f t="shared" si="13"/>
        <v>#NUM!</v>
      </c>
      <c r="M142" t="e">
        <f t="shared" si="14"/>
        <v>#NUM!</v>
      </c>
      <c r="O142" s="2" t="s">
        <v>147</v>
      </c>
    </row>
    <row r="143" spans="1:15">
      <c r="A143">
        <v>141</v>
      </c>
      <c r="B143">
        <v>145</v>
      </c>
      <c r="C143">
        <v>1</v>
      </c>
      <c r="D143">
        <v>0</v>
      </c>
      <c r="E143">
        <v>0</v>
      </c>
      <c r="G143">
        <f t="shared" si="10"/>
        <v>-2.7373914499784782</v>
      </c>
      <c r="H143" t="e">
        <f t="shared" si="11"/>
        <v>#NUM!</v>
      </c>
      <c r="I143" t="e">
        <f t="shared" si="12"/>
        <v>#NUM!</v>
      </c>
      <c r="J143" s="4"/>
      <c r="K143" t="e">
        <f t="shared" si="13"/>
        <v>#NUM!</v>
      </c>
      <c r="M143" t="e">
        <f t="shared" si="14"/>
        <v>#NUM!</v>
      </c>
      <c r="O143" s="2" t="s">
        <v>148</v>
      </c>
    </row>
    <row r="144" spans="1:15">
      <c r="A144">
        <v>142</v>
      </c>
      <c r="B144">
        <v>304</v>
      </c>
      <c r="C144">
        <v>5</v>
      </c>
      <c r="D144">
        <v>0</v>
      </c>
      <c r="E144">
        <v>3</v>
      </c>
      <c r="G144">
        <f t="shared" si="10"/>
        <v>-2.359927027016238</v>
      </c>
      <c r="H144" t="e">
        <f t="shared" si="11"/>
        <v>#NUM!</v>
      </c>
      <c r="I144">
        <f t="shared" si="12"/>
        <v>-2.4611223334378916</v>
      </c>
      <c r="J144" s="4"/>
      <c r="K144" t="e">
        <f t="shared" si="13"/>
        <v>#NUM!</v>
      </c>
      <c r="M144" t="e">
        <f t="shared" si="14"/>
        <v>#NUM!</v>
      </c>
      <c r="O144" s="2" t="s">
        <v>149</v>
      </c>
    </row>
    <row r="145" spans="1:15">
      <c r="A145">
        <v>143</v>
      </c>
      <c r="B145">
        <v>172</v>
      </c>
      <c r="C145">
        <v>4</v>
      </c>
      <c r="D145">
        <v>2</v>
      </c>
      <c r="E145">
        <v>9</v>
      </c>
      <c r="G145">
        <f t="shared" si="10"/>
        <v>-2.20949190332309</v>
      </c>
      <c r="H145">
        <f t="shared" si="11"/>
        <v>-2.3805854722232613</v>
      </c>
      <c r="I145">
        <f t="shared" si="12"/>
        <v>-1.7366559420170242</v>
      </c>
      <c r="J145" s="4"/>
      <c r="K145">
        <f t="shared" si="13"/>
        <v>-2.1089111058544585</v>
      </c>
      <c r="M145">
        <f t="shared" si="14"/>
        <v>0.33353962670494874</v>
      </c>
      <c r="O145" s="2" t="s">
        <v>150</v>
      </c>
    </row>
    <row r="146" spans="1:15">
      <c r="A146">
        <v>144</v>
      </c>
      <c r="B146">
        <v>99</v>
      </c>
      <c r="C146">
        <v>8</v>
      </c>
      <c r="D146">
        <v>5</v>
      </c>
      <c r="E146">
        <v>7</v>
      </c>
      <c r="G146">
        <f t="shared" si="10"/>
        <v>-1.6685686553491097</v>
      </c>
      <c r="H146">
        <f t="shared" si="11"/>
        <v>-1.7427522112412248</v>
      </c>
      <c r="I146">
        <f t="shared" si="12"/>
        <v>-1.6059071591320935</v>
      </c>
      <c r="J146" s="4"/>
      <c r="K146">
        <f t="shared" si="13"/>
        <v>-1.6724093419074759</v>
      </c>
      <c r="M146">
        <f t="shared" si="14"/>
        <v>6.850332274143664E-2</v>
      </c>
      <c r="O146" s="2" t="s">
        <v>151</v>
      </c>
    </row>
    <row r="147" spans="1:15">
      <c r="A147">
        <v>145</v>
      </c>
      <c r="B147">
        <v>148</v>
      </c>
      <c r="C147">
        <v>3</v>
      </c>
      <c r="D147">
        <v>0</v>
      </c>
      <c r="E147">
        <v>2</v>
      </c>
      <c r="G147">
        <f t="shared" si="10"/>
        <v>-2.2691639084187982</v>
      </c>
      <c r="H147" t="e">
        <f t="shared" si="11"/>
        <v>#NUM!</v>
      </c>
      <c r="I147">
        <f t="shared" si="12"/>
        <v>-2.3246017242797765</v>
      </c>
      <c r="J147" s="4"/>
      <c r="K147" t="e">
        <f t="shared" si="13"/>
        <v>#NUM!</v>
      </c>
      <c r="M147" t="e">
        <f t="shared" si="14"/>
        <v>#NUM!</v>
      </c>
      <c r="O147" s="2" t="s">
        <v>152</v>
      </c>
    </row>
    <row r="148" spans="1:15">
      <c r="A148">
        <v>146</v>
      </c>
      <c r="B148">
        <v>75</v>
      </c>
      <c r="C148">
        <v>0</v>
      </c>
      <c r="D148">
        <v>0</v>
      </c>
      <c r="E148">
        <v>0</v>
      </c>
      <c r="G148" t="e">
        <f t="shared" si="10"/>
        <v>#NUM!</v>
      </c>
      <c r="H148" t="e">
        <f t="shared" si="11"/>
        <v>#NUM!</v>
      </c>
      <c r="I148" t="e">
        <f t="shared" si="12"/>
        <v>#NUM!</v>
      </c>
      <c r="J148" s="4"/>
      <c r="K148" t="e">
        <f t="shared" si="13"/>
        <v>#NUM!</v>
      </c>
      <c r="M148" t="e">
        <f t="shared" si="14"/>
        <v>#NUM!</v>
      </c>
      <c r="O148" s="2" t="s">
        <v>153</v>
      </c>
    </row>
    <row r="149" spans="1:15">
      <c r="A149">
        <v>147</v>
      </c>
      <c r="B149">
        <v>164</v>
      </c>
      <c r="C149">
        <v>0</v>
      </c>
      <c r="D149">
        <v>2</v>
      </c>
      <c r="E149">
        <v>2</v>
      </c>
      <c r="G149" t="e">
        <f t="shared" si="10"/>
        <v>#NUM!</v>
      </c>
      <c r="H149">
        <f t="shared" si="11"/>
        <v>-2.3599008733634106</v>
      </c>
      <c r="I149">
        <f t="shared" si="12"/>
        <v>-2.369183856932517</v>
      </c>
      <c r="J149" s="4"/>
      <c r="K149" t="e">
        <f t="shared" si="13"/>
        <v>#NUM!</v>
      </c>
      <c r="M149" t="e">
        <f t="shared" si="14"/>
        <v>#NUM!</v>
      </c>
      <c r="O149" s="2" t="s">
        <v>154</v>
      </c>
    </row>
    <row r="150" spans="1:15">
      <c r="A150">
        <v>148</v>
      </c>
      <c r="B150">
        <v>75</v>
      </c>
      <c r="C150">
        <v>132</v>
      </c>
      <c r="D150">
        <v>134</v>
      </c>
      <c r="E150">
        <v>178</v>
      </c>
      <c r="G150">
        <f t="shared" si="10"/>
        <v>-0.33051077992935352</v>
      </c>
      <c r="H150">
        <f t="shared" si="11"/>
        <v>-0.19404348600658611</v>
      </c>
      <c r="I150">
        <f t="shared" si="12"/>
        <v>-8.0011265631606321E-2</v>
      </c>
      <c r="J150" s="4"/>
      <c r="K150">
        <f t="shared" si="13"/>
        <v>-0.20152184385584868</v>
      </c>
      <c r="M150">
        <f t="shared" si="14"/>
        <v>0.12541708832110171</v>
      </c>
      <c r="O150" s="2" t="s">
        <v>155</v>
      </c>
    </row>
    <row r="151" spans="1:15">
      <c r="A151">
        <v>149</v>
      </c>
      <c r="B151">
        <v>388</v>
      </c>
      <c r="C151">
        <v>3</v>
      </c>
      <c r="D151">
        <v>2</v>
      </c>
      <c r="E151">
        <v>13</v>
      </c>
      <c r="G151">
        <f t="shared" si="10"/>
        <v>-2.687733918618048</v>
      </c>
      <c r="H151">
        <f t="shared" si="11"/>
        <v>-2.7338887509099195</v>
      </c>
      <c r="I151">
        <f t="shared" si="12"/>
        <v>-1.9302583778361708</v>
      </c>
      <c r="J151" s="4"/>
      <c r="K151">
        <f t="shared" si="13"/>
        <v>-2.4506270157880459</v>
      </c>
      <c r="M151">
        <f t="shared" si="14"/>
        <v>0.45124295746182197</v>
      </c>
      <c r="O151" s="2" t="s">
        <v>156</v>
      </c>
    </row>
    <row r="152" spans="1:15">
      <c r="A152">
        <v>150</v>
      </c>
      <c r="B152">
        <v>465</v>
      </c>
      <c r="C152">
        <v>4999</v>
      </c>
      <c r="D152">
        <v>3847</v>
      </c>
      <c r="E152">
        <v>4544</v>
      </c>
      <c r="G152">
        <f t="shared" si="10"/>
        <v>0.45540673611913296</v>
      </c>
      <c r="H152">
        <f t="shared" si="11"/>
        <v>0.47158221243716791</v>
      </c>
      <c r="I152">
        <f t="shared" si="12"/>
        <v>0.53461536526420828</v>
      </c>
      <c r="J152" s="4"/>
      <c r="K152">
        <f t="shared" si="13"/>
        <v>0.48720143794016968</v>
      </c>
      <c r="M152">
        <f t="shared" si="14"/>
        <v>4.1850590040592439E-2</v>
      </c>
      <c r="O152" s="2" t="s">
        <v>157</v>
      </c>
    </row>
    <row r="153" spans="1:15">
      <c r="A153">
        <v>151</v>
      </c>
      <c r="B153">
        <v>525</v>
      </c>
      <c r="C153">
        <v>11</v>
      </c>
      <c r="D153">
        <v>5</v>
      </c>
      <c r="E153">
        <v>7</v>
      </c>
      <c r="G153">
        <f t="shared" si="10"/>
        <v>-2.2547900659912354</v>
      </c>
      <c r="H153">
        <f t="shared" si="11"/>
        <v>-2.4672763200496313</v>
      </c>
      <c r="I153">
        <f t="shared" si="12"/>
        <v>-2.3304312679405004</v>
      </c>
      <c r="J153" s="4"/>
      <c r="K153">
        <f t="shared" si="13"/>
        <v>-2.3508325513271227</v>
      </c>
      <c r="M153">
        <f t="shared" si="14"/>
        <v>0.10770218806416251</v>
      </c>
      <c r="O153" s="2" t="s">
        <v>158</v>
      </c>
    </row>
    <row r="154" spans="1:15">
      <c r="A154">
        <v>152</v>
      </c>
      <c r="B154">
        <v>384</v>
      </c>
      <c r="C154">
        <v>1</v>
      </c>
      <c r="D154">
        <v>6</v>
      </c>
      <c r="E154">
        <v>6</v>
      </c>
      <c r="G154">
        <f t="shared" si="10"/>
        <v>-3.1603546721110343</v>
      </c>
      <c r="H154">
        <f t="shared" si="11"/>
        <v>-2.2522669949635805</v>
      </c>
      <c r="I154">
        <f t="shared" si="12"/>
        <v>-2.2615499785326874</v>
      </c>
      <c r="J154" s="4"/>
      <c r="K154">
        <f t="shared" si="13"/>
        <v>-2.5580572152024339</v>
      </c>
      <c r="M154">
        <f t="shared" si="14"/>
        <v>0.5216255490243078</v>
      </c>
      <c r="O154" s="2" t="s">
        <v>159</v>
      </c>
    </row>
    <row r="155" spans="1:15">
      <c r="A155">
        <v>153</v>
      </c>
      <c r="B155">
        <v>96</v>
      </c>
      <c r="C155">
        <v>1</v>
      </c>
      <c r="D155">
        <v>1</v>
      </c>
      <c r="E155">
        <v>2</v>
      </c>
      <c r="G155">
        <f t="shared" si="10"/>
        <v>-2.5582946807830718</v>
      </c>
      <c r="H155">
        <f t="shared" si="11"/>
        <v>-2.4283582540192619</v>
      </c>
      <c r="I155">
        <f t="shared" si="12"/>
        <v>-2.1366112419243874</v>
      </c>
      <c r="J155" s="4"/>
      <c r="K155">
        <f t="shared" si="13"/>
        <v>-2.3744213922422404</v>
      </c>
      <c r="M155">
        <f t="shared" si="14"/>
        <v>0.21595397529493773</v>
      </c>
      <c r="O155" s="2" t="s">
        <v>160</v>
      </c>
    </row>
    <row r="156" spans="1:15">
      <c r="A156">
        <v>154</v>
      </c>
      <c r="B156">
        <v>464</v>
      </c>
      <c r="C156">
        <v>6</v>
      </c>
      <c r="D156">
        <v>4</v>
      </c>
      <c r="E156">
        <v>5</v>
      </c>
      <c r="G156">
        <f t="shared" si="10"/>
        <v>-2.4643901779147406</v>
      </c>
      <c r="H156">
        <f t="shared" si="11"/>
        <v>-2.510545010206612</v>
      </c>
      <c r="I156">
        <f t="shared" si="12"/>
        <v>-2.4229179807676626</v>
      </c>
      <c r="J156" s="4"/>
      <c r="K156">
        <f t="shared" si="13"/>
        <v>-2.4659510562963383</v>
      </c>
      <c r="M156">
        <f t="shared" si="14"/>
        <v>4.3834362411984858E-2</v>
      </c>
      <c r="O156" s="2" t="s">
        <v>161</v>
      </c>
    </row>
    <row r="157" spans="1:15">
      <c r="A157">
        <v>155</v>
      </c>
      <c r="B157">
        <v>354</v>
      </c>
      <c r="C157">
        <v>3</v>
      </c>
      <c r="D157">
        <v>4</v>
      </c>
      <c r="E157">
        <v>2</v>
      </c>
      <c r="G157">
        <f t="shared" si="10"/>
        <v>-2.6479054550496288</v>
      </c>
      <c r="H157">
        <f t="shared" si="11"/>
        <v>-2.393030291677519</v>
      </c>
      <c r="I157">
        <f t="shared" si="12"/>
        <v>-2.7033432709106071</v>
      </c>
      <c r="J157" s="4"/>
      <c r="K157">
        <f t="shared" si="13"/>
        <v>-2.5814263392125851</v>
      </c>
      <c r="M157">
        <f t="shared" si="14"/>
        <v>0.16549362798000733</v>
      </c>
      <c r="O157" s="2" t="s">
        <v>162</v>
      </c>
    </row>
    <row r="158" spans="1:15">
      <c r="A158">
        <v>156</v>
      </c>
      <c r="B158">
        <v>241</v>
      </c>
      <c r="C158">
        <v>3</v>
      </c>
      <c r="D158">
        <v>1</v>
      </c>
      <c r="E158">
        <v>1</v>
      </c>
      <c r="G158">
        <f t="shared" si="10"/>
        <v>-2.4809192355987095</v>
      </c>
      <c r="H158">
        <f t="shared" si="11"/>
        <v>-2.8281040635545622</v>
      </c>
      <c r="I158">
        <f t="shared" si="12"/>
        <v>-2.8373870471236686</v>
      </c>
      <c r="J158" s="4"/>
      <c r="K158">
        <f t="shared" si="13"/>
        <v>-2.7154701154256471</v>
      </c>
      <c r="M158">
        <f t="shared" si="14"/>
        <v>0.20318004298325867</v>
      </c>
      <c r="O158" s="2" t="s">
        <v>163</v>
      </c>
    </row>
    <row r="159" spans="1:15">
      <c r="A159">
        <v>157</v>
      </c>
      <c r="B159">
        <v>187</v>
      </c>
      <c r="C159">
        <v>2580</v>
      </c>
      <c r="D159">
        <v>2586</v>
      </c>
      <c r="E159">
        <v>2548</v>
      </c>
      <c r="G159">
        <f t="shared" si="10"/>
        <v>0.56375465168322791</v>
      </c>
      <c r="H159">
        <f t="shared" si="11"/>
        <v>0.69469989302818269</v>
      </c>
      <c r="I159">
        <f t="shared" si="12"/>
        <v>0.67898781257801355</v>
      </c>
      <c r="J159" s="4"/>
      <c r="K159">
        <f t="shared" si="13"/>
        <v>0.64581411909647468</v>
      </c>
      <c r="M159">
        <f t="shared" si="14"/>
        <v>7.1498493075920364E-2</v>
      </c>
      <c r="O159" s="2" t="s">
        <v>164</v>
      </c>
    </row>
    <row r="160" spans="1:15">
      <c r="A160">
        <v>158</v>
      </c>
      <c r="B160">
        <v>51</v>
      </c>
      <c r="C160">
        <v>0</v>
      </c>
      <c r="D160">
        <v>1</v>
      </c>
      <c r="E160">
        <v>0</v>
      </c>
      <c r="G160" t="e">
        <f t="shared" si="10"/>
        <v>#NUM!</v>
      </c>
      <c r="H160">
        <f t="shared" si="11"/>
        <v>-2.1536571970776297</v>
      </c>
      <c r="I160" t="e">
        <f t="shared" si="12"/>
        <v>#NUM!</v>
      </c>
      <c r="J160" s="4"/>
      <c r="K160" t="e">
        <f t="shared" si="13"/>
        <v>#NUM!</v>
      </c>
      <c r="M160" t="e">
        <f t="shared" si="14"/>
        <v>#NUM!</v>
      </c>
      <c r="O160" s="2" t="s">
        <v>165</v>
      </c>
    </row>
    <row r="161" spans="1:15">
      <c r="A161">
        <v>159</v>
      </c>
      <c r="B161">
        <v>158</v>
      </c>
      <c r="C161">
        <v>672</v>
      </c>
      <c r="D161">
        <v>671</v>
      </c>
      <c r="E161">
        <v>539</v>
      </c>
      <c r="G161">
        <f t="shared" si="10"/>
        <v>5.2688738355899267E-2</v>
      </c>
      <c r="H161">
        <f t="shared" si="11"/>
        <v>0.18197841223487587</v>
      </c>
      <c r="I161">
        <f t="shared" si="12"/>
        <v>7.7561673683515853E-2</v>
      </c>
      <c r="J161" s="4"/>
      <c r="K161">
        <f t="shared" si="13"/>
        <v>0.104076274758097</v>
      </c>
      <c r="M161">
        <f t="shared" si="14"/>
        <v>6.8601916850341504E-2</v>
      </c>
      <c r="O161" s="2" t="s">
        <v>166</v>
      </c>
    </row>
    <row r="162" spans="1:15">
      <c r="A162">
        <v>160</v>
      </c>
      <c r="B162">
        <v>94</v>
      </c>
      <c r="C162">
        <v>0</v>
      </c>
      <c r="D162">
        <v>1</v>
      </c>
      <c r="E162">
        <v>0</v>
      </c>
      <c r="G162" t="e">
        <f t="shared" si="10"/>
        <v>#NUM!</v>
      </c>
      <c r="H162">
        <f t="shared" si="11"/>
        <v>-2.4192148745793922</v>
      </c>
      <c r="I162" t="e">
        <f t="shared" si="12"/>
        <v>#NUM!</v>
      </c>
      <c r="J162" s="4"/>
      <c r="K162" t="e">
        <f t="shared" si="13"/>
        <v>#NUM!</v>
      </c>
      <c r="M162" t="e">
        <f t="shared" si="14"/>
        <v>#NUM!</v>
      </c>
      <c r="O162" s="2" t="s">
        <v>167</v>
      </c>
    </row>
    <row r="163" spans="1:15">
      <c r="A163">
        <v>161</v>
      </c>
      <c r="B163">
        <v>162</v>
      </c>
      <c r="C163">
        <v>2</v>
      </c>
      <c r="D163">
        <v>0</v>
      </c>
      <c r="E163">
        <v>2</v>
      </c>
      <c r="G163">
        <f t="shared" si="10"/>
        <v>-2.4845084666221533</v>
      </c>
      <c r="H163" t="e">
        <f t="shared" si="11"/>
        <v>#NUM!</v>
      </c>
      <c r="I163">
        <f t="shared" si="12"/>
        <v>-2.3638550234274502</v>
      </c>
      <c r="J163" s="4"/>
      <c r="K163" t="e">
        <f t="shared" si="13"/>
        <v>#NUM!</v>
      </c>
      <c r="M163" t="e">
        <f t="shared" si="14"/>
        <v>#NUM!</v>
      </c>
      <c r="O163" s="2" t="s">
        <v>168</v>
      </c>
    </row>
    <row r="164" spans="1:15">
      <c r="A164">
        <v>162</v>
      </c>
      <c r="B164">
        <v>95</v>
      </c>
      <c r="C164">
        <v>1</v>
      </c>
      <c r="D164">
        <v>0</v>
      </c>
      <c r="E164">
        <v>0</v>
      </c>
      <c r="G164">
        <f t="shared" si="10"/>
        <v>-2.5537470530323514</v>
      </c>
      <c r="H164" t="e">
        <f t="shared" si="11"/>
        <v>#NUM!</v>
      </c>
      <c r="I164" t="e">
        <f t="shared" si="12"/>
        <v>#NUM!</v>
      </c>
      <c r="J164" s="4"/>
      <c r="K164" t="e">
        <f t="shared" si="13"/>
        <v>#NUM!</v>
      </c>
      <c r="M164" t="e">
        <f t="shared" si="14"/>
        <v>#NUM!</v>
      </c>
      <c r="O164" s="2" t="s">
        <v>169</v>
      </c>
    </row>
    <row r="165" spans="1:15">
      <c r="A165">
        <v>163</v>
      </c>
      <c r="B165">
        <v>168</v>
      </c>
      <c r="C165">
        <v>0</v>
      </c>
      <c r="D165">
        <v>5</v>
      </c>
      <c r="E165">
        <v>1</v>
      </c>
      <c r="G165" t="e">
        <f t="shared" si="10"/>
        <v>#NUM!</v>
      </c>
      <c r="H165">
        <f t="shared" si="11"/>
        <v>-1.9724262983695378</v>
      </c>
      <c r="I165">
        <f t="shared" si="12"/>
        <v>-2.6806792862746631</v>
      </c>
      <c r="J165" s="4"/>
      <c r="K165" t="e">
        <f t="shared" si="13"/>
        <v>#NUM!</v>
      </c>
      <c r="M165" t="e">
        <f t="shared" si="14"/>
        <v>#NUM!</v>
      </c>
      <c r="O165" s="2" t="s">
        <v>170</v>
      </c>
    </row>
    <row r="166" spans="1:15">
      <c r="A166">
        <v>164</v>
      </c>
      <c r="B166">
        <v>441</v>
      </c>
      <c r="C166">
        <v>7</v>
      </c>
      <c r="D166">
        <v>4</v>
      </c>
      <c r="E166">
        <v>2</v>
      </c>
      <c r="G166">
        <f t="shared" si="10"/>
        <v>-2.375363997197085</v>
      </c>
      <c r="H166">
        <f t="shared" si="11"/>
        <v>-2.4884656191195695</v>
      </c>
      <c r="I166">
        <f t="shared" si="12"/>
        <v>-2.7987785983526576</v>
      </c>
      <c r="J166" s="4"/>
      <c r="K166">
        <f t="shared" si="13"/>
        <v>-2.5542027382231041</v>
      </c>
      <c r="M166">
        <f t="shared" si="14"/>
        <v>0.21922820926823575</v>
      </c>
      <c r="O166" s="2" t="s">
        <v>171</v>
      </c>
    </row>
    <row r="167" spans="1:15">
      <c r="A167">
        <v>165</v>
      </c>
      <c r="B167">
        <v>154</v>
      </c>
      <c r="C167">
        <v>1331</v>
      </c>
      <c r="D167">
        <v>1158</v>
      </c>
      <c r="E167">
        <v>1272</v>
      </c>
      <c r="G167">
        <f t="shared" si="10"/>
        <v>0.36063388689470866</v>
      </c>
      <c r="H167">
        <f t="shared" si="11"/>
        <v>0.43010081757526064</v>
      </c>
      <c r="I167">
        <f t="shared" si="12"/>
        <v>0.4615963859271317</v>
      </c>
      <c r="J167" s="4"/>
      <c r="K167">
        <f t="shared" si="13"/>
        <v>0.41744369679903365</v>
      </c>
      <c r="M167">
        <f t="shared" si="14"/>
        <v>5.1657609144016972E-2</v>
      </c>
      <c r="O167" s="2" t="s">
        <v>172</v>
      </c>
    </row>
    <row r="168" spans="1:15">
      <c r="A168">
        <v>166</v>
      </c>
      <c r="B168">
        <v>374</v>
      </c>
      <c r="C168">
        <v>3</v>
      </c>
      <c r="D168">
        <v>2</v>
      </c>
      <c r="E168">
        <v>5</v>
      </c>
      <c r="G168">
        <f t="shared" si="10"/>
        <v>-2.671773795224321</v>
      </c>
      <c r="H168">
        <f t="shared" si="11"/>
        <v>-2.7179286275161925</v>
      </c>
      <c r="I168">
        <f t="shared" si="12"/>
        <v>-2.3292716024132618</v>
      </c>
      <c r="J168" s="4"/>
      <c r="K168">
        <f t="shared" si="13"/>
        <v>-2.5729913417179251</v>
      </c>
      <c r="M168">
        <f t="shared" si="14"/>
        <v>0.21232534147157864</v>
      </c>
      <c r="O168" s="2" t="s">
        <v>173</v>
      </c>
    </row>
    <row r="169" spans="1:15">
      <c r="A169">
        <v>167</v>
      </c>
      <c r="B169">
        <v>260</v>
      </c>
      <c r="C169">
        <v>1</v>
      </c>
      <c r="D169">
        <v>2</v>
      </c>
      <c r="E169">
        <v>0</v>
      </c>
      <c r="G169">
        <f t="shared" si="10"/>
        <v>-2.9909967957143211</v>
      </c>
      <c r="H169">
        <f t="shared" si="11"/>
        <v>-2.5600303732865308</v>
      </c>
      <c r="I169" t="e">
        <f t="shared" si="12"/>
        <v>#NUM!</v>
      </c>
      <c r="J169" s="4"/>
      <c r="K169" t="e">
        <f t="shared" si="13"/>
        <v>#NUM!</v>
      </c>
      <c r="M169" t="e">
        <f t="shared" si="14"/>
        <v>#NUM!</v>
      </c>
      <c r="O169" s="2" t="s">
        <v>174</v>
      </c>
    </row>
    <row r="170" spans="1:15">
      <c r="A170">
        <v>168</v>
      </c>
      <c r="B170">
        <v>108</v>
      </c>
      <c r="C170">
        <v>1</v>
      </c>
      <c r="D170">
        <v>0</v>
      </c>
      <c r="E170">
        <v>0</v>
      </c>
      <c r="G170">
        <f t="shared" si="10"/>
        <v>-2.6094472032304532</v>
      </c>
      <c r="H170" t="e">
        <f t="shared" si="11"/>
        <v>#NUM!</v>
      </c>
      <c r="I170" t="e">
        <f t="shared" si="12"/>
        <v>#NUM!</v>
      </c>
      <c r="J170" s="4"/>
      <c r="K170" t="e">
        <f t="shared" si="13"/>
        <v>#NUM!</v>
      </c>
      <c r="M170" t="e">
        <f t="shared" si="14"/>
        <v>#NUM!</v>
      </c>
      <c r="O170" s="2" t="s">
        <v>175</v>
      </c>
    </row>
    <row r="171" spans="1:15">
      <c r="A171">
        <v>169</v>
      </c>
      <c r="B171">
        <v>161</v>
      </c>
      <c r="C171">
        <v>1</v>
      </c>
      <c r="D171">
        <v>1</v>
      </c>
      <c r="E171">
        <v>2</v>
      </c>
      <c r="G171">
        <f t="shared" si="10"/>
        <v>-2.7828493237753529</v>
      </c>
      <c r="H171">
        <f t="shared" si="11"/>
        <v>-2.652912897011543</v>
      </c>
      <c r="I171">
        <f t="shared" si="12"/>
        <v>-2.3611658849166686</v>
      </c>
      <c r="J171" s="4"/>
      <c r="K171">
        <f t="shared" si="13"/>
        <v>-2.5989760352345215</v>
      </c>
      <c r="M171">
        <f t="shared" si="14"/>
        <v>0.21595397529493773</v>
      </c>
      <c r="O171" s="2" t="s">
        <v>176</v>
      </c>
    </row>
    <row r="172" spans="1:15">
      <c r="A172">
        <v>170</v>
      </c>
      <c r="B172">
        <v>135</v>
      </c>
      <c r="C172">
        <v>2</v>
      </c>
      <c r="D172">
        <v>0</v>
      </c>
      <c r="E172">
        <v>0</v>
      </c>
      <c r="G172">
        <f t="shared" si="10"/>
        <v>-2.4053272205745282</v>
      </c>
      <c r="H172" t="e">
        <f t="shared" si="11"/>
        <v>#NUM!</v>
      </c>
      <c r="I172" t="e">
        <f t="shared" si="12"/>
        <v>#NUM!</v>
      </c>
      <c r="J172" s="4"/>
      <c r="K172" t="e">
        <f t="shared" si="13"/>
        <v>#NUM!</v>
      </c>
      <c r="M172" t="e">
        <f t="shared" si="14"/>
        <v>#NUM!</v>
      </c>
      <c r="O172" s="2" t="s">
        <v>177</v>
      </c>
    </row>
    <row r="173" spans="1:15">
      <c r="A173">
        <v>171</v>
      </c>
      <c r="B173">
        <v>84</v>
      </c>
      <c r="C173">
        <v>0</v>
      </c>
      <c r="D173">
        <v>4</v>
      </c>
      <c r="E173">
        <v>3</v>
      </c>
      <c r="G173" t="e">
        <f t="shared" si="10"/>
        <v>#NUM!</v>
      </c>
      <c r="H173">
        <f t="shared" si="11"/>
        <v>-1.768306315713613</v>
      </c>
      <c r="I173">
        <f t="shared" si="12"/>
        <v>-1.9025280358910195</v>
      </c>
      <c r="J173" s="4"/>
      <c r="K173" t="e">
        <f t="shared" si="13"/>
        <v>#NUM!</v>
      </c>
      <c r="M173" t="e">
        <f t="shared" si="14"/>
        <v>#NUM!</v>
      </c>
      <c r="O173" s="2" t="s">
        <v>178</v>
      </c>
    </row>
    <row r="174" spans="1:15">
      <c r="A174">
        <v>172</v>
      </c>
      <c r="B174">
        <v>194</v>
      </c>
      <c r="C174">
        <v>1248</v>
      </c>
      <c r="D174">
        <v>1049</v>
      </c>
      <c r="E174">
        <v>1083</v>
      </c>
      <c r="G174">
        <f t="shared" si="10"/>
        <v>0.2323894076726758</v>
      </c>
      <c r="H174">
        <f t="shared" si="11"/>
        <v>0.28688673728363823</v>
      </c>
      <c r="I174">
        <f t="shared" si="12"/>
        <v>0.29145672214629403</v>
      </c>
      <c r="J174" s="4"/>
      <c r="K174">
        <f t="shared" si="13"/>
        <v>0.27024428903420267</v>
      </c>
      <c r="M174">
        <f t="shared" si="14"/>
        <v>3.286282432449595E-2</v>
      </c>
      <c r="O174" s="2" t="s">
        <v>179</v>
      </c>
    </row>
    <row r="175" spans="1:15">
      <c r="A175">
        <v>173</v>
      </c>
      <c r="B175">
        <v>99</v>
      </c>
      <c r="C175">
        <v>175</v>
      </c>
      <c r="D175">
        <v>103</v>
      </c>
      <c r="E175">
        <v>179</v>
      </c>
      <c r="G175">
        <f t="shared" si="10"/>
        <v>-0.32862059365475882</v>
      </c>
      <c r="H175">
        <f t="shared" si="11"/>
        <v>-0.42888499087207133</v>
      </c>
      <c r="I175">
        <f t="shared" si="12"/>
        <v>-0.19815216816645698</v>
      </c>
      <c r="J175" s="4"/>
      <c r="K175">
        <f t="shared" si="13"/>
        <v>-0.31855258423109573</v>
      </c>
      <c r="M175">
        <f t="shared" si="14"/>
        <v>0.11569542980922508</v>
      </c>
      <c r="O175" s="2" t="s">
        <v>180</v>
      </c>
    </row>
    <row r="176" spans="1:15">
      <c r="A176">
        <v>174</v>
      </c>
      <c r="B176">
        <v>376</v>
      </c>
      <c r="C176">
        <v>4</v>
      </c>
      <c r="D176">
        <v>2</v>
      </c>
      <c r="E176">
        <v>4</v>
      </c>
      <c r="G176">
        <f t="shared" si="10"/>
        <v>-2.5491513013432021</v>
      </c>
      <c r="H176">
        <f t="shared" si="11"/>
        <v>-2.7202448702433735</v>
      </c>
      <c r="I176">
        <f t="shared" si="12"/>
        <v>-2.4284978581484991</v>
      </c>
      <c r="J176" s="4"/>
      <c r="K176">
        <f t="shared" si="13"/>
        <v>-2.5659646765783584</v>
      </c>
      <c r="M176">
        <f t="shared" si="14"/>
        <v>0.14659842071683557</v>
      </c>
      <c r="O176" s="2" t="s">
        <v>181</v>
      </c>
    </row>
    <row r="177" spans="1:15">
      <c r="A177">
        <v>175</v>
      </c>
      <c r="B177">
        <v>165</v>
      </c>
      <c r="C177">
        <v>9</v>
      </c>
      <c r="D177">
        <v>1</v>
      </c>
      <c r="E177">
        <v>6</v>
      </c>
      <c r="G177">
        <f t="shared" si="10"/>
        <v>-1.8392648825180848</v>
      </c>
      <c r="H177">
        <f t="shared" si="11"/>
        <v>-2.6635709651935997</v>
      </c>
      <c r="I177">
        <f t="shared" si="12"/>
        <v>-1.8947026983790629</v>
      </c>
      <c r="J177" s="4"/>
      <c r="K177">
        <f t="shared" si="13"/>
        <v>-2.132512848696916</v>
      </c>
      <c r="M177">
        <f t="shared" si="14"/>
        <v>0.46074437617795483</v>
      </c>
      <c r="O177" s="2" t="s">
        <v>182</v>
      </c>
    </row>
    <row r="178" spans="1:15">
      <c r="A178">
        <v>176</v>
      </c>
      <c r="B178">
        <v>221</v>
      </c>
      <c r="C178">
        <v>1</v>
      </c>
      <c r="D178">
        <v>1</v>
      </c>
      <c r="E178">
        <v>5</v>
      </c>
      <c r="G178">
        <f t="shared" si="10"/>
        <v>-2.9204157214286139</v>
      </c>
      <c r="H178">
        <f t="shared" si="11"/>
        <v>-2.790479294664804</v>
      </c>
      <c r="I178">
        <f t="shared" si="12"/>
        <v>-2.1007922738978921</v>
      </c>
      <c r="J178" s="4"/>
      <c r="K178">
        <f t="shared" si="13"/>
        <v>-2.6038957633304367</v>
      </c>
      <c r="M178">
        <f t="shared" si="14"/>
        <v>0.44051754739106513</v>
      </c>
      <c r="O178" s="2" t="s">
        <v>183</v>
      </c>
    </row>
    <row r="179" spans="1:15">
      <c r="A179">
        <v>177</v>
      </c>
      <c r="B179">
        <v>272</v>
      </c>
      <c r="C179">
        <v>1</v>
      </c>
      <c r="D179">
        <v>2</v>
      </c>
      <c r="E179">
        <v>4</v>
      </c>
      <c r="G179">
        <f t="shared" si="10"/>
        <v>-3.010592351777702</v>
      </c>
      <c r="H179">
        <f t="shared" si="11"/>
        <v>-2.5796259293499109</v>
      </c>
      <c r="I179">
        <f t="shared" si="12"/>
        <v>-2.2878789172550364</v>
      </c>
      <c r="J179" s="4"/>
      <c r="K179">
        <f t="shared" si="13"/>
        <v>-2.626032399460883</v>
      </c>
      <c r="M179">
        <f t="shared" si="14"/>
        <v>0.36358471840962614</v>
      </c>
      <c r="O179" s="2" t="s">
        <v>184</v>
      </c>
    </row>
    <row r="180" spans="1:15">
      <c r="A180">
        <v>178</v>
      </c>
      <c r="B180">
        <v>160</v>
      </c>
      <c r="C180">
        <v>0</v>
      </c>
      <c r="D180">
        <v>1</v>
      </c>
      <c r="E180">
        <v>2</v>
      </c>
      <c r="G180" t="e">
        <f t="shared" si="10"/>
        <v>#NUM!</v>
      </c>
      <c r="H180">
        <f t="shared" si="11"/>
        <v>-2.650207003635618</v>
      </c>
      <c r="I180">
        <f t="shared" si="12"/>
        <v>-2.3584599915407436</v>
      </c>
      <c r="J180" s="4"/>
      <c r="K180" t="e">
        <f t="shared" si="13"/>
        <v>#NUM!</v>
      </c>
      <c r="M180" t="e">
        <f t="shared" si="14"/>
        <v>#NUM!</v>
      </c>
      <c r="O180" s="2" t="s">
        <v>185</v>
      </c>
    </row>
    <row r="181" spans="1:15">
      <c r="A181">
        <v>179</v>
      </c>
      <c r="B181">
        <v>358</v>
      </c>
      <c r="C181">
        <v>5</v>
      </c>
      <c r="D181">
        <v>11</v>
      </c>
      <c r="E181">
        <v>4</v>
      </c>
      <c r="G181">
        <f t="shared" si="10"/>
        <v>-2.4309364700513587</v>
      </c>
      <c r="H181">
        <f t="shared" si="11"/>
        <v>-1.9585773624653431</v>
      </c>
      <c r="I181">
        <f t="shared" si="12"/>
        <v>-2.4071930398647123</v>
      </c>
      <c r="J181" s="4"/>
      <c r="K181">
        <f t="shared" si="13"/>
        <v>-2.2655689574604714</v>
      </c>
      <c r="M181">
        <f t="shared" si="14"/>
        <v>0.26612744534808258</v>
      </c>
      <c r="O181" s="2" t="s">
        <v>186</v>
      </c>
    </row>
    <row r="182" spans="1:15">
      <c r="A182">
        <v>180</v>
      </c>
      <c r="B182">
        <v>105</v>
      </c>
      <c r="C182">
        <v>3</v>
      </c>
      <c r="D182">
        <v>1</v>
      </c>
      <c r="E182">
        <v>2</v>
      </c>
      <c r="G182">
        <f t="shared" si="10"/>
        <v>-2.120091492093779</v>
      </c>
      <c r="H182">
        <f t="shared" si="11"/>
        <v>-2.4672763200496313</v>
      </c>
      <c r="I182">
        <f t="shared" si="12"/>
        <v>-2.1755293079547569</v>
      </c>
      <c r="J182" s="4"/>
      <c r="K182">
        <f t="shared" si="13"/>
        <v>-2.2542990400327225</v>
      </c>
      <c r="M182">
        <f t="shared" si="14"/>
        <v>0.18651495706620833</v>
      </c>
      <c r="O182" s="2" t="s">
        <v>187</v>
      </c>
    </row>
    <row r="183" spans="1:15">
      <c r="A183">
        <v>181</v>
      </c>
      <c r="B183">
        <v>202</v>
      </c>
      <c r="C183">
        <v>497</v>
      </c>
      <c r="D183">
        <v>390</v>
      </c>
      <c r="E183">
        <v>559</v>
      </c>
      <c r="G183">
        <f t="shared" si="10"/>
        <v>-0.185018428456795</v>
      </c>
      <c r="H183">
        <f t="shared" si="11"/>
        <v>-0.16037378339981823</v>
      </c>
      <c r="I183">
        <f t="shared" si="12"/>
        <v>-1.3309566109000803E-2</v>
      </c>
      <c r="J183" s="4"/>
      <c r="K183">
        <f t="shared" si="13"/>
        <v>-0.11956725932187134</v>
      </c>
      <c r="M183">
        <f t="shared" si="14"/>
        <v>9.2843215463955561E-2</v>
      </c>
      <c r="O183" s="2" t="s">
        <v>188</v>
      </c>
    </row>
    <row r="184" spans="1:15">
      <c r="A184">
        <v>182</v>
      </c>
      <c r="B184">
        <v>397</v>
      </c>
      <c r="C184">
        <v>4</v>
      </c>
      <c r="D184">
        <v>1</v>
      </c>
      <c r="E184">
        <v>7</v>
      </c>
      <c r="G184">
        <f t="shared" si="10"/>
        <v>-2.572753963178656</v>
      </c>
      <c r="H184">
        <f t="shared" si="11"/>
        <v>-3.0448775277428091</v>
      </c>
      <c r="I184">
        <f t="shared" si="12"/>
        <v>-2.2090624712976585</v>
      </c>
      <c r="J184" s="4"/>
      <c r="K184">
        <f t="shared" si="13"/>
        <v>-2.6088979874063742</v>
      </c>
      <c r="M184">
        <f t="shared" si="14"/>
        <v>0.41907814904935636</v>
      </c>
      <c r="O184" s="2" t="s">
        <v>189</v>
      </c>
    </row>
    <row r="185" spans="1:15">
      <c r="A185">
        <v>183</v>
      </c>
      <c r="B185">
        <v>454</v>
      </c>
      <c r="C185">
        <v>5</v>
      </c>
      <c r="D185">
        <v>3</v>
      </c>
      <c r="E185">
        <v>3</v>
      </c>
      <c r="G185">
        <f t="shared" si="10"/>
        <v>-2.5341092962645884</v>
      </c>
      <c r="H185">
        <f t="shared" si="11"/>
        <v>-2.6260216191171351</v>
      </c>
      <c r="I185">
        <f t="shared" si="12"/>
        <v>-2.6353046026862419</v>
      </c>
      <c r="J185" s="4"/>
      <c r="K185">
        <f t="shared" si="13"/>
        <v>-2.598478506022655</v>
      </c>
      <c r="M185">
        <f t="shared" si="14"/>
        <v>5.5938267935685786E-2</v>
      </c>
      <c r="O185" s="2" t="s">
        <v>190</v>
      </c>
    </row>
    <row r="186" spans="1:15">
      <c r="A186">
        <v>184</v>
      </c>
      <c r="B186">
        <v>246</v>
      </c>
      <c r="C186">
        <v>1</v>
      </c>
      <c r="D186">
        <v>0</v>
      </c>
      <c r="E186">
        <v>5</v>
      </c>
      <c r="G186">
        <f t="shared" si="10"/>
        <v>-2.9669585548468822</v>
      </c>
      <c r="H186" t="e">
        <f t="shared" si="11"/>
        <v>#NUM!</v>
      </c>
      <c r="I186">
        <f t="shared" si="12"/>
        <v>-2.1473351073161604</v>
      </c>
      <c r="J186" s="4"/>
      <c r="K186" t="e">
        <f t="shared" si="13"/>
        <v>#NUM!</v>
      </c>
      <c r="M186" t="e">
        <f t="shared" si="14"/>
        <v>#NUM!</v>
      </c>
      <c r="O186" s="2" t="s">
        <v>191</v>
      </c>
    </row>
    <row r="187" spans="1:15">
      <c r="A187">
        <v>185</v>
      </c>
      <c r="B187">
        <v>359</v>
      </c>
      <c r="C187">
        <v>13</v>
      </c>
      <c r="D187">
        <v>9</v>
      </c>
      <c r="E187">
        <v>4</v>
      </c>
      <c r="G187">
        <f t="shared" si="10"/>
        <v>-2.0171745440149857</v>
      </c>
      <c r="H187">
        <f t="shared" si="11"/>
        <v>-2.046938960118688</v>
      </c>
      <c r="I187">
        <f t="shared" si="12"/>
        <v>-2.4084044617991571</v>
      </c>
      <c r="J187" s="4"/>
      <c r="K187">
        <f t="shared" si="13"/>
        <v>-2.1575059886442771</v>
      </c>
      <c r="M187">
        <f t="shared" si="14"/>
        <v>0.21779350998155608</v>
      </c>
      <c r="O187" s="2" t="s">
        <v>192</v>
      </c>
    </row>
    <row r="188" spans="1:15">
      <c r="A188">
        <v>186</v>
      </c>
      <c r="B188">
        <v>354</v>
      </c>
      <c r="C188">
        <v>4</v>
      </c>
      <c r="D188">
        <v>2</v>
      </c>
      <c r="E188">
        <v>3</v>
      </c>
      <c r="G188">
        <f t="shared" si="10"/>
        <v>-2.5229667184413289</v>
      </c>
      <c r="H188">
        <f t="shared" si="11"/>
        <v>-2.6940602873415003</v>
      </c>
      <c r="I188">
        <f t="shared" si="12"/>
        <v>-2.5272520118549258</v>
      </c>
      <c r="J188" s="4"/>
      <c r="K188">
        <f t="shared" si="13"/>
        <v>-2.5814263392125851</v>
      </c>
      <c r="M188">
        <f t="shared" si="14"/>
        <v>9.756739023997997E-2</v>
      </c>
      <c r="O188" s="2" t="s">
        <v>193</v>
      </c>
    </row>
    <row r="189" spans="1:15">
      <c r="A189">
        <v>187</v>
      </c>
      <c r="B189">
        <v>303</v>
      </c>
      <c r="C189">
        <v>6</v>
      </c>
      <c r="D189">
        <v>9</v>
      </c>
      <c r="E189">
        <v>6</v>
      </c>
      <c r="G189">
        <f t="shared" si="10"/>
        <v>-2.2793148258621647</v>
      </c>
      <c r="H189">
        <f t="shared" si="11"/>
        <v>-1.9732871400426739</v>
      </c>
      <c r="I189">
        <f t="shared" si="12"/>
        <v>-2.1586613826674617</v>
      </c>
      <c r="J189" s="4"/>
      <c r="K189">
        <f t="shared" si="13"/>
        <v>-2.1370877828574337</v>
      </c>
      <c r="M189">
        <f t="shared" si="14"/>
        <v>0.15415025552551212</v>
      </c>
      <c r="O189" s="2" t="s">
        <v>194</v>
      </c>
    </row>
    <row r="190" spans="1:15">
      <c r="A190">
        <v>188</v>
      </c>
      <c r="B190">
        <v>237</v>
      </c>
      <c r="C190">
        <v>2</v>
      </c>
      <c r="D190">
        <v>1</v>
      </c>
      <c r="E190">
        <v>3</v>
      </c>
      <c r="G190">
        <f t="shared" si="10"/>
        <v>-2.6497417980896261</v>
      </c>
      <c r="H190">
        <f t="shared" si="11"/>
        <v>-2.8208353669897974</v>
      </c>
      <c r="I190">
        <f t="shared" si="12"/>
        <v>-2.3529970958392417</v>
      </c>
      <c r="J190" s="4"/>
      <c r="K190">
        <f t="shared" si="13"/>
        <v>-2.6078580869728882</v>
      </c>
      <c r="M190">
        <f t="shared" si="14"/>
        <v>0.23671469310325455</v>
      </c>
      <c r="O190" s="2" t="s">
        <v>195</v>
      </c>
    </row>
    <row r="191" spans="1:15">
      <c r="A191">
        <v>189</v>
      </c>
      <c r="B191">
        <v>98</v>
      </c>
      <c r="C191">
        <v>4</v>
      </c>
      <c r="D191">
        <v>0</v>
      </c>
      <c r="E191">
        <v>6</v>
      </c>
      <c r="G191">
        <f t="shared" si="10"/>
        <v>-1.9651895321080359</v>
      </c>
      <c r="H191" t="e">
        <f t="shared" si="11"/>
        <v>#NUM!</v>
      </c>
      <c r="I191">
        <f t="shared" si="12"/>
        <v>-1.6684448298576515</v>
      </c>
      <c r="J191" s="4"/>
      <c r="K191" t="e">
        <f t="shared" si="13"/>
        <v>#NUM!</v>
      </c>
      <c r="M191" t="e">
        <f t="shared" si="14"/>
        <v>#NUM!</v>
      </c>
      <c r="O191" s="2" t="s">
        <v>196</v>
      </c>
    </row>
    <row r="192" spans="1:15">
      <c r="A192">
        <v>190</v>
      </c>
      <c r="B192">
        <v>113</v>
      </c>
      <c r="C192">
        <v>533</v>
      </c>
      <c r="D192">
        <v>357</v>
      </c>
      <c r="E192">
        <v>484</v>
      </c>
      <c r="G192">
        <f t="shared" si="10"/>
        <v>9.7625317799649114E-2</v>
      </c>
      <c r="H192">
        <f t="shared" si="11"/>
        <v>5.3502751649079805E-2</v>
      </c>
      <c r="I192">
        <f t="shared" si="12"/>
        <v>0.17639691361219256</v>
      </c>
      <c r="J192" s="4"/>
      <c r="K192">
        <f t="shared" si="13"/>
        <v>0.10917499435364049</v>
      </c>
      <c r="M192">
        <f t="shared" si="14"/>
        <v>6.2255843360525705E-2</v>
      </c>
      <c r="O192" s="2" t="s">
        <v>197</v>
      </c>
    </row>
    <row r="193" spans="1:15">
      <c r="A193">
        <v>191</v>
      </c>
      <c r="B193">
        <v>471</v>
      </c>
      <c r="C193">
        <v>4267</v>
      </c>
      <c r="D193">
        <v>3961</v>
      </c>
      <c r="E193">
        <v>4669</v>
      </c>
      <c r="G193">
        <f t="shared" si="10"/>
        <v>0.38107828798691257</v>
      </c>
      <c r="H193">
        <f t="shared" si="11"/>
        <v>0.47869691429570305</v>
      </c>
      <c r="I193">
        <f t="shared" si="12"/>
        <v>0.54083296225310939</v>
      </c>
      <c r="J193" s="4"/>
      <c r="K193">
        <f t="shared" si="13"/>
        <v>0.46686938817857504</v>
      </c>
      <c r="M193">
        <f t="shared" si="14"/>
        <v>8.0531402372075123E-2</v>
      </c>
      <c r="O193" s="2" t="s">
        <v>198</v>
      </c>
    </row>
    <row r="194" spans="1:15">
      <c r="A194">
        <v>192</v>
      </c>
      <c r="B194">
        <v>363</v>
      </c>
      <c r="C194">
        <v>2</v>
      </c>
      <c r="D194">
        <v>6</v>
      </c>
      <c r="E194">
        <v>11</v>
      </c>
      <c r="G194">
        <f t="shared" ref="G194:G257" si="15">LOG10(C194/B194)-LOG10(437/116)</f>
        <v>-2.8349000771156345</v>
      </c>
      <c r="H194">
        <f t="shared" ref="H194:H257" si="16">LOG10(D194/B194)-LOG10(324/116)</f>
        <v>-2.2278423956321625</v>
      </c>
      <c r="I194">
        <f t="shared" ref="I194:I257" si="17">LOG10(E194/B194)-LOG10(331/116)</f>
        <v>-1.9738839444266878</v>
      </c>
      <c r="J194" s="4"/>
      <c r="K194">
        <f t="shared" ref="K194:K257" si="18">AVERAGE(G194:I194)</f>
        <v>-2.3455421390581614</v>
      </c>
      <c r="M194">
        <f t="shared" ref="M194:M257" si="19">STDEV(G194:I194)</f>
        <v>0.4424105755851343</v>
      </c>
      <c r="O194" s="2" t="s">
        <v>199</v>
      </c>
    </row>
    <row r="195" spans="1:15">
      <c r="A195">
        <v>193</v>
      </c>
      <c r="B195">
        <v>244</v>
      </c>
      <c r="C195">
        <v>2</v>
      </c>
      <c r="D195">
        <v>2</v>
      </c>
      <c r="E195">
        <v>2</v>
      </c>
      <c r="G195">
        <f t="shared" si="15"/>
        <v>-2.6623832784182517</v>
      </c>
      <c r="H195">
        <f t="shared" si="16"/>
        <v>-2.5324468516544423</v>
      </c>
      <c r="I195">
        <f t="shared" si="17"/>
        <v>-2.5417298352235487</v>
      </c>
      <c r="J195" s="4"/>
      <c r="K195">
        <f t="shared" si="18"/>
        <v>-2.5788533217654144</v>
      </c>
      <c r="M195">
        <f t="shared" si="19"/>
        <v>7.2487817526842122E-2</v>
      </c>
      <c r="O195" s="2" t="s">
        <v>200</v>
      </c>
    </row>
    <row r="196" spans="1:15">
      <c r="A196">
        <v>194</v>
      </c>
      <c r="B196">
        <v>95</v>
      </c>
      <c r="C196">
        <v>174</v>
      </c>
      <c r="D196">
        <v>150</v>
      </c>
      <c r="E196">
        <v>196</v>
      </c>
      <c r="G196">
        <f t="shared" si="15"/>
        <v>-0.3131978047497514</v>
      </c>
      <c r="H196">
        <f t="shared" si="16"/>
        <v>-0.24771936721286017</v>
      </c>
      <c r="I196">
        <f t="shared" si="17"/>
        <v>-0.14083753848117198</v>
      </c>
      <c r="J196" s="4"/>
      <c r="K196">
        <f t="shared" si="18"/>
        <v>-0.23391823681459453</v>
      </c>
      <c r="M196">
        <f t="shared" si="19"/>
        <v>8.700499265700995E-2</v>
      </c>
      <c r="O196" s="2" t="s">
        <v>201</v>
      </c>
    </row>
    <row r="197" spans="1:15">
      <c r="A197">
        <v>195</v>
      </c>
      <c r="B197">
        <v>107</v>
      </c>
      <c r="C197">
        <v>2</v>
      </c>
      <c r="D197">
        <v>3</v>
      </c>
      <c r="E197">
        <v>1</v>
      </c>
      <c r="G197">
        <f t="shared" si="15"/>
        <v>-2.3043772297647318</v>
      </c>
      <c r="H197">
        <f t="shared" si="16"/>
        <v>-1.9983495439452408</v>
      </c>
      <c r="I197">
        <f t="shared" si="17"/>
        <v>-2.48475378223401</v>
      </c>
      <c r="J197" s="4"/>
      <c r="K197">
        <f t="shared" si="18"/>
        <v>-2.2624935186479944</v>
      </c>
      <c r="M197">
        <f t="shared" si="19"/>
        <v>0.24589216071075182</v>
      </c>
      <c r="O197" s="2" t="s">
        <v>202</v>
      </c>
    </row>
    <row r="198" spans="1:15">
      <c r="A198">
        <v>196</v>
      </c>
      <c r="B198">
        <v>183</v>
      </c>
      <c r="C198">
        <v>3</v>
      </c>
      <c r="D198">
        <v>5</v>
      </c>
      <c r="E198">
        <v>1</v>
      </c>
      <c r="G198">
        <f t="shared" si="15"/>
        <v>-2.36135328275427</v>
      </c>
      <c r="H198">
        <f t="shared" si="16"/>
        <v>-2.0095681063741044</v>
      </c>
      <c r="I198">
        <f t="shared" si="17"/>
        <v>-2.7178210942792296</v>
      </c>
      <c r="J198" s="4"/>
      <c r="K198">
        <f t="shared" si="18"/>
        <v>-2.3629141611358682</v>
      </c>
      <c r="M198">
        <f t="shared" si="19"/>
        <v>0.35412907389132042</v>
      </c>
      <c r="O198" s="2" t="s">
        <v>203</v>
      </c>
    </row>
    <row r="199" spans="1:15">
      <c r="A199">
        <v>197</v>
      </c>
      <c r="B199">
        <v>143</v>
      </c>
      <c r="C199">
        <v>1253</v>
      </c>
      <c r="D199">
        <v>835</v>
      </c>
      <c r="E199">
        <v>1703</v>
      </c>
      <c r="G199">
        <f t="shared" si="15"/>
        <v>0.36659158578558482</v>
      </c>
      <c r="H199">
        <f t="shared" si="16"/>
        <v>0.32026341703884664</v>
      </c>
      <c r="I199">
        <f t="shared" si="17"/>
        <v>0.62050860594873902</v>
      </c>
      <c r="J199" s="4"/>
      <c r="K199">
        <f t="shared" si="18"/>
        <v>0.43578786959105686</v>
      </c>
      <c r="M199">
        <f t="shared" si="19"/>
        <v>0.16164123123525698</v>
      </c>
      <c r="O199" s="2" t="s">
        <v>204</v>
      </c>
    </row>
    <row r="200" spans="1:15">
      <c r="A200">
        <v>198</v>
      </c>
      <c r="B200">
        <v>91</v>
      </c>
      <c r="C200">
        <v>269</v>
      </c>
      <c r="D200">
        <v>255</v>
      </c>
      <c r="E200">
        <v>224</v>
      </c>
      <c r="G200">
        <f t="shared" si="15"/>
        <v>-0.10531256006218892</v>
      </c>
      <c r="H200">
        <f t="shared" si="16"/>
        <v>1.4117671331678738E-3</v>
      </c>
      <c r="I200">
        <f t="shared" si="17"/>
        <v>-6.4163378535731064E-2</v>
      </c>
      <c r="J200" s="4"/>
      <c r="K200">
        <f t="shared" si="18"/>
        <v>-5.6021390488250701E-2</v>
      </c>
      <c r="M200">
        <f t="shared" si="19"/>
        <v>5.3826011192074953E-2</v>
      </c>
      <c r="O200" s="2" t="s">
        <v>205</v>
      </c>
    </row>
    <row r="201" spans="1:15">
      <c r="A201">
        <v>199</v>
      </c>
      <c r="B201">
        <v>549</v>
      </c>
      <c r="C201">
        <v>5</v>
      </c>
      <c r="D201">
        <v>7</v>
      </c>
      <c r="E201">
        <v>7</v>
      </c>
      <c r="G201">
        <f t="shared" si="15"/>
        <v>-2.6166257878575765</v>
      </c>
      <c r="H201">
        <f t="shared" si="16"/>
        <v>-2.3405613254155284</v>
      </c>
      <c r="I201">
        <f t="shared" si="17"/>
        <v>-2.3498443089846353</v>
      </c>
      <c r="J201" s="4"/>
      <c r="K201">
        <f t="shared" si="18"/>
        <v>-2.4356771407525799</v>
      </c>
      <c r="M201">
        <f t="shared" si="19"/>
        <v>0.15677484847013082</v>
      </c>
      <c r="O201" s="2" t="s">
        <v>206</v>
      </c>
    </row>
    <row r="202" spans="1:15">
      <c r="A202">
        <v>200</v>
      </c>
      <c r="B202">
        <v>119</v>
      </c>
      <c r="C202">
        <v>1092</v>
      </c>
      <c r="D202">
        <v>962</v>
      </c>
      <c r="E202">
        <v>924</v>
      </c>
      <c r="G202">
        <f t="shared" si="15"/>
        <v>0.38665222923268427</v>
      </c>
      <c r="H202">
        <f t="shared" si="16"/>
        <v>0.46154108966558849</v>
      </c>
      <c r="I202">
        <f t="shared" si="17"/>
        <v>0.43475500527877564</v>
      </c>
      <c r="J202" s="4"/>
      <c r="K202">
        <f t="shared" si="18"/>
        <v>0.42764944139234951</v>
      </c>
      <c r="M202">
        <f t="shared" si="19"/>
        <v>3.7946701211604872E-2</v>
      </c>
      <c r="O202" s="2" t="s">
        <v>207</v>
      </c>
    </row>
    <row r="203" spans="1:15">
      <c r="A203">
        <v>201</v>
      </c>
      <c r="B203">
        <v>117</v>
      </c>
      <c r="C203">
        <v>3</v>
      </c>
      <c r="D203">
        <v>3</v>
      </c>
      <c r="E203">
        <v>1</v>
      </c>
      <c r="G203">
        <f t="shared" si="15"/>
        <v>-2.1670880547700024</v>
      </c>
      <c r="H203">
        <f t="shared" si="16"/>
        <v>-2.037151628006193</v>
      </c>
      <c r="I203">
        <f t="shared" si="17"/>
        <v>-2.523555866294962</v>
      </c>
      <c r="J203" s="4"/>
      <c r="K203">
        <f t="shared" si="18"/>
        <v>-2.2425985163570528</v>
      </c>
      <c r="M203">
        <f t="shared" si="19"/>
        <v>0.25184051126285545</v>
      </c>
      <c r="O203" s="2" t="s">
        <v>208</v>
      </c>
    </row>
    <row r="204" spans="1:15">
      <c r="A204">
        <v>202</v>
      </c>
      <c r="B204">
        <v>130</v>
      </c>
      <c r="C204">
        <v>1</v>
      </c>
      <c r="D204">
        <v>2</v>
      </c>
      <c r="E204">
        <v>4</v>
      </c>
      <c r="G204">
        <f t="shared" si="15"/>
        <v>-2.6899668000503403</v>
      </c>
      <c r="H204">
        <f t="shared" si="16"/>
        <v>-2.2590003776225491</v>
      </c>
      <c r="I204">
        <f t="shared" si="17"/>
        <v>-1.9672533655276747</v>
      </c>
      <c r="J204" s="4"/>
      <c r="K204">
        <f t="shared" si="18"/>
        <v>-2.3054068477335217</v>
      </c>
      <c r="M204">
        <f t="shared" si="19"/>
        <v>0.36358471840962492</v>
      </c>
      <c r="O204" s="2" t="s">
        <v>209</v>
      </c>
    </row>
    <row r="205" spans="1:15">
      <c r="A205">
        <v>203</v>
      </c>
      <c r="B205">
        <v>186</v>
      </c>
      <c r="C205">
        <v>1</v>
      </c>
      <c r="D205">
        <v>4</v>
      </c>
      <c r="E205">
        <v>0</v>
      </c>
      <c r="G205">
        <f t="shared" si="15"/>
        <v>-2.8455363919614198</v>
      </c>
      <c r="H205">
        <f t="shared" si="16"/>
        <v>-2.1135399738696474</v>
      </c>
      <c r="I205" t="e">
        <f t="shared" si="17"/>
        <v>#NUM!</v>
      </c>
      <c r="J205" s="4"/>
      <c r="K205" t="e">
        <f t="shared" si="18"/>
        <v>#NUM!</v>
      </c>
      <c r="M205" t="e">
        <f t="shared" si="19"/>
        <v>#NUM!</v>
      </c>
      <c r="O205" s="2" t="s">
        <v>210</v>
      </c>
    </row>
    <row r="206" spans="1:15">
      <c r="A206">
        <v>204</v>
      </c>
      <c r="B206">
        <v>164</v>
      </c>
      <c r="C206">
        <v>1</v>
      </c>
      <c r="D206">
        <v>1</v>
      </c>
      <c r="E206">
        <v>4</v>
      </c>
      <c r="G206">
        <f t="shared" si="15"/>
        <v>-2.7908672957912013</v>
      </c>
      <c r="H206">
        <f t="shared" si="16"/>
        <v>-2.6609308690273918</v>
      </c>
      <c r="I206">
        <f t="shared" si="17"/>
        <v>-2.0681538612685357</v>
      </c>
      <c r="J206" s="4"/>
      <c r="K206">
        <f t="shared" si="18"/>
        <v>-2.5066506753623763</v>
      </c>
      <c r="M206">
        <f t="shared" si="19"/>
        <v>0.38526673971142777</v>
      </c>
      <c r="O206" s="2" t="s">
        <v>211</v>
      </c>
    </row>
    <row r="207" spans="1:15">
      <c r="A207">
        <v>205</v>
      </c>
      <c r="B207">
        <v>97</v>
      </c>
      <c r="C207">
        <v>1414</v>
      </c>
      <c r="D207">
        <v>1484</v>
      </c>
      <c r="E207">
        <v>1614</v>
      </c>
      <c r="G207">
        <f t="shared" si="15"/>
        <v>0.58765422745113249</v>
      </c>
      <c r="H207">
        <f t="shared" si="16"/>
        <v>0.73857514569706972</v>
      </c>
      <c r="I207">
        <f t="shared" si="17"/>
        <v>0.76576179157100643</v>
      </c>
      <c r="J207" s="4"/>
      <c r="K207">
        <f t="shared" si="18"/>
        <v>0.69733038823973625</v>
      </c>
      <c r="M207">
        <f t="shared" si="19"/>
        <v>9.5950110017990531E-2</v>
      </c>
      <c r="O207" s="2" t="s">
        <v>212</v>
      </c>
    </row>
    <row r="208" spans="1:15">
      <c r="A208">
        <v>206</v>
      </c>
      <c r="B208">
        <v>185</v>
      </c>
      <c r="C208">
        <v>9</v>
      </c>
      <c r="D208">
        <v>1</v>
      </c>
      <c r="E208">
        <v>2</v>
      </c>
      <c r="G208">
        <f t="shared" si="15"/>
        <v>-1.8889526667071923</v>
      </c>
      <c r="H208">
        <f t="shared" si="16"/>
        <v>-2.7132587493827076</v>
      </c>
      <c r="I208">
        <f t="shared" si="17"/>
        <v>-2.4215117372878328</v>
      </c>
      <c r="J208" s="4"/>
      <c r="K208">
        <f t="shared" si="18"/>
        <v>-2.3412410511259107</v>
      </c>
      <c r="M208">
        <f t="shared" si="19"/>
        <v>0.41797448101127477</v>
      </c>
      <c r="O208" s="2" t="s">
        <v>213</v>
      </c>
    </row>
    <row r="209" spans="1:15">
      <c r="A209">
        <v>207</v>
      </c>
      <c r="B209">
        <v>591</v>
      </c>
      <c r="C209">
        <v>12</v>
      </c>
      <c r="D209">
        <v>5</v>
      </c>
      <c r="E209">
        <v>11</v>
      </c>
      <c r="G209">
        <f t="shared" si="15"/>
        <v>-2.2684296825771337</v>
      </c>
      <c r="H209">
        <f t="shared" si="16"/>
        <v>-2.5187044975249302</v>
      </c>
      <c r="I209">
        <f t="shared" si="17"/>
        <v>-2.1855648002718304</v>
      </c>
      <c r="J209" s="4"/>
      <c r="K209">
        <f t="shared" si="18"/>
        <v>-2.3242329934579646</v>
      </c>
      <c r="M209">
        <f t="shared" si="19"/>
        <v>0.17343881226651303</v>
      </c>
      <c r="O209" s="2" t="s">
        <v>214</v>
      </c>
    </row>
    <row r="210" spans="1:15">
      <c r="A210">
        <v>208</v>
      </c>
      <c r="B210">
        <v>169</v>
      </c>
      <c r="C210">
        <v>2</v>
      </c>
      <c r="D210">
        <v>1</v>
      </c>
      <c r="E210">
        <v>2</v>
      </c>
      <c r="G210">
        <f t="shared" si="15"/>
        <v>-2.5028801566931955</v>
      </c>
      <c r="H210">
        <f t="shared" si="16"/>
        <v>-2.6739737255933669</v>
      </c>
      <c r="I210">
        <f t="shared" si="17"/>
        <v>-2.3822267134984925</v>
      </c>
      <c r="J210" s="4"/>
      <c r="K210">
        <f t="shared" si="18"/>
        <v>-2.5196935319283518</v>
      </c>
      <c r="M210">
        <f t="shared" si="19"/>
        <v>0.14659842071683557</v>
      </c>
      <c r="O210" s="2" t="s">
        <v>215</v>
      </c>
    </row>
    <row r="211" spans="1:15">
      <c r="A211">
        <v>209</v>
      </c>
      <c r="B211">
        <v>48</v>
      </c>
      <c r="C211">
        <v>0</v>
      </c>
      <c r="D211">
        <v>0</v>
      </c>
      <c r="E211">
        <v>0</v>
      </c>
      <c r="G211" t="e">
        <f t="shared" si="15"/>
        <v>#NUM!</v>
      </c>
      <c r="H211" t="e">
        <f t="shared" si="16"/>
        <v>#NUM!</v>
      </c>
      <c r="I211" t="e">
        <f t="shared" si="17"/>
        <v>#NUM!</v>
      </c>
      <c r="J211" s="4"/>
      <c r="K211" t="e">
        <f t="shared" si="18"/>
        <v>#NUM!</v>
      </c>
      <c r="M211" t="e">
        <f t="shared" si="19"/>
        <v>#NUM!</v>
      </c>
      <c r="O211" s="2" t="s">
        <v>216</v>
      </c>
    </row>
    <row r="212" spans="1:15">
      <c r="A212">
        <v>210</v>
      </c>
      <c r="B212">
        <v>48</v>
      </c>
      <c r="C212">
        <v>0</v>
      </c>
      <c r="D212">
        <v>1</v>
      </c>
      <c r="E212">
        <v>1</v>
      </c>
      <c r="G212" t="e">
        <f t="shared" si="15"/>
        <v>#NUM!</v>
      </c>
      <c r="H212">
        <f t="shared" si="16"/>
        <v>-2.1273282583552806</v>
      </c>
      <c r="I212">
        <f t="shared" si="17"/>
        <v>-2.1366112419243874</v>
      </c>
      <c r="J212" s="4"/>
      <c r="K212" t="e">
        <f t="shared" si="18"/>
        <v>#NUM!</v>
      </c>
      <c r="M212" t="e">
        <f t="shared" si="19"/>
        <v>#NUM!</v>
      </c>
      <c r="O212" s="2" t="s">
        <v>217</v>
      </c>
    </row>
    <row r="213" spans="1:15">
      <c r="A213">
        <v>211</v>
      </c>
      <c r="B213">
        <v>122</v>
      </c>
      <c r="C213">
        <v>693</v>
      </c>
      <c r="D213">
        <v>626</v>
      </c>
      <c r="E213">
        <v>591</v>
      </c>
      <c r="G213">
        <f t="shared" si="15"/>
        <v>0.1783499561935552</v>
      </c>
      <c r="H213">
        <f t="shared" si="16"/>
        <v>0.26412748155598775</v>
      </c>
      <c r="I213">
        <f t="shared" si="17"/>
        <v>0.22985764565770683</v>
      </c>
      <c r="J213" s="4"/>
      <c r="K213">
        <f t="shared" si="18"/>
        <v>0.22411169446908327</v>
      </c>
      <c r="M213">
        <f t="shared" si="19"/>
        <v>4.3176474272712734E-2</v>
      </c>
      <c r="O213" s="2" t="s">
        <v>218</v>
      </c>
    </row>
    <row r="214" spans="1:15">
      <c r="A214">
        <v>212</v>
      </c>
      <c r="B214">
        <v>131</v>
      </c>
      <c r="C214">
        <v>1700</v>
      </c>
      <c r="D214">
        <v>3665</v>
      </c>
      <c r="E214">
        <v>1399</v>
      </c>
      <c r="G214">
        <f t="shared" si="15"/>
        <v>0.53715417797900633</v>
      </c>
      <c r="H214">
        <f t="shared" si="16"/>
        <v>1.0007156623416888</v>
      </c>
      <c r="I214">
        <f t="shared" si="17"/>
        <v>0.57317641428726307</v>
      </c>
      <c r="J214" s="4"/>
      <c r="K214">
        <f t="shared" si="18"/>
        <v>0.70368208486931938</v>
      </c>
      <c r="M214">
        <f t="shared" si="19"/>
        <v>0.25786839664194489</v>
      </c>
      <c r="O214" s="2" t="s">
        <v>219</v>
      </c>
    </row>
    <row r="215" spans="1:15">
      <c r="A215">
        <v>213</v>
      </c>
      <c r="B215">
        <v>129</v>
      </c>
      <c r="C215">
        <v>345</v>
      </c>
      <c r="D215">
        <v>238</v>
      </c>
      <c r="E215">
        <v>259</v>
      </c>
      <c r="G215">
        <f t="shared" si="15"/>
        <v>-0.14879406296947822</v>
      </c>
      <c r="H215">
        <f t="shared" si="16"/>
        <v>-0.18009977422243068</v>
      </c>
      <c r="I215">
        <f t="shared" si="17"/>
        <v>-0.15265995076679739</v>
      </c>
      <c r="J215" s="4"/>
      <c r="K215">
        <f t="shared" si="18"/>
        <v>-0.16051792931956876</v>
      </c>
      <c r="M215">
        <f t="shared" si="19"/>
        <v>1.7068179734967919E-2</v>
      </c>
      <c r="O215" s="2" t="s">
        <v>220</v>
      </c>
    </row>
    <row r="216" spans="1:15">
      <c r="A216">
        <v>214</v>
      </c>
      <c r="B216">
        <v>202</v>
      </c>
      <c r="C216">
        <v>3</v>
      </c>
      <c r="D216">
        <v>6</v>
      </c>
      <c r="E216">
        <v>2</v>
      </c>
      <c r="G216">
        <f t="shared" si="15"/>
        <v>-2.4042535624704646</v>
      </c>
      <c r="H216">
        <f t="shared" si="16"/>
        <v>-1.9732871400426739</v>
      </c>
      <c r="I216">
        <f t="shared" si="17"/>
        <v>-2.4596913783314429</v>
      </c>
      <c r="J216" s="4"/>
      <c r="K216">
        <f t="shared" si="18"/>
        <v>-2.2790773602815273</v>
      </c>
      <c r="M216">
        <f t="shared" si="19"/>
        <v>0.26626881520777779</v>
      </c>
      <c r="O216" s="2" t="s">
        <v>221</v>
      </c>
    </row>
    <row r="217" spans="1:15">
      <c r="A217">
        <v>215</v>
      </c>
      <c r="B217">
        <v>389</v>
      </c>
      <c r="C217">
        <v>2</v>
      </c>
      <c r="D217">
        <v>6</v>
      </c>
      <c r="E217">
        <v>2</v>
      </c>
      <c r="G217">
        <f t="shared" si="15"/>
        <v>-2.8649430534052298</v>
      </c>
      <c r="H217">
        <f t="shared" si="16"/>
        <v>-2.2578853719217578</v>
      </c>
      <c r="I217">
        <f t="shared" si="17"/>
        <v>-2.7442896102105268</v>
      </c>
      <c r="J217" s="4"/>
      <c r="K217">
        <f t="shared" si="18"/>
        <v>-2.6223726785125048</v>
      </c>
      <c r="M217">
        <f t="shared" si="19"/>
        <v>0.32136826358247833</v>
      </c>
      <c r="O217" s="2" t="s">
        <v>222</v>
      </c>
    </row>
    <row r="218" spans="1:15">
      <c r="A218">
        <v>216</v>
      </c>
      <c r="B218">
        <v>183</v>
      </c>
      <c r="C218">
        <v>2</v>
      </c>
      <c r="D218">
        <v>2</v>
      </c>
      <c r="E218">
        <v>2</v>
      </c>
      <c r="G218">
        <f t="shared" si="15"/>
        <v>-2.5374445418099514</v>
      </c>
      <c r="H218">
        <f t="shared" si="16"/>
        <v>-2.4075081150461419</v>
      </c>
      <c r="I218">
        <f t="shared" si="17"/>
        <v>-2.4167910986152483</v>
      </c>
      <c r="J218" s="4"/>
      <c r="K218">
        <f t="shared" si="18"/>
        <v>-2.453914585157114</v>
      </c>
      <c r="M218">
        <f t="shared" si="19"/>
        <v>7.2487817526842122E-2</v>
      </c>
      <c r="O218" s="2" t="s">
        <v>223</v>
      </c>
    </row>
    <row r="219" spans="1:15">
      <c r="A219">
        <v>217</v>
      </c>
      <c r="B219">
        <v>273</v>
      </c>
      <c r="C219">
        <v>5</v>
      </c>
      <c r="D219">
        <v>1</v>
      </c>
      <c r="E219">
        <v>4</v>
      </c>
      <c r="G219">
        <f t="shared" si="15"/>
        <v>-2.3132160904482406</v>
      </c>
      <c r="H219">
        <f t="shared" si="16"/>
        <v>-2.8822496680204495</v>
      </c>
      <c r="I219">
        <f t="shared" si="17"/>
        <v>-2.2894726602615938</v>
      </c>
      <c r="J219" s="4"/>
      <c r="K219">
        <f t="shared" si="18"/>
        <v>-2.4949794729100945</v>
      </c>
      <c r="M219">
        <f t="shared" si="19"/>
        <v>0.33559587398367624</v>
      </c>
      <c r="O219" s="2" t="s">
        <v>224</v>
      </c>
    </row>
    <row r="220" spans="1:15">
      <c r="A220">
        <v>218</v>
      </c>
      <c r="B220">
        <v>65</v>
      </c>
      <c r="C220">
        <v>0</v>
      </c>
      <c r="D220">
        <v>0</v>
      </c>
      <c r="E220">
        <v>2</v>
      </c>
      <c r="G220" t="e">
        <f t="shared" si="15"/>
        <v>#NUM!</v>
      </c>
      <c r="H220" t="e">
        <f t="shared" si="16"/>
        <v>#NUM!</v>
      </c>
      <c r="I220">
        <f t="shared" si="17"/>
        <v>-1.9672533655276747</v>
      </c>
      <c r="J220" s="4"/>
      <c r="K220" t="e">
        <f t="shared" si="18"/>
        <v>#NUM!</v>
      </c>
      <c r="M220" t="e">
        <f t="shared" si="19"/>
        <v>#NUM!</v>
      </c>
      <c r="O220" s="2" t="s">
        <v>225</v>
      </c>
    </row>
    <row r="221" spans="1:15">
      <c r="A221">
        <v>219</v>
      </c>
      <c r="B221">
        <v>95</v>
      </c>
      <c r="C221">
        <v>0</v>
      </c>
      <c r="D221">
        <v>1</v>
      </c>
      <c r="E221">
        <v>2</v>
      </c>
      <c r="G221" t="e">
        <f t="shared" si="15"/>
        <v>#NUM!</v>
      </c>
      <c r="H221">
        <f t="shared" si="16"/>
        <v>-2.4238106262685415</v>
      </c>
      <c r="I221">
        <f t="shared" si="17"/>
        <v>-2.1320636141736671</v>
      </c>
      <c r="J221" s="4"/>
      <c r="K221" t="e">
        <f t="shared" si="18"/>
        <v>#NUM!</v>
      </c>
      <c r="M221" t="e">
        <f t="shared" si="19"/>
        <v>#NUM!</v>
      </c>
      <c r="O221" s="2" t="s">
        <v>226</v>
      </c>
    </row>
    <row r="222" spans="1:15">
      <c r="A222">
        <v>220</v>
      </c>
      <c r="B222">
        <v>188</v>
      </c>
      <c r="C222">
        <v>4</v>
      </c>
      <c r="D222">
        <v>2</v>
      </c>
      <c r="E222">
        <v>7</v>
      </c>
      <c r="G222">
        <f t="shared" si="15"/>
        <v>-2.2481213056792209</v>
      </c>
      <c r="H222">
        <f t="shared" si="16"/>
        <v>-2.4192148745793922</v>
      </c>
      <c r="I222">
        <f t="shared" si="17"/>
        <v>-1.8844298137982234</v>
      </c>
      <c r="J222" s="4"/>
      <c r="K222">
        <f t="shared" si="18"/>
        <v>-2.1839219980189455</v>
      </c>
      <c r="M222">
        <f t="shared" si="19"/>
        <v>0.2731115681122358</v>
      </c>
      <c r="O222" s="2" t="s">
        <v>227</v>
      </c>
    </row>
    <row r="223" spans="1:15">
      <c r="A223">
        <v>221</v>
      </c>
      <c r="B223">
        <v>30</v>
      </c>
      <c r="C223">
        <v>0</v>
      </c>
      <c r="D223">
        <v>0</v>
      </c>
      <c r="E223">
        <v>1</v>
      </c>
      <c r="G223" t="e">
        <f t="shared" si="15"/>
        <v>#NUM!</v>
      </c>
      <c r="H223" t="e">
        <f t="shared" si="16"/>
        <v>#NUM!</v>
      </c>
      <c r="I223">
        <f t="shared" si="17"/>
        <v>-1.9324912592684627</v>
      </c>
      <c r="J223" s="4"/>
      <c r="K223" t="e">
        <f t="shared" si="18"/>
        <v>#NUM!</v>
      </c>
      <c r="M223" t="e">
        <f t="shared" si="19"/>
        <v>#NUM!</v>
      </c>
      <c r="O223" s="2" t="s">
        <v>228</v>
      </c>
    </row>
    <row r="224" spans="1:15">
      <c r="A224">
        <v>222</v>
      </c>
      <c r="B224">
        <v>151</v>
      </c>
      <c r="C224">
        <v>2</v>
      </c>
      <c r="D224">
        <v>0</v>
      </c>
      <c r="E224">
        <v>0</v>
      </c>
      <c r="G224">
        <f t="shared" si="15"/>
        <v>-2.4539703993726913</v>
      </c>
      <c r="H224" t="e">
        <f t="shared" si="16"/>
        <v>#NUM!</v>
      </c>
      <c r="I224" t="e">
        <f t="shared" si="17"/>
        <v>#NUM!</v>
      </c>
      <c r="J224" s="4"/>
      <c r="K224" t="e">
        <f t="shared" si="18"/>
        <v>#NUM!</v>
      </c>
      <c r="M224" t="e">
        <f t="shared" si="19"/>
        <v>#NUM!</v>
      </c>
      <c r="O224" s="2" t="s">
        <v>229</v>
      </c>
    </row>
    <row r="225" spans="1:15">
      <c r="A225">
        <v>223</v>
      </c>
      <c r="B225">
        <v>484</v>
      </c>
      <c r="C225">
        <v>4</v>
      </c>
      <c r="D225">
        <v>1</v>
      </c>
      <c r="E225">
        <v>7</v>
      </c>
      <c r="G225">
        <f t="shared" si="15"/>
        <v>-2.6588088180599536</v>
      </c>
      <c r="H225">
        <f t="shared" si="16"/>
        <v>-3.1309323826241062</v>
      </c>
      <c r="I225">
        <f t="shared" si="17"/>
        <v>-2.2951173261789561</v>
      </c>
      <c r="J225" s="4"/>
      <c r="K225">
        <f t="shared" si="18"/>
        <v>-2.6949528422876718</v>
      </c>
      <c r="M225">
        <f t="shared" si="19"/>
        <v>0.41907814904935214</v>
      </c>
      <c r="O225" s="2" t="s">
        <v>230</v>
      </c>
    </row>
    <row r="226" spans="1:15">
      <c r="A226">
        <v>224</v>
      </c>
      <c r="B226">
        <v>85</v>
      </c>
      <c r="C226">
        <v>12</v>
      </c>
      <c r="D226">
        <v>10</v>
      </c>
      <c r="E226">
        <v>5</v>
      </c>
      <c r="G226">
        <f t="shared" si="15"/>
        <v>-1.4262611274101713</v>
      </c>
      <c r="H226">
        <f t="shared" si="16"/>
        <v>-1.3755059466939863</v>
      </c>
      <c r="I226">
        <f t="shared" si="17"/>
        <v>-1.6858189259270742</v>
      </c>
      <c r="J226" s="4"/>
      <c r="K226">
        <f t="shared" si="18"/>
        <v>-1.4958620000104104</v>
      </c>
      <c r="M226">
        <f t="shared" si="19"/>
        <v>0.1664534390457727</v>
      </c>
      <c r="O226" s="2" t="s">
        <v>231</v>
      </c>
    </row>
    <row r="227" spans="1:15">
      <c r="A227">
        <v>225</v>
      </c>
      <c r="B227">
        <v>292</v>
      </c>
      <c r="C227">
        <v>2</v>
      </c>
      <c r="D227">
        <v>2</v>
      </c>
      <c r="E227">
        <v>3</v>
      </c>
      <c r="G227">
        <f t="shared" si="15"/>
        <v>-2.7403763035279405</v>
      </c>
      <c r="H227">
        <f t="shared" si="16"/>
        <v>-2.610439876764131</v>
      </c>
      <c r="I227">
        <f t="shared" si="17"/>
        <v>-2.4436316012775561</v>
      </c>
      <c r="J227" s="4"/>
      <c r="K227">
        <f t="shared" si="18"/>
        <v>-2.598149260523209</v>
      </c>
      <c r="M227">
        <f t="shared" si="19"/>
        <v>0.14875365210341401</v>
      </c>
      <c r="O227" s="2" t="s">
        <v>232</v>
      </c>
    </row>
    <row r="228" spans="1:15">
      <c r="A228">
        <v>226</v>
      </c>
      <c r="B228">
        <v>292</v>
      </c>
      <c r="C228">
        <v>2641</v>
      </c>
      <c r="D228">
        <v>2065</v>
      </c>
      <c r="E228">
        <v>2467</v>
      </c>
      <c r="G228">
        <f t="shared" si="15"/>
        <v>0.38036210201500242</v>
      </c>
      <c r="H228">
        <f t="shared" si="16"/>
        <v>0.40345018356430784</v>
      </c>
      <c r="I228">
        <f t="shared" si="17"/>
        <v>0.47141629349251746</v>
      </c>
      <c r="J228" s="4"/>
      <c r="K228">
        <f t="shared" si="18"/>
        <v>0.41840952635727585</v>
      </c>
      <c r="M228">
        <f t="shared" si="19"/>
        <v>4.733447896622648E-2</v>
      </c>
      <c r="O228" s="2" t="s">
        <v>233</v>
      </c>
    </row>
    <row r="229" spans="1:15">
      <c r="A229">
        <v>227</v>
      </c>
      <c r="B229">
        <v>195</v>
      </c>
      <c r="C229">
        <v>741</v>
      </c>
      <c r="D229">
        <v>641</v>
      </c>
      <c r="E229">
        <v>839</v>
      </c>
      <c r="G229">
        <f t="shared" si="15"/>
        <v>3.7601488733067789E-3</v>
      </c>
      <c r="H229">
        <f t="shared" si="16"/>
        <v>7.0736397176605736E-2</v>
      </c>
      <c r="I229">
        <f t="shared" si="17"/>
        <v>0.17835734491738198</v>
      </c>
      <c r="J229" s="4"/>
      <c r="K229">
        <f t="shared" si="18"/>
        <v>8.4284630322431497E-2</v>
      </c>
      <c r="M229">
        <f t="shared" si="19"/>
        <v>8.8083546605728508E-2</v>
      </c>
      <c r="O229" s="2" t="s">
        <v>234</v>
      </c>
    </row>
    <row r="230" spans="1:15">
      <c r="A230">
        <v>228</v>
      </c>
      <c r="B230">
        <v>48</v>
      </c>
      <c r="C230">
        <v>82</v>
      </c>
      <c r="D230">
        <v>78</v>
      </c>
      <c r="E230">
        <v>85</v>
      </c>
      <c r="G230">
        <f t="shared" si="15"/>
        <v>-0.34345083273537391</v>
      </c>
      <c r="H230">
        <f t="shared" si="16"/>
        <v>-0.23523365566480048</v>
      </c>
      <c r="I230">
        <f t="shared" si="17"/>
        <v>-0.20719231621009479</v>
      </c>
      <c r="J230" s="4"/>
      <c r="K230">
        <f t="shared" si="18"/>
        <v>-0.26195893487008975</v>
      </c>
      <c r="M230">
        <f t="shared" si="19"/>
        <v>7.1953292091939361E-2</v>
      </c>
      <c r="O230" s="2" t="s">
        <v>235</v>
      </c>
    </row>
    <row r="231" spans="1:15">
      <c r="A231">
        <v>229</v>
      </c>
      <c r="B231">
        <v>29</v>
      </c>
      <c r="C231">
        <v>1</v>
      </c>
      <c r="D231">
        <v>1</v>
      </c>
      <c r="E231">
        <v>0</v>
      </c>
      <c r="G231">
        <f t="shared" si="15"/>
        <v>-2.0384214456424594</v>
      </c>
      <c r="H231">
        <f t="shared" si="16"/>
        <v>-1.9084850188786497</v>
      </c>
      <c r="I231" t="e">
        <f t="shared" si="17"/>
        <v>#NUM!</v>
      </c>
      <c r="J231" s="4"/>
      <c r="K231" t="e">
        <f t="shared" si="18"/>
        <v>#NUM!</v>
      </c>
      <c r="M231" t="e">
        <f t="shared" si="19"/>
        <v>#NUM!</v>
      </c>
      <c r="O231" s="2" t="s">
        <v>236</v>
      </c>
    </row>
    <row r="232" spans="1:15">
      <c r="A232">
        <v>230</v>
      </c>
      <c r="B232">
        <v>123</v>
      </c>
      <c r="C232">
        <v>406</v>
      </c>
      <c r="D232">
        <v>331</v>
      </c>
      <c r="E232">
        <v>496</v>
      </c>
      <c r="G232">
        <f t="shared" si="15"/>
        <v>-5.7402525605707133E-2</v>
      </c>
      <c r="H232">
        <f t="shared" si="16"/>
        <v>-1.616413864337285E-2</v>
      </c>
      <c r="I232">
        <f t="shared" si="17"/>
        <v>0.15020656050199921</v>
      </c>
      <c r="J232" s="4"/>
      <c r="K232">
        <f t="shared" si="18"/>
        <v>2.5546632084306409E-2</v>
      </c>
      <c r="M232">
        <f t="shared" si="19"/>
        <v>0.10991007440012961</v>
      </c>
      <c r="O232" s="2" t="s">
        <v>237</v>
      </c>
    </row>
    <row r="233" spans="1:15">
      <c r="A233">
        <v>231</v>
      </c>
      <c r="B233">
        <v>495</v>
      </c>
      <c r="C233">
        <v>4</v>
      </c>
      <c r="D233">
        <v>3</v>
      </c>
      <c r="E233">
        <v>4</v>
      </c>
      <c r="G233">
        <f t="shared" si="15"/>
        <v>-2.6685686553491097</v>
      </c>
      <c r="H233">
        <f t="shared" si="16"/>
        <v>-2.6635709651935997</v>
      </c>
      <c r="I233">
        <f t="shared" si="17"/>
        <v>-2.5479152121544066</v>
      </c>
      <c r="J233" s="4"/>
      <c r="K233">
        <f t="shared" si="18"/>
        <v>-2.6266849442323719</v>
      </c>
      <c r="M233">
        <f t="shared" si="19"/>
        <v>6.8262341341683089E-2</v>
      </c>
      <c r="O233" s="2" t="s">
        <v>238</v>
      </c>
    </row>
    <row r="234" spans="1:15">
      <c r="A234">
        <v>232</v>
      </c>
      <c r="B234">
        <v>198</v>
      </c>
      <c r="C234">
        <v>2</v>
      </c>
      <c r="D234">
        <v>0</v>
      </c>
      <c r="E234">
        <v>4</v>
      </c>
      <c r="G234">
        <f t="shared" si="15"/>
        <v>-2.5716586423410535</v>
      </c>
      <c r="H234" t="e">
        <f t="shared" si="16"/>
        <v>#NUM!</v>
      </c>
      <c r="I234">
        <f t="shared" si="17"/>
        <v>-2.1499752034823691</v>
      </c>
      <c r="J234" s="4"/>
      <c r="K234" t="e">
        <f t="shared" si="18"/>
        <v>#NUM!</v>
      </c>
      <c r="M234" t="e">
        <f t="shared" si="19"/>
        <v>#NUM!</v>
      </c>
      <c r="O234" s="2" t="s">
        <v>239</v>
      </c>
    </row>
    <row r="235" spans="1:15">
      <c r="A235">
        <v>233</v>
      </c>
      <c r="B235">
        <v>135</v>
      </c>
      <c r="C235">
        <v>2</v>
      </c>
      <c r="D235">
        <v>0</v>
      </c>
      <c r="E235">
        <v>0</v>
      </c>
      <c r="G235">
        <f t="shared" si="15"/>
        <v>-2.4053272205745282</v>
      </c>
      <c r="H235" t="e">
        <f t="shared" si="16"/>
        <v>#NUM!</v>
      </c>
      <c r="I235" t="e">
        <f t="shared" si="17"/>
        <v>#NUM!</v>
      </c>
      <c r="J235" s="4"/>
      <c r="K235" t="e">
        <f t="shared" si="18"/>
        <v>#NUM!</v>
      </c>
      <c r="M235" t="e">
        <f t="shared" si="19"/>
        <v>#NUM!</v>
      </c>
      <c r="O235" s="2" t="s">
        <v>240</v>
      </c>
    </row>
    <row r="236" spans="1:15">
      <c r="A236">
        <v>234</v>
      </c>
      <c r="B236">
        <v>597</v>
      </c>
      <c r="C236">
        <v>12</v>
      </c>
      <c r="D236">
        <v>7</v>
      </c>
      <c r="E236">
        <v>10</v>
      </c>
      <c r="G236">
        <f t="shared" si="15"/>
        <v>-2.2728165328252476</v>
      </c>
      <c r="H236">
        <f t="shared" si="16"/>
        <v>-2.3769633120948059</v>
      </c>
      <c r="I236">
        <f t="shared" si="17"/>
        <v>-2.2313443356781697</v>
      </c>
      <c r="J236" s="4"/>
      <c r="K236">
        <f t="shared" si="18"/>
        <v>-2.2937080601994078</v>
      </c>
      <c r="M236">
        <f t="shared" si="19"/>
        <v>7.5023752973149616E-2</v>
      </c>
      <c r="O236" s="2" t="s">
        <v>241</v>
      </c>
    </row>
    <row r="237" spans="1:15">
      <c r="A237">
        <v>235</v>
      </c>
      <c r="B237">
        <v>50</v>
      </c>
      <c r="C237">
        <v>0</v>
      </c>
      <c r="D237">
        <v>0</v>
      </c>
      <c r="E237">
        <v>0</v>
      </c>
      <c r="G237" t="e">
        <f t="shared" si="15"/>
        <v>#NUM!</v>
      </c>
      <c r="H237" t="e">
        <f t="shared" si="16"/>
        <v>#NUM!</v>
      </c>
      <c r="I237" t="e">
        <f t="shared" si="17"/>
        <v>#NUM!</v>
      </c>
      <c r="J237" s="4"/>
      <c r="K237" t="e">
        <f t="shared" si="18"/>
        <v>#NUM!</v>
      </c>
      <c r="M237" t="e">
        <f t="shared" si="19"/>
        <v>#NUM!</v>
      </c>
      <c r="O237" s="2" t="s">
        <v>242</v>
      </c>
    </row>
    <row r="238" spans="1:15">
      <c r="A238">
        <v>236</v>
      </c>
      <c r="B238">
        <v>175</v>
      </c>
      <c r="C238">
        <v>1</v>
      </c>
      <c r="D238">
        <v>3</v>
      </c>
      <c r="E238">
        <v>1</v>
      </c>
      <c r="G238">
        <f t="shared" si="15"/>
        <v>-2.8190614964297978</v>
      </c>
      <c r="H238">
        <f t="shared" si="16"/>
        <v>-2.2120038149463257</v>
      </c>
      <c r="I238">
        <f t="shared" si="17"/>
        <v>-2.6984080532350947</v>
      </c>
      <c r="J238" s="4"/>
      <c r="K238">
        <f t="shared" si="18"/>
        <v>-2.5764911215370727</v>
      </c>
      <c r="M238">
        <f t="shared" si="19"/>
        <v>0.32136826358247961</v>
      </c>
      <c r="O238" s="2" t="s">
        <v>243</v>
      </c>
    </row>
    <row r="239" spans="1:15">
      <c r="A239">
        <v>237</v>
      </c>
      <c r="B239">
        <v>400</v>
      </c>
      <c r="C239">
        <v>38</v>
      </c>
      <c r="D239">
        <v>7</v>
      </c>
      <c r="E239">
        <v>5</v>
      </c>
      <c r="G239">
        <f t="shared" si="15"/>
        <v>-1.5982998424546555</v>
      </c>
      <c r="H239">
        <f t="shared" si="16"/>
        <v>-2.2030489722933995</v>
      </c>
      <c r="I239">
        <f t="shared" si="17"/>
        <v>-2.3584599915407436</v>
      </c>
      <c r="J239" s="4"/>
      <c r="K239">
        <f t="shared" si="18"/>
        <v>-2.053269602096266</v>
      </c>
      <c r="M239">
        <f t="shared" si="19"/>
        <v>0.40160460389185354</v>
      </c>
      <c r="O239" s="2" t="s">
        <v>244</v>
      </c>
    </row>
    <row r="240" spans="1:15">
      <c r="A240">
        <v>238</v>
      </c>
      <c r="B240">
        <v>49</v>
      </c>
      <c r="C240">
        <v>1</v>
      </c>
      <c r="D240">
        <v>0</v>
      </c>
      <c r="E240">
        <v>1</v>
      </c>
      <c r="G240">
        <f t="shared" si="15"/>
        <v>-2.2662195277720167</v>
      </c>
      <c r="H240" t="e">
        <f t="shared" si="16"/>
        <v>#NUM!</v>
      </c>
      <c r="I240">
        <f t="shared" si="17"/>
        <v>-2.1455660845773137</v>
      </c>
      <c r="J240" s="4"/>
      <c r="K240" t="e">
        <f t="shared" si="18"/>
        <v>#NUM!</v>
      </c>
      <c r="M240" t="e">
        <f t="shared" si="19"/>
        <v>#NUM!</v>
      </c>
      <c r="O240" s="2" t="s">
        <v>245</v>
      </c>
    </row>
    <row r="241" spans="1:15">
      <c r="A241">
        <v>239</v>
      </c>
      <c r="B241">
        <v>60</v>
      </c>
      <c r="C241">
        <v>328</v>
      </c>
      <c r="D241">
        <v>351</v>
      </c>
      <c r="E241">
        <v>398</v>
      </c>
      <c r="G241">
        <f t="shared" si="15"/>
        <v>0.16169914558453213</v>
      </c>
      <c r="H241">
        <f t="shared" si="16"/>
        <v>0.32106884510248679</v>
      </c>
      <c r="I241">
        <f t="shared" si="17"/>
        <v>0.36636181714124394</v>
      </c>
      <c r="J241" s="4"/>
      <c r="K241">
        <f t="shared" si="18"/>
        <v>0.28304326927608764</v>
      </c>
      <c r="M241">
        <f t="shared" si="19"/>
        <v>0.10749958416142621</v>
      </c>
      <c r="O241" s="2" t="s">
        <v>246</v>
      </c>
    </row>
    <row r="242" spans="1:15">
      <c r="A242">
        <v>240</v>
      </c>
      <c r="B242">
        <v>257</v>
      </c>
      <c r="C242">
        <v>3</v>
      </c>
      <c r="D242">
        <v>1</v>
      </c>
      <c r="E242">
        <v>1</v>
      </c>
      <c r="G242">
        <f t="shared" si="15"/>
        <v>-2.5088353163551353</v>
      </c>
      <c r="H242">
        <f t="shared" si="16"/>
        <v>-2.8560201443109881</v>
      </c>
      <c r="I242">
        <f t="shared" si="17"/>
        <v>-2.8653031278800949</v>
      </c>
      <c r="J242" s="4"/>
      <c r="K242">
        <f t="shared" si="18"/>
        <v>-2.7433861961820725</v>
      </c>
      <c r="M242">
        <f t="shared" si="19"/>
        <v>0.20318004298325881</v>
      </c>
      <c r="O242" s="2" t="s">
        <v>247</v>
      </c>
    </row>
    <row r="243" spans="1:15">
      <c r="A243">
        <v>241</v>
      </c>
      <c r="B243">
        <v>93</v>
      </c>
      <c r="C243">
        <v>0</v>
      </c>
      <c r="D243">
        <v>1</v>
      </c>
      <c r="E243">
        <v>1</v>
      </c>
      <c r="G243" t="e">
        <f t="shared" si="15"/>
        <v>#NUM!</v>
      </c>
      <c r="H243">
        <f t="shared" si="16"/>
        <v>-2.4145699695336287</v>
      </c>
      <c r="I243">
        <f t="shared" si="17"/>
        <v>-2.4238529531027355</v>
      </c>
      <c r="J243" s="4"/>
      <c r="K243" t="e">
        <f t="shared" si="18"/>
        <v>#NUM!</v>
      </c>
      <c r="M243" t="e">
        <f t="shared" si="19"/>
        <v>#NUM!</v>
      </c>
      <c r="O243" s="2" t="s">
        <v>248</v>
      </c>
    </row>
    <row r="244" spans="1:15">
      <c r="A244">
        <v>242</v>
      </c>
      <c r="B244">
        <v>93</v>
      </c>
      <c r="C244">
        <v>1</v>
      </c>
      <c r="D244">
        <v>0</v>
      </c>
      <c r="E244">
        <v>2</v>
      </c>
      <c r="G244">
        <f t="shared" si="15"/>
        <v>-2.5445063962974386</v>
      </c>
      <c r="H244" t="e">
        <f t="shared" si="16"/>
        <v>#NUM!</v>
      </c>
      <c r="I244">
        <f t="shared" si="17"/>
        <v>-2.1228229574387543</v>
      </c>
      <c r="J244" s="4"/>
      <c r="K244" t="e">
        <f t="shared" si="18"/>
        <v>#NUM!</v>
      </c>
      <c r="M244" t="e">
        <f t="shared" si="19"/>
        <v>#NUM!</v>
      </c>
      <c r="O244" s="2" t="s">
        <v>249</v>
      </c>
    </row>
    <row r="245" spans="1:15">
      <c r="A245">
        <v>243</v>
      </c>
      <c r="B245">
        <v>203</v>
      </c>
      <c r="C245">
        <v>1</v>
      </c>
      <c r="D245">
        <v>2</v>
      </c>
      <c r="E245">
        <v>3</v>
      </c>
      <c r="G245">
        <f t="shared" si="15"/>
        <v>-2.8835194856567163</v>
      </c>
      <c r="H245">
        <f t="shared" si="16"/>
        <v>-2.4525530632289252</v>
      </c>
      <c r="I245">
        <f t="shared" si="17"/>
        <v>-2.2857447877423507</v>
      </c>
      <c r="J245" s="4"/>
      <c r="K245">
        <f t="shared" si="18"/>
        <v>-2.5406057788759973</v>
      </c>
      <c r="M245">
        <f t="shared" si="19"/>
        <v>0.30846167981820838</v>
      </c>
      <c r="O245" s="2" t="s">
        <v>250</v>
      </c>
    </row>
    <row r="246" spans="1:15">
      <c r="A246">
        <v>244</v>
      </c>
      <c r="B246">
        <v>52</v>
      </c>
      <c r="C246">
        <v>1</v>
      </c>
      <c r="D246">
        <v>0</v>
      </c>
      <c r="E246">
        <v>1</v>
      </c>
      <c r="G246">
        <f t="shared" si="15"/>
        <v>-2.2920267913783023</v>
      </c>
      <c r="H246" t="e">
        <f t="shared" si="16"/>
        <v>#NUM!</v>
      </c>
      <c r="I246">
        <f t="shared" si="17"/>
        <v>-2.1713733481835993</v>
      </c>
      <c r="J246" s="4"/>
      <c r="K246" t="e">
        <f t="shared" si="18"/>
        <v>#NUM!</v>
      </c>
      <c r="M246" t="e">
        <f t="shared" si="19"/>
        <v>#NUM!</v>
      </c>
      <c r="O246" s="2" t="s">
        <v>251</v>
      </c>
    </row>
    <row r="247" spans="1:15">
      <c r="A247">
        <v>245</v>
      </c>
      <c r="B247">
        <v>601</v>
      </c>
      <c r="C247">
        <v>11</v>
      </c>
      <c r="D247">
        <v>4</v>
      </c>
      <c r="E247">
        <v>3</v>
      </c>
      <c r="G247">
        <f t="shared" si="15"/>
        <v>-2.3135052345880176</v>
      </c>
      <c r="H247">
        <f t="shared" si="16"/>
        <v>-2.6229015016544706</v>
      </c>
      <c r="I247">
        <f t="shared" si="17"/>
        <v>-2.7571232218318773</v>
      </c>
      <c r="J247" s="4"/>
      <c r="K247">
        <f t="shared" si="18"/>
        <v>-2.5645099860247886</v>
      </c>
      <c r="M247">
        <f t="shared" si="19"/>
        <v>0.22750034390022769</v>
      </c>
      <c r="O247" s="2" t="s">
        <v>252</v>
      </c>
    </row>
    <row r="248" spans="1:15">
      <c r="A248">
        <v>246</v>
      </c>
      <c r="B248">
        <v>278</v>
      </c>
      <c r="C248">
        <v>829</v>
      </c>
      <c r="D248">
        <v>930</v>
      </c>
      <c r="E248">
        <v>914</v>
      </c>
      <c r="G248">
        <f t="shared" si="15"/>
        <v>-0.10151371311130603</v>
      </c>
      <c r="H248">
        <f t="shared" si="16"/>
        <v>7.8351131656165141E-2</v>
      </c>
      <c r="I248">
        <f t="shared" si="17"/>
        <v>6.1531395266954836E-2</v>
      </c>
      <c r="J248" s="4"/>
      <c r="K248">
        <f t="shared" si="18"/>
        <v>1.2789604603937984E-2</v>
      </c>
      <c r="M248">
        <f t="shared" si="19"/>
        <v>9.9346173623268669E-2</v>
      </c>
      <c r="O248" s="2" t="s">
        <v>253</v>
      </c>
    </row>
    <row r="249" spans="1:15">
      <c r="A249">
        <v>247</v>
      </c>
      <c r="B249">
        <v>165</v>
      </c>
      <c r="C249">
        <v>2</v>
      </c>
      <c r="D249">
        <v>0</v>
      </c>
      <c r="E249">
        <v>10</v>
      </c>
      <c r="G249">
        <f t="shared" si="15"/>
        <v>-2.4924773962934283</v>
      </c>
      <c r="H249" t="e">
        <f t="shared" si="16"/>
        <v>#NUM!</v>
      </c>
      <c r="I249">
        <f t="shared" si="17"/>
        <v>-1.6728539487627065</v>
      </c>
      <c r="J249" s="4"/>
      <c r="K249" t="e">
        <f t="shared" si="18"/>
        <v>#NUM!</v>
      </c>
      <c r="M249" t="e">
        <f t="shared" si="19"/>
        <v>#NUM!</v>
      </c>
      <c r="O249" s="2" t="s">
        <v>254</v>
      </c>
    </row>
    <row r="250" spans="1:15">
      <c r="A250">
        <v>248</v>
      </c>
      <c r="B250">
        <v>233</v>
      </c>
      <c r="C250">
        <v>1337</v>
      </c>
      <c r="D250">
        <v>1004</v>
      </c>
      <c r="E250">
        <v>1523</v>
      </c>
      <c r="G250">
        <f t="shared" si="15"/>
        <v>0.18275203849246202</v>
      </c>
      <c r="H250">
        <f t="shared" si="16"/>
        <v>0.18829077080328793</v>
      </c>
      <c r="I250">
        <f t="shared" si="17"/>
        <v>0.35997397776122331</v>
      </c>
      <c r="J250" s="4"/>
      <c r="K250">
        <f t="shared" si="18"/>
        <v>0.24367226235232442</v>
      </c>
      <c r="M250">
        <f t="shared" si="19"/>
        <v>0.10075830558416574</v>
      </c>
      <c r="O250" s="2" t="s">
        <v>255</v>
      </c>
    </row>
    <row r="251" spans="1:15">
      <c r="A251">
        <v>249</v>
      </c>
      <c r="B251">
        <v>150</v>
      </c>
      <c r="C251">
        <v>3270</v>
      </c>
      <c r="D251">
        <v>1173</v>
      </c>
      <c r="E251">
        <v>975</v>
      </c>
      <c r="G251">
        <f t="shared" si="15"/>
        <v>0.7624330458611015</v>
      </c>
      <c r="H251">
        <f t="shared" si="16"/>
        <v>0.44711973208015432</v>
      </c>
      <c r="I251">
        <f t="shared" si="17"/>
        <v>0.3575433520940553</v>
      </c>
      <c r="J251" s="4"/>
      <c r="K251">
        <f t="shared" si="18"/>
        <v>0.52236537667843708</v>
      </c>
      <c r="M251">
        <f t="shared" si="19"/>
        <v>0.2126742727810568</v>
      </c>
      <c r="O251" s="2" t="s">
        <v>256</v>
      </c>
    </row>
    <row r="252" spans="1:15">
      <c r="A252">
        <v>250</v>
      </c>
      <c r="B252">
        <v>63</v>
      </c>
      <c r="C252">
        <v>1</v>
      </c>
      <c r="D252">
        <v>2</v>
      </c>
      <c r="E252">
        <v>0</v>
      </c>
      <c r="G252">
        <f t="shared" si="15"/>
        <v>-2.375363997197085</v>
      </c>
      <c r="H252">
        <f t="shared" si="16"/>
        <v>-1.9443975747692941</v>
      </c>
      <c r="I252" t="e">
        <f t="shared" si="17"/>
        <v>#NUM!</v>
      </c>
      <c r="J252" s="4"/>
      <c r="K252" t="e">
        <f t="shared" si="18"/>
        <v>#NUM!</v>
      </c>
      <c r="M252" t="e">
        <f t="shared" si="19"/>
        <v>#NUM!</v>
      </c>
      <c r="O252" s="2" t="s">
        <v>257</v>
      </c>
    </row>
    <row r="253" spans="1:15">
      <c r="A253">
        <v>251</v>
      </c>
      <c r="B253">
        <v>261</v>
      </c>
      <c r="C253">
        <v>2732</v>
      </c>
      <c r="D253">
        <v>1758</v>
      </c>
      <c r="E253">
        <v>2108</v>
      </c>
      <c r="G253">
        <f t="shared" si="15"/>
        <v>0.44381673992771065</v>
      </c>
      <c r="H253">
        <f t="shared" si="16"/>
        <v>0.38229134241977847</v>
      </c>
      <c r="I253">
        <f t="shared" si="17"/>
        <v>0.4518600946534278</v>
      </c>
      <c r="J253" s="4"/>
      <c r="K253">
        <f t="shared" si="18"/>
        <v>0.42598939233363903</v>
      </c>
      <c r="M253">
        <f t="shared" si="19"/>
        <v>3.8056715090987715E-2</v>
      </c>
      <c r="O253" s="2" t="s">
        <v>258</v>
      </c>
    </row>
    <row r="254" spans="1:15">
      <c r="A254">
        <v>252</v>
      </c>
      <c r="B254">
        <v>167</v>
      </c>
      <c r="C254">
        <v>1</v>
      </c>
      <c r="D254">
        <v>0</v>
      </c>
      <c r="E254">
        <v>2</v>
      </c>
      <c r="G254">
        <f t="shared" si="15"/>
        <v>-2.7987399188910866</v>
      </c>
      <c r="H254" t="e">
        <f t="shared" si="16"/>
        <v>#NUM!</v>
      </c>
      <c r="I254">
        <f t="shared" si="17"/>
        <v>-2.3770564800324023</v>
      </c>
      <c r="J254" s="4"/>
      <c r="K254" t="e">
        <f t="shared" si="18"/>
        <v>#NUM!</v>
      </c>
      <c r="M254" t="e">
        <f t="shared" si="19"/>
        <v>#NUM!</v>
      </c>
      <c r="O254" s="2" t="s">
        <v>259</v>
      </c>
    </row>
    <row r="255" spans="1:15">
      <c r="A255">
        <v>253</v>
      </c>
      <c r="B255">
        <v>519</v>
      </c>
      <c r="C255">
        <v>7</v>
      </c>
      <c r="D255">
        <v>1</v>
      </c>
      <c r="E255">
        <v>9</v>
      </c>
      <c r="G255">
        <f t="shared" si="15"/>
        <v>-2.4460927655777045</v>
      </c>
      <c r="H255">
        <f t="shared" si="16"/>
        <v>-3.1612543788281515</v>
      </c>
      <c r="I255">
        <f t="shared" si="17"/>
        <v>-2.2162948529579332</v>
      </c>
      <c r="J255" s="4"/>
      <c r="K255">
        <f t="shared" si="18"/>
        <v>-2.6078806657879299</v>
      </c>
      <c r="M255">
        <f t="shared" si="19"/>
        <v>0.49281702474046418</v>
      </c>
      <c r="O255" s="2" t="s">
        <v>260</v>
      </c>
    </row>
    <row r="256" spans="1:15">
      <c r="A256">
        <v>254</v>
      </c>
      <c r="B256">
        <v>203</v>
      </c>
      <c r="C256">
        <v>671</v>
      </c>
      <c r="D256">
        <v>522</v>
      </c>
      <c r="E256">
        <v>722</v>
      </c>
      <c r="G256">
        <f t="shared" si="15"/>
        <v>-5.6796965487724171E-2</v>
      </c>
      <c r="H256">
        <f t="shared" si="16"/>
        <v>-3.5912555890644404E-2</v>
      </c>
      <c r="I256">
        <f t="shared" si="17"/>
        <v>9.5671155107625916E-2</v>
      </c>
      <c r="J256" s="4"/>
      <c r="K256">
        <f t="shared" si="18"/>
        <v>9.8721124308578001E-4</v>
      </c>
      <c r="M256">
        <f t="shared" si="19"/>
        <v>8.2660913135303493E-2</v>
      </c>
      <c r="O256" s="2" t="s">
        <v>261</v>
      </c>
    </row>
    <row r="257" spans="1:15">
      <c r="A257">
        <v>255</v>
      </c>
      <c r="B257">
        <v>179</v>
      </c>
      <c r="C257">
        <v>442</v>
      </c>
      <c r="D257">
        <v>431</v>
      </c>
      <c r="E257">
        <v>486</v>
      </c>
      <c r="G257">
        <f t="shared" si="15"/>
        <v>-0.18345420937430457</v>
      </c>
      <c r="H257">
        <f t="shared" si="16"/>
        <v>-6.4462781798855229E-2</v>
      </c>
      <c r="I257">
        <f t="shared" si="17"/>
        <v>-2.1586766266400048E-2</v>
      </c>
      <c r="J257" s="4"/>
      <c r="K257">
        <f t="shared" si="18"/>
        <v>-8.983458581318661E-2</v>
      </c>
      <c r="M257">
        <f t="shared" si="19"/>
        <v>8.3863362762167507E-2</v>
      </c>
      <c r="O257" s="2" t="s">
        <v>262</v>
      </c>
    </row>
    <row r="258" spans="1:15">
      <c r="A258">
        <v>256</v>
      </c>
      <c r="B258">
        <v>75</v>
      </c>
      <c r="C258">
        <v>1</v>
      </c>
      <c r="D258">
        <v>2</v>
      </c>
      <c r="E258">
        <v>0</v>
      </c>
      <c r="G258">
        <f t="shared" ref="G258:G321" si="20">LOG10(C258/B258)-LOG10(437/116)</f>
        <v>-2.4510847111352034</v>
      </c>
      <c r="H258">
        <f t="shared" ref="H258:H321" si="21">LOG10(D258/B258)-LOG10(324/116)</f>
        <v>-2.0201182887074127</v>
      </c>
      <c r="I258" t="e">
        <f t="shared" ref="I258:I321" si="22">LOG10(E258/B258)-LOG10(331/116)</f>
        <v>#NUM!</v>
      </c>
      <c r="J258" s="4"/>
      <c r="K258" t="e">
        <f t="shared" ref="K258:K321" si="23">AVERAGE(G258:I258)</f>
        <v>#NUM!</v>
      </c>
      <c r="M258" t="e">
        <f t="shared" ref="M258:M321" si="24">STDEV(G258:I258)</f>
        <v>#NUM!</v>
      </c>
      <c r="O258" s="2" t="s">
        <v>263</v>
      </c>
    </row>
    <row r="259" spans="1:15">
      <c r="A259">
        <v>257</v>
      </c>
      <c r="B259">
        <v>66</v>
      </c>
      <c r="C259">
        <v>222</v>
      </c>
      <c r="D259">
        <v>258</v>
      </c>
      <c r="E259">
        <v>262</v>
      </c>
      <c r="G259">
        <f t="shared" si="20"/>
        <v>-4.9214408834733381E-2</v>
      </c>
      <c r="H259">
        <f t="shared" si="21"/>
        <v>0.14598874944166784</v>
      </c>
      <c r="I259">
        <f t="shared" si="22"/>
        <v>0.14338735122907653</v>
      </c>
      <c r="J259" s="4"/>
      <c r="K259">
        <f t="shared" si="23"/>
        <v>8.0053897278670336E-2</v>
      </c>
      <c r="M259">
        <f t="shared" si="24"/>
        <v>0.11195719290084315</v>
      </c>
      <c r="O259" s="2" t="s">
        <v>264</v>
      </c>
    </row>
    <row r="260" spans="1:15">
      <c r="A260">
        <v>258</v>
      </c>
      <c r="B260">
        <v>444</v>
      </c>
      <c r="C260">
        <v>5</v>
      </c>
      <c r="D260">
        <v>0</v>
      </c>
      <c r="E260">
        <v>6</v>
      </c>
      <c r="G260">
        <f t="shared" si="20"/>
        <v>-2.5244364135221042</v>
      </c>
      <c r="H260" t="e">
        <f t="shared" si="21"/>
        <v>#NUM!</v>
      </c>
      <c r="I260">
        <f t="shared" si="22"/>
        <v>-2.3246017242797765</v>
      </c>
      <c r="J260" s="4"/>
      <c r="K260" t="e">
        <f t="shared" si="23"/>
        <v>#NUM!</v>
      </c>
      <c r="M260" t="e">
        <f t="shared" si="24"/>
        <v>#NUM!</v>
      </c>
      <c r="O260" s="2" t="s">
        <v>265</v>
      </c>
    </row>
    <row r="261" spans="1:15">
      <c r="A261">
        <v>259</v>
      </c>
      <c r="B261">
        <v>333</v>
      </c>
      <c r="C261">
        <v>1159</v>
      </c>
      <c r="D261">
        <v>1241</v>
      </c>
      <c r="E261">
        <v>982</v>
      </c>
      <c r="G261">
        <f t="shared" si="20"/>
        <v>-3.4384245286227189E-2</v>
      </c>
      <c r="H261">
        <f t="shared" si="21"/>
        <v>0.12524052701271626</v>
      </c>
      <c r="I261">
        <f t="shared" si="22"/>
        <v>1.4297249731829498E-2</v>
      </c>
      <c r="J261" s="4"/>
      <c r="K261">
        <f t="shared" si="23"/>
        <v>3.505117715277286E-2</v>
      </c>
      <c r="M261">
        <f t="shared" si="24"/>
        <v>8.1811130724478598E-2</v>
      </c>
      <c r="O261" s="2" t="s">
        <v>266</v>
      </c>
    </row>
    <row r="262" spans="1:15">
      <c r="A262">
        <v>260</v>
      </c>
      <c r="B262">
        <v>320</v>
      </c>
      <c r="C262">
        <v>1688</v>
      </c>
      <c r="D262">
        <v>1215</v>
      </c>
      <c r="E262">
        <v>1376</v>
      </c>
      <c r="G262">
        <f t="shared" si="20"/>
        <v>0.146199016226227</v>
      </c>
      <c r="H262">
        <f t="shared" si="21"/>
        <v>0.13333927863473138</v>
      </c>
      <c r="I262">
        <f t="shared" si="22"/>
        <v>0.17809845103078625</v>
      </c>
      <c r="J262" s="4"/>
      <c r="K262">
        <f t="shared" si="23"/>
        <v>0.15254558196391488</v>
      </c>
      <c r="M262">
        <f t="shared" si="24"/>
        <v>2.304463171526135E-2</v>
      </c>
      <c r="O262" s="2" t="s">
        <v>267</v>
      </c>
    </row>
    <row r="263" spans="1:15">
      <c r="A263">
        <v>261</v>
      </c>
      <c r="B263">
        <v>180</v>
      </c>
      <c r="C263">
        <v>4</v>
      </c>
      <c r="D263">
        <v>1</v>
      </c>
      <c r="E263">
        <v>2</v>
      </c>
      <c r="G263">
        <f t="shared" si="20"/>
        <v>-2.2292359615188468</v>
      </c>
      <c r="H263">
        <f t="shared" si="21"/>
        <v>-2.7013595260829995</v>
      </c>
      <c r="I263">
        <f t="shared" si="22"/>
        <v>-2.409612513988125</v>
      </c>
      <c r="J263" s="4"/>
      <c r="K263">
        <f t="shared" si="23"/>
        <v>-2.4467360005299903</v>
      </c>
      <c r="M263">
        <f t="shared" si="24"/>
        <v>0.23824101240961523</v>
      </c>
      <c r="O263" s="2" t="s">
        <v>268</v>
      </c>
    </row>
    <row r="264" spans="1:15">
      <c r="A264">
        <v>262</v>
      </c>
      <c r="B264">
        <v>130</v>
      </c>
      <c r="C264">
        <v>0</v>
      </c>
      <c r="D264">
        <v>3</v>
      </c>
      <c r="E264">
        <v>2</v>
      </c>
      <c r="G264" t="e">
        <f t="shared" si="20"/>
        <v>#NUM!</v>
      </c>
      <c r="H264">
        <f t="shared" si="21"/>
        <v>-2.0829091185668682</v>
      </c>
      <c r="I264">
        <f t="shared" si="22"/>
        <v>-2.2682833611916555</v>
      </c>
      <c r="J264" s="4"/>
      <c r="K264" t="e">
        <f t="shared" si="23"/>
        <v>#NUM!</v>
      </c>
      <c r="M264" t="e">
        <f t="shared" si="24"/>
        <v>#NUM!</v>
      </c>
      <c r="O264" s="2" t="s">
        <v>269</v>
      </c>
    </row>
    <row r="265" spans="1:15">
      <c r="A265">
        <v>263</v>
      </c>
      <c r="B265">
        <v>198</v>
      </c>
      <c r="C265">
        <v>1</v>
      </c>
      <c r="D265">
        <v>1</v>
      </c>
      <c r="E265">
        <v>3</v>
      </c>
      <c r="G265">
        <f t="shared" si="20"/>
        <v>-2.8726886380050343</v>
      </c>
      <c r="H265">
        <f t="shared" si="21"/>
        <v>-2.7427522112412248</v>
      </c>
      <c r="I265">
        <f t="shared" si="22"/>
        <v>-2.2749139400906691</v>
      </c>
      <c r="J265" s="4"/>
      <c r="K265">
        <f t="shared" si="23"/>
        <v>-2.6301182631123092</v>
      </c>
      <c r="M265">
        <f t="shared" si="24"/>
        <v>0.31440173674772071</v>
      </c>
      <c r="O265" s="2" t="s">
        <v>270</v>
      </c>
    </row>
    <row r="266" spans="1:15">
      <c r="A266">
        <v>264</v>
      </c>
      <c r="B266">
        <v>102</v>
      </c>
      <c r="C266">
        <v>1</v>
      </c>
      <c r="D266">
        <v>0</v>
      </c>
      <c r="E266">
        <v>1</v>
      </c>
      <c r="G266">
        <f t="shared" si="20"/>
        <v>-2.5846236195054209</v>
      </c>
      <c r="H266" t="e">
        <f t="shared" si="21"/>
        <v>#NUM!</v>
      </c>
      <c r="I266">
        <f t="shared" si="22"/>
        <v>-2.4639701763107178</v>
      </c>
      <c r="J266" s="4"/>
      <c r="K266" t="e">
        <f t="shared" si="23"/>
        <v>#NUM!</v>
      </c>
      <c r="M266" t="e">
        <f t="shared" si="24"/>
        <v>#NUM!</v>
      </c>
      <c r="O266" s="2" t="s">
        <v>271</v>
      </c>
    </row>
    <row r="267" spans="1:15">
      <c r="A267">
        <v>265</v>
      </c>
      <c r="B267">
        <v>193</v>
      </c>
      <c r="C267">
        <v>2</v>
      </c>
      <c r="D267">
        <v>3</v>
      </c>
      <c r="E267">
        <v>1</v>
      </c>
      <c r="G267">
        <f t="shared" si="20"/>
        <v>-2.560550761087296</v>
      </c>
      <c r="H267">
        <f t="shared" si="21"/>
        <v>-2.2545230752678052</v>
      </c>
      <c r="I267">
        <f t="shared" si="22"/>
        <v>-2.7409273135565742</v>
      </c>
      <c r="J267" s="4"/>
      <c r="K267">
        <f t="shared" si="23"/>
        <v>-2.5186670499705581</v>
      </c>
      <c r="M267">
        <f t="shared" si="24"/>
        <v>0.24589216071075168</v>
      </c>
      <c r="O267" s="2" t="s">
        <v>272</v>
      </c>
    </row>
    <row r="268" spans="1:15">
      <c r="A268">
        <v>266</v>
      </c>
      <c r="B268">
        <v>92</v>
      </c>
      <c r="C268">
        <v>1</v>
      </c>
      <c r="D268">
        <v>1</v>
      </c>
      <c r="E268">
        <v>0</v>
      </c>
      <c r="G268">
        <f t="shared" si="20"/>
        <v>-2.5398112750890585</v>
      </c>
      <c r="H268">
        <f t="shared" si="21"/>
        <v>-2.409874848325249</v>
      </c>
      <c r="I268" t="e">
        <f t="shared" si="22"/>
        <v>#NUM!</v>
      </c>
      <c r="J268" s="4"/>
      <c r="K268" t="e">
        <f t="shared" si="23"/>
        <v>#NUM!</v>
      </c>
      <c r="M268" t="e">
        <f t="shared" si="24"/>
        <v>#NUM!</v>
      </c>
      <c r="O268" s="2" t="s">
        <v>273</v>
      </c>
    </row>
    <row r="269" spans="1:15">
      <c r="A269">
        <v>267</v>
      </c>
      <c r="B269">
        <v>151</v>
      </c>
      <c r="C269">
        <v>2</v>
      </c>
      <c r="D269">
        <v>0</v>
      </c>
      <c r="E269">
        <v>1</v>
      </c>
      <c r="G269">
        <f t="shared" si="20"/>
        <v>-2.4539703993726913</v>
      </c>
      <c r="H269" t="e">
        <f t="shared" si="21"/>
        <v>#NUM!</v>
      </c>
      <c r="I269">
        <f t="shared" si="22"/>
        <v>-2.6343469518419695</v>
      </c>
      <c r="J269" s="4"/>
      <c r="K269" t="e">
        <f t="shared" si="23"/>
        <v>#NUM!</v>
      </c>
      <c r="M269" t="e">
        <f t="shared" si="24"/>
        <v>#NUM!</v>
      </c>
      <c r="O269" s="2" t="s">
        <v>274</v>
      </c>
    </row>
    <row r="270" spans="1:15">
      <c r="A270">
        <v>268</v>
      </c>
      <c r="B270">
        <v>357</v>
      </c>
      <c r="C270">
        <v>4</v>
      </c>
      <c r="D270">
        <v>3</v>
      </c>
      <c r="E270">
        <v>2</v>
      </c>
      <c r="G270">
        <f t="shared" si="20"/>
        <v>-2.526631672527734</v>
      </c>
      <c r="H270">
        <f t="shared" si="21"/>
        <v>-2.521633982372224</v>
      </c>
      <c r="I270">
        <f t="shared" si="22"/>
        <v>-2.7070082249970122</v>
      </c>
      <c r="J270" s="4"/>
      <c r="K270">
        <f t="shared" si="23"/>
        <v>-2.5850912932989902</v>
      </c>
      <c r="M270">
        <f t="shared" si="24"/>
        <v>0.10561272604529137</v>
      </c>
      <c r="O270" s="2" t="s">
        <v>275</v>
      </c>
    </row>
    <row r="271" spans="1:15">
      <c r="A271">
        <v>269</v>
      </c>
      <c r="B271">
        <v>271</v>
      </c>
      <c r="C271">
        <v>2</v>
      </c>
      <c r="D271">
        <v>0</v>
      </c>
      <c r="E271">
        <v>4</v>
      </c>
      <c r="G271">
        <f t="shared" si="20"/>
        <v>-2.7079627429539279</v>
      </c>
      <c r="H271" t="e">
        <f t="shared" si="21"/>
        <v>#NUM!</v>
      </c>
      <c r="I271">
        <f t="shared" si="22"/>
        <v>-2.2862793040952436</v>
      </c>
      <c r="J271" s="4"/>
      <c r="K271" t="e">
        <f t="shared" si="23"/>
        <v>#NUM!</v>
      </c>
      <c r="M271" t="e">
        <f t="shared" si="24"/>
        <v>#NUM!</v>
      </c>
      <c r="O271" s="2" t="s">
        <v>276</v>
      </c>
    </row>
    <row r="272" spans="1:15">
      <c r="A272">
        <v>270</v>
      </c>
      <c r="B272">
        <v>350</v>
      </c>
      <c r="C272">
        <v>1438</v>
      </c>
      <c r="D272">
        <v>2574</v>
      </c>
      <c r="E272">
        <v>1171</v>
      </c>
      <c r="G272">
        <f t="shared" si="20"/>
        <v>3.7667393953084827E-2</v>
      </c>
      <c r="H272">
        <f t="shared" si="21"/>
        <v>0.42045347723839854</v>
      </c>
      <c r="I272">
        <f t="shared" si="22"/>
        <v>6.9118846173287229E-2</v>
      </c>
      <c r="J272" s="4"/>
      <c r="K272">
        <f t="shared" si="23"/>
        <v>0.17574657245492353</v>
      </c>
      <c r="M272">
        <f t="shared" si="24"/>
        <v>0.21250505970028444</v>
      </c>
      <c r="O272" s="2" t="s">
        <v>277</v>
      </c>
    </row>
    <row r="273" spans="1:15">
      <c r="A273">
        <v>271</v>
      </c>
      <c r="B273">
        <v>430</v>
      </c>
      <c r="C273">
        <v>4441</v>
      </c>
      <c r="D273">
        <v>4254</v>
      </c>
      <c r="E273">
        <v>4400</v>
      </c>
      <c r="G273">
        <f t="shared" si="20"/>
        <v>0.43798886985058605</v>
      </c>
      <c r="H273">
        <f t="shared" si="21"/>
        <v>0.54924200900743003</v>
      </c>
      <c r="I273">
        <f t="shared" si="22"/>
        <v>0.55461421635780073</v>
      </c>
      <c r="J273" s="4"/>
      <c r="K273">
        <f t="shared" si="23"/>
        <v>0.51394836507193897</v>
      </c>
      <c r="M273">
        <f t="shared" si="24"/>
        <v>6.5837670361776027E-2</v>
      </c>
      <c r="O273" s="2" t="s">
        <v>278</v>
      </c>
    </row>
    <row r="274" spans="1:15">
      <c r="A274">
        <v>272</v>
      </c>
      <c r="B274">
        <v>510</v>
      </c>
      <c r="C274">
        <v>6</v>
      </c>
      <c r="D274">
        <v>10</v>
      </c>
      <c r="E274">
        <v>19</v>
      </c>
      <c r="G274">
        <f t="shared" si="20"/>
        <v>-2.5054423734577957</v>
      </c>
      <c r="H274">
        <f t="shared" si="21"/>
        <v>-2.1536571970776297</v>
      </c>
      <c r="I274">
        <f t="shared" si="22"/>
        <v>-1.8841865796939077</v>
      </c>
      <c r="J274" s="4"/>
      <c r="K274">
        <f t="shared" si="23"/>
        <v>-2.1810953834097777</v>
      </c>
      <c r="M274">
        <f t="shared" si="24"/>
        <v>0.31153544079799034</v>
      </c>
      <c r="O274" s="2" t="s">
        <v>279</v>
      </c>
    </row>
    <row r="275" spans="1:15">
      <c r="A275">
        <v>273</v>
      </c>
      <c r="B275">
        <v>189</v>
      </c>
      <c r="C275">
        <v>5</v>
      </c>
      <c r="D275">
        <v>1</v>
      </c>
      <c r="E275">
        <v>3</v>
      </c>
      <c r="G275">
        <f t="shared" si="20"/>
        <v>-2.1535152475807289</v>
      </c>
      <c r="H275">
        <f t="shared" si="21"/>
        <v>-2.7225488251529377</v>
      </c>
      <c r="I275">
        <f t="shared" si="22"/>
        <v>-2.254710554002382</v>
      </c>
      <c r="J275" s="4"/>
      <c r="K275">
        <f t="shared" si="23"/>
        <v>-2.3769248755786827</v>
      </c>
      <c r="M275">
        <f t="shared" si="24"/>
        <v>0.30356557512327315</v>
      </c>
      <c r="O275" s="2" t="s">
        <v>280</v>
      </c>
    </row>
    <row r="276" spans="1:15">
      <c r="A276">
        <v>274</v>
      </c>
      <c r="B276">
        <v>160</v>
      </c>
      <c r="C276">
        <v>0</v>
      </c>
      <c r="D276">
        <v>3</v>
      </c>
      <c r="E276">
        <v>3</v>
      </c>
      <c r="G276" t="e">
        <f t="shared" si="20"/>
        <v>#NUM!</v>
      </c>
      <c r="H276">
        <f t="shared" si="21"/>
        <v>-2.1730857489159563</v>
      </c>
      <c r="I276">
        <f t="shared" si="22"/>
        <v>-2.1823687324850627</v>
      </c>
      <c r="J276" s="4"/>
      <c r="K276" t="e">
        <f t="shared" si="23"/>
        <v>#NUM!</v>
      </c>
      <c r="M276" t="e">
        <f t="shared" si="24"/>
        <v>#NUM!</v>
      </c>
      <c r="O276" s="2" t="s">
        <v>281</v>
      </c>
    </row>
    <row r="277" spans="1:15">
      <c r="A277">
        <v>275</v>
      </c>
      <c r="B277">
        <v>85</v>
      </c>
      <c r="C277">
        <v>1</v>
      </c>
      <c r="D277">
        <v>0</v>
      </c>
      <c r="E277">
        <v>0</v>
      </c>
      <c r="G277">
        <f t="shared" si="20"/>
        <v>-2.5054423734577957</v>
      </c>
      <c r="H277" t="e">
        <f t="shared" si="21"/>
        <v>#NUM!</v>
      </c>
      <c r="I277" t="e">
        <f t="shared" si="22"/>
        <v>#NUM!</v>
      </c>
      <c r="J277" s="4"/>
      <c r="K277" t="e">
        <f t="shared" si="23"/>
        <v>#NUM!</v>
      </c>
      <c r="M277" t="e">
        <f t="shared" si="24"/>
        <v>#NUM!</v>
      </c>
      <c r="O277" s="2" t="s">
        <v>282</v>
      </c>
    </row>
    <row r="278" spans="1:15">
      <c r="A278">
        <v>276</v>
      </c>
      <c r="B278">
        <v>75</v>
      </c>
      <c r="C278">
        <v>2</v>
      </c>
      <c r="D278">
        <v>1</v>
      </c>
      <c r="E278">
        <v>0</v>
      </c>
      <c r="G278">
        <f t="shared" si="20"/>
        <v>-2.1500547154712222</v>
      </c>
      <c r="H278">
        <f t="shared" si="21"/>
        <v>-2.321148284371394</v>
      </c>
      <c r="I278" t="e">
        <f t="shared" si="22"/>
        <v>#NUM!</v>
      </c>
      <c r="J278" s="4"/>
      <c r="K278" t="e">
        <f t="shared" si="23"/>
        <v>#NUM!</v>
      </c>
      <c r="M278" t="e">
        <f t="shared" si="24"/>
        <v>#NUM!</v>
      </c>
      <c r="O278" s="2" t="s">
        <v>283</v>
      </c>
    </row>
    <row r="279" spans="1:15">
      <c r="A279">
        <v>277</v>
      </c>
      <c r="B279">
        <v>16</v>
      </c>
      <c r="C279">
        <v>0</v>
      </c>
      <c r="D279">
        <v>0</v>
      </c>
      <c r="E279">
        <v>0</v>
      </c>
      <c r="G279" t="e">
        <f t="shared" si="20"/>
        <v>#NUM!</v>
      </c>
      <c r="H279" t="e">
        <f t="shared" si="21"/>
        <v>#NUM!</v>
      </c>
      <c r="I279" t="e">
        <f t="shared" si="22"/>
        <v>#NUM!</v>
      </c>
      <c r="J279" s="4"/>
      <c r="K279" t="e">
        <f t="shared" si="23"/>
        <v>#NUM!</v>
      </c>
      <c r="M279" t="e">
        <f t="shared" si="24"/>
        <v>#NUM!</v>
      </c>
      <c r="O279" s="2" t="s">
        <v>284</v>
      </c>
    </row>
    <row r="280" spans="1:15">
      <c r="A280">
        <v>278</v>
      </c>
      <c r="B280">
        <v>42</v>
      </c>
      <c r="C280">
        <v>1</v>
      </c>
      <c r="D280">
        <v>0</v>
      </c>
      <c r="E280">
        <v>0</v>
      </c>
      <c r="G280">
        <f t="shared" si="20"/>
        <v>-2.1992727381414037</v>
      </c>
      <c r="H280" t="e">
        <f t="shared" si="21"/>
        <v>#NUM!</v>
      </c>
      <c r="I280" t="e">
        <f t="shared" si="22"/>
        <v>#NUM!</v>
      </c>
      <c r="J280" s="4"/>
      <c r="K280" t="e">
        <f t="shared" si="23"/>
        <v>#NUM!</v>
      </c>
      <c r="M280" t="e">
        <f t="shared" si="24"/>
        <v>#NUM!</v>
      </c>
      <c r="O280" s="2" t="s">
        <v>285</v>
      </c>
    </row>
    <row r="281" spans="1:15">
      <c r="A281">
        <v>279</v>
      </c>
      <c r="B281">
        <v>70</v>
      </c>
      <c r="C281">
        <v>2</v>
      </c>
      <c r="D281">
        <v>0</v>
      </c>
      <c r="E281">
        <v>0</v>
      </c>
      <c r="G281">
        <f t="shared" si="20"/>
        <v>-2.120091492093779</v>
      </c>
      <c r="H281" t="e">
        <f t="shared" si="21"/>
        <v>#NUM!</v>
      </c>
      <c r="I281" t="e">
        <f t="shared" si="22"/>
        <v>#NUM!</v>
      </c>
      <c r="J281" s="4"/>
      <c r="K281" t="e">
        <f t="shared" si="23"/>
        <v>#NUM!</v>
      </c>
      <c r="M281" t="e">
        <f t="shared" si="24"/>
        <v>#NUM!</v>
      </c>
      <c r="O281" s="2" t="s">
        <v>286</v>
      </c>
    </row>
    <row r="282" spans="1:15">
      <c r="A282">
        <v>280</v>
      </c>
      <c r="B282">
        <v>340</v>
      </c>
      <c r="C282">
        <v>4</v>
      </c>
      <c r="D282">
        <v>4</v>
      </c>
      <c r="E282">
        <v>5</v>
      </c>
      <c r="G282">
        <f t="shared" si="20"/>
        <v>-2.5054423734577957</v>
      </c>
      <c r="H282">
        <f t="shared" si="21"/>
        <v>-2.3755059466939863</v>
      </c>
      <c r="I282">
        <f t="shared" si="22"/>
        <v>-2.2878789172550364</v>
      </c>
      <c r="J282" s="4"/>
      <c r="K282">
        <f t="shared" si="23"/>
        <v>-2.3896090791356062</v>
      </c>
      <c r="M282">
        <f t="shared" si="24"/>
        <v>0.10946523707196679</v>
      </c>
      <c r="O282" s="2" t="s">
        <v>287</v>
      </c>
    </row>
    <row r="283" spans="1:15">
      <c r="A283">
        <v>281</v>
      </c>
      <c r="B283">
        <v>375</v>
      </c>
      <c r="C283">
        <v>2</v>
      </c>
      <c r="D283">
        <v>6</v>
      </c>
      <c r="E283">
        <v>3</v>
      </c>
      <c r="G283">
        <f t="shared" si="20"/>
        <v>-2.8490247198072409</v>
      </c>
      <c r="H283">
        <f t="shared" si="21"/>
        <v>-2.2419670383237689</v>
      </c>
      <c r="I283">
        <f t="shared" si="22"/>
        <v>-2.5522800175568565</v>
      </c>
      <c r="J283" s="4"/>
      <c r="K283">
        <f t="shared" si="23"/>
        <v>-2.5477572585626223</v>
      </c>
      <c r="M283">
        <f t="shared" si="24"/>
        <v>0.30355411160732465</v>
      </c>
      <c r="O283" s="2" t="s">
        <v>288</v>
      </c>
    </row>
    <row r="284" spans="1:15">
      <c r="A284">
        <v>282</v>
      </c>
      <c r="B284">
        <v>132</v>
      </c>
      <c r="C284">
        <v>2</v>
      </c>
      <c r="D284">
        <v>2</v>
      </c>
      <c r="E284">
        <v>2</v>
      </c>
      <c r="G284">
        <f t="shared" si="20"/>
        <v>-2.3955673832853721</v>
      </c>
      <c r="H284">
        <f t="shared" si="21"/>
        <v>-2.2656309565215622</v>
      </c>
      <c r="I284">
        <f t="shared" si="22"/>
        <v>-2.2749139400906691</v>
      </c>
      <c r="J284" s="4"/>
      <c r="K284">
        <f t="shared" si="23"/>
        <v>-2.3120374266325343</v>
      </c>
      <c r="M284">
        <f t="shared" si="24"/>
        <v>7.248781752684226E-2</v>
      </c>
      <c r="O284" s="2" t="s">
        <v>289</v>
      </c>
    </row>
    <row r="285" spans="1:15">
      <c r="A285">
        <v>283</v>
      </c>
      <c r="B285">
        <v>117</v>
      </c>
      <c r="C285">
        <v>0</v>
      </c>
      <c r="D285">
        <v>1</v>
      </c>
      <c r="E285">
        <v>1</v>
      </c>
      <c r="G285" t="e">
        <f t="shared" si="20"/>
        <v>#NUM!</v>
      </c>
      <c r="H285">
        <f t="shared" si="21"/>
        <v>-2.5142728827258551</v>
      </c>
      <c r="I285">
        <f t="shared" si="22"/>
        <v>-2.523555866294962</v>
      </c>
      <c r="J285" s="4"/>
      <c r="K285" t="e">
        <f t="shared" si="23"/>
        <v>#NUM!</v>
      </c>
      <c r="M285" t="e">
        <f t="shared" si="24"/>
        <v>#NUM!</v>
      </c>
      <c r="O285" s="2" t="s">
        <v>290</v>
      </c>
    </row>
    <row r="286" spans="1:15">
      <c r="A286">
        <v>284</v>
      </c>
      <c r="B286">
        <v>205</v>
      </c>
      <c r="C286">
        <v>3</v>
      </c>
      <c r="D286">
        <v>5</v>
      </c>
      <c r="E286">
        <v>1</v>
      </c>
      <c r="G286">
        <f t="shared" si="20"/>
        <v>-2.4106560540795954</v>
      </c>
      <c r="H286">
        <f t="shared" si="21"/>
        <v>-2.0588708776994293</v>
      </c>
      <c r="I286">
        <f t="shared" si="22"/>
        <v>-2.7671238656045545</v>
      </c>
      <c r="J286" s="4"/>
      <c r="K286">
        <f t="shared" si="23"/>
        <v>-2.4122169324611931</v>
      </c>
      <c r="M286">
        <f t="shared" si="24"/>
        <v>0.35412907389132292</v>
      </c>
      <c r="O286" s="2" t="s">
        <v>291</v>
      </c>
    </row>
    <row r="287" spans="1:15">
      <c r="A287">
        <v>285</v>
      </c>
      <c r="B287">
        <v>258</v>
      </c>
      <c r="C287">
        <v>1</v>
      </c>
      <c r="D287">
        <v>1</v>
      </c>
      <c r="E287">
        <v>3</v>
      </c>
      <c r="G287">
        <f t="shared" si="20"/>
        <v>-2.9876431537067334</v>
      </c>
      <c r="H287">
        <f t="shared" si="21"/>
        <v>-2.8577067269429239</v>
      </c>
      <c r="I287">
        <f t="shared" si="22"/>
        <v>-2.3898684557923682</v>
      </c>
      <c r="J287" s="4"/>
      <c r="K287">
        <f t="shared" si="23"/>
        <v>-2.7450727788140079</v>
      </c>
      <c r="M287">
        <f t="shared" si="24"/>
        <v>0.31440173674772065</v>
      </c>
      <c r="O287" s="2" t="s">
        <v>292</v>
      </c>
    </row>
    <row r="288" spans="1:15">
      <c r="A288">
        <v>286</v>
      </c>
      <c r="B288">
        <v>31</v>
      </c>
      <c r="C288">
        <v>1</v>
      </c>
      <c r="D288">
        <v>0</v>
      </c>
      <c r="E288">
        <v>0</v>
      </c>
      <c r="G288">
        <f t="shared" si="20"/>
        <v>-2.067385141577776</v>
      </c>
      <c r="H288" t="e">
        <f t="shared" si="21"/>
        <v>#NUM!</v>
      </c>
      <c r="I288" t="e">
        <f t="shared" si="22"/>
        <v>#NUM!</v>
      </c>
      <c r="J288" s="4"/>
      <c r="K288" t="e">
        <f t="shared" si="23"/>
        <v>#NUM!</v>
      </c>
      <c r="M288" t="e">
        <f t="shared" si="24"/>
        <v>#NUM!</v>
      </c>
      <c r="O288" s="2" t="s">
        <v>293</v>
      </c>
    </row>
    <row r="289" spans="1:15">
      <c r="A289">
        <v>287</v>
      </c>
      <c r="B289">
        <v>196</v>
      </c>
      <c r="C289">
        <v>1</v>
      </c>
      <c r="D289">
        <v>2</v>
      </c>
      <c r="E289">
        <v>3</v>
      </c>
      <c r="G289">
        <f t="shared" si="20"/>
        <v>-2.8682795190999792</v>
      </c>
      <c r="H289">
        <f t="shared" si="21"/>
        <v>-2.4373130966721885</v>
      </c>
      <c r="I289">
        <f t="shared" si="22"/>
        <v>-2.2705048211856136</v>
      </c>
      <c r="J289" s="4"/>
      <c r="K289">
        <f t="shared" si="23"/>
        <v>-2.5253658123192606</v>
      </c>
      <c r="M289">
        <f t="shared" si="24"/>
        <v>0.30846167981820832</v>
      </c>
      <c r="O289" s="2" t="s">
        <v>294</v>
      </c>
    </row>
    <row r="290" spans="1:15">
      <c r="A290">
        <v>288</v>
      </c>
      <c r="B290">
        <v>140</v>
      </c>
      <c r="C290">
        <v>1</v>
      </c>
      <c r="D290">
        <v>1</v>
      </c>
      <c r="E290">
        <v>1</v>
      </c>
      <c r="G290">
        <f t="shared" si="20"/>
        <v>-2.7221514834217415</v>
      </c>
      <c r="H290">
        <f t="shared" si="21"/>
        <v>-2.5922150566579321</v>
      </c>
      <c r="I290">
        <f t="shared" si="22"/>
        <v>-2.6014980402270385</v>
      </c>
      <c r="J290" s="4"/>
      <c r="K290">
        <f t="shared" si="23"/>
        <v>-2.6386215267689042</v>
      </c>
      <c r="M290">
        <f t="shared" si="24"/>
        <v>7.2487817526842122E-2</v>
      </c>
      <c r="O290" s="2" t="s">
        <v>295</v>
      </c>
    </row>
    <row r="291" spans="1:15">
      <c r="A291">
        <v>289</v>
      </c>
      <c r="B291">
        <v>52</v>
      </c>
      <c r="C291">
        <v>1</v>
      </c>
      <c r="D291">
        <v>3</v>
      </c>
      <c r="E291">
        <v>2</v>
      </c>
      <c r="G291">
        <f t="shared" si="20"/>
        <v>-2.2920267913783023</v>
      </c>
      <c r="H291">
        <f t="shared" si="21"/>
        <v>-1.6849691098948303</v>
      </c>
      <c r="I291">
        <f t="shared" si="22"/>
        <v>-1.8703433525196183</v>
      </c>
      <c r="J291" s="4"/>
      <c r="K291">
        <f t="shared" si="23"/>
        <v>-1.9491130845975837</v>
      </c>
      <c r="M291">
        <f t="shared" si="24"/>
        <v>0.31110008065049977</v>
      </c>
      <c r="O291" s="2" t="s">
        <v>296</v>
      </c>
    </row>
    <row r="292" spans="1:15">
      <c r="A292">
        <v>290</v>
      </c>
      <c r="B292">
        <v>175</v>
      </c>
      <c r="C292">
        <v>1</v>
      </c>
      <c r="D292">
        <v>1</v>
      </c>
      <c r="E292">
        <v>2</v>
      </c>
      <c r="G292">
        <f t="shared" si="20"/>
        <v>-2.8190614964297978</v>
      </c>
      <c r="H292">
        <f t="shared" si="21"/>
        <v>-2.6891250696659883</v>
      </c>
      <c r="I292">
        <f t="shared" si="22"/>
        <v>-2.3973780575711134</v>
      </c>
      <c r="J292" s="4"/>
      <c r="K292">
        <f t="shared" si="23"/>
        <v>-2.6351882078889663</v>
      </c>
      <c r="M292">
        <f t="shared" si="24"/>
        <v>0.21595397529493779</v>
      </c>
      <c r="O292" s="2" t="s">
        <v>297</v>
      </c>
    </row>
    <row r="293" spans="1:15">
      <c r="A293">
        <v>291</v>
      </c>
      <c r="B293">
        <v>108</v>
      </c>
      <c r="C293">
        <v>3</v>
      </c>
      <c r="D293">
        <v>0</v>
      </c>
      <c r="E293">
        <v>0</v>
      </c>
      <c r="G293">
        <f t="shared" si="20"/>
        <v>-2.1323259485107906</v>
      </c>
      <c r="H293" t="e">
        <f t="shared" si="21"/>
        <v>#NUM!</v>
      </c>
      <c r="I293" t="e">
        <f t="shared" si="22"/>
        <v>#NUM!</v>
      </c>
      <c r="J293" s="4"/>
      <c r="K293" t="e">
        <f t="shared" si="23"/>
        <v>#NUM!</v>
      </c>
      <c r="M293" t="e">
        <f t="shared" si="24"/>
        <v>#NUM!</v>
      </c>
      <c r="O293" s="2" t="s">
        <v>298</v>
      </c>
    </row>
    <row r="294" spans="1:15">
      <c r="A294">
        <v>292</v>
      </c>
      <c r="B294">
        <v>206</v>
      </c>
      <c r="C294">
        <v>2043</v>
      </c>
      <c r="D294">
        <v>2059</v>
      </c>
      <c r="E294">
        <v>2006</v>
      </c>
      <c r="G294">
        <f t="shared" si="20"/>
        <v>0.4203776985197909</v>
      </c>
      <c r="H294">
        <f t="shared" si="21"/>
        <v>0.55370210526918429</v>
      </c>
      <c r="I294">
        <f t="shared" si="22"/>
        <v>0.5330937037664456</v>
      </c>
      <c r="J294" s="4"/>
      <c r="K294">
        <f t="shared" si="23"/>
        <v>0.50239116918514026</v>
      </c>
      <c r="M294">
        <f t="shared" si="24"/>
        <v>7.1769308071463728E-2</v>
      </c>
      <c r="O294" s="2" t="s">
        <v>299</v>
      </c>
    </row>
    <row r="295" spans="1:15">
      <c r="A295">
        <v>293</v>
      </c>
      <c r="B295">
        <v>116</v>
      </c>
      <c r="C295">
        <v>500</v>
      </c>
      <c r="D295">
        <v>316</v>
      </c>
      <c r="E295">
        <v>290</v>
      </c>
      <c r="G295">
        <f t="shared" si="20"/>
        <v>5.8488567365597044E-2</v>
      </c>
      <c r="H295">
        <f t="shared" si="21"/>
        <v>-1.085792758820836E-2</v>
      </c>
      <c r="I295">
        <f t="shared" si="22"/>
        <v>-5.7429995876762674E-2</v>
      </c>
      <c r="J295" s="4"/>
      <c r="K295">
        <f t="shared" si="23"/>
        <v>-3.2664520331246636E-3</v>
      </c>
      <c r="M295">
        <f t="shared" si="24"/>
        <v>5.833096263452895E-2</v>
      </c>
      <c r="O295" s="2" t="s">
        <v>300</v>
      </c>
    </row>
    <row r="296" spans="1:15">
      <c r="A296">
        <v>294</v>
      </c>
      <c r="B296">
        <v>128</v>
      </c>
      <c r="C296">
        <v>619</v>
      </c>
      <c r="D296">
        <v>503</v>
      </c>
      <c r="E296">
        <v>483</v>
      </c>
      <c r="G296">
        <f t="shared" si="20"/>
        <v>0.10845723162874632</v>
      </c>
      <c r="H296">
        <f t="shared" si="21"/>
        <v>0.14827099442836533</v>
      </c>
      <c r="I296">
        <f t="shared" si="22"/>
        <v>0.12136715655484354</v>
      </c>
      <c r="J296" s="4"/>
      <c r="K296">
        <f t="shared" si="23"/>
        <v>0.12603179420398505</v>
      </c>
      <c r="M296">
        <f t="shared" si="24"/>
        <v>2.031263302391936E-2</v>
      </c>
      <c r="O296" s="2" t="s">
        <v>301</v>
      </c>
    </row>
    <row r="297" spans="1:15">
      <c r="A297">
        <v>295</v>
      </c>
      <c r="B297">
        <v>71</v>
      </c>
      <c r="C297">
        <v>0</v>
      </c>
      <c r="D297">
        <v>1</v>
      </c>
      <c r="E297">
        <v>1</v>
      </c>
      <c r="G297" t="e">
        <f t="shared" si="20"/>
        <v>#NUM!</v>
      </c>
      <c r="H297">
        <f t="shared" si="21"/>
        <v>-2.2973453696987689</v>
      </c>
      <c r="I297">
        <f t="shared" si="22"/>
        <v>-2.3066283532678753</v>
      </c>
      <c r="J297" s="4"/>
      <c r="K297" t="e">
        <f t="shared" si="23"/>
        <v>#NUM!</v>
      </c>
      <c r="M297" t="e">
        <f t="shared" si="24"/>
        <v>#NUM!</v>
      </c>
      <c r="O297" s="2" t="s">
        <v>302</v>
      </c>
    </row>
    <row r="298" spans="1:15">
      <c r="A298">
        <v>296</v>
      </c>
      <c r="B298">
        <v>44</v>
      </c>
      <c r="C298">
        <v>502</v>
      </c>
      <c r="D298">
        <v>385</v>
      </c>
      <c r="E298">
        <v>312</v>
      </c>
      <c r="G298">
        <f t="shared" si="20"/>
        <v>0.48122759291532846</v>
      </c>
      <c r="H298">
        <f t="shared" si="21"/>
        <v>0.49592103204261961</v>
      </c>
      <c r="I298">
        <f t="shared" si="22"/>
        <v>0.39533191298345505</v>
      </c>
      <c r="J298" s="4"/>
      <c r="K298">
        <f t="shared" si="23"/>
        <v>0.45749351264713439</v>
      </c>
      <c r="M298">
        <f t="shared" si="24"/>
        <v>5.4332519202660814E-2</v>
      </c>
      <c r="O298" s="2" t="s">
        <v>303</v>
      </c>
    </row>
    <row r="299" spans="1:15">
      <c r="A299">
        <v>297</v>
      </c>
      <c r="B299">
        <v>159</v>
      </c>
      <c r="C299">
        <v>2</v>
      </c>
      <c r="D299">
        <v>4</v>
      </c>
      <c r="E299">
        <v>4</v>
      </c>
      <c r="G299">
        <f t="shared" si="20"/>
        <v>-2.4763905763999734</v>
      </c>
      <c r="H299">
        <f t="shared" si="21"/>
        <v>-2.0454241539721827</v>
      </c>
      <c r="I299">
        <f t="shared" si="22"/>
        <v>-2.0547071375412891</v>
      </c>
      <c r="J299" s="4"/>
      <c r="K299">
        <f t="shared" si="23"/>
        <v>-2.1921739559711484</v>
      </c>
      <c r="M299">
        <f t="shared" si="24"/>
        <v>0.24618257237662697</v>
      </c>
      <c r="O299" s="2" t="s">
        <v>304</v>
      </c>
    </row>
    <row r="300" spans="1:15">
      <c r="A300">
        <v>298</v>
      </c>
      <c r="B300">
        <v>531</v>
      </c>
      <c r="C300">
        <v>5</v>
      </c>
      <c r="D300">
        <v>5</v>
      </c>
      <c r="E300">
        <v>12</v>
      </c>
      <c r="G300">
        <f t="shared" si="20"/>
        <v>-2.6021479644889536</v>
      </c>
      <c r="H300">
        <f t="shared" si="21"/>
        <v>-2.4722115377251441</v>
      </c>
      <c r="I300">
        <f t="shared" si="22"/>
        <v>-2.1012832795826446</v>
      </c>
      <c r="J300" s="4"/>
      <c r="K300">
        <f t="shared" si="23"/>
        <v>-2.3918809272655808</v>
      </c>
      <c r="M300">
        <f t="shared" si="24"/>
        <v>0.25991558894991013</v>
      </c>
      <c r="O300" s="2" t="s">
        <v>305</v>
      </c>
    </row>
    <row r="301" spans="1:15">
      <c r="A301">
        <v>299</v>
      </c>
      <c r="B301">
        <v>164</v>
      </c>
      <c r="C301">
        <v>3</v>
      </c>
      <c r="D301">
        <v>3</v>
      </c>
      <c r="E301">
        <v>2</v>
      </c>
      <c r="G301">
        <f t="shared" si="20"/>
        <v>-2.3137460410715391</v>
      </c>
      <c r="H301">
        <f t="shared" si="21"/>
        <v>-2.1838096143077292</v>
      </c>
      <c r="I301">
        <f t="shared" si="22"/>
        <v>-2.369183856932517</v>
      </c>
      <c r="J301" s="4"/>
      <c r="K301">
        <f t="shared" si="23"/>
        <v>-2.288913170770595</v>
      </c>
      <c r="M301">
        <f t="shared" si="24"/>
        <v>9.5149388031221985E-2</v>
      </c>
      <c r="O301" s="2" t="s">
        <v>306</v>
      </c>
    </row>
    <row r="302" spans="1:15">
      <c r="A302">
        <v>300</v>
      </c>
      <c r="B302">
        <v>56</v>
      </c>
      <c r="C302">
        <v>0</v>
      </c>
      <c r="D302">
        <v>0</v>
      </c>
      <c r="E302">
        <v>1</v>
      </c>
      <c r="G302" t="e">
        <f t="shared" si="20"/>
        <v>#NUM!</v>
      </c>
      <c r="H302" t="e">
        <f t="shared" si="21"/>
        <v>#NUM!</v>
      </c>
      <c r="I302">
        <f t="shared" si="22"/>
        <v>-2.2035580315550005</v>
      </c>
      <c r="J302" s="4"/>
      <c r="K302" t="e">
        <f t="shared" si="23"/>
        <v>#NUM!</v>
      </c>
      <c r="M302" t="e">
        <f t="shared" si="24"/>
        <v>#NUM!</v>
      </c>
      <c r="O302" s="2" t="s">
        <v>307</v>
      </c>
    </row>
    <row r="303" spans="1:15">
      <c r="A303">
        <v>301</v>
      </c>
      <c r="B303">
        <v>67</v>
      </c>
      <c r="C303">
        <v>1</v>
      </c>
      <c r="D303">
        <v>1</v>
      </c>
      <c r="E303">
        <v>3</v>
      </c>
      <c r="G303">
        <f t="shared" si="20"/>
        <v>-2.4020982504443298</v>
      </c>
      <c r="H303">
        <f t="shared" si="21"/>
        <v>-2.2721618236805199</v>
      </c>
      <c r="I303">
        <f t="shared" si="22"/>
        <v>-1.8043235525299643</v>
      </c>
      <c r="J303" s="4"/>
      <c r="K303">
        <f t="shared" si="23"/>
        <v>-2.1595278755516047</v>
      </c>
      <c r="M303">
        <f t="shared" si="24"/>
        <v>0.31440173674772282</v>
      </c>
      <c r="O303" s="2" t="s">
        <v>308</v>
      </c>
    </row>
    <row r="304" spans="1:15">
      <c r="A304">
        <v>302</v>
      </c>
      <c r="B304">
        <v>51</v>
      </c>
      <c r="C304">
        <v>304</v>
      </c>
      <c r="D304">
        <v>222</v>
      </c>
      <c r="E304">
        <v>303</v>
      </c>
      <c r="G304">
        <f t="shared" si="20"/>
        <v>0.19927995976731405</v>
      </c>
      <c r="H304">
        <f t="shared" si="21"/>
        <v>0.19269577737300858</v>
      </c>
      <c r="I304">
        <f t="shared" si="22"/>
        <v>0.31850244785556836</v>
      </c>
      <c r="J304" s="4"/>
      <c r="K304">
        <f t="shared" si="23"/>
        <v>0.23682606166529699</v>
      </c>
      <c r="M304">
        <f t="shared" si="24"/>
        <v>7.0810394083616945E-2</v>
      </c>
      <c r="O304" s="2" t="s">
        <v>309</v>
      </c>
    </row>
    <row r="305" spans="1:15">
      <c r="A305">
        <v>303</v>
      </c>
      <c r="B305">
        <v>69</v>
      </c>
      <c r="C305">
        <v>578</v>
      </c>
      <c r="D305">
        <v>485</v>
      </c>
      <c r="E305">
        <v>579</v>
      </c>
      <c r="G305">
        <f t="shared" si="20"/>
        <v>0.34705529993977036</v>
      </c>
      <c r="H305">
        <f t="shared" si="21"/>
        <v>0.40080562688531474</v>
      </c>
      <c r="I305">
        <f t="shared" si="22"/>
        <v>0.46845946844138064</v>
      </c>
      <c r="J305" s="4"/>
      <c r="K305">
        <f t="shared" si="23"/>
        <v>0.4054401317554886</v>
      </c>
      <c r="M305">
        <f t="shared" si="24"/>
        <v>6.0834628370160848E-2</v>
      </c>
      <c r="O305" s="2" t="s">
        <v>310</v>
      </c>
    </row>
    <row r="306" spans="1:15">
      <c r="A306">
        <v>304</v>
      </c>
      <c r="B306">
        <v>188</v>
      </c>
      <c r="C306">
        <v>4</v>
      </c>
      <c r="D306">
        <v>1</v>
      </c>
      <c r="E306">
        <v>1</v>
      </c>
      <c r="G306">
        <f t="shared" si="20"/>
        <v>-2.2481213056792209</v>
      </c>
      <c r="H306">
        <f t="shared" si="21"/>
        <v>-2.7202448702433735</v>
      </c>
      <c r="I306">
        <f t="shared" si="22"/>
        <v>-2.7295278538124803</v>
      </c>
      <c r="J306" s="4"/>
      <c r="K306">
        <f t="shared" si="23"/>
        <v>-2.5659646765783584</v>
      </c>
      <c r="M306">
        <f t="shared" si="24"/>
        <v>0.27529956368360087</v>
      </c>
      <c r="O306" s="2" t="s">
        <v>311</v>
      </c>
    </row>
    <row r="307" spans="1:15">
      <c r="A307">
        <v>305</v>
      </c>
      <c r="B307">
        <v>76</v>
      </c>
      <c r="C307">
        <v>1</v>
      </c>
      <c r="D307">
        <v>0</v>
      </c>
      <c r="E307">
        <v>0</v>
      </c>
      <c r="G307">
        <f t="shared" si="20"/>
        <v>-2.4568370400242947</v>
      </c>
      <c r="H307" t="e">
        <f t="shared" si="21"/>
        <v>#NUM!</v>
      </c>
      <c r="I307" t="e">
        <f t="shared" si="22"/>
        <v>#NUM!</v>
      </c>
      <c r="J307" s="4"/>
      <c r="K307" t="e">
        <f t="shared" si="23"/>
        <v>#NUM!</v>
      </c>
      <c r="M307" t="e">
        <f t="shared" si="24"/>
        <v>#NUM!</v>
      </c>
      <c r="O307" s="2" t="s">
        <v>312</v>
      </c>
    </row>
    <row r="308" spans="1:15">
      <c r="A308">
        <v>306</v>
      </c>
      <c r="B308">
        <v>359</v>
      </c>
      <c r="C308">
        <v>2</v>
      </c>
      <c r="D308">
        <v>6</v>
      </c>
      <c r="E308">
        <v>3</v>
      </c>
      <c r="G308">
        <f t="shared" si="20"/>
        <v>-2.8300879006578414</v>
      </c>
      <c r="H308">
        <f t="shared" si="21"/>
        <v>-2.2230302191743689</v>
      </c>
      <c r="I308">
        <f t="shared" si="22"/>
        <v>-2.533343198407457</v>
      </c>
      <c r="J308" s="4"/>
      <c r="K308">
        <f t="shared" si="23"/>
        <v>-2.5288204394132223</v>
      </c>
      <c r="M308">
        <f t="shared" si="24"/>
        <v>0.30355411160732487</v>
      </c>
      <c r="O308" s="2" t="s">
        <v>313</v>
      </c>
    </row>
    <row r="309" spans="1:15">
      <c r="A309">
        <v>307</v>
      </c>
      <c r="B309">
        <v>47</v>
      </c>
      <c r="C309">
        <v>6</v>
      </c>
      <c r="D309">
        <v>6</v>
      </c>
      <c r="E309">
        <v>4</v>
      </c>
      <c r="G309">
        <f t="shared" si="20"/>
        <v>-1.4699700552955772</v>
      </c>
      <c r="H309">
        <f t="shared" si="21"/>
        <v>-1.3400336285317676</v>
      </c>
      <c r="I309">
        <f t="shared" si="22"/>
        <v>-1.5254078711565553</v>
      </c>
      <c r="J309" s="4"/>
      <c r="K309">
        <f t="shared" si="23"/>
        <v>-1.4451371849946335</v>
      </c>
      <c r="M309">
        <f t="shared" si="24"/>
        <v>9.5149388031221943E-2</v>
      </c>
      <c r="O309" s="2" t="s">
        <v>314</v>
      </c>
    </row>
    <row r="310" spans="1:15">
      <c r="A310">
        <v>308</v>
      </c>
      <c r="B310">
        <v>537</v>
      </c>
      <c r="C310">
        <v>8</v>
      </c>
      <c r="D310">
        <v>9</v>
      </c>
      <c r="E310">
        <v>4</v>
      </c>
      <c r="G310">
        <f t="shared" si="20"/>
        <v>-2.402907746451115</v>
      </c>
      <c r="H310">
        <f t="shared" si="21"/>
        <v>-2.2218187972399246</v>
      </c>
      <c r="I310">
        <f t="shared" si="22"/>
        <v>-2.5832842989203937</v>
      </c>
      <c r="J310" s="4"/>
      <c r="K310">
        <f t="shared" si="23"/>
        <v>-2.4026702808704776</v>
      </c>
      <c r="M310">
        <f t="shared" si="24"/>
        <v>0.18073286784286027</v>
      </c>
      <c r="O310" s="2" t="s">
        <v>315</v>
      </c>
    </row>
    <row r="311" spans="1:15">
      <c r="A311">
        <v>309</v>
      </c>
      <c r="B311">
        <v>67</v>
      </c>
      <c r="C311">
        <v>104</v>
      </c>
      <c r="D311">
        <v>142</v>
      </c>
      <c r="E311">
        <v>137</v>
      </c>
      <c r="G311">
        <f t="shared" si="20"/>
        <v>-0.38506491114554942</v>
      </c>
      <c r="H311">
        <f t="shared" si="21"/>
        <v>-0.11987347929746361</v>
      </c>
      <c r="I311">
        <f t="shared" si="22"/>
        <v>-0.14472424009321994</v>
      </c>
      <c r="J311" s="4"/>
      <c r="K311">
        <f t="shared" si="23"/>
        <v>-0.21655421017874432</v>
      </c>
      <c r="M311">
        <f t="shared" si="24"/>
        <v>0.14646256290695919</v>
      </c>
      <c r="O311" s="2" t="s">
        <v>316</v>
      </c>
    </row>
    <row r="312" spans="1:15">
      <c r="A312">
        <v>310</v>
      </c>
      <c r="B312">
        <v>88</v>
      </c>
      <c r="C312">
        <v>0</v>
      </c>
      <c r="D312">
        <v>0</v>
      </c>
      <c r="E312">
        <v>1</v>
      </c>
      <c r="G312" t="e">
        <f t="shared" si="20"/>
        <v>#NUM!</v>
      </c>
      <c r="H312" t="e">
        <f t="shared" si="21"/>
        <v>#NUM!</v>
      </c>
      <c r="I312">
        <f t="shared" si="22"/>
        <v>-2.399852676698969</v>
      </c>
      <c r="J312" s="4"/>
      <c r="K312" t="e">
        <f t="shared" si="23"/>
        <v>#NUM!</v>
      </c>
      <c r="M312" t="e">
        <f t="shared" si="24"/>
        <v>#NUM!</v>
      </c>
      <c r="O312" s="2" t="s">
        <v>317</v>
      </c>
    </row>
    <row r="313" spans="1:15">
      <c r="A313">
        <v>311</v>
      </c>
      <c r="B313">
        <v>69</v>
      </c>
      <c r="C313">
        <v>1</v>
      </c>
      <c r="D313">
        <v>0</v>
      </c>
      <c r="E313">
        <v>0</v>
      </c>
      <c r="G313">
        <f t="shared" si="20"/>
        <v>-2.4148725384807586</v>
      </c>
      <c r="H313" t="e">
        <f t="shared" si="21"/>
        <v>#NUM!</v>
      </c>
      <c r="I313" t="e">
        <f t="shared" si="22"/>
        <v>#NUM!</v>
      </c>
      <c r="J313" s="4"/>
      <c r="K313" t="e">
        <f t="shared" si="23"/>
        <v>#NUM!</v>
      </c>
      <c r="M313" t="e">
        <f t="shared" si="24"/>
        <v>#NUM!</v>
      </c>
      <c r="O313" s="2" t="s">
        <v>318</v>
      </c>
    </row>
    <row r="314" spans="1:15">
      <c r="A314">
        <v>312</v>
      </c>
      <c r="B314">
        <v>48</v>
      </c>
      <c r="C314">
        <v>0</v>
      </c>
      <c r="D314">
        <v>0</v>
      </c>
      <c r="E314">
        <v>2</v>
      </c>
      <c r="G314" t="e">
        <f t="shared" si="20"/>
        <v>#NUM!</v>
      </c>
      <c r="H314" t="e">
        <f t="shared" si="21"/>
        <v>#NUM!</v>
      </c>
      <c r="I314">
        <f t="shared" si="22"/>
        <v>-1.8355812462604064</v>
      </c>
      <c r="J314" s="4"/>
      <c r="K314" t="e">
        <f t="shared" si="23"/>
        <v>#NUM!</v>
      </c>
      <c r="M314" t="e">
        <f t="shared" si="24"/>
        <v>#NUM!</v>
      </c>
      <c r="O314" s="2" t="s">
        <v>319</v>
      </c>
    </row>
    <row r="315" spans="1:15">
      <c r="A315">
        <v>313</v>
      </c>
      <c r="B315">
        <v>423</v>
      </c>
      <c r="C315">
        <v>6199</v>
      </c>
      <c r="D315">
        <v>5285</v>
      </c>
      <c r="E315">
        <v>5531</v>
      </c>
      <c r="G315">
        <f t="shared" si="20"/>
        <v>0.58995782123302787</v>
      </c>
      <c r="H315">
        <f t="shared" si="21"/>
        <v>0.65061760328870899</v>
      </c>
      <c r="I315">
        <f t="shared" si="22"/>
        <v>0.66109328654532296</v>
      </c>
      <c r="J315" s="4"/>
      <c r="K315">
        <f t="shared" si="23"/>
        <v>0.6338895703556866</v>
      </c>
      <c r="M315">
        <f t="shared" si="24"/>
        <v>3.840486844991655E-2</v>
      </c>
      <c r="O315" s="2" t="s">
        <v>320</v>
      </c>
    </row>
    <row r="316" spans="1:15">
      <c r="A316">
        <v>314</v>
      </c>
      <c r="B316">
        <v>188</v>
      </c>
      <c r="C316">
        <v>1</v>
      </c>
      <c r="D316">
        <v>2</v>
      </c>
      <c r="E316">
        <v>0</v>
      </c>
      <c r="G316">
        <f t="shared" si="20"/>
        <v>-2.8501812970071834</v>
      </c>
      <c r="H316">
        <f t="shared" si="21"/>
        <v>-2.4192148745793922</v>
      </c>
      <c r="I316" t="e">
        <f t="shared" si="22"/>
        <v>#NUM!</v>
      </c>
      <c r="J316" s="4"/>
      <c r="K316" t="e">
        <f t="shared" si="23"/>
        <v>#NUM!</v>
      </c>
      <c r="M316" t="e">
        <f t="shared" si="24"/>
        <v>#NUM!</v>
      </c>
      <c r="O316" s="2" t="s">
        <v>321</v>
      </c>
    </row>
    <row r="317" spans="1:15">
      <c r="A317">
        <v>315</v>
      </c>
      <c r="B317">
        <v>103</v>
      </c>
      <c r="C317">
        <v>1</v>
      </c>
      <c r="D317">
        <v>1</v>
      </c>
      <c r="E317">
        <v>0</v>
      </c>
      <c r="G317">
        <f t="shared" si="20"/>
        <v>-2.5888606724486758</v>
      </c>
      <c r="H317">
        <f t="shared" si="21"/>
        <v>-2.4589242456848659</v>
      </c>
      <c r="I317" t="e">
        <f t="shared" si="22"/>
        <v>#NUM!</v>
      </c>
      <c r="J317" s="4"/>
      <c r="K317" t="e">
        <f t="shared" si="23"/>
        <v>#NUM!</v>
      </c>
      <c r="M317" t="e">
        <f t="shared" si="24"/>
        <v>#NUM!</v>
      </c>
      <c r="O317" s="2" t="s">
        <v>322</v>
      </c>
    </row>
    <row r="318" spans="1:15">
      <c r="A318">
        <v>316</v>
      </c>
      <c r="B318">
        <v>106</v>
      </c>
      <c r="C318">
        <v>1</v>
      </c>
      <c r="D318">
        <v>2</v>
      </c>
      <c r="E318">
        <v>0</v>
      </c>
      <c r="G318">
        <f t="shared" si="20"/>
        <v>-2.6013293130082737</v>
      </c>
      <c r="H318">
        <f t="shared" si="21"/>
        <v>-2.170362890580483</v>
      </c>
      <c r="I318" t="e">
        <f t="shared" si="22"/>
        <v>#NUM!</v>
      </c>
      <c r="J318" s="4"/>
      <c r="K318" t="e">
        <f t="shared" si="23"/>
        <v>#NUM!</v>
      </c>
      <c r="M318" t="e">
        <f t="shared" si="24"/>
        <v>#NUM!</v>
      </c>
      <c r="O318" s="2" t="s">
        <v>323</v>
      </c>
    </row>
    <row r="319" spans="1:15">
      <c r="A319">
        <v>317</v>
      </c>
      <c r="B319">
        <v>99</v>
      </c>
      <c r="C319">
        <v>0</v>
      </c>
      <c r="D319">
        <v>1</v>
      </c>
      <c r="E319">
        <v>1</v>
      </c>
      <c r="G319" t="e">
        <f t="shared" si="20"/>
        <v>#NUM!</v>
      </c>
      <c r="H319">
        <f t="shared" si="21"/>
        <v>-2.4417222155772436</v>
      </c>
      <c r="I319">
        <f t="shared" si="22"/>
        <v>-2.4510051991463504</v>
      </c>
      <c r="J319" s="4"/>
      <c r="K319" t="e">
        <f t="shared" si="23"/>
        <v>#NUM!</v>
      </c>
      <c r="M319" t="e">
        <f t="shared" si="24"/>
        <v>#NUM!</v>
      </c>
      <c r="O319" s="2" t="s">
        <v>324</v>
      </c>
    </row>
    <row r="320" spans="1:15">
      <c r="A320">
        <v>318</v>
      </c>
      <c r="B320">
        <v>226</v>
      </c>
      <c r="C320">
        <v>2</v>
      </c>
      <c r="D320">
        <v>1</v>
      </c>
      <c r="E320">
        <v>3</v>
      </c>
      <c r="G320">
        <f t="shared" si="20"/>
        <v>-2.6291018912269233</v>
      </c>
      <c r="H320">
        <f t="shared" si="21"/>
        <v>-2.8001954601270942</v>
      </c>
      <c r="I320">
        <f t="shared" si="22"/>
        <v>-2.3323571889765389</v>
      </c>
      <c r="J320" s="4"/>
      <c r="K320">
        <f t="shared" si="23"/>
        <v>-2.5872181801101859</v>
      </c>
      <c r="M320">
        <f t="shared" si="24"/>
        <v>0.23671469310325435</v>
      </c>
      <c r="O320" s="2" t="s">
        <v>325</v>
      </c>
    </row>
    <row r="321" spans="1:15">
      <c r="A321">
        <v>319</v>
      </c>
      <c r="B321">
        <v>324</v>
      </c>
      <c r="C321">
        <v>4</v>
      </c>
      <c r="D321">
        <v>4</v>
      </c>
      <c r="E321">
        <v>3</v>
      </c>
      <c r="G321">
        <f t="shared" si="20"/>
        <v>-2.4845084666221533</v>
      </c>
      <c r="H321">
        <f t="shared" si="21"/>
        <v>-2.3545720398583434</v>
      </c>
      <c r="I321">
        <f t="shared" si="22"/>
        <v>-2.4887937600357501</v>
      </c>
      <c r="J321" s="4"/>
      <c r="K321">
        <f t="shared" si="23"/>
        <v>-2.4426247555054155</v>
      </c>
      <c r="M321">
        <f t="shared" si="24"/>
        <v>7.6285984849959632E-2</v>
      </c>
      <c r="O321" s="2" t="s">
        <v>326</v>
      </c>
    </row>
    <row r="322" spans="1:15">
      <c r="A322">
        <v>320</v>
      </c>
      <c r="B322">
        <v>178</v>
      </c>
      <c r="C322">
        <v>2</v>
      </c>
      <c r="D322">
        <v>2</v>
      </c>
      <c r="E322">
        <v>4</v>
      </c>
      <c r="G322">
        <f t="shared" ref="G322:G385" si="25">LOG10(C322/B322)-LOG10(437/116)</f>
        <v>-2.5254134543884161</v>
      </c>
      <c r="H322">
        <f t="shared" ref="H322:H385" si="26">LOG10(D322/B322)-LOG10(324/116)</f>
        <v>-2.3954770276246062</v>
      </c>
      <c r="I322">
        <f t="shared" ref="I322:I385" si="27">LOG10(E322/B322)-LOG10(331/116)</f>
        <v>-2.1037300155297318</v>
      </c>
      <c r="J322" s="4"/>
      <c r="K322">
        <f t="shared" ref="K322:K385" si="28">AVERAGE(G322:I322)</f>
        <v>-2.3415401658475847</v>
      </c>
      <c r="M322">
        <f t="shared" ref="M322:M385" si="29">STDEV(G322:I322)</f>
        <v>0.21595397529493773</v>
      </c>
      <c r="O322" s="2" t="s">
        <v>327</v>
      </c>
    </row>
    <row r="323" spans="1:15">
      <c r="A323">
        <v>321</v>
      </c>
      <c r="B323">
        <v>199</v>
      </c>
      <c r="C323">
        <v>1</v>
      </c>
      <c r="D323">
        <v>1</v>
      </c>
      <c r="E323">
        <v>1</v>
      </c>
      <c r="G323">
        <f t="shared" si="25"/>
        <v>-2.8748765241532102</v>
      </c>
      <c r="H323">
        <f t="shared" si="26"/>
        <v>-2.7449400973894003</v>
      </c>
      <c r="I323">
        <f t="shared" si="27"/>
        <v>-2.7542230809585071</v>
      </c>
      <c r="J323" s="4"/>
      <c r="K323">
        <f t="shared" si="28"/>
        <v>-2.7913465675003728</v>
      </c>
      <c r="M323">
        <f t="shared" si="29"/>
        <v>7.248781752684226E-2</v>
      </c>
      <c r="O323" s="2" t="s">
        <v>328</v>
      </c>
    </row>
    <row r="324" spans="1:15">
      <c r="A324">
        <v>322</v>
      </c>
      <c r="B324">
        <v>127</v>
      </c>
      <c r="C324">
        <v>5</v>
      </c>
      <c r="D324">
        <v>10</v>
      </c>
      <c r="E324">
        <v>7</v>
      </c>
      <c r="G324">
        <f t="shared" si="25"/>
        <v>-1.9808571643634414</v>
      </c>
      <c r="H324">
        <f t="shared" si="26"/>
        <v>-1.5498907419356505</v>
      </c>
      <c r="I324">
        <f t="shared" si="27"/>
        <v>-1.7140756854905004</v>
      </c>
      <c r="J324" s="4"/>
      <c r="K324">
        <f t="shared" si="28"/>
        <v>-1.7482745305965306</v>
      </c>
      <c r="M324">
        <f t="shared" si="29"/>
        <v>0.217509045949803</v>
      </c>
      <c r="O324" s="2" t="s">
        <v>329</v>
      </c>
    </row>
    <row r="325" spans="1:15">
      <c r="A325">
        <v>323</v>
      </c>
      <c r="B325">
        <v>236</v>
      </c>
      <c r="C325">
        <v>2</v>
      </c>
      <c r="D325">
        <v>2</v>
      </c>
      <c r="E325">
        <v>6</v>
      </c>
      <c r="G325">
        <f t="shared" si="25"/>
        <v>-2.6479054550496288</v>
      </c>
      <c r="H325">
        <f t="shared" si="26"/>
        <v>-2.5179690282858189</v>
      </c>
      <c r="I325">
        <f t="shared" si="27"/>
        <v>-2.0501307571352632</v>
      </c>
      <c r="J325" s="4"/>
      <c r="K325">
        <f t="shared" si="28"/>
        <v>-2.4053350801569038</v>
      </c>
      <c r="M325">
        <f t="shared" si="29"/>
        <v>0.31440173674772137</v>
      </c>
      <c r="O325" s="2" t="s">
        <v>330</v>
      </c>
    </row>
    <row r="326" spans="1:15">
      <c r="A326">
        <v>324</v>
      </c>
      <c r="B326">
        <v>64</v>
      </c>
      <c r="C326">
        <v>3</v>
      </c>
      <c r="D326">
        <v>6</v>
      </c>
      <c r="E326">
        <v>6</v>
      </c>
      <c r="G326">
        <f t="shared" si="25"/>
        <v>-1.905082167007728</v>
      </c>
      <c r="H326">
        <f t="shared" si="26"/>
        <v>-1.4741157445799371</v>
      </c>
      <c r="I326">
        <f t="shared" si="27"/>
        <v>-1.4833987281490437</v>
      </c>
      <c r="J326" s="4"/>
      <c r="K326">
        <f t="shared" si="28"/>
        <v>-1.620865546578903</v>
      </c>
      <c r="M326">
        <f t="shared" si="29"/>
        <v>0.24618257237662911</v>
      </c>
      <c r="O326" s="2" t="s">
        <v>331</v>
      </c>
    </row>
    <row r="327" spans="1:15">
      <c r="A327">
        <v>325</v>
      </c>
      <c r="B327">
        <v>134</v>
      </c>
      <c r="C327">
        <v>1</v>
      </c>
      <c r="D327">
        <v>0</v>
      </c>
      <c r="E327">
        <v>2</v>
      </c>
      <c r="G327">
        <f t="shared" si="25"/>
        <v>-2.703128246108311</v>
      </c>
      <c r="H327" t="e">
        <f t="shared" si="26"/>
        <v>#NUM!</v>
      </c>
      <c r="I327">
        <f t="shared" si="27"/>
        <v>-2.2814448072496267</v>
      </c>
      <c r="J327" s="4"/>
      <c r="K327" t="e">
        <f t="shared" si="28"/>
        <v>#NUM!</v>
      </c>
      <c r="M327" t="e">
        <f t="shared" si="29"/>
        <v>#NUM!</v>
      </c>
      <c r="O327" s="2" t="s">
        <v>332</v>
      </c>
    </row>
    <row r="328" spans="1:15">
      <c r="A328">
        <v>326</v>
      </c>
      <c r="B328">
        <v>88</v>
      </c>
      <c r="C328">
        <v>2</v>
      </c>
      <c r="D328">
        <v>0</v>
      </c>
      <c r="E328">
        <v>0</v>
      </c>
      <c r="G328">
        <f t="shared" si="25"/>
        <v>-2.2194761242296908</v>
      </c>
      <c r="H328" t="e">
        <f t="shared" si="26"/>
        <v>#NUM!</v>
      </c>
      <c r="I328" t="e">
        <f t="shared" si="27"/>
        <v>#NUM!</v>
      </c>
      <c r="J328" s="4"/>
      <c r="K328" t="e">
        <f t="shared" si="28"/>
        <v>#NUM!</v>
      </c>
      <c r="M328" t="e">
        <f t="shared" si="29"/>
        <v>#NUM!</v>
      </c>
      <c r="O328" s="2" t="s">
        <v>333</v>
      </c>
    </row>
    <row r="329" spans="1:15">
      <c r="A329">
        <v>327</v>
      </c>
      <c r="B329">
        <v>149</v>
      </c>
      <c r="C329">
        <v>1</v>
      </c>
      <c r="D329">
        <v>4</v>
      </c>
      <c r="E329">
        <v>2</v>
      </c>
      <c r="G329">
        <f t="shared" si="25"/>
        <v>-2.7492097161557774</v>
      </c>
      <c r="H329">
        <f t="shared" si="26"/>
        <v>-2.0172132980640054</v>
      </c>
      <c r="I329">
        <f t="shared" si="27"/>
        <v>-2.327526277297093</v>
      </c>
      <c r="J329" s="4"/>
      <c r="K329">
        <f t="shared" si="28"/>
        <v>-2.3646497638389583</v>
      </c>
      <c r="M329">
        <f t="shared" si="29"/>
        <v>0.36740754478448778</v>
      </c>
      <c r="O329" s="2" t="s">
        <v>334</v>
      </c>
    </row>
    <row r="330" spans="1:15">
      <c r="A330">
        <v>328</v>
      </c>
      <c r="B330">
        <v>46</v>
      </c>
      <c r="C330">
        <v>0</v>
      </c>
      <c r="D330">
        <v>0</v>
      </c>
      <c r="E330">
        <v>1</v>
      </c>
      <c r="G330" t="e">
        <f t="shared" si="25"/>
        <v>#NUM!</v>
      </c>
      <c r="H330" t="e">
        <f t="shared" si="26"/>
        <v>#NUM!</v>
      </c>
      <c r="I330">
        <f t="shared" si="27"/>
        <v>-2.1181278362303742</v>
      </c>
      <c r="J330" s="4"/>
      <c r="K330" t="e">
        <f t="shared" si="28"/>
        <v>#NUM!</v>
      </c>
      <c r="M330" t="e">
        <f t="shared" si="29"/>
        <v>#NUM!</v>
      </c>
      <c r="O330" s="2" t="s">
        <v>335</v>
      </c>
    </row>
    <row r="331" spans="1:15">
      <c r="A331">
        <v>329</v>
      </c>
      <c r="B331">
        <v>304</v>
      </c>
      <c r="C331">
        <v>16</v>
      </c>
      <c r="D331">
        <v>29</v>
      </c>
      <c r="E331">
        <v>23</v>
      </c>
      <c r="G331">
        <f t="shared" si="25"/>
        <v>-1.8547770486963324</v>
      </c>
      <c r="H331">
        <f t="shared" si="26"/>
        <v>-1.4665626066894912</v>
      </c>
      <c r="I331">
        <f t="shared" si="27"/>
        <v>-1.5765157521399611</v>
      </c>
      <c r="J331" s="4"/>
      <c r="K331">
        <f t="shared" si="28"/>
        <v>-1.6326184691752619</v>
      </c>
      <c r="M331">
        <f t="shared" si="29"/>
        <v>0.20009560062562098</v>
      </c>
      <c r="O331" s="2" t="s">
        <v>336</v>
      </c>
    </row>
    <row r="332" spans="1:15">
      <c r="A332">
        <v>330</v>
      </c>
      <c r="B332">
        <v>383</v>
      </c>
      <c r="C332">
        <v>4</v>
      </c>
      <c r="D332">
        <v>1</v>
      </c>
      <c r="E332">
        <v>6</v>
      </c>
      <c r="G332">
        <f t="shared" si="25"/>
        <v>-2.5571622303841637</v>
      </c>
      <c r="H332">
        <f t="shared" si="26"/>
        <v>-3.0292857949483167</v>
      </c>
      <c r="I332">
        <f t="shared" si="27"/>
        <v>-2.2604175281337797</v>
      </c>
      <c r="J332" s="4"/>
      <c r="K332">
        <f t="shared" si="28"/>
        <v>-2.6156218511554199</v>
      </c>
      <c r="M332">
        <f t="shared" si="29"/>
        <v>0.38775346339412542</v>
      </c>
      <c r="O332" s="2" t="s">
        <v>337</v>
      </c>
    </row>
    <row r="333" spans="1:15">
      <c r="A333">
        <v>331</v>
      </c>
      <c r="B333">
        <v>72</v>
      </c>
      <c r="C333">
        <v>1</v>
      </c>
      <c r="D333">
        <v>0</v>
      </c>
      <c r="E333">
        <v>0</v>
      </c>
      <c r="G333">
        <f t="shared" si="25"/>
        <v>-2.4333559441747719</v>
      </c>
      <c r="H333" t="e">
        <f t="shared" si="26"/>
        <v>#NUM!</v>
      </c>
      <c r="I333" t="e">
        <f t="shared" si="27"/>
        <v>#NUM!</v>
      </c>
      <c r="J333" s="4"/>
      <c r="K333" t="e">
        <f t="shared" si="28"/>
        <v>#NUM!</v>
      </c>
      <c r="M333" t="e">
        <f t="shared" si="29"/>
        <v>#NUM!</v>
      </c>
      <c r="O333" s="2" t="s">
        <v>338</v>
      </c>
    </row>
    <row r="334" spans="1:15">
      <c r="A334">
        <v>332</v>
      </c>
      <c r="B334">
        <v>101</v>
      </c>
      <c r="C334">
        <v>4</v>
      </c>
      <c r="D334">
        <v>2</v>
      </c>
      <c r="E334">
        <v>1</v>
      </c>
      <c r="G334">
        <f t="shared" si="25"/>
        <v>-1.9782848301981835</v>
      </c>
      <c r="H334">
        <f t="shared" si="26"/>
        <v>-2.1493783990983548</v>
      </c>
      <c r="I334">
        <f t="shared" si="27"/>
        <v>-2.4596913783314429</v>
      </c>
      <c r="J334" s="4"/>
      <c r="K334">
        <f t="shared" si="28"/>
        <v>-2.1957848692093269</v>
      </c>
      <c r="M334">
        <f t="shared" si="29"/>
        <v>0.24403531813554258</v>
      </c>
      <c r="O334" s="2" t="s">
        <v>339</v>
      </c>
    </row>
    <row r="335" spans="1:15">
      <c r="A335">
        <v>333</v>
      </c>
      <c r="B335">
        <v>282</v>
      </c>
      <c r="C335">
        <v>5</v>
      </c>
      <c r="D335">
        <v>3</v>
      </c>
      <c r="E335">
        <v>2</v>
      </c>
      <c r="G335">
        <f t="shared" si="25"/>
        <v>-2.3273025517268455</v>
      </c>
      <c r="H335">
        <f t="shared" si="26"/>
        <v>-2.4192148745793922</v>
      </c>
      <c r="I335">
        <f t="shared" si="27"/>
        <v>-2.6045891172041804</v>
      </c>
      <c r="J335" s="4"/>
      <c r="K335">
        <f t="shared" si="28"/>
        <v>-2.4503688478368058</v>
      </c>
      <c r="M335">
        <f t="shared" si="29"/>
        <v>0.14124407026791186</v>
      </c>
      <c r="O335" s="2" t="s">
        <v>340</v>
      </c>
    </row>
    <row r="336" spans="1:15">
      <c r="A336">
        <v>334</v>
      </c>
      <c r="B336">
        <v>217</v>
      </c>
      <c r="C336">
        <v>1462</v>
      </c>
      <c r="D336">
        <v>945</v>
      </c>
      <c r="E336">
        <v>1453</v>
      </c>
      <c r="G336">
        <f t="shared" si="25"/>
        <v>0.25246419102980888</v>
      </c>
      <c r="H336">
        <f t="shared" si="26"/>
        <v>0.1928850536810397</v>
      </c>
      <c r="I336">
        <f t="shared" si="27"/>
        <v>0.37043587590069171</v>
      </c>
      <c r="J336" s="4"/>
      <c r="K336">
        <f t="shared" si="28"/>
        <v>0.27192837353718008</v>
      </c>
      <c r="M336">
        <f t="shared" si="29"/>
        <v>9.0361576005671879E-2</v>
      </c>
      <c r="O336" s="2" t="s">
        <v>341</v>
      </c>
    </row>
    <row r="337" spans="1:15">
      <c r="A337">
        <v>335</v>
      </c>
      <c r="B337">
        <v>158</v>
      </c>
      <c r="C337">
        <v>1</v>
      </c>
      <c r="D337">
        <v>0</v>
      </c>
      <c r="E337">
        <v>1</v>
      </c>
      <c r="G337">
        <f t="shared" si="25"/>
        <v>-2.774680534697926</v>
      </c>
      <c r="H337" t="e">
        <f t="shared" si="26"/>
        <v>#NUM!</v>
      </c>
      <c r="I337">
        <f t="shared" si="27"/>
        <v>-2.6540270915032229</v>
      </c>
      <c r="J337" s="4"/>
      <c r="K337" t="e">
        <f t="shared" si="28"/>
        <v>#NUM!</v>
      </c>
      <c r="M337" t="e">
        <f t="shared" si="29"/>
        <v>#NUM!</v>
      </c>
      <c r="O337" s="2" t="s">
        <v>342</v>
      </c>
    </row>
    <row r="338" spans="1:15">
      <c r="A338">
        <v>336</v>
      </c>
      <c r="B338">
        <v>125</v>
      </c>
      <c r="C338">
        <v>1</v>
      </c>
      <c r="D338">
        <v>2</v>
      </c>
      <c r="E338">
        <v>1</v>
      </c>
      <c r="G338">
        <f t="shared" si="25"/>
        <v>-2.6729334607515596</v>
      </c>
      <c r="H338">
        <f t="shared" si="26"/>
        <v>-2.2419670383237689</v>
      </c>
      <c r="I338">
        <f t="shared" si="27"/>
        <v>-2.5522800175568565</v>
      </c>
      <c r="J338" s="4"/>
      <c r="K338">
        <f t="shared" si="28"/>
        <v>-2.4890601722107282</v>
      </c>
      <c r="M338">
        <f t="shared" si="29"/>
        <v>0.22232988091852052</v>
      </c>
      <c r="O338" s="2" t="s">
        <v>343</v>
      </c>
    </row>
    <row r="339" spans="1:15">
      <c r="A339">
        <v>337</v>
      </c>
      <c r="B339">
        <v>261</v>
      </c>
      <c r="C339">
        <v>1</v>
      </c>
      <c r="D339">
        <v>2</v>
      </c>
      <c r="E339">
        <v>1</v>
      </c>
      <c r="G339">
        <f t="shared" si="25"/>
        <v>-2.9926639550817842</v>
      </c>
      <c r="H339">
        <f t="shared" si="26"/>
        <v>-2.5616975326539935</v>
      </c>
      <c r="I339">
        <f t="shared" si="27"/>
        <v>-2.8720105118870811</v>
      </c>
      <c r="J339" s="4"/>
      <c r="K339">
        <f t="shared" si="28"/>
        <v>-2.8087906665409528</v>
      </c>
      <c r="M339">
        <f t="shared" si="29"/>
        <v>0.22232988091852052</v>
      </c>
      <c r="O339" s="2" t="s">
        <v>344</v>
      </c>
    </row>
    <row r="340" spans="1:15">
      <c r="A340">
        <v>338</v>
      </c>
      <c r="B340">
        <v>150</v>
      </c>
      <c r="C340">
        <v>2</v>
      </c>
      <c r="D340">
        <v>1</v>
      </c>
      <c r="E340">
        <v>0</v>
      </c>
      <c r="G340">
        <f t="shared" si="25"/>
        <v>-2.4510847111352034</v>
      </c>
      <c r="H340">
        <f t="shared" si="26"/>
        <v>-2.6221782800353752</v>
      </c>
      <c r="I340" t="e">
        <f t="shared" si="27"/>
        <v>#NUM!</v>
      </c>
      <c r="J340" s="4"/>
      <c r="K340" t="e">
        <f t="shared" si="28"/>
        <v>#NUM!</v>
      </c>
      <c r="M340" t="e">
        <f t="shared" si="29"/>
        <v>#NUM!</v>
      </c>
      <c r="O340" s="2" t="s">
        <v>345</v>
      </c>
    </row>
    <row r="341" spans="1:15">
      <c r="A341">
        <v>339</v>
      </c>
      <c r="B341">
        <v>113</v>
      </c>
      <c r="C341">
        <v>692</v>
      </c>
      <c r="D341">
        <v>791</v>
      </c>
      <c r="E341">
        <v>794</v>
      </c>
      <c r="G341">
        <f t="shared" si="25"/>
        <v>0.21100420322983471</v>
      </c>
      <c r="H341">
        <f t="shared" si="26"/>
        <v>0.39901101903456315</v>
      </c>
      <c r="I341">
        <f t="shared" si="27"/>
        <v>0.39137205439487621</v>
      </c>
      <c r="J341" s="4"/>
      <c r="K341">
        <f t="shared" si="28"/>
        <v>0.33379575888642465</v>
      </c>
      <c r="M341">
        <f t="shared" si="29"/>
        <v>0.10640917747363568</v>
      </c>
      <c r="O341" s="2" t="s">
        <v>346</v>
      </c>
    </row>
    <row r="342" spans="1:15">
      <c r="A342">
        <v>340</v>
      </c>
      <c r="B342">
        <v>176</v>
      </c>
      <c r="C342">
        <v>1</v>
      </c>
      <c r="D342">
        <v>1</v>
      </c>
      <c r="E342">
        <v>2</v>
      </c>
      <c r="G342">
        <f t="shared" si="25"/>
        <v>-2.8215361155576533</v>
      </c>
      <c r="H342">
        <f t="shared" si="26"/>
        <v>-2.6915996887938434</v>
      </c>
      <c r="I342">
        <f t="shared" si="27"/>
        <v>-2.399852676698969</v>
      </c>
      <c r="J342" s="4"/>
      <c r="K342">
        <f t="shared" si="28"/>
        <v>-2.6376628270168219</v>
      </c>
      <c r="M342">
        <f t="shared" si="29"/>
        <v>0.21595397529493773</v>
      </c>
      <c r="O342" s="2" t="s">
        <v>347</v>
      </c>
    </row>
    <row r="343" spans="1:15">
      <c r="A343">
        <v>341</v>
      </c>
      <c r="B343">
        <v>302</v>
      </c>
      <c r="C343">
        <v>2</v>
      </c>
      <c r="D343">
        <v>0</v>
      </c>
      <c r="E343">
        <v>3</v>
      </c>
      <c r="G343">
        <f t="shared" si="25"/>
        <v>-2.7550003950366726</v>
      </c>
      <c r="H343" t="e">
        <f t="shared" si="26"/>
        <v>#NUM!</v>
      </c>
      <c r="I343">
        <f t="shared" si="27"/>
        <v>-2.4582556927862886</v>
      </c>
      <c r="J343" s="4"/>
      <c r="K343" t="e">
        <f t="shared" si="28"/>
        <v>#NUM!</v>
      </c>
      <c r="M343" t="e">
        <f t="shared" si="29"/>
        <v>#NUM!</v>
      </c>
      <c r="O343" s="2" t="s">
        <v>348</v>
      </c>
    </row>
    <row r="344" spans="1:15">
      <c r="A344">
        <v>342</v>
      </c>
      <c r="B344">
        <v>48</v>
      </c>
      <c r="C344">
        <v>0</v>
      </c>
      <c r="D344">
        <v>2</v>
      </c>
      <c r="E344">
        <v>0</v>
      </c>
      <c r="G344" t="e">
        <f t="shared" si="25"/>
        <v>#NUM!</v>
      </c>
      <c r="H344">
        <f t="shared" si="26"/>
        <v>-1.8262982626912998</v>
      </c>
      <c r="I344" t="e">
        <f t="shared" si="27"/>
        <v>#NUM!</v>
      </c>
      <c r="J344" s="4"/>
      <c r="K344" t="e">
        <f t="shared" si="28"/>
        <v>#NUM!</v>
      </c>
      <c r="M344" t="e">
        <f t="shared" si="29"/>
        <v>#NUM!</v>
      </c>
      <c r="O344" s="2" t="s">
        <v>349</v>
      </c>
    </row>
    <row r="345" spans="1:15">
      <c r="A345">
        <v>343</v>
      </c>
      <c r="B345">
        <v>72</v>
      </c>
      <c r="C345">
        <v>0</v>
      </c>
      <c r="D345">
        <v>0</v>
      </c>
      <c r="E345">
        <v>0</v>
      </c>
      <c r="G345" t="e">
        <f t="shared" si="25"/>
        <v>#NUM!</v>
      </c>
      <c r="H345" t="e">
        <f t="shared" si="26"/>
        <v>#NUM!</v>
      </c>
      <c r="I345" t="e">
        <f t="shared" si="27"/>
        <v>#NUM!</v>
      </c>
      <c r="J345" s="4"/>
      <c r="K345" t="e">
        <f t="shared" si="28"/>
        <v>#NUM!</v>
      </c>
      <c r="M345" t="e">
        <f t="shared" si="29"/>
        <v>#NUM!</v>
      </c>
      <c r="O345" s="2" t="s">
        <v>350</v>
      </c>
    </row>
    <row r="346" spans="1:15">
      <c r="A346">
        <v>344</v>
      </c>
      <c r="B346">
        <v>252</v>
      </c>
      <c r="C346">
        <v>5</v>
      </c>
      <c r="D346">
        <v>2</v>
      </c>
      <c r="E346">
        <v>0</v>
      </c>
      <c r="G346">
        <f t="shared" si="25"/>
        <v>-2.2784539841890288</v>
      </c>
      <c r="H346">
        <f t="shared" si="26"/>
        <v>-2.5464575660972564</v>
      </c>
      <c r="I346" t="e">
        <f t="shared" si="27"/>
        <v>#NUM!</v>
      </c>
      <c r="J346" s="4"/>
      <c r="K346" t="e">
        <f t="shared" si="28"/>
        <v>#NUM!</v>
      </c>
      <c r="M346" t="e">
        <f t="shared" si="29"/>
        <v>#NUM!</v>
      </c>
      <c r="O346" s="2" t="s">
        <v>351</v>
      </c>
    </row>
    <row r="347" spans="1:15">
      <c r="A347">
        <v>345</v>
      </c>
      <c r="B347">
        <v>351</v>
      </c>
      <c r="C347">
        <v>42</v>
      </c>
      <c r="D347">
        <v>58</v>
      </c>
      <c r="E347">
        <v>57</v>
      </c>
      <c r="G347">
        <f t="shared" si="25"/>
        <v>-1.4980812738114269</v>
      </c>
      <c r="H347">
        <f t="shared" si="26"/>
        <v>-1.2279661438825804</v>
      </c>
      <c r="I347">
        <f t="shared" si="27"/>
        <v>-1.2448022653421329</v>
      </c>
      <c r="J347" s="4"/>
      <c r="K347">
        <f t="shared" si="28"/>
        <v>-1.3236165610120467</v>
      </c>
      <c r="M347">
        <f t="shared" si="29"/>
        <v>0.1513251986801202</v>
      </c>
      <c r="O347" s="2" t="s">
        <v>352</v>
      </c>
    </row>
    <row r="348" spans="1:15">
      <c r="A348">
        <v>346</v>
      </c>
      <c r="B348">
        <v>149</v>
      </c>
      <c r="C348">
        <v>1</v>
      </c>
      <c r="D348">
        <v>1</v>
      </c>
      <c r="E348">
        <v>4</v>
      </c>
      <c r="G348">
        <f t="shared" si="25"/>
        <v>-2.7492097161557774</v>
      </c>
      <c r="H348">
        <f t="shared" si="26"/>
        <v>-2.6192732893919679</v>
      </c>
      <c r="I348">
        <f t="shared" si="27"/>
        <v>-2.0264962816331122</v>
      </c>
      <c r="J348" s="4"/>
      <c r="K348">
        <f t="shared" si="28"/>
        <v>-2.4649930957269524</v>
      </c>
      <c r="M348">
        <f t="shared" si="29"/>
        <v>0.38526673971143005</v>
      </c>
      <c r="O348" s="2" t="s">
        <v>353</v>
      </c>
    </row>
    <row r="349" spans="1:15">
      <c r="A349">
        <v>347</v>
      </c>
      <c r="B349">
        <v>63</v>
      </c>
      <c r="C349">
        <v>1</v>
      </c>
      <c r="D349">
        <v>0</v>
      </c>
      <c r="E349">
        <v>2</v>
      </c>
      <c r="G349">
        <f t="shared" si="25"/>
        <v>-2.375363997197085</v>
      </c>
      <c r="H349" t="e">
        <f t="shared" si="26"/>
        <v>#NUM!</v>
      </c>
      <c r="I349">
        <f t="shared" si="27"/>
        <v>-1.9536805583384007</v>
      </c>
      <c r="J349" s="4"/>
      <c r="K349" t="e">
        <f t="shared" si="28"/>
        <v>#NUM!</v>
      </c>
      <c r="M349" t="e">
        <f t="shared" si="29"/>
        <v>#NUM!</v>
      </c>
      <c r="O349" s="2" t="s">
        <v>354</v>
      </c>
    </row>
    <row r="350" spans="1:15">
      <c r="A350">
        <v>348</v>
      </c>
      <c r="B350">
        <v>122</v>
      </c>
      <c r="C350">
        <v>1883</v>
      </c>
      <c r="D350">
        <v>4697</v>
      </c>
      <c r="E350">
        <v>1649</v>
      </c>
      <c r="G350">
        <f t="shared" si="25"/>
        <v>0.61246704159841325</v>
      </c>
      <c r="H350">
        <f t="shared" si="26"/>
        <v>1.1393737085288069</v>
      </c>
      <c r="I350">
        <f t="shared" si="27"/>
        <v>0.67549082042097019</v>
      </c>
      <c r="J350" s="4"/>
      <c r="K350">
        <f t="shared" si="28"/>
        <v>0.8091105235160635</v>
      </c>
      <c r="M350">
        <f t="shared" si="29"/>
        <v>0.28774698557124762</v>
      </c>
      <c r="O350" s="2" t="s">
        <v>355</v>
      </c>
    </row>
    <row r="351" spans="1:15">
      <c r="A351">
        <v>349</v>
      </c>
      <c r="B351">
        <v>24</v>
      </c>
      <c r="C351">
        <v>1</v>
      </c>
      <c r="D351">
        <v>0</v>
      </c>
      <c r="E351">
        <v>0</v>
      </c>
      <c r="G351">
        <f t="shared" si="25"/>
        <v>-1.9562346894551095</v>
      </c>
      <c r="H351" t="e">
        <f t="shared" si="26"/>
        <v>#NUM!</v>
      </c>
      <c r="I351" t="e">
        <f t="shared" si="27"/>
        <v>#NUM!</v>
      </c>
      <c r="J351" s="4"/>
      <c r="K351" t="e">
        <f t="shared" si="28"/>
        <v>#NUM!</v>
      </c>
      <c r="M351" t="e">
        <f t="shared" si="29"/>
        <v>#NUM!</v>
      </c>
      <c r="O351" s="2" t="s">
        <v>356</v>
      </c>
    </row>
    <row r="352" spans="1:15">
      <c r="A352">
        <v>350</v>
      </c>
      <c r="B352">
        <v>165</v>
      </c>
      <c r="C352">
        <v>0</v>
      </c>
      <c r="D352">
        <v>0</v>
      </c>
      <c r="E352">
        <v>1</v>
      </c>
      <c r="G352" t="e">
        <f t="shared" si="25"/>
        <v>#NUM!</v>
      </c>
      <c r="H352" t="e">
        <f t="shared" si="26"/>
        <v>#NUM!</v>
      </c>
      <c r="I352">
        <f t="shared" si="27"/>
        <v>-2.6728539487627065</v>
      </c>
      <c r="J352" s="4"/>
      <c r="K352" t="e">
        <f t="shared" si="28"/>
        <v>#NUM!</v>
      </c>
      <c r="M352" t="e">
        <f t="shared" si="29"/>
        <v>#NUM!</v>
      </c>
      <c r="O352" s="2" t="s">
        <v>357</v>
      </c>
    </row>
    <row r="353" spans="1:15">
      <c r="A353">
        <v>351</v>
      </c>
      <c r="B353">
        <v>93</v>
      </c>
      <c r="C353">
        <v>3</v>
      </c>
      <c r="D353">
        <v>0</v>
      </c>
      <c r="E353">
        <v>1</v>
      </c>
      <c r="G353">
        <f t="shared" si="25"/>
        <v>-2.067385141577776</v>
      </c>
      <c r="H353" t="e">
        <f t="shared" si="26"/>
        <v>#NUM!</v>
      </c>
      <c r="I353">
        <f t="shared" si="27"/>
        <v>-2.4238529531027355</v>
      </c>
      <c r="J353" s="5"/>
      <c r="K353" t="e">
        <f t="shared" si="28"/>
        <v>#NUM!</v>
      </c>
      <c r="M353" t="e">
        <f t="shared" si="29"/>
        <v>#NUM!</v>
      </c>
      <c r="O353" s="2" t="s">
        <v>358</v>
      </c>
    </row>
    <row r="354" spans="1:15">
      <c r="A354">
        <v>352</v>
      </c>
      <c r="B354">
        <v>183</v>
      </c>
      <c r="C354">
        <v>1</v>
      </c>
      <c r="D354">
        <v>1</v>
      </c>
      <c r="E354">
        <v>1</v>
      </c>
      <c r="G354">
        <f t="shared" si="25"/>
        <v>-2.8384745374739326</v>
      </c>
      <c r="H354">
        <f t="shared" si="26"/>
        <v>-2.7085381107101227</v>
      </c>
      <c r="I354">
        <f t="shared" si="27"/>
        <v>-2.7178210942792296</v>
      </c>
      <c r="J354" s="5"/>
      <c r="K354">
        <f t="shared" si="28"/>
        <v>-2.7549445808210948</v>
      </c>
      <c r="M354">
        <f t="shared" si="29"/>
        <v>7.248781752684226E-2</v>
      </c>
      <c r="O354" s="2" t="s">
        <v>359</v>
      </c>
    </row>
    <row r="355" spans="1:15">
      <c r="A355">
        <v>353</v>
      </c>
      <c r="B355">
        <v>130</v>
      </c>
      <c r="C355">
        <v>1</v>
      </c>
      <c r="D355">
        <v>3</v>
      </c>
      <c r="E355">
        <v>1</v>
      </c>
      <c r="G355">
        <f t="shared" si="25"/>
        <v>-2.6899668000503403</v>
      </c>
      <c r="H355">
        <f t="shared" si="26"/>
        <v>-2.0829091185668682</v>
      </c>
      <c r="I355">
        <f t="shared" si="27"/>
        <v>-2.5693133568556372</v>
      </c>
      <c r="J355" s="5"/>
      <c r="K355">
        <f t="shared" si="28"/>
        <v>-2.4473964251576152</v>
      </c>
      <c r="M355">
        <f t="shared" si="29"/>
        <v>0.32136826358247961</v>
      </c>
      <c r="O355" s="2" t="s">
        <v>360</v>
      </c>
    </row>
    <row r="356" spans="1:15">
      <c r="A356">
        <v>354</v>
      </c>
      <c r="B356">
        <v>220</v>
      </c>
      <c r="C356">
        <v>317</v>
      </c>
      <c r="D356">
        <v>334</v>
      </c>
      <c r="E356">
        <v>569</v>
      </c>
      <c r="G356">
        <f t="shared" si="25"/>
        <v>-0.41738686634795807</v>
      </c>
      <c r="H356">
        <f t="shared" si="26"/>
        <v>-0.26476323499033544</v>
      </c>
      <c r="I356">
        <f t="shared" si="27"/>
        <v>-4.268041897593533E-2</v>
      </c>
      <c r="J356" s="5"/>
      <c r="K356">
        <f t="shared" si="28"/>
        <v>-0.24161017343807631</v>
      </c>
      <c r="M356">
        <f t="shared" si="29"/>
        <v>0.18842313716731454</v>
      </c>
      <c r="O356" s="2" t="s">
        <v>361</v>
      </c>
    </row>
    <row r="357" spans="1:15">
      <c r="A357">
        <v>355</v>
      </c>
      <c r="B357">
        <v>133</v>
      </c>
      <c r="C357">
        <v>1</v>
      </c>
      <c r="D357">
        <v>0</v>
      </c>
      <c r="E357">
        <v>2</v>
      </c>
      <c r="G357">
        <f t="shared" si="25"/>
        <v>-2.6998750887105891</v>
      </c>
      <c r="H357" t="e">
        <f t="shared" si="26"/>
        <v>#NUM!</v>
      </c>
      <c r="I357">
        <f t="shared" si="27"/>
        <v>-2.2781916498519048</v>
      </c>
      <c r="J357" s="5"/>
      <c r="K357" t="e">
        <f t="shared" si="28"/>
        <v>#NUM!</v>
      </c>
      <c r="M357" t="e">
        <f t="shared" si="29"/>
        <v>#NUM!</v>
      </c>
      <c r="O357" s="2" t="s">
        <v>362</v>
      </c>
    </row>
    <row r="358" spans="1:15">
      <c r="A358">
        <v>356</v>
      </c>
      <c r="B358">
        <v>148</v>
      </c>
      <c r="C358">
        <v>7</v>
      </c>
      <c r="D358">
        <v>1</v>
      </c>
      <c r="E358">
        <v>2</v>
      </c>
      <c r="G358">
        <f t="shared" si="25"/>
        <v>-1.9011871231242039</v>
      </c>
      <c r="H358">
        <f t="shared" si="26"/>
        <v>-2.6163487363746514</v>
      </c>
      <c r="I358">
        <f t="shared" si="27"/>
        <v>-2.3246017242797765</v>
      </c>
      <c r="J358" s="5"/>
      <c r="K358">
        <f t="shared" si="28"/>
        <v>-2.2807125279262106</v>
      </c>
      <c r="M358">
        <f t="shared" si="29"/>
        <v>0.35959522999362514</v>
      </c>
      <c r="O358" s="2" t="s">
        <v>363</v>
      </c>
    </row>
    <row r="359" spans="1:15">
      <c r="A359">
        <v>357</v>
      </c>
      <c r="B359">
        <v>110</v>
      </c>
      <c r="C359">
        <v>3</v>
      </c>
      <c r="D359">
        <v>0</v>
      </c>
      <c r="E359">
        <v>1</v>
      </c>
      <c r="G359">
        <f t="shared" si="25"/>
        <v>-2.1402948781820657</v>
      </c>
      <c r="H359" t="e">
        <f t="shared" si="26"/>
        <v>#NUM!</v>
      </c>
      <c r="I359">
        <f t="shared" si="27"/>
        <v>-2.4967626897070252</v>
      </c>
      <c r="J359" s="5"/>
      <c r="K359" t="e">
        <f t="shared" si="28"/>
        <v>#NUM!</v>
      </c>
      <c r="M359" t="e">
        <f t="shared" si="29"/>
        <v>#NUM!</v>
      </c>
      <c r="O359" s="2" t="s">
        <v>364</v>
      </c>
    </row>
    <row r="360" spans="1:15">
      <c r="A360">
        <v>358</v>
      </c>
      <c r="B360">
        <v>47</v>
      </c>
      <c r="C360">
        <v>6</v>
      </c>
      <c r="D360">
        <v>8</v>
      </c>
      <c r="E360">
        <v>9</v>
      </c>
      <c r="G360">
        <f t="shared" si="25"/>
        <v>-1.4699700552955772</v>
      </c>
      <c r="H360">
        <f t="shared" si="26"/>
        <v>-1.2150948919234676</v>
      </c>
      <c r="I360">
        <f t="shared" si="27"/>
        <v>-1.1732253530451928</v>
      </c>
      <c r="J360" s="5"/>
      <c r="K360">
        <f t="shared" si="28"/>
        <v>-1.2860967667547458</v>
      </c>
      <c r="M360">
        <f t="shared" si="29"/>
        <v>0.16060916614746726</v>
      </c>
      <c r="O360" s="2" t="s">
        <v>365</v>
      </c>
    </row>
    <row r="361" spans="1:15">
      <c r="A361">
        <v>359</v>
      </c>
      <c r="B361">
        <v>162</v>
      </c>
      <c r="C361">
        <v>384</v>
      </c>
      <c r="D361">
        <v>424</v>
      </c>
      <c r="E361">
        <v>402</v>
      </c>
      <c r="G361">
        <f t="shared" si="25"/>
        <v>-0.20120723791860351</v>
      </c>
      <c r="H361">
        <f t="shared" si="26"/>
        <v>-2.823617892959196E-2</v>
      </c>
      <c r="I361">
        <f t="shared" si="27"/>
        <v>-6.065896600696119E-2</v>
      </c>
      <c r="J361" s="5"/>
      <c r="K361">
        <f t="shared" si="28"/>
        <v>-9.6700794285052225E-2</v>
      </c>
      <c r="M361">
        <f t="shared" si="29"/>
        <v>9.1945673368384107E-2</v>
      </c>
      <c r="O361" s="2" t="s">
        <v>366</v>
      </c>
    </row>
    <row r="362" spans="1:15">
      <c r="A362">
        <v>360</v>
      </c>
      <c r="B362">
        <v>140</v>
      </c>
      <c r="C362">
        <v>1099</v>
      </c>
      <c r="D362">
        <v>1017</v>
      </c>
      <c r="E362">
        <v>959</v>
      </c>
      <c r="G362">
        <f t="shared" si="25"/>
        <v>0.3188462090017492</v>
      </c>
      <c r="H362">
        <f t="shared" si="26"/>
        <v>0.41510589626481287</v>
      </c>
      <c r="I362">
        <f t="shared" si="27"/>
        <v>0.38032056694362526</v>
      </c>
      <c r="J362" s="5"/>
      <c r="K362">
        <f t="shared" si="28"/>
        <v>0.37142422407006243</v>
      </c>
      <c r="M362">
        <f t="shared" si="29"/>
        <v>4.8742594672306391E-2</v>
      </c>
      <c r="O362" s="2" t="s">
        <v>367</v>
      </c>
    </row>
    <row r="363" spans="1:15">
      <c r="A363">
        <v>361</v>
      </c>
      <c r="B363">
        <v>77</v>
      </c>
      <c r="C363">
        <v>10</v>
      </c>
      <c r="D363">
        <v>5</v>
      </c>
      <c r="E363">
        <v>4</v>
      </c>
      <c r="G363">
        <f t="shared" si="25"/>
        <v>-1.4625141729159852</v>
      </c>
      <c r="H363">
        <f t="shared" si="26"/>
        <v>-1.6336077418161568</v>
      </c>
      <c r="I363">
        <f t="shared" si="27"/>
        <v>-1.7398007383933198</v>
      </c>
      <c r="J363" s="5"/>
      <c r="K363">
        <f t="shared" si="28"/>
        <v>-1.611974217708487</v>
      </c>
      <c r="M363">
        <f t="shared" si="29"/>
        <v>0.13990341980288362</v>
      </c>
      <c r="O363" s="2" t="s">
        <v>368</v>
      </c>
    </row>
    <row r="364" spans="1:15">
      <c r="A364">
        <v>362</v>
      </c>
      <c r="B364">
        <v>162</v>
      </c>
      <c r="C364">
        <v>934</v>
      </c>
      <c r="D364">
        <v>779</v>
      </c>
      <c r="E364">
        <v>804</v>
      </c>
      <c r="G364">
        <f t="shared" si="25"/>
        <v>0.18480841394395908</v>
      </c>
      <c r="H364">
        <f t="shared" si="26"/>
        <v>0.23593542215023977</v>
      </c>
      <c r="I364">
        <f t="shared" si="27"/>
        <v>0.24037102965702006</v>
      </c>
      <c r="J364" s="5"/>
      <c r="K364">
        <f t="shared" si="28"/>
        <v>0.22037162191707296</v>
      </c>
      <c r="M364">
        <f t="shared" si="29"/>
        <v>3.0878390089069962E-2</v>
      </c>
      <c r="O364" s="2" t="s">
        <v>369</v>
      </c>
    </row>
    <row r="365" spans="1:15">
      <c r="A365">
        <v>363</v>
      </c>
      <c r="B365">
        <v>81</v>
      </c>
      <c r="C365">
        <v>1</v>
      </c>
      <c r="D365">
        <v>1</v>
      </c>
      <c r="E365">
        <v>0</v>
      </c>
      <c r="G365">
        <f t="shared" si="25"/>
        <v>-2.4845084666221533</v>
      </c>
      <c r="H365">
        <f t="shared" si="26"/>
        <v>-2.3545720398583434</v>
      </c>
      <c r="I365" t="e">
        <f t="shared" si="27"/>
        <v>#NUM!</v>
      </c>
      <c r="J365" s="5"/>
      <c r="K365" t="e">
        <f t="shared" si="28"/>
        <v>#NUM!</v>
      </c>
      <c r="M365" t="e">
        <f t="shared" si="29"/>
        <v>#NUM!</v>
      </c>
      <c r="O365" s="2" t="s">
        <v>370</v>
      </c>
    </row>
    <row r="366" spans="1:15">
      <c r="A366">
        <v>364</v>
      </c>
      <c r="B366">
        <v>139</v>
      </c>
      <c r="C366">
        <v>1</v>
      </c>
      <c r="D366">
        <v>2</v>
      </c>
      <c r="E366">
        <v>5</v>
      </c>
      <c r="G366">
        <f t="shared" si="25"/>
        <v>-2.7190382479975983</v>
      </c>
      <c r="H366">
        <f t="shared" si="26"/>
        <v>-2.2880718255698076</v>
      </c>
      <c r="I366">
        <f t="shared" si="27"/>
        <v>-1.8994148004668765</v>
      </c>
      <c r="J366" s="5"/>
      <c r="K366">
        <f t="shared" si="28"/>
        <v>-2.3021749580114275</v>
      </c>
      <c r="M366">
        <f t="shared" si="29"/>
        <v>0.40999368616362208</v>
      </c>
      <c r="O366" s="2" t="s">
        <v>371</v>
      </c>
    </row>
    <row r="367" spans="1:15">
      <c r="A367">
        <v>365</v>
      </c>
      <c r="B367">
        <v>142</v>
      </c>
      <c r="C367">
        <v>322</v>
      </c>
      <c r="D367">
        <v>302</v>
      </c>
      <c r="E367">
        <v>391</v>
      </c>
      <c r="G367">
        <f t="shared" si="25"/>
        <v>-0.22045592043072887</v>
      </c>
      <c r="H367">
        <f t="shared" si="26"/>
        <v>-0.11836842240559953</v>
      </c>
      <c r="I367">
        <f t="shared" si="27"/>
        <v>-1.5481591535989936E-2</v>
      </c>
      <c r="J367" s="5"/>
      <c r="K367">
        <f t="shared" si="28"/>
        <v>-0.11810197812410611</v>
      </c>
      <c r="M367">
        <f t="shared" si="29"/>
        <v>0.10248742420842914</v>
      </c>
      <c r="O367" s="2" t="s">
        <v>372</v>
      </c>
    </row>
    <row r="368" spans="1:15">
      <c r="A368">
        <v>366</v>
      </c>
      <c r="B368">
        <v>52</v>
      </c>
      <c r="C368">
        <v>9</v>
      </c>
      <c r="D368">
        <v>7</v>
      </c>
      <c r="E368">
        <v>6</v>
      </c>
      <c r="G368">
        <f t="shared" si="25"/>
        <v>-1.3377842819389776</v>
      </c>
      <c r="H368">
        <f t="shared" si="26"/>
        <v>-1.316992324600236</v>
      </c>
      <c r="I368">
        <f t="shared" si="27"/>
        <v>-1.3932220977999559</v>
      </c>
      <c r="J368" s="5"/>
      <c r="K368">
        <f t="shared" si="28"/>
        <v>-1.34933290144639</v>
      </c>
      <c r="M368">
        <f t="shared" si="29"/>
        <v>3.9405234930341683E-2</v>
      </c>
      <c r="O368" s="2" t="s">
        <v>373</v>
      </c>
    </row>
    <row r="369" spans="1:15">
      <c r="A369">
        <v>367</v>
      </c>
      <c r="B369">
        <v>125</v>
      </c>
      <c r="C369">
        <v>7</v>
      </c>
      <c r="D369">
        <v>0</v>
      </c>
      <c r="E369">
        <v>3</v>
      </c>
      <c r="G369">
        <f t="shared" si="25"/>
        <v>-1.8278354207373029</v>
      </c>
      <c r="H369" t="e">
        <f t="shared" si="26"/>
        <v>#NUM!</v>
      </c>
      <c r="I369">
        <f t="shared" si="27"/>
        <v>-2.0751587628371944</v>
      </c>
      <c r="J369" s="5"/>
      <c r="K369" t="e">
        <f t="shared" si="28"/>
        <v>#NUM!</v>
      </c>
      <c r="M369" t="e">
        <f t="shared" si="29"/>
        <v>#NUM!</v>
      </c>
      <c r="O369" s="2" t="s">
        <v>374</v>
      </c>
    </row>
    <row r="370" spans="1:15">
      <c r="A370">
        <v>368</v>
      </c>
      <c r="B370">
        <v>104</v>
      </c>
      <c r="C370">
        <v>10</v>
      </c>
      <c r="D370">
        <v>10</v>
      </c>
      <c r="E370">
        <v>13</v>
      </c>
      <c r="G370">
        <f t="shared" si="25"/>
        <v>-1.5930567870422836</v>
      </c>
      <c r="H370">
        <f t="shared" si="26"/>
        <v>-1.4631203602784739</v>
      </c>
      <c r="I370">
        <f t="shared" si="27"/>
        <v>-1.3584599915407438</v>
      </c>
      <c r="J370" s="5"/>
      <c r="K370">
        <f t="shared" si="28"/>
        <v>-1.4715457129538336</v>
      </c>
      <c r="M370">
        <f t="shared" si="29"/>
        <v>0.11752512089198616</v>
      </c>
      <c r="O370" s="2" t="s">
        <v>375</v>
      </c>
    </row>
    <row r="371" spans="1:15">
      <c r="A371">
        <v>369</v>
      </c>
      <c r="B371">
        <v>177</v>
      </c>
      <c r="C371">
        <v>10</v>
      </c>
      <c r="D371">
        <v>6</v>
      </c>
      <c r="E371">
        <v>16</v>
      </c>
      <c r="G371">
        <f t="shared" si="25"/>
        <v>-1.8239967141053099</v>
      </c>
      <c r="H371">
        <f t="shared" si="26"/>
        <v>-1.9159090369578566</v>
      </c>
      <c r="I371">
        <f t="shared" si="27"/>
        <v>-1.4992232882546821</v>
      </c>
      <c r="J371" s="5"/>
      <c r="K371">
        <f t="shared" si="28"/>
        <v>-1.746376346439283</v>
      </c>
      <c r="M371">
        <f t="shared" si="29"/>
        <v>0.21891880778164749</v>
      </c>
      <c r="O371" s="2" t="s">
        <v>376</v>
      </c>
    </row>
    <row r="372" spans="1:15">
      <c r="A372">
        <v>370</v>
      </c>
      <c r="B372">
        <v>140</v>
      </c>
      <c r="C372">
        <v>5</v>
      </c>
      <c r="D372">
        <v>0</v>
      </c>
      <c r="E372">
        <v>6</v>
      </c>
      <c r="G372">
        <f t="shared" si="25"/>
        <v>-2.0231814790857223</v>
      </c>
      <c r="H372" t="e">
        <f t="shared" si="26"/>
        <v>#NUM!</v>
      </c>
      <c r="I372">
        <f t="shared" si="27"/>
        <v>-1.8233467898433946</v>
      </c>
      <c r="J372" s="5"/>
      <c r="K372" t="e">
        <f t="shared" si="28"/>
        <v>#NUM!</v>
      </c>
      <c r="M372" t="e">
        <f t="shared" si="29"/>
        <v>#NUM!</v>
      </c>
      <c r="O372" s="2" t="s">
        <v>377</v>
      </c>
    </row>
    <row r="373" spans="1:15">
      <c r="A373">
        <v>371</v>
      </c>
      <c r="B373">
        <v>185</v>
      </c>
      <c r="C373">
        <v>5</v>
      </c>
      <c r="D373">
        <v>6</v>
      </c>
      <c r="E373">
        <v>8</v>
      </c>
      <c r="G373">
        <f t="shared" si="25"/>
        <v>-2.1442251718104983</v>
      </c>
      <c r="H373">
        <f t="shared" si="26"/>
        <v>-1.9351074989990638</v>
      </c>
      <c r="I373">
        <f t="shared" si="27"/>
        <v>-1.8194517459598705</v>
      </c>
      <c r="J373" s="5"/>
      <c r="K373">
        <f t="shared" si="28"/>
        <v>-1.9662614722564775</v>
      </c>
      <c r="M373">
        <f t="shared" si="29"/>
        <v>0.16461279437510637</v>
      </c>
      <c r="O373" s="2" t="s">
        <v>378</v>
      </c>
    </row>
    <row r="374" spans="1:15">
      <c r="A374">
        <v>372</v>
      </c>
      <c r="B374">
        <v>95</v>
      </c>
      <c r="C374">
        <v>1</v>
      </c>
      <c r="D374">
        <v>0</v>
      </c>
      <c r="E374">
        <v>1</v>
      </c>
      <c r="G374">
        <f t="shared" si="25"/>
        <v>-2.5537470530323514</v>
      </c>
      <c r="H374" t="e">
        <f t="shared" si="26"/>
        <v>#NUM!</v>
      </c>
      <c r="I374">
        <f t="shared" si="27"/>
        <v>-2.4330936098376483</v>
      </c>
      <c r="J374" s="5"/>
      <c r="K374" t="e">
        <f t="shared" si="28"/>
        <v>#NUM!</v>
      </c>
      <c r="M374" t="e">
        <f t="shared" si="29"/>
        <v>#NUM!</v>
      </c>
      <c r="O374" s="2" t="s">
        <v>379</v>
      </c>
    </row>
    <row r="375" spans="1:15">
      <c r="A375">
        <v>373</v>
      </c>
      <c r="B375">
        <v>186</v>
      </c>
      <c r="C375">
        <v>1</v>
      </c>
      <c r="D375">
        <v>0</v>
      </c>
      <c r="E375">
        <v>1</v>
      </c>
      <c r="G375">
        <f t="shared" si="25"/>
        <v>-2.8455363919614198</v>
      </c>
      <c r="H375" t="e">
        <f t="shared" si="26"/>
        <v>#NUM!</v>
      </c>
      <c r="I375">
        <f t="shared" si="27"/>
        <v>-2.7248829487667168</v>
      </c>
      <c r="J375" s="5"/>
      <c r="K375" t="e">
        <f t="shared" si="28"/>
        <v>#NUM!</v>
      </c>
      <c r="M375" t="e">
        <f t="shared" si="29"/>
        <v>#NUM!</v>
      </c>
      <c r="O375" s="2" t="s">
        <v>380</v>
      </c>
    </row>
    <row r="376" spans="1:15">
      <c r="A376">
        <v>374</v>
      </c>
      <c r="B376">
        <v>57</v>
      </c>
      <c r="C376">
        <v>0</v>
      </c>
      <c r="D376">
        <v>0</v>
      </c>
      <c r="E376">
        <v>1</v>
      </c>
      <c r="G376" t="e">
        <f t="shared" si="25"/>
        <v>#NUM!</v>
      </c>
      <c r="H376" t="e">
        <f t="shared" si="26"/>
        <v>#NUM!</v>
      </c>
      <c r="I376">
        <f t="shared" si="27"/>
        <v>-2.2112448602212917</v>
      </c>
      <c r="J376" s="5"/>
      <c r="K376" t="e">
        <f t="shared" si="28"/>
        <v>#NUM!</v>
      </c>
      <c r="M376" t="e">
        <f t="shared" si="29"/>
        <v>#NUM!</v>
      </c>
      <c r="O376" s="2" t="s">
        <v>381</v>
      </c>
    </row>
    <row r="377" spans="1:15">
      <c r="A377">
        <v>375</v>
      </c>
      <c r="B377">
        <v>149</v>
      </c>
      <c r="C377">
        <v>421</v>
      </c>
      <c r="D377">
        <v>306</v>
      </c>
      <c r="E377">
        <v>337</v>
      </c>
      <c r="G377">
        <f t="shared" si="25"/>
        <v>-0.12492762032010907</v>
      </c>
      <c r="H377">
        <f t="shared" si="26"/>
        <v>-0.13355186291038773</v>
      </c>
      <c r="I377">
        <f t="shared" si="27"/>
        <v>-0.10092637208973571</v>
      </c>
      <c r="J377" s="5"/>
      <c r="K377">
        <f t="shared" si="28"/>
        <v>-0.11980195177341084</v>
      </c>
      <c r="M377">
        <f t="shared" si="29"/>
        <v>1.6905916755978391E-2</v>
      </c>
      <c r="O377" s="2" t="s">
        <v>382</v>
      </c>
    </row>
    <row r="378" spans="1:15">
      <c r="A378">
        <v>376</v>
      </c>
      <c r="B378">
        <v>110</v>
      </c>
      <c r="C378">
        <v>0</v>
      </c>
      <c r="D378">
        <v>1</v>
      </c>
      <c r="E378">
        <v>0</v>
      </c>
      <c r="G378" t="e">
        <f t="shared" si="25"/>
        <v>#NUM!</v>
      </c>
      <c r="H378">
        <f t="shared" si="26"/>
        <v>-2.4874797061379184</v>
      </c>
      <c r="I378" t="e">
        <f t="shared" si="27"/>
        <v>#NUM!</v>
      </c>
      <c r="J378" s="5"/>
      <c r="K378" t="e">
        <f t="shared" si="28"/>
        <v>#NUM!</v>
      </c>
      <c r="M378" t="e">
        <f t="shared" si="29"/>
        <v>#NUM!</v>
      </c>
      <c r="O378" s="2" t="s">
        <v>383</v>
      </c>
    </row>
    <row r="379" spans="1:15">
      <c r="A379">
        <v>377</v>
      </c>
      <c r="B379">
        <v>289</v>
      </c>
      <c r="C379">
        <v>4</v>
      </c>
      <c r="D379">
        <v>2</v>
      </c>
      <c r="E379">
        <v>3</v>
      </c>
      <c r="G379">
        <f t="shared" si="25"/>
        <v>-2.4348612991720886</v>
      </c>
      <c r="H379">
        <f t="shared" si="26"/>
        <v>-2.60595486807226</v>
      </c>
      <c r="I379">
        <f t="shared" si="27"/>
        <v>-2.4391465925856854</v>
      </c>
      <c r="J379" s="5"/>
      <c r="K379">
        <f t="shared" si="28"/>
        <v>-2.4933209199433448</v>
      </c>
      <c r="M379">
        <f t="shared" si="29"/>
        <v>9.756739023997997E-2</v>
      </c>
      <c r="O379" s="2" t="s">
        <v>384</v>
      </c>
    </row>
    <row r="380" spans="1:15">
      <c r="A380">
        <v>378</v>
      </c>
      <c r="B380">
        <v>61</v>
      </c>
      <c r="C380">
        <v>0</v>
      </c>
      <c r="D380">
        <v>2</v>
      </c>
      <c r="E380">
        <v>0</v>
      </c>
      <c r="G380" t="e">
        <f t="shared" si="25"/>
        <v>#NUM!</v>
      </c>
      <c r="H380">
        <f t="shared" si="26"/>
        <v>-1.9303868603264795</v>
      </c>
      <c r="I380" t="e">
        <f t="shared" si="27"/>
        <v>#NUM!</v>
      </c>
      <c r="J380" s="5"/>
      <c r="K380" t="e">
        <f t="shared" si="28"/>
        <v>#NUM!</v>
      </c>
      <c r="M380" t="e">
        <f t="shared" si="29"/>
        <v>#NUM!</v>
      </c>
      <c r="O380" s="2" t="s">
        <v>385</v>
      </c>
    </row>
    <row r="381" spans="1:15">
      <c r="A381">
        <v>379</v>
      </c>
      <c r="B381">
        <v>189</v>
      </c>
      <c r="C381">
        <v>3</v>
      </c>
      <c r="D381">
        <v>3</v>
      </c>
      <c r="E381">
        <v>1</v>
      </c>
      <c r="G381">
        <f t="shared" si="25"/>
        <v>-2.375363997197085</v>
      </c>
      <c r="H381">
        <f t="shared" si="26"/>
        <v>-2.2454275704332751</v>
      </c>
      <c r="I381">
        <f t="shared" si="27"/>
        <v>-2.7318318087220446</v>
      </c>
      <c r="J381" s="5"/>
      <c r="K381">
        <f t="shared" si="28"/>
        <v>-2.4508744587841349</v>
      </c>
      <c r="M381">
        <f t="shared" si="29"/>
        <v>0.25184051126285562</v>
      </c>
      <c r="O381" s="2" t="s">
        <v>386</v>
      </c>
    </row>
    <row r="382" spans="1:15">
      <c r="A382">
        <v>380</v>
      </c>
      <c r="B382">
        <v>65</v>
      </c>
      <c r="C382">
        <v>193</v>
      </c>
      <c r="D382">
        <v>258</v>
      </c>
      <c r="E382">
        <v>174</v>
      </c>
      <c r="G382">
        <f t="shared" si="25"/>
        <v>-0.10337949537858515</v>
      </c>
      <c r="H382">
        <f t="shared" si="26"/>
        <v>0.15261932834068093</v>
      </c>
      <c r="I382">
        <f t="shared" si="27"/>
        <v>-2.7734112909056141E-2</v>
      </c>
      <c r="J382" s="5"/>
      <c r="K382">
        <f t="shared" si="28"/>
        <v>7.1685733510132117E-3</v>
      </c>
      <c r="M382">
        <f t="shared" si="29"/>
        <v>0.13151995121478183</v>
      </c>
      <c r="O382" s="2" t="s">
        <v>387</v>
      </c>
    </row>
    <row r="383" spans="1:15">
      <c r="A383">
        <v>381</v>
      </c>
      <c r="B383">
        <v>228</v>
      </c>
      <c r="C383">
        <v>166</v>
      </c>
      <c r="D383">
        <v>100</v>
      </c>
      <c r="E383">
        <v>124</v>
      </c>
      <c r="G383">
        <f t="shared" si="25"/>
        <v>-0.71385020670390198</v>
      </c>
      <c r="H383">
        <f t="shared" si="26"/>
        <v>-0.80402186798014741</v>
      </c>
      <c r="I383">
        <f t="shared" si="27"/>
        <v>-0.71988316638701899</v>
      </c>
      <c r="J383" s="5"/>
      <c r="K383">
        <f t="shared" si="28"/>
        <v>-0.74591841369035616</v>
      </c>
      <c r="M383">
        <f t="shared" si="29"/>
        <v>5.0409400918270474E-2</v>
      </c>
      <c r="O383" s="2" t="s">
        <v>388</v>
      </c>
    </row>
    <row r="384" spans="1:15">
      <c r="A384">
        <v>382</v>
      </c>
      <c r="B384">
        <v>146</v>
      </c>
      <c r="C384">
        <v>12</v>
      </c>
      <c r="D384">
        <v>3</v>
      </c>
      <c r="E384">
        <v>19</v>
      </c>
      <c r="G384">
        <f t="shared" si="25"/>
        <v>-1.6611950574803156</v>
      </c>
      <c r="H384">
        <f t="shared" si="26"/>
        <v>-2.1333186220444684</v>
      </c>
      <c r="I384">
        <f t="shared" si="27"/>
        <v>-1.3409692593804086</v>
      </c>
      <c r="J384" s="5"/>
      <c r="K384">
        <f t="shared" si="28"/>
        <v>-1.711827646301731</v>
      </c>
      <c r="M384">
        <f t="shared" si="29"/>
        <v>0.39859393173579982</v>
      </c>
      <c r="O384" s="2" t="s">
        <v>389</v>
      </c>
    </row>
    <row r="385" spans="1:15">
      <c r="A385">
        <v>383</v>
      </c>
      <c r="B385">
        <v>104</v>
      </c>
      <c r="C385">
        <v>1</v>
      </c>
      <c r="D385">
        <v>2</v>
      </c>
      <c r="E385">
        <v>0</v>
      </c>
      <c r="G385">
        <f t="shared" si="25"/>
        <v>-2.5930567870422836</v>
      </c>
      <c r="H385">
        <f t="shared" si="26"/>
        <v>-2.1620903646144929</v>
      </c>
      <c r="I385" t="e">
        <f t="shared" si="27"/>
        <v>#NUM!</v>
      </c>
      <c r="J385" s="5"/>
      <c r="K385" t="e">
        <f t="shared" si="28"/>
        <v>#NUM!</v>
      </c>
      <c r="M385" t="e">
        <f t="shared" si="29"/>
        <v>#NUM!</v>
      </c>
      <c r="O385" s="2" t="s">
        <v>390</v>
      </c>
    </row>
    <row r="386" spans="1:15">
      <c r="A386">
        <v>384</v>
      </c>
      <c r="B386">
        <v>63</v>
      </c>
      <c r="C386">
        <v>11</v>
      </c>
      <c r="D386">
        <v>12</v>
      </c>
      <c r="E386">
        <v>17</v>
      </c>
      <c r="G386">
        <f t="shared" ref="G386:G449" si="30">LOG10(C386/B386)-LOG10(437/116)</f>
        <v>-1.3339713120388601</v>
      </c>
      <c r="H386">
        <f t="shared" ref="H386:H449" si="31">LOG10(D386/B386)-LOG10(324/116)</f>
        <v>-1.1662463243856505</v>
      </c>
      <c r="I386">
        <f t="shared" ref="I386:I449" si="32">LOG10(E386/B386)-LOG10(331/116)</f>
        <v>-1.0242616326241081</v>
      </c>
      <c r="J386" s="5"/>
      <c r="K386">
        <f t="shared" ref="K386:K449" si="33">AVERAGE(G386:I386)</f>
        <v>-1.1748264230162062</v>
      </c>
      <c r="M386">
        <f t="shared" ref="M386:M449" si="34">STDEV(G386:I386)</f>
        <v>0.15503301245276835</v>
      </c>
      <c r="O386" s="2" t="s">
        <v>391</v>
      </c>
    </row>
    <row r="387" spans="1:15">
      <c r="A387">
        <v>385</v>
      </c>
      <c r="B387">
        <v>185</v>
      </c>
      <c r="C387">
        <v>338</v>
      </c>
      <c r="D387">
        <v>215</v>
      </c>
      <c r="E387">
        <v>273</v>
      </c>
      <c r="G387">
        <f t="shared" si="30"/>
        <v>-0.31427847586886243</v>
      </c>
      <c r="H387">
        <f t="shared" si="31"/>
        <v>-0.38082028946710217</v>
      </c>
      <c r="I387">
        <f t="shared" si="32"/>
        <v>-0.28637908591105804</v>
      </c>
      <c r="J387" s="5"/>
      <c r="K387">
        <f t="shared" si="33"/>
        <v>-0.32715928374900755</v>
      </c>
      <c r="M387">
        <f t="shared" si="34"/>
        <v>4.8520321938467011E-2</v>
      </c>
      <c r="O387" s="2" t="s">
        <v>392</v>
      </c>
    </row>
    <row r="388" spans="1:15">
      <c r="A388">
        <v>386</v>
      </c>
      <c r="B388">
        <v>117</v>
      </c>
      <c r="C388">
        <v>4</v>
      </c>
      <c r="D388">
        <v>0</v>
      </c>
      <c r="E388">
        <v>2</v>
      </c>
      <c r="G388">
        <f t="shared" si="30"/>
        <v>-2.0421493181617025</v>
      </c>
      <c r="H388" t="e">
        <f t="shared" si="31"/>
        <v>#NUM!</v>
      </c>
      <c r="I388">
        <f t="shared" si="32"/>
        <v>-2.2225258706309807</v>
      </c>
      <c r="J388" s="5"/>
      <c r="K388" t="e">
        <f t="shared" si="33"/>
        <v>#NUM!</v>
      </c>
      <c r="M388" t="e">
        <f t="shared" si="34"/>
        <v>#NUM!</v>
      </c>
      <c r="O388" s="2" t="s">
        <v>393</v>
      </c>
    </row>
    <row r="389" spans="1:15">
      <c r="A389">
        <v>387</v>
      </c>
      <c r="B389">
        <v>128</v>
      </c>
      <c r="C389">
        <v>464</v>
      </c>
      <c r="D389">
        <v>381</v>
      </c>
      <c r="E389">
        <v>494</v>
      </c>
      <c r="G389">
        <f t="shared" si="30"/>
        <v>-1.6715436836490793E-2</v>
      </c>
      <c r="H389">
        <f t="shared" si="31"/>
        <v>2.7627985048057302E-2</v>
      </c>
      <c r="I389">
        <f t="shared" si="32"/>
        <v>0.13114697472697823</v>
      </c>
      <c r="J389" s="5"/>
      <c r="K389">
        <f t="shared" si="33"/>
        <v>4.7353174312848245E-2</v>
      </c>
      <c r="M389">
        <f t="shared" si="34"/>
        <v>7.5879084779602091E-2</v>
      </c>
      <c r="O389" s="2" t="s">
        <v>394</v>
      </c>
    </row>
    <row r="390" spans="1:15">
      <c r="A390">
        <v>388</v>
      </c>
      <c r="B390">
        <v>207</v>
      </c>
      <c r="C390">
        <v>1469</v>
      </c>
      <c r="D390">
        <v>1318</v>
      </c>
      <c r="E390">
        <v>1124</v>
      </c>
      <c r="G390">
        <f t="shared" si="30"/>
        <v>0.2750280025898354</v>
      </c>
      <c r="H390">
        <f t="shared" si="31"/>
        <v>0.35785804382137965</v>
      </c>
      <c r="I390">
        <f t="shared" si="32"/>
        <v>0.27942596122732422</v>
      </c>
      <c r="J390" s="5"/>
      <c r="K390">
        <f t="shared" si="33"/>
        <v>0.30410400254617975</v>
      </c>
      <c r="M390">
        <f t="shared" si="34"/>
        <v>4.6604272605697702E-2</v>
      </c>
      <c r="O390" s="2" t="s">
        <v>395</v>
      </c>
    </row>
    <row r="391" spans="1:15">
      <c r="A391">
        <v>389</v>
      </c>
      <c r="B391">
        <v>195</v>
      </c>
      <c r="C391">
        <v>32</v>
      </c>
      <c r="D391">
        <v>36</v>
      </c>
      <c r="E391">
        <v>58</v>
      </c>
      <c r="G391">
        <f t="shared" si="30"/>
        <v>-1.3609080807861154</v>
      </c>
      <c r="H391">
        <f t="shared" si="31"/>
        <v>-1.1798191315749245</v>
      </c>
      <c r="I391">
        <f t="shared" si="32"/>
        <v>-0.98197662234838101</v>
      </c>
      <c r="J391" s="5"/>
      <c r="K391">
        <f t="shared" si="33"/>
        <v>-1.1742346115698068</v>
      </c>
      <c r="M391">
        <f t="shared" si="34"/>
        <v>0.18952744575971792</v>
      </c>
      <c r="O391" s="2" t="s">
        <v>396</v>
      </c>
    </row>
    <row r="392" spans="1:15">
      <c r="A392">
        <v>390</v>
      </c>
      <c r="B392">
        <v>153</v>
      </c>
      <c r="C392">
        <v>2</v>
      </c>
      <c r="D392">
        <v>1</v>
      </c>
      <c r="E392">
        <v>2</v>
      </c>
      <c r="G392">
        <f t="shared" si="30"/>
        <v>-2.4596848828971209</v>
      </c>
      <c r="H392">
        <f t="shared" si="31"/>
        <v>-2.6307784517972923</v>
      </c>
      <c r="I392">
        <f t="shared" si="32"/>
        <v>-2.3390314397024179</v>
      </c>
      <c r="J392" s="5"/>
      <c r="K392">
        <f t="shared" si="33"/>
        <v>-2.4764982581322772</v>
      </c>
      <c r="M392">
        <f t="shared" si="34"/>
        <v>0.14659842071683557</v>
      </c>
      <c r="O392" s="2" t="s">
        <v>397</v>
      </c>
    </row>
    <row r="393" spans="1:15">
      <c r="A393">
        <v>391</v>
      </c>
      <c r="B393">
        <v>216</v>
      </c>
      <c r="C393">
        <v>8</v>
      </c>
      <c r="D393">
        <v>3</v>
      </c>
      <c r="E393">
        <v>6</v>
      </c>
      <c r="G393">
        <f t="shared" si="30"/>
        <v>-2.0073872119024907</v>
      </c>
      <c r="H393">
        <f t="shared" si="31"/>
        <v>-2.303419517410962</v>
      </c>
      <c r="I393">
        <f t="shared" si="32"/>
        <v>-2.0116725053160875</v>
      </c>
      <c r="J393" s="5"/>
      <c r="K393">
        <f t="shared" si="33"/>
        <v>-2.1074930782098469</v>
      </c>
      <c r="M393">
        <f t="shared" si="34"/>
        <v>0.16969080151390464</v>
      </c>
      <c r="O393" s="2" t="s">
        <v>398</v>
      </c>
    </row>
    <row r="394" spans="1:15">
      <c r="A394">
        <v>392</v>
      </c>
      <c r="B394">
        <v>496</v>
      </c>
      <c r="C394">
        <v>20</v>
      </c>
      <c r="D394">
        <v>12</v>
      </c>
      <c r="E394">
        <v>22</v>
      </c>
      <c r="G394">
        <f t="shared" si="30"/>
        <v>-1.9704751285697195</v>
      </c>
      <c r="H394">
        <f t="shared" si="31"/>
        <v>-2.062387451422266</v>
      </c>
      <c r="I394">
        <f t="shared" si="32"/>
        <v>-1.8084290002167915</v>
      </c>
      <c r="J394" s="5"/>
      <c r="K394">
        <f t="shared" si="33"/>
        <v>-1.9470971934029258</v>
      </c>
      <c r="M394">
        <f t="shared" si="34"/>
        <v>0.12858312340337649</v>
      </c>
      <c r="O394" s="2" t="s">
        <v>399</v>
      </c>
    </row>
    <row r="395" spans="1:15">
      <c r="A395">
        <v>393</v>
      </c>
      <c r="B395">
        <v>101</v>
      </c>
      <c r="C395">
        <v>2</v>
      </c>
      <c r="D395">
        <v>1</v>
      </c>
      <c r="E395">
        <v>2</v>
      </c>
      <c r="G395">
        <f t="shared" si="30"/>
        <v>-2.2793148258621647</v>
      </c>
      <c r="H395">
        <f t="shared" si="31"/>
        <v>-2.4504083947623361</v>
      </c>
      <c r="I395">
        <f t="shared" si="32"/>
        <v>-2.1586613826674617</v>
      </c>
      <c r="J395" s="5"/>
      <c r="K395">
        <f t="shared" si="33"/>
        <v>-2.296128201097321</v>
      </c>
      <c r="M395">
        <f t="shared" si="34"/>
        <v>0.14659842071683557</v>
      </c>
      <c r="O395" s="2" t="s">
        <v>400</v>
      </c>
    </row>
    <row r="396" spans="1:15">
      <c r="A396">
        <v>394</v>
      </c>
      <c r="B396">
        <v>202</v>
      </c>
      <c r="C396">
        <v>292</v>
      </c>
      <c r="D396">
        <v>316</v>
      </c>
      <c r="E396">
        <v>383</v>
      </c>
      <c r="G396">
        <f t="shared" si="30"/>
        <v>-0.41599196574170882</v>
      </c>
      <c r="H396">
        <f t="shared" si="31"/>
        <v>-0.2517513078079136</v>
      </c>
      <c r="I396">
        <f t="shared" si="32"/>
        <v>-0.17752260002680131</v>
      </c>
      <c r="J396" s="5"/>
      <c r="K396">
        <f t="shared" si="33"/>
        <v>-0.28175529119214127</v>
      </c>
      <c r="M396">
        <f t="shared" si="34"/>
        <v>0.12203314656399024</v>
      </c>
      <c r="O396" s="2" t="s">
        <v>401</v>
      </c>
    </row>
    <row r="397" spans="1:15">
      <c r="A397">
        <v>395</v>
      </c>
      <c r="B397">
        <v>105</v>
      </c>
      <c r="C397">
        <v>0</v>
      </c>
      <c r="D397">
        <v>1</v>
      </c>
      <c r="E397">
        <v>1</v>
      </c>
      <c r="G397" t="e">
        <f t="shared" si="30"/>
        <v>#NUM!</v>
      </c>
      <c r="H397">
        <f t="shared" si="31"/>
        <v>-2.4672763200496313</v>
      </c>
      <c r="I397">
        <f t="shared" si="32"/>
        <v>-2.4765593036187381</v>
      </c>
      <c r="J397" s="5"/>
      <c r="K397" t="e">
        <f t="shared" si="33"/>
        <v>#NUM!</v>
      </c>
      <c r="M397" t="e">
        <f t="shared" si="34"/>
        <v>#NUM!</v>
      </c>
      <c r="O397" s="2" t="s">
        <v>402</v>
      </c>
    </row>
    <row r="398" spans="1:15">
      <c r="A398">
        <v>396</v>
      </c>
      <c r="B398">
        <v>65</v>
      </c>
      <c r="C398">
        <v>6</v>
      </c>
      <c r="D398">
        <v>4</v>
      </c>
      <c r="E398">
        <v>0</v>
      </c>
      <c r="G398">
        <f t="shared" si="30"/>
        <v>-1.6107855540027152</v>
      </c>
      <c r="H398">
        <f t="shared" si="31"/>
        <v>-1.6569403862945868</v>
      </c>
      <c r="I398" t="e">
        <f t="shared" si="32"/>
        <v>#NUM!</v>
      </c>
      <c r="J398" s="5"/>
      <c r="K398" t="e">
        <f t="shared" si="33"/>
        <v>#NUM!</v>
      </c>
      <c r="M398" t="e">
        <f t="shared" si="34"/>
        <v>#NUM!</v>
      </c>
      <c r="O398" s="2" t="s">
        <v>403</v>
      </c>
    </row>
    <row r="399" spans="1:15">
      <c r="A399">
        <v>397</v>
      </c>
      <c r="B399">
        <v>171</v>
      </c>
      <c r="C399">
        <v>179</v>
      </c>
      <c r="D399">
        <v>232</v>
      </c>
      <c r="E399">
        <v>205</v>
      </c>
      <c r="G399">
        <f t="shared" si="30"/>
        <v>-0.55616652715576398</v>
      </c>
      <c r="H399">
        <f t="shared" si="31"/>
        <v>-0.31359514648094788</v>
      </c>
      <c r="I399">
        <f t="shared" si="32"/>
        <v>-0.37661225388519981</v>
      </c>
      <c r="J399" s="5"/>
      <c r="K399">
        <f t="shared" si="33"/>
        <v>-0.41545797584063721</v>
      </c>
      <c r="M399">
        <f t="shared" si="34"/>
        <v>0.12586485318110474</v>
      </c>
      <c r="O399" s="2" t="s">
        <v>404</v>
      </c>
    </row>
    <row r="400" spans="1:15">
      <c r="A400">
        <v>398</v>
      </c>
      <c r="B400">
        <v>122</v>
      </c>
      <c r="C400">
        <v>146</v>
      </c>
      <c r="D400">
        <v>138</v>
      </c>
      <c r="E400">
        <v>158</v>
      </c>
      <c r="G400">
        <f t="shared" si="30"/>
        <v>-0.49803042263381447</v>
      </c>
      <c r="H400">
        <f t="shared" si="31"/>
        <v>-0.39256776525320541</v>
      </c>
      <c r="I400">
        <f t="shared" si="32"/>
        <v>-0.34307274826912582</v>
      </c>
      <c r="J400" s="5"/>
      <c r="K400">
        <f t="shared" si="33"/>
        <v>-0.41122364538538192</v>
      </c>
      <c r="M400">
        <f t="shared" si="34"/>
        <v>7.9145445912937942E-2</v>
      </c>
      <c r="O400" s="2" t="s">
        <v>405</v>
      </c>
    </row>
    <row r="401" spans="1:15">
      <c r="A401">
        <v>399</v>
      </c>
      <c r="B401">
        <v>111</v>
      </c>
      <c r="C401">
        <v>0</v>
      </c>
      <c r="D401">
        <v>2</v>
      </c>
      <c r="E401">
        <v>0</v>
      </c>
      <c r="G401" t="e">
        <f t="shared" si="30"/>
        <v>#NUM!</v>
      </c>
      <c r="H401">
        <f t="shared" si="31"/>
        <v>-2.1903800041023702</v>
      </c>
      <c r="I401" t="e">
        <f t="shared" si="32"/>
        <v>#NUM!</v>
      </c>
      <c r="J401" s="5"/>
      <c r="K401" t="e">
        <f t="shared" si="33"/>
        <v>#NUM!</v>
      </c>
      <c r="M401" t="e">
        <f t="shared" si="34"/>
        <v>#NUM!</v>
      </c>
      <c r="O401" s="2" t="s">
        <v>406</v>
      </c>
    </row>
    <row r="402" spans="1:15">
      <c r="A402">
        <v>400</v>
      </c>
      <c r="B402">
        <v>87</v>
      </c>
      <c r="C402">
        <v>419</v>
      </c>
      <c r="D402">
        <v>4212</v>
      </c>
      <c r="E402">
        <v>447</v>
      </c>
      <c r="G402">
        <f t="shared" si="30"/>
        <v>0.10667132260417345</v>
      </c>
      <c r="H402">
        <f t="shared" si="31"/>
        <v>1.2388820889151368</v>
      </c>
      <c r="I402">
        <f t="shared" si="32"/>
        <v>0.25541826596451767</v>
      </c>
      <c r="J402" s="5"/>
      <c r="K402">
        <f t="shared" si="33"/>
        <v>0.53365722582794273</v>
      </c>
      <c r="M402">
        <f t="shared" si="34"/>
        <v>0.61525441398418679</v>
      </c>
      <c r="O402" s="2" t="s">
        <v>407</v>
      </c>
    </row>
    <row r="403" spans="1:15">
      <c r="A403">
        <v>401</v>
      </c>
      <c r="B403">
        <v>153</v>
      </c>
      <c r="C403">
        <v>1</v>
      </c>
      <c r="D403">
        <v>2</v>
      </c>
      <c r="E403">
        <v>4</v>
      </c>
      <c r="G403">
        <f t="shared" si="30"/>
        <v>-2.7607148785611022</v>
      </c>
      <c r="H403">
        <f t="shared" si="31"/>
        <v>-2.3297484561333111</v>
      </c>
      <c r="I403">
        <f t="shared" si="32"/>
        <v>-2.0380014440384366</v>
      </c>
      <c r="J403" s="5"/>
      <c r="K403">
        <f t="shared" si="33"/>
        <v>-2.3761549262442831</v>
      </c>
      <c r="M403">
        <f t="shared" si="34"/>
        <v>0.36358471840962614</v>
      </c>
      <c r="O403" s="2" t="s">
        <v>408</v>
      </c>
    </row>
    <row r="404" spans="1:15">
      <c r="A404">
        <v>402</v>
      </c>
      <c r="B404">
        <v>229</v>
      </c>
      <c r="C404">
        <v>2437</v>
      </c>
      <c r="D404">
        <v>1438</v>
      </c>
      <c r="E404">
        <v>785</v>
      </c>
      <c r="G404">
        <f t="shared" si="30"/>
        <v>0.45099659910133294</v>
      </c>
      <c r="H404">
        <f t="shared" si="31"/>
        <v>0.35183638272728213</v>
      </c>
      <c r="I404">
        <f t="shared" si="32"/>
        <v>7.9664169856564215E-2</v>
      </c>
      <c r="J404" s="5"/>
      <c r="K404">
        <f t="shared" si="33"/>
        <v>0.29416571722839308</v>
      </c>
      <c r="M404">
        <f t="shared" si="34"/>
        <v>0.19226641021384586</v>
      </c>
      <c r="O404" s="2" t="s">
        <v>409</v>
      </c>
    </row>
    <row r="405" spans="1:15">
      <c r="A405">
        <v>403</v>
      </c>
      <c r="B405">
        <v>230</v>
      </c>
      <c r="C405">
        <v>2</v>
      </c>
      <c r="D405">
        <v>2</v>
      </c>
      <c r="E405">
        <v>4</v>
      </c>
      <c r="G405">
        <f t="shared" si="30"/>
        <v>-2.6367212880971151</v>
      </c>
      <c r="H405">
        <f t="shared" si="31"/>
        <v>-2.5067848613333057</v>
      </c>
      <c r="I405">
        <f t="shared" si="32"/>
        <v>-2.2150378492384308</v>
      </c>
      <c r="J405" s="5"/>
      <c r="K405">
        <f t="shared" si="33"/>
        <v>-2.4528479995562837</v>
      </c>
      <c r="M405">
        <f t="shared" si="34"/>
        <v>0.21595397529493779</v>
      </c>
      <c r="O405" s="2" t="s">
        <v>410</v>
      </c>
    </row>
    <row r="406" spans="1:15">
      <c r="A406">
        <v>404</v>
      </c>
      <c r="B406">
        <v>91</v>
      </c>
      <c r="C406">
        <v>26</v>
      </c>
      <c r="D406">
        <v>22</v>
      </c>
      <c r="E406">
        <v>20</v>
      </c>
      <c r="G406">
        <f t="shared" si="30"/>
        <v>-1.120091492093779</v>
      </c>
      <c r="H406">
        <f t="shared" si="31"/>
        <v>-1.0627057324785811</v>
      </c>
      <c r="I406">
        <f t="shared" si="32"/>
        <v>-1.1133814012059127</v>
      </c>
      <c r="J406" s="5"/>
      <c r="K406">
        <f t="shared" si="33"/>
        <v>-1.0987262085927576</v>
      </c>
      <c r="M406">
        <f t="shared" si="34"/>
        <v>3.1374549471662933E-2</v>
      </c>
      <c r="O406" s="2" t="s">
        <v>411</v>
      </c>
    </row>
    <row r="407" spans="1:15">
      <c r="A407">
        <v>405</v>
      </c>
      <c r="B407">
        <v>115</v>
      </c>
      <c r="C407">
        <v>0</v>
      </c>
      <c r="D407">
        <v>0</v>
      </c>
      <c r="E407">
        <v>1</v>
      </c>
      <c r="G407" t="e">
        <f t="shared" si="30"/>
        <v>#NUM!</v>
      </c>
      <c r="H407" t="e">
        <f t="shared" si="31"/>
        <v>#NUM!</v>
      </c>
      <c r="I407">
        <f t="shared" si="32"/>
        <v>-2.5160678449024121</v>
      </c>
      <c r="J407" s="5"/>
      <c r="K407" t="e">
        <f t="shared" si="33"/>
        <v>#NUM!</v>
      </c>
      <c r="M407" t="e">
        <f t="shared" si="34"/>
        <v>#NUM!</v>
      </c>
      <c r="O407" s="2" t="s">
        <v>412</v>
      </c>
    </row>
    <row r="408" spans="1:15">
      <c r="A408">
        <v>406</v>
      </c>
      <c r="B408">
        <v>216</v>
      </c>
      <c r="C408">
        <v>3</v>
      </c>
      <c r="D408">
        <v>1</v>
      </c>
      <c r="E408">
        <v>0</v>
      </c>
      <c r="G408">
        <f t="shared" si="30"/>
        <v>-2.4333559441747719</v>
      </c>
      <c r="H408">
        <f t="shared" si="31"/>
        <v>-2.7805407721306246</v>
      </c>
      <c r="I408" t="e">
        <f t="shared" si="32"/>
        <v>#NUM!</v>
      </c>
      <c r="J408" s="5"/>
      <c r="K408" t="e">
        <f t="shared" si="33"/>
        <v>#NUM!</v>
      </c>
      <c r="M408" t="e">
        <f t="shared" si="34"/>
        <v>#NUM!</v>
      </c>
      <c r="O408" s="2" t="s">
        <v>413</v>
      </c>
    </row>
    <row r="409" spans="1:15">
      <c r="A409">
        <v>407</v>
      </c>
      <c r="B409">
        <v>31</v>
      </c>
      <c r="C409">
        <v>0</v>
      </c>
      <c r="D409">
        <v>0</v>
      </c>
      <c r="E409">
        <v>0</v>
      </c>
      <c r="G409" t="e">
        <f t="shared" si="30"/>
        <v>#NUM!</v>
      </c>
      <c r="H409" t="e">
        <f t="shared" si="31"/>
        <v>#NUM!</v>
      </c>
      <c r="I409" t="e">
        <f t="shared" si="32"/>
        <v>#NUM!</v>
      </c>
      <c r="J409" s="5"/>
      <c r="K409" t="e">
        <f t="shared" si="33"/>
        <v>#NUM!</v>
      </c>
      <c r="M409" t="e">
        <f t="shared" si="34"/>
        <v>#NUM!</v>
      </c>
      <c r="O409" s="2" t="s">
        <v>414</v>
      </c>
    </row>
    <row r="410" spans="1:15">
      <c r="A410">
        <v>408</v>
      </c>
      <c r="B410">
        <v>74</v>
      </c>
      <c r="C410">
        <v>177</v>
      </c>
      <c r="D410">
        <v>182</v>
      </c>
      <c r="E410">
        <v>182</v>
      </c>
      <c r="G410">
        <f t="shared" si="30"/>
        <v>-0.19728190111267285</v>
      </c>
      <c r="H410">
        <f t="shared" si="31"/>
        <v>-5.5247352725595E-2</v>
      </c>
      <c r="I410">
        <f t="shared" si="32"/>
        <v>-6.4530336294701618E-2</v>
      </c>
      <c r="J410" s="5"/>
      <c r="K410">
        <f t="shared" si="33"/>
        <v>-0.10568653004432316</v>
      </c>
      <c r="M410">
        <f t="shared" si="34"/>
        <v>7.9459596316918055E-2</v>
      </c>
      <c r="O410" s="2" t="s">
        <v>415</v>
      </c>
    </row>
    <row r="411" spans="1:15">
      <c r="A411">
        <v>409</v>
      </c>
      <c r="B411">
        <v>153</v>
      </c>
      <c r="C411">
        <v>18</v>
      </c>
      <c r="D411">
        <v>28</v>
      </c>
      <c r="E411">
        <v>24</v>
      </c>
      <c r="G411">
        <f t="shared" si="30"/>
        <v>-1.5054423734577962</v>
      </c>
      <c r="H411">
        <f t="shared" si="31"/>
        <v>-1.1836204204550733</v>
      </c>
      <c r="I411">
        <f t="shared" si="32"/>
        <v>-1.2598501936547932</v>
      </c>
      <c r="J411" s="5"/>
      <c r="K411">
        <f t="shared" si="33"/>
        <v>-1.3163043291892209</v>
      </c>
      <c r="M411">
        <f t="shared" si="34"/>
        <v>0.168174446402614</v>
      </c>
      <c r="O411" s="2" t="s">
        <v>416</v>
      </c>
    </row>
    <row r="412" spans="1:15">
      <c r="A412">
        <v>410</v>
      </c>
      <c r="B412">
        <v>230</v>
      </c>
      <c r="C412">
        <v>1638</v>
      </c>
      <c r="D412">
        <v>2678</v>
      </c>
      <c r="E412">
        <v>1667</v>
      </c>
      <c r="G412">
        <f t="shared" si="30"/>
        <v>0.27656261366330348</v>
      </c>
      <c r="H412">
        <f t="shared" si="31"/>
        <v>0.61999571567870371</v>
      </c>
      <c r="I412">
        <f t="shared" si="32"/>
        <v>0.40483775926161214</v>
      </c>
      <c r="J412" s="5"/>
      <c r="K412">
        <f t="shared" si="33"/>
        <v>0.43379869620120642</v>
      </c>
      <c r="M412">
        <f t="shared" si="34"/>
        <v>0.17353854266788821</v>
      </c>
      <c r="O412" s="2" t="s">
        <v>417</v>
      </c>
    </row>
    <row r="413" spans="1:15">
      <c r="A413">
        <v>411</v>
      </c>
      <c r="B413">
        <v>112</v>
      </c>
      <c r="C413">
        <v>0</v>
      </c>
      <c r="D413">
        <v>1</v>
      </c>
      <c r="E413">
        <v>0</v>
      </c>
      <c r="G413" t="e">
        <f t="shared" si="30"/>
        <v>#NUM!</v>
      </c>
      <c r="H413">
        <f t="shared" si="31"/>
        <v>-2.4953050436498749</v>
      </c>
      <c r="I413" t="e">
        <f t="shared" si="32"/>
        <v>#NUM!</v>
      </c>
      <c r="J413" s="5"/>
      <c r="K413" t="e">
        <f t="shared" si="33"/>
        <v>#NUM!</v>
      </c>
      <c r="M413" t="e">
        <f t="shared" si="34"/>
        <v>#NUM!</v>
      </c>
      <c r="O413" s="2" t="s">
        <v>418</v>
      </c>
    </row>
    <row r="414" spans="1:15">
      <c r="A414">
        <v>412</v>
      </c>
      <c r="B414">
        <v>216</v>
      </c>
      <c r="C414">
        <v>1406</v>
      </c>
      <c r="D414">
        <v>1248</v>
      </c>
      <c r="E414">
        <v>1369</v>
      </c>
      <c r="G414">
        <f t="shared" si="30"/>
        <v>0.23750812178937097</v>
      </c>
      <c r="H414">
        <f t="shared" si="31"/>
        <v>0.31567381321578059</v>
      </c>
      <c r="I414">
        <f t="shared" si="32"/>
        <v>0.34657969243425879</v>
      </c>
      <c r="J414" s="5"/>
      <c r="K414">
        <f t="shared" si="33"/>
        <v>0.29992054247980343</v>
      </c>
      <c r="M414">
        <f t="shared" si="34"/>
        <v>5.6216332456826425E-2</v>
      </c>
      <c r="O414" s="2" t="s">
        <v>419</v>
      </c>
    </row>
    <row r="415" spans="1:15">
      <c r="A415">
        <v>413</v>
      </c>
      <c r="B415">
        <v>117</v>
      </c>
      <c r="C415">
        <v>0</v>
      </c>
      <c r="D415">
        <v>1</v>
      </c>
      <c r="E415">
        <v>0</v>
      </c>
      <c r="G415" t="e">
        <f t="shared" si="30"/>
        <v>#NUM!</v>
      </c>
      <c r="H415">
        <f t="shared" si="31"/>
        <v>-2.5142728827258551</v>
      </c>
      <c r="I415" t="e">
        <f t="shared" si="32"/>
        <v>#NUM!</v>
      </c>
      <c r="J415" s="5"/>
      <c r="K415" t="e">
        <f t="shared" si="33"/>
        <v>#NUM!</v>
      </c>
      <c r="M415" t="e">
        <f t="shared" si="34"/>
        <v>#NUM!</v>
      </c>
      <c r="O415" s="2" t="s">
        <v>420</v>
      </c>
    </row>
    <row r="416" spans="1:15">
      <c r="A416">
        <v>414</v>
      </c>
      <c r="B416">
        <v>207</v>
      </c>
      <c r="C416">
        <v>4</v>
      </c>
      <c r="D416">
        <v>4</v>
      </c>
      <c r="E416">
        <v>8</v>
      </c>
      <c r="G416">
        <f t="shared" si="30"/>
        <v>-2.2899338018724587</v>
      </c>
      <c r="H416">
        <f t="shared" si="31"/>
        <v>-2.1599973751086488</v>
      </c>
      <c r="I416">
        <f t="shared" si="32"/>
        <v>-1.8682503630137746</v>
      </c>
      <c r="J416" s="5"/>
      <c r="K416">
        <f t="shared" si="33"/>
        <v>-2.1060605133316272</v>
      </c>
      <c r="M416">
        <f t="shared" si="34"/>
        <v>0.21595397529493762</v>
      </c>
      <c r="O416" s="2" t="s">
        <v>421</v>
      </c>
    </row>
    <row r="417" spans="1:15">
      <c r="A417">
        <v>415</v>
      </c>
      <c r="B417">
        <v>119</v>
      </c>
      <c r="C417">
        <v>132</v>
      </c>
      <c r="D417">
        <v>225</v>
      </c>
      <c r="E417">
        <v>118</v>
      </c>
      <c r="G417">
        <f t="shared" si="30"/>
        <v>-0.53099647793018423</v>
      </c>
      <c r="H417">
        <f t="shared" si="31"/>
        <v>-0.16945146426086194</v>
      </c>
      <c r="I417">
        <f t="shared" si="32"/>
        <v>-0.45903495863520566</v>
      </c>
      <c r="J417" s="5"/>
      <c r="K417">
        <f t="shared" si="33"/>
        <v>-0.38649430027541726</v>
      </c>
      <c r="M417">
        <f t="shared" si="34"/>
        <v>0.19137740086995997</v>
      </c>
      <c r="O417" s="2" t="s">
        <v>422</v>
      </c>
    </row>
    <row r="418" spans="1:15">
      <c r="A418">
        <v>416</v>
      </c>
      <c r="B418">
        <v>84</v>
      </c>
      <c r="C418">
        <v>0</v>
      </c>
      <c r="D418">
        <v>2</v>
      </c>
      <c r="E418">
        <v>1</v>
      </c>
      <c r="G418" t="e">
        <f t="shared" si="30"/>
        <v>#NUM!</v>
      </c>
      <c r="H418">
        <f t="shared" si="31"/>
        <v>-2.0693363113775942</v>
      </c>
      <c r="I418">
        <f t="shared" si="32"/>
        <v>-2.3796492906106819</v>
      </c>
      <c r="J418" s="5"/>
      <c r="K418" t="e">
        <f t="shared" si="33"/>
        <v>#NUM!</v>
      </c>
      <c r="M418" t="e">
        <f t="shared" si="34"/>
        <v>#NUM!</v>
      </c>
      <c r="O418" s="2" t="s">
        <v>423</v>
      </c>
    </row>
    <row r="419" spans="1:15">
      <c r="A419">
        <v>417</v>
      </c>
      <c r="B419">
        <v>69</v>
      </c>
      <c r="C419">
        <v>0</v>
      </c>
      <c r="D419">
        <v>1</v>
      </c>
      <c r="E419">
        <v>1</v>
      </c>
      <c r="G419" t="e">
        <f t="shared" si="30"/>
        <v>#NUM!</v>
      </c>
      <c r="H419">
        <f t="shared" si="31"/>
        <v>-2.2849361117169487</v>
      </c>
      <c r="I419">
        <f t="shared" si="32"/>
        <v>-2.2942190952860555</v>
      </c>
      <c r="J419" s="5"/>
      <c r="K419" t="e">
        <f t="shared" si="33"/>
        <v>#NUM!</v>
      </c>
      <c r="M419" t="e">
        <f t="shared" si="34"/>
        <v>#NUM!</v>
      </c>
      <c r="O419" s="2" t="s">
        <v>424</v>
      </c>
    </row>
    <row r="420" spans="1:15">
      <c r="A420">
        <v>418</v>
      </c>
      <c r="B420">
        <v>258</v>
      </c>
      <c r="C420">
        <v>1268</v>
      </c>
      <c r="D420">
        <v>1322</v>
      </c>
      <c r="E420">
        <v>1283</v>
      </c>
      <c r="G420">
        <f t="shared" si="30"/>
        <v>0.11547609983898033</v>
      </c>
      <c r="H420">
        <f t="shared" si="31"/>
        <v>0.26352472820669759</v>
      </c>
      <c r="I420">
        <f t="shared" si="32"/>
        <v>0.24123694586289801</v>
      </c>
      <c r="J420" s="5"/>
      <c r="K420">
        <f t="shared" si="33"/>
        <v>0.20674592463619199</v>
      </c>
      <c r="M420">
        <f t="shared" si="34"/>
        <v>7.9823693220349268E-2</v>
      </c>
      <c r="O420" s="2" t="s">
        <v>425</v>
      </c>
    </row>
    <row r="421" spans="1:15">
      <c r="A421">
        <v>419</v>
      </c>
      <c r="B421">
        <v>89</v>
      </c>
      <c r="C421">
        <v>78</v>
      </c>
      <c r="D421">
        <v>57</v>
      </c>
      <c r="E421">
        <v>82</v>
      </c>
      <c r="G421">
        <f t="shared" si="30"/>
        <v>-0.63331885169793567</v>
      </c>
      <c r="H421">
        <f t="shared" si="31"/>
        <v>-0.639602171952115</v>
      </c>
      <c r="I421">
        <f t="shared" si="32"/>
        <v>-0.49094615880999637</v>
      </c>
      <c r="J421" s="5"/>
      <c r="K421">
        <f t="shared" si="33"/>
        <v>-0.58795572748668234</v>
      </c>
      <c r="M421">
        <f t="shared" si="34"/>
        <v>8.4071471614820814E-2</v>
      </c>
      <c r="O421" s="2" t="s">
        <v>426</v>
      </c>
    </row>
    <row r="422" spans="1:15">
      <c r="A422">
        <v>420</v>
      </c>
      <c r="B422">
        <v>208</v>
      </c>
      <c r="C422">
        <v>5</v>
      </c>
      <c r="D422">
        <v>2</v>
      </c>
      <c r="E422">
        <v>1</v>
      </c>
      <c r="G422">
        <f t="shared" si="30"/>
        <v>-2.1951167783702461</v>
      </c>
      <c r="H422">
        <f t="shared" si="31"/>
        <v>-2.4631203602784737</v>
      </c>
      <c r="I422">
        <f t="shared" si="32"/>
        <v>-2.7734333395115618</v>
      </c>
      <c r="J422" s="5"/>
      <c r="K422">
        <f t="shared" si="33"/>
        <v>-2.477223492720094</v>
      </c>
      <c r="M422">
        <f t="shared" si="34"/>
        <v>0.28941611043803123</v>
      </c>
      <c r="O422" s="2" t="s">
        <v>427</v>
      </c>
    </row>
    <row r="423" spans="1:15">
      <c r="A423">
        <v>421</v>
      </c>
      <c r="B423">
        <v>172</v>
      </c>
      <c r="C423">
        <v>1</v>
      </c>
      <c r="D423">
        <v>0</v>
      </c>
      <c r="E423">
        <v>2</v>
      </c>
      <c r="G423">
        <f t="shared" si="30"/>
        <v>-2.811551894651052</v>
      </c>
      <c r="H423" t="e">
        <f t="shared" si="31"/>
        <v>#NUM!</v>
      </c>
      <c r="I423">
        <f t="shared" si="32"/>
        <v>-2.3898684557923682</v>
      </c>
      <c r="J423" s="5"/>
      <c r="K423" t="e">
        <f t="shared" si="33"/>
        <v>#NUM!</v>
      </c>
      <c r="M423" t="e">
        <f t="shared" si="34"/>
        <v>#NUM!</v>
      </c>
      <c r="O423" s="2" t="s">
        <v>428</v>
      </c>
    </row>
    <row r="424" spans="1:15">
      <c r="A424">
        <v>422</v>
      </c>
      <c r="B424">
        <v>97</v>
      </c>
      <c r="C424">
        <v>1</v>
      </c>
      <c r="D424">
        <v>2</v>
      </c>
      <c r="E424">
        <v>1</v>
      </c>
      <c r="G424">
        <f t="shared" si="30"/>
        <v>-2.5627951820097481</v>
      </c>
      <c r="H424">
        <f t="shared" si="31"/>
        <v>-2.1318287595819574</v>
      </c>
      <c r="I424">
        <f t="shared" si="32"/>
        <v>-2.442141738815045</v>
      </c>
      <c r="J424" s="5"/>
      <c r="K424">
        <f t="shared" si="33"/>
        <v>-2.3789218934689171</v>
      </c>
      <c r="M424">
        <f t="shared" si="34"/>
        <v>0.22232988091852052</v>
      </c>
      <c r="O424" s="2" t="s">
        <v>429</v>
      </c>
    </row>
    <row r="425" spans="1:15">
      <c r="A425">
        <v>423</v>
      </c>
      <c r="B425">
        <v>22</v>
      </c>
      <c r="C425">
        <v>1</v>
      </c>
      <c r="D425">
        <v>0</v>
      </c>
      <c r="E425">
        <v>0</v>
      </c>
      <c r="G425">
        <f t="shared" si="30"/>
        <v>-1.9184461285657095</v>
      </c>
      <c r="H425" t="e">
        <f t="shared" si="31"/>
        <v>#NUM!</v>
      </c>
      <c r="I425" t="e">
        <f t="shared" si="32"/>
        <v>#NUM!</v>
      </c>
      <c r="J425" s="5"/>
      <c r="K425" t="e">
        <f t="shared" si="33"/>
        <v>#NUM!</v>
      </c>
      <c r="M425" t="e">
        <f t="shared" si="34"/>
        <v>#NUM!</v>
      </c>
      <c r="O425" s="2" t="s">
        <v>430</v>
      </c>
    </row>
    <row r="426" spans="1:15">
      <c r="A426">
        <v>424</v>
      </c>
      <c r="B426">
        <v>113</v>
      </c>
      <c r="C426">
        <v>1</v>
      </c>
      <c r="D426">
        <v>0</v>
      </c>
      <c r="E426">
        <v>3</v>
      </c>
      <c r="G426">
        <f t="shared" si="30"/>
        <v>-2.6291018912269233</v>
      </c>
      <c r="H426" t="e">
        <f t="shared" si="31"/>
        <v>#NUM!</v>
      </c>
      <c r="I426">
        <f t="shared" si="32"/>
        <v>-2.0313271933125576</v>
      </c>
      <c r="J426" s="5"/>
      <c r="K426" t="e">
        <f t="shared" si="33"/>
        <v>#NUM!</v>
      </c>
      <c r="M426" t="e">
        <f t="shared" si="34"/>
        <v>#NUM!</v>
      </c>
      <c r="O426" s="2" t="s">
        <v>431</v>
      </c>
    </row>
    <row r="427" spans="1:15">
      <c r="A427">
        <v>425</v>
      </c>
      <c r="B427">
        <v>38</v>
      </c>
      <c r="C427">
        <v>0</v>
      </c>
      <c r="D427">
        <v>0</v>
      </c>
      <c r="E427">
        <v>0</v>
      </c>
      <c r="G427" t="e">
        <f t="shared" si="30"/>
        <v>#NUM!</v>
      </c>
      <c r="H427" t="e">
        <f t="shared" si="31"/>
        <v>#NUM!</v>
      </c>
      <c r="I427" t="e">
        <f t="shared" si="32"/>
        <v>#NUM!</v>
      </c>
      <c r="J427" s="5"/>
      <c r="K427" t="e">
        <f t="shared" si="33"/>
        <v>#NUM!</v>
      </c>
      <c r="M427" t="e">
        <f t="shared" si="34"/>
        <v>#NUM!</v>
      </c>
      <c r="O427" s="2" t="s">
        <v>432</v>
      </c>
    </row>
    <row r="428" spans="1:15">
      <c r="A428">
        <v>426</v>
      </c>
      <c r="B428">
        <v>74</v>
      </c>
      <c r="C428">
        <v>0</v>
      </c>
      <c r="D428">
        <v>1</v>
      </c>
      <c r="E428">
        <v>0</v>
      </c>
      <c r="G428" t="e">
        <f t="shared" si="30"/>
        <v>#NUM!</v>
      </c>
      <c r="H428">
        <f t="shared" si="31"/>
        <v>-2.3153187407106701</v>
      </c>
      <c r="I428" t="e">
        <f t="shared" si="32"/>
        <v>#NUM!</v>
      </c>
      <c r="J428" s="5"/>
      <c r="K428" t="e">
        <f t="shared" si="33"/>
        <v>#NUM!</v>
      </c>
      <c r="M428" t="e">
        <f t="shared" si="34"/>
        <v>#NUM!</v>
      </c>
      <c r="O428" s="2" t="s">
        <v>433</v>
      </c>
    </row>
    <row r="429" spans="1:15">
      <c r="A429">
        <v>427</v>
      </c>
      <c r="B429">
        <v>45</v>
      </c>
      <c r="C429">
        <v>0</v>
      </c>
      <c r="D429">
        <v>0</v>
      </c>
      <c r="E429">
        <v>0</v>
      </c>
      <c r="G429" t="e">
        <f t="shared" si="30"/>
        <v>#NUM!</v>
      </c>
      <c r="H429" t="e">
        <f t="shared" si="31"/>
        <v>#NUM!</v>
      </c>
      <c r="I429" t="e">
        <f t="shared" si="32"/>
        <v>#NUM!</v>
      </c>
      <c r="J429" s="5"/>
      <c r="K429" t="e">
        <f t="shared" si="33"/>
        <v>#NUM!</v>
      </c>
      <c r="M429" t="e">
        <f t="shared" si="34"/>
        <v>#NUM!</v>
      </c>
      <c r="O429" s="2" t="s">
        <v>434</v>
      </c>
    </row>
    <row r="430" spans="1:15">
      <c r="A430">
        <v>428</v>
      </c>
      <c r="B430">
        <v>127</v>
      </c>
      <c r="C430">
        <v>8</v>
      </c>
      <c r="D430">
        <v>14</v>
      </c>
      <c r="E430">
        <v>10</v>
      </c>
      <c r="G430">
        <f t="shared" si="30"/>
        <v>-1.7767371817075166</v>
      </c>
      <c r="H430">
        <f t="shared" si="31"/>
        <v>-1.4037627062574125</v>
      </c>
      <c r="I430">
        <f t="shared" si="32"/>
        <v>-1.5591737255047571</v>
      </c>
      <c r="J430" s="5"/>
      <c r="K430">
        <f t="shared" si="33"/>
        <v>-1.5798912044898954</v>
      </c>
      <c r="M430">
        <f t="shared" si="34"/>
        <v>0.18734833942670753</v>
      </c>
      <c r="O430" s="2" t="s">
        <v>435</v>
      </c>
    </row>
    <row r="431" spans="1:15">
      <c r="A431">
        <v>429</v>
      </c>
      <c r="B431">
        <v>86</v>
      </c>
      <c r="C431">
        <v>108</v>
      </c>
      <c r="D431">
        <v>99</v>
      </c>
      <c r="E431">
        <v>96</v>
      </c>
      <c r="G431">
        <f t="shared" si="30"/>
        <v>-0.47709814350012136</v>
      </c>
      <c r="H431">
        <f t="shared" si="31"/>
        <v>-0.38495027762571143</v>
      </c>
      <c r="I431">
        <f t="shared" si="32"/>
        <v>-0.40759722275279958</v>
      </c>
      <c r="J431" s="5"/>
      <c r="K431">
        <f t="shared" si="33"/>
        <v>-0.42321521462621076</v>
      </c>
      <c r="M431">
        <f t="shared" si="34"/>
        <v>4.8018210596819558E-2</v>
      </c>
      <c r="O431" s="2" t="s">
        <v>436</v>
      </c>
    </row>
    <row r="432" spans="1:15">
      <c r="A432">
        <v>430</v>
      </c>
      <c r="B432">
        <v>109</v>
      </c>
      <c r="C432">
        <v>49</v>
      </c>
      <c r="D432">
        <v>22</v>
      </c>
      <c r="E432">
        <v>44</v>
      </c>
      <c r="G432">
        <f t="shared" si="30"/>
        <v>-0.92325386565561329</v>
      </c>
      <c r="H432">
        <f t="shared" si="31"/>
        <v>-1.1410908380981111</v>
      </c>
      <c r="I432">
        <f t="shared" si="32"/>
        <v>-0.84934382600323644</v>
      </c>
      <c r="J432" s="5"/>
      <c r="K432">
        <f t="shared" si="33"/>
        <v>-0.97122950991898682</v>
      </c>
      <c r="M432">
        <f t="shared" si="34"/>
        <v>0.15167506913938175</v>
      </c>
      <c r="O432" s="2" t="s">
        <v>437</v>
      </c>
    </row>
    <row r="433" spans="1:15">
      <c r="A433">
        <v>431</v>
      </c>
      <c r="B433">
        <v>336</v>
      </c>
      <c r="C433">
        <v>10</v>
      </c>
      <c r="D433">
        <v>1</v>
      </c>
      <c r="E433">
        <v>12</v>
      </c>
      <c r="G433">
        <f t="shared" si="30"/>
        <v>-2.1023627251333474</v>
      </c>
      <c r="H433">
        <f t="shared" si="31"/>
        <v>-2.9724262983695375</v>
      </c>
      <c r="I433">
        <f t="shared" si="32"/>
        <v>-1.9025280358910195</v>
      </c>
      <c r="J433" s="5"/>
      <c r="K433">
        <f t="shared" si="33"/>
        <v>-2.3257723531313013</v>
      </c>
      <c r="M433">
        <f t="shared" si="34"/>
        <v>0.56886243453516516</v>
      </c>
      <c r="O433" s="2" t="s">
        <v>438</v>
      </c>
    </row>
    <row r="434" spans="1:15">
      <c r="A434">
        <v>432</v>
      </c>
      <c r="B434">
        <v>109</v>
      </c>
      <c r="C434">
        <v>3</v>
      </c>
      <c r="D434">
        <v>0</v>
      </c>
      <c r="E434">
        <v>2</v>
      </c>
      <c r="G434">
        <f t="shared" si="30"/>
        <v>-2.1363286909644645</v>
      </c>
      <c r="H434" t="e">
        <f t="shared" si="31"/>
        <v>#NUM!</v>
      </c>
      <c r="I434">
        <f t="shared" si="32"/>
        <v>-2.1917665068254424</v>
      </c>
      <c r="J434" s="5"/>
      <c r="K434" t="e">
        <f t="shared" si="33"/>
        <v>#NUM!</v>
      </c>
      <c r="M434" t="e">
        <f t="shared" si="34"/>
        <v>#NUM!</v>
      </c>
      <c r="O434" s="2" t="s">
        <v>439</v>
      </c>
    </row>
    <row r="435" spans="1:15">
      <c r="A435">
        <v>433</v>
      </c>
      <c r="B435">
        <v>69</v>
      </c>
      <c r="C435">
        <v>0</v>
      </c>
      <c r="D435">
        <v>0</v>
      </c>
      <c r="E435">
        <v>3</v>
      </c>
      <c r="G435" t="e">
        <f t="shared" si="30"/>
        <v>#NUM!</v>
      </c>
      <c r="H435" t="e">
        <f t="shared" si="31"/>
        <v>#NUM!</v>
      </c>
      <c r="I435">
        <f t="shared" si="32"/>
        <v>-1.8170978405663931</v>
      </c>
      <c r="J435" s="5"/>
      <c r="K435" t="e">
        <f t="shared" si="33"/>
        <v>#NUM!</v>
      </c>
      <c r="M435" t="e">
        <f t="shared" si="34"/>
        <v>#NUM!</v>
      </c>
      <c r="O435" s="2" t="s">
        <v>440</v>
      </c>
    </row>
    <row r="436" spans="1:15">
      <c r="A436">
        <v>434</v>
      </c>
      <c r="B436">
        <v>108</v>
      </c>
      <c r="C436">
        <v>1</v>
      </c>
      <c r="D436">
        <v>0</v>
      </c>
      <c r="E436">
        <v>0</v>
      </c>
      <c r="G436">
        <f t="shared" si="30"/>
        <v>-2.6094472032304532</v>
      </c>
      <c r="H436" t="e">
        <f t="shared" si="31"/>
        <v>#NUM!</v>
      </c>
      <c r="I436" t="e">
        <f t="shared" si="32"/>
        <v>#NUM!</v>
      </c>
      <c r="J436" s="5"/>
      <c r="K436" t="e">
        <f t="shared" si="33"/>
        <v>#NUM!</v>
      </c>
      <c r="M436" t="e">
        <f t="shared" si="34"/>
        <v>#NUM!</v>
      </c>
      <c r="O436" s="2" t="s">
        <v>441</v>
      </c>
    </row>
    <row r="437" spans="1:15">
      <c r="A437">
        <v>435</v>
      </c>
      <c r="B437">
        <v>79</v>
      </c>
      <c r="C437">
        <v>3</v>
      </c>
      <c r="D437">
        <v>2</v>
      </c>
      <c r="E437">
        <v>5</v>
      </c>
      <c r="G437">
        <f t="shared" si="30"/>
        <v>-1.9965292843142823</v>
      </c>
      <c r="H437">
        <f t="shared" si="31"/>
        <v>-2.042684116606154</v>
      </c>
      <c r="I437">
        <f t="shared" si="32"/>
        <v>-1.6540270915032229</v>
      </c>
      <c r="J437" s="5"/>
      <c r="K437">
        <f t="shared" si="33"/>
        <v>-1.8977468308078864</v>
      </c>
      <c r="M437">
        <f t="shared" si="34"/>
        <v>0.21232534147157883</v>
      </c>
      <c r="O437" s="2" t="s">
        <v>442</v>
      </c>
    </row>
    <row r="438" spans="1:15">
      <c r="A438">
        <v>436</v>
      </c>
      <c r="B438">
        <v>51</v>
      </c>
      <c r="C438">
        <v>0</v>
      </c>
      <c r="D438">
        <v>0</v>
      </c>
      <c r="E438">
        <v>0</v>
      </c>
      <c r="G438" t="e">
        <f t="shared" si="30"/>
        <v>#NUM!</v>
      </c>
      <c r="H438" t="e">
        <f t="shared" si="31"/>
        <v>#NUM!</v>
      </c>
      <c r="I438" t="e">
        <f t="shared" si="32"/>
        <v>#NUM!</v>
      </c>
      <c r="J438" s="5"/>
      <c r="K438" t="e">
        <f t="shared" si="33"/>
        <v>#NUM!</v>
      </c>
      <c r="M438" t="e">
        <f t="shared" si="34"/>
        <v>#NUM!</v>
      </c>
      <c r="O438" s="2" t="s">
        <v>443</v>
      </c>
    </row>
    <row r="439" spans="1:15">
      <c r="A439">
        <v>437</v>
      </c>
      <c r="B439">
        <v>178</v>
      </c>
      <c r="C439">
        <v>3</v>
      </c>
      <c r="D439">
        <v>0</v>
      </c>
      <c r="E439">
        <v>0</v>
      </c>
      <c r="G439">
        <f t="shared" si="30"/>
        <v>-2.3493221953327348</v>
      </c>
      <c r="H439" t="e">
        <f t="shared" si="31"/>
        <v>#NUM!</v>
      </c>
      <c r="I439" t="e">
        <f t="shared" si="32"/>
        <v>#NUM!</v>
      </c>
      <c r="J439" s="5"/>
      <c r="K439" t="e">
        <f t="shared" si="33"/>
        <v>#NUM!</v>
      </c>
      <c r="M439" t="e">
        <f t="shared" si="34"/>
        <v>#NUM!</v>
      </c>
      <c r="O439" s="2" t="s">
        <v>444</v>
      </c>
    </row>
    <row r="440" spans="1:15">
      <c r="A440">
        <v>438</v>
      </c>
      <c r="B440">
        <v>109</v>
      </c>
      <c r="C440">
        <v>0</v>
      </c>
      <c r="D440">
        <v>3</v>
      </c>
      <c r="E440">
        <v>2</v>
      </c>
      <c r="G440" t="e">
        <f t="shared" si="30"/>
        <v>#NUM!</v>
      </c>
      <c r="H440">
        <f t="shared" si="31"/>
        <v>-2.0063922642006551</v>
      </c>
      <c r="I440">
        <f t="shared" si="32"/>
        <v>-2.1917665068254424</v>
      </c>
      <c r="J440" s="5"/>
      <c r="K440" t="e">
        <f t="shared" si="33"/>
        <v>#NUM!</v>
      </c>
      <c r="M440" t="e">
        <f t="shared" si="34"/>
        <v>#NUM!</v>
      </c>
      <c r="O440" s="2" t="s">
        <v>445</v>
      </c>
    </row>
    <row r="441" spans="1:15">
      <c r="A441">
        <v>439</v>
      </c>
      <c r="B441">
        <v>332</v>
      </c>
      <c r="C441">
        <v>6</v>
      </c>
      <c r="D441">
        <v>4</v>
      </c>
      <c r="E441">
        <v>9</v>
      </c>
      <c r="G441">
        <f t="shared" si="30"/>
        <v>-2.3190102810638962</v>
      </c>
      <c r="H441">
        <f t="shared" si="31"/>
        <v>-2.3651651133557676</v>
      </c>
      <c r="I441">
        <f t="shared" si="32"/>
        <v>-2.0222655788135118</v>
      </c>
      <c r="J441" s="5"/>
      <c r="K441">
        <f t="shared" si="33"/>
        <v>-2.2354803244110584</v>
      </c>
      <c r="M441">
        <f t="shared" si="34"/>
        <v>0.18608590204833528</v>
      </c>
      <c r="O441" s="2" t="s">
        <v>446</v>
      </c>
    </row>
    <row r="442" spans="1:15">
      <c r="A442">
        <v>440</v>
      </c>
      <c r="B442">
        <v>41</v>
      </c>
      <c r="C442">
        <v>3</v>
      </c>
      <c r="D442">
        <v>2</v>
      </c>
      <c r="E442">
        <v>2</v>
      </c>
      <c r="G442">
        <f t="shared" si="30"/>
        <v>-1.7116860497435764</v>
      </c>
      <c r="H442">
        <f t="shared" si="31"/>
        <v>-1.7578408820354479</v>
      </c>
      <c r="I442">
        <f t="shared" si="32"/>
        <v>-1.7671238656045545</v>
      </c>
      <c r="J442" s="5"/>
      <c r="K442">
        <f t="shared" si="33"/>
        <v>-1.7455502657945263</v>
      </c>
      <c r="M442">
        <f t="shared" si="34"/>
        <v>2.9692293487454492E-2</v>
      </c>
      <c r="O442" s="2" t="s">
        <v>447</v>
      </c>
    </row>
    <row r="443" spans="1:15">
      <c r="A443">
        <v>441</v>
      </c>
      <c r="B443">
        <v>232</v>
      </c>
      <c r="C443">
        <v>1</v>
      </c>
      <c r="D443">
        <v>2</v>
      </c>
      <c r="E443">
        <v>1</v>
      </c>
      <c r="G443">
        <f t="shared" si="30"/>
        <v>-2.9415114326344032</v>
      </c>
      <c r="H443">
        <f t="shared" si="31"/>
        <v>-2.510545010206612</v>
      </c>
      <c r="I443">
        <f t="shared" si="32"/>
        <v>-2.8208579894397001</v>
      </c>
      <c r="J443" s="5"/>
      <c r="K443">
        <f t="shared" si="33"/>
        <v>-2.7576381440935713</v>
      </c>
      <c r="M443">
        <f t="shared" si="34"/>
        <v>0.22232988091852077</v>
      </c>
      <c r="O443" s="2" t="s">
        <v>448</v>
      </c>
    </row>
    <row r="444" spans="1:15">
      <c r="A444">
        <v>442</v>
      </c>
      <c r="B444">
        <v>76</v>
      </c>
      <c r="C444">
        <v>2</v>
      </c>
      <c r="D444">
        <v>0</v>
      </c>
      <c r="E444">
        <v>0</v>
      </c>
      <c r="G444">
        <f t="shared" si="30"/>
        <v>-2.1558070443603135</v>
      </c>
      <c r="H444" t="e">
        <f t="shared" si="31"/>
        <v>#NUM!</v>
      </c>
      <c r="I444" t="e">
        <f t="shared" si="32"/>
        <v>#NUM!</v>
      </c>
      <c r="J444" s="5"/>
      <c r="K444" t="e">
        <f t="shared" si="33"/>
        <v>#NUM!</v>
      </c>
      <c r="M444" t="e">
        <f t="shared" si="34"/>
        <v>#NUM!</v>
      </c>
      <c r="O444" s="2" t="s">
        <v>449</v>
      </c>
    </row>
    <row r="445" spans="1:15">
      <c r="A445">
        <v>443</v>
      </c>
      <c r="B445">
        <v>77</v>
      </c>
      <c r="C445">
        <v>48</v>
      </c>
      <c r="D445">
        <v>42</v>
      </c>
      <c r="E445">
        <v>77</v>
      </c>
      <c r="G445">
        <f t="shared" si="30"/>
        <v>-0.78127293554039801</v>
      </c>
      <c r="H445">
        <f t="shared" si="31"/>
        <v>-0.70932845575427517</v>
      </c>
      <c r="I445">
        <f t="shared" si="32"/>
        <v>-0.45537000454880028</v>
      </c>
      <c r="J445" s="5"/>
      <c r="K445">
        <f t="shared" si="33"/>
        <v>-0.64865713194782448</v>
      </c>
      <c r="M445">
        <f t="shared" si="34"/>
        <v>0.17121313400714608</v>
      </c>
      <c r="O445" s="2" t="s">
        <v>450</v>
      </c>
    </row>
    <row r="446" spans="1:15">
      <c r="A446">
        <v>444</v>
      </c>
      <c r="B446">
        <v>68</v>
      </c>
      <c r="C446">
        <v>0</v>
      </c>
      <c r="D446">
        <v>0</v>
      </c>
      <c r="E446">
        <v>2</v>
      </c>
      <c r="G446" t="e">
        <f t="shared" si="30"/>
        <v>#NUM!</v>
      </c>
      <c r="H446" t="e">
        <f t="shared" si="31"/>
        <v>#NUM!</v>
      </c>
      <c r="I446">
        <f t="shared" si="32"/>
        <v>-1.9868489215910554</v>
      </c>
      <c r="J446" s="5"/>
      <c r="K446" t="e">
        <f t="shared" si="33"/>
        <v>#NUM!</v>
      </c>
      <c r="M446" t="e">
        <f t="shared" si="34"/>
        <v>#NUM!</v>
      </c>
      <c r="O446" s="2" t="s">
        <v>451</v>
      </c>
    </row>
    <row r="447" spans="1:15">
      <c r="A447">
        <v>445</v>
      </c>
      <c r="B447">
        <v>122</v>
      </c>
      <c r="C447">
        <v>37</v>
      </c>
      <c r="D447">
        <v>26</v>
      </c>
      <c r="E447">
        <v>37</v>
      </c>
      <c r="G447">
        <f t="shared" si="30"/>
        <v>-1.0941815543512565</v>
      </c>
      <c r="H447">
        <f t="shared" si="31"/>
        <v>-1.1174735036836241</v>
      </c>
      <c r="I447">
        <f t="shared" si="32"/>
        <v>-0.97352811115655347</v>
      </c>
      <c r="J447" s="5"/>
      <c r="K447">
        <f t="shared" si="33"/>
        <v>-1.0617277230638111</v>
      </c>
      <c r="M447">
        <f t="shared" si="34"/>
        <v>7.7265822854406821E-2</v>
      </c>
      <c r="O447" s="2" t="s">
        <v>452</v>
      </c>
    </row>
    <row r="448" spans="1:15">
      <c r="A448">
        <v>446</v>
      </c>
      <c r="B448">
        <v>141</v>
      </c>
      <c r="C448">
        <v>7</v>
      </c>
      <c r="D448">
        <v>5</v>
      </c>
      <c r="E448">
        <v>10</v>
      </c>
      <c r="G448">
        <f t="shared" si="30"/>
        <v>-1.8801445203846263</v>
      </c>
      <c r="H448">
        <f t="shared" si="31"/>
        <v>-1.8963361292990548</v>
      </c>
      <c r="I448">
        <f t="shared" si="32"/>
        <v>-1.6045891172041802</v>
      </c>
      <c r="J448" s="5"/>
      <c r="K448">
        <f t="shared" si="33"/>
        <v>-1.7936899222959539</v>
      </c>
      <c r="M448">
        <f t="shared" si="34"/>
        <v>0.16396608769674648</v>
      </c>
      <c r="O448" s="2" t="s">
        <v>453</v>
      </c>
    </row>
    <row r="449" spans="1:15">
      <c r="A449">
        <v>447</v>
      </c>
      <c r="B449">
        <v>94</v>
      </c>
      <c r="C449">
        <v>0</v>
      </c>
      <c r="D449">
        <v>0</v>
      </c>
      <c r="E449">
        <v>2</v>
      </c>
      <c r="G449" t="e">
        <f t="shared" si="30"/>
        <v>#NUM!</v>
      </c>
      <c r="H449" t="e">
        <f t="shared" si="31"/>
        <v>#NUM!</v>
      </c>
      <c r="I449">
        <f t="shared" si="32"/>
        <v>-2.1274678624845178</v>
      </c>
      <c r="J449" s="5"/>
      <c r="K449" t="e">
        <f t="shared" si="33"/>
        <v>#NUM!</v>
      </c>
      <c r="M449" t="e">
        <f t="shared" si="34"/>
        <v>#NUM!</v>
      </c>
      <c r="O449" s="2" t="s">
        <v>454</v>
      </c>
    </row>
    <row r="450" spans="1:15">
      <c r="A450">
        <v>448</v>
      </c>
      <c r="B450">
        <v>89</v>
      </c>
      <c r="C450">
        <v>2</v>
      </c>
      <c r="D450">
        <v>0</v>
      </c>
      <c r="E450">
        <v>1</v>
      </c>
      <c r="G450">
        <f t="shared" ref="G450:G513" si="35">LOG10(C450/B450)-LOG10(437/116)</f>
        <v>-2.2243834587244349</v>
      </c>
      <c r="H450" t="e">
        <f t="shared" ref="H450:H513" si="36">LOG10(D450/B450)-LOG10(324/116)</f>
        <v>#NUM!</v>
      </c>
      <c r="I450">
        <f t="shared" ref="I450:I513" si="37">LOG10(E450/B450)-LOG10(331/116)</f>
        <v>-2.4047600111937131</v>
      </c>
      <c r="J450" s="5"/>
      <c r="K450" t="e">
        <f t="shared" ref="K450:K513" si="38">AVERAGE(G450:I450)</f>
        <v>#NUM!</v>
      </c>
      <c r="M450" t="e">
        <f t="shared" ref="M450:M513" si="39">STDEV(G450:I450)</f>
        <v>#NUM!</v>
      </c>
      <c r="O450" s="2" t="s">
        <v>455</v>
      </c>
    </row>
    <row r="451" spans="1:15">
      <c r="A451">
        <v>449</v>
      </c>
      <c r="B451">
        <v>87</v>
      </c>
      <c r="C451">
        <v>4</v>
      </c>
      <c r="D451">
        <v>2</v>
      </c>
      <c r="E451">
        <v>4</v>
      </c>
      <c r="G451">
        <f t="shared" si="35"/>
        <v>-1.9134827090341595</v>
      </c>
      <c r="H451">
        <f t="shared" si="36"/>
        <v>-2.0845762779343309</v>
      </c>
      <c r="I451">
        <f t="shared" si="37"/>
        <v>-1.7928292658394565</v>
      </c>
      <c r="J451" s="5"/>
      <c r="K451">
        <f t="shared" si="38"/>
        <v>-1.9302960842693155</v>
      </c>
      <c r="M451">
        <f t="shared" si="39"/>
        <v>0.14659842071683557</v>
      </c>
      <c r="O451" s="2" t="s">
        <v>456</v>
      </c>
    </row>
    <row r="452" spans="1:15">
      <c r="A452">
        <v>450</v>
      </c>
      <c r="B452">
        <v>77</v>
      </c>
      <c r="C452">
        <v>1</v>
      </c>
      <c r="D452">
        <v>0</v>
      </c>
      <c r="E452">
        <v>1</v>
      </c>
      <c r="G452">
        <f t="shared" si="35"/>
        <v>-2.4625141729159852</v>
      </c>
      <c r="H452" t="e">
        <f t="shared" si="36"/>
        <v>#NUM!</v>
      </c>
      <c r="I452">
        <f t="shared" si="37"/>
        <v>-2.3418607297212821</v>
      </c>
      <c r="J452" s="5"/>
      <c r="K452" t="e">
        <f t="shared" si="38"/>
        <v>#NUM!</v>
      </c>
      <c r="M452" t="e">
        <f t="shared" si="39"/>
        <v>#NUM!</v>
      </c>
      <c r="O452" s="2" t="s">
        <v>457</v>
      </c>
    </row>
    <row r="453" spans="1:15">
      <c r="A453">
        <v>451</v>
      </c>
      <c r="B453">
        <v>90</v>
      </c>
      <c r="C453">
        <v>102</v>
      </c>
      <c r="D453">
        <v>87</v>
      </c>
      <c r="E453">
        <v>109</v>
      </c>
      <c r="G453">
        <f t="shared" si="35"/>
        <v>-0.52166578542091069</v>
      </c>
      <c r="H453">
        <f t="shared" si="36"/>
        <v>-0.46081027780040001</v>
      </c>
      <c r="I453">
        <f t="shared" si="37"/>
        <v>-0.37218601604750157</v>
      </c>
      <c r="J453" s="5"/>
      <c r="K453">
        <f t="shared" si="38"/>
        <v>-0.4515540264229374</v>
      </c>
      <c r="M453">
        <f t="shared" si="39"/>
        <v>7.5168537335470034E-2</v>
      </c>
      <c r="O453" s="2" t="s">
        <v>458</v>
      </c>
    </row>
    <row r="454" spans="1:15">
      <c r="A454">
        <v>452</v>
      </c>
      <c r="B454">
        <v>662</v>
      </c>
      <c r="C454">
        <v>11</v>
      </c>
      <c r="D454">
        <v>12</v>
      </c>
      <c r="E454">
        <v>9</v>
      </c>
      <c r="G454">
        <f t="shared" si="35"/>
        <v>-2.3554887520249785</v>
      </c>
      <c r="H454">
        <f t="shared" si="36"/>
        <v>-2.1877637643717689</v>
      </c>
      <c r="I454">
        <f t="shared" si="37"/>
        <v>-2.3219854845491756</v>
      </c>
      <c r="J454" s="5"/>
      <c r="K454">
        <f t="shared" si="38"/>
        <v>-2.2884126669819742</v>
      </c>
      <c r="M454">
        <f t="shared" si="39"/>
        <v>8.8759610354979396E-2</v>
      </c>
      <c r="O454" s="2" t="s">
        <v>459</v>
      </c>
    </row>
    <row r="455" spans="1:15">
      <c r="A455">
        <v>453</v>
      </c>
      <c r="B455">
        <v>122</v>
      </c>
      <c r="C455">
        <v>3</v>
      </c>
      <c r="D455">
        <v>1</v>
      </c>
      <c r="E455">
        <v>4</v>
      </c>
      <c r="G455">
        <f t="shared" si="35"/>
        <v>-2.1852620236985891</v>
      </c>
      <c r="H455">
        <f t="shared" si="36"/>
        <v>-2.5324468516544423</v>
      </c>
      <c r="I455">
        <f t="shared" si="37"/>
        <v>-1.9396698438955862</v>
      </c>
      <c r="J455" s="5"/>
      <c r="K455">
        <f t="shared" si="38"/>
        <v>-2.219126239749539</v>
      </c>
      <c r="M455">
        <f t="shared" si="39"/>
        <v>0.29783591804623699</v>
      </c>
      <c r="O455" s="2" t="s">
        <v>460</v>
      </c>
    </row>
    <row r="456" spans="1:15">
      <c r="A456">
        <v>454</v>
      </c>
      <c r="B456">
        <v>111</v>
      </c>
      <c r="C456">
        <v>2</v>
      </c>
      <c r="D456">
        <v>4</v>
      </c>
      <c r="E456">
        <v>0</v>
      </c>
      <c r="G456">
        <f t="shared" si="35"/>
        <v>-2.3203164308661797</v>
      </c>
      <c r="H456">
        <f t="shared" si="36"/>
        <v>-1.8893500084383887</v>
      </c>
      <c r="I456" t="e">
        <f t="shared" si="37"/>
        <v>#NUM!</v>
      </c>
      <c r="J456" s="5"/>
      <c r="K456" t="e">
        <f t="shared" si="38"/>
        <v>#NUM!</v>
      </c>
      <c r="M456" t="e">
        <f t="shared" si="39"/>
        <v>#NUM!</v>
      </c>
      <c r="O456" s="2" t="s">
        <v>461</v>
      </c>
    </row>
    <row r="457" spans="1:15">
      <c r="A457">
        <v>455</v>
      </c>
      <c r="B457">
        <v>80</v>
      </c>
      <c r="C457">
        <v>0</v>
      </c>
      <c r="D457">
        <v>0</v>
      </c>
      <c r="E457">
        <v>0</v>
      </c>
      <c r="G457" t="e">
        <f t="shared" si="35"/>
        <v>#NUM!</v>
      </c>
      <c r="H457" t="e">
        <f t="shared" si="36"/>
        <v>#NUM!</v>
      </c>
      <c r="I457" t="e">
        <f t="shared" si="37"/>
        <v>#NUM!</v>
      </c>
      <c r="J457" s="5"/>
      <c r="K457" t="e">
        <f t="shared" si="38"/>
        <v>#NUM!</v>
      </c>
      <c r="M457" t="e">
        <f t="shared" si="39"/>
        <v>#NUM!</v>
      </c>
      <c r="O457" s="2" t="s">
        <v>462</v>
      </c>
    </row>
    <row r="458" spans="1:15">
      <c r="A458">
        <v>456</v>
      </c>
      <c r="B458">
        <v>159</v>
      </c>
      <c r="C458">
        <v>0</v>
      </c>
      <c r="D458">
        <v>2</v>
      </c>
      <c r="E458">
        <v>1</v>
      </c>
      <c r="G458" t="e">
        <f t="shared" si="35"/>
        <v>#NUM!</v>
      </c>
      <c r="H458">
        <f t="shared" si="36"/>
        <v>-2.3464541496361639</v>
      </c>
      <c r="I458">
        <f t="shared" si="37"/>
        <v>-2.6567671288692516</v>
      </c>
      <c r="J458" s="5"/>
      <c r="K458" t="e">
        <f t="shared" si="38"/>
        <v>#NUM!</v>
      </c>
      <c r="M458" t="e">
        <f t="shared" si="39"/>
        <v>#NUM!</v>
      </c>
      <c r="O458" s="2" t="s">
        <v>463</v>
      </c>
    </row>
    <row r="459" spans="1:15">
      <c r="A459">
        <v>457</v>
      </c>
      <c r="B459">
        <v>74</v>
      </c>
      <c r="C459">
        <v>161</v>
      </c>
      <c r="D459">
        <v>113</v>
      </c>
      <c r="E459">
        <v>150</v>
      </c>
      <c r="G459">
        <f t="shared" si="35"/>
        <v>-0.23842929144262975</v>
      </c>
      <c r="H459">
        <f t="shared" si="36"/>
        <v>-0.26224029722725017</v>
      </c>
      <c r="I459">
        <f t="shared" si="37"/>
        <v>-0.14851046522409517</v>
      </c>
      <c r="J459" s="5"/>
      <c r="K459">
        <f t="shared" si="38"/>
        <v>-0.21639335129799173</v>
      </c>
      <c r="M459">
        <f t="shared" si="39"/>
        <v>5.9981711091048412E-2</v>
      </c>
      <c r="O459" s="2" t="s">
        <v>464</v>
      </c>
    </row>
    <row r="460" spans="1:15">
      <c r="A460">
        <v>458</v>
      </c>
      <c r="B460">
        <v>128</v>
      </c>
      <c r="C460">
        <v>12</v>
      </c>
      <c r="D460">
        <v>2</v>
      </c>
      <c r="E460">
        <v>20</v>
      </c>
      <c r="G460">
        <f t="shared" si="35"/>
        <v>-1.6040521713437468</v>
      </c>
      <c r="H460">
        <f t="shared" si="36"/>
        <v>-2.2522669949635805</v>
      </c>
      <c r="I460">
        <f t="shared" si="37"/>
        <v>-1.2615499785326874</v>
      </c>
      <c r="J460" s="5"/>
      <c r="K460">
        <f t="shared" si="38"/>
        <v>-1.7059563816133381</v>
      </c>
      <c r="M460">
        <f t="shared" si="39"/>
        <v>0.50315842705298486</v>
      </c>
      <c r="O460" s="2" t="s">
        <v>465</v>
      </c>
    </row>
    <row r="461" spans="1:15">
      <c r="A461">
        <v>459</v>
      </c>
      <c r="B461">
        <v>37</v>
      </c>
      <c r="C461">
        <v>1</v>
      </c>
      <c r="D461">
        <v>0</v>
      </c>
      <c r="E461">
        <v>0</v>
      </c>
      <c r="G461">
        <f t="shared" si="35"/>
        <v>-2.1442251718104983</v>
      </c>
      <c r="H461" t="e">
        <f t="shared" si="36"/>
        <v>#NUM!</v>
      </c>
      <c r="I461" t="e">
        <f t="shared" si="37"/>
        <v>#NUM!</v>
      </c>
      <c r="J461" s="5"/>
      <c r="K461" t="e">
        <f t="shared" si="38"/>
        <v>#NUM!</v>
      </c>
      <c r="M461" t="e">
        <f t="shared" si="39"/>
        <v>#NUM!</v>
      </c>
      <c r="O461" s="2" t="s">
        <v>466</v>
      </c>
    </row>
    <row r="462" spans="1:15">
      <c r="A462">
        <v>460</v>
      </c>
      <c r="B462">
        <v>28</v>
      </c>
      <c r="C462">
        <v>220</v>
      </c>
      <c r="D462">
        <v>244</v>
      </c>
      <c r="E462">
        <v>276</v>
      </c>
      <c r="G462">
        <f t="shared" si="35"/>
        <v>0.31924120173648363</v>
      </c>
      <c r="H462">
        <f t="shared" si="36"/>
        <v>0.49414477401681656</v>
      </c>
      <c r="I462">
        <f t="shared" si="37"/>
        <v>0.53838104617419824</v>
      </c>
      <c r="J462" s="5"/>
      <c r="K462">
        <f t="shared" si="38"/>
        <v>0.45058900730916612</v>
      </c>
      <c r="M462">
        <f t="shared" si="39"/>
        <v>0.11588095816468234</v>
      </c>
      <c r="O462" s="2" t="s">
        <v>467</v>
      </c>
    </row>
    <row r="463" spans="1:15">
      <c r="A463">
        <v>461</v>
      </c>
      <c r="B463">
        <v>64</v>
      </c>
      <c r="C463">
        <v>725</v>
      </c>
      <c r="D463">
        <v>685</v>
      </c>
      <c r="E463">
        <v>733</v>
      </c>
      <c r="G463">
        <f t="shared" si="35"/>
        <v>0.47813458484360316</v>
      </c>
      <c r="H463">
        <f t="shared" si="36"/>
        <v>0.58342357652884469</v>
      </c>
      <c r="I463">
        <f t="shared" si="37"/>
        <v>0.6035539961084404</v>
      </c>
      <c r="J463" s="5"/>
      <c r="K463">
        <f t="shared" si="38"/>
        <v>0.55503738582696271</v>
      </c>
      <c r="M463">
        <f t="shared" si="39"/>
        <v>6.7356061697721778E-2</v>
      </c>
      <c r="O463" s="2" t="s">
        <v>468</v>
      </c>
    </row>
    <row r="464" spans="1:15">
      <c r="A464">
        <v>462</v>
      </c>
      <c r="B464">
        <v>103</v>
      </c>
      <c r="C464">
        <v>56</v>
      </c>
      <c r="D464">
        <v>52</v>
      </c>
      <c r="E464">
        <v>74</v>
      </c>
      <c r="G464">
        <f t="shared" si="35"/>
        <v>-0.84067264544247511</v>
      </c>
      <c r="H464">
        <f t="shared" si="36"/>
        <v>-0.74292090205006667</v>
      </c>
      <c r="I464">
        <f t="shared" si="37"/>
        <v>-0.59897550952299627</v>
      </c>
      <c r="J464" s="5"/>
      <c r="K464">
        <f t="shared" si="38"/>
        <v>-0.72752301900517935</v>
      </c>
      <c r="M464">
        <f t="shared" si="39"/>
        <v>0.12158206068173763</v>
      </c>
      <c r="O464" s="2" t="s">
        <v>469</v>
      </c>
    </row>
    <row r="465" spans="1:15">
      <c r="A465">
        <v>463</v>
      </c>
      <c r="B465">
        <v>142</v>
      </c>
      <c r="C465">
        <v>0</v>
      </c>
      <c r="D465">
        <v>1</v>
      </c>
      <c r="E465">
        <v>3</v>
      </c>
      <c r="G465" t="e">
        <f t="shared" si="35"/>
        <v>#NUM!</v>
      </c>
      <c r="H465">
        <f t="shared" si="36"/>
        <v>-2.5983753653627497</v>
      </c>
      <c r="I465">
        <f t="shared" si="37"/>
        <v>-2.1305370942121944</v>
      </c>
      <c r="J465" s="5"/>
      <c r="K465" t="e">
        <f t="shared" si="38"/>
        <v>#NUM!</v>
      </c>
      <c r="M465" t="e">
        <f t="shared" si="39"/>
        <v>#NUM!</v>
      </c>
      <c r="O465" s="2" t="s">
        <v>470</v>
      </c>
    </row>
    <row r="466" spans="1:15">
      <c r="A466">
        <v>464</v>
      </c>
      <c r="B466">
        <v>237</v>
      </c>
      <c r="C466">
        <v>294</v>
      </c>
      <c r="D466">
        <v>212</v>
      </c>
      <c r="E466">
        <v>323</v>
      </c>
      <c r="G466">
        <f t="shared" si="35"/>
        <v>-0.48242446334144995</v>
      </c>
      <c r="H466">
        <f t="shared" si="36"/>
        <v>-0.49449950606104609</v>
      </c>
      <c r="I466">
        <f t="shared" si="37"/>
        <v>-0.32091582822780124</v>
      </c>
      <c r="J466" s="5"/>
      <c r="K466">
        <f t="shared" si="38"/>
        <v>-0.4326132658767658</v>
      </c>
      <c r="M466">
        <f t="shared" si="39"/>
        <v>9.6921049556730449E-2</v>
      </c>
      <c r="O466" s="2" t="s">
        <v>471</v>
      </c>
    </row>
    <row r="467" spans="1:15">
      <c r="A467">
        <v>465</v>
      </c>
      <c r="B467">
        <v>134</v>
      </c>
      <c r="C467">
        <v>719</v>
      </c>
      <c r="D467">
        <v>611</v>
      </c>
      <c r="E467">
        <v>754</v>
      </c>
      <c r="G467">
        <f t="shared" si="35"/>
        <v>0.15360064427457165</v>
      </c>
      <c r="H467">
        <f t="shared" si="36"/>
        <v>0.21284939089805299</v>
      </c>
      <c r="I467">
        <f t="shared" si="37"/>
        <v>0.29489654295616607</v>
      </c>
      <c r="J467" s="5"/>
      <c r="K467">
        <f t="shared" si="38"/>
        <v>0.22044885937626357</v>
      </c>
      <c r="M467">
        <f t="shared" si="39"/>
        <v>7.0953834899343787E-2</v>
      </c>
      <c r="O467" s="2" t="s">
        <v>472</v>
      </c>
    </row>
    <row r="468" spans="1:15">
      <c r="A468">
        <v>466</v>
      </c>
      <c r="B468">
        <v>120</v>
      </c>
      <c r="C468">
        <v>0</v>
      </c>
      <c r="D468">
        <v>0</v>
      </c>
      <c r="E468">
        <v>0</v>
      </c>
      <c r="G468" t="e">
        <f t="shared" si="35"/>
        <v>#NUM!</v>
      </c>
      <c r="H468" t="e">
        <f t="shared" si="36"/>
        <v>#NUM!</v>
      </c>
      <c r="I468" t="e">
        <f t="shared" si="37"/>
        <v>#NUM!</v>
      </c>
      <c r="J468" s="5"/>
      <c r="K468" t="e">
        <f t="shared" si="38"/>
        <v>#NUM!</v>
      </c>
      <c r="M468" t="e">
        <f t="shared" si="39"/>
        <v>#NUM!</v>
      </c>
      <c r="O468" s="2" t="s">
        <v>473</v>
      </c>
    </row>
    <row r="469" spans="1:15">
      <c r="A469">
        <v>467</v>
      </c>
      <c r="B469">
        <v>104</v>
      </c>
      <c r="C469">
        <v>1</v>
      </c>
      <c r="D469">
        <v>0</v>
      </c>
      <c r="E469">
        <v>1</v>
      </c>
      <c r="G469">
        <f t="shared" si="35"/>
        <v>-2.5930567870422836</v>
      </c>
      <c r="H469" t="e">
        <f t="shared" si="36"/>
        <v>#NUM!</v>
      </c>
      <c r="I469">
        <f t="shared" si="37"/>
        <v>-2.4724033438475805</v>
      </c>
      <c r="J469" s="5"/>
      <c r="K469" t="e">
        <f t="shared" si="38"/>
        <v>#NUM!</v>
      </c>
      <c r="M469" t="e">
        <f t="shared" si="39"/>
        <v>#NUM!</v>
      </c>
      <c r="O469" s="2" t="s">
        <v>474</v>
      </c>
    </row>
    <row r="470" spans="1:15">
      <c r="A470">
        <v>468</v>
      </c>
      <c r="B470">
        <v>81</v>
      </c>
      <c r="C470">
        <v>0</v>
      </c>
      <c r="D470">
        <v>1</v>
      </c>
      <c r="E470">
        <v>0</v>
      </c>
      <c r="G470" t="e">
        <f t="shared" si="35"/>
        <v>#NUM!</v>
      </c>
      <c r="H470">
        <f t="shared" si="36"/>
        <v>-2.3545720398583434</v>
      </c>
      <c r="I470" t="e">
        <f t="shared" si="37"/>
        <v>#NUM!</v>
      </c>
      <c r="J470" s="5"/>
      <c r="K470" t="e">
        <f t="shared" si="38"/>
        <v>#NUM!</v>
      </c>
      <c r="M470" t="e">
        <f t="shared" si="39"/>
        <v>#NUM!</v>
      </c>
      <c r="O470" s="2" t="s">
        <v>475</v>
      </c>
    </row>
    <row r="471" spans="1:15">
      <c r="A471">
        <v>469</v>
      </c>
      <c r="B471">
        <v>33</v>
      </c>
      <c r="C471">
        <v>0</v>
      </c>
      <c r="D471">
        <v>0</v>
      </c>
      <c r="E471">
        <v>0</v>
      </c>
      <c r="G471" t="e">
        <f t="shared" si="35"/>
        <v>#NUM!</v>
      </c>
      <c r="H471" t="e">
        <f t="shared" si="36"/>
        <v>#NUM!</v>
      </c>
      <c r="I471" t="e">
        <f t="shared" si="37"/>
        <v>#NUM!</v>
      </c>
      <c r="J471" s="5"/>
      <c r="K471" t="e">
        <f t="shared" si="38"/>
        <v>#NUM!</v>
      </c>
      <c r="M471" t="e">
        <f t="shared" si="39"/>
        <v>#NUM!</v>
      </c>
      <c r="O471" s="2" t="s">
        <v>476</v>
      </c>
    </row>
    <row r="472" spans="1:15">
      <c r="A472">
        <v>470</v>
      </c>
      <c r="B472">
        <v>214</v>
      </c>
      <c r="C472">
        <v>946</v>
      </c>
      <c r="D472">
        <v>738</v>
      </c>
      <c r="E472">
        <v>856</v>
      </c>
      <c r="G472">
        <f t="shared" si="35"/>
        <v>6.9453915309098613E-2</v>
      </c>
      <c r="H472">
        <f t="shared" si="36"/>
        <v>9.1555567494157053E-2</v>
      </c>
      <c r="I472">
        <f t="shared" si="37"/>
        <v>0.14668998677916212</v>
      </c>
      <c r="J472" s="5"/>
      <c r="K472">
        <f t="shared" si="38"/>
        <v>0.10256648986080592</v>
      </c>
      <c r="M472">
        <f t="shared" si="39"/>
        <v>3.9777920917959821E-2</v>
      </c>
      <c r="O472" s="2" t="s">
        <v>477</v>
      </c>
    </row>
    <row r="473" spans="1:15">
      <c r="A473">
        <v>471</v>
      </c>
      <c r="B473">
        <v>270</v>
      </c>
      <c r="C473">
        <v>24</v>
      </c>
      <c r="D473">
        <v>17</v>
      </c>
      <c r="E473">
        <v>20</v>
      </c>
      <c r="G473">
        <f t="shared" si="35"/>
        <v>-1.6271759701908846</v>
      </c>
      <c r="H473">
        <f t="shared" si="36"/>
        <v>-1.6470018637604071</v>
      </c>
      <c r="I473">
        <f t="shared" si="37"/>
        <v>-1.5857037730438064</v>
      </c>
      <c r="J473" s="5"/>
      <c r="K473">
        <f t="shared" si="38"/>
        <v>-1.6199605356650328</v>
      </c>
      <c r="M473">
        <f t="shared" si="39"/>
        <v>3.1279559666382691E-2</v>
      </c>
      <c r="O473" s="2" t="s">
        <v>478</v>
      </c>
    </row>
    <row r="474" spans="1:15">
      <c r="A474">
        <v>472</v>
      </c>
      <c r="B474">
        <v>122</v>
      </c>
      <c r="C474">
        <v>9</v>
      </c>
      <c r="D474">
        <v>1</v>
      </c>
      <c r="E474">
        <v>15</v>
      </c>
      <c r="G474">
        <f t="shared" si="35"/>
        <v>-1.7081407689789267</v>
      </c>
      <c r="H474">
        <f t="shared" si="36"/>
        <v>-2.5324468516544423</v>
      </c>
      <c r="I474">
        <f t="shared" si="37"/>
        <v>-1.3656385761678673</v>
      </c>
      <c r="J474" s="5"/>
      <c r="K474">
        <f t="shared" si="38"/>
        <v>-1.8687420656004121</v>
      </c>
      <c r="M474">
        <f t="shared" si="39"/>
        <v>0.59975409151865433</v>
      </c>
      <c r="O474" s="2" t="s">
        <v>479</v>
      </c>
    </row>
    <row r="475" spans="1:15">
      <c r="A475">
        <v>473</v>
      </c>
      <c r="B475">
        <v>155</v>
      </c>
      <c r="C475">
        <v>68</v>
      </c>
      <c r="D475">
        <v>86</v>
      </c>
      <c r="E475">
        <v>98</v>
      </c>
      <c r="G475">
        <f t="shared" si="35"/>
        <v>-0.93384623320755855</v>
      </c>
      <c r="H475">
        <f t="shared" si="36"/>
        <v>-0.70192026790641737</v>
      </c>
      <c r="I475">
        <f t="shared" si="37"/>
        <v>-0.65447562702659701</v>
      </c>
      <c r="J475" s="5"/>
      <c r="K475">
        <f t="shared" si="38"/>
        <v>-0.76341404271352431</v>
      </c>
      <c r="M475">
        <f t="shared" si="39"/>
        <v>0.14949279967443185</v>
      </c>
      <c r="O475" s="2" t="s">
        <v>480</v>
      </c>
    </row>
    <row r="476" spans="1:15">
      <c r="A476">
        <v>474</v>
      </c>
      <c r="B476">
        <v>37</v>
      </c>
      <c r="C476">
        <v>0</v>
      </c>
      <c r="D476">
        <v>1</v>
      </c>
      <c r="E476">
        <v>1</v>
      </c>
      <c r="G476" t="e">
        <f t="shared" si="35"/>
        <v>#NUM!</v>
      </c>
      <c r="H476">
        <f t="shared" si="36"/>
        <v>-2.0142887450466889</v>
      </c>
      <c r="I476">
        <f t="shared" si="37"/>
        <v>-2.0235717286157953</v>
      </c>
      <c r="J476" s="5"/>
      <c r="K476" t="e">
        <f t="shared" si="38"/>
        <v>#NUM!</v>
      </c>
      <c r="M476" t="e">
        <f t="shared" si="39"/>
        <v>#NUM!</v>
      </c>
      <c r="O476" s="2" t="s">
        <v>481</v>
      </c>
    </row>
    <row r="477" spans="1:15">
      <c r="A477">
        <v>475</v>
      </c>
      <c r="B477">
        <v>89</v>
      </c>
      <c r="C477">
        <v>2</v>
      </c>
      <c r="D477">
        <v>2</v>
      </c>
      <c r="E477">
        <v>0</v>
      </c>
      <c r="G477">
        <f t="shared" si="35"/>
        <v>-2.2243834587244349</v>
      </c>
      <c r="H477">
        <f t="shared" si="36"/>
        <v>-2.094447031960625</v>
      </c>
      <c r="I477" t="e">
        <f t="shared" si="37"/>
        <v>#NUM!</v>
      </c>
      <c r="J477" s="5"/>
      <c r="K477" t="e">
        <f t="shared" si="38"/>
        <v>#NUM!</v>
      </c>
      <c r="M477" t="e">
        <f t="shared" si="39"/>
        <v>#NUM!</v>
      </c>
      <c r="O477" s="2" t="s">
        <v>482</v>
      </c>
    </row>
    <row r="478" spans="1:15">
      <c r="A478">
        <v>476</v>
      </c>
      <c r="B478">
        <v>268</v>
      </c>
      <c r="C478">
        <v>429</v>
      </c>
      <c r="D478">
        <v>274</v>
      </c>
      <c r="E478">
        <v>485</v>
      </c>
      <c r="G478">
        <f t="shared" si="35"/>
        <v>-0.37170094958756794</v>
      </c>
      <c r="H478">
        <f t="shared" si="36"/>
        <v>-0.43647125218809452</v>
      </c>
      <c r="I478">
        <f t="shared" si="37"/>
        <v>-0.19776305997532545</v>
      </c>
      <c r="J478" s="5"/>
      <c r="K478">
        <f t="shared" si="38"/>
        <v>-0.33531175391699602</v>
      </c>
      <c r="M478">
        <f t="shared" si="39"/>
        <v>0.12344444267983634</v>
      </c>
      <c r="O478" s="2" t="s">
        <v>483</v>
      </c>
    </row>
    <row r="479" spans="1:15">
      <c r="A479">
        <v>477</v>
      </c>
      <c r="B479">
        <v>140</v>
      </c>
      <c r="C479">
        <v>258</v>
      </c>
      <c r="D479">
        <v>286</v>
      </c>
      <c r="E479">
        <v>292</v>
      </c>
      <c r="G479">
        <f t="shared" si="35"/>
        <v>-0.31053177745851124</v>
      </c>
      <c r="H479">
        <f t="shared" si="36"/>
        <v>-0.13584902352888872</v>
      </c>
      <c r="I479">
        <f t="shared" si="37"/>
        <v>-0.13611518877862</v>
      </c>
      <c r="J479" s="5"/>
      <c r="K479">
        <f t="shared" si="38"/>
        <v>-0.19416532992200666</v>
      </c>
      <c r="M479">
        <f t="shared" si="39"/>
        <v>0.10077638758749283</v>
      </c>
      <c r="O479" s="2" t="s">
        <v>484</v>
      </c>
    </row>
    <row r="480" spans="1:15">
      <c r="A480">
        <v>478</v>
      </c>
      <c r="B480">
        <v>55</v>
      </c>
      <c r="C480">
        <v>1</v>
      </c>
      <c r="D480">
        <v>2</v>
      </c>
      <c r="E480">
        <v>0</v>
      </c>
      <c r="G480">
        <f t="shared" si="35"/>
        <v>-2.316386137237747</v>
      </c>
      <c r="H480">
        <f t="shared" si="36"/>
        <v>-1.8854197148099563</v>
      </c>
      <c r="I480" t="e">
        <f t="shared" si="37"/>
        <v>#NUM!</v>
      </c>
      <c r="J480" s="5"/>
      <c r="K480" t="e">
        <f t="shared" si="38"/>
        <v>#NUM!</v>
      </c>
      <c r="M480" t="e">
        <f t="shared" si="39"/>
        <v>#NUM!</v>
      </c>
      <c r="O480" s="2" t="s">
        <v>485</v>
      </c>
    </row>
    <row r="481" spans="1:15">
      <c r="A481">
        <v>479</v>
      </c>
      <c r="B481">
        <v>173</v>
      </c>
      <c r="C481">
        <v>753</v>
      </c>
      <c r="D481">
        <v>608</v>
      </c>
      <c r="E481">
        <v>642</v>
      </c>
      <c r="G481">
        <f t="shared" si="35"/>
        <v>6.2725425328401863E-2</v>
      </c>
      <c r="H481">
        <f t="shared" si="36"/>
        <v>9.9770455164245875E-2</v>
      </c>
      <c r="I481">
        <f t="shared" si="37"/>
        <v>0.11411892039125759</v>
      </c>
      <c r="J481" s="5"/>
      <c r="K481">
        <f t="shared" si="38"/>
        <v>9.2204933627968444E-2</v>
      </c>
      <c r="M481">
        <f t="shared" si="39"/>
        <v>2.6518873859590144E-2</v>
      </c>
      <c r="O481" s="2" t="s">
        <v>486</v>
      </c>
    </row>
    <row r="482" spans="1:15">
      <c r="A482">
        <v>480</v>
      </c>
      <c r="B482">
        <v>107</v>
      </c>
      <c r="C482">
        <v>2</v>
      </c>
      <c r="D482">
        <v>2</v>
      </c>
      <c r="E482">
        <v>8</v>
      </c>
      <c r="G482">
        <f t="shared" si="35"/>
        <v>-2.3043772297647318</v>
      </c>
      <c r="H482">
        <f t="shared" si="36"/>
        <v>-2.1744408030009224</v>
      </c>
      <c r="I482">
        <f t="shared" si="37"/>
        <v>-1.5816637952420665</v>
      </c>
      <c r="J482" s="5"/>
      <c r="K482">
        <f t="shared" si="38"/>
        <v>-2.0201606093359068</v>
      </c>
      <c r="M482">
        <f t="shared" si="39"/>
        <v>0.38526673971142888</v>
      </c>
      <c r="O482" s="2" t="s">
        <v>487</v>
      </c>
    </row>
    <row r="483" spans="1:15">
      <c r="A483">
        <v>481</v>
      </c>
      <c r="B483">
        <v>147</v>
      </c>
      <c r="C483">
        <v>1</v>
      </c>
      <c r="D483">
        <v>0</v>
      </c>
      <c r="E483">
        <v>1</v>
      </c>
      <c r="G483">
        <f t="shared" si="35"/>
        <v>-2.7433407824916793</v>
      </c>
      <c r="H483" t="e">
        <f t="shared" si="36"/>
        <v>#NUM!</v>
      </c>
      <c r="I483">
        <f t="shared" si="37"/>
        <v>-2.6226873392969763</v>
      </c>
      <c r="J483" s="5"/>
      <c r="K483" t="e">
        <f t="shared" si="38"/>
        <v>#NUM!</v>
      </c>
      <c r="M483" t="e">
        <f t="shared" si="39"/>
        <v>#NUM!</v>
      </c>
      <c r="O483" s="2" t="s">
        <v>488</v>
      </c>
    </row>
    <row r="484" spans="1:15">
      <c r="A484">
        <v>482</v>
      </c>
      <c r="B484">
        <v>318</v>
      </c>
      <c r="C484">
        <v>5</v>
      </c>
      <c r="D484">
        <v>3</v>
      </c>
      <c r="E484">
        <v>2</v>
      </c>
      <c r="G484">
        <f t="shared" si="35"/>
        <v>-2.3794805633919172</v>
      </c>
      <c r="H484">
        <f t="shared" si="36"/>
        <v>-2.4713928862444643</v>
      </c>
      <c r="I484">
        <f t="shared" si="37"/>
        <v>-2.6567671288692516</v>
      </c>
      <c r="J484" s="5"/>
      <c r="K484">
        <f t="shared" si="38"/>
        <v>-2.5025468595018778</v>
      </c>
      <c r="M484">
        <f t="shared" si="39"/>
        <v>0.14124407026791158</v>
      </c>
      <c r="O484" s="2" t="s">
        <v>489</v>
      </c>
    </row>
    <row r="485" spans="1:15">
      <c r="A485">
        <v>483</v>
      </c>
      <c r="B485">
        <v>76</v>
      </c>
      <c r="C485">
        <v>1</v>
      </c>
      <c r="D485">
        <v>0</v>
      </c>
      <c r="E485">
        <v>2</v>
      </c>
      <c r="G485">
        <f t="shared" si="35"/>
        <v>-2.4568370400242947</v>
      </c>
      <c r="H485" t="e">
        <f t="shared" si="36"/>
        <v>#NUM!</v>
      </c>
      <c r="I485">
        <f t="shared" si="37"/>
        <v>-2.0351536011656104</v>
      </c>
      <c r="J485" s="5"/>
      <c r="K485" t="e">
        <f t="shared" si="38"/>
        <v>#NUM!</v>
      </c>
      <c r="M485" t="e">
        <f t="shared" si="39"/>
        <v>#NUM!</v>
      </c>
      <c r="O485" s="2" t="s">
        <v>490</v>
      </c>
    </row>
    <row r="486" spans="1:15">
      <c r="A486">
        <v>484</v>
      </c>
      <c r="B486">
        <v>75</v>
      </c>
      <c r="C486">
        <v>93</v>
      </c>
      <c r="D486">
        <v>129</v>
      </c>
      <c r="E486">
        <v>140</v>
      </c>
      <c r="G486">
        <f t="shared" si="35"/>
        <v>-0.4826017625812683</v>
      </c>
      <c r="H486">
        <f t="shared" si="36"/>
        <v>-0.21055857407214476</v>
      </c>
      <c r="I486">
        <f t="shared" si="37"/>
        <v>-0.18430323226226231</v>
      </c>
      <c r="J486" s="5"/>
      <c r="K486">
        <f t="shared" si="38"/>
        <v>-0.29248785630522511</v>
      </c>
      <c r="M486">
        <f t="shared" si="39"/>
        <v>0.16516600365402231</v>
      </c>
      <c r="O486" s="2" t="s">
        <v>491</v>
      </c>
    </row>
    <row r="487" spans="1:15">
      <c r="A487">
        <v>485</v>
      </c>
      <c r="B487">
        <v>40</v>
      </c>
      <c r="C487">
        <v>12</v>
      </c>
      <c r="D487">
        <v>11</v>
      </c>
      <c r="E487">
        <v>20</v>
      </c>
      <c r="G487">
        <f t="shared" si="35"/>
        <v>-1.098902193023841</v>
      </c>
      <c r="H487">
        <f t="shared" si="36"/>
        <v>-1.006754327149431</v>
      </c>
      <c r="I487">
        <f t="shared" si="37"/>
        <v>-0.75640000021278153</v>
      </c>
      <c r="J487" s="5"/>
      <c r="K487">
        <f t="shared" si="38"/>
        <v>-0.95401884012868454</v>
      </c>
      <c r="M487">
        <f t="shared" si="39"/>
        <v>0.17723631601221654</v>
      </c>
      <c r="O487" s="2" t="s">
        <v>492</v>
      </c>
    </row>
    <row r="488" spans="1:15">
      <c r="A488">
        <v>486</v>
      </c>
      <c r="B488">
        <v>116</v>
      </c>
      <c r="C488">
        <v>16</v>
      </c>
      <c r="D488">
        <v>18</v>
      </c>
      <c r="E488">
        <v>15</v>
      </c>
      <c r="G488">
        <f t="shared" si="35"/>
        <v>-1.4363614543144969</v>
      </c>
      <c r="H488">
        <f t="shared" si="36"/>
        <v>-1.255272505103306</v>
      </c>
      <c r="I488">
        <f t="shared" si="37"/>
        <v>-1.3437367347200375</v>
      </c>
      <c r="J488" s="5"/>
      <c r="K488">
        <f t="shared" si="38"/>
        <v>-1.3451235647126136</v>
      </c>
      <c r="M488">
        <f t="shared" si="39"/>
        <v>9.0552439805201002E-2</v>
      </c>
      <c r="O488" s="2" t="s">
        <v>493</v>
      </c>
    </row>
    <row r="489" spans="1:15">
      <c r="A489">
        <v>487</v>
      </c>
      <c r="B489">
        <v>353</v>
      </c>
      <c r="C489">
        <v>7</v>
      </c>
      <c r="D489">
        <v>5</v>
      </c>
      <c r="E489">
        <v>3</v>
      </c>
      <c r="G489">
        <f t="shared" si="35"/>
        <v>-2.2787001131170692</v>
      </c>
      <c r="H489">
        <f t="shared" si="36"/>
        <v>-2.2948917220314975</v>
      </c>
      <c r="I489">
        <f t="shared" si="37"/>
        <v>-2.5260234552169605</v>
      </c>
      <c r="J489" s="5"/>
      <c r="K489">
        <f t="shared" si="38"/>
        <v>-2.3665384301218424</v>
      </c>
      <c r="M489">
        <f t="shared" si="39"/>
        <v>0.13835514797795664</v>
      </c>
      <c r="O489" s="2" t="s">
        <v>494</v>
      </c>
    </row>
    <row r="490" spans="1:15">
      <c r="A490">
        <v>488</v>
      </c>
      <c r="B490">
        <v>216</v>
      </c>
      <c r="C490">
        <v>1</v>
      </c>
      <c r="D490">
        <v>2</v>
      </c>
      <c r="E490">
        <v>4</v>
      </c>
      <c r="G490">
        <f t="shared" si="35"/>
        <v>-2.9104771988944345</v>
      </c>
      <c r="H490">
        <f t="shared" si="36"/>
        <v>-2.4795107764666433</v>
      </c>
      <c r="I490">
        <f t="shared" si="37"/>
        <v>-2.1877637643717689</v>
      </c>
      <c r="J490" s="5"/>
      <c r="K490">
        <f t="shared" si="38"/>
        <v>-2.5259172465776154</v>
      </c>
      <c r="M490">
        <f t="shared" si="39"/>
        <v>0.3635847184096237</v>
      </c>
      <c r="O490" s="2" t="s">
        <v>495</v>
      </c>
    </row>
    <row r="491" spans="1:15">
      <c r="A491">
        <v>489</v>
      </c>
      <c r="B491">
        <v>35</v>
      </c>
      <c r="C491">
        <v>158</v>
      </c>
      <c r="D491">
        <v>171</v>
      </c>
      <c r="E491">
        <v>177</v>
      </c>
      <c r="G491">
        <f t="shared" si="35"/>
        <v>7.8565594860643628E-2</v>
      </c>
      <c r="H491">
        <f t="shared" si="36"/>
        <v>0.24284104506218462</v>
      </c>
      <c r="I491">
        <f t="shared" si="37"/>
        <v>0.24853521746273066</v>
      </c>
      <c r="J491" s="5"/>
      <c r="K491">
        <f t="shared" si="38"/>
        <v>0.18998061912851963</v>
      </c>
      <c r="M491">
        <f t="shared" si="39"/>
        <v>9.6530236839501973E-2</v>
      </c>
      <c r="O491" s="2" t="s">
        <v>496</v>
      </c>
    </row>
    <row r="492" spans="1:15">
      <c r="A492">
        <v>490</v>
      </c>
      <c r="B492">
        <v>39</v>
      </c>
      <c r="C492">
        <v>1</v>
      </c>
      <c r="D492">
        <v>1</v>
      </c>
      <c r="E492">
        <v>1</v>
      </c>
      <c r="G492">
        <f t="shared" si="35"/>
        <v>-2.1670880547700024</v>
      </c>
      <c r="H492">
        <f t="shared" si="36"/>
        <v>-2.037151628006193</v>
      </c>
      <c r="I492">
        <f t="shared" si="37"/>
        <v>-2.0464346115752994</v>
      </c>
      <c r="J492" s="5"/>
      <c r="K492">
        <f t="shared" si="38"/>
        <v>-2.0835580981171651</v>
      </c>
      <c r="M492">
        <f t="shared" si="39"/>
        <v>7.2487817526842122E-2</v>
      </c>
      <c r="O492" s="2" t="s">
        <v>497</v>
      </c>
    </row>
    <row r="493" spans="1:15">
      <c r="A493">
        <v>491</v>
      </c>
      <c r="B493">
        <v>46</v>
      </c>
      <c r="C493">
        <v>18</v>
      </c>
      <c r="D493">
        <v>31</v>
      </c>
      <c r="E493">
        <v>22</v>
      </c>
      <c r="G493">
        <f t="shared" si="35"/>
        <v>-0.98350877432177131</v>
      </c>
      <c r="H493">
        <f t="shared" si="36"/>
        <v>-0.61748315882699512</v>
      </c>
      <c r="I493">
        <f t="shared" si="37"/>
        <v>-0.77570515540816809</v>
      </c>
      <c r="J493" s="5"/>
      <c r="K493">
        <f t="shared" si="38"/>
        <v>-0.79223236285231147</v>
      </c>
      <c r="M493">
        <f t="shared" si="39"/>
        <v>0.18357164606498694</v>
      </c>
      <c r="O493" s="2" t="s">
        <v>498</v>
      </c>
    </row>
    <row r="494" spans="1:15">
      <c r="A494">
        <v>492</v>
      </c>
      <c r="B494">
        <v>27</v>
      </c>
      <c r="C494">
        <v>12</v>
      </c>
      <c r="D494">
        <v>8</v>
      </c>
      <c r="E494">
        <v>8</v>
      </c>
      <c r="G494">
        <f t="shared" si="35"/>
        <v>-0.92820596585486581</v>
      </c>
      <c r="H494">
        <f t="shared" si="36"/>
        <v>-0.97436079814673737</v>
      </c>
      <c r="I494">
        <f t="shared" si="37"/>
        <v>-0.98364378171584399</v>
      </c>
      <c r="J494" s="5"/>
      <c r="K494">
        <f t="shared" si="38"/>
        <v>-0.96207018190581561</v>
      </c>
      <c r="M494">
        <f t="shared" si="39"/>
        <v>2.9692293487454554E-2</v>
      </c>
      <c r="O494" s="2" t="s">
        <v>499</v>
      </c>
    </row>
    <row r="495" spans="1:15">
      <c r="A495">
        <v>493</v>
      </c>
      <c r="B495">
        <v>49</v>
      </c>
      <c r="C495">
        <v>110</v>
      </c>
      <c r="D495">
        <v>76</v>
      </c>
      <c r="E495">
        <v>86</v>
      </c>
      <c r="G495">
        <f t="shared" si="35"/>
        <v>-0.22482684261379199</v>
      </c>
      <c r="H495">
        <f t="shared" si="36"/>
        <v>-0.25546950872741597</v>
      </c>
      <c r="I495">
        <f t="shared" si="37"/>
        <v>-0.21106763333374623</v>
      </c>
      <c r="J495" s="5"/>
      <c r="K495">
        <f t="shared" si="38"/>
        <v>-0.23045466155831806</v>
      </c>
      <c r="M495">
        <f t="shared" si="39"/>
        <v>2.272962591361808E-2</v>
      </c>
      <c r="O495" s="2" t="s">
        <v>500</v>
      </c>
    </row>
    <row r="496" spans="1:15">
      <c r="A496">
        <v>494</v>
      </c>
      <c r="B496">
        <v>64</v>
      </c>
      <c r="C496">
        <v>0</v>
      </c>
      <c r="D496">
        <v>0</v>
      </c>
      <c r="E496">
        <v>0</v>
      </c>
      <c r="G496" t="e">
        <f t="shared" si="35"/>
        <v>#NUM!</v>
      </c>
      <c r="H496" t="e">
        <f t="shared" si="36"/>
        <v>#NUM!</v>
      </c>
      <c r="I496" t="e">
        <f t="shared" si="37"/>
        <v>#NUM!</v>
      </c>
      <c r="J496" s="5"/>
      <c r="K496" t="e">
        <f t="shared" si="38"/>
        <v>#NUM!</v>
      </c>
      <c r="M496" t="e">
        <f t="shared" si="39"/>
        <v>#NUM!</v>
      </c>
      <c r="O496" s="2" t="s">
        <v>501</v>
      </c>
    </row>
    <row r="497" spans="1:15">
      <c r="A497">
        <v>495</v>
      </c>
      <c r="B497">
        <v>80</v>
      </c>
      <c r="C497">
        <v>2</v>
      </c>
      <c r="D497">
        <v>4</v>
      </c>
      <c r="E497">
        <v>2</v>
      </c>
      <c r="G497">
        <f t="shared" si="35"/>
        <v>-2.1780834390714654</v>
      </c>
      <c r="H497">
        <f t="shared" si="36"/>
        <v>-1.7471170166436749</v>
      </c>
      <c r="I497">
        <f t="shared" si="37"/>
        <v>-2.0574299958767623</v>
      </c>
      <c r="J497" s="5"/>
      <c r="K497">
        <f t="shared" si="38"/>
        <v>-1.9942101505306342</v>
      </c>
      <c r="M497">
        <f t="shared" si="39"/>
        <v>0.22232988091852041</v>
      </c>
      <c r="O497" s="2" t="s">
        <v>502</v>
      </c>
    </row>
    <row r="498" spans="1:15">
      <c r="A498">
        <v>496</v>
      </c>
      <c r="B498">
        <v>61</v>
      </c>
      <c r="C498">
        <v>1</v>
      </c>
      <c r="D498">
        <v>1</v>
      </c>
      <c r="E498">
        <v>2</v>
      </c>
      <c r="G498">
        <f t="shared" si="35"/>
        <v>-2.36135328275427</v>
      </c>
      <c r="H498">
        <f t="shared" si="36"/>
        <v>-2.2314168559904606</v>
      </c>
      <c r="I498">
        <f t="shared" si="37"/>
        <v>-1.9396698438955862</v>
      </c>
      <c r="J498" s="5"/>
      <c r="K498">
        <f t="shared" si="38"/>
        <v>-2.1774799942134391</v>
      </c>
      <c r="M498">
        <f t="shared" si="39"/>
        <v>0.21595397529493754</v>
      </c>
      <c r="O498" s="2" t="s">
        <v>503</v>
      </c>
    </row>
    <row r="499" spans="1:15">
      <c r="A499">
        <v>497</v>
      </c>
      <c r="B499">
        <v>280</v>
      </c>
      <c r="C499">
        <v>5</v>
      </c>
      <c r="D499">
        <v>5</v>
      </c>
      <c r="E499">
        <v>3</v>
      </c>
      <c r="G499">
        <f t="shared" si="35"/>
        <v>-2.3242114747497036</v>
      </c>
      <c r="H499">
        <f t="shared" si="36"/>
        <v>-2.1942750479858941</v>
      </c>
      <c r="I499">
        <f t="shared" si="37"/>
        <v>-2.4254067811713571</v>
      </c>
      <c r="J499" s="5"/>
      <c r="K499">
        <f t="shared" si="38"/>
        <v>-2.3146311013023184</v>
      </c>
      <c r="M499">
        <f t="shared" si="39"/>
        <v>0.11586331251898738</v>
      </c>
      <c r="O499" s="2" t="s">
        <v>504</v>
      </c>
    </row>
    <row r="500" spans="1:15">
      <c r="A500">
        <v>498</v>
      </c>
      <c r="B500">
        <v>72</v>
      </c>
      <c r="C500">
        <v>2</v>
      </c>
      <c r="D500">
        <v>1</v>
      </c>
      <c r="E500">
        <v>1</v>
      </c>
      <c r="G500">
        <f t="shared" si="35"/>
        <v>-2.1323259485107906</v>
      </c>
      <c r="H500">
        <f t="shared" si="36"/>
        <v>-2.303419517410962</v>
      </c>
      <c r="I500">
        <f t="shared" si="37"/>
        <v>-2.3127025009800688</v>
      </c>
      <c r="J500" s="5"/>
      <c r="K500">
        <f t="shared" si="38"/>
        <v>-2.2494826556339405</v>
      </c>
      <c r="M500">
        <f t="shared" si="39"/>
        <v>0.10156679557779062</v>
      </c>
      <c r="O500" s="2" t="s">
        <v>505</v>
      </c>
    </row>
    <row r="501" spans="1:15">
      <c r="A501">
        <v>499</v>
      </c>
      <c r="B501">
        <v>70</v>
      </c>
      <c r="C501">
        <v>39</v>
      </c>
      <c r="D501">
        <v>23</v>
      </c>
      <c r="E501">
        <v>33</v>
      </c>
      <c r="G501">
        <f t="shared" si="35"/>
        <v>-0.83005688073126094</v>
      </c>
      <c r="H501">
        <f t="shared" si="36"/>
        <v>-0.92945722497635763</v>
      </c>
      <c r="I501">
        <f t="shared" si="37"/>
        <v>-0.78195410468516968</v>
      </c>
      <c r="J501" s="5"/>
      <c r="K501">
        <f t="shared" si="38"/>
        <v>-0.84715607013092942</v>
      </c>
      <c r="M501">
        <f t="shared" si="39"/>
        <v>7.5223529114921667E-2</v>
      </c>
      <c r="O501" s="2" t="s">
        <v>506</v>
      </c>
    </row>
    <row r="502" spans="1:15">
      <c r="A502">
        <v>500</v>
      </c>
      <c r="B502">
        <v>141</v>
      </c>
      <c r="C502">
        <v>86</v>
      </c>
      <c r="D502">
        <v>67</v>
      </c>
      <c r="E502">
        <v>82</v>
      </c>
      <c r="G502">
        <f t="shared" si="35"/>
        <v>-0.79074410915531557</v>
      </c>
      <c r="H502">
        <f t="shared" si="36"/>
        <v>-0.76923133093424712</v>
      </c>
      <c r="I502">
        <f t="shared" si="37"/>
        <v>-0.69077526482046347</v>
      </c>
      <c r="J502" s="5"/>
      <c r="K502">
        <f t="shared" si="38"/>
        <v>-0.75025023497000876</v>
      </c>
      <c r="M502">
        <f t="shared" si="39"/>
        <v>5.2618000365029005E-2</v>
      </c>
      <c r="O502" s="2" t="s">
        <v>507</v>
      </c>
    </row>
    <row r="503" spans="1:15">
      <c r="A503">
        <v>501</v>
      </c>
      <c r="B503">
        <v>54</v>
      </c>
      <c r="C503">
        <v>3</v>
      </c>
      <c r="D503">
        <v>5</v>
      </c>
      <c r="E503">
        <v>5</v>
      </c>
      <c r="G503">
        <f t="shared" si="35"/>
        <v>-1.8312959528468093</v>
      </c>
      <c r="H503">
        <f t="shared" si="36"/>
        <v>-1.4795107764666433</v>
      </c>
      <c r="I503">
        <f t="shared" si="37"/>
        <v>-1.4887937600357499</v>
      </c>
      <c r="J503" s="5"/>
      <c r="K503">
        <f t="shared" si="38"/>
        <v>-1.5998668297830676</v>
      </c>
      <c r="M503">
        <f t="shared" si="39"/>
        <v>0.20047723735507897</v>
      </c>
      <c r="O503" s="2" t="s">
        <v>508</v>
      </c>
    </row>
    <row r="504" spans="1:15">
      <c r="A504">
        <v>502</v>
      </c>
      <c r="B504">
        <v>119</v>
      </c>
      <c r="C504">
        <v>6</v>
      </c>
      <c r="D504">
        <v>1</v>
      </c>
      <c r="E504">
        <v>0</v>
      </c>
      <c r="G504">
        <f t="shared" si="35"/>
        <v>-1.8734191587523905</v>
      </c>
      <c r="H504">
        <f t="shared" si="36"/>
        <v>-2.521633982372224</v>
      </c>
      <c r="I504" t="e">
        <f t="shared" si="37"/>
        <v>#NUM!</v>
      </c>
      <c r="J504" s="5"/>
      <c r="K504" t="e">
        <f t="shared" si="38"/>
        <v>#NUM!</v>
      </c>
      <c r="M504" t="e">
        <f t="shared" si="39"/>
        <v>#NUM!</v>
      </c>
      <c r="O504" s="2" t="s">
        <v>509</v>
      </c>
    </row>
    <row r="505" spans="1:15">
      <c r="A505">
        <v>503</v>
      </c>
      <c r="B505">
        <v>97</v>
      </c>
      <c r="C505">
        <v>559</v>
      </c>
      <c r="D505">
        <v>497</v>
      </c>
      <c r="E505">
        <v>568</v>
      </c>
      <c r="G505">
        <f t="shared" si="35"/>
        <v>0.18461662587667516</v>
      </c>
      <c r="H505">
        <f t="shared" si="36"/>
        <v>0.26349763348739352</v>
      </c>
      <c r="I505">
        <f t="shared" si="37"/>
        <v>0.31220659689597374</v>
      </c>
      <c r="J505" s="5"/>
      <c r="K505">
        <f t="shared" si="38"/>
        <v>0.25344028542001412</v>
      </c>
      <c r="M505">
        <f t="shared" si="39"/>
        <v>6.4386822128349064E-2</v>
      </c>
      <c r="O505" s="2" t="s">
        <v>510</v>
      </c>
    </row>
    <row r="506" spans="1:15">
      <c r="A506">
        <v>504</v>
      </c>
      <c r="B506">
        <v>178</v>
      </c>
      <c r="C506">
        <v>2</v>
      </c>
      <c r="D506">
        <v>2</v>
      </c>
      <c r="E506">
        <v>2</v>
      </c>
      <c r="G506">
        <f t="shared" si="35"/>
        <v>-2.5254134543884161</v>
      </c>
      <c r="H506">
        <f t="shared" si="36"/>
        <v>-2.3954770276246062</v>
      </c>
      <c r="I506">
        <f t="shared" si="37"/>
        <v>-2.4047600111937131</v>
      </c>
      <c r="J506" s="5"/>
      <c r="K506">
        <f t="shared" si="38"/>
        <v>-2.4418834977355783</v>
      </c>
      <c r="M506">
        <f t="shared" si="39"/>
        <v>7.248781752684226E-2</v>
      </c>
      <c r="O506" s="2" t="s">
        <v>511</v>
      </c>
    </row>
    <row r="507" spans="1:15">
      <c r="A507">
        <v>505</v>
      </c>
      <c r="B507">
        <v>230</v>
      </c>
      <c r="C507">
        <v>2</v>
      </c>
      <c r="D507">
        <v>1</v>
      </c>
      <c r="E507">
        <v>1</v>
      </c>
      <c r="G507">
        <f t="shared" si="35"/>
        <v>-2.6367212880971151</v>
      </c>
      <c r="H507">
        <f t="shared" si="36"/>
        <v>-2.8078148569972869</v>
      </c>
      <c r="I507">
        <f t="shared" si="37"/>
        <v>-2.8170978405663933</v>
      </c>
      <c r="J507" s="5"/>
      <c r="K507">
        <f t="shared" si="38"/>
        <v>-2.753877995220265</v>
      </c>
      <c r="M507">
        <f t="shared" si="39"/>
        <v>0.10156679557779075</v>
      </c>
      <c r="O507" s="2" t="s">
        <v>512</v>
      </c>
    </row>
    <row r="508" spans="1:15">
      <c r="A508">
        <v>506</v>
      </c>
      <c r="B508">
        <v>66</v>
      </c>
      <c r="C508">
        <v>0</v>
      </c>
      <c r="D508">
        <v>0</v>
      </c>
      <c r="E508">
        <v>0</v>
      </c>
      <c r="G508" t="e">
        <f t="shared" si="35"/>
        <v>#NUM!</v>
      </c>
      <c r="H508" t="e">
        <f t="shared" si="36"/>
        <v>#NUM!</v>
      </c>
      <c r="I508" t="e">
        <f t="shared" si="37"/>
        <v>#NUM!</v>
      </c>
      <c r="J508" s="5"/>
      <c r="K508" t="e">
        <f t="shared" si="38"/>
        <v>#NUM!</v>
      </c>
      <c r="M508" t="e">
        <f t="shared" si="39"/>
        <v>#NUM!</v>
      </c>
      <c r="O508" s="2" t="s">
        <v>513</v>
      </c>
    </row>
    <row r="509" spans="1:15">
      <c r="A509">
        <v>507</v>
      </c>
      <c r="B509">
        <v>161</v>
      </c>
      <c r="C509">
        <v>249</v>
      </c>
      <c r="D509">
        <v>211</v>
      </c>
      <c r="E509">
        <v>250</v>
      </c>
      <c r="G509">
        <f t="shared" si="35"/>
        <v>-0.38664997667961676</v>
      </c>
      <c r="H509">
        <f t="shared" si="36"/>
        <v>-0.32863044171385075</v>
      </c>
      <c r="I509">
        <f t="shared" si="37"/>
        <v>-0.26425587190861233</v>
      </c>
      <c r="J509" s="5"/>
      <c r="K509">
        <f t="shared" si="38"/>
        <v>-0.32651209676735998</v>
      </c>
      <c r="M509">
        <f t="shared" si="39"/>
        <v>6.1224543768476573E-2</v>
      </c>
      <c r="O509" s="2" t="s">
        <v>514</v>
      </c>
    </row>
    <row r="510" spans="1:15">
      <c r="A510">
        <v>508</v>
      </c>
      <c r="B510">
        <v>92</v>
      </c>
      <c r="C510">
        <v>1</v>
      </c>
      <c r="D510">
        <v>2</v>
      </c>
      <c r="E510">
        <v>0</v>
      </c>
      <c r="G510">
        <f t="shared" si="35"/>
        <v>-2.5398112750890585</v>
      </c>
      <c r="H510">
        <f t="shared" si="36"/>
        <v>-2.1088448526612678</v>
      </c>
      <c r="I510" t="e">
        <f t="shared" si="37"/>
        <v>#NUM!</v>
      </c>
      <c r="J510" s="5"/>
      <c r="K510" t="e">
        <f t="shared" si="38"/>
        <v>#NUM!</v>
      </c>
      <c r="M510" t="e">
        <f t="shared" si="39"/>
        <v>#NUM!</v>
      </c>
      <c r="O510" s="2" t="s">
        <v>515</v>
      </c>
    </row>
    <row r="511" spans="1:15">
      <c r="A511">
        <v>509</v>
      </c>
      <c r="B511">
        <v>216</v>
      </c>
      <c r="C511">
        <v>1</v>
      </c>
      <c r="D511">
        <v>3</v>
      </c>
      <c r="E511">
        <v>3</v>
      </c>
      <c r="G511">
        <f t="shared" si="35"/>
        <v>-2.9104771988944345</v>
      </c>
      <c r="H511">
        <f t="shared" si="36"/>
        <v>-2.303419517410962</v>
      </c>
      <c r="I511">
        <f t="shared" si="37"/>
        <v>-2.3127025009800688</v>
      </c>
      <c r="J511" s="5"/>
      <c r="K511">
        <f t="shared" si="38"/>
        <v>-2.5088664057618217</v>
      </c>
      <c r="M511">
        <f t="shared" si="39"/>
        <v>0.34783611847598817</v>
      </c>
      <c r="O511" s="2" t="s">
        <v>516</v>
      </c>
    </row>
    <row r="512" spans="1:15">
      <c r="A512">
        <v>510</v>
      </c>
      <c r="B512">
        <v>215</v>
      </c>
      <c r="C512">
        <v>2</v>
      </c>
      <c r="D512">
        <v>5</v>
      </c>
      <c r="E512">
        <v>4</v>
      </c>
      <c r="G512">
        <f t="shared" si="35"/>
        <v>-2.6074319119951275</v>
      </c>
      <c r="H512">
        <f t="shared" si="36"/>
        <v>-2.0795554765592801</v>
      </c>
      <c r="I512">
        <f t="shared" si="37"/>
        <v>-2.1857484731364432</v>
      </c>
      <c r="J512" s="5"/>
      <c r="K512">
        <f t="shared" si="38"/>
        <v>-2.2909119538969502</v>
      </c>
      <c r="M512">
        <f t="shared" si="39"/>
        <v>0.27920942146776362</v>
      </c>
      <c r="O512" s="2" t="s">
        <v>517</v>
      </c>
    </row>
    <row r="513" spans="1:15">
      <c r="A513">
        <v>511</v>
      </c>
      <c r="B513">
        <v>86</v>
      </c>
      <c r="C513">
        <v>1</v>
      </c>
      <c r="D513">
        <v>2</v>
      </c>
      <c r="E513">
        <v>1</v>
      </c>
      <c r="G513">
        <f t="shared" si="35"/>
        <v>-2.5105218989870712</v>
      </c>
      <c r="H513">
        <f t="shared" si="36"/>
        <v>-2.0795554765592801</v>
      </c>
      <c r="I513">
        <f t="shared" si="37"/>
        <v>-2.3898684557923682</v>
      </c>
      <c r="J513" s="5"/>
      <c r="K513">
        <f t="shared" si="38"/>
        <v>-2.3266486104462398</v>
      </c>
      <c r="M513">
        <f t="shared" si="39"/>
        <v>0.22232988091852077</v>
      </c>
      <c r="O513" s="2" t="s">
        <v>518</v>
      </c>
    </row>
    <row r="514" spans="1:15">
      <c r="A514">
        <v>512</v>
      </c>
      <c r="B514">
        <v>186</v>
      </c>
      <c r="C514">
        <v>609</v>
      </c>
      <c r="D514">
        <v>582</v>
      </c>
      <c r="E514">
        <v>739</v>
      </c>
      <c r="G514">
        <f t="shared" ref="G514:G577" si="40">LOG10(C514/B514)-LOG10(437/116)</f>
        <v>-6.0919099328544224E-2</v>
      </c>
      <c r="H514">
        <f t="shared" ref="H514:H577" si="41">LOG10(D514/B514)-LOG10(324/116)</f>
        <v>4.9323019452278516E-2</v>
      </c>
      <c r="I514">
        <f t="shared" ref="I514:I577" si="42">LOG10(E514/B514)-LOG10(331/116)</f>
        <v>0.1437614896281092</v>
      </c>
      <c r="J514" s="5"/>
      <c r="K514">
        <f t="shared" ref="K514:K577" si="43">AVERAGE(G514:I514)</f>
        <v>4.4055136583947829E-2</v>
      </c>
      <c r="M514">
        <f t="shared" ref="M514:M577" si="44">STDEV(G514:I514)</f>
        <v>0.10244192899563376</v>
      </c>
      <c r="O514" s="2" t="s">
        <v>519</v>
      </c>
    </row>
    <row r="515" spans="1:15">
      <c r="A515">
        <v>513</v>
      </c>
      <c r="B515">
        <v>85</v>
      </c>
      <c r="C515">
        <v>2</v>
      </c>
      <c r="D515">
        <v>1</v>
      </c>
      <c r="E515">
        <v>0</v>
      </c>
      <c r="G515">
        <f t="shared" si="40"/>
        <v>-2.2044123777938149</v>
      </c>
      <c r="H515">
        <f t="shared" si="41"/>
        <v>-2.3755059466939863</v>
      </c>
      <c r="I515" t="e">
        <f t="shared" si="42"/>
        <v>#NUM!</v>
      </c>
      <c r="J515" s="5"/>
      <c r="K515" t="e">
        <f t="shared" si="43"/>
        <v>#NUM!</v>
      </c>
      <c r="M515" t="e">
        <f t="shared" si="44"/>
        <v>#NUM!</v>
      </c>
      <c r="O515" s="2" t="s">
        <v>520</v>
      </c>
    </row>
    <row r="516" spans="1:15">
      <c r="A516">
        <v>514</v>
      </c>
      <c r="B516">
        <v>100</v>
      </c>
      <c r="C516">
        <v>35</v>
      </c>
      <c r="D516">
        <v>156</v>
      </c>
      <c r="E516">
        <v>63</v>
      </c>
      <c r="G516">
        <f t="shared" si="40"/>
        <v>-1.0319554033932277</v>
      </c>
      <c r="H516">
        <f t="shared" si="41"/>
        <v>-0.25296242262523205</v>
      </c>
      <c r="I516">
        <f t="shared" si="42"/>
        <v>-0.65602945509521859</v>
      </c>
      <c r="J516" s="5"/>
      <c r="K516">
        <f t="shared" si="43"/>
        <v>-0.64698242703789277</v>
      </c>
      <c r="M516">
        <f t="shared" si="44"/>
        <v>0.38957528484101023</v>
      </c>
      <c r="O516" s="2" t="s">
        <v>521</v>
      </c>
    </row>
    <row r="517" spans="1:15">
      <c r="A517">
        <v>515</v>
      </c>
      <c r="B517">
        <v>217</v>
      </c>
      <c r="C517">
        <v>38</v>
      </c>
      <c r="D517">
        <v>37</v>
      </c>
      <c r="E517">
        <v>39</v>
      </c>
      <c r="G517">
        <f t="shared" si="40"/>
        <v>-1.3326995849752228</v>
      </c>
      <c r="H517">
        <f t="shared" si="41"/>
        <v>-1.214345030761228</v>
      </c>
      <c r="I517">
        <f t="shared" si="42"/>
        <v>-1.2007651313708307</v>
      </c>
      <c r="J517" s="5"/>
      <c r="K517">
        <f t="shared" si="43"/>
        <v>-1.2492699157024272</v>
      </c>
      <c r="M517">
        <f t="shared" si="44"/>
        <v>7.2570556723022109E-2</v>
      </c>
      <c r="O517" s="2" t="s">
        <v>522</v>
      </c>
    </row>
    <row r="518" spans="1:15">
      <c r="A518">
        <v>516</v>
      </c>
      <c r="B518">
        <v>152</v>
      </c>
      <c r="C518">
        <v>1</v>
      </c>
      <c r="D518">
        <v>3</v>
      </c>
      <c r="E518">
        <v>0</v>
      </c>
      <c r="G518">
        <f t="shared" si="40"/>
        <v>-2.757867035688276</v>
      </c>
      <c r="H518">
        <f t="shared" si="41"/>
        <v>-2.1508093542048039</v>
      </c>
      <c r="I518" t="e">
        <f t="shared" si="42"/>
        <v>#NUM!</v>
      </c>
      <c r="J518" s="5"/>
      <c r="K518" t="e">
        <f t="shared" si="43"/>
        <v>#NUM!</v>
      </c>
      <c r="M518" t="e">
        <f t="shared" si="44"/>
        <v>#NUM!</v>
      </c>
      <c r="O518" s="2" t="s">
        <v>523</v>
      </c>
    </row>
    <row r="519" spans="1:15">
      <c r="A519">
        <v>517</v>
      </c>
      <c r="B519">
        <v>374</v>
      </c>
      <c r="C519">
        <v>1</v>
      </c>
      <c r="D519">
        <v>4</v>
      </c>
      <c r="E519">
        <v>6</v>
      </c>
      <c r="G519">
        <f t="shared" si="40"/>
        <v>-3.1488950499439836</v>
      </c>
      <c r="H519">
        <f t="shared" si="41"/>
        <v>-2.4168986318522112</v>
      </c>
      <c r="I519">
        <f t="shared" si="42"/>
        <v>-2.2500903563656367</v>
      </c>
      <c r="J519" s="5"/>
      <c r="K519">
        <f t="shared" si="43"/>
        <v>-2.6052946793872773</v>
      </c>
      <c r="M519">
        <f t="shared" si="44"/>
        <v>0.47810278428884068</v>
      </c>
      <c r="O519" s="2" t="s">
        <v>524</v>
      </c>
    </row>
    <row r="520" spans="1:15">
      <c r="A520">
        <v>518</v>
      </c>
      <c r="B520">
        <v>65</v>
      </c>
      <c r="C520">
        <v>0</v>
      </c>
      <c r="D520">
        <v>0</v>
      </c>
      <c r="E520">
        <v>1</v>
      </c>
      <c r="G520" t="e">
        <f t="shared" si="40"/>
        <v>#NUM!</v>
      </c>
      <c r="H520" t="e">
        <f t="shared" si="41"/>
        <v>#NUM!</v>
      </c>
      <c r="I520">
        <f t="shared" si="42"/>
        <v>-2.2682833611916555</v>
      </c>
      <c r="J520" s="5"/>
      <c r="K520" t="e">
        <f t="shared" si="43"/>
        <v>#NUM!</v>
      </c>
      <c r="M520" t="e">
        <f t="shared" si="44"/>
        <v>#NUM!</v>
      </c>
      <c r="O520" s="2" t="s">
        <v>525</v>
      </c>
    </row>
    <row r="521" spans="1:15">
      <c r="A521">
        <v>519</v>
      </c>
      <c r="B521">
        <v>97</v>
      </c>
      <c r="C521">
        <v>5</v>
      </c>
      <c r="D521">
        <v>3</v>
      </c>
      <c r="E521">
        <v>8</v>
      </c>
      <c r="G521">
        <f t="shared" si="40"/>
        <v>-1.8638251776737293</v>
      </c>
      <c r="H521">
        <f t="shared" si="41"/>
        <v>-1.955737500526276</v>
      </c>
      <c r="I521">
        <f t="shared" si="42"/>
        <v>-1.5390517518231015</v>
      </c>
      <c r="J521" s="5"/>
      <c r="K521">
        <f t="shared" si="43"/>
        <v>-1.7862048100077024</v>
      </c>
      <c r="M521">
        <f t="shared" si="44"/>
        <v>0.21891880778164813</v>
      </c>
      <c r="O521" s="2" t="s">
        <v>526</v>
      </c>
    </row>
    <row r="522" spans="1:15">
      <c r="A522">
        <v>520</v>
      </c>
      <c r="B522">
        <v>100</v>
      </c>
      <c r="C522">
        <v>65</v>
      </c>
      <c r="D522">
        <v>58</v>
      </c>
      <c r="E522">
        <v>57</v>
      </c>
      <c r="G522">
        <f t="shared" si="40"/>
        <v>-0.76311009110064776</v>
      </c>
      <c r="H522">
        <f t="shared" si="41"/>
        <v>-0.68265902741675644</v>
      </c>
      <c r="I522">
        <f t="shared" si="42"/>
        <v>-0.69949514887630893</v>
      </c>
      <c r="J522" s="5"/>
      <c r="K522">
        <f t="shared" si="43"/>
        <v>-0.71508808913123767</v>
      </c>
      <c r="M522">
        <f t="shared" si="44"/>
        <v>4.2431689234730195E-2</v>
      </c>
      <c r="O522" s="2" t="s">
        <v>527</v>
      </c>
    </row>
    <row r="523" spans="1:15">
      <c r="A523">
        <v>521</v>
      </c>
      <c r="B523">
        <v>175</v>
      </c>
      <c r="C523">
        <v>29</v>
      </c>
      <c r="D523">
        <v>16</v>
      </c>
      <c r="E523">
        <v>24</v>
      </c>
      <c r="G523">
        <f t="shared" si="40"/>
        <v>-1.3566634985308417</v>
      </c>
      <c r="H523">
        <f t="shared" si="41"/>
        <v>-1.4850050870100633</v>
      </c>
      <c r="I523">
        <f t="shared" si="42"/>
        <v>-1.3181968115234888</v>
      </c>
      <c r="J523" s="5"/>
      <c r="K523">
        <f t="shared" si="43"/>
        <v>-1.3866217990214647</v>
      </c>
      <c r="M523">
        <f t="shared" si="44"/>
        <v>8.7346293675897177E-2</v>
      </c>
      <c r="O523" s="2" t="s">
        <v>528</v>
      </c>
    </row>
    <row r="524" spans="1:15">
      <c r="A524">
        <v>522</v>
      </c>
      <c r="B524">
        <v>76</v>
      </c>
      <c r="C524">
        <v>59</v>
      </c>
      <c r="D524">
        <v>51</v>
      </c>
      <c r="E524">
        <v>77</v>
      </c>
      <c r="G524">
        <f t="shared" si="40"/>
        <v>-0.68598502838215047</v>
      </c>
      <c r="H524">
        <f t="shared" si="41"/>
        <v>-0.61933043716254865</v>
      </c>
      <c r="I524">
        <f t="shared" si="42"/>
        <v>-0.44969287165710981</v>
      </c>
      <c r="J524" s="5"/>
      <c r="K524">
        <f t="shared" si="43"/>
        <v>-0.58500277906726961</v>
      </c>
      <c r="M524">
        <f t="shared" si="44"/>
        <v>0.12182892478870788</v>
      </c>
      <c r="O524" s="2" t="s">
        <v>529</v>
      </c>
    </row>
    <row r="525" spans="1:15">
      <c r="A525">
        <v>523</v>
      </c>
      <c r="B525">
        <v>32</v>
      </c>
      <c r="C525">
        <v>0</v>
      </c>
      <c r="D525">
        <v>1</v>
      </c>
      <c r="E525">
        <v>2</v>
      </c>
      <c r="G525" t="e">
        <f t="shared" si="40"/>
        <v>#NUM!</v>
      </c>
      <c r="H525">
        <f t="shared" si="41"/>
        <v>-1.9512369992995997</v>
      </c>
      <c r="I525">
        <f t="shared" si="42"/>
        <v>-1.6594899872047251</v>
      </c>
      <c r="J525" s="5"/>
      <c r="K525" t="e">
        <f t="shared" si="43"/>
        <v>#NUM!</v>
      </c>
      <c r="M525" t="e">
        <f t="shared" si="44"/>
        <v>#NUM!</v>
      </c>
      <c r="O525" s="2" t="s">
        <v>530</v>
      </c>
    </row>
    <row r="526" spans="1:15">
      <c r="A526">
        <v>524</v>
      </c>
      <c r="B526">
        <v>84</v>
      </c>
      <c r="C526">
        <v>64</v>
      </c>
      <c r="D526">
        <v>41</v>
      </c>
      <c r="E526">
        <v>61</v>
      </c>
      <c r="G526">
        <f t="shared" si="40"/>
        <v>-0.69412275982149785</v>
      </c>
      <c r="H526">
        <f t="shared" si="41"/>
        <v>-0.7575824503218398</v>
      </c>
      <c r="I526">
        <f t="shared" si="42"/>
        <v>-0.59431945559991495</v>
      </c>
      <c r="J526" s="5"/>
      <c r="K526">
        <f t="shared" si="43"/>
        <v>-0.68200822191441757</v>
      </c>
      <c r="M526">
        <f t="shared" si="44"/>
        <v>8.2302933622802166E-2</v>
      </c>
      <c r="O526" s="2" t="s">
        <v>531</v>
      </c>
    </row>
    <row r="527" spans="1:15">
      <c r="A527">
        <v>525</v>
      </c>
      <c r="B527">
        <v>156</v>
      </c>
      <c r="C527">
        <v>0</v>
      </c>
      <c r="D527">
        <v>0</v>
      </c>
      <c r="E527">
        <v>4</v>
      </c>
      <c r="G527" t="e">
        <f t="shared" si="40"/>
        <v>#NUM!</v>
      </c>
      <c r="H527" t="e">
        <f t="shared" si="41"/>
        <v>#NUM!</v>
      </c>
      <c r="I527">
        <f t="shared" si="42"/>
        <v>-2.0464346115752994</v>
      </c>
      <c r="J527" s="5"/>
      <c r="K527" t="e">
        <f t="shared" si="43"/>
        <v>#NUM!</v>
      </c>
      <c r="M527" t="e">
        <f t="shared" si="44"/>
        <v>#NUM!</v>
      </c>
      <c r="O527" s="2" t="s">
        <v>532</v>
      </c>
    </row>
    <row r="528" spans="1:15">
      <c r="A528">
        <v>526</v>
      </c>
      <c r="B528">
        <v>83</v>
      </c>
      <c r="C528">
        <v>0</v>
      </c>
      <c r="D528">
        <v>0</v>
      </c>
      <c r="E528">
        <v>1</v>
      </c>
      <c r="G528" t="e">
        <f t="shared" si="40"/>
        <v>#NUM!</v>
      </c>
      <c r="H528" t="e">
        <f t="shared" si="41"/>
        <v>#NUM!</v>
      </c>
      <c r="I528">
        <f t="shared" si="42"/>
        <v>-2.3744480969248745</v>
      </c>
      <c r="J528" s="5"/>
      <c r="K528" t="e">
        <f t="shared" si="43"/>
        <v>#NUM!</v>
      </c>
      <c r="M528" t="e">
        <f t="shared" si="44"/>
        <v>#NUM!</v>
      </c>
      <c r="O528" s="2" t="s">
        <v>533</v>
      </c>
    </row>
    <row r="529" spans="1:15">
      <c r="A529">
        <v>527</v>
      </c>
      <c r="B529">
        <v>52</v>
      </c>
      <c r="C529">
        <v>1</v>
      </c>
      <c r="D529">
        <v>2</v>
      </c>
      <c r="E529">
        <v>0</v>
      </c>
      <c r="G529">
        <f t="shared" si="40"/>
        <v>-2.2920267913783023</v>
      </c>
      <c r="H529">
        <f t="shared" si="41"/>
        <v>-1.8610603689505116</v>
      </c>
      <c r="I529" t="e">
        <f t="shared" si="42"/>
        <v>#NUM!</v>
      </c>
      <c r="J529" s="5"/>
      <c r="K529" t="e">
        <f t="shared" si="43"/>
        <v>#NUM!</v>
      </c>
      <c r="M529" t="e">
        <f t="shared" si="44"/>
        <v>#NUM!</v>
      </c>
      <c r="O529" s="2" t="s">
        <v>534</v>
      </c>
    </row>
    <row r="530" spans="1:15">
      <c r="A530">
        <v>528</v>
      </c>
      <c r="B530">
        <v>59</v>
      </c>
      <c r="C530">
        <v>32</v>
      </c>
      <c r="D530">
        <v>16</v>
      </c>
      <c r="E530">
        <v>32</v>
      </c>
      <c r="G530">
        <f t="shared" si="40"/>
        <v>-0.84172548106574152</v>
      </c>
      <c r="H530">
        <f t="shared" si="41"/>
        <v>-1.0128190499659131</v>
      </c>
      <c r="I530">
        <f t="shared" si="42"/>
        <v>-0.72107203787103846</v>
      </c>
      <c r="J530" s="5"/>
      <c r="K530">
        <f t="shared" si="43"/>
        <v>-0.85853885630089766</v>
      </c>
      <c r="M530">
        <f t="shared" si="44"/>
        <v>0.14659842071683582</v>
      </c>
      <c r="O530" s="2" t="s">
        <v>535</v>
      </c>
    </row>
    <row r="531" spans="1:15">
      <c r="A531">
        <v>529</v>
      </c>
      <c r="B531">
        <v>111</v>
      </c>
      <c r="C531">
        <v>561</v>
      </c>
      <c r="D531">
        <v>399</v>
      </c>
      <c r="E531">
        <v>453</v>
      </c>
      <c r="G531">
        <f t="shared" si="40"/>
        <v>0.1276164347260007</v>
      </c>
      <c r="H531">
        <f t="shared" si="41"/>
        <v>0.10956289592039714</v>
      </c>
      <c r="I531">
        <f t="shared" si="42"/>
        <v>0.15540521867737411</v>
      </c>
      <c r="J531" s="5"/>
      <c r="K531">
        <f t="shared" si="43"/>
        <v>0.13086151644125732</v>
      </c>
      <c r="M531">
        <f t="shared" si="44"/>
        <v>2.3092803109253077E-2</v>
      </c>
      <c r="O531" s="2" t="s">
        <v>536</v>
      </c>
    </row>
    <row r="532" spans="1:15">
      <c r="A532">
        <v>530</v>
      </c>
      <c r="B532">
        <v>79</v>
      </c>
      <c r="C532">
        <v>4</v>
      </c>
      <c r="D532">
        <v>2</v>
      </c>
      <c r="E532">
        <v>2</v>
      </c>
      <c r="G532">
        <f t="shared" si="40"/>
        <v>-1.8715905477059824</v>
      </c>
      <c r="H532">
        <f t="shared" si="41"/>
        <v>-2.042684116606154</v>
      </c>
      <c r="I532">
        <f t="shared" si="42"/>
        <v>-2.0519671001752604</v>
      </c>
      <c r="J532" s="5"/>
      <c r="K532">
        <f t="shared" si="43"/>
        <v>-1.9887472548291323</v>
      </c>
      <c r="M532">
        <f t="shared" si="44"/>
        <v>0.10156679557779062</v>
      </c>
      <c r="O532" s="2" t="s">
        <v>537</v>
      </c>
    </row>
    <row r="533" spans="1:15">
      <c r="A533">
        <v>531</v>
      </c>
      <c r="B533">
        <v>47</v>
      </c>
      <c r="C533">
        <v>0</v>
      </c>
      <c r="D533">
        <v>1</v>
      </c>
      <c r="E533">
        <v>0</v>
      </c>
      <c r="G533" t="e">
        <f t="shared" si="40"/>
        <v>#NUM!</v>
      </c>
      <c r="H533">
        <f t="shared" si="41"/>
        <v>-2.118184878915411</v>
      </c>
      <c r="I533" t="e">
        <f t="shared" si="42"/>
        <v>#NUM!</v>
      </c>
      <c r="J533" s="5"/>
      <c r="K533" t="e">
        <f t="shared" si="43"/>
        <v>#NUM!</v>
      </c>
      <c r="M533" t="e">
        <f t="shared" si="44"/>
        <v>#NUM!</v>
      </c>
      <c r="O533" s="2" t="s">
        <v>538</v>
      </c>
    </row>
    <row r="534" spans="1:15">
      <c r="A534">
        <v>532</v>
      </c>
      <c r="B534">
        <v>261</v>
      </c>
      <c r="C534">
        <v>146</v>
      </c>
      <c r="D534">
        <v>156</v>
      </c>
      <c r="E534">
        <v>152</v>
      </c>
      <c r="G534">
        <f t="shared" si="40"/>
        <v>-0.82831109929734725</v>
      </c>
      <c r="H534">
        <f t="shared" si="41"/>
        <v>-0.669602929963513</v>
      </c>
      <c r="I534">
        <f t="shared" si="42"/>
        <v>-0.69016692394230872</v>
      </c>
      <c r="J534" s="5"/>
      <c r="K534">
        <f t="shared" si="43"/>
        <v>-0.7293603177343897</v>
      </c>
      <c r="M534">
        <f t="shared" si="44"/>
        <v>8.6308529943627796E-2</v>
      </c>
      <c r="O534" s="2" t="s">
        <v>539</v>
      </c>
    </row>
    <row r="535" spans="1:15">
      <c r="A535">
        <v>533</v>
      </c>
      <c r="B535">
        <v>265</v>
      </c>
      <c r="C535">
        <v>8</v>
      </c>
      <c r="D535">
        <v>8</v>
      </c>
      <c r="E535">
        <v>9</v>
      </c>
      <c r="G535">
        <f t="shared" si="40"/>
        <v>-2.0961793346883679</v>
      </c>
      <c r="H535">
        <f t="shared" si="41"/>
        <v>-1.966242907924558</v>
      </c>
      <c r="I535">
        <f t="shared" si="42"/>
        <v>-1.9243733690462832</v>
      </c>
      <c r="J535" s="5"/>
      <c r="K535">
        <f t="shared" si="43"/>
        <v>-1.9955985372197365</v>
      </c>
      <c r="M535">
        <f t="shared" si="44"/>
        <v>8.9585920690916879E-2</v>
      </c>
      <c r="O535" s="2" t="s">
        <v>540</v>
      </c>
    </row>
    <row r="536" spans="1:15">
      <c r="A536">
        <v>534</v>
      </c>
      <c r="B536">
        <v>134</v>
      </c>
      <c r="C536">
        <v>560</v>
      </c>
      <c r="D536">
        <v>376</v>
      </c>
      <c r="E536">
        <v>504</v>
      </c>
      <c r="G536">
        <f t="shared" si="40"/>
        <v>4.5059780897889423E-2</v>
      </c>
      <c r="H536">
        <f t="shared" si="41"/>
        <v>1.9960255831597551E-3</v>
      </c>
      <c r="I536">
        <f t="shared" si="42"/>
        <v>0.11995573353191735</v>
      </c>
      <c r="J536" s="5"/>
      <c r="K536">
        <f t="shared" si="43"/>
        <v>5.5670513337655513E-2</v>
      </c>
      <c r="M536">
        <f t="shared" si="44"/>
        <v>5.9691405637832602E-2</v>
      </c>
      <c r="O536" s="2" t="s">
        <v>541</v>
      </c>
    </row>
    <row r="537" spans="1:15">
      <c r="A537">
        <v>535</v>
      </c>
      <c r="B537">
        <v>101</v>
      </c>
      <c r="C537">
        <v>121</v>
      </c>
      <c r="D537">
        <v>122</v>
      </c>
      <c r="E537">
        <v>162</v>
      </c>
      <c r="G537">
        <f t="shared" si="40"/>
        <v>-0.49755945120969586</v>
      </c>
      <c r="H537">
        <f t="shared" si="41"/>
        <v>-0.36404856408758801</v>
      </c>
      <c r="I537">
        <f t="shared" si="42"/>
        <v>-0.25017636378881192</v>
      </c>
      <c r="J537" s="5"/>
      <c r="K537">
        <f t="shared" si="43"/>
        <v>-0.37059479302869858</v>
      </c>
      <c r="M537">
        <f t="shared" si="44"/>
        <v>0.12382139484145825</v>
      </c>
      <c r="O537" s="2" t="s">
        <v>542</v>
      </c>
    </row>
    <row r="538" spans="1:15">
      <c r="A538">
        <v>536</v>
      </c>
      <c r="B538">
        <v>195</v>
      </c>
      <c r="C538">
        <v>48</v>
      </c>
      <c r="D538">
        <v>10</v>
      </c>
      <c r="E538">
        <v>17</v>
      </c>
      <c r="G538">
        <f t="shared" si="40"/>
        <v>-1.184816821730434</v>
      </c>
      <c r="H538">
        <f t="shared" si="41"/>
        <v>-1.7361216323422117</v>
      </c>
      <c r="I538">
        <f t="shared" si="42"/>
        <v>-1.5149556945330445</v>
      </c>
      <c r="J538" s="5"/>
      <c r="K538">
        <f t="shared" si="43"/>
        <v>-1.4786313828685635</v>
      </c>
      <c r="M538">
        <f t="shared" si="44"/>
        <v>0.27744159793431294</v>
      </c>
      <c r="O538" s="2" t="s">
        <v>543</v>
      </c>
    </row>
    <row r="539" spans="1:15">
      <c r="A539">
        <v>537</v>
      </c>
      <c r="B539">
        <v>338</v>
      </c>
      <c r="C539">
        <v>7</v>
      </c>
      <c r="D539">
        <v>12</v>
      </c>
      <c r="E539">
        <v>13</v>
      </c>
      <c r="G539">
        <f t="shared" si="40"/>
        <v>-2.2598421080069011</v>
      </c>
      <c r="H539">
        <f t="shared" si="41"/>
        <v>-1.8958224752097235</v>
      </c>
      <c r="I539">
        <f t="shared" si="42"/>
        <v>-1.8703433525196183</v>
      </c>
      <c r="J539" s="5"/>
      <c r="K539">
        <f t="shared" si="43"/>
        <v>-2.0086693119120809</v>
      </c>
      <c r="M539">
        <f t="shared" si="44"/>
        <v>0.21789476025556911</v>
      </c>
      <c r="O539" s="2" t="s">
        <v>544</v>
      </c>
    </row>
    <row r="540" spans="1:15">
      <c r="A540">
        <v>538</v>
      </c>
      <c r="B540">
        <v>81</v>
      </c>
      <c r="C540">
        <v>139</v>
      </c>
      <c r="D540">
        <v>131</v>
      </c>
      <c r="E540">
        <v>179</v>
      </c>
      <c r="G540">
        <f t="shared" si="40"/>
        <v>-0.341493666368058</v>
      </c>
      <c r="H540">
        <f t="shared" si="41"/>
        <v>-0.23730074420257913</v>
      </c>
      <c r="I540">
        <f t="shared" si="42"/>
        <v>-0.11100199244755687</v>
      </c>
      <c r="J540" s="5"/>
      <c r="K540">
        <f t="shared" si="43"/>
        <v>-0.22993213433939799</v>
      </c>
      <c r="M540">
        <f t="shared" si="44"/>
        <v>0.11542237757538826</v>
      </c>
      <c r="O540" s="2" t="s">
        <v>545</v>
      </c>
    </row>
    <row r="541" spans="1:15">
      <c r="A541">
        <v>539</v>
      </c>
      <c r="B541">
        <v>101</v>
      </c>
      <c r="C541">
        <v>50</v>
      </c>
      <c r="D541">
        <v>52</v>
      </c>
      <c r="E541">
        <v>126</v>
      </c>
      <c r="G541">
        <f t="shared" si="40"/>
        <v>-0.88137481719012711</v>
      </c>
      <c r="H541">
        <f t="shared" si="41"/>
        <v>-0.73440505112753707</v>
      </c>
      <c r="I541">
        <f t="shared" si="42"/>
        <v>-0.35932083321387998</v>
      </c>
      <c r="J541" s="5"/>
      <c r="K541">
        <f t="shared" si="43"/>
        <v>-0.65836690051051472</v>
      </c>
      <c r="M541">
        <f t="shared" si="44"/>
        <v>0.26920520204541104</v>
      </c>
      <c r="O541" s="2" t="s">
        <v>546</v>
      </c>
    </row>
    <row r="542" spans="1:15">
      <c r="A542">
        <v>540</v>
      </c>
      <c r="B542">
        <v>77</v>
      </c>
      <c r="C542">
        <v>1</v>
      </c>
      <c r="D542">
        <v>1</v>
      </c>
      <c r="E542">
        <v>4</v>
      </c>
      <c r="G542">
        <f t="shared" si="40"/>
        <v>-2.4625141729159852</v>
      </c>
      <c r="H542">
        <f t="shared" si="41"/>
        <v>-2.3325777461521753</v>
      </c>
      <c r="I542">
        <f t="shared" si="42"/>
        <v>-1.7398007383933198</v>
      </c>
      <c r="J542" s="5"/>
      <c r="K542">
        <f t="shared" si="43"/>
        <v>-2.1782975524871602</v>
      </c>
      <c r="M542">
        <f t="shared" si="44"/>
        <v>0.38526673971142661</v>
      </c>
      <c r="O542" s="2" t="s">
        <v>547</v>
      </c>
    </row>
    <row r="543" spans="1:15">
      <c r="A543">
        <v>541</v>
      </c>
      <c r="B543">
        <v>144</v>
      </c>
      <c r="C543">
        <v>1</v>
      </c>
      <c r="D543">
        <v>1</v>
      </c>
      <c r="E543">
        <v>0</v>
      </c>
      <c r="G543">
        <f t="shared" si="40"/>
        <v>-2.7343859398387531</v>
      </c>
      <c r="H543">
        <f t="shared" si="41"/>
        <v>-2.6044495130749432</v>
      </c>
      <c r="I543" t="e">
        <f t="shared" si="42"/>
        <v>#NUM!</v>
      </c>
      <c r="J543" s="5"/>
      <c r="K543" t="e">
        <f t="shared" si="43"/>
        <v>#NUM!</v>
      </c>
      <c r="M543" t="e">
        <f t="shared" si="44"/>
        <v>#NUM!</v>
      </c>
      <c r="O543" s="2" t="s">
        <v>548</v>
      </c>
    </row>
    <row r="544" spans="1:15">
      <c r="A544">
        <v>542</v>
      </c>
      <c r="B544">
        <v>100</v>
      </c>
      <c r="C544">
        <v>385</v>
      </c>
      <c r="D544">
        <v>191</v>
      </c>
      <c r="E544">
        <v>254</v>
      </c>
      <c r="G544">
        <f t="shared" si="40"/>
        <v>9.4372817649973628E-3</v>
      </c>
      <c r="H544">
        <f t="shared" si="41"/>
        <v>-0.16505365373196612</v>
      </c>
      <c r="I544">
        <f t="shared" si="42"/>
        <v>-5.0536287928862222E-2</v>
      </c>
      <c r="J544" s="5"/>
      <c r="K544">
        <f t="shared" si="43"/>
        <v>-6.8717553298610332E-2</v>
      </c>
      <c r="M544">
        <f t="shared" si="44"/>
        <v>8.8654895242650134E-2</v>
      </c>
      <c r="O544" s="2" t="s">
        <v>549</v>
      </c>
    </row>
    <row r="545" spans="1:15">
      <c r="A545">
        <v>543</v>
      </c>
      <c r="B545">
        <v>80</v>
      </c>
      <c r="C545">
        <v>2</v>
      </c>
      <c r="D545">
        <v>3</v>
      </c>
      <c r="E545">
        <v>3</v>
      </c>
      <c r="G545">
        <f t="shared" si="40"/>
        <v>-2.1780834390714654</v>
      </c>
      <c r="H545">
        <f t="shared" si="41"/>
        <v>-1.8720557532519748</v>
      </c>
      <c r="I545">
        <f t="shared" si="42"/>
        <v>-1.8813387368210814</v>
      </c>
      <c r="J545" s="5"/>
      <c r="K545">
        <f t="shared" si="43"/>
        <v>-1.9771593097148408</v>
      </c>
      <c r="M545">
        <f t="shared" si="44"/>
        <v>0.17406729378109595</v>
      </c>
      <c r="O545" s="2" t="s">
        <v>550</v>
      </c>
    </row>
    <row r="546" spans="1:15">
      <c r="A546">
        <v>544</v>
      </c>
      <c r="B546">
        <v>79</v>
      </c>
      <c r="C546">
        <v>0</v>
      </c>
      <c r="D546">
        <v>0</v>
      </c>
      <c r="E546">
        <v>0</v>
      </c>
      <c r="G546" t="e">
        <f t="shared" si="40"/>
        <v>#NUM!</v>
      </c>
      <c r="H546" t="e">
        <f t="shared" si="41"/>
        <v>#NUM!</v>
      </c>
      <c r="I546" t="e">
        <f t="shared" si="42"/>
        <v>#NUM!</v>
      </c>
      <c r="J546" s="5"/>
      <c r="K546" t="e">
        <f t="shared" si="43"/>
        <v>#NUM!</v>
      </c>
      <c r="M546" t="e">
        <f t="shared" si="44"/>
        <v>#NUM!</v>
      </c>
      <c r="O546" s="2" t="s">
        <v>551</v>
      </c>
    </row>
    <row r="547" spans="1:15">
      <c r="A547">
        <v>545</v>
      </c>
      <c r="B547">
        <v>51</v>
      </c>
      <c r="C547">
        <v>0</v>
      </c>
      <c r="D547">
        <v>0</v>
      </c>
      <c r="E547">
        <v>0</v>
      </c>
      <c r="G547" t="e">
        <f t="shared" si="40"/>
        <v>#NUM!</v>
      </c>
      <c r="H547" t="e">
        <f t="shared" si="41"/>
        <v>#NUM!</v>
      </c>
      <c r="I547" t="e">
        <f t="shared" si="42"/>
        <v>#NUM!</v>
      </c>
      <c r="J547" s="5"/>
      <c r="K547" t="e">
        <f t="shared" si="43"/>
        <v>#NUM!</v>
      </c>
      <c r="M547" t="e">
        <f t="shared" si="44"/>
        <v>#NUM!</v>
      </c>
      <c r="O547" s="2" t="s">
        <v>552</v>
      </c>
    </row>
    <row r="548" spans="1:15">
      <c r="A548">
        <v>546</v>
      </c>
      <c r="B548">
        <v>90</v>
      </c>
      <c r="C548">
        <v>0</v>
      </c>
      <c r="D548">
        <v>0</v>
      </c>
      <c r="E548">
        <v>4</v>
      </c>
      <c r="G548" t="e">
        <f t="shared" si="40"/>
        <v>#NUM!</v>
      </c>
      <c r="H548" t="e">
        <f t="shared" si="41"/>
        <v>#NUM!</v>
      </c>
      <c r="I548">
        <f t="shared" si="42"/>
        <v>-1.8075525226601628</v>
      </c>
      <c r="J548" s="5"/>
      <c r="K548" t="e">
        <f t="shared" si="43"/>
        <v>#NUM!</v>
      </c>
      <c r="M548" t="e">
        <f t="shared" si="44"/>
        <v>#NUM!</v>
      </c>
      <c r="O548" s="2" t="s">
        <v>553</v>
      </c>
    </row>
    <row r="549" spans="1:15">
      <c r="A549">
        <v>547</v>
      </c>
      <c r="B549">
        <v>170</v>
      </c>
      <c r="C549">
        <v>1</v>
      </c>
      <c r="D549">
        <v>0</v>
      </c>
      <c r="E549">
        <v>1</v>
      </c>
      <c r="G549">
        <f t="shared" si="40"/>
        <v>-2.8064723691217774</v>
      </c>
      <c r="H549" t="e">
        <f t="shared" si="41"/>
        <v>#NUM!</v>
      </c>
      <c r="I549">
        <f t="shared" si="42"/>
        <v>-2.6858189259270744</v>
      </c>
      <c r="J549" s="5"/>
      <c r="K549" t="e">
        <f t="shared" si="43"/>
        <v>#NUM!</v>
      </c>
      <c r="M549" t="e">
        <f t="shared" si="44"/>
        <v>#NUM!</v>
      </c>
      <c r="O549" s="2" t="s">
        <v>554</v>
      </c>
    </row>
    <row r="550" spans="1:15">
      <c r="A550">
        <v>548</v>
      </c>
      <c r="B550">
        <v>213</v>
      </c>
      <c r="C550">
        <v>1</v>
      </c>
      <c r="D550">
        <v>1</v>
      </c>
      <c r="E550">
        <v>1</v>
      </c>
      <c r="G550">
        <f t="shared" si="40"/>
        <v>-2.904403051182241</v>
      </c>
      <c r="H550">
        <f t="shared" si="41"/>
        <v>-2.7744666244184311</v>
      </c>
      <c r="I550">
        <f t="shared" si="42"/>
        <v>-2.7837496079875379</v>
      </c>
      <c r="J550" s="5"/>
      <c r="K550">
        <f t="shared" si="43"/>
        <v>-2.8208730945294036</v>
      </c>
      <c r="M550">
        <f t="shared" si="44"/>
        <v>7.248781752684226E-2</v>
      </c>
      <c r="O550" s="2" t="s">
        <v>555</v>
      </c>
    </row>
    <row r="551" spans="1:15">
      <c r="A551">
        <v>549</v>
      </c>
      <c r="B551">
        <v>92</v>
      </c>
      <c r="C551">
        <v>0</v>
      </c>
      <c r="D551">
        <v>0</v>
      </c>
      <c r="E551">
        <v>1</v>
      </c>
      <c r="G551" t="e">
        <f t="shared" si="40"/>
        <v>#NUM!</v>
      </c>
      <c r="H551" t="e">
        <f t="shared" si="41"/>
        <v>#NUM!</v>
      </c>
      <c r="I551">
        <f t="shared" si="42"/>
        <v>-2.4191578318943554</v>
      </c>
      <c r="J551" s="5"/>
      <c r="K551" t="e">
        <f t="shared" si="43"/>
        <v>#NUM!</v>
      </c>
      <c r="M551" t="e">
        <f t="shared" si="44"/>
        <v>#NUM!</v>
      </c>
      <c r="O551" s="2" t="s">
        <v>556</v>
      </c>
    </row>
    <row r="552" spans="1:15">
      <c r="A552">
        <v>550</v>
      </c>
      <c r="B552">
        <v>161</v>
      </c>
      <c r="C552">
        <v>1</v>
      </c>
      <c r="D552">
        <v>1</v>
      </c>
      <c r="E552">
        <v>1</v>
      </c>
      <c r="G552">
        <f t="shared" si="40"/>
        <v>-2.7828493237753529</v>
      </c>
      <c r="H552">
        <f t="shared" si="41"/>
        <v>-2.652912897011543</v>
      </c>
      <c r="I552">
        <f t="shared" si="42"/>
        <v>-2.6621958805806498</v>
      </c>
      <c r="J552" s="5"/>
      <c r="K552">
        <f t="shared" si="43"/>
        <v>-2.6993193671225151</v>
      </c>
      <c r="M552">
        <f t="shared" si="44"/>
        <v>7.248781752684226E-2</v>
      </c>
      <c r="O552" s="2" t="s">
        <v>557</v>
      </c>
    </row>
    <row r="553" spans="1:15">
      <c r="A553">
        <v>551</v>
      </c>
      <c r="B553">
        <v>323</v>
      </c>
      <c r="C553">
        <v>2</v>
      </c>
      <c r="D553">
        <v>2</v>
      </c>
      <c r="E553">
        <v>4</v>
      </c>
      <c r="G553">
        <f t="shared" si="40"/>
        <v>-2.7841959744106251</v>
      </c>
      <c r="H553">
        <f t="shared" si="41"/>
        <v>-2.6542595476468156</v>
      </c>
      <c r="I553">
        <f t="shared" si="42"/>
        <v>-2.3625125355519407</v>
      </c>
      <c r="J553" s="5"/>
      <c r="K553">
        <f t="shared" si="43"/>
        <v>-2.6003226858697936</v>
      </c>
      <c r="M553">
        <f t="shared" si="44"/>
        <v>0.21595397529493779</v>
      </c>
      <c r="O553" s="2" t="s">
        <v>558</v>
      </c>
    </row>
    <row r="554" spans="1:15">
      <c r="A554">
        <v>552</v>
      </c>
      <c r="B554">
        <v>287</v>
      </c>
      <c r="C554">
        <v>3</v>
      </c>
      <c r="D554">
        <v>3</v>
      </c>
      <c r="E554">
        <v>2</v>
      </c>
      <c r="G554">
        <f t="shared" si="40"/>
        <v>-2.5567840897578331</v>
      </c>
      <c r="H554">
        <f t="shared" si="41"/>
        <v>-2.4268476629940237</v>
      </c>
      <c r="I554">
        <f t="shared" si="42"/>
        <v>-2.6122219056188114</v>
      </c>
      <c r="J554" s="5"/>
      <c r="K554">
        <f t="shared" si="43"/>
        <v>-2.5319512194568894</v>
      </c>
      <c r="M554">
        <f t="shared" si="44"/>
        <v>9.5149388031221915E-2</v>
      </c>
      <c r="O554" s="2" t="s">
        <v>559</v>
      </c>
    </row>
    <row r="555" spans="1:15">
      <c r="A555">
        <v>553</v>
      </c>
      <c r="B555">
        <v>17</v>
      </c>
      <c r="C555">
        <v>0</v>
      </c>
      <c r="D555">
        <v>0</v>
      </c>
      <c r="E555">
        <v>0</v>
      </c>
      <c r="G555" t="e">
        <f t="shared" si="40"/>
        <v>#NUM!</v>
      </c>
      <c r="H555" t="e">
        <f t="shared" si="41"/>
        <v>#NUM!</v>
      </c>
      <c r="I555" t="e">
        <f t="shared" si="42"/>
        <v>#NUM!</v>
      </c>
      <c r="J555" s="5"/>
      <c r="K555" t="e">
        <f t="shared" si="43"/>
        <v>#NUM!</v>
      </c>
      <c r="M555" t="e">
        <f t="shared" si="44"/>
        <v>#NUM!</v>
      </c>
      <c r="O555" s="2" t="s">
        <v>560</v>
      </c>
    </row>
    <row r="556" spans="1:15">
      <c r="A556">
        <v>554</v>
      </c>
      <c r="B556">
        <v>170</v>
      </c>
      <c r="C556">
        <v>1</v>
      </c>
      <c r="D556">
        <v>1</v>
      </c>
      <c r="E556">
        <v>0</v>
      </c>
      <c r="G556">
        <f t="shared" si="40"/>
        <v>-2.8064723691217774</v>
      </c>
      <c r="H556">
        <f t="shared" si="41"/>
        <v>-2.676535942357968</v>
      </c>
      <c r="I556" t="e">
        <f t="shared" si="42"/>
        <v>#NUM!</v>
      </c>
      <c r="J556" s="5"/>
      <c r="K556" t="e">
        <f t="shared" si="43"/>
        <v>#NUM!</v>
      </c>
      <c r="M556" t="e">
        <f t="shared" si="44"/>
        <v>#NUM!</v>
      </c>
      <c r="O556" s="2" t="s">
        <v>561</v>
      </c>
    </row>
    <row r="557" spans="1:15">
      <c r="A557">
        <v>555</v>
      </c>
      <c r="B557">
        <v>428</v>
      </c>
      <c r="C557">
        <v>1</v>
      </c>
      <c r="D557">
        <v>4</v>
      </c>
      <c r="E557">
        <v>2</v>
      </c>
      <c r="G557">
        <f t="shared" si="40"/>
        <v>-3.2074672167566756</v>
      </c>
      <c r="H557">
        <f t="shared" si="41"/>
        <v>-2.4754707986649036</v>
      </c>
      <c r="I557">
        <f t="shared" si="42"/>
        <v>-2.7857837778979913</v>
      </c>
      <c r="J557" s="5"/>
      <c r="K557">
        <f t="shared" si="43"/>
        <v>-2.822907264439857</v>
      </c>
      <c r="M557">
        <f t="shared" si="44"/>
        <v>0.3674075447844854</v>
      </c>
      <c r="O557" s="2" t="s">
        <v>562</v>
      </c>
    </row>
    <row r="558" spans="1:15">
      <c r="A558">
        <v>556</v>
      </c>
      <c r="B558">
        <v>187</v>
      </c>
      <c r="C558">
        <v>0</v>
      </c>
      <c r="D558">
        <v>1</v>
      </c>
      <c r="E558">
        <v>3</v>
      </c>
      <c r="G558" t="e">
        <f t="shared" si="40"/>
        <v>#NUM!</v>
      </c>
      <c r="H558">
        <f t="shared" si="41"/>
        <v>-2.7179286275161925</v>
      </c>
      <c r="I558">
        <f t="shared" si="42"/>
        <v>-2.2500903563656367</v>
      </c>
      <c r="J558" s="5"/>
      <c r="K558" t="e">
        <f t="shared" si="43"/>
        <v>#NUM!</v>
      </c>
      <c r="M558" t="e">
        <f t="shared" si="44"/>
        <v>#NUM!</v>
      </c>
      <c r="O558" s="2" t="s">
        <v>563</v>
      </c>
    </row>
    <row r="559" spans="1:15">
      <c r="A559">
        <v>557</v>
      </c>
      <c r="B559">
        <v>161</v>
      </c>
      <c r="C559">
        <v>1</v>
      </c>
      <c r="D559">
        <v>1</v>
      </c>
      <c r="E559">
        <v>2</v>
      </c>
      <c r="G559">
        <f t="shared" si="40"/>
        <v>-2.7828493237753529</v>
      </c>
      <c r="H559">
        <f t="shared" si="41"/>
        <v>-2.652912897011543</v>
      </c>
      <c r="I559">
        <f t="shared" si="42"/>
        <v>-2.3611658849166686</v>
      </c>
      <c r="J559" s="5"/>
      <c r="K559">
        <f t="shared" si="43"/>
        <v>-2.5989760352345215</v>
      </c>
      <c r="M559">
        <f t="shared" si="44"/>
        <v>0.21595397529493773</v>
      </c>
      <c r="O559" s="2" t="s">
        <v>564</v>
      </c>
    </row>
    <row r="560" spans="1:15">
      <c r="A560">
        <v>558</v>
      </c>
      <c r="B560">
        <v>216</v>
      </c>
      <c r="C560">
        <v>3</v>
      </c>
      <c r="D560">
        <v>1</v>
      </c>
      <c r="E560">
        <v>0</v>
      </c>
      <c r="G560">
        <f t="shared" si="40"/>
        <v>-2.4333559441747719</v>
      </c>
      <c r="H560">
        <f t="shared" si="41"/>
        <v>-2.7805407721306246</v>
      </c>
      <c r="I560" t="e">
        <f t="shared" si="42"/>
        <v>#NUM!</v>
      </c>
      <c r="J560" s="5"/>
      <c r="K560" t="e">
        <f t="shared" si="43"/>
        <v>#NUM!</v>
      </c>
      <c r="M560" t="e">
        <f t="shared" si="44"/>
        <v>#NUM!</v>
      </c>
      <c r="O560" s="2" t="s">
        <v>565</v>
      </c>
    </row>
    <row r="561" spans="1:15">
      <c r="A561">
        <v>559</v>
      </c>
      <c r="B561">
        <v>144</v>
      </c>
      <c r="C561">
        <v>1</v>
      </c>
      <c r="D561">
        <v>1</v>
      </c>
      <c r="E561">
        <v>1</v>
      </c>
      <c r="G561">
        <f t="shared" si="40"/>
        <v>-2.7343859398387531</v>
      </c>
      <c r="H561">
        <f t="shared" si="41"/>
        <v>-2.6044495130749432</v>
      </c>
      <c r="I561">
        <f t="shared" si="42"/>
        <v>-2.6137324966440501</v>
      </c>
      <c r="J561" s="5"/>
      <c r="K561">
        <f t="shared" si="43"/>
        <v>-2.6508559831859153</v>
      </c>
      <c r="M561">
        <f t="shared" si="44"/>
        <v>7.248781752684226E-2</v>
      </c>
      <c r="O561" s="2" t="s">
        <v>566</v>
      </c>
    </row>
    <row r="562" spans="1:15">
      <c r="A562">
        <v>560</v>
      </c>
      <c r="B562">
        <v>304</v>
      </c>
      <c r="C562">
        <v>3</v>
      </c>
      <c r="D562">
        <v>2</v>
      </c>
      <c r="E562">
        <v>3</v>
      </c>
      <c r="G562">
        <f t="shared" si="40"/>
        <v>-2.5817757766325946</v>
      </c>
      <c r="H562">
        <f t="shared" si="41"/>
        <v>-2.6279306089244665</v>
      </c>
      <c r="I562">
        <f t="shared" si="42"/>
        <v>-2.4611223334378916</v>
      </c>
      <c r="J562" s="5"/>
      <c r="K562">
        <f t="shared" si="43"/>
        <v>-2.5569429063316509</v>
      </c>
      <c r="M562">
        <f t="shared" si="44"/>
        <v>8.6132187817556854E-2</v>
      </c>
      <c r="O562" s="2" t="s">
        <v>567</v>
      </c>
    </row>
    <row r="563" spans="1:15">
      <c r="A563">
        <v>561</v>
      </c>
      <c r="B563">
        <v>95</v>
      </c>
      <c r="C563">
        <v>2</v>
      </c>
      <c r="D563">
        <v>1</v>
      </c>
      <c r="E563">
        <v>1</v>
      </c>
      <c r="G563">
        <f t="shared" si="40"/>
        <v>-2.2527170573683701</v>
      </c>
      <c r="H563">
        <f t="shared" si="41"/>
        <v>-2.4238106262685415</v>
      </c>
      <c r="I563">
        <f t="shared" si="42"/>
        <v>-2.4330936098376483</v>
      </c>
      <c r="J563" s="5"/>
      <c r="K563">
        <f t="shared" si="43"/>
        <v>-2.36987376449152</v>
      </c>
      <c r="M563">
        <f t="shared" si="44"/>
        <v>0.10156679557779062</v>
      </c>
      <c r="O563" s="2" t="s">
        <v>568</v>
      </c>
    </row>
    <row r="564" spans="1:15">
      <c r="A564">
        <v>562</v>
      </c>
      <c r="B564">
        <v>25</v>
      </c>
      <c r="C564">
        <v>0</v>
      </c>
      <c r="D564">
        <v>0</v>
      </c>
      <c r="E564">
        <v>0</v>
      </c>
      <c r="G564" t="e">
        <f t="shared" si="40"/>
        <v>#NUM!</v>
      </c>
      <c r="H564" t="e">
        <f t="shared" si="41"/>
        <v>#NUM!</v>
      </c>
      <c r="I564" t="e">
        <f t="shared" si="42"/>
        <v>#NUM!</v>
      </c>
      <c r="J564" s="5"/>
      <c r="K564" t="e">
        <f t="shared" si="43"/>
        <v>#NUM!</v>
      </c>
      <c r="M564" t="e">
        <f t="shared" si="44"/>
        <v>#NUM!</v>
      </c>
      <c r="O564" s="2" t="s">
        <v>569</v>
      </c>
    </row>
    <row r="565" spans="1:15">
      <c r="A565">
        <v>563</v>
      </c>
      <c r="B565">
        <v>96</v>
      </c>
      <c r="C565">
        <v>1</v>
      </c>
      <c r="D565">
        <v>1</v>
      </c>
      <c r="E565">
        <v>1</v>
      </c>
      <c r="G565">
        <f t="shared" si="40"/>
        <v>-2.5582946807830718</v>
      </c>
      <c r="H565">
        <f t="shared" si="41"/>
        <v>-2.4283582540192619</v>
      </c>
      <c r="I565">
        <f t="shared" si="42"/>
        <v>-2.4376412375883687</v>
      </c>
      <c r="J565" s="5"/>
      <c r="K565">
        <f t="shared" si="43"/>
        <v>-2.474764724130234</v>
      </c>
      <c r="M565">
        <f t="shared" si="44"/>
        <v>7.248781752684226E-2</v>
      </c>
      <c r="O565" s="2" t="s">
        <v>570</v>
      </c>
    </row>
    <row r="566" spans="1:15">
      <c r="A566">
        <v>564</v>
      </c>
      <c r="B566">
        <v>17</v>
      </c>
      <c r="C566">
        <v>0</v>
      </c>
      <c r="D566">
        <v>0</v>
      </c>
      <c r="E566">
        <v>0</v>
      </c>
      <c r="G566" t="e">
        <f t="shared" si="40"/>
        <v>#NUM!</v>
      </c>
      <c r="H566" t="e">
        <f t="shared" si="41"/>
        <v>#NUM!</v>
      </c>
      <c r="I566" t="e">
        <f t="shared" si="42"/>
        <v>#NUM!</v>
      </c>
      <c r="J566" s="5"/>
      <c r="K566" t="e">
        <f t="shared" si="43"/>
        <v>#NUM!</v>
      </c>
      <c r="M566" t="e">
        <f t="shared" si="44"/>
        <v>#NUM!</v>
      </c>
      <c r="O566" s="2" t="s">
        <v>571</v>
      </c>
    </row>
    <row r="567" spans="1:15">
      <c r="A567">
        <v>565</v>
      </c>
      <c r="B567">
        <v>251</v>
      </c>
      <c r="C567">
        <v>3</v>
      </c>
      <c r="D567">
        <v>0</v>
      </c>
      <c r="E567">
        <v>1</v>
      </c>
      <c r="G567">
        <f t="shared" si="40"/>
        <v>-2.4985759145048791</v>
      </c>
      <c r="H567" t="e">
        <f t="shared" si="41"/>
        <v>#NUM!</v>
      </c>
      <c r="I567">
        <f t="shared" si="42"/>
        <v>-2.8550437260298382</v>
      </c>
      <c r="J567" s="5"/>
      <c r="K567" t="e">
        <f t="shared" si="43"/>
        <v>#NUM!</v>
      </c>
      <c r="M567" t="e">
        <f t="shared" si="44"/>
        <v>#NUM!</v>
      </c>
      <c r="O567" s="2" t="s">
        <v>572</v>
      </c>
    </row>
    <row r="568" spans="1:15">
      <c r="A568">
        <v>566</v>
      </c>
      <c r="B568">
        <v>350</v>
      </c>
      <c r="C568">
        <v>3</v>
      </c>
      <c r="D568">
        <v>2</v>
      </c>
      <c r="E568">
        <v>3</v>
      </c>
      <c r="G568">
        <f t="shared" si="40"/>
        <v>-2.6429702373741164</v>
      </c>
      <c r="H568">
        <f t="shared" si="41"/>
        <v>-2.6891250696659883</v>
      </c>
      <c r="I568">
        <f t="shared" si="42"/>
        <v>-2.5223167941794133</v>
      </c>
      <c r="J568" s="5"/>
      <c r="K568">
        <f t="shared" si="43"/>
        <v>-2.6181373670731727</v>
      </c>
      <c r="M568">
        <f t="shared" si="44"/>
        <v>8.6132187817556854E-2</v>
      </c>
      <c r="O568" s="2" t="s">
        <v>573</v>
      </c>
    </row>
    <row r="569" spans="1:15">
      <c r="A569">
        <v>567</v>
      </c>
      <c r="B569">
        <v>11</v>
      </c>
      <c r="C569">
        <v>0</v>
      </c>
      <c r="D569">
        <v>0</v>
      </c>
      <c r="E569">
        <v>1</v>
      </c>
      <c r="G569" t="e">
        <f t="shared" si="40"/>
        <v>#NUM!</v>
      </c>
      <c r="H569" t="e">
        <f t="shared" si="41"/>
        <v>#NUM!</v>
      </c>
      <c r="I569">
        <f t="shared" si="42"/>
        <v>-1.4967626897070252</v>
      </c>
      <c r="J569" s="5"/>
      <c r="K569" t="e">
        <f t="shared" si="43"/>
        <v>#NUM!</v>
      </c>
      <c r="M569" t="e">
        <f t="shared" si="44"/>
        <v>#NUM!</v>
      </c>
      <c r="O569" s="2" t="s">
        <v>574</v>
      </c>
    </row>
    <row r="570" spans="1:15">
      <c r="A570">
        <v>568</v>
      </c>
      <c r="B570">
        <v>201</v>
      </c>
      <c r="C570">
        <v>1</v>
      </c>
      <c r="D570">
        <v>3</v>
      </c>
      <c r="E570">
        <v>1</v>
      </c>
      <c r="G570">
        <f t="shared" si="40"/>
        <v>-2.8792195051639924</v>
      </c>
      <c r="H570">
        <f t="shared" si="41"/>
        <v>-2.2721618236805199</v>
      </c>
      <c r="I570">
        <f t="shared" si="42"/>
        <v>-2.7585660619692893</v>
      </c>
      <c r="J570" s="5"/>
      <c r="K570">
        <f t="shared" si="43"/>
        <v>-2.6366491302712673</v>
      </c>
      <c r="M570">
        <f t="shared" si="44"/>
        <v>0.32136826358247861</v>
      </c>
      <c r="O570" s="2" t="s">
        <v>575</v>
      </c>
    </row>
    <row r="571" spans="1:15">
      <c r="A571">
        <v>569</v>
      </c>
      <c r="B571">
        <v>44</v>
      </c>
      <c r="C571">
        <v>1</v>
      </c>
      <c r="D571">
        <v>1</v>
      </c>
      <c r="E571">
        <v>0</v>
      </c>
      <c r="G571">
        <f t="shared" si="40"/>
        <v>-2.2194761242296908</v>
      </c>
      <c r="H571">
        <f t="shared" si="41"/>
        <v>-2.0895396974658809</v>
      </c>
      <c r="I571" t="e">
        <f t="shared" si="42"/>
        <v>#NUM!</v>
      </c>
      <c r="J571" s="5"/>
      <c r="K571" t="e">
        <f t="shared" si="43"/>
        <v>#NUM!</v>
      </c>
      <c r="M571" t="e">
        <f t="shared" si="44"/>
        <v>#NUM!</v>
      </c>
      <c r="O571" s="2" t="s">
        <v>576</v>
      </c>
    </row>
    <row r="572" spans="1:15">
      <c r="A572">
        <v>570</v>
      </c>
      <c r="B572">
        <v>141</v>
      </c>
      <c r="C572">
        <v>1</v>
      </c>
      <c r="D572">
        <v>1</v>
      </c>
      <c r="E572">
        <v>0</v>
      </c>
      <c r="G572">
        <f t="shared" si="40"/>
        <v>-2.7252425603988835</v>
      </c>
      <c r="H572">
        <f t="shared" si="41"/>
        <v>-2.5953061336350736</v>
      </c>
      <c r="I572" t="e">
        <f t="shared" si="42"/>
        <v>#NUM!</v>
      </c>
      <c r="J572" s="5"/>
      <c r="K572" t="e">
        <f t="shared" si="43"/>
        <v>#NUM!</v>
      </c>
      <c r="M572" t="e">
        <f t="shared" si="44"/>
        <v>#NUM!</v>
      </c>
      <c r="O572" s="2" t="s">
        <v>577</v>
      </c>
    </row>
    <row r="573" spans="1:15">
      <c r="A573">
        <v>571</v>
      </c>
      <c r="B573">
        <v>114</v>
      </c>
      <c r="C573">
        <v>0</v>
      </c>
      <c r="D573">
        <v>0</v>
      </c>
      <c r="E573">
        <v>1</v>
      </c>
      <c r="G573" t="e">
        <f t="shared" si="40"/>
        <v>#NUM!</v>
      </c>
      <c r="H573" t="e">
        <f t="shared" si="41"/>
        <v>#NUM!</v>
      </c>
      <c r="I573">
        <f t="shared" si="42"/>
        <v>-2.512274855885273</v>
      </c>
      <c r="J573" s="5"/>
      <c r="K573" t="e">
        <f t="shared" si="43"/>
        <v>#NUM!</v>
      </c>
      <c r="M573" t="e">
        <f t="shared" si="44"/>
        <v>#NUM!</v>
      </c>
      <c r="O573" s="2" t="s">
        <v>578</v>
      </c>
    </row>
    <row r="574" spans="1:15">
      <c r="A574">
        <v>572</v>
      </c>
      <c r="B574">
        <v>23</v>
      </c>
      <c r="C574">
        <v>0</v>
      </c>
      <c r="D574">
        <v>0</v>
      </c>
      <c r="E574">
        <v>0</v>
      </c>
      <c r="G574" t="e">
        <f t="shared" si="40"/>
        <v>#NUM!</v>
      </c>
      <c r="H574" t="e">
        <f t="shared" si="41"/>
        <v>#NUM!</v>
      </c>
      <c r="I574" t="e">
        <f t="shared" si="42"/>
        <v>#NUM!</v>
      </c>
      <c r="J574" s="5"/>
      <c r="K574" t="e">
        <f t="shared" si="43"/>
        <v>#NUM!</v>
      </c>
      <c r="M574" t="e">
        <f t="shared" si="44"/>
        <v>#NUM!</v>
      </c>
      <c r="O574" s="2" t="s">
        <v>579</v>
      </c>
    </row>
    <row r="575" spans="1:15">
      <c r="A575">
        <v>573</v>
      </c>
      <c r="B575">
        <v>113</v>
      </c>
      <c r="C575">
        <v>0</v>
      </c>
      <c r="D575">
        <v>2</v>
      </c>
      <c r="E575">
        <v>2</v>
      </c>
      <c r="G575" t="e">
        <f t="shared" si="40"/>
        <v>#NUM!</v>
      </c>
      <c r="H575">
        <f t="shared" si="41"/>
        <v>-2.1981354687991321</v>
      </c>
      <c r="I575">
        <f t="shared" si="42"/>
        <v>-2.2074184523682385</v>
      </c>
      <c r="J575" s="5"/>
      <c r="K575" t="e">
        <f t="shared" si="43"/>
        <v>#NUM!</v>
      </c>
      <c r="M575" t="e">
        <f t="shared" si="44"/>
        <v>#NUM!</v>
      </c>
      <c r="O575" s="2" t="s">
        <v>580</v>
      </c>
    </row>
    <row r="576" spans="1:15">
      <c r="A576">
        <v>574</v>
      </c>
      <c r="B576">
        <v>137</v>
      </c>
      <c r="C576">
        <v>2</v>
      </c>
      <c r="D576">
        <v>1</v>
      </c>
      <c r="E576">
        <v>2</v>
      </c>
      <c r="G576">
        <f t="shared" si="40"/>
        <v>-2.4117140192359292</v>
      </c>
      <c r="H576">
        <f t="shared" si="41"/>
        <v>-2.5828075881361006</v>
      </c>
      <c r="I576">
        <f t="shared" si="42"/>
        <v>-2.2910605760412261</v>
      </c>
      <c r="J576" s="5"/>
      <c r="K576">
        <f t="shared" si="43"/>
        <v>-2.4285273944710855</v>
      </c>
      <c r="M576">
        <f t="shared" si="44"/>
        <v>0.14659842071683557</v>
      </c>
      <c r="O576" s="2" t="s">
        <v>581</v>
      </c>
    </row>
    <row r="577" spans="1:15">
      <c r="A577">
        <v>575</v>
      </c>
      <c r="B577">
        <v>67</v>
      </c>
      <c r="C577">
        <v>0</v>
      </c>
      <c r="D577">
        <v>1</v>
      </c>
      <c r="E577">
        <v>1</v>
      </c>
      <c r="G577" t="e">
        <f t="shared" si="40"/>
        <v>#NUM!</v>
      </c>
      <c r="H577">
        <f t="shared" si="41"/>
        <v>-2.2721618236805199</v>
      </c>
      <c r="I577">
        <f t="shared" si="42"/>
        <v>-2.2814448072496267</v>
      </c>
      <c r="J577" s="5"/>
      <c r="K577" t="e">
        <f t="shared" si="43"/>
        <v>#NUM!</v>
      </c>
      <c r="M577" t="e">
        <f t="shared" si="44"/>
        <v>#NUM!</v>
      </c>
      <c r="O577" s="2" t="s">
        <v>582</v>
      </c>
    </row>
    <row r="578" spans="1:15">
      <c r="A578">
        <v>576</v>
      </c>
      <c r="B578">
        <v>86</v>
      </c>
      <c r="C578">
        <v>2</v>
      </c>
      <c r="D578">
        <v>1</v>
      </c>
      <c r="E578">
        <v>0</v>
      </c>
      <c r="G578">
        <f t="shared" ref="G578:G641" si="45">LOG10(C578/B578)-LOG10(437/116)</f>
        <v>-2.20949190332309</v>
      </c>
      <c r="H578">
        <f t="shared" ref="H578:H641" si="46">LOG10(D578/B578)-LOG10(324/116)</f>
        <v>-2.3805854722232613</v>
      </c>
      <c r="I578" t="e">
        <f t="shared" ref="I578:I641" si="47">LOG10(E578/B578)-LOG10(331/116)</f>
        <v>#NUM!</v>
      </c>
      <c r="J578" s="5"/>
      <c r="K578" t="e">
        <f t="shared" ref="K578:K641" si="48">AVERAGE(G578:I578)</f>
        <v>#NUM!</v>
      </c>
      <c r="M578" t="e">
        <f t="shared" ref="M578:M641" si="49">STDEV(G578:I578)</f>
        <v>#NUM!</v>
      </c>
      <c r="O578" s="2" t="s">
        <v>583</v>
      </c>
    </row>
    <row r="579" spans="1:15">
      <c r="A579">
        <v>577</v>
      </c>
      <c r="B579">
        <v>206</v>
      </c>
      <c r="C579">
        <v>2</v>
      </c>
      <c r="D579">
        <v>0</v>
      </c>
      <c r="E579">
        <v>2</v>
      </c>
      <c r="G579">
        <f t="shared" si="45"/>
        <v>-2.5888606724486758</v>
      </c>
      <c r="H579" t="e">
        <f t="shared" si="46"/>
        <v>#NUM!</v>
      </c>
      <c r="I579">
        <f t="shared" si="47"/>
        <v>-2.4682072292539727</v>
      </c>
      <c r="J579" s="5"/>
      <c r="K579" t="e">
        <f t="shared" si="48"/>
        <v>#NUM!</v>
      </c>
      <c r="M579" t="e">
        <f t="shared" si="49"/>
        <v>#NUM!</v>
      </c>
      <c r="O579" s="2" t="s">
        <v>584</v>
      </c>
    </row>
    <row r="580" spans="1:15">
      <c r="A580">
        <v>578</v>
      </c>
      <c r="B580">
        <v>68</v>
      </c>
      <c r="C580">
        <v>0</v>
      </c>
      <c r="D580">
        <v>0</v>
      </c>
      <c r="E580">
        <v>1</v>
      </c>
      <c r="G580" t="e">
        <f t="shared" si="45"/>
        <v>#NUM!</v>
      </c>
      <c r="H580" t="e">
        <f t="shared" si="46"/>
        <v>#NUM!</v>
      </c>
      <c r="I580">
        <f t="shared" si="47"/>
        <v>-2.2878789172550364</v>
      </c>
      <c r="J580" s="5"/>
      <c r="K580" t="e">
        <f t="shared" si="48"/>
        <v>#NUM!</v>
      </c>
      <c r="M580" t="e">
        <f t="shared" si="49"/>
        <v>#NUM!</v>
      </c>
      <c r="O580" s="2" t="s">
        <v>585</v>
      </c>
    </row>
    <row r="581" spans="1:15">
      <c r="A581">
        <v>579</v>
      </c>
      <c r="B581">
        <v>131</v>
      </c>
      <c r="C581">
        <v>4</v>
      </c>
      <c r="D581">
        <v>4</v>
      </c>
      <c r="E581">
        <v>4</v>
      </c>
      <c r="G581">
        <f t="shared" si="45"/>
        <v>-2.0912347520713053</v>
      </c>
      <c r="H581">
        <f t="shared" si="46"/>
        <v>-1.9612983253074956</v>
      </c>
      <c r="I581">
        <f t="shared" si="47"/>
        <v>-1.9705813088766022</v>
      </c>
      <c r="J581" s="5"/>
      <c r="K581">
        <f t="shared" si="48"/>
        <v>-2.0077047954184675</v>
      </c>
      <c r="M581">
        <f t="shared" si="49"/>
        <v>7.2487817526842191E-2</v>
      </c>
      <c r="O581" s="2" t="s">
        <v>586</v>
      </c>
    </row>
    <row r="582" spans="1:15">
      <c r="A582">
        <v>580</v>
      </c>
      <c r="B582">
        <v>73</v>
      </c>
      <c r="C582">
        <v>0</v>
      </c>
      <c r="D582">
        <v>0</v>
      </c>
      <c r="E582">
        <v>0</v>
      </c>
      <c r="G582" t="e">
        <f t="shared" si="45"/>
        <v>#NUM!</v>
      </c>
      <c r="H582" t="e">
        <f t="shared" si="46"/>
        <v>#NUM!</v>
      </c>
      <c r="I582" t="e">
        <f t="shared" si="47"/>
        <v>#NUM!</v>
      </c>
      <c r="J582" s="5"/>
      <c r="K582" t="e">
        <f t="shared" si="48"/>
        <v>#NUM!</v>
      </c>
      <c r="M582" t="e">
        <f t="shared" si="49"/>
        <v>#NUM!</v>
      </c>
      <c r="O582" s="2" t="s">
        <v>587</v>
      </c>
    </row>
    <row r="583" spans="1:15">
      <c r="A583">
        <v>581</v>
      </c>
      <c r="B583">
        <v>52</v>
      </c>
      <c r="C583">
        <v>1</v>
      </c>
      <c r="D583">
        <v>0</v>
      </c>
      <c r="E583">
        <v>1</v>
      </c>
      <c r="G583">
        <f t="shared" si="45"/>
        <v>-2.2920267913783023</v>
      </c>
      <c r="H583" t="e">
        <f t="shared" si="46"/>
        <v>#NUM!</v>
      </c>
      <c r="I583">
        <f t="shared" si="47"/>
        <v>-2.1713733481835993</v>
      </c>
      <c r="J583" s="5"/>
      <c r="K583" t="e">
        <f t="shared" si="48"/>
        <v>#NUM!</v>
      </c>
      <c r="M583" t="e">
        <f t="shared" si="49"/>
        <v>#NUM!</v>
      </c>
      <c r="O583" s="2" t="s">
        <v>588</v>
      </c>
    </row>
    <row r="584" spans="1:15">
      <c r="A584">
        <v>582</v>
      </c>
      <c r="B584">
        <v>27</v>
      </c>
      <c r="C584">
        <v>1</v>
      </c>
      <c r="D584">
        <v>0</v>
      </c>
      <c r="E584">
        <v>1</v>
      </c>
      <c r="G584">
        <f t="shared" si="45"/>
        <v>-2.0073872119024907</v>
      </c>
      <c r="H584" t="e">
        <f t="shared" si="46"/>
        <v>#NUM!</v>
      </c>
      <c r="I584">
        <f t="shared" si="47"/>
        <v>-1.8867337687077876</v>
      </c>
      <c r="J584" s="5"/>
      <c r="K584" t="e">
        <f t="shared" si="48"/>
        <v>#NUM!</v>
      </c>
      <c r="M584" t="e">
        <f t="shared" si="49"/>
        <v>#NUM!</v>
      </c>
      <c r="O584" s="2" t="s">
        <v>589</v>
      </c>
    </row>
    <row r="585" spans="1:15">
      <c r="A585">
        <v>583</v>
      </c>
      <c r="B585">
        <v>119</v>
      </c>
      <c r="C585">
        <v>0</v>
      </c>
      <c r="D585">
        <v>0</v>
      </c>
      <c r="E585">
        <v>0</v>
      </c>
      <c r="G585" t="e">
        <f t="shared" si="45"/>
        <v>#NUM!</v>
      </c>
      <c r="H585" t="e">
        <f t="shared" si="46"/>
        <v>#NUM!</v>
      </c>
      <c r="I585" t="e">
        <f t="shared" si="47"/>
        <v>#NUM!</v>
      </c>
      <c r="J585" s="5"/>
      <c r="K585" t="e">
        <f t="shared" si="48"/>
        <v>#NUM!</v>
      </c>
      <c r="M585" t="e">
        <f t="shared" si="49"/>
        <v>#NUM!</v>
      </c>
      <c r="O585" s="2" t="s">
        <v>590</v>
      </c>
    </row>
    <row r="586" spans="1:15">
      <c r="A586">
        <v>584</v>
      </c>
      <c r="B586">
        <v>343</v>
      </c>
      <c r="C586">
        <v>6</v>
      </c>
      <c r="D586">
        <v>0</v>
      </c>
      <c r="E586">
        <v>2</v>
      </c>
      <c r="G586">
        <f t="shared" si="45"/>
        <v>-2.3331663174026303</v>
      </c>
      <c r="H586" t="e">
        <f t="shared" si="46"/>
        <v>#NUM!</v>
      </c>
      <c r="I586">
        <f t="shared" si="47"/>
        <v>-2.6896341289275898</v>
      </c>
      <c r="J586" s="5"/>
      <c r="K586" t="e">
        <f t="shared" si="48"/>
        <v>#NUM!</v>
      </c>
      <c r="M586" t="e">
        <f t="shared" si="49"/>
        <v>#NUM!</v>
      </c>
      <c r="O586" s="2" t="s">
        <v>591</v>
      </c>
    </row>
    <row r="587" spans="1:15">
      <c r="A587">
        <v>585</v>
      </c>
      <c r="B587">
        <v>47</v>
      </c>
      <c r="C587">
        <v>1</v>
      </c>
      <c r="D587">
        <v>0</v>
      </c>
      <c r="E587">
        <v>1</v>
      </c>
      <c r="G587">
        <f t="shared" si="45"/>
        <v>-2.2481213056792209</v>
      </c>
      <c r="H587" t="e">
        <f t="shared" si="46"/>
        <v>#NUM!</v>
      </c>
      <c r="I587">
        <f t="shared" si="47"/>
        <v>-2.1274678624845178</v>
      </c>
      <c r="J587" s="5"/>
      <c r="K587" t="e">
        <f t="shared" si="48"/>
        <v>#NUM!</v>
      </c>
      <c r="M587" t="e">
        <f t="shared" si="49"/>
        <v>#NUM!</v>
      </c>
      <c r="O587" s="2" t="s">
        <v>592</v>
      </c>
    </row>
    <row r="588" spans="1:15">
      <c r="A588">
        <v>586</v>
      </c>
      <c r="B588">
        <v>243</v>
      </c>
      <c r="C588">
        <v>2</v>
      </c>
      <c r="D588">
        <v>1</v>
      </c>
      <c r="E588">
        <v>1</v>
      </c>
      <c r="G588">
        <f t="shared" si="45"/>
        <v>-2.6605997256778342</v>
      </c>
      <c r="H588">
        <f t="shared" si="46"/>
        <v>-2.831693294578006</v>
      </c>
      <c r="I588">
        <f t="shared" si="47"/>
        <v>-2.8409762781471124</v>
      </c>
      <c r="J588" s="5"/>
      <c r="K588">
        <f t="shared" si="48"/>
        <v>-2.7777564328009841</v>
      </c>
      <c r="M588">
        <f t="shared" si="49"/>
        <v>0.10156679557779075</v>
      </c>
      <c r="O588" s="2" t="s">
        <v>593</v>
      </c>
    </row>
    <row r="589" spans="1:15">
      <c r="A589">
        <v>587</v>
      </c>
      <c r="B589">
        <v>159</v>
      </c>
      <c r="C589">
        <v>0</v>
      </c>
      <c r="D589">
        <v>2</v>
      </c>
      <c r="E589">
        <v>2</v>
      </c>
      <c r="G589" t="e">
        <f t="shared" si="45"/>
        <v>#NUM!</v>
      </c>
      <c r="H589">
        <f t="shared" si="46"/>
        <v>-2.3464541496361639</v>
      </c>
      <c r="I589">
        <f t="shared" si="47"/>
        <v>-2.3557371332052703</v>
      </c>
      <c r="J589" s="5"/>
      <c r="K589" t="e">
        <f t="shared" si="48"/>
        <v>#NUM!</v>
      </c>
      <c r="M589" t="e">
        <f t="shared" si="49"/>
        <v>#NUM!</v>
      </c>
      <c r="O589" s="2" t="s">
        <v>594</v>
      </c>
    </row>
    <row r="590" spans="1:15">
      <c r="A590">
        <v>588</v>
      </c>
      <c r="B590">
        <v>97</v>
      </c>
      <c r="C590">
        <v>2</v>
      </c>
      <c r="D590">
        <v>1</v>
      </c>
      <c r="E590">
        <v>0</v>
      </c>
      <c r="G590">
        <f t="shared" si="45"/>
        <v>-2.2617651863457668</v>
      </c>
      <c r="H590">
        <f t="shared" si="46"/>
        <v>-2.4328587552459382</v>
      </c>
      <c r="I590" t="e">
        <f t="shared" si="47"/>
        <v>#NUM!</v>
      </c>
      <c r="J590" s="5"/>
      <c r="K590" t="e">
        <f t="shared" si="48"/>
        <v>#NUM!</v>
      </c>
      <c r="M590" t="e">
        <f t="shared" si="49"/>
        <v>#NUM!</v>
      </c>
      <c r="O590" s="2" t="s">
        <v>595</v>
      </c>
    </row>
    <row r="591" spans="1:15">
      <c r="A591">
        <v>589</v>
      </c>
      <c r="B591">
        <v>163</v>
      </c>
      <c r="C591">
        <v>0</v>
      </c>
      <c r="D591">
        <v>2</v>
      </c>
      <c r="E591">
        <v>1</v>
      </c>
      <c r="G591" t="e">
        <f t="shared" si="45"/>
        <v>#NUM!</v>
      </c>
      <c r="H591">
        <f t="shared" si="46"/>
        <v>-2.3572446297196703</v>
      </c>
      <c r="I591">
        <f t="shared" si="47"/>
        <v>-2.667557608952758</v>
      </c>
      <c r="J591" s="5"/>
      <c r="K591" t="e">
        <f t="shared" si="48"/>
        <v>#NUM!</v>
      </c>
      <c r="M591" t="e">
        <f t="shared" si="49"/>
        <v>#NUM!</v>
      </c>
      <c r="O591" s="2" t="s">
        <v>596</v>
      </c>
    </row>
    <row r="592" spans="1:15">
      <c r="A592">
        <v>590</v>
      </c>
      <c r="B592">
        <v>438</v>
      </c>
      <c r="C592">
        <v>3</v>
      </c>
      <c r="D592">
        <v>6</v>
      </c>
      <c r="E592">
        <v>3</v>
      </c>
      <c r="G592">
        <f t="shared" si="45"/>
        <v>-2.7403763035279405</v>
      </c>
      <c r="H592">
        <f t="shared" si="46"/>
        <v>-2.3094098811001498</v>
      </c>
      <c r="I592">
        <f t="shared" si="47"/>
        <v>-2.6197228603332374</v>
      </c>
      <c r="J592" s="5"/>
      <c r="K592">
        <f t="shared" si="48"/>
        <v>-2.5565030149871091</v>
      </c>
      <c r="M592">
        <f t="shared" si="49"/>
        <v>0.22232988091852052</v>
      </c>
      <c r="O592" s="2" t="s">
        <v>597</v>
      </c>
    </row>
    <row r="593" spans="1:15">
      <c r="A593">
        <v>591</v>
      </c>
      <c r="B593">
        <v>463</v>
      </c>
      <c r="C593">
        <v>2</v>
      </c>
      <c r="D593">
        <v>3</v>
      </c>
      <c r="E593">
        <v>1</v>
      </c>
      <c r="G593">
        <f t="shared" si="45"/>
        <v>-2.9405744430974754</v>
      </c>
      <c r="H593">
        <f t="shared" si="46"/>
        <v>-2.6345467572779846</v>
      </c>
      <c r="I593">
        <f t="shared" si="47"/>
        <v>-3.1209509955667536</v>
      </c>
      <c r="J593" s="5"/>
      <c r="K593">
        <f t="shared" si="48"/>
        <v>-2.8986907319807376</v>
      </c>
      <c r="M593">
        <f t="shared" si="49"/>
        <v>0.24589216071075168</v>
      </c>
      <c r="O593" s="2" t="s">
        <v>598</v>
      </c>
    </row>
    <row r="594" spans="1:15">
      <c r="A594">
        <v>592</v>
      </c>
      <c r="B594">
        <v>121</v>
      </c>
      <c r="C594">
        <v>1</v>
      </c>
      <c r="D594">
        <v>1</v>
      </c>
      <c r="E594">
        <v>3</v>
      </c>
      <c r="G594">
        <f t="shared" si="45"/>
        <v>-2.6588088180599536</v>
      </c>
      <c r="H594">
        <f t="shared" si="46"/>
        <v>-2.5288723912961437</v>
      </c>
      <c r="I594">
        <f t="shared" si="47"/>
        <v>-2.061034120145588</v>
      </c>
      <c r="J594" s="5"/>
      <c r="K594">
        <f t="shared" si="48"/>
        <v>-2.4162384431672286</v>
      </c>
      <c r="M594">
        <f t="shared" si="49"/>
        <v>0.31440173674772137</v>
      </c>
      <c r="O594" s="2" t="s">
        <v>599</v>
      </c>
    </row>
    <row r="595" spans="1:15">
      <c r="A595">
        <v>593</v>
      </c>
      <c r="B595">
        <v>438</v>
      </c>
      <c r="C595">
        <v>3</v>
      </c>
      <c r="D595">
        <v>1</v>
      </c>
      <c r="E595">
        <v>7</v>
      </c>
      <c r="G595">
        <f t="shared" si="45"/>
        <v>-2.7403763035279405</v>
      </c>
      <c r="H595">
        <f t="shared" si="46"/>
        <v>-3.0875611314837936</v>
      </c>
      <c r="I595">
        <f t="shared" si="47"/>
        <v>-2.2517460750386431</v>
      </c>
      <c r="J595" s="5"/>
      <c r="K595">
        <f t="shared" si="48"/>
        <v>-2.6932278366834588</v>
      </c>
      <c r="M595">
        <f t="shared" si="49"/>
        <v>0.41989752986823198</v>
      </c>
      <c r="O595" s="2" t="s">
        <v>600</v>
      </c>
    </row>
    <row r="596" spans="1:15">
      <c r="A596">
        <v>594</v>
      </c>
      <c r="B596">
        <v>23</v>
      </c>
      <c r="C596">
        <v>0</v>
      </c>
      <c r="D596">
        <v>0</v>
      </c>
      <c r="E596">
        <v>0</v>
      </c>
      <c r="G596" t="e">
        <f t="shared" si="45"/>
        <v>#NUM!</v>
      </c>
      <c r="H596" t="e">
        <f t="shared" si="46"/>
        <v>#NUM!</v>
      </c>
      <c r="I596" t="e">
        <f t="shared" si="47"/>
        <v>#NUM!</v>
      </c>
      <c r="J596" s="5"/>
      <c r="K596" t="e">
        <f t="shared" si="48"/>
        <v>#NUM!</v>
      </c>
      <c r="M596" t="e">
        <f t="shared" si="49"/>
        <v>#NUM!</v>
      </c>
      <c r="O596" s="2" t="s">
        <v>601</v>
      </c>
    </row>
    <row r="597" spans="1:15">
      <c r="A597">
        <v>595</v>
      </c>
      <c r="B597">
        <v>59</v>
      </c>
      <c r="C597">
        <v>0</v>
      </c>
      <c r="D597">
        <v>2</v>
      </c>
      <c r="E597">
        <v>0</v>
      </c>
      <c r="G597" t="e">
        <f t="shared" si="45"/>
        <v>#NUM!</v>
      </c>
      <c r="H597">
        <f t="shared" si="46"/>
        <v>-1.9159090369578566</v>
      </c>
      <c r="I597" t="e">
        <f t="shared" si="47"/>
        <v>#NUM!</v>
      </c>
      <c r="J597" s="5"/>
      <c r="K597" t="e">
        <f t="shared" si="48"/>
        <v>#NUM!</v>
      </c>
      <c r="M597" t="e">
        <f t="shared" si="49"/>
        <v>#NUM!</v>
      </c>
      <c r="O597" s="2" t="s">
        <v>602</v>
      </c>
    </row>
    <row r="598" spans="1:15">
      <c r="A598">
        <v>596</v>
      </c>
      <c r="B598">
        <v>18</v>
      </c>
      <c r="C598">
        <v>0</v>
      </c>
      <c r="D598">
        <v>0</v>
      </c>
      <c r="E598">
        <v>0</v>
      </c>
      <c r="G598" t="e">
        <f t="shared" si="45"/>
        <v>#NUM!</v>
      </c>
      <c r="H598" t="e">
        <f t="shared" si="46"/>
        <v>#NUM!</v>
      </c>
      <c r="I598" t="e">
        <f t="shared" si="47"/>
        <v>#NUM!</v>
      </c>
      <c r="J598" s="5"/>
      <c r="K598" t="e">
        <f t="shared" si="48"/>
        <v>#NUM!</v>
      </c>
      <c r="M598" t="e">
        <f t="shared" si="49"/>
        <v>#NUM!</v>
      </c>
      <c r="O598" s="2" t="s">
        <v>603</v>
      </c>
    </row>
    <row r="599" spans="1:15">
      <c r="A599">
        <v>597</v>
      </c>
      <c r="B599">
        <v>204</v>
      </c>
      <c r="C599">
        <v>4</v>
      </c>
      <c r="D599">
        <v>0</v>
      </c>
      <c r="E599">
        <v>4</v>
      </c>
      <c r="G599">
        <f t="shared" si="45"/>
        <v>-2.2835936238414396</v>
      </c>
      <c r="H599" t="e">
        <f t="shared" si="46"/>
        <v>#NUM!</v>
      </c>
      <c r="I599">
        <f t="shared" si="47"/>
        <v>-2.1629401806467365</v>
      </c>
      <c r="J599" s="5"/>
      <c r="K599" t="e">
        <f t="shared" si="48"/>
        <v>#NUM!</v>
      </c>
      <c r="M599" t="e">
        <f t="shared" si="49"/>
        <v>#NUM!</v>
      </c>
      <c r="O599" s="2" t="s">
        <v>604</v>
      </c>
    </row>
    <row r="600" spans="1:15">
      <c r="A600">
        <v>598</v>
      </c>
      <c r="B600">
        <v>209</v>
      </c>
      <c r="C600">
        <v>0</v>
      </c>
      <c r="D600">
        <v>2</v>
      </c>
      <c r="E600">
        <v>1</v>
      </c>
      <c r="G600" t="e">
        <f t="shared" si="45"/>
        <v>#NUM!</v>
      </c>
      <c r="H600">
        <f t="shared" si="46"/>
        <v>-2.4652033114267669</v>
      </c>
      <c r="I600">
        <f t="shared" si="47"/>
        <v>-2.7755162906598545</v>
      </c>
      <c r="J600" s="5"/>
      <c r="K600" t="e">
        <f t="shared" si="48"/>
        <v>#NUM!</v>
      </c>
      <c r="M600" t="e">
        <f t="shared" si="49"/>
        <v>#NUM!</v>
      </c>
      <c r="O600" s="2" t="s">
        <v>605</v>
      </c>
    </row>
    <row r="601" spans="1:15">
      <c r="A601">
        <v>599</v>
      </c>
      <c r="B601">
        <v>15</v>
      </c>
      <c r="C601">
        <v>0</v>
      </c>
      <c r="D601">
        <v>0</v>
      </c>
      <c r="E601">
        <v>0</v>
      </c>
      <c r="G601" t="e">
        <f t="shared" si="45"/>
        <v>#NUM!</v>
      </c>
      <c r="H601" t="e">
        <f t="shared" si="46"/>
        <v>#NUM!</v>
      </c>
      <c r="I601" t="e">
        <f t="shared" si="47"/>
        <v>#NUM!</v>
      </c>
      <c r="J601" s="5"/>
      <c r="K601" t="e">
        <f t="shared" si="48"/>
        <v>#NUM!</v>
      </c>
      <c r="M601" t="e">
        <f t="shared" si="49"/>
        <v>#NUM!</v>
      </c>
      <c r="O601" s="2" t="s">
        <v>606</v>
      </c>
    </row>
    <row r="602" spans="1:15">
      <c r="A602">
        <v>600</v>
      </c>
      <c r="B602">
        <v>129</v>
      </c>
      <c r="C602">
        <v>0</v>
      </c>
      <c r="D602">
        <v>1</v>
      </c>
      <c r="E602">
        <v>2</v>
      </c>
      <c r="G602" t="e">
        <f t="shared" si="45"/>
        <v>#NUM!</v>
      </c>
      <c r="H602">
        <f t="shared" si="46"/>
        <v>-2.5566767312789427</v>
      </c>
      <c r="I602">
        <f t="shared" si="47"/>
        <v>-2.2649297191840683</v>
      </c>
      <c r="J602" s="5"/>
      <c r="K602" t="e">
        <f t="shared" si="48"/>
        <v>#NUM!</v>
      </c>
      <c r="M602" t="e">
        <f t="shared" si="49"/>
        <v>#NUM!</v>
      </c>
      <c r="O602" s="2" t="s">
        <v>607</v>
      </c>
    </row>
    <row r="603" spans="1:15">
      <c r="A603">
        <v>601</v>
      </c>
      <c r="B603">
        <v>136</v>
      </c>
      <c r="C603">
        <v>1</v>
      </c>
      <c r="D603">
        <v>1</v>
      </c>
      <c r="E603">
        <v>2</v>
      </c>
      <c r="G603">
        <f t="shared" si="45"/>
        <v>-2.7095623561137208</v>
      </c>
      <c r="H603">
        <f t="shared" si="46"/>
        <v>-2.5796259293499109</v>
      </c>
      <c r="I603">
        <f t="shared" si="47"/>
        <v>-2.2878789172550364</v>
      </c>
      <c r="J603" s="5"/>
      <c r="K603">
        <f t="shared" si="48"/>
        <v>-2.5256890675728894</v>
      </c>
      <c r="M603">
        <f t="shared" si="49"/>
        <v>0.21595397529493773</v>
      </c>
      <c r="O603" s="2" t="s">
        <v>608</v>
      </c>
    </row>
    <row r="604" spans="1:15">
      <c r="A604">
        <v>602</v>
      </c>
      <c r="B604">
        <v>65</v>
      </c>
      <c r="C604">
        <v>0</v>
      </c>
      <c r="D604">
        <v>0</v>
      </c>
      <c r="E604">
        <v>0</v>
      </c>
      <c r="G604" t="e">
        <f t="shared" si="45"/>
        <v>#NUM!</v>
      </c>
      <c r="H604" t="e">
        <f t="shared" si="46"/>
        <v>#NUM!</v>
      </c>
      <c r="I604" t="e">
        <f t="shared" si="47"/>
        <v>#NUM!</v>
      </c>
      <c r="J604" s="5"/>
      <c r="K604" t="e">
        <f t="shared" si="48"/>
        <v>#NUM!</v>
      </c>
      <c r="M604" t="e">
        <f t="shared" si="49"/>
        <v>#NUM!</v>
      </c>
      <c r="O604" s="2" t="s">
        <v>609</v>
      </c>
    </row>
    <row r="605" spans="1:15">
      <c r="A605">
        <v>603</v>
      </c>
      <c r="B605">
        <v>454</v>
      </c>
      <c r="C605">
        <v>1</v>
      </c>
      <c r="D605">
        <v>2</v>
      </c>
      <c r="E605">
        <v>2</v>
      </c>
      <c r="G605">
        <f t="shared" si="45"/>
        <v>-3.2330793006006071</v>
      </c>
      <c r="H605">
        <f t="shared" si="46"/>
        <v>-2.8021128781728164</v>
      </c>
      <c r="I605">
        <f t="shared" si="47"/>
        <v>-2.8113958617419228</v>
      </c>
      <c r="J605" s="5"/>
      <c r="K605">
        <f t="shared" si="48"/>
        <v>-2.9488626801717821</v>
      </c>
      <c r="M605">
        <f t="shared" si="49"/>
        <v>0.24618257237662697</v>
      </c>
      <c r="O605" s="2" t="s">
        <v>610</v>
      </c>
    </row>
    <row r="606" spans="1:15">
      <c r="A606">
        <v>604</v>
      </c>
      <c r="B606">
        <v>33</v>
      </c>
      <c r="C606">
        <v>1</v>
      </c>
      <c r="D606">
        <v>1</v>
      </c>
      <c r="E606">
        <v>6</v>
      </c>
      <c r="G606">
        <f t="shared" si="45"/>
        <v>-2.0945373876213909</v>
      </c>
      <c r="H606">
        <f t="shared" si="46"/>
        <v>-1.9646009608575812</v>
      </c>
      <c r="I606">
        <f t="shared" si="47"/>
        <v>-1.1957326940430442</v>
      </c>
      <c r="J606" s="5"/>
      <c r="K606">
        <f t="shared" si="48"/>
        <v>-1.751623680840672</v>
      </c>
      <c r="M606">
        <f t="shared" si="49"/>
        <v>0.48577974499989951</v>
      </c>
      <c r="O606" s="2" t="s">
        <v>611</v>
      </c>
    </row>
    <row r="607" spans="1:15">
      <c r="A607">
        <v>605</v>
      </c>
      <c r="B607">
        <v>121</v>
      </c>
      <c r="C607">
        <v>2</v>
      </c>
      <c r="D607">
        <v>1</v>
      </c>
      <c r="E607">
        <v>1</v>
      </c>
      <c r="G607">
        <f t="shared" si="45"/>
        <v>-2.3577788223959724</v>
      </c>
      <c r="H607">
        <f t="shared" si="46"/>
        <v>-2.5288723912961437</v>
      </c>
      <c r="I607">
        <f t="shared" si="47"/>
        <v>-2.5381553748652506</v>
      </c>
      <c r="J607" s="5"/>
      <c r="K607">
        <f t="shared" si="48"/>
        <v>-2.4749355295191222</v>
      </c>
      <c r="M607">
        <f t="shared" si="49"/>
        <v>0.10156679557779062</v>
      </c>
      <c r="O607" s="2" t="s">
        <v>612</v>
      </c>
    </row>
    <row r="608" spans="1:15">
      <c r="A608">
        <v>606</v>
      </c>
      <c r="B608">
        <v>126</v>
      </c>
      <c r="C608">
        <v>2</v>
      </c>
      <c r="D608">
        <v>1</v>
      </c>
      <c r="E608">
        <v>2</v>
      </c>
      <c r="G608">
        <f t="shared" si="45"/>
        <v>-2.375363997197085</v>
      </c>
      <c r="H608">
        <f t="shared" si="46"/>
        <v>-2.5464575660972564</v>
      </c>
      <c r="I608">
        <f t="shared" si="47"/>
        <v>-2.254710554002382</v>
      </c>
      <c r="J608" s="5"/>
      <c r="K608">
        <f t="shared" si="48"/>
        <v>-2.3921773724322413</v>
      </c>
      <c r="M608">
        <f t="shared" si="49"/>
        <v>0.14659842071683557</v>
      </c>
      <c r="O608" s="2" t="s">
        <v>613</v>
      </c>
    </row>
    <row r="609" spans="1:15">
      <c r="A609">
        <v>607</v>
      </c>
      <c r="B609">
        <v>136</v>
      </c>
      <c r="C609">
        <v>2</v>
      </c>
      <c r="D609">
        <v>1</v>
      </c>
      <c r="E609">
        <v>2</v>
      </c>
      <c r="G609">
        <f t="shared" si="45"/>
        <v>-2.4085323604497395</v>
      </c>
      <c r="H609">
        <f t="shared" si="46"/>
        <v>-2.5796259293499109</v>
      </c>
      <c r="I609">
        <f t="shared" si="47"/>
        <v>-2.2878789172550364</v>
      </c>
      <c r="J609" s="5"/>
      <c r="K609">
        <f t="shared" si="48"/>
        <v>-2.4253457356848958</v>
      </c>
      <c r="M609">
        <f t="shared" si="49"/>
        <v>0.14659842071683557</v>
      </c>
      <c r="O609" s="2" t="s">
        <v>614</v>
      </c>
    </row>
    <row r="610" spans="1:15">
      <c r="A610">
        <v>608</v>
      </c>
      <c r="B610">
        <v>200</v>
      </c>
      <c r="C610">
        <v>1</v>
      </c>
      <c r="D610">
        <v>1</v>
      </c>
      <c r="E610">
        <v>1</v>
      </c>
      <c r="G610">
        <f t="shared" si="45"/>
        <v>-2.8770534434074846</v>
      </c>
      <c r="H610">
        <f t="shared" si="46"/>
        <v>-2.7471170166436751</v>
      </c>
      <c r="I610">
        <f t="shared" si="47"/>
        <v>-2.7564000002127815</v>
      </c>
      <c r="J610" s="5"/>
      <c r="K610">
        <f t="shared" si="48"/>
        <v>-2.7935234867546472</v>
      </c>
      <c r="M610">
        <f t="shared" si="49"/>
        <v>7.2487817526842122E-2</v>
      </c>
      <c r="O610" s="2" t="s">
        <v>615</v>
      </c>
    </row>
    <row r="611" spans="1:15">
      <c r="A611">
        <v>609</v>
      </c>
      <c r="B611">
        <v>276</v>
      </c>
      <c r="C611">
        <v>2</v>
      </c>
      <c r="D611">
        <v>2</v>
      </c>
      <c r="E611">
        <v>3</v>
      </c>
      <c r="G611">
        <f t="shared" si="45"/>
        <v>-2.7159025341447398</v>
      </c>
      <c r="H611">
        <f t="shared" si="46"/>
        <v>-2.5859661073809299</v>
      </c>
      <c r="I611">
        <f t="shared" si="47"/>
        <v>-2.4191578318943554</v>
      </c>
      <c r="J611" s="5"/>
      <c r="K611">
        <f t="shared" si="48"/>
        <v>-2.5736754911400084</v>
      </c>
      <c r="M611">
        <f t="shared" si="49"/>
        <v>0.14875365210341401</v>
      </c>
      <c r="O611" s="2" t="s">
        <v>616</v>
      </c>
    </row>
    <row r="612" spans="1:15">
      <c r="A612">
        <v>610</v>
      </c>
      <c r="B612">
        <v>73</v>
      </c>
      <c r="C612">
        <v>1</v>
      </c>
      <c r="D612">
        <v>0</v>
      </c>
      <c r="E612">
        <v>1</v>
      </c>
      <c r="G612">
        <f t="shared" si="45"/>
        <v>-2.4393463078639592</v>
      </c>
      <c r="H612" t="e">
        <f t="shared" si="46"/>
        <v>#NUM!</v>
      </c>
      <c r="I612">
        <f t="shared" si="47"/>
        <v>-2.3186928646692562</v>
      </c>
      <c r="J612" s="5"/>
      <c r="K612" t="e">
        <f t="shared" si="48"/>
        <v>#NUM!</v>
      </c>
      <c r="M612" t="e">
        <f t="shared" si="49"/>
        <v>#NUM!</v>
      </c>
      <c r="O612" s="2" t="s">
        <v>617</v>
      </c>
    </row>
    <row r="613" spans="1:15">
      <c r="A613">
        <v>611</v>
      </c>
      <c r="B613">
        <v>167</v>
      </c>
      <c r="C613">
        <v>2</v>
      </c>
      <c r="D613">
        <v>1</v>
      </c>
      <c r="E613">
        <v>0</v>
      </c>
      <c r="G613">
        <f t="shared" si="45"/>
        <v>-2.4977099232271054</v>
      </c>
      <c r="H613">
        <f t="shared" si="46"/>
        <v>-2.6688034921272772</v>
      </c>
      <c r="I613" t="e">
        <f t="shared" si="47"/>
        <v>#NUM!</v>
      </c>
      <c r="J613" s="5"/>
      <c r="K613" t="e">
        <f t="shared" si="48"/>
        <v>#NUM!</v>
      </c>
      <c r="M613" t="e">
        <f t="shared" si="49"/>
        <v>#NUM!</v>
      </c>
      <c r="O613" s="2" t="s">
        <v>618</v>
      </c>
    </row>
    <row r="614" spans="1:15">
      <c r="A614">
        <v>612</v>
      </c>
      <c r="B614">
        <v>331</v>
      </c>
      <c r="C614">
        <v>4</v>
      </c>
      <c r="D614">
        <v>1</v>
      </c>
      <c r="E614">
        <v>2</v>
      </c>
      <c r="G614">
        <f t="shared" si="45"/>
        <v>-2.4937914501912597</v>
      </c>
      <c r="H614">
        <f t="shared" si="46"/>
        <v>-2.9659150147554127</v>
      </c>
      <c r="I614">
        <f t="shared" si="47"/>
        <v>-2.6741680026605379</v>
      </c>
      <c r="J614" s="5"/>
      <c r="K614">
        <f t="shared" si="48"/>
        <v>-2.7112914892024036</v>
      </c>
      <c r="M614">
        <f t="shared" si="49"/>
        <v>0.23824101240961545</v>
      </c>
      <c r="O614" s="2" t="s">
        <v>619</v>
      </c>
    </row>
    <row r="615" spans="1:15">
      <c r="A615">
        <v>613</v>
      </c>
      <c r="B615">
        <v>26</v>
      </c>
      <c r="C615">
        <v>0</v>
      </c>
      <c r="D615">
        <v>0</v>
      </c>
      <c r="E615">
        <v>0</v>
      </c>
      <c r="G615" t="e">
        <f t="shared" si="45"/>
        <v>#NUM!</v>
      </c>
      <c r="H615" t="e">
        <f t="shared" si="46"/>
        <v>#NUM!</v>
      </c>
      <c r="I615" t="e">
        <f t="shared" si="47"/>
        <v>#NUM!</v>
      </c>
      <c r="J615" s="5"/>
      <c r="K615" t="e">
        <f t="shared" si="48"/>
        <v>#NUM!</v>
      </c>
      <c r="M615" t="e">
        <f t="shared" si="49"/>
        <v>#NUM!</v>
      </c>
      <c r="O615" s="2" t="s">
        <v>620</v>
      </c>
    </row>
    <row r="616" spans="1:15">
      <c r="A616">
        <v>614</v>
      </c>
      <c r="B616">
        <v>28</v>
      </c>
      <c r="C616">
        <v>0</v>
      </c>
      <c r="D616">
        <v>0</v>
      </c>
      <c r="E616">
        <v>0</v>
      </c>
      <c r="G616" t="e">
        <f t="shared" si="45"/>
        <v>#NUM!</v>
      </c>
      <c r="H616" t="e">
        <f t="shared" si="46"/>
        <v>#NUM!</v>
      </c>
      <c r="I616" t="e">
        <f t="shared" si="47"/>
        <v>#NUM!</v>
      </c>
      <c r="J616" s="5"/>
      <c r="K616" t="e">
        <f t="shared" si="48"/>
        <v>#NUM!</v>
      </c>
      <c r="M616" t="e">
        <f t="shared" si="49"/>
        <v>#NUM!</v>
      </c>
      <c r="O616" s="2" t="s">
        <v>621</v>
      </c>
    </row>
    <row r="617" spans="1:15">
      <c r="A617">
        <v>615</v>
      </c>
      <c r="B617">
        <v>125</v>
      </c>
      <c r="C617">
        <v>1</v>
      </c>
      <c r="D617">
        <v>0</v>
      </c>
      <c r="E617">
        <v>1</v>
      </c>
      <c r="G617">
        <f t="shared" si="45"/>
        <v>-2.6729334607515596</v>
      </c>
      <c r="H617" t="e">
        <f t="shared" si="46"/>
        <v>#NUM!</v>
      </c>
      <c r="I617">
        <f t="shared" si="47"/>
        <v>-2.5522800175568565</v>
      </c>
      <c r="J617" s="5"/>
      <c r="K617" t="e">
        <f t="shared" si="48"/>
        <v>#NUM!</v>
      </c>
      <c r="M617" t="e">
        <f t="shared" si="49"/>
        <v>#NUM!</v>
      </c>
      <c r="O617" s="2" t="s">
        <v>622</v>
      </c>
    </row>
    <row r="618" spans="1:15">
      <c r="A618">
        <v>616</v>
      </c>
      <c r="B618">
        <v>124</v>
      </c>
      <c r="C618">
        <v>1</v>
      </c>
      <c r="D618">
        <v>1</v>
      </c>
      <c r="E618">
        <v>1</v>
      </c>
      <c r="G618">
        <f t="shared" si="45"/>
        <v>-2.6694451329057385</v>
      </c>
      <c r="H618">
        <f t="shared" si="46"/>
        <v>-2.5395087061419286</v>
      </c>
      <c r="I618">
        <f t="shared" si="47"/>
        <v>-2.5487916897110354</v>
      </c>
      <c r="J618" s="5"/>
      <c r="K618">
        <f t="shared" si="48"/>
        <v>-2.5859151762529007</v>
      </c>
      <c r="M618">
        <f t="shared" si="49"/>
        <v>7.248781752684226E-2</v>
      </c>
      <c r="O618" s="2" t="s">
        <v>623</v>
      </c>
    </row>
    <row r="619" spans="1:15">
      <c r="A619">
        <v>617</v>
      </c>
      <c r="B619">
        <v>126</v>
      </c>
      <c r="C619">
        <v>0</v>
      </c>
      <c r="D619">
        <v>1</v>
      </c>
      <c r="E619">
        <v>1</v>
      </c>
      <c r="G619" t="e">
        <f t="shared" si="45"/>
        <v>#NUM!</v>
      </c>
      <c r="H619">
        <f t="shared" si="46"/>
        <v>-2.5464575660972564</v>
      </c>
      <c r="I619">
        <f t="shared" si="47"/>
        <v>-2.5557405496663632</v>
      </c>
      <c r="J619" s="5"/>
      <c r="K619" t="e">
        <f t="shared" si="48"/>
        <v>#NUM!</v>
      </c>
      <c r="M619" t="e">
        <f t="shared" si="49"/>
        <v>#NUM!</v>
      </c>
      <c r="O619" s="2" t="s">
        <v>624</v>
      </c>
    </row>
    <row r="620" spans="1:15">
      <c r="A620">
        <v>618</v>
      </c>
      <c r="B620">
        <v>44</v>
      </c>
      <c r="C620">
        <v>0</v>
      </c>
      <c r="D620">
        <v>0</v>
      </c>
      <c r="E620">
        <v>3</v>
      </c>
      <c r="G620" t="e">
        <f t="shared" si="45"/>
        <v>#NUM!</v>
      </c>
      <c r="H620" t="e">
        <f t="shared" si="46"/>
        <v>#NUM!</v>
      </c>
      <c r="I620">
        <f t="shared" si="47"/>
        <v>-1.6217014263153253</v>
      </c>
      <c r="J620" s="5"/>
      <c r="K620" t="e">
        <f t="shared" si="48"/>
        <v>#NUM!</v>
      </c>
      <c r="M620" t="e">
        <f t="shared" si="49"/>
        <v>#NUM!</v>
      </c>
      <c r="O620" s="2" t="s">
        <v>625</v>
      </c>
    </row>
    <row r="621" spans="1:15">
      <c r="A621">
        <v>619</v>
      </c>
      <c r="B621">
        <v>163</v>
      </c>
      <c r="C621">
        <v>0</v>
      </c>
      <c r="D621">
        <v>2</v>
      </c>
      <c r="E621">
        <v>4</v>
      </c>
      <c r="G621" t="e">
        <f t="shared" si="45"/>
        <v>#NUM!</v>
      </c>
      <c r="H621">
        <f t="shared" si="46"/>
        <v>-2.3572446297196703</v>
      </c>
      <c r="I621">
        <f t="shared" si="47"/>
        <v>-2.0654976176247954</v>
      </c>
      <c r="J621" s="5"/>
      <c r="K621" t="e">
        <f t="shared" si="48"/>
        <v>#NUM!</v>
      </c>
      <c r="M621" t="e">
        <f t="shared" si="49"/>
        <v>#NUM!</v>
      </c>
      <c r="O621" s="2" t="s">
        <v>626</v>
      </c>
    </row>
    <row r="622" spans="1:15">
      <c r="A622">
        <v>620</v>
      </c>
      <c r="B622">
        <v>113</v>
      </c>
      <c r="C622">
        <v>0</v>
      </c>
      <c r="D622">
        <v>0</v>
      </c>
      <c r="E622">
        <v>0</v>
      </c>
      <c r="G622" t="e">
        <f t="shared" si="45"/>
        <v>#NUM!</v>
      </c>
      <c r="H622" t="e">
        <f t="shared" si="46"/>
        <v>#NUM!</v>
      </c>
      <c r="I622" t="e">
        <f t="shared" si="47"/>
        <v>#NUM!</v>
      </c>
      <c r="J622" s="5"/>
      <c r="K622" t="e">
        <f t="shared" si="48"/>
        <v>#NUM!</v>
      </c>
      <c r="M622" t="e">
        <f t="shared" si="49"/>
        <v>#NUM!</v>
      </c>
      <c r="O622" s="2" t="s">
        <v>627</v>
      </c>
    </row>
    <row r="623" spans="1:15">
      <c r="A623">
        <v>621</v>
      </c>
      <c r="B623">
        <v>153</v>
      </c>
      <c r="C623">
        <v>0</v>
      </c>
      <c r="D623">
        <v>0</v>
      </c>
      <c r="E623">
        <v>1</v>
      </c>
      <c r="G623" t="e">
        <f t="shared" si="45"/>
        <v>#NUM!</v>
      </c>
      <c r="H623" t="e">
        <f t="shared" si="46"/>
        <v>#NUM!</v>
      </c>
      <c r="I623">
        <f t="shared" si="47"/>
        <v>-2.6400614353663991</v>
      </c>
      <c r="J623" s="5"/>
      <c r="K623" t="e">
        <f t="shared" si="48"/>
        <v>#NUM!</v>
      </c>
      <c r="M623" t="e">
        <f t="shared" si="49"/>
        <v>#NUM!</v>
      </c>
      <c r="O623" s="2" t="s">
        <v>628</v>
      </c>
    </row>
    <row r="624" spans="1:15">
      <c r="A624">
        <v>622</v>
      </c>
      <c r="B624">
        <v>352</v>
      </c>
      <c r="C624">
        <v>2</v>
      </c>
      <c r="D624">
        <v>1</v>
      </c>
      <c r="E624">
        <v>1</v>
      </c>
      <c r="G624">
        <f t="shared" si="45"/>
        <v>-2.8215361155576533</v>
      </c>
      <c r="H624">
        <f t="shared" si="46"/>
        <v>-2.9926296844578246</v>
      </c>
      <c r="I624">
        <f t="shared" si="47"/>
        <v>-3.0019126680269315</v>
      </c>
      <c r="J624" s="5"/>
      <c r="K624">
        <f t="shared" si="48"/>
        <v>-2.9386928226808031</v>
      </c>
      <c r="M624">
        <f t="shared" si="49"/>
        <v>0.10156679557779062</v>
      </c>
      <c r="O624" s="2" t="s">
        <v>629</v>
      </c>
    </row>
    <row r="625" spans="1:15">
      <c r="A625">
        <v>623</v>
      </c>
      <c r="B625">
        <v>134</v>
      </c>
      <c r="C625">
        <v>2</v>
      </c>
      <c r="D625">
        <v>2</v>
      </c>
      <c r="E625">
        <v>2</v>
      </c>
      <c r="G625">
        <f t="shared" si="45"/>
        <v>-2.4020982504443298</v>
      </c>
      <c r="H625">
        <f t="shared" si="46"/>
        <v>-2.2721618236805199</v>
      </c>
      <c r="I625">
        <f t="shared" si="47"/>
        <v>-2.2814448072496267</v>
      </c>
      <c r="J625" s="5"/>
      <c r="K625">
        <f t="shared" si="48"/>
        <v>-2.318568293791492</v>
      </c>
      <c r="M625">
        <f t="shared" si="49"/>
        <v>7.248781752684226E-2</v>
      </c>
      <c r="O625" s="2" t="s">
        <v>630</v>
      </c>
    </row>
    <row r="626" spans="1:15">
      <c r="A626">
        <v>624</v>
      </c>
      <c r="B626">
        <v>173</v>
      </c>
      <c r="C626">
        <v>1</v>
      </c>
      <c r="D626">
        <v>1</v>
      </c>
      <c r="E626">
        <v>2</v>
      </c>
      <c r="G626">
        <f t="shared" si="45"/>
        <v>-2.8140695508722988</v>
      </c>
      <c r="H626">
        <f t="shared" si="46"/>
        <v>-2.6841331241084889</v>
      </c>
      <c r="I626">
        <f t="shared" si="47"/>
        <v>-2.3923861120136145</v>
      </c>
      <c r="J626" s="5"/>
      <c r="K626">
        <f t="shared" si="48"/>
        <v>-2.6301962623314674</v>
      </c>
      <c r="M626">
        <f t="shared" si="49"/>
        <v>0.21595397529493773</v>
      </c>
      <c r="O626" s="2" t="s">
        <v>631</v>
      </c>
    </row>
    <row r="627" spans="1:15">
      <c r="A627">
        <v>625</v>
      </c>
      <c r="B627">
        <v>211</v>
      </c>
      <c r="C627">
        <v>3</v>
      </c>
      <c r="D627">
        <v>1</v>
      </c>
      <c r="E627">
        <v>1</v>
      </c>
      <c r="G627">
        <f t="shared" si="45"/>
        <v>-2.4231846483215334</v>
      </c>
      <c r="H627">
        <f t="shared" si="46"/>
        <v>-2.7703694762773861</v>
      </c>
      <c r="I627">
        <f t="shared" si="47"/>
        <v>-2.7796524598464929</v>
      </c>
      <c r="J627" s="5"/>
      <c r="K627">
        <f t="shared" si="48"/>
        <v>-2.6577355281484709</v>
      </c>
      <c r="M627">
        <f t="shared" si="49"/>
        <v>0.20318004298325881</v>
      </c>
      <c r="O627" s="2" t="s">
        <v>632</v>
      </c>
    </row>
    <row r="628" spans="1:15">
      <c r="A628">
        <v>626</v>
      </c>
      <c r="B628">
        <v>48</v>
      </c>
      <c r="C628">
        <v>0</v>
      </c>
      <c r="D628">
        <v>1</v>
      </c>
      <c r="E628">
        <v>3</v>
      </c>
      <c r="G628" t="e">
        <f t="shared" si="45"/>
        <v>#NUM!</v>
      </c>
      <c r="H628">
        <f t="shared" si="46"/>
        <v>-2.1273282583552806</v>
      </c>
      <c r="I628">
        <f t="shared" si="47"/>
        <v>-1.6594899872047251</v>
      </c>
      <c r="J628" s="5"/>
      <c r="K628" t="e">
        <f t="shared" si="48"/>
        <v>#NUM!</v>
      </c>
      <c r="M628" t="e">
        <f t="shared" si="49"/>
        <v>#NUM!</v>
      </c>
      <c r="O628" s="2" t="s">
        <v>633</v>
      </c>
    </row>
    <row r="629" spans="1:15">
      <c r="A629">
        <v>627</v>
      </c>
      <c r="B629">
        <v>83</v>
      </c>
      <c r="C629">
        <v>1</v>
      </c>
      <c r="D629">
        <v>1</v>
      </c>
      <c r="E629">
        <v>1</v>
      </c>
      <c r="G629">
        <f t="shared" si="45"/>
        <v>-2.4951015401195775</v>
      </c>
      <c r="H629">
        <f t="shared" si="46"/>
        <v>-2.3651651133557676</v>
      </c>
      <c r="I629">
        <f t="shared" si="47"/>
        <v>-2.3744480969248745</v>
      </c>
      <c r="J629" s="5"/>
      <c r="K629">
        <f t="shared" si="48"/>
        <v>-2.4115715834667397</v>
      </c>
      <c r="M629">
        <f t="shared" si="49"/>
        <v>7.248781752684226E-2</v>
      </c>
      <c r="O629" s="2" t="s">
        <v>634</v>
      </c>
    </row>
    <row r="630" spans="1:15">
      <c r="A630">
        <v>628</v>
      </c>
      <c r="B630">
        <v>116</v>
      </c>
      <c r="C630">
        <v>1</v>
      </c>
      <c r="D630">
        <v>0</v>
      </c>
      <c r="E630">
        <v>0</v>
      </c>
      <c r="G630">
        <f t="shared" si="45"/>
        <v>-2.6404814369704219</v>
      </c>
      <c r="H630" t="e">
        <f t="shared" si="46"/>
        <v>#NUM!</v>
      </c>
      <c r="I630" t="e">
        <f t="shared" si="47"/>
        <v>#NUM!</v>
      </c>
      <c r="J630" s="5"/>
      <c r="K630" t="e">
        <f t="shared" si="48"/>
        <v>#NUM!</v>
      </c>
      <c r="M630" t="e">
        <f t="shared" si="49"/>
        <v>#NUM!</v>
      </c>
      <c r="O630" s="2" t="s">
        <v>635</v>
      </c>
    </row>
    <row r="631" spans="1:15">
      <c r="A631">
        <v>629</v>
      </c>
      <c r="B631">
        <v>287</v>
      </c>
      <c r="C631">
        <v>0</v>
      </c>
      <c r="D631">
        <v>0</v>
      </c>
      <c r="E631">
        <v>0</v>
      </c>
      <c r="G631" t="e">
        <f t="shared" si="45"/>
        <v>#NUM!</v>
      </c>
      <c r="H631" t="e">
        <f t="shared" si="46"/>
        <v>#NUM!</v>
      </c>
      <c r="I631" t="e">
        <f t="shared" si="47"/>
        <v>#NUM!</v>
      </c>
      <c r="J631" s="5"/>
      <c r="K631" t="e">
        <f t="shared" si="48"/>
        <v>#NUM!</v>
      </c>
      <c r="M631" t="e">
        <f t="shared" si="49"/>
        <v>#NUM!</v>
      </c>
      <c r="O631" s="2" t="s">
        <v>636</v>
      </c>
    </row>
    <row r="632" spans="1:15">
      <c r="A632">
        <v>630</v>
      </c>
      <c r="B632">
        <v>152</v>
      </c>
      <c r="C632">
        <v>3</v>
      </c>
      <c r="D632">
        <v>0</v>
      </c>
      <c r="E632">
        <v>0</v>
      </c>
      <c r="G632">
        <f t="shared" si="45"/>
        <v>-2.2807457809686138</v>
      </c>
      <c r="H632" t="e">
        <f t="shared" si="46"/>
        <v>#NUM!</v>
      </c>
      <c r="I632" t="e">
        <f t="shared" si="47"/>
        <v>#NUM!</v>
      </c>
      <c r="J632" s="5"/>
      <c r="K632" t="e">
        <f t="shared" si="48"/>
        <v>#NUM!</v>
      </c>
      <c r="M632" t="e">
        <f t="shared" si="49"/>
        <v>#NUM!</v>
      </c>
      <c r="O632" s="2" t="s">
        <v>637</v>
      </c>
    </row>
    <row r="633" spans="1:15">
      <c r="A633">
        <v>631</v>
      </c>
      <c r="B633">
        <v>343</v>
      </c>
      <c r="C633">
        <v>3</v>
      </c>
      <c r="D633">
        <v>1</v>
      </c>
      <c r="E633">
        <v>4</v>
      </c>
      <c r="G633">
        <f t="shared" si="45"/>
        <v>-2.6341963130666115</v>
      </c>
      <c r="H633">
        <f t="shared" si="46"/>
        <v>-2.9813811410224638</v>
      </c>
      <c r="I633">
        <f t="shared" si="47"/>
        <v>-2.3886041332636081</v>
      </c>
      <c r="J633" s="5"/>
      <c r="K633">
        <f t="shared" si="48"/>
        <v>-2.668060529117561</v>
      </c>
      <c r="M633">
        <f t="shared" si="49"/>
        <v>0.29783591804623677</v>
      </c>
      <c r="O633" s="2" t="s">
        <v>638</v>
      </c>
    </row>
    <row r="634" spans="1:15">
      <c r="A634">
        <v>632</v>
      </c>
      <c r="B634">
        <v>363</v>
      </c>
      <c r="C634">
        <v>4</v>
      </c>
      <c r="D634">
        <v>2</v>
      </c>
      <c r="E634">
        <v>4</v>
      </c>
      <c r="G634">
        <f t="shared" si="45"/>
        <v>-2.5338700814516537</v>
      </c>
      <c r="H634">
        <f t="shared" si="46"/>
        <v>-2.7049636503518251</v>
      </c>
      <c r="I634">
        <f t="shared" si="47"/>
        <v>-2.4132166382569507</v>
      </c>
      <c r="J634" s="5"/>
      <c r="K634">
        <f t="shared" si="48"/>
        <v>-2.55068345668681</v>
      </c>
      <c r="M634">
        <f t="shared" si="49"/>
        <v>0.14659842071683557</v>
      </c>
      <c r="O634" s="2" t="s">
        <v>639</v>
      </c>
    </row>
    <row r="635" spans="1:15">
      <c r="A635">
        <v>633</v>
      </c>
      <c r="B635">
        <v>189</v>
      </c>
      <c r="C635">
        <v>0</v>
      </c>
      <c r="D635">
        <v>2</v>
      </c>
      <c r="E635">
        <v>1</v>
      </c>
      <c r="G635" t="e">
        <f t="shared" si="45"/>
        <v>#NUM!</v>
      </c>
      <c r="H635">
        <f t="shared" si="46"/>
        <v>-2.4215188294889565</v>
      </c>
      <c r="I635">
        <f t="shared" si="47"/>
        <v>-2.7318318087220446</v>
      </c>
      <c r="J635" s="5"/>
      <c r="K635" t="e">
        <f t="shared" si="48"/>
        <v>#NUM!</v>
      </c>
      <c r="M635" t="e">
        <f t="shared" si="49"/>
        <v>#NUM!</v>
      </c>
      <c r="O635" s="2" t="s">
        <v>640</v>
      </c>
    </row>
    <row r="636" spans="1:15">
      <c r="A636">
        <v>634</v>
      </c>
      <c r="B636">
        <v>30</v>
      </c>
      <c r="C636">
        <v>0</v>
      </c>
      <c r="D636">
        <v>0</v>
      </c>
      <c r="E636">
        <v>0</v>
      </c>
      <c r="G636" t="e">
        <f t="shared" si="45"/>
        <v>#NUM!</v>
      </c>
      <c r="H636" t="e">
        <f t="shared" si="46"/>
        <v>#NUM!</v>
      </c>
      <c r="I636" t="e">
        <f t="shared" si="47"/>
        <v>#NUM!</v>
      </c>
      <c r="J636" s="5"/>
      <c r="K636" t="e">
        <f t="shared" si="48"/>
        <v>#NUM!</v>
      </c>
      <c r="M636" t="e">
        <f t="shared" si="49"/>
        <v>#NUM!</v>
      </c>
      <c r="O636" s="2" t="s">
        <v>641</v>
      </c>
    </row>
    <row r="637" spans="1:15">
      <c r="A637">
        <v>635</v>
      </c>
      <c r="B637">
        <v>26</v>
      </c>
      <c r="C637">
        <v>1</v>
      </c>
      <c r="D637">
        <v>1</v>
      </c>
      <c r="E637">
        <v>0</v>
      </c>
      <c r="G637">
        <f t="shared" si="45"/>
        <v>-1.9909967957143213</v>
      </c>
      <c r="H637">
        <f t="shared" si="46"/>
        <v>-1.8610603689505116</v>
      </c>
      <c r="I637" t="e">
        <f t="shared" si="47"/>
        <v>#NUM!</v>
      </c>
      <c r="J637" s="5"/>
      <c r="K637" t="e">
        <f t="shared" si="48"/>
        <v>#NUM!</v>
      </c>
      <c r="M637" t="e">
        <f t="shared" si="49"/>
        <v>#NUM!</v>
      </c>
      <c r="O637" s="2" t="s">
        <v>642</v>
      </c>
    </row>
    <row r="638" spans="1:15">
      <c r="A638">
        <v>636</v>
      </c>
      <c r="B638">
        <v>413</v>
      </c>
      <c r="C638">
        <v>4</v>
      </c>
      <c r="D638">
        <v>3</v>
      </c>
      <c r="E638">
        <v>2</v>
      </c>
      <c r="G638">
        <f t="shared" si="45"/>
        <v>-2.589913508071942</v>
      </c>
      <c r="H638">
        <f t="shared" si="46"/>
        <v>-2.584915817916432</v>
      </c>
      <c r="I638">
        <f t="shared" si="47"/>
        <v>-2.7702900605412202</v>
      </c>
      <c r="J638" s="5"/>
      <c r="K638">
        <f t="shared" si="48"/>
        <v>-2.6483731288431982</v>
      </c>
      <c r="M638">
        <f t="shared" si="49"/>
        <v>0.10561272604529137</v>
      </c>
      <c r="O638" s="2" t="s">
        <v>643</v>
      </c>
    </row>
    <row r="639" spans="1:15">
      <c r="A639">
        <v>637</v>
      </c>
      <c r="B639">
        <v>8</v>
      </c>
      <c r="C639">
        <v>0</v>
      </c>
      <c r="D639">
        <v>0</v>
      </c>
      <c r="E639">
        <v>0</v>
      </c>
      <c r="G639" t="e">
        <f t="shared" si="45"/>
        <v>#NUM!</v>
      </c>
      <c r="H639" t="e">
        <f t="shared" si="46"/>
        <v>#NUM!</v>
      </c>
      <c r="I639" t="e">
        <f t="shared" si="47"/>
        <v>#NUM!</v>
      </c>
      <c r="J639" s="5"/>
      <c r="K639" t="e">
        <f t="shared" si="48"/>
        <v>#NUM!</v>
      </c>
      <c r="M639" t="e">
        <f t="shared" si="49"/>
        <v>#NUM!</v>
      </c>
      <c r="O639" s="2" t="s">
        <v>644</v>
      </c>
    </row>
    <row r="640" spans="1:15">
      <c r="A640">
        <v>638</v>
      </c>
      <c r="B640">
        <v>129</v>
      </c>
      <c r="C640">
        <v>0</v>
      </c>
      <c r="D640">
        <v>1</v>
      </c>
      <c r="E640">
        <v>0</v>
      </c>
      <c r="G640" t="e">
        <f t="shared" si="45"/>
        <v>#NUM!</v>
      </c>
      <c r="H640">
        <f t="shared" si="46"/>
        <v>-2.5566767312789427</v>
      </c>
      <c r="I640" t="e">
        <f t="shared" si="47"/>
        <v>#NUM!</v>
      </c>
      <c r="J640" s="5"/>
      <c r="K640" t="e">
        <f t="shared" si="48"/>
        <v>#NUM!</v>
      </c>
      <c r="M640" t="e">
        <f t="shared" si="49"/>
        <v>#NUM!</v>
      </c>
      <c r="O640" s="2" t="s">
        <v>645</v>
      </c>
    </row>
    <row r="641" spans="1:15">
      <c r="A641">
        <v>639</v>
      </c>
      <c r="B641">
        <v>13</v>
      </c>
      <c r="C641">
        <v>0</v>
      </c>
      <c r="D641">
        <v>0</v>
      </c>
      <c r="E641">
        <v>0</v>
      </c>
      <c r="G641" t="e">
        <f t="shared" si="45"/>
        <v>#NUM!</v>
      </c>
      <c r="H641" t="e">
        <f t="shared" si="46"/>
        <v>#NUM!</v>
      </c>
      <c r="I641" t="e">
        <f t="shared" si="47"/>
        <v>#NUM!</v>
      </c>
      <c r="J641" s="5"/>
      <c r="K641" t="e">
        <f t="shared" si="48"/>
        <v>#NUM!</v>
      </c>
      <c r="M641" t="e">
        <f t="shared" si="49"/>
        <v>#NUM!</v>
      </c>
      <c r="O641" s="2" t="s">
        <v>646</v>
      </c>
    </row>
    <row r="642" spans="1:15">
      <c r="A642">
        <v>640</v>
      </c>
      <c r="B642">
        <v>13</v>
      </c>
      <c r="C642">
        <v>0</v>
      </c>
      <c r="D642">
        <v>0</v>
      </c>
      <c r="E642">
        <v>0</v>
      </c>
      <c r="G642" t="e">
        <f t="shared" ref="G642:G705" si="50">LOG10(C642/B642)-LOG10(437/116)</f>
        <v>#NUM!</v>
      </c>
      <c r="H642" t="e">
        <f t="shared" ref="H642:H705" si="51">LOG10(D642/B642)-LOG10(324/116)</f>
        <v>#NUM!</v>
      </c>
      <c r="I642" t="e">
        <f t="shared" ref="I642:I705" si="52">LOG10(E642/B642)-LOG10(331/116)</f>
        <v>#NUM!</v>
      </c>
      <c r="J642" s="5"/>
      <c r="K642" t="e">
        <f t="shared" ref="K642:K705" si="53">AVERAGE(G642:I642)</f>
        <v>#NUM!</v>
      </c>
      <c r="M642" t="e">
        <f t="shared" ref="M642:M705" si="54">STDEV(G642:I642)</f>
        <v>#NUM!</v>
      </c>
      <c r="O642" s="2" t="s">
        <v>647</v>
      </c>
    </row>
    <row r="643" spans="1:15">
      <c r="A643">
        <v>641</v>
      </c>
      <c r="B643">
        <v>376</v>
      </c>
      <c r="C643">
        <v>2</v>
      </c>
      <c r="D643">
        <v>4</v>
      </c>
      <c r="E643">
        <v>0</v>
      </c>
      <c r="G643">
        <f t="shared" si="50"/>
        <v>-2.8501812970071834</v>
      </c>
      <c r="H643">
        <f t="shared" si="51"/>
        <v>-2.4192148745793922</v>
      </c>
      <c r="I643" t="e">
        <f t="shared" si="52"/>
        <v>#NUM!</v>
      </c>
      <c r="J643" s="5"/>
      <c r="K643" t="e">
        <f t="shared" si="53"/>
        <v>#NUM!</v>
      </c>
      <c r="M643" t="e">
        <f t="shared" si="54"/>
        <v>#NUM!</v>
      </c>
      <c r="O643" s="2" t="s">
        <v>648</v>
      </c>
    </row>
    <row r="644" spans="1:15">
      <c r="A644">
        <v>642</v>
      </c>
      <c r="B644">
        <v>168</v>
      </c>
      <c r="C644">
        <v>2</v>
      </c>
      <c r="D644">
        <v>0</v>
      </c>
      <c r="E644">
        <v>1</v>
      </c>
      <c r="G644">
        <f t="shared" si="50"/>
        <v>-2.5003027338053849</v>
      </c>
      <c r="H644" t="e">
        <f t="shared" si="51"/>
        <v>#NUM!</v>
      </c>
      <c r="I644">
        <f t="shared" si="52"/>
        <v>-2.6806792862746631</v>
      </c>
      <c r="J644" s="5"/>
      <c r="K644" t="e">
        <f t="shared" si="53"/>
        <v>#NUM!</v>
      </c>
      <c r="M644" t="e">
        <f t="shared" si="54"/>
        <v>#NUM!</v>
      </c>
      <c r="O644" s="2" t="s">
        <v>649</v>
      </c>
    </row>
    <row r="645" spans="1:15">
      <c r="A645">
        <v>643</v>
      </c>
      <c r="B645">
        <v>128</v>
      </c>
      <c r="C645">
        <v>0</v>
      </c>
      <c r="D645">
        <v>0</v>
      </c>
      <c r="E645">
        <v>0</v>
      </c>
      <c r="G645" t="e">
        <f t="shared" si="50"/>
        <v>#NUM!</v>
      </c>
      <c r="H645" t="e">
        <f t="shared" si="51"/>
        <v>#NUM!</v>
      </c>
      <c r="I645" t="e">
        <f t="shared" si="52"/>
        <v>#NUM!</v>
      </c>
      <c r="J645" s="5"/>
      <c r="K645" t="e">
        <f t="shared" si="53"/>
        <v>#NUM!</v>
      </c>
      <c r="M645" t="e">
        <f t="shared" si="54"/>
        <v>#NUM!</v>
      </c>
      <c r="O645" s="2" t="s">
        <v>650</v>
      </c>
    </row>
    <row r="646" spans="1:15">
      <c r="A646">
        <v>644</v>
      </c>
      <c r="B646">
        <v>150</v>
      </c>
      <c r="C646">
        <v>0</v>
      </c>
      <c r="D646">
        <v>1</v>
      </c>
      <c r="E646">
        <v>0</v>
      </c>
      <c r="G646" t="e">
        <f t="shared" si="50"/>
        <v>#NUM!</v>
      </c>
      <c r="H646">
        <f t="shared" si="51"/>
        <v>-2.6221782800353752</v>
      </c>
      <c r="I646" t="e">
        <f t="shared" si="52"/>
        <v>#NUM!</v>
      </c>
      <c r="J646" s="5"/>
      <c r="K646" t="e">
        <f t="shared" si="53"/>
        <v>#NUM!</v>
      </c>
      <c r="M646" t="e">
        <f t="shared" si="54"/>
        <v>#NUM!</v>
      </c>
      <c r="O646" s="2" t="s">
        <v>651</v>
      </c>
    </row>
    <row r="647" spans="1:15">
      <c r="A647">
        <v>645</v>
      </c>
      <c r="B647">
        <v>77</v>
      </c>
      <c r="C647">
        <v>0</v>
      </c>
      <c r="D647">
        <v>1</v>
      </c>
      <c r="E647">
        <v>1</v>
      </c>
      <c r="G647" t="e">
        <f t="shared" si="50"/>
        <v>#NUM!</v>
      </c>
      <c r="H647">
        <f t="shared" si="51"/>
        <v>-2.3325777461521753</v>
      </c>
      <c r="I647">
        <f t="shared" si="52"/>
        <v>-2.3418607297212821</v>
      </c>
      <c r="J647" s="5"/>
      <c r="K647" t="e">
        <f t="shared" si="53"/>
        <v>#NUM!</v>
      </c>
      <c r="M647" t="e">
        <f t="shared" si="54"/>
        <v>#NUM!</v>
      </c>
      <c r="O647" s="2" t="s">
        <v>652</v>
      </c>
    </row>
    <row r="648" spans="1:15">
      <c r="A648">
        <v>646</v>
      </c>
      <c r="B648">
        <v>136</v>
      </c>
      <c r="C648">
        <v>0</v>
      </c>
      <c r="D648">
        <v>0</v>
      </c>
      <c r="E648">
        <v>2</v>
      </c>
      <c r="G648" t="e">
        <f t="shared" si="50"/>
        <v>#NUM!</v>
      </c>
      <c r="H648" t="e">
        <f t="shared" si="51"/>
        <v>#NUM!</v>
      </c>
      <c r="I648">
        <f t="shared" si="52"/>
        <v>-2.2878789172550364</v>
      </c>
      <c r="J648" s="5"/>
      <c r="K648" t="e">
        <f t="shared" si="53"/>
        <v>#NUM!</v>
      </c>
      <c r="M648" t="e">
        <f t="shared" si="54"/>
        <v>#NUM!</v>
      </c>
      <c r="O648" s="2" t="s">
        <v>653</v>
      </c>
    </row>
    <row r="649" spans="1:15">
      <c r="A649">
        <v>647</v>
      </c>
      <c r="B649">
        <v>56</v>
      </c>
      <c r="C649">
        <v>1</v>
      </c>
      <c r="D649">
        <v>0</v>
      </c>
      <c r="E649">
        <v>0</v>
      </c>
      <c r="G649">
        <f t="shared" si="50"/>
        <v>-2.3242114747497036</v>
      </c>
      <c r="H649" t="e">
        <f t="shared" si="51"/>
        <v>#NUM!</v>
      </c>
      <c r="I649" t="e">
        <f t="shared" si="52"/>
        <v>#NUM!</v>
      </c>
      <c r="J649" s="5"/>
      <c r="K649" t="e">
        <f t="shared" si="53"/>
        <v>#NUM!</v>
      </c>
      <c r="M649" t="e">
        <f t="shared" si="54"/>
        <v>#NUM!</v>
      </c>
      <c r="O649" s="2" t="s">
        <v>654</v>
      </c>
    </row>
    <row r="650" spans="1:15">
      <c r="A650">
        <v>648</v>
      </c>
      <c r="B650">
        <v>146</v>
      </c>
      <c r="C650">
        <v>1</v>
      </c>
      <c r="D650">
        <v>0</v>
      </c>
      <c r="E650">
        <v>0</v>
      </c>
      <c r="G650">
        <f t="shared" si="50"/>
        <v>-2.7403763035279405</v>
      </c>
      <c r="H650" t="e">
        <f t="shared" si="51"/>
        <v>#NUM!</v>
      </c>
      <c r="I650" t="e">
        <f t="shared" si="52"/>
        <v>#NUM!</v>
      </c>
      <c r="J650" s="5"/>
      <c r="K650" t="e">
        <f t="shared" si="53"/>
        <v>#NUM!</v>
      </c>
      <c r="M650" t="e">
        <f t="shared" si="54"/>
        <v>#NUM!</v>
      </c>
      <c r="O650" s="2" t="s">
        <v>655</v>
      </c>
    </row>
    <row r="651" spans="1:15">
      <c r="A651">
        <v>649</v>
      </c>
      <c r="B651">
        <v>46</v>
      </c>
      <c r="C651">
        <v>1</v>
      </c>
      <c r="D651">
        <v>2</v>
      </c>
      <c r="E651">
        <v>0</v>
      </c>
      <c r="G651">
        <f t="shared" si="50"/>
        <v>-2.2387812794250772</v>
      </c>
      <c r="H651">
        <f t="shared" si="51"/>
        <v>-1.8078148569972865</v>
      </c>
      <c r="I651" t="e">
        <f t="shared" si="52"/>
        <v>#NUM!</v>
      </c>
      <c r="J651" s="5"/>
      <c r="K651" t="e">
        <f t="shared" si="53"/>
        <v>#NUM!</v>
      </c>
      <c r="M651" t="e">
        <f t="shared" si="54"/>
        <v>#NUM!</v>
      </c>
      <c r="O651" s="2" t="s">
        <v>656</v>
      </c>
    </row>
    <row r="652" spans="1:15">
      <c r="A652">
        <v>650</v>
      </c>
      <c r="B652">
        <v>341</v>
      </c>
      <c r="C652">
        <v>38</v>
      </c>
      <c r="D652">
        <v>21</v>
      </c>
      <c r="E652">
        <v>36</v>
      </c>
      <c r="G652">
        <f t="shared" si="50"/>
        <v>-1.5289942301191908</v>
      </c>
      <c r="H652">
        <f t="shared" si="51"/>
        <v>-1.6566221052382721</v>
      </c>
      <c r="I652">
        <f t="shared" si="52"/>
        <v>-1.4318218827740106</v>
      </c>
      <c r="J652" s="5"/>
      <c r="K652">
        <f t="shared" si="53"/>
        <v>-1.5391460727104913</v>
      </c>
      <c r="M652">
        <f t="shared" si="54"/>
        <v>0.11274342524508593</v>
      </c>
      <c r="O652" s="2" t="s">
        <v>657</v>
      </c>
    </row>
    <row r="653" spans="1:15">
      <c r="A653">
        <v>651</v>
      </c>
      <c r="B653">
        <v>158</v>
      </c>
      <c r="C653">
        <v>1</v>
      </c>
      <c r="D653">
        <v>4</v>
      </c>
      <c r="E653">
        <v>2</v>
      </c>
      <c r="G653">
        <f t="shared" si="50"/>
        <v>-2.774680534697926</v>
      </c>
      <c r="H653">
        <f t="shared" si="51"/>
        <v>-2.042684116606154</v>
      </c>
      <c r="I653">
        <f t="shared" si="52"/>
        <v>-2.3529970958392417</v>
      </c>
      <c r="J653" s="5"/>
      <c r="K653">
        <f t="shared" si="53"/>
        <v>-2.3901205823811074</v>
      </c>
      <c r="M653">
        <f t="shared" si="54"/>
        <v>0.36740754478448295</v>
      </c>
      <c r="O653" s="2" t="s">
        <v>658</v>
      </c>
    </row>
    <row r="654" spans="1:15">
      <c r="A654">
        <v>652</v>
      </c>
      <c r="B654">
        <v>141</v>
      </c>
      <c r="C654">
        <v>0</v>
      </c>
      <c r="D654">
        <v>2</v>
      </c>
      <c r="E654">
        <v>1</v>
      </c>
      <c r="G654" t="e">
        <f t="shared" si="50"/>
        <v>#NUM!</v>
      </c>
      <c r="H654">
        <f t="shared" si="51"/>
        <v>-2.2942761379710923</v>
      </c>
      <c r="I654">
        <f t="shared" si="52"/>
        <v>-2.6045891172041804</v>
      </c>
      <c r="J654" s="5"/>
      <c r="K654" t="e">
        <f t="shared" si="53"/>
        <v>#NUM!</v>
      </c>
      <c r="M654" t="e">
        <f t="shared" si="54"/>
        <v>#NUM!</v>
      </c>
      <c r="O654" s="2" t="s">
        <v>659</v>
      </c>
    </row>
    <row r="655" spans="1:15">
      <c r="A655">
        <v>653</v>
      </c>
      <c r="B655">
        <v>122</v>
      </c>
      <c r="C655">
        <v>2</v>
      </c>
      <c r="D655">
        <v>1</v>
      </c>
      <c r="E655">
        <v>0</v>
      </c>
      <c r="G655">
        <f t="shared" si="50"/>
        <v>-2.36135328275427</v>
      </c>
      <c r="H655">
        <f t="shared" si="51"/>
        <v>-2.5324468516544423</v>
      </c>
      <c r="I655" t="e">
        <f t="shared" si="52"/>
        <v>#NUM!</v>
      </c>
      <c r="J655" s="5"/>
      <c r="K655" t="e">
        <f t="shared" si="53"/>
        <v>#NUM!</v>
      </c>
      <c r="M655" t="e">
        <f t="shared" si="54"/>
        <v>#NUM!</v>
      </c>
      <c r="O655" s="2" t="s">
        <v>660</v>
      </c>
    </row>
    <row r="656" spans="1:15">
      <c r="A656">
        <v>654</v>
      </c>
      <c r="B656">
        <v>101</v>
      </c>
      <c r="C656">
        <v>9</v>
      </c>
      <c r="D656">
        <v>0</v>
      </c>
      <c r="E656">
        <v>0</v>
      </c>
      <c r="G656">
        <f t="shared" si="50"/>
        <v>-1.626102312086821</v>
      </c>
      <c r="H656" t="e">
        <f t="shared" si="51"/>
        <v>#NUM!</v>
      </c>
      <c r="I656" t="e">
        <f t="shared" si="52"/>
        <v>#NUM!</v>
      </c>
      <c r="J656" s="5"/>
      <c r="K656" t="e">
        <f t="shared" si="53"/>
        <v>#NUM!</v>
      </c>
      <c r="M656" t="e">
        <f t="shared" si="54"/>
        <v>#NUM!</v>
      </c>
      <c r="O656" s="2" t="s">
        <v>661</v>
      </c>
    </row>
    <row r="657" spans="1:15">
      <c r="A657">
        <v>655</v>
      </c>
      <c r="B657">
        <v>383</v>
      </c>
      <c r="C657">
        <v>2</v>
      </c>
      <c r="D657">
        <v>2</v>
      </c>
      <c r="E657">
        <v>6</v>
      </c>
      <c r="G657">
        <f t="shared" si="50"/>
        <v>-2.8581922260481449</v>
      </c>
      <c r="H657">
        <f t="shared" si="51"/>
        <v>-2.7282557992843355</v>
      </c>
      <c r="I657">
        <f t="shared" si="52"/>
        <v>-2.2604175281337797</v>
      </c>
      <c r="J657" s="5"/>
      <c r="K657">
        <f t="shared" si="53"/>
        <v>-2.6156218511554199</v>
      </c>
      <c r="M657">
        <f t="shared" si="54"/>
        <v>0.31440173674772071</v>
      </c>
      <c r="O657" s="2" t="s">
        <v>662</v>
      </c>
    </row>
    <row r="658" spans="1:15">
      <c r="A658">
        <v>656</v>
      </c>
      <c r="B658">
        <v>95</v>
      </c>
      <c r="C658">
        <v>1</v>
      </c>
      <c r="D658">
        <v>0</v>
      </c>
      <c r="E658">
        <v>0</v>
      </c>
      <c r="G658">
        <f t="shared" si="50"/>
        <v>-2.5537470530323514</v>
      </c>
      <c r="H658" t="e">
        <f t="shared" si="51"/>
        <v>#NUM!</v>
      </c>
      <c r="I658" t="e">
        <f t="shared" si="52"/>
        <v>#NUM!</v>
      </c>
      <c r="J658" s="5"/>
      <c r="K658" t="e">
        <f t="shared" si="53"/>
        <v>#NUM!</v>
      </c>
      <c r="M658" t="e">
        <f t="shared" si="54"/>
        <v>#NUM!</v>
      </c>
      <c r="O658" s="2" t="s">
        <v>663</v>
      </c>
    </row>
    <row r="659" spans="1:15">
      <c r="A659">
        <v>657</v>
      </c>
      <c r="B659">
        <v>30</v>
      </c>
      <c r="C659">
        <v>1</v>
      </c>
      <c r="D659">
        <v>0</v>
      </c>
      <c r="E659">
        <v>1</v>
      </c>
      <c r="G659">
        <f t="shared" si="50"/>
        <v>-2.0531447024631655</v>
      </c>
      <c r="H659" t="e">
        <f t="shared" si="51"/>
        <v>#NUM!</v>
      </c>
      <c r="I659">
        <f t="shared" si="52"/>
        <v>-1.9324912592684627</v>
      </c>
      <c r="J659" s="5"/>
      <c r="K659" t="e">
        <f t="shared" si="53"/>
        <v>#NUM!</v>
      </c>
      <c r="M659" t="e">
        <f t="shared" si="54"/>
        <v>#NUM!</v>
      </c>
      <c r="O659" s="2" t="s">
        <v>664</v>
      </c>
    </row>
    <row r="660" spans="1:15">
      <c r="A660">
        <v>658</v>
      </c>
      <c r="B660">
        <v>297</v>
      </c>
      <c r="C660">
        <v>2</v>
      </c>
      <c r="D660">
        <v>4</v>
      </c>
      <c r="E660">
        <v>1</v>
      </c>
      <c r="G660">
        <f t="shared" si="50"/>
        <v>-2.7477499013967344</v>
      </c>
      <c r="H660">
        <f t="shared" si="51"/>
        <v>-2.3167834789689437</v>
      </c>
      <c r="I660">
        <f t="shared" si="52"/>
        <v>-2.9281264538660126</v>
      </c>
      <c r="J660" s="5"/>
      <c r="K660">
        <f t="shared" si="53"/>
        <v>-2.6642199447438966</v>
      </c>
      <c r="M660">
        <f t="shared" si="54"/>
        <v>0.31411462634334336</v>
      </c>
      <c r="O660" s="2" t="s">
        <v>665</v>
      </c>
    </row>
    <row r="661" spans="1:15">
      <c r="A661">
        <v>659</v>
      </c>
      <c r="B661">
        <v>69</v>
      </c>
      <c r="C661">
        <v>0</v>
      </c>
      <c r="D661">
        <v>0</v>
      </c>
      <c r="E661">
        <v>0</v>
      </c>
      <c r="G661" t="e">
        <f t="shared" si="50"/>
        <v>#NUM!</v>
      </c>
      <c r="H661" t="e">
        <f t="shared" si="51"/>
        <v>#NUM!</v>
      </c>
      <c r="I661" t="e">
        <f t="shared" si="52"/>
        <v>#NUM!</v>
      </c>
      <c r="J661" s="5"/>
      <c r="K661" t="e">
        <f t="shared" si="53"/>
        <v>#NUM!</v>
      </c>
      <c r="M661" t="e">
        <f t="shared" si="54"/>
        <v>#NUM!</v>
      </c>
      <c r="O661" s="2" t="s">
        <v>666</v>
      </c>
    </row>
    <row r="662" spans="1:15">
      <c r="A662">
        <v>660</v>
      </c>
      <c r="B662">
        <v>385</v>
      </c>
      <c r="C662">
        <v>4</v>
      </c>
      <c r="D662">
        <v>3</v>
      </c>
      <c r="E662">
        <v>6</v>
      </c>
      <c r="G662">
        <f t="shared" si="50"/>
        <v>-2.5594241859240414</v>
      </c>
      <c r="H662">
        <f t="shared" si="51"/>
        <v>-2.5544264957685323</v>
      </c>
      <c r="I662">
        <f t="shared" si="52"/>
        <v>-2.262679483673657</v>
      </c>
      <c r="J662" s="5"/>
      <c r="K662">
        <f t="shared" si="53"/>
        <v>-2.4588433884554104</v>
      </c>
      <c r="M662">
        <f t="shared" si="54"/>
        <v>0.16990130188183133</v>
      </c>
      <c r="O662" s="2" t="s">
        <v>667</v>
      </c>
    </row>
    <row r="663" spans="1:15">
      <c r="A663">
        <v>661</v>
      </c>
      <c r="B663">
        <v>236</v>
      </c>
      <c r="C663">
        <v>0</v>
      </c>
      <c r="D663">
        <v>2</v>
      </c>
      <c r="E663">
        <v>2</v>
      </c>
      <c r="G663" t="e">
        <f t="shared" si="50"/>
        <v>#NUM!</v>
      </c>
      <c r="H663">
        <f t="shared" si="51"/>
        <v>-2.5179690282858189</v>
      </c>
      <c r="I663">
        <f t="shared" si="52"/>
        <v>-2.5272520118549258</v>
      </c>
      <c r="J663" s="5"/>
      <c r="K663" t="e">
        <f t="shared" si="53"/>
        <v>#NUM!</v>
      </c>
      <c r="M663" t="e">
        <f t="shared" si="54"/>
        <v>#NUM!</v>
      </c>
      <c r="O663" s="2" t="s">
        <v>668</v>
      </c>
    </row>
    <row r="664" spans="1:15">
      <c r="A664">
        <v>662</v>
      </c>
      <c r="B664">
        <v>25</v>
      </c>
      <c r="C664">
        <v>0</v>
      </c>
      <c r="D664">
        <v>0</v>
      </c>
      <c r="E664">
        <v>0</v>
      </c>
      <c r="G664" t="e">
        <f t="shared" si="50"/>
        <v>#NUM!</v>
      </c>
      <c r="H664" t="e">
        <f t="shared" si="51"/>
        <v>#NUM!</v>
      </c>
      <c r="I664" t="e">
        <f t="shared" si="52"/>
        <v>#NUM!</v>
      </c>
      <c r="J664" s="5"/>
      <c r="K664" t="e">
        <f t="shared" si="53"/>
        <v>#NUM!</v>
      </c>
      <c r="M664" t="e">
        <f t="shared" si="54"/>
        <v>#NUM!</v>
      </c>
      <c r="O664" s="2" t="s">
        <v>669</v>
      </c>
    </row>
    <row r="665" spans="1:15">
      <c r="A665">
        <v>663</v>
      </c>
      <c r="B665">
        <v>118</v>
      </c>
      <c r="C665">
        <v>0</v>
      </c>
      <c r="D665">
        <v>3</v>
      </c>
      <c r="E665">
        <v>4</v>
      </c>
      <c r="G665" t="e">
        <f t="shared" si="50"/>
        <v>#NUM!</v>
      </c>
      <c r="H665">
        <f t="shared" si="51"/>
        <v>-2.0408477735661563</v>
      </c>
      <c r="I665">
        <f t="shared" si="52"/>
        <v>-1.9251920205269633</v>
      </c>
      <c r="J665" s="5"/>
      <c r="K665" t="e">
        <f t="shared" si="53"/>
        <v>#NUM!</v>
      </c>
      <c r="M665" t="e">
        <f t="shared" si="54"/>
        <v>#NUM!</v>
      </c>
      <c r="O665" s="2" t="s">
        <v>670</v>
      </c>
    </row>
    <row r="666" spans="1:15">
      <c r="A666">
        <v>664</v>
      </c>
      <c r="B666">
        <v>112</v>
      </c>
      <c r="C666">
        <v>2</v>
      </c>
      <c r="D666">
        <v>2</v>
      </c>
      <c r="E666">
        <v>0</v>
      </c>
      <c r="G666">
        <f t="shared" si="50"/>
        <v>-2.3242114747497036</v>
      </c>
      <c r="H666">
        <f t="shared" si="51"/>
        <v>-2.1942750479858941</v>
      </c>
      <c r="I666" t="e">
        <f t="shared" si="52"/>
        <v>#NUM!</v>
      </c>
      <c r="J666" s="5"/>
      <c r="K666" t="e">
        <f t="shared" si="53"/>
        <v>#NUM!</v>
      </c>
      <c r="M666" t="e">
        <f t="shared" si="54"/>
        <v>#NUM!</v>
      </c>
      <c r="O666" s="2" t="s">
        <v>671</v>
      </c>
    </row>
    <row r="667" spans="1:15">
      <c r="A667">
        <v>665</v>
      </c>
      <c r="B667">
        <v>213</v>
      </c>
      <c r="C667">
        <v>4</v>
      </c>
      <c r="D667">
        <v>2</v>
      </c>
      <c r="E667">
        <v>3</v>
      </c>
      <c r="G667">
        <f t="shared" si="50"/>
        <v>-2.3023430598542785</v>
      </c>
      <c r="H667">
        <f t="shared" si="51"/>
        <v>-2.4734366287544498</v>
      </c>
      <c r="I667">
        <f t="shared" si="52"/>
        <v>-2.3066283532678753</v>
      </c>
      <c r="J667" s="5"/>
      <c r="K667">
        <f t="shared" si="53"/>
        <v>-2.3608026806255347</v>
      </c>
      <c r="M667">
        <f t="shared" si="54"/>
        <v>9.756739023997997E-2</v>
      </c>
      <c r="O667" s="2" t="s">
        <v>672</v>
      </c>
    </row>
    <row r="668" spans="1:15">
      <c r="A668">
        <v>666</v>
      </c>
      <c r="B668">
        <v>150</v>
      </c>
      <c r="C668">
        <v>2</v>
      </c>
      <c r="D668">
        <v>0</v>
      </c>
      <c r="E668">
        <v>1</v>
      </c>
      <c r="G668">
        <f t="shared" si="50"/>
        <v>-2.4510847111352034</v>
      </c>
      <c r="H668" t="e">
        <f t="shared" si="51"/>
        <v>#NUM!</v>
      </c>
      <c r="I668">
        <f t="shared" si="52"/>
        <v>-2.6314612636044816</v>
      </c>
      <c r="J668" s="5"/>
      <c r="K668" t="e">
        <f t="shared" si="53"/>
        <v>#NUM!</v>
      </c>
      <c r="M668" t="e">
        <f t="shared" si="54"/>
        <v>#NUM!</v>
      </c>
      <c r="O668" s="2" t="s">
        <v>673</v>
      </c>
    </row>
    <row r="669" spans="1:15">
      <c r="A669">
        <v>667</v>
      </c>
      <c r="B669">
        <v>113</v>
      </c>
      <c r="C669">
        <v>0</v>
      </c>
      <c r="D669">
        <v>1</v>
      </c>
      <c r="E669">
        <v>0</v>
      </c>
      <c r="G669" t="e">
        <f t="shared" si="50"/>
        <v>#NUM!</v>
      </c>
      <c r="H669">
        <f t="shared" si="51"/>
        <v>-2.4991654644631138</v>
      </c>
      <c r="I669" t="e">
        <f t="shared" si="52"/>
        <v>#NUM!</v>
      </c>
      <c r="J669" s="5"/>
      <c r="K669" t="e">
        <f t="shared" si="53"/>
        <v>#NUM!</v>
      </c>
      <c r="M669" t="e">
        <f t="shared" si="54"/>
        <v>#NUM!</v>
      </c>
      <c r="O669" s="2" t="s">
        <v>674</v>
      </c>
    </row>
    <row r="670" spans="1:15">
      <c r="A670">
        <v>668</v>
      </c>
      <c r="B670">
        <v>65</v>
      </c>
      <c r="C670">
        <v>2</v>
      </c>
      <c r="D670">
        <v>0</v>
      </c>
      <c r="E670">
        <v>0</v>
      </c>
      <c r="G670">
        <f t="shared" si="50"/>
        <v>-2.0879068087223778</v>
      </c>
      <c r="H670" t="e">
        <f t="shared" si="51"/>
        <v>#NUM!</v>
      </c>
      <c r="I670" t="e">
        <f t="shared" si="52"/>
        <v>#NUM!</v>
      </c>
      <c r="J670" s="5"/>
      <c r="K670" t="e">
        <f t="shared" si="53"/>
        <v>#NUM!</v>
      </c>
      <c r="M670" t="e">
        <f t="shared" si="54"/>
        <v>#NUM!</v>
      </c>
      <c r="O670" s="2" t="s">
        <v>675</v>
      </c>
    </row>
    <row r="671" spans="1:15">
      <c r="A671">
        <v>669</v>
      </c>
      <c r="B671">
        <v>110</v>
      </c>
      <c r="C671">
        <v>0</v>
      </c>
      <c r="D671">
        <v>0</v>
      </c>
      <c r="E671">
        <v>0</v>
      </c>
      <c r="G671" t="e">
        <f t="shared" si="50"/>
        <v>#NUM!</v>
      </c>
      <c r="H671" t="e">
        <f t="shared" si="51"/>
        <v>#NUM!</v>
      </c>
      <c r="I671" t="e">
        <f t="shared" si="52"/>
        <v>#NUM!</v>
      </c>
      <c r="J671" s="5"/>
      <c r="K671" t="e">
        <f t="shared" si="53"/>
        <v>#NUM!</v>
      </c>
      <c r="M671" t="e">
        <f t="shared" si="54"/>
        <v>#NUM!</v>
      </c>
      <c r="O671" s="2" t="s">
        <v>676</v>
      </c>
    </row>
    <row r="672" spans="1:15">
      <c r="A672">
        <v>670</v>
      </c>
      <c r="B672">
        <v>22</v>
      </c>
      <c r="C672">
        <v>0</v>
      </c>
      <c r="D672">
        <v>0</v>
      </c>
      <c r="E672">
        <v>0</v>
      </c>
      <c r="G672" t="e">
        <f t="shared" si="50"/>
        <v>#NUM!</v>
      </c>
      <c r="H672" t="e">
        <f t="shared" si="51"/>
        <v>#NUM!</v>
      </c>
      <c r="I672" t="e">
        <f t="shared" si="52"/>
        <v>#NUM!</v>
      </c>
      <c r="J672" s="5"/>
      <c r="K672" t="e">
        <f t="shared" si="53"/>
        <v>#NUM!</v>
      </c>
      <c r="M672" t="e">
        <f t="shared" si="54"/>
        <v>#NUM!</v>
      </c>
      <c r="O672" s="2" t="s">
        <v>677</v>
      </c>
    </row>
    <row r="673" spans="1:15">
      <c r="A673">
        <v>671</v>
      </c>
      <c r="B673">
        <v>227</v>
      </c>
      <c r="C673">
        <v>2</v>
      </c>
      <c r="D673">
        <v>0</v>
      </c>
      <c r="E673">
        <v>5</v>
      </c>
      <c r="G673">
        <f t="shared" si="50"/>
        <v>-2.6310193092726446</v>
      </c>
      <c r="H673" t="e">
        <f t="shared" si="51"/>
        <v>#NUM!</v>
      </c>
      <c r="I673">
        <f t="shared" si="52"/>
        <v>-2.1124258574059045</v>
      </c>
      <c r="J673" s="5"/>
      <c r="K673" t="e">
        <f t="shared" si="53"/>
        <v>#NUM!</v>
      </c>
      <c r="M673" t="e">
        <f t="shared" si="54"/>
        <v>#NUM!</v>
      </c>
      <c r="O673" s="2" t="s">
        <v>678</v>
      </c>
    </row>
    <row r="674" spans="1:15">
      <c r="A674">
        <v>672</v>
      </c>
      <c r="B674">
        <v>23</v>
      </c>
      <c r="C674">
        <v>0</v>
      </c>
      <c r="D674">
        <v>0</v>
      </c>
      <c r="E674">
        <v>1</v>
      </c>
      <c r="G674" t="e">
        <f t="shared" si="50"/>
        <v>#NUM!</v>
      </c>
      <c r="H674" t="e">
        <f t="shared" si="51"/>
        <v>#NUM!</v>
      </c>
      <c r="I674">
        <f t="shared" si="52"/>
        <v>-1.8170978405663931</v>
      </c>
      <c r="J674" s="5"/>
      <c r="K674" t="e">
        <f t="shared" si="53"/>
        <v>#NUM!</v>
      </c>
      <c r="M674" t="e">
        <f t="shared" si="54"/>
        <v>#NUM!</v>
      </c>
      <c r="O674" s="2" t="s">
        <v>679</v>
      </c>
    </row>
    <row r="675" spans="1:15">
      <c r="A675">
        <v>673</v>
      </c>
      <c r="B675">
        <v>123</v>
      </c>
      <c r="C675">
        <v>1</v>
      </c>
      <c r="D675">
        <v>0</v>
      </c>
      <c r="E675">
        <v>1</v>
      </c>
      <c r="G675">
        <f t="shared" si="50"/>
        <v>-2.6659285591829014</v>
      </c>
      <c r="H675" t="e">
        <f t="shared" si="51"/>
        <v>#NUM!</v>
      </c>
      <c r="I675">
        <f t="shared" si="52"/>
        <v>-2.5452751159881983</v>
      </c>
      <c r="J675" s="5"/>
      <c r="K675" t="e">
        <f t="shared" si="53"/>
        <v>#NUM!</v>
      </c>
      <c r="M675" t="e">
        <f t="shared" si="54"/>
        <v>#NUM!</v>
      </c>
      <c r="O675" s="2" t="s">
        <v>680</v>
      </c>
    </row>
    <row r="676" spans="1:15">
      <c r="A676">
        <v>674</v>
      </c>
      <c r="B676">
        <v>263</v>
      </c>
      <c r="C676">
        <v>2</v>
      </c>
      <c r="D676">
        <v>3</v>
      </c>
      <c r="E676">
        <v>2</v>
      </c>
      <c r="G676">
        <f t="shared" si="50"/>
        <v>-2.6949492005692801</v>
      </c>
      <c r="H676">
        <f t="shared" si="51"/>
        <v>-2.3889215147497893</v>
      </c>
      <c r="I676">
        <f t="shared" si="52"/>
        <v>-2.5742957573745771</v>
      </c>
      <c r="J676" s="5"/>
      <c r="K676">
        <f t="shared" si="53"/>
        <v>-2.5527221575645487</v>
      </c>
      <c r="M676">
        <f t="shared" si="54"/>
        <v>0.15415025552551212</v>
      </c>
      <c r="O676" s="2" t="s">
        <v>681</v>
      </c>
    </row>
    <row r="677" spans="1:15">
      <c r="A677">
        <v>675</v>
      </c>
      <c r="B677">
        <v>65</v>
      </c>
      <c r="C677">
        <v>2</v>
      </c>
      <c r="D677">
        <v>0</v>
      </c>
      <c r="E677">
        <v>0</v>
      </c>
      <c r="G677">
        <f t="shared" si="50"/>
        <v>-2.0879068087223778</v>
      </c>
      <c r="H677" t="e">
        <f t="shared" si="51"/>
        <v>#NUM!</v>
      </c>
      <c r="I677" t="e">
        <f t="shared" si="52"/>
        <v>#NUM!</v>
      </c>
      <c r="J677" s="5"/>
      <c r="K677" t="e">
        <f t="shared" si="53"/>
        <v>#NUM!</v>
      </c>
      <c r="M677" t="e">
        <f t="shared" si="54"/>
        <v>#NUM!</v>
      </c>
      <c r="O677" s="2" t="s">
        <v>682</v>
      </c>
    </row>
    <row r="678" spans="1:15">
      <c r="A678">
        <v>676</v>
      </c>
      <c r="B678">
        <v>114</v>
      </c>
      <c r="C678">
        <v>0</v>
      </c>
      <c r="D678">
        <v>1</v>
      </c>
      <c r="E678">
        <v>1</v>
      </c>
      <c r="G678" t="e">
        <f t="shared" si="50"/>
        <v>#NUM!</v>
      </c>
      <c r="H678">
        <f t="shared" si="51"/>
        <v>-2.5029918723161666</v>
      </c>
      <c r="I678">
        <f t="shared" si="52"/>
        <v>-2.512274855885273</v>
      </c>
      <c r="J678" s="5"/>
      <c r="K678" t="e">
        <f t="shared" si="53"/>
        <v>#NUM!</v>
      </c>
      <c r="M678" t="e">
        <f t="shared" si="54"/>
        <v>#NUM!</v>
      </c>
      <c r="O678" s="2" t="s">
        <v>683</v>
      </c>
    </row>
    <row r="679" spans="1:15">
      <c r="A679">
        <v>677</v>
      </c>
      <c r="B679">
        <v>152</v>
      </c>
      <c r="C679">
        <v>1</v>
      </c>
      <c r="D679">
        <v>0</v>
      </c>
      <c r="E679">
        <v>0</v>
      </c>
      <c r="G679">
        <f t="shared" si="50"/>
        <v>-2.757867035688276</v>
      </c>
      <c r="H679" t="e">
        <f t="shared" si="51"/>
        <v>#NUM!</v>
      </c>
      <c r="I679" t="e">
        <f t="shared" si="52"/>
        <v>#NUM!</v>
      </c>
      <c r="J679" s="5"/>
      <c r="K679" t="e">
        <f t="shared" si="53"/>
        <v>#NUM!</v>
      </c>
      <c r="M679" t="e">
        <f t="shared" si="54"/>
        <v>#NUM!</v>
      </c>
      <c r="O679" s="2" t="s">
        <v>684</v>
      </c>
    </row>
    <row r="680" spans="1:15">
      <c r="A680">
        <v>678</v>
      </c>
      <c r="B680">
        <v>282</v>
      </c>
      <c r="C680">
        <v>1</v>
      </c>
      <c r="D680">
        <v>1</v>
      </c>
      <c r="E680">
        <v>1</v>
      </c>
      <c r="G680">
        <f t="shared" si="50"/>
        <v>-3.0262725560628643</v>
      </c>
      <c r="H680">
        <f t="shared" si="51"/>
        <v>-2.8963361292990548</v>
      </c>
      <c r="I680">
        <f t="shared" si="52"/>
        <v>-2.9056191128681612</v>
      </c>
      <c r="J680" s="5"/>
      <c r="K680">
        <f t="shared" si="53"/>
        <v>-2.9427425994100265</v>
      </c>
      <c r="M680">
        <f t="shared" si="54"/>
        <v>7.2487817526842122E-2</v>
      </c>
      <c r="O680" s="2" t="s">
        <v>685</v>
      </c>
    </row>
    <row r="681" spans="1:15">
      <c r="A681">
        <v>679</v>
      </c>
      <c r="B681">
        <v>86</v>
      </c>
      <c r="C681">
        <v>1</v>
      </c>
      <c r="D681">
        <v>2</v>
      </c>
      <c r="E681">
        <v>0</v>
      </c>
      <c r="G681">
        <f t="shared" si="50"/>
        <v>-2.5105218989870712</v>
      </c>
      <c r="H681">
        <f t="shared" si="51"/>
        <v>-2.0795554765592801</v>
      </c>
      <c r="I681" t="e">
        <f t="shared" si="52"/>
        <v>#NUM!</v>
      </c>
      <c r="J681" s="5"/>
      <c r="K681" t="e">
        <f t="shared" si="53"/>
        <v>#NUM!</v>
      </c>
      <c r="M681" t="e">
        <f t="shared" si="54"/>
        <v>#NUM!</v>
      </c>
      <c r="O681" s="2" t="s">
        <v>686</v>
      </c>
    </row>
    <row r="682" spans="1:15">
      <c r="A682">
        <v>680</v>
      </c>
      <c r="B682">
        <v>15</v>
      </c>
      <c r="C682">
        <v>1</v>
      </c>
      <c r="D682">
        <v>0</v>
      </c>
      <c r="E682">
        <v>0</v>
      </c>
      <c r="G682">
        <f t="shared" si="50"/>
        <v>-1.7521147067991847</v>
      </c>
      <c r="H682" t="e">
        <f t="shared" si="51"/>
        <v>#NUM!</v>
      </c>
      <c r="I682" t="e">
        <f t="shared" si="52"/>
        <v>#NUM!</v>
      </c>
      <c r="J682" s="5"/>
      <c r="K682" t="e">
        <f t="shared" si="53"/>
        <v>#NUM!</v>
      </c>
      <c r="M682" t="e">
        <f t="shared" si="54"/>
        <v>#NUM!</v>
      </c>
      <c r="O682" s="2" t="s">
        <v>687</v>
      </c>
    </row>
    <row r="683" spans="1:15">
      <c r="A683">
        <v>681</v>
      </c>
      <c r="B683">
        <v>35</v>
      </c>
      <c r="C683">
        <v>2</v>
      </c>
      <c r="D683">
        <v>0</v>
      </c>
      <c r="E683">
        <v>0</v>
      </c>
      <c r="G683">
        <f t="shared" si="50"/>
        <v>-1.8190614964297978</v>
      </c>
      <c r="H683" t="e">
        <f t="shared" si="51"/>
        <v>#NUM!</v>
      </c>
      <c r="I683" t="e">
        <f t="shared" si="52"/>
        <v>#NUM!</v>
      </c>
      <c r="J683" s="5"/>
      <c r="K683" t="e">
        <f t="shared" si="53"/>
        <v>#NUM!</v>
      </c>
      <c r="M683" t="e">
        <f t="shared" si="54"/>
        <v>#NUM!</v>
      </c>
      <c r="O683" s="2" t="s">
        <v>688</v>
      </c>
    </row>
    <row r="684" spans="1:15">
      <c r="A684">
        <v>682</v>
      </c>
      <c r="B684">
        <v>88</v>
      </c>
      <c r="C684">
        <v>0</v>
      </c>
      <c r="D684">
        <v>1</v>
      </c>
      <c r="E684">
        <v>0</v>
      </c>
      <c r="G684" t="e">
        <f t="shared" si="50"/>
        <v>#NUM!</v>
      </c>
      <c r="H684">
        <f t="shared" si="51"/>
        <v>-2.3905696931298621</v>
      </c>
      <c r="I684" t="e">
        <f t="shared" si="52"/>
        <v>#NUM!</v>
      </c>
      <c r="J684" s="5"/>
      <c r="K684" t="e">
        <f t="shared" si="53"/>
        <v>#NUM!</v>
      </c>
      <c r="M684" t="e">
        <f t="shared" si="54"/>
        <v>#NUM!</v>
      </c>
      <c r="O684" s="2" t="s">
        <v>689</v>
      </c>
    </row>
    <row r="685" spans="1:15">
      <c r="A685">
        <v>683</v>
      </c>
      <c r="B685">
        <v>25</v>
      </c>
      <c r="C685">
        <v>0</v>
      </c>
      <c r="D685">
        <v>0</v>
      </c>
      <c r="E685">
        <v>0</v>
      </c>
      <c r="G685" t="e">
        <f t="shared" si="50"/>
        <v>#NUM!</v>
      </c>
      <c r="H685" t="e">
        <f t="shared" si="51"/>
        <v>#NUM!</v>
      </c>
      <c r="I685" t="e">
        <f t="shared" si="52"/>
        <v>#NUM!</v>
      </c>
      <c r="J685" s="5"/>
      <c r="K685" t="e">
        <f t="shared" si="53"/>
        <v>#NUM!</v>
      </c>
      <c r="M685" t="e">
        <f t="shared" si="54"/>
        <v>#NUM!</v>
      </c>
      <c r="O685" s="2" t="s">
        <v>690</v>
      </c>
    </row>
    <row r="686" spans="1:15">
      <c r="A686">
        <v>684</v>
      </c>
      <c r="B686">
        <v>105</v>
      </c>
      <c r="C686">
        <v>0</v>
      </c>
      <c r="D686">
        <v>1</v>
      </c>
      <c r="E686">
        <v>0</v>
      </c>
      <c r="G686" t="e">
        <f t="shared" si="50"/>
        <v>#NUM!</v>
      </c>
      <c r="H686">
        <f t="shared" si="51"/>
        <v>-2.4672763200496313</v>
      </c>
      <c r="I686" t="e">
        <f t="shared" si="52"/>
        <v>#NUM!</v>
      </c>
      <c r="J686" s="5"/>
      <c r="K686" t="e">
        <f t="shared" si="53"/>
        <v>#NUM!</v>
      </c>
      <c r="M686" t="e">
        <f t="shared" si="54"/>
        <v>#NUM!</v>
      </c>
      <c r="O686" s="2" t="s">
        <v>691</v>
      </c>
    </row>
    <row r="687" spans="1:15">
      <c r="A687">
        <v>685</v>
      </c>
      <c r="B687">
        <v>137</v>
      </c>
      <c r="C687">
        <v>2</v>
      </c>
      <c r="D687">
        <v>2</v>
      </c>
      <c r="E687">
        <v>1</v>
      </c>
      <c r="G687">
        <f t="shared" si="50"/>
        <v>-2.4117140192359292</v>
      </c>
      <c r="H687">
        <f t="shared" si="51"/>
        <v>-2.2817775924721193</v>
      </c>
      <c r="I687">
        <f t="shared" si="52"/>
        <v>-2.592090571705207</v>
      </c>
      <c r="J687" s="5"/>
      <c r="K687">
        <f t="shared" si="53"/>
        <v>-2.4285273944710855</v>
      </c>
      <c r="M687">
        <f t="shared" si="54"/>
        <v>0.15583822849425391</v>
      </c>
      <c r="O687" s="2" t="s">
        <v>692</v>
      </c>
    </row>
    <row r="688" spans="1:15">
      <c r="A688">
        <v>686</v>
      </c>
      <c r="B688">
        <v>155</v>
      </c>
      <c r="C688">
        <v>0</v>
      </c>
      <c r="D688">
        <v>1</v>
      </c>
      <c r="E688">
        <v>2</v>
      </c>
      <c r="G688" t="e">
        <f t="shared" si="50"/>
        <v>#NUM!</v>
      </c>
      <c r="H688">
        <f t="shared" si="51"/>
        <v>-2.6364187191499848</v>
      </c>
      <c r="I688">
        <f t="shared" si="52"/>
        <v>-2.3446717070551104</v>
      </c>
      <c r="J688" s="5"/>
      <c r="K688" t="e">
        <f t="shared" si="53"/>
        <v>#NUM!</v>
      </c>
      <c r="M688" t="e">
        <f t="shared" si="54"/>
        <v>#NUM!</v>
      </c>
      <c r="O688" s="2" t="s">
        <v>693</v>
      </c>
    </row>
    <row r="689" spans="1:15">
      <c r="A689">
        <v>687</v>
      </c>
      <c r="B689">
        <v>69</v>
      </c>
      <c r="C689">
        <v>1</v>
      </c>
      <c r="D689">
        <v>0</v>
      </c>
      <c r="E689">
        <v>0</v>
      </c>
      <c r="G689">
        <f t="shared" si="50"/>
        <v>-2.4148725384807586</v>
      </c>
      <c r="H689" t="e">
        <f t="shared" si="51"/>
        <v>#NUM!</v>
      </c>
      <c r="I689" t="e">
        <f t="shared" si="52"/>
        <v>#NUM!</v>
      </c>
      <c r="J689" s="5"/>
      <c r="K689" t="e">
        <f t="shared" si="53"/>
        <v>#NUM!</v>
      </c>
      <c r="M689" t="e">
        <f t="shared" si="54"/>
        <v>#NUM!</v>
      </c>
      <c r="O689" s="2" t="s">
        <v>694</v>
      </c>
    </row>
    <row r="690" spans="1:15">
      <c r="A690">
        <v>688</v>
      </c>
      <c r="B690">
        <v>310</v>
      </c>
      <c r="C690">
        <v>12</v>
      </c>
      <c r="D690">
        <v>6</v>
      </c>
      <c r="E690">
        <v>11</v>
      </c>
      <c r="G690">
        <f t="shared" si="50"/>
        <v>-1.9882038955301511</v>
      </c>
      <c r="H690">
        <f t="shared" si="51"/>
        <v>-2.1592974644303227</v>
      </c>
      <c r="I690">
        <f t="shared" si="52"/>
        <v>-1.905339013224848</v>
      </c>
      <c r="J690" s="5"/>
      <c r="K690">
        <f t="shared" si="53"/>
        <v>-2.0176134577284408</v>
      </c>
      <c r="M690">
        <f t="shared" si="54"/>
        <v>0.12950836071926844</v>
      </c>
      <c r="O690" s="2" t="s">
        <v>695</v>
      </c>
    </row>
    <row r="691" spans="1:15">
      <c r="A691">
        <v>689</v>
      </c>
      <c r="B691">
        <v>18</v>
      </c>
      <c r="C691">
        <v>0</v>
      </c>
      <c r="D691">
        <v>0</v>
      </c>
      <c r="E691">
        <v>0</v>
      </c>
      <c r="G691" t="e">
        <f t="shared" si="50"/>
        <v>#NUM!</v>
      </c>
      <c r="H691" t="e">
        <f t="shared" si="51"/>
        <v>#NUM!</v>
      </c>
      <c r="I691" t="e">
        <f t="shared" si="52"/>
        <v>#NUM!</v>
      </c>
      <c r="J691" s="5"/>
      <c r="K691" t="e">
        <f t="shared" si="53"/>
        <v>#NUM!</v>
      </c>
      <c r="M691" t="e">
        <f t="shared" si="54"/>
        <v>#NUM!</v>
      </c>
      <c r="O691" s="2" t="s">
        <v>696</v>
      </c>
    </row>
    <row r="692" spans="1:15">
      <c r="A692">
        <v>690</v>
      </c>
      <c r="B692">
        <v>220</v>
      </c>
      <c r="C692">
        <v>1</v>
      </c>
      <c r="D692">
        <v>1</v>
      </c>
      <c r="E692">
        <v>2</v>
      </c>
      <c r="G692">
        <f t="shared" si="50"/>
        <v>-2.9184461285657095</v>
      </c>
      <c r="H692">
        <f t="shared" si="51"/>
        <v>-2.7885097018018996</v>
      </c>
      <c r="I692">
        <f t="shared" si="52"/>
        <v>-2.4967626897070252</v>
      </c>
      <c r="J692" s="5"/>
      <c r="K692">
        <f t="shared" si="53"/>
        <v>-2.7345728400248781</v>
      </c>
      <c r="M692">
        <f t="shared" si="54"/>
        <v>0.21595397529493773</v>
      </c>
      <c r="O692" s="2" t="s">
        <v>697</v>
      </c>
    </row>
    <row r="693" spans="1:15">
      <c r="A693">
        <v>691</v>
      </c>
      <c r="B693">
        <v>160</v>
      </c>
      <c r="C693">
        <v>0</v>
      </c>
      <c r="D693">
        <v>2</v>
      </c>
      <c r="E693">
        <v>1</v>
      </c>
      <c r="G693" t="e">
        <f t="shared" si="50"/>
        <v>#NUM!</v>
      </c>
      <c r="H693">
        <f t="shared" si="51"/>
        <v>-2.3491770079716372</v>
      </c>
      <c r="I693">
        <f t="shared" si="52"/>
        <v>-2.6594899872047248</v>
      </c>
      <c r="J693" s="5"/>
      <c r="K693" t="e">
        <f t="shared" si="53"/>
        <v>#NUM!</v>
      </c>
      <c r="M693" t="e">
        <f t="shared" si="54"/>
        <v>#NUM!</v>
      </c>
      <c r="O693" s="2" t="s">
        <v>698</v>
      </c>
    </row>
    <row r="694" spans="1:15">
      <c r="A694">
        <v>692</v>
      </c>
      <c r="B694">
        <v>50</v>
      </c>
      <c r="C694">
        <v>0</v>
      </c>
      <c r="D694">
        <v>0</v>
      </c>
      <c r="E694">
        <v>0</v>
      </c>
      <c r="G694" t="e">
        <f t="shared" si="50"/>
        <v>#NUM!</v>
      </c>
      <c r="H694" t="e">
        <f t="shared" si="51"/>
        <v>#NUM!</v>
      </c>
      <c r="I694" t="e">
        <f t="shared" si="52"/>
        <v>#NUM!</v>
      </c>
      <c r="J694" s="5"/>
      <c r="K694" t="e">
        <f t="shared" si="53"/>
        <v>#NUM!</v>
      </c>
      <c r="M694" t="e">
        <f t="shared" si="54"/>
        <v>#NUM!</v>
      </c>
      <c r="O694" s="2" t="s">
        <v>699</v>
      </c>
    </row>
    <row r="695" spans="1:15">
      <c r="A695">
        <v>693</v>
      </c>
      <c r="B695">
        <v>24</v>
      </c>
      <c r="C695">
        <v>0</v>
      </c>
      <c r="D695">
        <v>0</v>
      </c>
      <c r="E695">
        <v>0</v>
      </c>
      <c r="G695" t="e">
        <f t="shared" si="50"/>
        <v>#NUM!</v>
      </c>
      <c r="H695" t="e">
        <f t="shared" si="51"/>
        <v>#NUM!</v>
      </c>
      <c r="I695" t="e">
        <f t="shared" si="52"/>
        <v>#NUM!</v>
      </c>
      <c r="J695" s="5"/>
      <c r="K695" t="e">
        <f t="shared" si="53"/>
        <v>#NUM!</v>
      </c>
      <c r="M695" t="e">
        <f t="shared" si="54"/>
        <v>#NUM!</v>
      </c>
      <c r="O695" s="2" t="s">
        <v>700</v>
      </c>
    </row>
    <row r="696" spans="1:15">
      <c r="A696">
        <v>694</v>
      </c>
      <c r="B696">
        <v>309</v>
      </c>
      <c r="C696">
        <v>1</v>
      </c>
      <c r="D696">
        <v>1</v>
      </c>
      <c r="E696">
        <v>3</v>
      </c>
      <c r="G696">
        <f t="shared" si="50"/>
        <v>-3.065981927168338</v>
      </c>
      <c r="H696">
        <f t="shared" si="51"/>
        <v>-2.9360455004045285</v>
      </c>
      <c r="I696">
        <f t="shared" si="52"/>
        <v>-2.4682072292539727</v>
      </c>
      <c r="J696" s="5"/>
      <c r="K696">
        <f t="shared" si="53"/>
        <v>-2.8234115522756134</v>
      </c>
      <c r="M696">
        <f t="shared" si="54"/>
        <v>0.31440173674772065</v>
      </c>
      <c r="O696" s="2" t="s">
        <v>701</v>
      </c>
    </row>
    <row r="697" spans="1:15">
      <c r="A697">
        <v>695</v>
      </c>
      <c r="B697">
        <v>382</v>
      </c>
      <c r="C697">
        <v>4</v>
      </c>
      <c r="D697">
        <v>3</v>
      </c>
      <c r="E697">
        <v>0</v>
      </c>
      <c r="G697">
        <f t="shared" si="50"/>
        <v>-2.5560268193272497</v>
      </c>
      <c r="H697">
        <f t="shared" si="51"/>
        <v>-2.5510291291717397</v>
      </c>
      <c r="I697" t="e">
        <f t="shared" si="52"/>
        <v>#NUM!</v>
      </c>
      <c r="J697" s="5"/>
      <c r="K697" t="e">
        <f t="shared" si="53"/>
        <v>#NUM!</v>
      </c>
      <c r="M697" t="e">
        <f t="shared" si="54"/>
        <v>#NUM!</v>
      </c>
      <c r="O697" s="2" t="s">
        <v>702</v>
      </c>
    </row>
    <row r="698" spans="1:15">
      <c r="A698">
        <v>696</v>
      </c>
      <c r="B698">
        <v>84</v>
      </c>
      <c r="C698">
        <v>120</v>
      </c>
      <c r="D698">
        <v>107</v>
      </c>
      <c r="E698">
        <v>130</v>
      </c>
      <c r="G698">
        <f t="shared" si="50"/>
        <v>-0.42112148775776015</v>
      </c>
      <c r="H698">
        <f t="shared" si="51"/>
        <v>-0.34098252935636569</v>
      </c>
      <c r="I698">
        <f t="shared" si="52"/>
        <v>-0.26570593830384515</v>
      </c>
      <c r="J698" s="5"/>
      <c r="K698">
        <f t="shared" si="53"/>
        <v>-0.34260331847265696</v>
      </c>
      <c r="M698">
        <f t="shared" si="54"/>
        <v>7.772045079022126E-2</v>
      </c>
      <c r="O698" s="2" t="s">
        <v>703</v>
      </c>
    </row>
    <row r="699" spans="1:15">
      <c r="A699">
        <v>697</v>
      </c>
      <c r="B699">
        <v>237</v>
      </c>
      <c r="C699">
        <v>2</v>
      </c>
      <c r="D699">
        <v>3</v>
      </c>
      <c r="E699">
        <v>1</v>
      </c>
      <c r="G699">
        <f t="shared" si="50"/>
        <v>-2.6497417980896261</v>
      </c>
      <c r="H699">
        <f t="shared" si="51"/>
        <v>-2.3437141122701348</v>
      </c>
      <c r="I699">
        <f t="shared" si="52"/>
        <v>-2.8301183505589043</v>
      </c>
      <c r="J699" s="5"/>
      <c r="K699">
        <f t="shared" si="53"/>
        <v>-2.6078580869728882</v>
      </c>
      <c r="M699">
        <f t="shared" si="54"/>
        <v>0.2458921607107519</v>
      </c>
      <c r="O699" s="2" t="s">
        <v>704</v>
      </c>
    </row>
    <row r="700" spans="1:15">
      <c r="A700">
        <v>698</v>
      </c>
      <c r="B700">
        <v>39</v>
      </c>
      <c r="C700">
        <v>0</v>
      </c>
      <c r="D700">
        <v>0</v>
      </c>
      <c r="E700">
        <v>0</v>
      </c>
      <c r="G700" t="e">
        <f t="shared" si="50"/>
        <v>#NUM!</v>
      </c>
      <c r="H700" t="e">
        <f t="shared" si="51"/>
        <v>#NUM!</v>
      </c>
      <c r="I700" t="e">
        <f t="shared" si="52"/>
        <v>#NUM!</v>
      </c>
      <c r="J700" s="5"/>
      <c r="K700" t="e">
        <f t="shared" si="53"/>
        <v>#NUM!</v>
      </c>
      <c r="M700" t="e">
        <f t="shared" si="54"/>
        <v>#NUM!</v>
      </c>
      <c r="O700" s="2" t="s">
        <v>705</v>
      </c>
    </row>
    <row r="701" spans="1:15">
      <c r="A701">
        <v>699</v>
      </c>
      <c r="B701">
        <v>222</v>
      </c>
      <c r="C701">
        <v>1</v>
      </c>
      <c r="D701">
        <v>2</v>
      </c>
      <c r="E701">
        <v>1</v>
      </c>
      <c r="G701">
        <f t="shared" si="50"/>
        <v>-2.9223764221941422</v>
      </c>
      <c r="H701">
        <f t="shared" si="51"/>
        <v>-2.4914099997663515</v>
      </c>
      <c r="I701">
        <f t="shared" si="52"/>
        <v>-2.8017229789994391</v>
      </c>
      <c r="J701" s="5"/>
      <c r="K701">
        <f t="shared" si="53"/>
        <v>-2.7385031336533108</v>
      </c>
      <c r="M701">
        <f t="shared" si="54"/>
        <v>0.22232988091852052</v>
      </c>
      <c r="O701" s="2" t="s">
        <v>706</v>
      </c>
    </row>
    <row r="702" spans="1:15">
      <c r="A702">
        <v>700</v>
      </c>
      <c r="B702">
        <v>330</v>
      </c>
      <c r="C702">
        <v>5</v>
      </c>
      <c r="D702">
        <v>2</v>
      </c>
      <c r="E702">
        <v>2</v>
      </c>
      <c r="G702">
        <f t="shared" si="50"/>
        <v>-2.3955673832853721</v>
      </c>
      <c r="H702">
        <f t="shared" si="51"/>
        <v>-2.6635709651935997</v>
      </c>
      <c r="I702">
        <f t="shared" si="52"/>
        <v>-2.6728539487627065</v>
      </c>
      <c r="J702" s="5"/>
      <c r="K702">
        <f t="shared" si="53"/>
        <v>-2.577330765747226</v>
      </c>
      <c r="M702">
        <f t="shared" si="54"/>
        <v>0.15748012207566625</v>
      </c>
      <c r="O702" s="2" t="s">
        <v>707</v>
      </c>
    </row>
    <row r="703" spans="1:15">
      <c r="A703">
        <v>701</v>
      </c>
      <c r="B703">
        <v>78</v>
      </c>
      <c r="C703">
        <v>1</v>
      </c>
      <c r="D703">
        <v>0</v>
      </c>
      <c r="E703">
        <v>1</v>
      </c>
      <c r="G703">
        <f t="shared" si="50"/>
        <v>-2.4681180504339837</v>
      </c>
      <c r="H703" t="e">
        <f t="shared" si="51"/>
        <v>#NUM!</v>
      </c>
      <c r="I703">
        <f t="shared" si="52"/>
        <v>-2.3474646072392806</v>
      </c>
      <c r="J703" s="5"/>
      <c r="K703" t="e">
        <f t="shared" si="53"/>
        <v>#NUM!</v>
      </c>
      <c r="M703" t="e">
        <f t="shared" si="54"/>
        <v>#NUM!</v>
      </c>
      <c r="O703" s="2" t="s">
        <v>708</v>
      </c>
    </row>
    <row r="704" spans="1:15">
      <c r="A704">
        <v>702</v>
      </c>
      <c r="B704">
        <v>97</v>
      </c>
      <c r="C704">
        <v>0</v>
      </c>
      <c r="D704">
        <v>0</v>
      </c>
      <c r="E704">
        <v>1</v>
      </c>
      <c r="G704" t="e">
        <f t="shared" si="50"/>
        <v>#NUM!</v>
      </c>
      <c r="H704" t="e">
        <f t="shared" si="51"/>
        <v>#NUM!</v>
      </c>
      <c r="I704">
        <f t="shared" si="52"/>
        <v>-2.442141738815045</v>
      </c>
      <c r="J704" s="5"/>
      <c r="K704" t="e">
        <f t="shared" si="53"/>
        <v>#NUM!</v>
      </c>
      <c r="M704" t="e">
        <f t="shared" si="54"/>
        <v>#NUM!</v>
      </c>
      <c r="O704" s="2" t="s">
        <v>709</v>
      </c>
    </row>
    <row r="705" spans="1:15">
      <c r="A705">
        <v>703</v>
      </c>
      <c r="B705">
        <v>83</v>
      </c>
      <c r="C705">
        <v>1</v>
      </c>
      <c r="D705">
        <v>1</v>
      </c>
      <c r="E705">
        <v>2</v>
      </c>
      <c r="G705">
        <f t="shared" si="50"/>
        <v>-2.4951015401195775</v>
      </c>
      <c r="H705">
        <f t="shared" si="51"/>
        <v>-2.3651651133557676</v>
      </c>
      <c r="I705">
        <f t="shared" si="52"/>
        <v>-2.0734181012608932</v>
      </c>
      <c r="J705" s="5"/>
      <c r="K705">
        <f t="shared" si="53"/>
        <v>-2.3112282515787461</v>
      </c>
      <c r="M705">
        <f t="shared" si="54"/>
        <v>0.21595397529493773</v>
      </c>
      <c r="O705" s="2" t="s">
        <v>710</v>
      </c>
    </row>
    <row r="706" spans="1:15">
      <c r="A706">
        <v>704</v>
      </c>
      <c r="B706">
        <v>240</v>
      </c>
      <c r="C706">
        <v>2</v>
      </c>
      <c r="D706">
        <v>0</v>
      </c>
      <c r="E706">
        <v>1</v>
      </c>
      <c r="G706">
        <f t="shared" ref="G706:G769" si="55">LOG10(C706/B706)-LOG10(437/116)</f>
        <v>-2.655204693791128</v>
      </c>
      <c r="H706" t="e">
        <f t="shared" ref="H706:H769" si="56">LOG10(D706/B706)-LOG10(324/116)</f>
        <v>#NUM!</v>
      </c>
      <c r="I706">
        <f t="shared" ref="I706:I769" si="57">LOG10(E706/B706)-LOG10(331/116)</f>
        <v>-2.8355812462604062</v>
      </c>
      <c r="J706" s="5"/>
      <c r="K706" t="e">
        <f t="shared" ref="K706:K769" si="58">AVERAGE(G706:I706)</f>
        <v>#NUM!</v>
      </c>
      <c r="M706" t="e">
        <f t="shared" ref="M706:M769" si="59">STDEV(G706:I706)</f>
        <v>#NUM!</v>
      </c>
      <c r="O706" s="2" t="s">
        <v>711</v>
      </c>
    </row>
    <row r="707" spans="1:15">
      <c r="A707">
        <v>705</v>
      </c>
      <c r="B707">
        <v>16</v>
      </c>
      <c r="C707">
        <v>0</v>
      </c>
      <c r="D707">
        <v>0</v>
      </c>
      <c r="E707">
        <v>0</v>
      </c>
      <c r="G707" t="e">
        <f t="shared" si="55"/>
        <v>#NUM!</v>
      </c>
      <c r="H707" t="e">
        <f t="shared" si="56"/>
        <v>#NUM!</v>
      </c>
      <c r="I707" t="e">
        <f t="shared" si="57"/>
        <v>#NUM!</v>
      </c>
      <c r="J707" s="5"/>
      <c r="K707" t="e">
        <f t="shared" si="58"/>
        <v>#NUM!</v>
      </c>
      <c r="M707" t="e">
        <f t="shared" si="59"/>
        <v>#NUM!</v>
      </c>
      <c r="O707" s="2" t="s">
        <v>712</v>
      </c>
    </row>
    <row r="708" spans="1:15">
      <c r="A708">
        <v>706</v>
      </c>
      <c r="B708">
        <v>52</v>
      </c>
      <c r="C708">
        <v>0</v>
      </c>
      <c r="D708">
        <v>0</v>
      </c>
      <c r="E708">
        <v>0</v>
      </c>
      <c r="G708" t="e">
        <f t="shared" si="55"/>
        <v>#NUM!</v>
      </c>
      <c r="H708" t="e">
        <f t="shared" si="56"/>
        <v>#NUM!</v>
      </c>
      <c r="I708" t="e">
        <f t="shared" si="57"/>
        <v>#NUM!</v>
      </c>
      <c r="J708" s="5"/>
      <c r="K708" t="e">
        <f t="shared" si="58"/>
        <v>#NUM!</v>
      </c>
      <c r="M708" t="e">
        <f t="shared" si="59"/>
        <v>#NUM!</v>
      </c>
      <c r="O708" s="2" t="s">
        <v>713</v>
      </c>
    </row>
    <row r="709" spans="1:15">
      <c r="A709">
        <v>707</v>
      </c>
      <c r="B709">
        <v>474</v>
      </c>
      <c r="C709">
        <v>4</v>
      </c>
      <c r="D709">
        <v>7</v>
      </c>
      <c r="E709">
        <v>4</v>
      </c>
      <c r="G709">
        <f t="shared" si="55"/>
        <v>-2.6497417980896261</v>
      </c>
      <c r="H709">
        <f t="shared" si="56"/>
        <v>-2.2767673226395218</v>
      </c>
      <c r="I709">
        <f t="shared" si="57"/>
        <v>-2.529088354894923</v>
      </c>
      <c r="J709" s="5"/>
      <c r="K709">
        <f t="shared" si="58"/>
        <v>-2.4851991585413571</v>
      </c>
      <c r="M709">
        <f t="shared" si="59"/>
        <v>0.19032127049213793</v>
      </c>
      <c r="O709" s="2" t="s">
        <v>714</v>
      </c>
    </row>
    <row r="710" spans="1:15">
      <c r="A710">
        <v>708</v>
      </c>
      <c r="B710">
        <v>65</v>
      </c>
      <c r="C710">
        <v>0</v>
      </c>
      <c r="D710">
        <v>0</v>
      </c>
      <c r="E710">
        <v>0</v>
      </c>
      <c r="G710" t="e">
        <f t="shared" si="55"/>
        <v>#NUM!</v>
      </c>
      <c r="H710" t="e">
        <f t="shared" si="56"/>
        <v>#NUM!</v>
      </c>
      <c r="I710" t="e">
        <f t="shared" si="57"/>
        <v>#NUM!</v>
      </c>
      <c r="J710" s="5"/>
      <c r="K710" t="e">
        <f t="shared" si="58"/>
        <v>#NUM!</v>
      </c>
      <c r="M710" t="e">
        <f t="shared" si="59"/>
        <v>#NUM!</v>
      </c>
      <c r="O710" s="2" t="s">
        <v>715</v>
      </c>
    </row>
    <row r="711" spans="1:15">
      <c r="A711">
        <v>709</v>
      </c>
      <c r="B711">
        <v>224</v>
      </c>
      <c r="C711">
        <v>3</v>
      </c>
      <c r="D711">
        <v>2</v>
      </c>
      <c r="E711">
        <v>3</v>
      </c>
      <c r="G711">
        <f t="shared" si="55"/>
        <v>-2.4491502113580035</v>
      </c>
      <c r="H711">
        <f t="shared" si="56"/>
        <v>-2.4953050436498749</v>
      </c>
      <c r="I711">
        <f t="shared" si="57"/>
        <v>-2.3284967681633004</v>
      </c>
      <c r="J711" s="5"/>
      <c r="K711">
        <f t="shared" si="58"/>
        <v>-2.4243173410570598</v>
      </c>
      <c r="M711">
        <f t="shared" si="59"/>
        <v>8.6132187817556674E-2</v>
      </c>
      <c r="O711" s="2" t="s">
        <v>716</v>
      </c>
    </row>
    <row r="712" spans="1:15">
      <c r="A712">
        <v>710</v>
      </c>
      <c r="B712">
        <v>83</v>
      </c>
      <c r="C712">
        <v>1</v>
      </c>
      <c r="D712">
        <v>0</v>
      </c>
      <c r="E712">
        <v>2</v>
      </c>
      <c r="G712">
        <f t="shared" si="55"/>
        <v>-2.4951015401195775</v>
      </c>
      <c r="H712" t="e">
        <f t="shared" si="56"/>
        <v>#NUM!</v>
      </c>
      <c r="I712">
        <f t="shared" si="57"/>
        <v>-2.0734181012608932</v>
      </c>
      <c r="J712" s="5"/>
      <c r="K712" t="e">
        <f t="shared" si="58"/>
        <v>#NUM!</v>
      </c>
      <c r="M712" t="e">
        <f t="shared" si="59"/>
        <v>#NUM!</v>
      </c>
      <c r="O712" s="2" t="s">
        <v>717</v>
      </c>
    </row>
    <row r="713" spans="1:15">
      <c r="A713">
        <v>711</v>
      </c>
      <c r="B713">
        <v>183</v>
      </c>
      <c r="C713">
        <v>0</v>
      </c>
      <c r="D713">
        <v>2</v>
      </c>
      <c r="E713">
        <v>2</v>
      </c>
      <c r="G713" t="e">
        <f t="shared" si="55"/>
        <v>#NUM!</v>
      </c>
      <c r="H713">
        <f t="shared" si="56"/>
        <v>-2.4075081150461419</v>
      </c>
      <c r="I713">
        <f t="shared" si="57"/>
        <v>-2.4167910986152483</v>
      </c>
      <c r="J713" s="5"/>
      <c r="K713" t="e">
        <f t="shared" si="58"/>
        <v>#NUM!</v>
      </c>
      <c r="M713" t="e">
        <f t="shared" si="59"/>
        <v>#NUM!</v>
      </c>
      <c r="O713" s="2" t="s">
        <v>718</v>
      </c>
    </row>
    <row r="714" spans="1:15">
      <c r="A714">
        <v>712</v>
      </c>
      <c r="B714">
        <v>67</v>
      </c>
      <c r="C714">
        <v>5</v>
      </c>
      <c r="D714">
        <v>2</v>
      </c>
      <c r="E714">
        <v>1</v>
      </c>
      <c r="G714">
        <f t="shared" si="55"/>
        <v>-1.703128246108311</v>
      </c>
      <c r="H714">
        <f t="shared" si="56"/>
        <v>-1.9711318280165389</v>
      </c>
      <c r="I714">
        <f t="shared" si="57"/>
        <v>-2.2814448072496267</v>
      </c>
      <c r="J714" s="5"/>
      <c r="K714">
        <f t="shared" si="58"/>
        <v>-1.9852349604581587</v>
      </c>
      <c r="M714">
        <f t="shared" si="59"/>
        <v>0.28941611043803167</v>
      </c>
      <c r="O714" s="2" t="s">
        <v>719</v>
      </c>
    </row>
    <row r="715" spans="1:15">
      <c r="A715">
        <v>713</v>
      </c>
      <c r="B715">
        <v>106</v>
      </c>
      <c r="C715">
        <v>0</v>
      </c>
      <c r="D715">
        <v>0</v>
      </c>
      <c r="E715">
        <v>0</v>
      </c>
      <c r="G715" t="e">
        <f t="shared" si="55"/>
        <v>#NUM!</v>
      </c>
      <c r="H715" t="e">
        <f t="shared" si="56"/>
        <v>#NUM!</v>
      </c>
      <c r="I715" t="e">
        <f t="shared" si="57"/>
        <v>#NUM!</v>
      </c>
      <c r="J715" s="5"/>
      <c r="K715" t="e">
        <f t="shared" si="58"/>
        <v>#NUM!</v>
      </c>
      <c r="M715" t="e">
        <f t="shared" si="59"/>
        <v>#NUM!</v>
      </c>
      <c r="O715" s="2" t="s">
        <v>720</v>
      </c>
    </row>
    <row r="716" spans="1:15">
      <c r="A716">
        <v>714</v>
      </c>
      <c r="B716">
        <v>140</v>
      </c>
      <c r="C716">
        <v>1</v>
      </c>
      <c r="D716">
        <v>0</v>
      </c>
      <c r="E716">
        <v>0</v>
      </c>
      <c r="G716">
        <f t="shared" si="55"/>
        <v>-2.7221514834217415</v>
      </c>
      <c r="H716" t="e">
        <f t="shared" si="56"/>
        <v>#NUM!</v>
      </c>
      <c r="I716" t="e">
        <f t="shared" si="57"/>
        <v>#NUM!</v>
      </c>
      <c r="J716" s="5"/>
      <c r="K716" t="e">
        <f t="shared" si="58"/>
        <v>#NUM!</v>
      </c>
      <c r="M716" t="e">
        <f t="shared" si="59"/>
        <v>#NUM!</v>
      </c>
      <c r="O716" s="2" t="s">
        <v>721</v>
      </c>
    </row>
    <row r="717" spans="1:15">
      <c r="A717">
        <v>715</v>
      </c>
      <c r="B717">
        <v>118</v>
      </c>
      <c r="C717">
        <v>1</v>
      </c>
      <c r="D717">
        <v>0</v>
      </c>
      <c r="E717">
        <v>1</v>
      </c>
      <c r="G717">
        <f t="shared" si="55"/>
        <v>-2.6479054550496288</v>
      </c>
      <c r="H717" t="e">
        <f t="shared" si="56"/>
        <v>#NUM!</v>
      </c>
      <c r="I717">
        <f t="shared" si="57"/>
        <v>-2.5272520118549258</v>
      </c>
      <c r="J717" s="5"/>
      <c r="K717" t="e">
        <f t="shared" si="58"/>
        <v>#NUM!</v>
      </c>
      <c r="M717" t="e">
        <f t="shared" si="59"/>
        <v>#NUM!</v>
      </c>
      <c r="O717" s="2" t="s">
        <v>722</v>
      </c>
    </row>
    <row r="718" spans="1:15">
      <c r="A718">
        <v>716</v>
      </c>
      <c r="B718">
        <v>195</v>
      </c>
      <c r="C718">
        <v>0</v>
      </c>
      <c r="D718">
        <v>2</v>
      </c>
      <c r="E718">
        <v>5</v>
      </c>
      <c r="G718" t="e">
        <f t="shared" si="55"/>
        <v>#NUM!</v>
      </c>
      <c r="H718">
        <f t="shared" si="56"/>
        <v>-2.4350916366782305</v>
      </c>
      <c r="I718">
        <f t="shared" si="57"/>
        <v>-2.0464346115752994</v>
      </c>
      <c r="J718" s="5"/>
      <c r="K718" t="e">
        <f t="shared" si="58"/>
        <v>#NUM!</v>
      </c>
      <c r="M718" t="e">
        <f t="shared" si="59"/>
        <v>#NUM!</v>
      </c>
      <c r="O718" s="2" t="s">
        <v>723</v>
      </c>
    </row>
    <row r="719" spans="1:15">
      <c r="A719">
        <v>717</v>
      </c>
      <c r="B719">
        <v>93</v>
      </c>
      <c r="C719">
        <v>1</v>
      </c>
      <c r="D719">
        <v>0</v>
      </c>
      <c r="E719">
        <v>1</v>
      </c>
      <c r="G719">
        <f t="shared" si="55"/>
        <v>-2.5445063962974386</v>
      </c>
      <c r="H719" t="e">
        <f t="shared" si="56"/>
        <v>#NUM!</v>
      </c>
      <c r="I719">
        <f t="shared" si="57"/>
        <v>-2.4238529531027355</v>
      </c>
      <c r="J719" s="5"/>
      <c r="K719" t="e">
        <f t="shared" si="58"/>
        <v>#NUM!</v>
      </c>
      <c r="M719" t="e">
        <f t="shared" si="59"/>
        <v>#NUM!</v>
      </c>
      <c r="O719" s="2" t="s">
        <v>724</v>
      </c>
    </row>
    <row r="720" spans="1:15">
      <c r="A720">
        <v>718</v>
      </c>
      <c r="B720">
        <v>115</v>
      </c>
      <c r="C720">
        <v>0</v>
      </c>
      <c r="D720">
        <v>1</v>
      </c>
      <c r="E720">
        <v>1</v>
      </c>
      <c r="G720" t="e">
        <f t="shared" si="55"/>
        <v>#NUM!</v>
      </c>
      <c r="H720">
        <f t="shared" si="56"/>
        <v>-2.5067848613333057</v>
      </c>
      <c r="I720">
        <f t="shared" si="57"/>
        <v>-2.5160678449024121</v>
      </c>
      <c r="J720" s="5"/>
      <c r="K720" t="e">
        <f t="shared" si="58"/>
        <v>#NUM!</v>
      </c>
      <c r="M720" t="e">
        <f t="shared" si="59"/>
        <v>#NUM!</v>
      </c>
      <c r="O720" s="2" t="s">
        <v>725</v>
      </c>
    </row>
    <row r="721" spans="1:15">
      <c r="A721">
        <v>719</v>
      </c>
      <c r="B721">
        <v>66</v>
      </c>
      <c r="C721">
        <v>0</v>
      </c>
      <c r="D721">
        <v>1</v>
      </c>
      <c r="E721">
        <v>0</v>
      </c>
      <c r="G721" t="e">
        <f t="shared" si="55"/>
        <v>#NUM!</v>
      </c>
      <c r="H721">
        <f t="shared" si="56"/>
        <v>-2.2656309565215622</v>
      </c>
      <c r="I721" t="e">
        <f t="shared" si="57"/>
        <v>#NUM!</v>
      </c>
      <c r="J721" s="5"/>
      <c r="K721" t="e">
        <f t="shared" si="58"/>
        <v>#NUM!</v>
      </c>
      <c r="M721" t="e">
        <f t="shared" si="59"/>
        <v>#NUM!</v>
      </c>
      <c r="O721" s="2" t="s">
        <v>726</v>
      </c>
    </row>
    <row r="722" spans="1:15">
      <c r="A722">
        <v>720</v>
      </c>
      <c r="B722">
        <v>47</v>
      </c>
      <c r="C722">
        <v>0</v>
      </c>
      <c r="D722">
        <v>0</v>
      </c>
      <c r="E722">
        <v>0</v>
      </c>
      <c r="G722" t="e">
        <f t="shared" si="55"/>
        <v>#NUM!</v>
      </c>
      <c r="H722" t="e">
        <f t="shared" si="56"/>
        <v>#NUM!</v>
      </c>
      <c r="I722" t="e">
        <f t="shared" si="57"/>
        <v>#NUM!</v>
      </c>
      <c r="J722" s="5"/>
      <c r="K722" t="e">
        <f t="shared" si="58"/>
        <v>#NUM!</v>
      </c>
      <c r="M722" t="e">
        <f t="shared" si="59"/>
        <v>#NUM!</v>
      </c>
      <c r="O722" s="2" t="s">
        <v>727</v>
      </c>
    </row>
    <row r="723" spans="1:15">
      <c r="A723">
        <v>721</v>
      </c>
      <c r="B723">
        <v>104</v>
      </c>
      <c r="C723">
        <v>0</v>
      </c>
      <c r="D723">
        <v>1</v>
      </c>
      <c r="E723">
        <v>1</v>
      </c>
      <c r="G723" t="e">
        <f t="shared" si="55"/>
        <v>#NUM!</v>
      </c>
      <c r="H723">
        <f t="shared" si="56"/>
        <v>-2.4631203602784737</v>
      </c>
      <c r="I723">
        <f t="shared" si="57"/>
        <v>-2.4724033438475805</v>
      </c>
      <c r="J723" s="5"/>
      <c r="K723" t="e">
        <f t="shared" si="58"/>
        <v>#NUM!</v>
      </c>
      <c r="M723" t="e">
        <f t="shared" si="59"/>
        <v>#NUM!</v>
      </c>
      <c r="O723" s="2" t="s">
        <v>728</v>
      </c>
    </row>
    <row r="724" spans="1:15">
      <c r="A724">
        <v>722</v>
      </c>
      <c r="B724">
        <v>41</v>
      </c>
      <c r="C724">
        <v>0</v>
      </c>
      <c r="D724">
        <v>0</v>
      </c>
      <c r="E724">
        <v>2</v>
      </c>
      <c r="G724" t="e">
        <f t="shared" si="55"/>
        <v>#NUM!</v>
      </c>
      <c r="H724" t="e">
        <f t="shared" si="56"/>
        <v>#NUM!</v>
      </c>
      <c r="I724">
        <f t="shared" si="57"/>
        <v>-1.7671238656045545</v>
      </c>
      <c r="J724" s="5"/>
      <c r="K724" t="e">
        <f t="shared" si="58"/>
        <v>#NUM!</v>
      </c>
      <c r="M724" t="e">
        <f t="shared" si="59"/>
        <v>#NUM!</v>
      </c>
      <c r="O724" s="2" t="s">
        <v>729</v>
      </c>
    </row>
    <row r="725" spans="1:15">
      <c r="A725">
        <v>723</v>
      </c>
      <c r="B725">
        <v>42</v>
      </c>
      <c r="C725">
        <v>0</v>
      </c>
      <c r="D725">
        <v>0</v>
      </c>
      <c r="E725">
        <v>0</v>
      </c>
      <c r="G725" t="e">
        <f t="shared" si="55"/>
        <v>#NUM!</v>
      </c>
      <c r="H725" t="e">
        <f t="shared" si="56"/>
        <v>#NUM!</v>
      </c>
      <c r="I725" t="e">
        <f t="shared" si="57"/>
        <v>#NUM!</v>
      </c>
      <c r="J725" s="5"/>
      <c r="K725" t="e">
        <f t="shared" si="58"/>
        <v>#NUM!</v>
      </c>
      <c r="M725" t="e">
        <f t="shared" si="59"/>
        <v>#NUM!</v>
      </c>
      <c r="O725" s="2" t="s">
        <v>730</v>
      </c>
    </row>
    <row r="726" spans="1:15">
      <c r="A726">
        <v>724</v>
      </c>
      <c r="B726">
        <v>110</v>
      </c>
      <c r="C726">
        <v>5</v>
      </c>
      <c r="D726">
        <v>10</v>
      </c>
      <c r="E726">
        <v>8</v>
      </c>
      <c r="G726">
        <f t="shared" si="55"/>
        <v>-1.9184461285657095</v>
      </c>
      <c r="H726">
        <f t="shared" si="56"/>
        <v>-1.4874797061379186</v>
      </c>
      <c r="I726">
        <f t="shared" si="57"/>
        <v>-1.5936727027150817</v>
      </c>
      <c r="J726" s="5"/>
      <c r="K726">
        <f t="shared" si="58"/>
        <v>-1.6665328458062365</v>
      </c>
      <c r="M726">
        <f t="shared" si="59"/>
        <v>0.22453165623916244</v>
      </c>
      <c r="O726" s="2" t="s">
        <v>731</v>
      </c>
    </row>
    <row r="727" spans="1:15">
      <c r="A727">
        <v>725</v>
      </c>
      <c r="B727">
        <v>94</v>
      </c>
      <c r="C727">
        <v>228</v>
      </c>
      <c r="D727">
        <v>191</v>
      </c>
      <c r="E727">
        <v>259</v>
      </c>
      <c r="G727">
        <f t="shared" si="55"/>
        <v>-0.1912164543427482</v>
      </c>
      <c r="H727">
        <f t="shared" si="56"/>
        <v>-0.13818150733166479</v>
      </c>
      <c r="I727">
        <f t="shared" si="57"/>
        <v>-1.5198094067247148E-2</v>
      </c>
      <c r="J727" s="5"/>
      <c r="K727">
        <f t="shared" si="58"/>
        <v>-0.11486535191388671</v>
      </c>
      <c r="M727">
        <f t="shared" si="59"/>
        <v>9.0295892022386665E-2</v>
      </c>
      <c r="O727" s="2" t="s">
        <v>732</v>
      </c>
    </row>
    <row r="728" spans="1:15">
      <c r="A728">
        <v>726</v>
      </c>
      <c r="B728">
        <v>33</v>
      </c>
      <c r="C728">
        <v>2</v>
      </c>
      <c r="D728">
        <v>0</v>
      </c>
      <c r="E728">
        <v>0</v>
      </c>
      <c r="G728">
        <f t="shared" si="55"/>
        <v>-1.7935073919574096</v>
      </c>
      <c r="H728" t="e">
        <f t="shared" si="56"/>
        <v>#NUM!</v>
      </c>
      <c r="I728" t="e">
        <f t="shared" si="57"/>
        <v>#NUM!</v>
      </c>
      <c r="J728" s="5"/>
      <c r="K728" t="e">
        <f t="shared" si="58"/>
        <v>#NUM!</v>
      </c>
      <c r="M728" t="e">
        <f t="shared" si="59"/>
        <v>#NUM!</v>
      </c>
      <c r="O728" s="2" t="s">
        <v>733</v>
      </c>
    </row>
    <row r="729" spans="1:15">
      <c r="A729">
        <v>727</v>
      </c>
      <c r="B729">
        <v>94</v>
      </c>
      <c r="C729">
        <v>176</v>
      </c>
      <c r="D729">
        <v>137</v>
      </c>
      <c r="E729">
        <v>178</v>
      </c>
      <c r="G729">
        <f t="shared" si="55"/>
        <v>-0.30363863352905218</v>
      </c>
      <c r="H729">
        <f t="shared" si="56"/>
        <v>-0.28249430742298554</v>
      </c>
      <c r="I729">
        <f t="shared" si="57"/>
        <v>-0.17807785583960495</v>
      </c>
      <c r="J729" s="5"/>
      <c r="K729">
        <f t="shared" si="58"/>
        <v>-0.25473693226388089</v>
      </c>
      <c r="M729">
        <f t="shared" si="59"/>
        <v>6.7225226889071496E-2</v>
      </c>
      <c r="O729" s="2" t="s">
        <v>734</v>
      </c>
    </row>
    <row r="730" spans="1:15">
      <c r="A730">
        <v>728</v>
      </c>
      <c r="B730">
        <v>373</v>
      </c>
      <c r="C730">
        <v>158</v>
      </c>
      <c r="D730">
        <v>158</v>
      </c>
      <c r="E730">
        <v>175</v>
      </c>
      <c r="G730">
        <f t="shared" si="55"/>
        <v>-0.94907519259776829</v>
      </c>
      <c r="H730">
        <f t="shared" si="56"/>
        <v>-0.81913876583395862</v>
      </c>
      <c r="I730">
        <f t="shared" si="57"/>
        <v>-0.78404078767119345</v>
      </c>
      <c r="J730" s="5"/>
      <c r="K730">
        <f t="shared" si="58"/>
        <v>-0.85075158203430679</v>
      </c>
      <c r="M730">
        <f t="shared" si="59"/>
        <v>8.6940303159437599E-2</v>
      </c>
      <c r="O730" s="2" t="s">
        <v>735</v>
      </c>
    </row>
    <row r="731" spans="1:15">
      <c r="A731">
        <v>729</v>
      </c>
      <c r="B731">
        <v>302</v>
      </c>
      <c r="C731">
        <v>10</v>
      </c>
      <c r="D731">
        <v>7</v>
      </c>
      <c r="E731">
        <v>7</v>
      </c>
      <c r="G731">
        <f t="shared" si="55"/>
        <v>-2.0560303907006539</v>
      </c>
      <c r="H731">
        <f t="shared" si="56"/>
        <v>-2.0809959239225875</v>
      </c>
      <c r="I731">
        <f t="shared" si="57"/>
        <v>-2.0902789074916939</v>
      </c>
      <c r="J731" s="5"/>
      <c r="K731">
        <f t="shared" si="58"/>
        <v>-2.0757684073716454</v>
      </c>
      <c r="M731">
        <f t="shared" si="59"/>
        <v>1.7712578089152355E-2</v>
      </c>
      <c r="O731" s="2" t="s">
        <v>736</v>
      </c>
    </row>
    <row r="732" spans="1:15">
      <c r="A732">
        <v>730</v>
      </c>
      <c r="B732">
        <v>152</v>
      </c>
      <c r="C732">
        <v>2</v>
      </c>
      <c r="D732">
        <v>0</v>
      </c>
      <c r="E732">
        <v>1</v>
      </c>
      <c r="G732">
        <f t="shared" si="55"/>
        <v>-2.4568370400242947</v>
      </c>
      <c r="H732" t="e">
        <f t="shared" si="56"/>
        <v>#NUM!</v>
      </c>
      <c r="I732">
        <f t="shared" si="57"/>
        <v>-2.6372135924935729</v>
      </c>
      <c r="J732" s="5"/>
      <c r="K732" t="e">
        <f t="shared" si="58"/>
        <v>#NUM!</v>
      </c>
      <c r="M732" t="e">
        <f t="shared" si="59"/>
        <v>#NUM!</v>
      </c>
      <c r="O732" s="2" t="s">
        <v>737</v>
      </c>
    </row>
    <row r="733" spans="1:15">
      <c r="A733">
        <v>731</v>
      </c>
      <c r="B733">
        <v>357</v>
      </c>
      <c r="C733">
        <v>6</v>
      </c>
      <c r="D733">
        <v>12</v>
      </c>
      <c r="E733">
        <v>9</v>
      </c>
      <c r="G733">
        <f t="shared" si="55"/>
        <v>-2.3505404134720527</v>
      </c>
      <c r="H733">
        <f t="shared" si="56"/>
        <v>-1.919573991044262</v>
      </c>
      <c r="I733">
        <f t="shared" si="57"/>
        <v>-2.0537957112216683</v>
      </c>
      <c r="J733" s="5"/>
      <c r="K733">
        <f t="shared" si="58"/>
        <v>-2.1079700385793276</v>
      </c>
      <c r="M733">
        <f t="shared" si="59"/>
        <v>0.22053153430641925</v>
      </c>
      <c r="O733" s="2" t="s">
        <v>738</v>
      </c>
    </row>
    <row r="734" spans="1:15">
      <c r="A734">
        <v>732</v>
      </c>
      <c r="B734">
        <v>318</v>
      </c>
      <c r="C734">
        <v>246</v>
      </c>
      <c r="D734">
        <v>276</v>
      </c>
      <c r="E734">
        <v>333</v>
      </c>
      <c r="G734">
        <f t="shared" si="55"/>
        <v>-0.68751546062455682</v>
      </c>
      <c r="H734">
        <f t="shared" si="56"/>
        <v>-0.50760505889890861</v>
      </c>
      <c r="I734">
        <f t="shared" si="57"/>
        <v>-0.43535289102691305</v>
      </c>
      <c r="J734" s="5"/>
      <c r="K734">
        <f t="shared" si="58"/>
        <v>-0.54349113685012618</v>
      </c>
      <c r="M734">
        <f t="shared" si="59"/>
        <v>0.12985510509626602</v>
      </c>
      <c r="O734" s="2" t="s">
        <v>739</v>
      </c>
    </row>
    <row r="735" spans="1:15">
      <c r="A735">
        <v>733</v>
      </c>
      <c r="B735">
        <v>25</v>
      </c>
      <c r="C735">
        <v>0</v>
      </c>
      <c r="D735">
        <v>0</v>
      </c>
      <c r="E735">
        <v>0</v>
      </c>
      <c r="G735" t="e">
        <f t="shared" si="55"/>
        <v>#NUM!</v>
      </c>
      <c r="H735" t="e">
        <f t="shared" si="56"/>
        <v>#NUM!</v>
      </c>
      <c r="I735" t="e">
        <f t="shared" si="57"/>
        <v>#NUM!</v>
      </c>
      <c r="J735" s="5"/>
      <c r="K735" t="e">
        <f t="shared" si="58"/>
        <v>#NUM!</v>
      </c>
      <c r="M735" t="e">
        <f t="shared" si="59"/>
        <v>#NUM!</v>
      </c>
      <c r="O735" s="2" t="s">
        <v>740</v>
      </c>
    </row>
    <row r="736" spans="1:15">
      <c r="A736">
        <v>734</v>
      </c>
      <c r="B736">
        <v>187</v>
      </c>
      <c r="C736">
        <v>1</v>
      </c>
      <c r="D736">
        <v>3</v>
      </c>
      <c r="E736">
        <v>4</v>
      </c>
      <c r="G736">
        <f t="shared" si="55"/>
        <v>-2.8478650542800024</v>
      </c>
      <c r="H736">
        <f t="shared" si="56"/>
        <v>-2.2408073727965299</v>
      </c>
      <c r="I736">
        <f t="shared" si="57"/>
        <v>-2.1251516197573368</v>
      </c>
      <c r="J736" s="5"/>
      <c r="K736">
        <f t="shared" si="58"/>
        <v>-2.4046080156112897</v>
      </c>
      <c r="M736">
        <f t="shared" si="59"/>
        <v>0.38820312344156105</v>
      </c>
      <c r="O736" s="2" t="s">
        <v>741</v>
      </c>
    </row>
    <row r="737" spans="1:15">
      <c r="A737">
        <v>735</v>
      </c>
      <c r="B737">
        <v>248</v>
      </c>
      <c r="C737">
        <v>401</v>
      </c>
      <c r="D737">
        <v>558</v>
      </c>
      <c r="E737">
        <v>472</v>
      </c>
      <c r="G737">
        <f t="shared" si="55"/>
        <v>-0.36733075594953729</v>
      </c>
      <c r="H737">
        <f t="shared" si="56"/>
        <v>-9.3904502868331186E-2</v>
      </c>
      <c r="I737">
        <f t="shared" si="57"/>
        <v>-0.17587968674092874</v>
      </c>
      <c r="J737" s="5"/>
      <c r="K737">
        <f t="shared" si="58"/>
        <v>-0.21237164851959908</v>
      </c>
      <c r="M737">
        <f t="shared" si="59"/>
        <v>0.14031830395336484</v>
      </c>
      <c r="O737" s="2" t="s">
        <v>742</v>
      </c>
    </row>
    <row r="738" spans="1:15">
      <c r="A738">
        <v>736</v>
      </c>
      <c r="B738">
        <v>244</v>
      </c>
      <c r="C738">
        <v>326</v>
      </c>
      <c r="D738">
        <v>250</v>
      </c>
      <c r="E738">
        <v>274</v>
      </c>
      <c r="G738">
        <f t="shared" si="55"/>
        <v>-0.45019567401429372</v>
      </c>
      <c r="H738">
        <f t="shared" si="56"/>
        <v>-0.43553683864638548</v>
      </c>
      <c r="I738">
        <f t="shared" si="57"/>
        <v>-0.40500926806714171</v>
      </c>
      <c r="J738" s="5"/>
      <c r="K738">
        <f t="shared" si="58"/>
        <v>-0.43024726024260701</v>
      </c>
      <c r="M738">
        <f t="shared" si="59"/>
        <v>2.3052929323027337E-2</v>
      </c>
      <c r="O738" s="2" t="s">
        <v>743</v>
      </c>
    </row>
    <row r="739" spans="1:15">
      <c r="A739">
        <v>737</v>
      </c>
      <c r="B739">
        <v>376</v>
      </c>
      <c r="C739">
        <v>7</v>
      </c>
      <c r="D739">
        <v>4</v>
      </c>
      <c r="E739">
        <v>2</v>
      </c>
      <c r="G739">
        <f t="shared" si="55"/>
        <v>-2.3061132526569077</v>
      </c>
      <c r="H739">
        <f t="shared" si="56"/>
        <v>-2.4192148745793922</v>
      </c>
      <c r="I739">
        <f t="shared" si="57"/>
        <v>-2.7295278538124803</v>
      </c>
      <c r="J739" s="5"/>
      <c r="K739">
        <f t="shared" si="58"/>
        <v>-2.4849519936829267</v>
      </c>
      <c r="M739">
        <f t="shared" si="59"/>
        <v>0.21922820926823575</v>
      </c>
      <c r="O739" s="2" t="s">
        <v>744</v>
      </c>
    </row>
    <row r="740" spans="1:15">
      <c r="A740">
        <v>738</v>
      </c>
      <c r="B740">
        <v>148</v>
      </c>
      <c r="C740">
        <v>3</v>
      </c>
      <c r="D740">
        <v>2</v>
      </c>
      <c r="E740">
        <v>2</v>
      </c>
      <c r="G740">
        <f t="shared" si="55"/>
        <v>-2.2691639084187982</v>
      </c>
      <c r="H740">
        <f t="shared" si="56"/>
        <v>-2.3153187407106701</v>
      </c>
      <c r="I740">
        <f t="shared" si="57"/>
        <v>-2.3246017242797765</v>
      </c>
      <c r="J740" s="5"/>
      <c r="K740">
        <f t="shared" si="58"/>
        <v>-2.3030281244697481</v>
      </c>
      <c r="M740">
        <f t="shared" si="59"/>
        <v>2.9692293487454665E-2</v>
      </c>
      <c r="O740" s="2" t="s">
        <v>745</v>
      </c>
    </row>
    <row r="741" spans="1:15">
      <c r="A741">
        <v>739</v>
      </c>
      <c r="B741">
        <v>205</v>
      </c>
      <c r="C741">
        <v>493</v>
      </c>
      <c r="D741">
        <v>244</v>
      </c>
      <c r="E741">
        <v>296</v>
      </c>
      <c r="G741">
        <f t="shared" si="55"/>
        <v>-0.19493038952202763</v>
      </c>
      <c r="H741">
        <f t="shared" si="56"/>
        <v>-0.37045105569671855</v>
      </c>
      <c r="I741">
        <f t="shared" si="57"/>
        <v>-0.29583215454561601</v>
      </c>
      <c r="J741" s="5"/>
      <c r="K741">
        <f t="shared" si="58"/>
        <v>-0.28707119992145408</v>
      </c>
      <c r="M741">
        <f t="shared" si="59"/>
        <v>8.8087693851336663E-2</v>
      </c>
      <c r="O741" s="2" t="s">
        <v>746</v>
      </c>
    </row>
    <row r="742" spans="1:15">
      <c r="A742">
        <v>740</v>
      </c>
      <c r="B742">
        <v>133</v>
      </c>
      <c r="C742">
        <v>158</v>
      </c>
      <c r="D742">
        <v>140</v>
      </c>
      <c r="E742">
        <v>152</v>
      </c>
      <c r="G742">
        <f t="shared" si="55"/>
        <v>-0.50121800175616649</v>
      </c>
      <c r="H742">
        <f t="shared" si="56"/>
        <v>-0.42381062626854143</v>
      </c>
      <c r="I742">
        <f t="shared" si="57"/>
        <v>-0.39737805757111355</v>
      </c>
      <c r="J742" s="5"/>
      <c r="K742">
        <f t="shared" si="58"/>
        <v>-0.44080222853194045</v>
      </c>
      <c r="M742">
        <f t="shared" si="59"/>
        <v>5.3964983208529667E-2</v>
      </c>
      <c r="O742" s="2" t="s">
        <v>747</v>
      </c>
    </row>
    <row r="743" spans="1:15">
      <c r="A743">
        <v>741</v>
      </c>
      <c r="B743">
        <v>75</v>
      </c>
      <c r="C743">
        <v>0</v>
      </c>
      <c r="D743">
        <v>1</v>
      </c>
      <c r="E743">
        <v>1</v>
      </c>
      <c r="G743" t="e">
        <f t="shared" si="55"/>
        <v>#NUM!</v>
      </c>
      <c r="H743">
        <f t="shared" si="56"/>
        <v>-2.321148284371394</v>
      </c>
      <c r="I743">
        <f t="shared" si="57"/>
        <v>-2.3304312679405004</v>
      </c>
      <c r="J743" s="5"/>
      <c r="K743" t="e">
        <f t="shared" si="58"/>
        <v>#NUM!</v>
      </c>
      <c r="M743" t="e">
        <f t="shared" si="59"/>
        <v>#NUM!</v>
      </c>
      <c r="O743" s="2" t="s">
        <v>748</v>
      </c>
    </row>
    <row r="744" spans="1:15">
      <c r="A744">
        <v>742</v>
      </c>
      <c r="B744">
        <v>437</v>
      </c>
      <c r="C744">
        <v>12</v>
      </c>
      <c r="D744">
        <v>6</v>
      </c>
      <c r="E744">
        <v>7</v>
      </c>
      <c r="G744">
        <f t="shared" si="55"/>
        <v>-2.1373236386663006</v>
      </c>
      <c r="H744">
        <f t="shared" si="56"/>
        <v>-2.308417207566472</v>
      </c>
      <c r="I744">
        <f t="shared" si="57"/>
        <v>-2.2507534015049653</v>
      </c>
      <c r="J744" s="5"/>
      <c r="K744">
        <f t="shared" si="58"/>
        <v>-2.2321647492459125</v>
      </c>
      <c r="M744">
        <f t="shared" si="59"/>
        <v>8.7048295930221467E-2</v>
      </c>
      <c r="O744" s="2" t="s">
        <v>749</v>
      </c>
    </row>
    <row r="745" spans="1:15">
      <c r="A745">
        <v>743</v>
      </c>
      <c r="B745">
        <v>188</v>
      </c>
      <c r="C745">
        <v>33</v>
      </c>
      <c r="D745">
        <v>25</v>
      </c>
      <c r="E745">
        <v>41</v>
      </c>
      <c r="G745">
        <f t="shared" si="55"/>
        <v>-1.3316673571292958</v>
      </c>
      <c r="H745">
        <f t="shared" si="56"/>
        <v>-1.322304861571336</v>
      </c>
      <c r="I745">
        <f t="shared" si="57"/>
        <v>-1.1167439970927446</v>
      </c>
      <c r="J745" s="5"/>
      <c r="K745">
        <f t="shared" si="58"/>
        <v>-1.2569054052644588</v>
      </c>
      <c r="M745">
        <f t="shared" si="59"/>
        <v>0.12147357464188088</v>
      </c>
      <c r="O745" s="2" t="s">
        <v>750</v>
      </c>
    </row>
    <row r="746" spans="1:15">
      <c r="A746">
        <v>744</v>
      </c>
      <c r="B746">
        <v>112</v>
      </c>
      <c r="C746">
        <v>2</v>
      </c>
      <c r="D746">
        <v>0</v>
      </c>
      <c r="E746">
        <v>1</v>
      </c>
      <c r="G746">
        <f t="shared" si="55"/>
        <v>-2.3242114747497036</v>
      </c>
      <c r="H746" t="e">
        <f t="shared" si="56"/>
        <v>#NUM!</v>
      </c>
      <c r="I746">
        <f t="shared" si="57"/>
        <v>-2.5045880272189818</v>
      </c>
      <c r="J746" s="5"/>
      <c r="K746" t="e">
        <f t="shared" si="58"/>
        <v>#NUM!</v>
      </c>
      <c r="M746" t="e">
        <f t="shared" si="59"/>
        <v>#NUM!</v>
      </c>
      <c r="O746" s="2" t="s">
        <v>751</v>
      </c>
    </row>
    <row r="747" spans="1:15">
      <c r="A747">
        <v>745</v>
      </c>
      <c r="B747">
        <v>330</v>
      </c>
      <c r="C747">
        <v>3</v>
      </c>
      <c r="D747">
        <v>8</v>
      </c>
      <c r="E747">
        <v>5</v>
      </c>
      <c r="G747">
        <f t="shared" si="55"/>
        <v>-2.6174161329017283</v>
      </c>
      <c r="H747">
        <f t="shared" si="56"/>
        <v>-2.0615109738656376</v>
      </c>
      <c r="I747">
        <f t="shared" si="57"/>
        <v>-2.2749139400906691</v>
      </c>
      <c r="J747" s="5"/>
      <c r="K747">
        <f t="shared" si="58"/>
        <v>-2.3179470156193451</v>
      </c>
      <c r="M747">
        <f t="shared" si="59"/>
        <v>0.28043986994153997</v>
      </c>
      <c r="O747" s="2" t="s">
        <v>752</v>
      </c>
    </row>
    <row r="748" spans="1:15">
      <c r="A748">
        <v>746</v>
      </c>
      <c r="B748">
        <v>159</v>
      </c>
      <c r="C748">
        <v>188</v>
      </c>
      <c r="D748">
        <v>168</v>
      </c>
      <c r="E748">
        <v>217</v>
      </c>
      <c r="G748">
        <f t="shared" si="55"/>
        <v>-0.50326272280027495</v>
      </c>
      <c r="H748">
        <f t="shared" si="56"/>
        <v>-0.4221748635742823</v>
      </c>
      <c r="I748">
        <f t="shared" si="57"/>
        <v>-0.32030739502072225</v>
      </c>
      <c r="J748" s="5"/>
      <c r="K748">
        <f t="shared" si="58"/>
        <v>-0.4152483271317598</v>
      </c>
      <c r="M748">
        <f t="shared" si="59"/>
        <v>9.1674127599056437E-2</v>
      </c>
      <c r="O748" s="2" t="s">
        <v>753</v>
      </c>
    </row>
    <row r="749" spans="1:15">
      <c r="A749">
        <v>747</v>
      </c>
      <c r="B749">
        <v>84</v>
      </c>
      <c r="C749">
        <v>6</v>
      </c>
      <c r="D749">
        <v>9</v>
      </c>
      <c r="E749">
        <v>5</v>
      </c>
      <c r="G749">
        <f t="shared" si="55"/>
        <v>-1.7221514834217413</v>
      </c>
      <c r="H749">
        <f t="shared" si="56"/>
        <v>-1.4161237976022505</v>
      </c>
      <c r="I749">
        <f t="shared" si="57"/>
        <v>-1.6806792862746631</v>
      </c>
      <c r="J749" s="5"/>
      <c r="K749">
        <f t="shared" si="58"/>
        <v>-1.6063181890995517</v>
      </c>
      <c r="M749">
        <f t="shared" si="59"/>
        <v>0.16601329977391277</v>
      </c>
      <c r="O749" s="2" t="s">
        <v>754</v>
      </c>
    </row>
    <row r="750" spans="1:15">
      <c r="A750">
        <v>748</v>
      </c>
      <c r="B750">
        <v>158</v>
      </c>
      <c r="C750">
        <v>139</v>
      </c>
      <c r="D750">
        <v>95</v>
      </c>
      <c r="E750">
        <v>152</v>
      </c>
      <c r="G750">
        <f t="shared" si="55"/>
        <v>-0.6316657344438309</v>
      </c>
      <c r="H750">
        <f t="shared" si="56"/>
        <v>-0.66702050264526846</v>
      </c>
      <c r="I750">
        <f t="shared" si="57"/>
        <v>-0.47218350355845035</v>
      </c>
      <c r="J750" s="5"/>
      <c r="K750">
        <f t="shared" si="58"/>
        <v>-0.59028991354918325</v>
      </c>
      <c r="M750">
        <f t="shared" si="59"/>
        <v>0.1037994844366706</v>
      </c>
      <c r="O750" s="2" t="s">
        <v>755</v>
      </c>
    </row>
    <row r="751" spans="1:15">
      <c r="A751">
        <v>749</v>
      </c>
      <c r="B751">
        <v>28</v>
      </c>
      <c r="C751">
        <v>0</v>
      </c>
      <c r="D751">
        <v>0</v>
      </c>
      <c r="E751">
        <v>1</v>
      </c>
      <c r="G751" t="e">
        <f t="shared" si="55"/>
        <v>#NUM!</v>
      </c>
      <c r="H751" t="e">
        <f t="shared" si="56"/>
        <v>#NUM!</v>
      </c>
      <c r="I751">
        <f t="shared" si="57"/>
        <v>-1.9025280358910195</v>
      </c>
      <c r="J751" s="5"/>
      <c r="K751" t="e">
        <f t="shared" si="58"/>
        <v>#NUM!</v>
      </c>
      <c r="M751" t="e">
        <f t="shared" si="59"/>
        <v>#NUM!</v>
      </c>
      <c r="O751" s="2" t="s">
        <v>756</v>
      </c>
    </row>
    <row r="752" spans="1:15">
      <c r="A752">
        <v>750</v>
      </c>
      <c r="B752">
        <v>220</v>
      </c>
      <c r="C752">
        <v>3</v>
      </c>
      <c r="D752">
        <v>2</v>
      </c>
      <c r="E752">
        <v>2</v>
      </c>
      <c r="G752">
        <f t="shared" si="55"/>
        <v>-2.4413248738460469</v>
      </c>
      <c r="H752">
        <f t="shared" si="56"/>
        <v>-2.4874797061379184</v>
      </c>
      <c r="I752">
        <f t="shared" si="57"/>
        <v>-2.4967626897070252</v>
      </c>
      <c r="J752" s="5"/>
      <c r="K752">
        <f t="shared" si="58"/>
        <v>-2.4751890898969968</v>
      </c>
      <c r="M752">
        <f t="shared" si="59"/>
        <v>2.9692293487454571E-2</v>
      </c>
      <c r="O752" s="2" t="s">
        <v>757</v>
      </c>
    </row>
    <row r="753" spans="1:15">
      <c r="A753">
        <v>751</v>
      </c>
      <c r="B753">
        <v>98</v>
      </c>
      <c r="C753">
        <v>0</v>
      </c>
      <c r="D753">
        <v>0</v>
      </c>
      <c r="E753">
        <v>2</v>
      </c>
      <c r="G753" t="e">
        <f t="shared" si="55"/>
        <v>#NUM!</v>
      </c>
      <c r="H753" t="e">
        <f t="shared" si="56"/>
        <v>#NUM!</v>
      </c>
      <c r="I753">
        <f t="shared" si="57"/>
        <v>-2.1455660845773137</v>
      </c>
      <c r="J753" s="5"/>
      <c r="K753" t="e">
        <f t="shared" si="58"/>
        <v>#NUM!</v>
      </c>
      <c r="M753" t="e">
        <f t="shared" si="59"/>
        <v>#NUM!</v>
      </c>
      <c r="O753" s="2" t="s">
        <v>758</v>
      </c>
    </row>
    <row r="754" spans="1:15">
      <c r="A754">
        <v>752</v>
      </c>
      <c r="B754">
        <v>79</v>
      </c>
      <c r="C754">
        <v>256</v>
      </c>
      <c r="D754">
        <v>128</v>
      </c>
      <c r="E754">
        <v>199</v>
      </c>
      <c r="G754">
        <f t="shared" si="55"/>
        <v>-6.5410573722095244E-2</v>
      </c>
      <c r="H754">
        <f t="shared" si="56"/>
        <v>-0.23650414262226674</v>
      </c>
      <c r="I754">
        <f t="shared" si="57"/>
        <v>-5.4144019429535062E-2</v>
      </c>
      <c r="J754" s="5"/>
      <c r="K754">
        <f t="shared" si="58"/>
        <v>-0.11868624525796567</v>
      </c>
      <c r="M754">
        <f t="shared" si="59"/>
        <v>0.1021886809579003</v>
      </c>
      <c r="O754" s="2" t="s">
        <v>759</v>
      </c>
    </row>
    <row r="755" spans="1:15">
      <c r="A755">
        <v>753</v>
      </c>
      <c r="B755">
        <v>65</v>
      </c>
      <c r="C755">
        <v>12</v>
      </c>
      <c r="D755">
        <v>7</v>
      </c>
      <c r="E755">
        <v>20</v>
      </c>
      <c r="G755">
        <f t="shared" si="55"/>
        <v>-1.3097555583387339</v>
      </c>
      <c r="H755">
        <f t="shared" si="56"/>
        <v>-1.4139023376082924</v>
      </c>
      <c r="I755">
        <f t="shared" si="57"/>
        <v>-0.9672533655276746</v>
      </c>
      <c r="J755" s="5"/>
      <c r="K755">
        <f t="shared" si="58"/>
        <v>-1.2303037538249002</v>
      </c>
      <c r="M755">
        <f t="shared" si="59"/>
        <v>0.23368412011847667</v>
      </c>
      <c r="O755" s="2" t="s">
        <v>760</v>
      </c>
    </row>
    <row r="756" spans="1:15">
      <c r="A756">
        <v>754</v>
      </c>
      <c r="B756">
        <v>155</v>
      </c>
      <c r="C756">
        <v>46</v>
      </c>
      <c r="D756">
        <v>59</v>
      </c>
      <c r="E756">
        <v>77</v>
      </c>
      <c r="G756">
        <f t="shared" si="55"/>
        <v>-1.1035973142322208</v>
      </c>
      <c r="H756">
        <f t="shared" si="56"/>
        <v>-0.86556670750784104</v>
      </c>
      <c r="I756">
        <f t="shared" si="57"/>
        <v>-0.75921097754660982</v>
      </c>
      <c r="J756" s="5"/>
      <c r="K756">
        <f t="shared" si="58"/>
        <v>-0.90945833309555724</v>
      </c>
      <c r="M756">
        <f t="shared" si="59"/>
        <v>0.17633871759055891</v>
      </c>
      <c r="O756" s="2" t="s">
        <v>761</v>
      </c>
    </row>
    <row r="757" spans="1:15">
      <c r="A757">
        <v>755</v>
      </c>
      <c r="B757">
        <v>145</v>
      </c>
      <c r="C757">
        <v>4</v>
      </c>
      <c r="D757">
        <v>4</v>
      </c>
      <c r="E757">
        <v>4</v>
      </c>
      <c r="G757">
        <f t="shared" si="55"/>
        <v>-2.1353314586505157</v>
      </c>
      <c r="H757">
        <f t="shared" si="56"/>
        <v>-2.0053950318867062</v>
      </c>
      <c r="I757">
        <f t="shared" si="57"/>
        <v>-2.0146780154558126</v>
      </c>
      <c r="J757" s="5"/>
      <c r="K757">
        <f t="shared" si="58"/>
        <v>-2.0518015019976783</v>
      </c>
      <c r="M757">
        <f t="shared" si="59"/>
        <v>7.2487817526842122E-2</v>
      </c>
      <c r="O757" s="2" t="s">
        <v>762</v>
      </c>
    </row>
    <row r="758" spans="1:15">
      <c r="A758">
        <v>756</v>
      </c>
      <c r="B758">
        <v>282</v>
      </c>
      <c r="C758">
        <v>129</v>
      </c>
      <c r="D758">
        <v>94</v>
      </c>
      <c r="E758">
        <v>122</v>
      </c>
      <c r="G758">
        <f t="shared" si="55"/>
        <v>-0.91568284576361547</v>
      </c>
      <c r="H758">
        <f t="shared" si="56"/>
        <v>-0.92320827569935604</v>
      </c>
      <c r="I758">
        <f t="shared" si="57"/>
        <v>-0.81925928219341315</v>
      </c>
      <c r="J758" s="5"/>
      <c r="K758">
        <f t="shared" si="58"/>
        <v>-0.88605013455212822</v>
      </c>
      <c r="M758">
        <f t="shared" si="59"/>
        <v>5.7964829793868897E-2</v>
      </c>
      <c r="O758" s="2" t="s">
        <v>763</v>
      </c>
    </row>
    <row r="759" spans="1:15">
      <c r="A759">
        <v>757</v>
      </c>
      <c r="B759">
        <v>147</v>
      </c>
      <c r="C759">
        <v>559</v>
      </c>
      <c r="D759">
        <v>376</v>
      </c>
      <c r="E759">
        <v>567</v>
      </c>
      <c r="G759">
        <f t="shared" si="55"/>
        <v>4.0710253947439101E-3</v>
      </c>
      <c r="H759">
        <f t="shared" si="56"/>
        <v>-3.8216510800208658E-2</v>
      </c>
      <c r="I759">
        <f t="shared" si="57"/>
        <v>0.13089571959593016</v>
      </c>
      <c r="J759" s="5"/>
      <c r="K759">
        <f t="shared" si="58"/>
        <v>3.2250078063488473E-2</v>
      </c>
      <c r="M759">
        <f t="shared" si="59"/>
        <v>8.8007277394372876E-2</v>
      </c>
      <c r="O759" s="2" t="s">
        <v>764</v>
      </c>
    </row>
    <row r="760" spans="1:15">
      <c r="A760">
        <v>758</v>
      </c>
      <c r="B760">
        <v>84</v>
      </c>
      <c r="C760">
        <v>74</v>
      </c>
      <c r="D760">
        <v>73</v>
      </c>
      <c r="E760">
        <v>110</v>
      </c>
      <c r="G760">
        <f t="shared" si="55"/>
        <v>-0.6310710140744088</v>
      </c>
      <c r="H760">
        <f t="shared" si="56"/>
        <v>-0.50704344692111936</v>
      </c>
      <c r="I760">
        <f t="shared" si="57"/>
        <v>-0.33825660545245689</v>
      </c>
      <c r="J760" s="5"/>
      <c r="K760">
        <f t="shared" si="58"/>
        <v>-0.49212368881599505</v>
      </c>
      <c r="M760">
        <f t="shared" si="59"/>
        <v>0.14697625270972306</v>
      </c>
      <c r="O760" s="2" t="s">
        <v>765</v>
      </c>
    </row>
    <row r="761" spans="1:15">
      <c r="A761">
        <v>759</v>
      </c>
      <c r="B761">
        <v>182</v>
      </c>
      <c r="C761">
        <v>10</v>
      </c>
      <c r="D761">
        <v>2</v>
      </c>
      <c r="E761">
        <v>2</v>
      </c>
      <c r="G761">
        <f t="shared" si="55"/>
        <v>-1.8360948357285782</v>
      </c>
      <c r="H761">
        <f t="shared" si="56"/>
        <v>-2.4051284133007873</v>
      </c>
      <c r="I761">
        <f t="shared" si="57"/>
        <v>-2.4144113968698937</v>
      </c>
      <c r="J761" s="5"/>
      <c r="K761">
        <f t="shared" si="58"/>
        <v>-2.21854488196642</v>
      </c>
      <c r="M761">
        <f t="shared" si="59"/>
        <v>0.33124397631727726</v>
      </c>
      <c r="O761" s="2" t="s">
        <v>766</v>
      </c>
    </row>
    <row r="762" spans="1:15">
      <c r="A762">
        <v>760</v>
      </c>
      <c r="B762">
        <v>360</v>
      </c>
      <c r="C762">
        <v>848</v>
      </c>
      <c r="D762">
        <v>555</v>
      </c>
      <c r="E762">
        <v>737</v>
      </c>
      <c r="G762">
        <f t="shared" si="55"/>
        <v>-0.20393009625407676</v>
      </c>
      <c r="H762">
        <f t="shared" si="56"/>
        <v>-0.25809653862430471</v>
      </c>
      <c r="I762">
        <f t="shared" si="57"/>
        <v>-0.14420501745703612</v>
      </c>
      <c r="J762" s="5"/>
      <c r="K762">
        <f t="shared" si="58"/>
        <v>-0.20207721744513921</v>
      </c>
      <c r="M762">
        <f t="shared" si="59"/>
        <v>5.6968364188899105E-2</v>
      </c>
      <c r="O762" s="2" t="s">
        <v>767</v>
      </c>
    </row>
    <row r="763" spans="1:15">
      <c r="A763">
        <v>761</v>
      </c>
      <c r="B763">
        <v>168</v>
      </c>
      <c r="C763">
        <v>49</v>
      </c>
      <c r="D763">
        <v>44</v>
      </c>
      <c r="E763">
        <v>75</v>
      </c>
      <c r="G763">
        <f t="shared" si="55"/>
        <v>-1.1111366494408526</v>
      </c>
      <c r="H763">
        <f t="shared" si="56"/>
        <v>-1.0279436262193691</v>
      </c>
      <c r="I763">
        <f t="shared" si="57"/>
        <v>-0.80561802288296303</v>
      </c>
      <c r="J763" s="5"/>
      <c r="K763">
        <f t="shared" si="58"/>
        <v>-0.98156609951439489</v>
      </c>
      <c r="M763">
        <f t="shared" si="59"/>
        <v>0.1579511444431704</v>
      </c>
      <c r="O763" s="2" t="s">
        <v>768</v>
      </c>
    </row>
    <row r="764" spans="1:15">
      <c r="A764">
        <v>762</v>
      </c>
      <c r="B764">
        <v>119</v>
      </c>
      <c r="C764">
        <v>62</v>
      </c>
      <c r="D764">
        <v>44</v>
      </c>
      <c r="E764">
        <v>82</v>
      </c>
      <c r="G764">
        <f t="shared" si="55"/>
        <v>-0.85917871963778025</v>
      </c>
      <c r="H764">
        <f t="shared" si="56"/>
        <v>-0.87818130588603704</v>
      </c>
      <c r="I764">
        <f t="shared" si="57"/>
        <v>-0.61710311355761438</v>
      </c>
      <c r="J764" s="5"/>
      <c r="K764">
        <f t="shared" si="58"/>
        <v>-0.78482104636047723</v>
      </c>
      <c r="M764">
        <f t="shared" si="59"/>
        <v>0.14555841888664389</v>
      </c>
      <c r="O764" s="2" t="s">
        <v>769</v>
      </c>
    </row>
    <row r="765" spans="1:15">
      <c r="A765">
        <v>763</v>
      </c>
      <c r="B765">
        <v>177</v>
      </c>
      <c r="C765">
        <v>616</v>
      </c>
      <c r="D765">
        <v>464</v>
      </c>
      <c r="E765">
        <v>608</v>
      </c>
      <c r="G765">
        <f t="shared" si="55"/>
        <v>-3.4416001940884566E-2</v>
      </c>
      <c r="H765">
        <f t="shared" si="56"/>
        <v>-2.7542306786619453E-2</v>
      </c>
      <c r="I765">
        <f t="shared" si="57"/>
        <v>8.0560308362128019E-2</v>
      </c>
      <c r="J765" s="5"/>
      <c r="K765">
        <f t="shared" si="58"/>
        <v>6.2006665448746667E-3</v>
      </c>
      <c r="M765">
        <f t="shared" si="59"/>
        <v>6.4488984870759922E-2</v>
      </c>
      <c r="O765" s="2" t="s">
        <v>770</v>
      </c>
    </row>
    <row r="766" spans="1:15">
      <c r="A766">
        <v>764</v>
      </c>
      <c r="B766">
        <v>449</v>
      </c>
      <c r="C766">
        <v>2144</v>
      </c>
      <c r="D766">
        <v>2193</v>
      </c>
      <c r="E766">
        <v>1816</v>
      </c>
      <c r="G766">
        <f t="shared" si="55"/>
        <v>0.10295499227390592</v>
      </c>
      <c r="H766">
        <f t="shared" si="56"/>
        <v>0.24270526969450612</v>
      </c>
      <c r="I766">
        <f t="shared" si="57"/>
        <v>0.15149949863294287</v>
      </c>
      <c r="J766" s="5"/>
      <c r="K766">
        <f t="shared" si="58"/>
        <v>0.16571992020045165</v>
      </c>
      <c r="M766">
        <f t="shared" si="59"/>
        <v>7.0952098643746478E-2</v>
      </c>
      <c r="O766" s="2" t="s">
        <v>771</v>
      </c>
    </row>
    <row r="767" spans="1:15">
      <c r="A767">
        <v>765</v>
      </c>
      <c r="B767">
        <v>16</v>
      </c>
      <c r="C767">
        <v>1</v>
      </c>
      <c r="D767">
        <v>0</v>
      </c>
      <c r="E767">
        <v>0</v>
      </c>
      <c r="G767">
        <f t="shared" si="55"/>
        <v>-1.7801434303994281</v>
      </c>
      <c r="H767" t="e">
        <f t="shared" si="56"/>
        <v>#NUM!</v>
      </c>
      <c r="I767" t="e">
        <f t="shared" si="57"/>
        <v>#NUM!</v>
      </c>
      <c r="J767" s="5"/>
      <c r="K767" t="e">
        <f t="shared" si="58"/>
        <v>#NUM!</v>
      </c>
      <c r="M767" t="e">
        <f t="shared" si="59"/>
        <v>#NUM!</v>
      </c>
      <c r="O767" s="2" t="s">
        <v>772</v>
      </c>
    </row>
    <row r="768" spans="1:15">
      <c r="A768">
        <v>766</v>
      </c>
      <c r="B768">
        <v>331</v>
      </c>
      <c r="C768">
        <v>1095</v>
      </c>
      <c r="D768">
        <v>1214</v>
      </c>
      <c r="E768">
        <v>1130</v>
      </c>
      <c r="G768">
        <f t="shared" si="55"/>
        <v>-5.6437322343084961E-2</v>
      </c>
      <c r="H768">
        <f t="shared" si="56"/>
        <v>0.11830367198382641</v>
      </c>
      <c r="I768">
        <f t="shared" si="57"/>
        <v>7.7880445158900691E-2</v>
      </c>
      <c r="J768" s="5"/>
      <c r="K768">
        <f t="shared" si="58"/>
        <v>4.6582264933214046E-2</v>
      </c>
      <c r="M768">
        <f t="shared" si="59"/>
        <v>9.1478335351432197E-2</v>
      </c>
      <c r="O768" s="2" t="s">
        <v>773</v>
      </c>
    </row>
    <row r="769" spans="1:15">
      <c r="A769">
        <v>767</v>
      </c>
      <c r="B769">
        <v>162</v>
      </c>
      <c r="C769">
        <v>268</v>
      </c>
      <c r="D769">
        <v>176</v>
      </c>
      <c r="E769">
        <v>227</v>
      </c>
      <c r="G769">
        <f t="shared" si="55"/>
        <v>-0.35740366825734549</v>
      </c>
      <c r="H769">
        <f t="shared" si="56"/>
        <v>-0.41008936770817483</v>
      </c>
      <c r="I769">
        <f t="shared" si="57"/>
        <v>-0.30885916189830853</v>
      </c>
      <c r="J769" s="5"/>
      <c r="K769">
        <f t="shared" si="58"/>
        <v>-0.3587840659546096</v>
      </c>
      <c r="M769">
        <f t="shared" si="59"/>
        <v>5.0629218495142944E-2</v>
      </c>
      <c r="O769" s="2" t="s">
        <v>774</v>
      </c>
    </row>
    <row r="770" spans="1:15">
      <c r="A770">
        <v>768</v>
      </c>
      <c r="B770">
        <v>135</v>
      </c>
      <c r="C770">
        <v>182</v>
      </c>
      <c r="D770">
        <v>123</v>
      </c>
      <c r="E770">
        <v>157</v>
      </c>
      <c r="G770">
        <f t="shared" ref="G770:G833" si="60">LOG10(C770/B770)-LOG10(437/116)</f>
        <v>-0.44628582825343466</v>
      </c>
      <c r="H770">
        <f t="shared" ref="H770:H833" si="61">LOG10(D770/B770)-LOG10(324/116)</f>
        <v>-0.48651567803530182</v>
      </c>
      <c r="I770">
        <f t="shared" ref="I770:I833" si="62">LOG10(E770/B770)-LOG10(331/116)</f>
        <v>-0.38980412063457265</v>
      </c>
      <c r="J770" s="5"/>
      <c r="K770">
        <f t="shared" ref="K770:K833" si="63">AVERAGE(G770:I770)</f>
        <v>-0.44086854230776967</v>
      </c>
      <c r="M770">
        <f t="shared" ref="M770:M833" si="64">STDEV(G770:I770)</f>
        <v>4.8582832090991339E-2</v>
      </c>
      <c r="O770" s="2" t="s">
        <v>775</v>
      </c>
    </row>
    <row r="771" spans="1:15">
      <c r="A771">
        <v>769</v>
      </c>
      <c r="B771">
        <v>254</v>
      </c>
      <c r="C771">
        <v>11</v>
      </c>
      <c r="D771">
        <v>12</v>
      </c>
      <c r="E771">
        <v>10</v>
      </c>
      <c r="G771">
        <f t="shared" si="60"/>
        <v>-1.9394644792052163</v>
      </c>
      <c r="H771">
        <f t="shared" si="61"/>
        <v>-1.7717394915520068</v>
      </c>
      <c r="I771">
        <f t="shared" si="62"/>
        <v>-1.8602037211687383</v>
      </c>
      <c r="J771" s="5"/>
      <c r="K771">
        <f t="shared" si="63"/>
        <v>-1.8571358973086538</v>
      </c>
      <c r="M771">
        <f t="shared" si="64"/>
        <v>8.3904567981991848E-2</v>
      </c>
      <c r="O771" s="2" t="s">
        <v>776</v>
      </c>
    </row>
    <row r="772" spans="1:15">
      <c r="A772">
        <v>770</v>
      </c>
      <c r="B772">
        <v>101</v>
      </c>
      <c r="C772">
        <v>3</v>
      </c>
      <c r="D772">
        <v>2</v>
      </c>
      <c r="E772">
        <v>1</v>
      </c>
      <c r="G772">
        <f t="shared" si="60"/>
        <v>-2.1032235668064834</v>
      </c>
      <c r="H772">
        <f t="shared" si="61"/>
        <v>-2.1493783990983548</v>
      </c>
      <c r="I772">
        <f t="shared" si="62"/>
        <v>-2.4596913783314429</v>
      </c>
      <c r="J772" s="5"/>
      <c r="K772">
        <f t="shared" si="63"/>
        <v>-2.2374311147454269</v>
      </c>
      <c r="M772">
        <f t="shared" si="64"/>
        <v>0.19386151168544682</v>
      </c>
      <c r="O772" s="2" t="s">
        <v>777</v>
      </c>
    </row>
    <row r="773" spans="1:15">
      <c r="A773">
        <v>771</v>
      </c>
      <c r="B773">
        <v>290</v>
      </c>
      <c r="C773">
        <v>0</v>
      </c>
      <c r="D773">
        <v>2</v>
      </c>
      <c r="E773">
        <v>2</v>
      </c>
      <c r="G773" t="e">
        <f t="shared" si="60"/>
        <v>#NUM!</v>
      </c>
      <c r="H773">
        <f t="shared" si="61"/>
        <v>-2.6074550232146683</v>
      </c>
      <c r="I773">
        <f t="shared" si="62"/>
        <v>-2.6167380067837751</v>
      </c>
      <c r="J773" s="5"/>
      <c r="K773" t="e">
        <f t="shared" si="63"/>
        <v>#NUM!</v>
      </c>
      <c r="M773" t="e">
        <f t="shared" si="64"/>
        <v>#NUM!</v>
      </c>
      <c r="O773" s="2" t="s">
        <v>778</v>
      </c>
    </row>
    <row r="774" spans="1:15">
      <c r="A774">
        <v>772</v>
      </c>
      <c r="B774">
        <v>310</v>
      </c>
      <c r="C774">
        <v>5</v>
      </c>
      <c r="D774">
        <v>5</v>
      </c>
      <c r="E774">
        <v>6</v>
      </c>
      <c r="G774">
        <f t="shared" si="60"/>
        <v>-2.3684151372417572</v>
      </c>
      <c r="H774">
        <f t="shared" si="61"/>
        <v>-2.2384787104779473</v>
      </c>
      <c r="I774">
        <f t="shared" si="62"/>
        <v>-2.1685804479994291</v>
      </c>
      <c r="J774" s="5"/>
      <c r="K774">
        <f t="shared" si="63"/>
        <v>-2.258491431906378</v>
      </c>
      <c r="M774">
        <f t="shared" si="64"/>
        <v>0.10140935617768924</v>
      </c>
      <c r="O774" s="2" t="s">
        <v>779</v>
      </c>
    </row>
    <row r="775" spans="1:15">
      <c r="A775">
        <v>773</v>
      </c>
      <c r="B775">
        <v>169</v>
      </c>
      <c r="C775">
        <v>10</v>
      </c>
      <c r="D775">
        <v>8</v>
      </c>
      <c r="E775">
        <v>11</v>
      </c>
      <c r="G775">
        <f t="shared" si="60"/>
        <v>-1.803910152357177</v>
      </c>
      <c r="H775">
        <f t="shared" si="61"/>
        <v>-1.7708837386014236</v>
      </c>
      <c r="I775">
        <f t="shared" si="62"/>
        <v>-1.6418640240042488</v>
      </c>
      <c r="J775" s="5"/>
      <c r="K775">
        <f t="shared" si="63"/>
        <v>-1.7388859716542833</v>
      </c>
      <c r="M775">
        <f t="shared" si="64"/>
        <v>8.5630775692773303E-2</v>
      </c>
      <c r="O775" s="2" t="s">
        <v>780</v>
      </c>
    </row>
    <row r="776" spans="1:15">
      <c r="A776">
        <v>774</v>
      </c>
      <c r="B776">
        <v>288</v>
      </c>
      <c r="C776">
        <v>695</v>
      </c>
      <c r="D776">
        <v>634</v>
      </c>
      <c r="E776">
        <v>728</v>
      </c>
      <c r="G776">
        <f t="shared" si="60"/>
        <v>-0.19343113091262026</v>
      </c>
      <c r="H776">
        <f t="shared" si="61"/>
        <v>-0.10339025085719183</v>
      </c>
      <c r="I776">
        <f t="shared" si="62"/>
        <v>-5.2631112994993956E-2</v>
      </c>
      <c r="J776" s="5"/>
      <c r="K776">
        <f t="shared" si="63"/>
        <v>-0.11648416492160202</v>
      </c>
      <c r="M776">
        <f t="shared" si="64"/>
        <v>7.1307427386953129E-2</v>
      </c>
      <c r="O776" s="2" t="s">
        <v>781</v>
      </c>
    </row>
    <row r="777" spans="1:15">
      <c r="A777">
        <v>775</v>
      </c>
      <c r="B777">
        <v>99</v>
      </c>
      <c r="C777">
        <v>185</v>
      </c>
      <c r="D777">
        <v>157</v>
      </c>
      <c r="E777">
        <v>172</v>
      </c>
      <c r="G777">
        <f t="shared" si="60"/>
        <v>-0.30448691393803945</v>
      </c>
      <c r="H777">
        <f t="shared" si="61"/>
        <v>-0.24582256316800985</v>
      </c>
      <c r="I777">
        <f t="shared" si="62"/>
        <v>-0.21547675223880125</v>
      </c>
      <c r="J777" s="5"/>
      <c r="K777">
        <f t="shared" si="63"/>
        <v>-0.25526207644828353</v>
      </c>
      <c r="M777">
        <f t="shared" si="64"/>
        <v>4.5249646735167889E-2</v>
      </c>
      <c r="O777" s="2" t="s">
        <v>782</v>
      </c>
    </row>
    <row r="778" spans="1:15">
      <c r="A778">
        <v>776</v>
      </c>
      <c r="B778">
        <v>255</v>
      </c>
      <c r="C778">
        <v>5</v>
      </c>
      <c r="D778">
        <v>3</v>
      </c>
      <c r="E778">
        <v>5</v>
      </c>
      <c r="G778">
        <f t="shared" si="60"/>
        <v>-2.2835936238414396</v>
      </c>
      <c r="H778">
        <f t="shared" si="61"/>
        <v>-2.3755059466939863</v>
      </c>
      <c r="I778">
        <f t="shared" si="62"/>
        <v>-2.1629401806467365</v>
      </c>
      <c r="J778" s="5"/>
      <c r="K778">
        <f t="shared" si="63"/>
        <v>-2.2740132503940544</v>
      </c>
      <c r="M778">
        <f t="shared" si="64"/>
        <v>0.10660623288699894</v>
      </c>
      <c r="O778" s="2" t="s">
        <v>783</v>
      </c>
    </row>
    <row r="779" spans="1:15">
      <c r="A779">
        <v>777</v>
      </c>
      <c r="B779">
        <v>26</v>
      </c>
      <c r="C779">
        <v>1</v>
      </c>
      <c r="D779">
        <v>0</v>
      </c>
      <c r="E779">
        <v>0</v>
      </c>
      <c r="G779">
        <f t="shared" si="60"/>
        <v>-1.9909967957143213</v>
      </c>
      <c r="H779" t="e">
        <f t="shared" si="61"/>
        <v>#NUM!</v>
      </c>
      <c r="I779" t="e">
        <f t="shared" si="62"/>
        <v>#NUM!</v>
      </c>
      <c r="J779" s="5"/>
      <c r="K779" t="e">
        <f t="shared" si="63"/>
        <v>#NUM!</v>
      </c>
      <c r="M779" t="e">
        <f t="shared" si="64"/>
        <v>#NUM!</v>
      </c>
      <c r="O779" s="2" t="s">
        <v>784</v>
      </c>
    </row>
    <row r="780" spans="1:15">
      <c r="A780">
        <v>778</v>
      </c>
      <c r="B780">
        <v>243</v>
      </c>
      <c r="C780">
        <v>2</v>
      </c>
      <c r="D780">
        <v>1</v>
      </c>
      <c r="E780">
        <v>0</v>
      </c>
      <c r="G780">
        <f t="shared" si="60"/>
        <v>-2.6605997256778342</v>
      </c>
      <c r="H780">
        <f t="shared" si="61"/>
        <v>-2.831693294578006</v>
      </c>
      <c r="I780" t="e">
        <f t="shared" si="62"/>
        <v>#NUM!</v>
      </c>
      <c r="J780" s="5"/>
      <c r="K780" t="e">
        <f t="shared" si="63"/>
        <v>#NUM!</v>
      </c>
      <c r="M780" t="e">
        <f t="shared" si="64"/>
        <v>#NUM!</v>
      </c>
      <c r="O780" s="2" t="s">
        <v>785</v>
      </c>
    </row>
    <row r="781" spans="1:15">
      <c r="A781">
        <v>779</v>
      </c>
      <c r="B781">
        <v>172</v>
      </c>
      <c r="C781">
        <v>1</v>
      </c>
      <c r="D781">
        <v>4</v>
      </c>
      <c r="E781">
        <v>2</v>
      </c>
      <c r="G781">
        <f t="shared" si="60"/>
        <v>-2.811551894651052</v>
      </c>
      <c r="H781">
        <f t="shared" si="61"/>
        <v>-2.0795554765592801</v>
      </c>
      <c r="I781">
        <f t="shared" si="62"/>
        <v>-2.3898684557923682</v>
      </c>
      <c r="J781" s="5"/>
      <c r="K781">
        <f t="shared" si="63"/>
        <v>-2.4269919423342334</v>
      </c>
      <c r="M781">
        <f t="shared" si="64"/>
        <v>0.36740754478448778</v>
      </c>
      <c r="O781" s="2" t="s">
        <v>786</v>
      </c>
    </row>
    <row r="782" spans="1:15">
      <c r="A782">
        <v>780</v>
      </c>
      <c r="B782">
        <v>465</v>
      </c>
      <c r="C782">
        <v>131</v>
      </c>
      <c r="D782">
        <v>392</v>
      </c>
      <c r="E782">
        <v>133</v>
      </c>
      <c r="G782">
        <f t="shared" si="60"/>
        <v>-1.1262051049776929</v>
      </c>
      <c r="H782">
        <f t="shared" si="61"/>
        <v>-0.52025390684919037</v>
      </c>
      <c r="I782">
        <f t="shared" si="62"/>
        <v>-0.99897131647166837</v>
      </c>
      <c r="J782" s="5"/>
      <c r="K782">
        <f t="shared" si="63"/>
        <v>-0.88181010943285054</v>
      </c>
      <c r="M782">
        <f t="shared" si="64"/>
        <v>0.31951412324721457</v>
      </c>
      <c r="O782" s="2" t="s">
        <v>787</v>
      </c>
    </row>
    <row r="783" spans="1:15">
      <c r="A783">
        <v>781</v>
      </c>
      <c r="B783">
        <v>161</v>
      </c>
      <c r="C783">
        <v>3</v>
      </c>
      <c r="D783">
        <v>1</v>
      </c>
      <c r="E783">
        <v>4</v>
      </c>
      <c r="G783">
        <f t="shared" si="60"/>
        <v>-2.3057280690556903</v>
      </c>
      <c r="H783">
        <f t="shared" si="61"/>
        <v>-2.652912897011543</v>
      </c>
      <c r="I783">
        <f t="shared" si="62"/>
        <v>-2.0601358892526873</v>
      </c>
      <c r="J783" s="5"/>
      <c r="K783">
        <f t="shared" si="63"/>
        <v>-2.3395922851066402</v>
      </c>
      <c r="M783">
        <f t="shared" si="64"/>
        <v>0.29783591804623549</v>
      </c>
      <c r="O783" s="2" t="s">
        <v>788</v>
      </c>
    </row>
    <row r="784" spans="1:15">
      <c r="A784">
        <v>782</v>
      </c>
      <c r="B784">
        <v>239</v>
      </c>
      <c r="C784">
        <v>4</v>
      </c>
      <c r="D784">
        <v>4</v>
      </c>
      <c r="E784">
        <v>4</v>
      </c>
      <c r="G784">
        <f t="shared" si="60"/>
        <v>-2.3523613573636784</v>
      </c>
      <c r="H784">
        <f t="shared" si="61"/>
        <v>-2.2224249305998689</v>
      </c>
      <c r="I784">
        <f t="shared" si="62"/>
        <v>-2.2317079141689753</v>
      </c>
      <c r="J784" s="5"/>
      <c r="K784">
        <f t="shared" si="63"/>
        <v>-2.268831400710841</v>
      </c>
      <c r="M784">
        <f t="shared" si="64"/>
        <v>7.2487817526842122E-2</v>
      </c>
      <c r="O784" s="2" t="s">
        <v>789</v>
      </c>
    </row>
    <row r="785" spans="1:15">
      <c r="A785">
        <v>783</v>
      </c>
      <c r="B785">
        <v>119</v>
      </c>
      <c r="C785">
        <v>7</v>
      </c>
      <c r="D785">
        <v>3</v>
      </c>
      <c r="E785">
        <v>8</v>
      </c>
      <c r="G785">
        <f t="shared" si="60"/>
        <v>-1.8064723691217772</v>
      </c>
      <c r="H785">
        <f t="shared" si="61"/>
        <v>-2.0445127276525619</v>
      </c>
      <c r="I785">
        <f t="shared" si="62"/>
        <v>-1.6278269789493875</v>
      </c>
      <c r="J785" s="5"/>
      <c r="K785">
        <f t="shared" si="63"/>
        <v>-1.826270691907909</v>
      </c>
      <c r="M785">
        <f t="shared" si="64"/>
        <v>0.20904720395628146</v>
      </c>
      <c r="O785" s="2" t="s">
        <v>790</v>
      </c>
    </row>
    <row r="786" spans="1:15">
      <c r="A786">
        <v>784</v>
      </c>
      <c r="B786">
        <v>59</v>
      </c>
      <c r="C786">
        <v>2</v>
      </c>
      <c r="D786">
        <v>0</v>
      </c>
      <c r="E786">
        <v>0</v>
      </c>
      <c r="G786">
        <f t="shared" si="60"/>
        <v>-2.0458454637216663</v>
      </c>
      <c r="H786" t="e">
        <f t="shared" si="61"/>
        <v>#NUM!</v>
      </c>
      <c r="I786" t="e">
        <f t="shared" si="62"/>
        <v>#NUM!</v>
      </c>
      <c r="J786" s="5"/>
      <c r="K786" t="e">
        <f t="shared" si="63"/>
        <v>#NUM!</v>
      </c>
      <c r="M786" t="e">
        <f t="shared" si="64"/>
        <v>#NUM!</v>
      </c>
      <c r="O786" s="2" t="s">
        <v>791</v>
      </c>
    </row>
    <row r="787" spans="1:15">
      <c r="A787">
        <v>785</v>
      </c>
      <c r="B787">
        <v>113</v>
      </c>
      <c r="C787">
        <v>1</v>
      </c>
      <c r="D787">
        <v>3</v>
      </c>
      <c r="E787">
        <v>2</v>
      </c>
      <c r="G787">
        <f t="shared" si="60"/>
        <v>-2.6291018912269233</v>
      </c>
      <c r="H787">
        <f t="shared" si="61"/>
        <v>-2.0220442097434512</v>
      </c>
      <c r="I787">
        <f t="shared" si="62"/>
        <v>-2.2074184523682385</v>
      </c>
      <c r="J787" s="5"/>
      <c r="K787">
        <f t="shared" si="63"/>
        <v>-2.2861881844462042</v>
      </c>
      <c r="M787">
        <f t="shared" si="64"/>
        <v>0.3111000806505026</v>
      </c>
      <c r="O787" s="2" t="s">
        <v>792</v>
      </c>
    </row>
    <row r="788" spans="1:15">
      <c r="A788">
        <v>786</v>
      </c>
      <c r="B788">
        <v>65</v>
      </c>
      <c r="C788">
        <v>184</v>
      </c>
      <c r="D788">
        <v>151</v>
      </c>
      <c r="E788">
        <v>154</v>
      </c>
      <c r="G788">
        <f t="shared" si="60"/>
        <v>-0.12411898137682242</v>
      </c>
      <c r="H788">
        <f t="shared" si="61"/>
        <v>-8.0023430329379752E-2</v>
      </c>
      <c r="I788">
        <f t="shared" si="62"/>
        <v>-8.0762640355192761E-2</v>
      </c>
      <c r="J788" s="5"/>
      <c r="K788">
        <f t="shared" si="63"/>
        <v>-9.496835068713165E-2</v>
      </c>
      <c r="M788">
        <f t="shared" si="64"/>
        <v>2.5247892190648744E-2</v>
      </c>
      <c r="O788" s="2" t="s">
        <v>793</v>
      </c>
    </row>
    <row r="789" spans="1:15">
      <c r="A789">
        <v>787</v>
      </c>
      <c r="B789">
        <v>211</v>
      </c>
      <c r="C789">
        <v>1</v>
      </c>
      <c r="D789">
        <v>4</v>
      </c>
      <c r="E789">
        <v>0</v>
      </c>
      <c r="G789">
        <f t="shared" si="60"/>
        <v>-2.900305903041196</v>
      </c>
      <c r="H789">
        <f t="shared" si="61"/>
        <v>-2.168309484949424</v>
      </c>
      <c r="I789" t="e">
        <f t="shared" si="62"/>
        <v>#NUM!</v>
      </c>
      <c r="J789" s="5"/>
      <c r="K789" t="e">
        <f t="shared" si="63"/>
        <v>#NUM!</v>
      </c>
      <c r="M789" t="e">
        <f t="shared" si="64"/>
        <v>#NUM!</v>
      </c>
      <c r="O789" s="2" t="s">
        <v>794</v>
      </c>
    </row>
    <row r="790" spans="1:15">
      <c r="A790">
        <v>788</v>
      </c>
      <c r="B790">
        <v>255</v>
      </c>
      <c r="C790">
        <v>35</v>
      </c>
      <c r="D790">
        <v>21</v>
      </c>
      <c r="E790">
        <v>31</v>
      </c>
      <c r="G790">
        <f t="shared" si="60"/>
        <v>-1.4384955838271827</v>
      </c>
      <c r="H790">
        <f t="shared" si="61"/>
        <v>-1.5304079066797296</v>
      </c>
      <c r="I790">
        <f t="shared" si="62"/>
        <v>-1.3705484911484827</v>
      </c>
      <c r="J790" s="5"/>
      <c r="K790">
        <f t="shared" si="63"/>
        <v>-1.4464839938851319</v>
      </c>
      <c r="M790">
        <f t="shared" si="64"/>
        <v>8.0228543579815931E-2</v>
      </c>
      <c r="O790" s="2" t="s">
        <v>795</v>
      </c>
    </row>
    <row r="791" spans="1:15">
      <c r="A791">
        <v>789</v>
      </c>
      <c r="B791">
        <v>508</v>
      </c>
      <c r="C791">
        <v>1160</v>
      </c>
      <c r="D791">
        <v>1392</v>
      </c>
      <c r="E791">
        <v>1324</v>
      </c>
      <c r="G791">
        <f t="shared" si="60"/>
        <v>-0.21742917080050411</v>
      </c>
      <c r="H791">
        <f t="shared" si="61"/>
        <v>-8.311497989069605E-3</v>
      </c>
      <c r="I791">
        <f t="shared" si="62"/>
        <v>-3.9345731729038436E-2</v>
      </c>
      <c r="J791" s="5"/>
      <c r="K791">
        <f t="shared" si="63"/>
        <v>-8.8362133506204046E-2</v>
      </c>
      <c r="M791">
        <f t="shared" si="64"/>
        <v>0.11284726847781001</v>
      </c>
      <c r="O791" s="2" t="s">
        <v>796</v>
      </c>
    </row>
    <row r="792" spans="1:15">
      <c r="A792">
        <v>790</v>
      </c>
      <c r="B792">
        <v>131</v>
      </c>
      <c r="C792">
        <v>122</v>
      </c>
      <c r="D792">
        <v>116</v>
      </c>
      <c r="E792">
        <v>119</v>
      </c>
      <c r="G792">
        <f t="shared" si="60"/>
        <v>-0.60693491272451938</v>
      </c>
      <c r="H792">
        <f t="shared" si="61"/>
        <v>-0.4989003274085394</v>
      </c>
      <c r="I792">
        <f t="shared" si="62"/>
        <v>-0.4970943388120338</v>
      </c>
      <c r="J792" s="5"/>
      <c r="K792">
        <f t="shared" si="63"/>
        <v>-0.53430985964836408</v>
      </c>
      <c r="M792">
        <f t="shared" si="64"/>
        <v>6.2901622788593028E-2</v>
      </c>
      <c r="O792" s="2" t="s">
        <v>797</v>
      </c>
    </row>
    <row r="793" spans="1:15">
      <c r="A793">
        <v>791</v>
      </c>
      <c r="B793">
        <v>141</v>
      </c>
      <c r="C793">
        <v>1</v>
      </c>
      <c r="D793">
        <v>1</v>
      </c>
      <c r="E793">
        <v>1</v>
      </c>
      <c r="G793">
        <f t="shared" si="60"/>
        <v>-2.7252425603988835</v>
      </c>
      <c r="H793">
        <f t="shared" si="61"/>
        <v>-2.5953061336350736</v>
      </c>
      <c r="I793">
        <f t="shared" si="62"/>
        <v>-2.6045891172041804</v>
      </c>
      <c r="J793" s="5"/>
      <c r="K793">
        <f t="shared" si="63"/>
        <v>-2.6417126037460457</v>
      </c>
      <c r="M793">
        <f t="shared" si="64"/>
        <v>7.248781752684226E-2</v>
      </c>
      <c r="O793" s="2" t="s">
        <v>798</v>
      </c>
    </row>
    <row r="794" spans="1:15">
      <c r="A794">
        <v>792</v>
      </c>
      <c r="B794">
        <v>92</v>
      </c>
      <c r="C794">
        <v>114</v>
      </c>
      <c r="D794">
        <v>94</v>
      </c>
      <c r="E794">
        <v>91</v>
      </c>
      <c r="G794">
        <f t="shared" si="60"/>
        <v>-0.48290642375258602</v>
      </c>
      <c r="H794">
        <f t="shared" si="61"/>
        <v>-0.43674699472555023</v>
      </c>
      <c r="I794">
        <f t="shared" si="62"/>
        <v>-0.46011643957326198</v>
      </c>
      <c r="J794" s="5"/>
      <c r="K794">
        <f t="shared" si="63"/>
        <v>-0.45992328601713273</v>
      </c>
      <c r="M794">
        <f t="shared" si="64"/>
        <v>2.3080320692045693E-2</v>
      </c>
      <c r="O794" s="2" t="s">
        <v>799</v>
      </c>
    </row>
    <row r="795" spans="1:15">
      <c r="A795">
        <v>793</v>
      </c>
      <c r="B795">
        <v>217</v>
      </c>
      <c r="C795">
        <v>24</v>
      </c>
      <c r="D795">
        <v>15</v>
      </c>
      <c r="E795">
        <v>27</v>
      </c>
      <c r="G795">
        <f t="shared" si="60"/>
        <v>-1.5322719398804268</v>
      </c>
      <c r="H795">
        <f t="shared" si="61"/>
        <v>-1.6064554957725419</v>
      </c>
      <c r="I795">
        <f t="shared" si="62"/>
        <v>-1.3604659742383425</v>
      </c>
      <c r="J795" s="5"/>
      <c r="K795">
        <f t="shared" si="63"/>
        <v>-1.4997311366304371</v>
      </c>
      <c r="M795">
        <f t="shared" si="64"/>
        <v>0.12618196813836752</v>
      </c>
      <c r="O795" s="2" t="s">
        <v>800</v>
      </c>
    </row>
    <row r="796" spans="1:15">
      <c r="A796">
        <v>794</v>
      </c>
      <c r="B796">
        <v>187</v>
      </c>
      <c r="C796">
        <v>409</v>
      </c>
      <c r="D796">
        <v>370</v>
      </c>
      <c r="E796">
        <v>535</v>
      </c>
      <c r="G796">
        <f t="shared" si="60"/>
        <v>-0.23614174627266055</v>
      </c>
      <c r="H796">
        <f t="shared" si="61"/>
        <v>-0.14972690344919765</v>
      </c>
      <c r="I796">
        <f t="shared" si="62"/>
        <v>1.1421709359291654E-3</v>
      </c>
      <c r="J796" s="5"/>
      <c r="K796">
        <f t="shared" si="63"/>
        <v>-0.12824215959530968</v>
      </c>
      <c r="M796">
        <f t="shared" si="64"/>
        <v>0.12009208968668002</v>
      </c>
      <c r="O796" s="2" t="s">
        <v>801</v>
      </c>
    </row>
    <row r="797" spans="1:15">
      <c r="A797">
        <v>795</v>
      </c>
      <c r="B797">
        <v>112</v>
      </c>
      <c r="C797">
        <v>5</v>
      </c>
      <c r="D797">
        <v>6</v>
      </c>
      <c r="E797">
        <v>6</v>
      </c>
      <c r="G797">
        <f t="shared" si="60"/>
        <v>-1.9262714660776661</v>
      </c>
      <c r="H797">
        <f t="shared" si="61"/>
        <v>-1.7171537932662317</v>
      </c>
      <c r="I797">
        <f t="shared" si="62"/>
        <v>-1.7264367768353384</v>
      </c>
      <c r="J797" s="5"/>
      <c r="K797">
        <f t="shared" si="63"/>
        <v>-1.7899540120597457</v>
      </c>
      <c r="M797">
        <f t="shared" si="64"/>
        <v>0.11814558666506345</v>
      </c>
      <c r="O797" s="2" t="s">
        <v>802</v>
      </c>
    </row>
    <row r="798" spans="1:15">
      <c r="A798">
        <v>796</v>
      </c>
      <c r="B798">
        <v>285</v>
      </c>
      <c r="C798">
        <v>5</v>
      </c>
      <c r="D798">
        <v>5</v>
      </c>
      <c r="E798">
        <v>6</v>
      </c>
      <c r="G798">
        <f t="shared" si="60"/>
        <v>-2.3318983034159948</v>
      </c>
      <c r="H798">
        <f t="shared" si="61"/>
        <v>-2.2019618766521853</v>
      </c>
      <c r="I798">
        <f t="shared" si="62"/>
        <v>-2.1320636141736671</v>
      </c>
      <c r="J798" s="5"/>
      <c r="K798">
        <f t="shared" si="63"/>
        <v>-2.2219745980806156</v>
      </c>
      <c r="M798">
        <f t="shared" si="64"/>
        <v>0.10140935617768901</v>
      </c>
      <c r="O798" s="2" t="s">
        <v>803</v>
      </c>
    </row>
    <row r="799" spans="1:15">
      <c r="A799">
        <v>797</v>
      </c>
      <c r="B799">
        <v>191</v>
      </c>
      <c r="C799">
        <v>582</v>
      </c>
      <c r="D799">
        <v>453</v>
      </c>
      <c r="E799">
        <v>462</v>
      </c>
      <c r="G799">
        <f t="shared" si="60"/>
        <v>-9.2133830341342371E-2</v>
      </c>
      <c r="H799">
        <f t="shared" si="61"/>
        <v>-7.1022186214589389E-2</v>
      </c>
      <c r="I799">
        <f t="shared" si="62"/>
        <v>-7.1761396240402286E-2</v>
      </c>
      <c r="J799" s="5"/>
      <c r="K799">
        <f t="shared" si="63"/>
        <v>-7.8305804265444687E-2</v>
      </c>
      <c r="M799">
        <f t="shared" si="64"/>
        <v>1.1981124184831153E-2</v>
      </c>
      <c r="O799" s="2" t="s">
        <v>804</v>
      </c>
    </row>
    <row r="800" spans="1:15">
      <c r="A800">
        <v>798</v>
      </c>
      <c r="B800">
        <v>147</v>
      </c>
      <c r="C800">
        <v>7</v>
      </c>
      <c r="D800">
        <v>2</v>
      </c>
      <c r="E800">
        <v>6</v>
      </c>
      <c r="G800">
        <f t="shared" si="60"/>
        <v>-1.8982427424774226</v>
      </c>
      <c r="H800">
        <f t="shared" si="61"/>
        <v>-2.3123743600638886</v>
      </c>
      <c r="I800">
        <f t="shared" si="62"/>
        <v>-1.8445360889133329</v>
      </c>
      <c r="J800" s="5"/>
      <c r="K800">
        <f t="shared" si="63"/>
        <v>-2.0183843971515483</v>
      </c>
      <c r="M800">
        <f t="shared" si="64"/>
        <v>0.2560149895595204</v>
      </c>
      <c r="O800" s="2" t="s">
        <v>805</v>
      </c>
    </row>
    <row r="801" spans="1:15">
      <c r="A801">
        <v>799</v>
      </c>
      <c r="B801">
        <v>227</v>
      </c>
      <c r="C801">
        <v>46</v>
      </c>
      <c r="D801">
        <v>27</v>
      </c>
      <c r="E801">
        <v>57</v>
      </c>
      <c r="G801">
        <f t="shared" si="60"/>
        <v>-1.269291473255052</v>
      </c>
      <c r="H801">
        <f t="shared" si="61"/>
        <v>-1.370749114013829</v>
      </c>
      <c r="I801">
        <f t="shared" si="62"/>
        <v>-1.0555210060694316</v>
      </c>
      <c r="J801" s="5"/>
      <c r="K801">
        <f t="shared" si="63"/>
        <v>-1.2318538644461041</v>
      </c>
      <c r="M801">
        <f t="shared" si="64"/>
        <v>0.16091417254098575</v>
      </c>
      <c r="O801" s="2" t="s">
        <v>806</v>
      </c>
    </row>
    <row r="802" spans="1:15">
      <c r="A802">
        <v>800</v>
      </c>
      <c r="B802">
        <v>245</v>
      </c>
      <c r="C802">
        <v>114</v>
      </c>
      <c r="D802">
        <v>84</v>
      </c>
      <c r="E802">
        <v>154</v>
      </c>
      <c r="G802">
        <f t="shared" si="60"/>
        <v>-0.90828468077156321</v>
      </c>
      <c r="H802">
        <f t="shared" si="61"/>
        <v>-0.91097381928234444</v>
      </c>
      <c r="I802">
        <f t="shared" si="62"/>
        <v>-0.65701536807686967</v>
      </c>
      <c r="J802" s="5"/>
      <c r="K802">
        <f t="shared" si="63"/>
        <v>-0.82542462271025918</v>
      </c>
      <c r="M802">
        <f t="shared" si="64"/>
        <v>0.1458528904448344</v>
      </c>
      <c r="O802" s="2" t="s">
        <v>807</v>
      </c>
    </row>
    <row r="803" spans="1:15">
      <c r="A803">
        <v>801</v>
      </c>
      <c r="B803">
        <v>326</v>
      </c>
      <c r="C803">
        <v>1215</v>
      </c>
      <c r="D803">
        <v>935</v>
      </c>
      <c r="E803">
        <v>917</v>
      </c>
      <c r="G803">
        <f t="shared" si="60"/>
        <v>-4.6647698771113966E-3</v>
      </c>
      <c r="H803">
        <f t="shared" si="61"/>
        <v>1.1506989824885128E-2</v>
      </c>
      <c r="I803">
        <f t="shared" si="62"/>
        <v>-6.2182689467181751E-3</v>
      </c>
      <c r="J803" s="5"/>
      <c r="K803">
        <f t="shared" si="63"/>
        <v>2.0798366701851867E-4</v>
      </c>
      <c r="M803">
        <f t="shared" si="64"/>
        <v>9.8160070780561239E-3</v>
      </c>
      <c r="O803" s="2" t="s">
        <v>808</v>
      </c>
    </row>
    <row r="804" spans="1:15">
      <c r="A804">
        <v>802</v>
      </c>
      <c r="B804">
        <v>152</v>
      </c>
      <c r="C804">
        <v>1</v>
      </c>
      <c r="D804">
        <v>1</v>
      </c>
      <c r="E804">
        <v>1</v>
      </c>
      <c r="G804">
        <f t="shared" si="60"/>
        <v>-2.757867035688276</v>
      </c>
      <c r="H804">
        <f t="shared" si="61"/>
        <v>-2.6279306089244665</v>
      </c>
      <c r="I804">
        <f t="shared" si="62"/>
        <v>-2.6372135924935729</v>
      </c>
      <c r="J804" s="5"/>
      <c r="K804">
        <f t="shared" si="63"/>
        <v>-2.6743370790354386</v>
      </c>
      <c r="M804">
        <f t="shared" si="64"/>
        <v>7.2487817526842122E-2</v>
      </c>
      <c r="O804" s="2" t="s">
        <v>809</v>
      </c>
    </row>
    <row r="805" spans="1:15">
      <c r="A805">
        <v>803</v>
      </c>
      <c r="B805">
        <v>293</v>
      </c>
      <c r="C805">
        <v>17</v>
      </c>
      <c r="D805">
        <v>21</v>
      </c>
      <c r="E805">
        <v>32</v>
      </c>
      <c r="G805">
        <f t="shared" si="60"/>
        <v>-1.8124421467193388</v>
      </c>
      <c r="H805">
        <f t="shared" si="61"/>
        <v>-1.5907353465998839</v>
      </c>
      <c r="I805">
        <f t="shared" si="62"/>
        <v>-1.4170876465830038</v>
      </c>
      <c r="J805" s="5"/>
      <c r="K805">
        <f t="shared" si="63"/>
        <v>-1.6067550466340756</v>
      </c>
      <c r="M805">
        <f t="shared" si="64"/>
        <v>0.19816348878237361</v>
      </c>
      <c r="O805" s="2" t="s">
        <v>810</v>
      </c>
    </row>
    <row r="806" spans="1:15">
      <c r="A806">
        <v>804</v>
      </c>
      <c r="B806">
        <v>93</v>
      </c>
      <c r="C806">
        <v>0</v>
      </c>
      <c r="D806">
        <v>0</v>
      </c>
      <c r="E806">
        <v>2</v>
      </c>
      <c r="G806" t="e">
        <f t="shared" si="60"/>
        <v>#NUM!</v>
      </c>
      <c r="H806" t="e">
        <f t="shared" si="61"/>
        <v>#NUM!</v>
      </c>
      <c r="I806">
        <f t="shared" si="62"/>
        <v>-2.1228229574387543</v>
      </c>
      <c r="J806" s="5"/>
      <c r="K806" t="e">
        <f t="shared" si="63"/>
        <v>#NUM!</v>
      </c>
      <c r="M806" t="e">
        <f t="shared" si="64"/>
        <v>#NUM!</v>
      </c>
      <c r="O806" s="2" t="s">
        <v>811</v>
      </c>
    </row>
    <row r="807" spans="1:15">
      <c r="A807">
        <v>805</v>
      </c>
      <c r="B807">
        <v>354</v>
      </c>
      <c r="C807">
        <v>117</v>
      </c>
      <c r="D807">
        <v>106</v>
      </c>
      <c r="E807">
        <v>143</v>
      </c>
      <c r="G807">
        <f t="shared" si="60"/>
        <v>-1.0568408480231295</v>
      </c>
      <c r="H807">
        <f t="shared" si="61"/>
        <v>-0.96978441774071122</v>
      </c>
      <c r="I807">
        <f t="shared" si="62"/>
        <v>-0.84903722910952628</v>
      </c>
      <c r="J807" s="5"/>
      <c r="K807">
        <f t="shared" si="63"/>
        <v>-0.95855416495778911</v>
      </c>
      <c r="M807">
        <f t="shared" si="64"/>
        <v>0.10435600098496377</v>
      </c>
      <c r="O807" s="2" t="s">
        <v>812</v>
      </c>
    </row>
    <row r="808" spans="1:15">
      <c r="A808">
        <v>806</v>
      </c>
      <c r="B808">
        <v>309</v>
      </c>
      <c r="C808">
        <v>8</v>
      </c>
      <c r="D808">
        <v>9</v>
      </c>
      <c r="E808">
        <v>17</v>
      </c>
      <c r="G808">
        <f t="shared" si="60"/>
        <v>-2.1628919401763946</v>
      </c>
      <c r="H808">
        <f t="shared" si="61"/>
        <v>-1.9818029909652035</v>
      </c>
      <c r="I808">
        <f t="shared" si="62"/>
        <v>-1.714879562595361</v>
      </c>
      <c r="J808" s="5"/>
      <c r="K808">
        <f t="shared" si="63"/>
        <v>-1.9531914979123197</v>
      </c>
      <c r="M808">
        <f t="shared" si="64"/>
        <v>0.22537243790554576</v>
      </c>
      <c r="O808" s="2" t="s">
        <v>813</v>
      </c>
    </row>
    <row r="809" spans="1:15">
      <c r="A809">
        <v>807</v>
      </c>
      <c r="B809">
        <v>228</v>
      </c>
      <c r="C809">
        <v>344</v>
      </c>
      <c r="D809">
        <v>259</v>
      </c>
      <c r="E809">
        <v>289</v>
      </c>
      <c r="G809">
        <f t="shared" si="60"/>
        <v>-0.39739985217242701</v>
      </c>
      <c r="H809">
        <f t="shared" si="61"/>
        <v>-0.39072210389889561</v>
      </c>
      <c r="I809">
        <f t="shared" si="62"/>
        <v>-0.3524070087927062</v>
      </c>
      <c r="J809" s="5"/>
      <c r="K809">
        <f t="shared" si="63"/>
        <v>-0.38017632162134296</v>
      </c>
      <c r="M809">
        <f t="shared" si="64"/>
        <v>2.4279603203763028E-2</v>
      </c>
      <c r="O809" s="2" t="s">
        <v>814</v>
      </c>
    </row>
    <row r="810" spans="1:15">
      <c r="A810">
        <v>808</v>
      </c>
      <c r="B810">
        <v>210</v>
      </c>
      <c r="C810">
        <v>29</v>
      </c>
      <c r="D810">
        <v>56</v>
      </c>
      <c r="E810">
        <v>65</v>
      </c>
      <c r="G810">
        <f t="shared" si="60"/>
        <v>-1.4358447445784663</v>
      </c>
      <c r="H810">
        <f t="shared" si="61"/>
        <v>-1.0201182887074125</v>
      </c>
      <c r="I810">
        <f t="shared" si="62"/>
        <v>-0.964675942639864</v>
      </c>
      <c r="J810" s="5"/>
      <c r="K810">
        <f t="shared" si="63"/>
        <v>-1.1402129919752475</v>
      </c>
      <c r="M810">
        <f t="shared" si="64"/>
        <v>0.25752099583297328</v>
      </c>
      <c r="O810" s="2" t="s">
        <v>815</v>
      </c>
    </row>
    <row r="811" spans="1:15">
      <c r="A811">
        <v>809</v>
      </c>
      <c r="B811">
        <v>381</v>
      </c>
      <c r="C811">
        <v>1315</v>
      </c>
      <c r="D811">
        <v>991</v>
      </c>
      <c r="E811">
        <v>1350</v>
      </c>
      <c r="G811">
        <f t="shared" si="60"/>
        <v>-3.8022670593345964E-2</v>
      </c>
      <c r="H811">
        <f t="shared" si="61"/>
        <v>-3.0938342170037603E-2</v>
      </c>
      <c r="I811">
        <f t="shared" si="62"/>
        <v>9.4038788270586537E-2</v>
      </c>
      <c r="J811" s="5"/>
      <c r="K811">
        <f t="shared" si="63"/>
        <v>8.3592585024009902E-3</v>
      </c>
      <c r="M811">
        <f t="shared" si="64"/>
        <v>7.4285148537748577E-2</v>
      </c>
      <c r="O811" s="2" t="s">
        <v>816</v>
      </c>
    </row>
    <row r="812" spans="1:15">
      <c r="A812">
        <v>810</v>
      </c>
      <c r="B812">
        <v>209</v>
      </c>
      <c r="C812">
        <v>466</v>
      </c>
      <c r="D812">
        <v>691</v>
      </c>
      <c r="E812">
        <v>504</v>
      </c>
      <c r="G812">
        <f t="shared" si="60"/>
        <v>-0.2277838171645572</v>
      </c>
      <c r="H812">
        <f t="shared" si="61"/>
        <v>7.3244740283450738E-2</v>
      </c>
      <c r="I812">
        <f t="shared" si="62"/>
        <v>-7.3085754214328946E-2</v>
      </c>
      <c r="J812" s="5"/>
      <c r="K812">
        <f t="shared" si="63"/>
        <v>-7.587494369847847E-2</v>
      </c>
      <c r="M812">
        <f t="shared" si="64"/>
        <v>0.15053365996776608</v>
      </c>
      <c r="O812" s="2" t="s">
        <v>817</v>
      </c>
    </row>
    <row r="813" spans="1:15">
      <c r="A813">
        <v>811</v>
      </c>
      <c r="B813">
        <v>99</v>
      </c>
      <c r="C813">
        <v>1</v>
      </c>
      <c r="D813">
        <v>2</v>
      </c>
      <c r="E813">
        <v>0</v>
      </c>
      <c r="G813">
        <f t="shared" si="60"/>
        <v>-2.5716586423410535</v>
      </c>
      <c r="H813">
        <f t="shared" si="61"/>
        <v>-2.1406922199132623</v>
      </c>
      <c r="I813" t="e">
        <f t="shared" si="62"/>
        <v>#NUM!</v>
      </c>
      <c r="J813" s="5"/>
      <c r="K813" t="e">
        <f t="shared" si="63"/>
        <v>#NUM!</v>
      </c>
      <c r="M813" t="e">
        <f t="shared" si="64"/>
        <v>#NUM!</v>
      </c>
      <c r="O813" s="2" t="s">
        <v>818</v>
      </c>
    </row>
    <row r="814" spans="1:15">
      <c r="A814">
        <v>812</v>
      </c>
      <c r="B814">
        <v>363</v>
      </c>
      <c r="C814">
        <v>3</v>
      </c>
      <c r="D814">
        <v>6</v>
      </c>
      <c r="E814">
        <v>3</v>
      </c>
      <c r="G814">
        <f t="shared" si="60"/>
        <v>-2.6588088180599536</v>
      </c>
      <c r="H814">
        <f t="shared" si="61"/>
        <v>-2.2278423956321625</v>
      </c>
      <c r="I814">
        <f t="shared" si="62"/>
        <v>-2.5381553748652506</v>
      </c>
      <c r="J814" s="5"/>
      <c r="K814">
        <f t="shared" si="63"/>
        <v>-2.4749355295191222</v>
      </c>
      <c r="M814">
        <f t="shared" si="64"/>
        <v>0.22232988091852077</v>
      </c>
      <c r="O814" s="2" t="s">
        <v>819</v>
      </c>
    </row>
    <row r="815" spans="1:15">
      <c r="A815">
        <v>813</v>
      </c>
      <c r="B815">
        <v>39</v>
      </c>
      <c r="C815">
        <v>0</v>
      </c>
      <c r="D815">
        <v>0</v>
      </c>
      <c r="E815">
        <v>0</v>
      </c>
      <c r="G815" t="e">
        <f t="shared" si="60"/>
        <v>#NUM!</v>
      </c>
      <c r="H815" t="e">
        <f t="shared" si="61"/>
        <v>#NUM!</v>
      </c>
      <c r="I815" t="e">
        <f t="shared" si="62"/>
        <v>#NUM!</v>
      </c>
      <c r="J815" s="5"/>
      <c r="K815" t="e">
        <f t="shared" si="63"/>
        <v>#NUM!</v>
      </c>
      <c r="M815" t="e">
        <f t="shared" si="64"/>
        <v>#NUM!</v>
      </c>
      <c r="O815" s="2" t="s">
        <v>820</v>
      </c>
    </row>
    <row r="816" spans="1:15">
      <c r="A816">
        <v>814</v>
      </c>
      <c r="B816">
        <v>152</v>
      </c>
      <c r="C816">
        <v>14</v>
      </c>
      <c r="D816">
        <v>6</v>
      </c>
      <c r="E816">
        <v>12</v>
      </c>
      <c r="G816">
        <f t="shared" si="60"/>
        <v>-1.6117390000100378</v>
      </c>
      <c r="H816">
        <f t="shared" si="61"/>
        <v>-1.8497793585408226</v>
      </c>
      <c r="I816">
        <f t="shared" si="62"/>
        <v>-1.558032346445948</v>
      </c>
      <c r="J816" s="5"/>
      <c r="K816">
        <f t="shared" si="63"/>
        <v>-1.6731835683322693</v>
      </c>
      <c r="M816">
        <f t="shared" si="64"/>
        <v>0.15527606383084541</v>
      </c>
      <c r="O816" s="2" t="s">
        <v>821</v>
      </c>
    </row>
    <row r="817" spans="1:15">
      <c r="A817">
        <v>815</v>
      </c>
      <c r="B817">
        <v>99</v>
      </c>
      <c r="C817">
        <v>419</v>
      </c>
      <c r="D817">
        <v>495</v>
      </c>
      <c r="E817">
        <v>433</v>
      </c>
      <c r="G817">
        <f t="shared" si="60"/>
        <v>5.0555380625242119E-2</v>
      </c>
      <c r="H817">
        <f t="shared" si="61"/>
        <v>0.2528829833563252</v>
      </c>
      <c r="I817">
        <f t="shared" si="62"/>
        <v>0.18548269720701527</v>
      </c>
      <c r="J817" s="5"/>
      <c r="K817">
        <f t="shared" si="63"/>
        <v>0.16297368706286086</v>
      </c>
      <c r="M817">
        <f t="shared" si="64"/>
        <v>0.10302478517317559</v>
      </c>
      <c r="O817" s="2" t="s">
        <v>822</v>
      </c>
    </row>
    <row r="818" spans="1:15">
      <c r="A818">
        <v>816</v>
      </c>
      <c r="B818">
        <v>516</v>
      </c>
      <c r="C818">
        <v>4</v>
      </c>
      <c r="D818">
        <v>6</v>
      </c>
      <c r="E818">
        <v>6</v>
      </c>
      <c r="G818">
        <f t="shared" si="60"/>
        <v>-2.6866131580427521</v>
      </c>
      <c r="H818">
        <f t="shared" si="61"/>
        <v>-2.3805854722232613</v>
      </c>
      <c r="I818">
        <f t="shared" si="62"/>
        <v>-2.3898684557923682</v>
      </c>
      <c r="J818" s="5"/>
      <c r="K818">
        <f t="shared" si="63"/>
        <v>-2.4856890286861271</v>
      </c>
      <c r="M818">
        <f t="shared" si="64"/>
        <v>0.17406729378109601</v>
      </c>
      <c r="O818" s="2" t="s">
        <v>823</v>
      </c>
    </row>
    <row r="819" spans="1:15">
      <c r="A819">
        <v>817</v>
      </c>
      <c r="B819">
        <v>306</v>
      </c>
      <c r="C819">
        <v>10</v>
      </c>
      <c r="D819">
        <v>9</v>
      </c>
      <c r="E819">
        <v>9</v>
      </c>
      <c r="G819">
        <f t="shared" si="60"/>
        <v>-2.0617448742250835</v>
      </c>
      <c r="H819">
        <f t="shared" si="61"/>
        <v>-1.9775659380219488</v>
      </c>
      <c r="I819">
        <f t="shared" si="62"/>
        <v>-1.9868489215910554</v>
      </c>
      <c r="J819" s="5"/>
      <c r="K819">
        <f t="shared" si="63"/>
        <v>-2.0087199112793628</v>
      </c>
      <c r="M819">
        <f t="shared" si="64"/>
        <v>4.6154939795566646E-2</v>
      </c>
      <c r="O819" s="2" t="s">
        <v>824</v>
      </c>
    </row>
    <row r="820" spans="1:15">
      <c r="A820">
        <v>818</v>
      </c>
      <c r="B820">
        <v>160</v>
      </c>
      <c r="C820">
        <v>2</v>
      </c>
      <c r="D820">
        <v>5</v>
      </c>
      <c r="E820">
        <v>0</v>
      </c>
      <c r="G820">
        <f t="shared" si="60"/>
        <v>-2.4791134347354467</v>
      </c>
      <c r="H820">
        <f t="shared" si="61"/>
        <v>-1.9512369992995997</v>
      </c>
      <c r="I820" t="e">
        <f t="shared" si="62"/>
        <v>#NUM!</v>
      </c>
      <c r="J820" s="5"/>
      <c r="K820" t="e">
        <f t="shared" si="63"/>
        <v>#NUM!</v>
      </c>
      <c r="M820" t="e">
        <f t="shared" si="64"/>
        <v>#NUM!</v>
      </c>
      <c r="O820" s="2" t="s">
        <v>825</v>
      </c>
    </row>
    <row r="821" spans="1:15">
      <c r="A821">
        <v>819</v>
      </c>
      <c r="B821">
        <v>137</v>
      </c>
      <c r="C821">
        <v>224</v>
      </c>
      <c r="D821">
        <v>159</v>
      </c>
      <c r="E821">
        <v>226</v>
      </c>
      <c r="G821">
        <f t="shared" si="60"/>
        <v>-0.36249599656574727</v>
      </c>
      <c r="H821">
        <f t="shared" si="61"/>
        <v>-0.38141046381564891</v>
      </c>
      <c r="I821">
        <f t="shared" si="62"/>
        <v>-0.23798213255780612</v>
      </c>
      <c r="J821" s="5"/>
      <c r="K821">
        <f t="shared" si="63"/>
        <v>-0.32729619764640078</v>
      </c>
      <c r="M821">
        <f t="shared" si="64"/>
        <v>7.7924264095493537E-2</v>
      </c>
      <c r="O821" s="2" t="s">
        <v>826</v>
      </c>
    </row>
    <row r="822" spans="1:15">
      <c r="A822">
        <v>820</v>
      </c>
      <c r="B822">
        <v>300</v>
      </c>
      <c r="C822">
        <v>434</v>
      </c>
      <c r="D822">
        <v>551</v>
      </c>
      <c r="E822">
        <v>490</v>
      </c>
      <c r="G822">
        <f t="shared" si="60"/>
        <v>-0.41565497295065501</v>
      </c>
      <c r="H822">
        <f t="shared" si="61"/>
        <v>-0.18205667684757104</v>
      </c>
      <c r="I822">
        <f t="shared" si="62"/>
        <v>-0.24229517923994906</v>
      </c>
      <c r="J822" s="5"/>
      <c r="K822">
        <f t="shared" si="63"/>
        <v>-0.28000227634605834</v>
      </c>
      <c r="M822">
        <f t="shared" si="64"/>
        <v>0.12127823326835363</v>
      </c>
      <c r="O822" s="2" t="s">
        <v>827</v>
      </c>
    </row>
    <row r="823" spans="1:15">
      <c r="A823">
        <v>821</v>
      </c>
      <c r="B823">
        <v>207</v>
      </c>
      <c r="C823">
        <v>2</v>
      </c>
      <c r="D823">
        <v>15</v>
      </c>
      <c r="E823">
        <v>4</v>
      </c>
      <c r="G823">
        <f t="shared" si="60"/>
        <v>-2.5909637975364399</v>
      </c>
      <c r="H823">
        <f t="shared" si="61"/>
        <v>-1.5859661073809301</v>
      </c>
      <c r="I823">
        <f t="shared" si="62"/>
        <v>-2.1692803586777556</v>
      </c>
      <c r="J823" s="5"/>
      <c r="K823">
        <f t="shared" si="63"/>
        <v>-2.115403421198375</v>
      </c>
      <c r="M823">
        <f t="shared" si="64"/>
        <v>0.50466041314788612</v>
      </c>
      <c r="O823" s="2" t="s">
        <v>828</v>
      </c>
    </row>
    <row r="824" spans="1:15">
      <c r="A824">
        <v>822</v>
      </c>
      <c r="B824">
        <v>77</v>
      </c>
      <c r="C824">
        <v>1</v>
      </c>
      <c r="D824">
        <v>1</v>
      </c>
      <c r="E824">
        <v>1</v>
      </c>
      <c r="G824">
        <f t="shared" si="60"/>
        <v>-2.4625141729159852</v>
      </c>
      <c r="H824">
        <f t="shared" si="61"/>
        <v>-2.3325777461521753</v>
      </c>
      <c r="I824">
        <f t="shared" si="62"/>
        <v>-2.3418607297212821</v>
      </c>
      <c r="J824" s="5"/>
      <c r="K824">
        <f t="shared" si="63"/>
        <v>-2.3789842162631474</v>
      </c>
      <c r="M824">
        <f t="shared" si="64"/>
        <v>7.248781752684226E-2</v>
      </c>
      <c r="O824" s="2" t="s">
        <v>829</v>
      </c>
    </row>
    <row r="825" spans="1:15">
      <c r="A825">
        <v>823</v>
      </c>
      <c r="B825">
        <v>155</v>
      </c>
      <c r="C825">
        <v>2793</v>
      </c>
      <c r="D825">
        <v>2587</v>
      </c>
      <c r="E825">
        <v>2154</v>
      </c>
      <c r="G825">
        <f t="shared" si="60"/>
        <v>0.67971578978721015</v>
      </c>
      <c r="H825">
        <f t="shared" si="61"/>
        <v>0.77637770956655827</v>
      </c>
      <c r="I825">
        <f t="shared" si="62"/>
        <v>0.6875439962428711</v>
      </c>
      <c r="J825" s="5"/>
      <c r="K825">
        <f t="shared" si="63"/>
        <v>0.71454583186554643</v>
      </c>
      <c r="M825">
        <f t="shared" si="64"/>
        <v>5.3690837478128146E-2</v>
      </c>
      <c r="O825" s="2" t="s">
        <v>830</v>
      </c>
    </row>
    <row r="826" spans="1:15">
      <c r="A826">
        <v>824</v>
      </c>
      <c r="B826">
        <v>333</v>
      </c>
      <c r="C826">
        <v>6</v>
      </c>
      <c r="D826">
        <v>2</v>
      </c>
      <c r="E826">
        <v>2</v>
      </c>
      <c r="G826">
        <f t="shared" si="60"/>
        <v>-2.3203164308661797</v>
      </c>
      <c r="H826">
        <f t="shared" si="61"/>
        <v>-2.6675012588220319</v>
      </c>
      <c r="I826">
        <f t="shared" si="62"/>
        <v>-2.6767842423911388</v>
      </c>
      <c r="J826" s="5"/>
      <c r="K826">
        <f t="shared" si="63"/>
        <v>-2.5548673106931168</v>
      </c>
      <c r="M826">
        <f t="shared" si="64"/>
        <v>0.20318004298325856</v>
      </c>
      <c r="O826" s="2" t="s">
        <v>831</v>
      </c>
    </row>
    <row r="827" spans="1:15">
      <c r="A827">
        <v>825</v>
      </c>
      <c r="B827">
        <v>287</v>
      </c>
      <c r="C827">
        <v>523</v>
      </c>
      <c r="D827">
        <v>663</v>
      </c>
      <c r="E827">
        <v>521</v>
      </c>
      <c r="G827">
        <f t="shared" si="60"/>
        <v>-0.31540365561022143</v>
      </c>
      <c r="H827">
        <f t="shared" si="61"/>
        <v>-8.2455389308912885E-2</v>
      </c>
      <c r="I827">
        <f t="shared" si="62"/>
        <v>-0.19641417798326816</v>
      </c>
      <c r="J827" s="5"/>
      <c r="K827">
        <f t="shared" si="63"/>
        <v>-0.19809107430080083</v>
      </c>
      <c r="M827">
        <f t="shared" si="64"/>
        <v>0.11648318625081117</v>
      </c>
      <c r="O827" s="2" t="s">
        <v>832</v>
      </c>
    </row>
    <row r="828" spans="1:15">
      <c r="A828">
        <v>826</v>
      </c>
      <c r="B828">
        <v>150</v>
      </c>
      <c r="C828">
        <v>287</v>
      </c>
      <c r="D828">
        <v>247</v>
      </c>
      <c r="E828">
        <v>212</v>
      </c>
      <c r="G828">
        <f t="shared" si="60"/>
        <v>-0.29423281006519225</v>
      </c>
      <c r="H828">
        <f t="shared" si="61"/>
        <v>-0.22948132677570915</v>
      </c>
      <c r="I828">
        <f t="shared" si="62"/>
        <v>-0.30512540267573007</v>
      </c>
      <c r="J828" s="5"/>
      <c r="K828">
        <f t="shared" si="63"/>
        <v>-0.27627984650554382</v>
      </c>
      <c r="M828">
        <f t="shared" si="64"/>
        <v>4.0893009550809295E-2</v>
      </c>
      <c r="O828" s="2" t="s">
        <v>833</v>
      </c>
    </row>
    <row r="829" spans="1:15">
      <c r="A829">
        <v>827</v>
      </c>
      <c r="B829">
        <v>237</v>
      </c>
      <c r="C829">
        <v>1</v>
      </c>
      <c r="D829">
        <v>1</v>
      </c>
      <c r="E829">
        <v>0</v>
      </c>
      <c r="G829">
        <f t="shared" si="60"/>
        <v>-2.9507717937536073</v>
      </c>
      <c r="H829">
        <f t="shared" si="61"/>
        <v>-2.8208353669897974</v>
      </c>
      <c r="I829" t="e">
        <f t="shared" si="62"/>
        <v>#NUM!</v>
      </c>
      <c r="J829" s="5"/>
      <c r="K829" t="e">
        <f t="shared" si="63"/>
        <v>#NUM!</v>
      </c>
      <c r="M829" t="e">
        <f t="shared" si="64"/>
        <v>#NUM!</v>
      </c>
      <c r="O829" s="2" t="s">
        <v>834</v>
      </c>
    </row>
    <row r="830" spans="1:15">
      <c r="A830">
        <v>828</v>
      </c>
      <c r="B830">
        <v>140</v>
      </c>
      <c r="C830">
        <v>26</v>
      </c>
      <c r="D830">
        <v>12</v>
      </c>
      <c r="E830">
        <v>15</v>
      </c>
      <c r="G830">
        <f t="shared" si="60"/>
        <v>-1.3071781354509233</v>
      </c>
      <c r="H830">
        <f t="shared" si="61"/>
        <v>-1.513033810610307</v>
      </c>
      <c r="I830">
        <f t="shared" si="62"/>
        <v>-1.4254067811713571</v>
      </c>
      <c r="J830" s="5"/>
      <c r="K830">
        <f t="shared" si="63"/>
        <v>-1.4152062424108625</v>
      </c>
      <c r="M830">
        <f t="shared" si="64"/>
        <v>0.10330623404269794</v>
      </c>
      <c r="O830" s="2" t="s">
        <v>835</v>
      </c>
    </row>
    <row r="831" spans="1:15">
      <c r="A831">
        <v>829</v>
      </c>
      <c r="B831">
        <v>217</v>
      </c>
      <c r="C831">
        <v>39</v>
      </c>
      <c r="D831">
        <v>36</v>
      </c>
      <c r="E831">
        <v>46</v>
      </c>
      <c r="G831">
        <f t="shared" si="60"/>
        <v>-1.3214185745655338</v>
      </c>
      <c r="H831">
        <f t="shared" si="61"/>
        <v>-1.2262442540609357</v>
      </c>
      <c r="I831">
        <f t="shared" si="62"/>
        <v>-1.1290719067157557</v>
      </c>
      <c r="J831" s="5"/>
      <c r="K831">
        <f t="shared" si="63"/>
        <v>-1.2255782451140751</v>
      </c>
      <c r="M831">
        <f t="shared" si="64"/>
        <v>9.6175063473679004E-2</v>
      </c>
      <c r="O831" s="2" t="s">
        <v>836</v>
      </c>
    </row>
    <row r="832" spans="1:15">
      <c r="A832">
        <v>830</v>
      </c>
      <c r="B832">
        <v>91</v>
      </c>
      <c r="C832">
        <v>49</v>
      </c>
      <c r="D832">
        <v>53</v>
      </c>
      <c r="E832">
        <v>59</v>
      </c>
      <c r="G832">
        <f t="shared" si="60"/>
        <v>-0.84486876003608335</v>
      </c>
      <c r="H832">
        <f t="shared" si="61"/>
        <v>-0.68085254369999815</v>
      </c>
      <c r="I832">
        <f t="shared" si="62"/>
        <v>-0.64355938522774969</v>
      </c>
      <c r="J832" s="5"/>
      <c r="K832">
        <f t="shared" si="63"/>
        <v>-0.72309356298794381</v>
      </c>
      <c r="M832">
        <f t="shared" si="64"/>
        <v>0.10709618984489506</v>
      </c>
      <c r="O832" s="2" t="s">
        <v>837</v>
      </c>
    </row>
    <row r="833" spans="1:15">
      <c r="A833">
        <v>831</v>
      </c>
      <c r="B833">
        <v>147</v>
      </c>
      <c r="C833">
        <v>26</v>
      </c>
      <c r="D833">
        <v>4</v>
      </c>
      <c r="E833">
        <v>6</v>
      </c>
      <c r="G833">
        <f t="shared" si="60"/>
        <v>-1.3283674345208616</v>
      </c>
      <c r="H833">
        <f t="shared" si="61"/>
        <v>-2.0113443643999074</v>
      </c>
      <c r="I833">
        <f t="shared" si="62"/>
        <v>-1.8445360889133329</v>
      </c>
      <c r="J833" s="5"/>
      <c r="K833">
        <f t="shared" si="63"/>
        <v>-1.728082629278034</v>
      </c>
      <c r="M833">
        <f t="shared" si="64"/>
        <v>0.35606941441595785</v>
      </c>
      <c r="O833" s="2" t="s">
        <v>838</v>
      </c>
    </row>
    <row r="834" spans="1:15">
      <c r="A834">
        <v>832</v>
      </c>
      <c r="B834">
        <v>194</v>
      </c>
      <c r="C834">
        <v>10</v>
      </c>
      <c r="D834">
        <v>7</v>
      </c>
      <c r="E834">
        <v>8</v>
      </c>
      <c r="G834">
        <f t="shared" ref="G834:G897" si="65">LOG10(C834/B834)-LOG10(437/116)</f>
        <v>-1.8638251776737293</v>
      </c>
      <c r="H834">
        <f t="shared" ref="H834:H897" si="66">LOG10(D834/B834)-LOG10(324/116)</f>
        <v>-1.888790710895663</v>
      </c>
      <c r="I834">
        <f t="shared" ref="I834:I897" si="67">LOG10(E834/B834)-LOG10(331/116)</f>
        <v>-1.8400817474870828</v>
      </c>
      <c r="J834" s="5"/>
      <c r="K834">
        <f t="shared" ref="K834:K897" si="68">AVERAGE(G834:I834)</f>
        <v>-1.8642325453521584</v>
      </c>
      <c r="M834">
        <f t="shared" ref="M834:M897" si="69">STDEV(G834:I834)</f>
        <v>2.4357036773870362E-2</v>
      </c>
      <c r="O834" s="2" t="s">
        <v>839</v>
      </c>
    </row>
    <row r="835" spans="1:15">
      <c r="A835">
        <v>833</v>
      </c>
      <c r="B835">
        <v>169</v>
      </c>
      <c r="C835">
        <v>21</v>
      </c>
      <c r="D835">
        <v>13</v>
      </c>
      <c r="E835">
        <v>24</v>
      </c>
      <c r="G835">
        <f t="shared" si="65"/>
        <v>-1.4816908576232577</v>
      </c>
      <c r="H835">
        <f t="shared" si="66"/>
        <v>-1.5600303732865304</v>
      </c>
      <c r="I835">
        <f t="shared" si="67"/>
        <v>-1.3030454674508678</v>
      </c>
      <c r="J835" s="5"/>
      <c r="K835">
        <f t="shared" si="68"/>
        <v>-1.4482555661202188</v>
      </c>
      <c r="M835">
        <f t="shared" si="69"/>
        <v>0.13171465178658368</v>
      </c>
      <c r="O835" s="2" t="s">
        <v>840</v>
      </c>
    </row>
    <row r="836" spans="1:15">
      <c r="A836">
        <v>834</v>
      </c>
      <c r="B836">
        <v>230</v>
      </c>
      <c r="C836">
        <v>1</v>
      </c>
      <c r="D836">
        <v>1</v>
      </c>
      <c r="E836">
        <v>5</v>
      </c>
      <c r="G836">
        <f t="shared" si="65"/>
        <v>-2.9377512837610964</v>
      </c>
      <c r="H836">
        <f t="shared" si="66"/>
        <v>-2.8078148569972869</v>
      </c>
      <c r="I836">
        <f t="shared" si="67"/>
        <v>-2.1181278362303742</v>
      </c>
      <c r="J836" s="5"/>
      <c r="K836">
        <f t="shared" si="68"/>
        <v>-2.6212313256629192</v>
      </c>
      <c r="M836">
        <f t="shared" si="69"/>
        <v>0.44051754739106513</v>
      </c>
      <c r="O836" s="2" t="s">
        <v>841</v>
      </c>
    </row>
    <row r="837" spans="1:15">
      <c r="A837">
        <v>835</v>
      </c>
      <c r="B837">
        <v>297</v>
      </c>
      <c r="C837">
        <v>241</v>
      </c>
      <c r="D837">
        <v>183</v>
      </c>
      <c r="E837">
        <v>203</v>
      </c>
      <c r="G837">
        <f t="shared" si="65"/>
        <v>-0.66676285448584727</v>
      </c>
      <c r="H837">
        <f t="shared" si="66"/>
        <v>-0.65639238056647653</v>
      </c>
      <c r="I837">
        <f t="shared" si="67"/>
        <v>-0.62063041595279977</v>
      </c>
      <c r="J837" s="5"/>
      <c r="K837">
        <f t="shared" si="68"/>
        <v>-0.64792855033504115</v>
      </c>
      <c r="M837">
        <f t="shared" si="69"/>
        <v>2.4202846689827012E-2</v>
      </c>
      <c r="O837" s="2" t="s">
        <v>842</v>
      </c>
    </row>
    <row r="838" spans="1:15">
      <c r="A838">
        <v>836</v>
      </c>
      <c r="B838">
        <v>57</v>
      </c>
      <c r="C838">
        <v>88</v>
      </c>
      <c r="D838">
        <v>74</v>
      </c>
      <c r="E838">
        <v>98</v>
      </c>
      <c r="G838">
        <f t="shared" si="65"/>
        <v>-0.38741563126582612</v>
      </c>
      <c r="H838">
        <f t="shared" si="66"/>
        <v>-0.33273015692120889</v>
      </c>
      <c r="I838">
        <f t="shared" si="67"/>
        <v>-0.22001878452879681</v>
      </c>
      <c r="J838" s="5"/>
      <c r="K838">
        <f t="shared" si="68"/>
        <v>-0.31338819090527731</v>
      </c>
      <c r="M838">
        <f t="shared" si="69"/>
        <v>8.5358126803463663E-2</v>
      </c>
      <c r="O838" s="2" t="s">
        <v>843</v>
      </c>
    </row>
    <row r="839" spans="1:15">
      <c r="A839">
        <v>837</v>
      </c>
      <c r="B839">
        <v>61</v>
      </c>
      <c r="C839">
        <v>2</v>
      </c>
      <c r="D839">
        <v>1</v>
      </c>
      <c r="E839">
        <v>0</v>
      </c>
      <c r="G839">
        <f t="shared" si="65"/>
        <v>-2.0603232870902892</v>
      </c>
      <c r="H839">
        <f t="shared" si="66"/>
        <v>-2.2314168559904606</v>
      </c>
      <c r="I839" t="e">
        <f t="shared" si="67"/>
        <v>#NUM!</v>
      </c>
      <c r="J839" s="5"/>
      <c r="K839" t="e">
        <f t="shared" si="68"/>
        <v>#NUM!</v>
      </c>
      <c r="M839" t="e">
        <f t="shared" si="69"/>
        <v>#NUM!</v>
      </c>
      <c r="O839" s="2" t="s">
        <v>844</v>
      </c>
    </row>
    <row r="840" spans="1:15">
      <c r="A840">
        <v>838</v>
      </c>
      <c r="B840">
        <v>130</v>
      </c>
      <c r="C840">
        <v>512</v>
      </c>
      <c r="D840">
        <v>346</v>
      </c>
      <c r="E840">
        <v>319</v>
      </c>
      <c r="G840">
        <f t="shared" si="65"/>
        <v>1.930316092549067E-2</v>
      </c>
      <c r="H840">
        <f t="shared" si="66"/>
        <v>-2.0954274493753866E-2</v>
      </c>
      <c r="I840">
        <f t="shared" si="67"/>
        <v>-6.5522673798455888E-2</v>
      </c>
      <c r="J840" s="5"/>
      <c r="K840">
        <f t="shared" si="68"/>
        <v>-2.2391262455573029E-2</v>
      </c>
      <c r="M840">
        <f t="shared" si="69"/>
        <v>4.243117085298713E-2</v>
      </c>
      <c r="O840" s="2" t="s">
        <v>845</v>
      </c>
    </row>
    <row r="841" spans="1:15">
      <c r="A841">
        <v>839</v>
      </c>
      <c r="B841">
        <v>119</v>
      </c>
      <c r="C841">
        <v>355</v>
      </c>
      <c r="D841">
        <v>369</v>
      </c>
      <c r="E841">
        <v>254</v>
      </c>
      <c r="G841">
        <f t="shared" si="65"/>
        <v>-0.10134205608093999</v>
      </c>
      <c r="H841">
        <f t="shared" si="66"/>
        <v>4.5392383786835966E-2</v>
      </c>
      <c r="I841">
        <f t="shared" si="67"/>
        <v>-0.12608324932139298</v>
      </c>
      <c r="J841" s="5"/>
      <c r="K841">
        <f t="shared" si="68"/>
        <v>-6.0677640538499E-2</v>
      </c>
      <c r="M841">
        <f t="shared" si="69"/>
        <v>9.2688560275921983E-2</v>
      </c>
      <c r="O841" s="2" t="s">
        <v>846</v>
      </c>
    </row>
    <row r="842" spans="1:15">
      <c r="A842">
        <v>840</v>
      </c>
      <c r="B842">
        <v>439</v>
      </c>
      <c r="C842">
        <v>541</v>
      </c>
      <c r="D842">
        <v>428</v>
      </c>
      <c r="E842">
        <v>598</v>
      </c>
      <c r="G842">
        <f t="shared" si="65"/>
        <v>-0.48529070287905529</v>
      </c>
      <c r="H842">
        <f t="shared" si="66"/>
        <v>-0.45710777220864302</v>
      </c>
      <c r="I842">
        <f t="shared" si="67"/>
        <v>-0.32113334080251082</v>
      </c>
      <c r="J842" s="5"/>
      <c r="K842">
        <f t="shared" si="68"/>
        <v>-0.42117727196340304</v>
      </c>
      <c r="M842">
        <f t="shared" si="69"/>
        <v>8.7779043722788982E-2</v>
      </c>
      <c r="O842" s="2" t="s">
        <v>847</v>
      </c>
    </row>
    <row r="843" spans="1:15">
      <c r="A843">
        <v>841</v>
      </c>
      <c r="B843">
        <v>92</v>
      </c>
      <c r="C843">
        <v>1</v>
      </c>
      <c r="D843">
        <v>0</v>
      </c>
      <c r="E843">
        <v>0</v>
      </c>
      <c r="G843">
        <f t="shared" si="65"/>
        <v>-2.5398112750890585</v>
      </c>
      <c r="H843" t="e">
        <f t="shared" si="66"/>
        <v>#NUM!</v>
      </c>
      <c r="I843" t="e">
        <f t="shared" si="67"/>
        <v>#NUM!</v>
      </c>
      <c r="J843" s="5"/>
      <c r="K843" t="e">
        <f t="shared" si="68"/>
        <v>#NUM!</v>
      </c>
      <c r="M843" t="e">
        <f t="shared" si="69"/>
        <v>#NUM!</v>
      </c>
      <c r="O843" s="2" t="s">
        <v>848</v>
      </c>
    </row>
    <row r="844" spans="1:15">
      <c r="A844">
        <v>842</v>
      </c>
      <c r="B844">
        <v>162</v>
      </c>
      <c r="C844">
        <v>6</v>
      </c>
      <c r="D844">
        <v>2</v>
      </c>
      <c r="E844">
        <v>3</v>
      </c>
      <c r="G844">
        <f t="shared" si="65"/>
        <v>-2.0073872119024907</v>
      </c>
      <c r="H844">
        <f t="shared" si="66"/>
        <v>-2.3545720398583434</v>
      </c>
      <c r="I844">
        <f t="shared" si="67"/>
        <v>-2.1877637643717689</v>
      </c>
      <c r="J844" s="5"/>
      <c r="K844">
        <f t="shared" si="68"/>
        <v>-2.1832410053775342</v>
      </c>
      <c r="M844">
        <f t="shared" si="69"/>
        <v>0.17363659666779266</v>
      </c>
      <c r="O844" s="2" t="s">
        <v>849</v>
      </c>
    </row>
    <row r="845" spans="1:15">
      <c r="A845">
        <v>843</v>
      </c>
      <c r="B845">
        <v>59</v>
      </c>
      <c r="C845">
        <v>0</v>
      </c>
      <c r="D845">
        <v>0</v>
      </c>
      <c r="E845">
        <v>1</v>
      </c>
      <c r="G845" t="e">
        <f t="shared" si="65"/>
        <v>#NUM!</v>
      </c>
      <c r="H845" t="e">
        <f t="shared" si="66"/>
        <v>#NUM!</v>
      </c>
      <c r="I845">
        <f t="shared" si="67"/>
        <v>-2.2262220161909445</v>
      </c>
      <c r="J845" s="5"/>
      <c r="K845" t="e">
        <f t="shared" si="68"/>
        <v>#NUM!</v>
      </c>
      <c r="M845" t="e">
        <f t="shared" si="69"/>
        <v>#NUM!</v>
      </c>
      <c r="O845" s="2" t="s">
        <v>850</v>
      </c>
    </row>
    <row r="846" spans="1:15">
      <c r="A846">
        <v>844</v>
      </c>
      <c r="B846">
        <v>142</v>
      </c>
      <c r="C846">
        <v>6</v>
      </c>
      <c r="D846">
        <v>2</v>
      </c>
      <c r="E846">
        <v>2</v>
      </c>
      <c r="G846">
        <f t="shared" si="65"/>
        <v>-1.9501605417429162</v>
      </c>
      <c r="H846">
        <f t="shared" si="66"/>
        <v>-2.2973453696987689</v>
      </c>
      <c r="I846">
        <f t="shared" si="67"/>
        <v>-2.3066283532678753</v>
      </c>
      <c r="J846" s="5"/>
      <c r="K846">
        <f t="shared" si="68"/>
        <v>-2.1847114215698533</v>
      </c>
      <c r="M846">
        <f t="shared" si="69"/>
        <v>0.20318004298325867</v>
      </c>
      <c r="O846" s="2" t="s">
        <v>851</v>
      </c>
    </row>
    <row r="847" spans="1:15">
      <c r="A847">
        <v>845</v>
      </c>
      <c r="B847">
        <v>210</v>
      </c>
      <c r="C847">
        <v>9</v>
      </c>
      <c r="D847">
        <v>1</v>
      </c>
      <c r="E847">
        <v>9</v>
      </c>
      <c r="G847">
        <f t="shared" si="65"/>
        <v>-1.9440002330380977</v>
      </c>
      <c r="H847">
        <f t="shared" si="66"/>
        <v>-2.7683063157136125</v>
      </c>
      <c r="I847">
        <f t="shared" si="67"/>
        <v>-1.8233467898433946</v>
      </c>
      <c r="J847" s="5"/>
      <c r="K847">
        <f t="shared" si="68"/>
        <v>-2.1785511128650352</v>
      </c>
      <c r="M847">
        <f t="shared" si="69"/>
        <v>0.5142934112001698</v>
      </c>
      <c r="O847" s="2" t="s">
        <v>852</v>
      </c>
    </row>
    <row r="848" spans="1:15">
      <c r="A848">
        <v>846</v>
      </c>
      <c r="B848">
        <v>108</v>
      </c>
      <c r="C848">
        <v>2</v>
      </c>
      <c r="D848">
        <v>1</v>
      </c>
      <c r="E848">
        <v>2</v>
      </c>
      <c r="G848">
        <f t="shared" si="65"/>
        <v>-2.308417207566472</v>
      </c>
      <c r="H848">
        <f t="shared" si="66"/>
        <v>-2.4795107764666433</v>
      </c>
      <c r="I848">
        <f t="shared" si="67"/>
        <v>-2.1877637643717689</v>
      </c>
      <c r="J848" s="5"/>
      <c r="K848">
        <f t="shared" si="68"/>
        <v>-2.3252305828016282</v>
      </c>
      <c r="M848">
        <f t="shared" si="69"/>
        <v>0.14659842071683557</v>
      </c>
      <c r="O848" s="2" t="s">
        <v>853</v>
      </c>
    </row>
    <row r="849" spans="1:15">
      <c r="A849">
        <v>847</v>
      </c>
      <c r="B849">
        <v>124</v>
      </c>
      <c r="C849">
        <v>5</v>
      </c>
      <c r="D849">
        <v>3</v>
      </c>
      <c r="E849">
        <v>4</v>
      </c>
      <c r="G849">
        <f t="shared" si="65"/>
        <v>-1.9704751285697195</v>
      </c>
      <c r="H849">
        <f t="shared" si="66"/>
        <v>-2.062387451422266</v>
      </c>
      <c r="I849">
        <f t="shared" si="67"/>
        <v>-1.9467316983830729</v>
      </c>
      <c r="J849" s="5"/>
      <c r="K849">
        <f t="shared" si="68"/>
        <v>-1.9931980927916861</v>
      </c>
      <c r="M849">
        <f t="shared" si="69"/>
        <v>6.1084475360276981E-2</v>
      </c>
      <c r="O849" s="2" t="s">
        <v>854</v>
      </c>
    </row>
    <row r="850" spans="1:15">
      <c r="A850">
        <v>848</v>
      </c>
      <c r="B850">
        <v>115</v>
      </c>
      <c r="C850">
        <v>1</v>
      </c>
      <c r="D850">
        <v>5</v>
      </c>
      <c r="E850">
        <v>5</v>
      </c>
      <c r="G850">
        <f t="shared" si="65"/>
        <v>-2.6367212880971151</v>
      </c>
      <c r="H850">
        <f t="shared" si="66"/>
        <v>-1.8078148569972865</v>
      </c>
      <c r="I850">
        <f t="shared" si="67"/>
        <v>-1.8170978405663931</v>
      </c>
      <c r="J850" s="5"/>
      <c r="K850">
        <f t="shared" si="68"/>
        <v>-2.087211328553598</v>
      </c>
      <c r="M850">
        <f t="shared" si="69"/>
        <v>0.47591221897963931</v>
      </c>
      <c r="O850" s="2" t="s">
        <v>855</v>
      </c>
    </row>
    <row r="851" spans="1:15">
      <c r="A851">
        <v>849</v>
      </c>
      <c r="B851">
        <v>102</v>
      </c>
      <c r="C851">
        <v>133</v>
      </c>
      <c r="D851">
        <v>132</v>
      </c>
      <c r="E851">
        <v>178</v>
      </c>
      <c r="G851">
        <f t="shared" si="65"/>
        <v>-0.46077197853833507</v>
      </c>
      <c r="H851">
        <f t="shared" si="66"/>
        <v>-0.33411326153576132</v>
      </c>
      <c r="I851">
        <f t="shared" si="67"/>
        <v>-0.21355017400182386</v>
      </c>
      <c r="J851" s="5"/>
      <c r="K851">
        <f t="shared" si="68"/>
        <v>-0.33614513802530671</v>
      </c>
      <c r="M851">
        <f t="shared" si="69"/>
        <v>0.1236234263848234</v>
      </c>
      <c r="O851" s="2" t="s">
        <v>856</v>
      </c>
    </row>
    <row r="852" spans="1:15">
      <c r="A852">
        <v>850</v>
      </c>
      <c r="B852">
        <v>210</v>
      </c>
      <c r="C852">
        <v>1005</v>
      </c>
      <c r="D852">
        <v>784</v>
      </c>
      <c r="E852">
        <v>1042</v>
      </c>
      <c r="G852">
        <f t="shared" si="65"/>
        <v>0.10392331927908505</v>
      </c>
      <c r="H852">
        <f t="shared" si="66"/>
        <v>0.12600974697082556</v>
      </c>
      <c r="I852">
        <f t="shared" si="67"/>
        <v>0.24027841968078612</v>
      </c>
      <c r="J852" s="5"/>
      <c r="K852">
        <f t="shared" si="68"/>
        <v>0.15673716197689891</v>
      </c>
      <c r="M852">
        <f t="shared" si="69"/>
        <v>7.3186808074311369E-2</v>
      </c>
      <c r="O852" s="2" t="s">
        <v>857</v>
      </c>
    </row>
    <row r="853" spans="1:15">
      <c r="A853">
        <v>851</v>
      </c>
      <c r="B853">
        <v>59</v>
      </c>
      <c r="C853">
        <v>0</v>
      </c>
      <c r="D853">
        <v>2</v>
      </c>
      <c r="E853">
        <v>0</v>
      </c>
      <c r="G853" t="e">
        <f t="shared" si="65"/>
        <v>#NUM!</v>
      </c>
      <c r="H853">
        <f t="shared" si="66"/>
        <v>-1.9159090369578566</v>
      </c>
      <c r="I853" t="e">
        <f t="shared" si="67"/>
        <v>#NUM!</v>
      </c>
      <c r="J853" s="5"/>
      <c r="K853" t="e">
        <f t="shared" si="68"/>
        <v>#NUM!</v>
      </c>
      <c r="M853" t="e">
        <f t="shared" si="69"/>
        <v>#NUM!</v>
      </c>
      <c r="O853" s="2" t="s">
        <v>858</v>
      </c>
    </row>
    <row r="854" spans="1:15">
      <c r="A854">
        <v>852</v>
      </c>
      <c r="B854">
        <v>271</v>
      </c>
      <c r="C854">
        <v>5</v>
      </c>
      <c r="D854">
        <v>3</v>
      </c>
      <c r="E854">
        <v>5</v>
      </c>
      <c r="G854">
        <f t="shared" si="65"/>
        <v>-2.3100227342818904</v>
      </c>
      <c r="H854">
        <f t="shared" si="66"/>
        <v>-2.4019350571344367</v>
      </c>
      <c r="I854">
        <f t="shared" si="67"/>
        <v>-2.1893692910871874</v>
      </c>
      <c r="J854" s="5"/>
      <c r="K854">
        <f t="shared" si="68"/>
        <v>-2.3004423608345048</v>
      </c>
      <c r="M854">
        <f t="shared" si="69"/>
        <v>0.10660623288699873</v>
      </c>
      <c r="O854" s="2" t="s">
        <v>859</v>
      </c>
    </row>
    <row r="855" spans="1:15">
      <c r="A855">
        <v>853</v>
      </c>
      <c r="B855">
        <v>372</v>
      </c>
      <c r="C855">
        <v>548</v>
      </c>
      <c r="D855">
        <v>322</v>
      </c>
      <c r="E855">
        <v>369</v>
      </c>
      <c r="G855">
        <f t="shared" si="65"/>
        <v>-0.40778582914103167</v>
      </c>
      <c r="H855">
        <f t="shared" si="66"/>
        <v>-0.50877408916576028</v>
      </c>
      <c r="I855">
        <f t="shared" si="67"/>
        <v>-0.45888657827163742</v>
      </c>
      <c r="J855" s="5"/>
      <c r="K855">
        <f t="shared" si="68"/>
        <v>-0.45848216552614313</v>
      </c>
      <c r="M855">
        <f t="shared" si="69"/>
        <v>5.0495344616678164E-2</v>
      </c>
      <c r="O855" s="2" t="s">
        <v>860</v>
      </c>
    </row>
    <row r="856" spans="1:15">
      <c r="A856">
        <v>854</v>
      </c>
      <c r="B856">
        <v>387</v>
      </c>
      <c r="C856">
        <v>10</v>
      </c>
      <c r="D856">
        <v>4</v>
      </c>
      <c r="E856">
        <v>12</v>
      </c>
      <c r="G856">
        <f t="shared" si="65"/>
        <v>-2.1637344127624147</v>
      </c>
      <c r="H856">
        <f t="shared" si="66"/>
        <v>-2.4317379946706428</v>
      </c>
      <c r="I856">
        <f t="shared" si="67"/>
        <v>-1.9638997235200868</v>
      </c>
      <c r="J856" s="5"/>
      <c r="K856">
        <f t="shared" si="68"/>
        <v>-2.1864573769843814</v>
      </c>
      <c r="M856">
        <f t="shared" si="69"/>
        <v>0.23474541915777583</v>
      </c>
      <c r="O856" s="2" t="s">
        <v>861</v>
      </c>
    </row>
    <row r="857" spans="1:15">
      <c r="A857">
        <v>855</v>
      </c>
      <c r="B857">
        <v>231</v>
      </c>
      <c r="C857">
        <v>7</v>
      </c>
      <c r="D857">
        <v>11</v>
      </c>
      <c r="E857">
        <v>14</v>
      </c>
      <c r="G857">
        <f t="shared" si="65"/>
        <v>-2.0945373876213909</v>
      </c>
      <c r="H857">
        <f t="shared" si="66"/>
        <v>-1.768306315713613</v>
      </c>
      <c r="I857">
        <f t="shared" si="67"/>
        <v>-1.6728539487627065</v>
      </c>
      <c r="J857" s="5"/>
      <c r="K857">
        <f t="shared" si="68"/>
        <v>-1.8452325506992366</v>
      </c>
      <c r="M857">
        <f t="shared" si="69"/>
        <v>0.22111640570911739</v>
      </c>
      <c r="O857" s="2" t="s">
        <v>862</v>
      </c>
    </row>
    <row r="858" spans="1:15">
      <c r="A858">
        <v>856</v>
      </c>
      <c r="B858">
        <v>279</v>
      </c>
      <c r="C858">
        <v>7</v>
      </c>
      <c r="D858">
        <v>3</v>
      </c>
      <c r="E858">
        <v>7</v>
      </c>
      <c r="G858">
        <f t="shared" si="65"/>
        <v>-2.1765296110028443</v>
      </c>
      <c r="H858">
        <f t="shared" si="66"/>
        <v>-2.4145699695336287</v>
      </c>
      <c r="I858">
        <f t="shared" si="67"/>
        <v>-2.0558761678081412</v>
      </c>
      <c r="J858" s="5"/>
      <c r="K858">
        <f t="shared" si="68"/>
        <v>-2.215658582781538</v>
      </c>
      <c r="M858">
        <f t="shared" si="69"/>
        <v>0.18252018566014605</v>
      </c>
      <c r="O858" s="2" t="s">
        <v>863</v>
      </c>
    </row>
    <row r="859" spans="1:15">
      <c r="A859">
        <v>857</v>
      </c>
      <c r="B859">
        <v>202</v>
      </c>
      <c r="C859">
        <v>45</v>
      </c>
      <c r="D859">
        <v>42</v>
      </c>
      <c r="E859">
        <v>25</v>
      </c>
      <c r="G859">
        <f t="shared" si="65"/>
        <v>-1.2281623034147833</v>
      </c>
      <c r="H859">
        <f t="shared" si="66"/>
        <v>-1.128189100028417</v>
      </c>
      <c r="I859">
        <f t="shared" si="67"/>
        <v>-1.3627813653233865</v>
      </c>
      <c r="J859" s="5"/>
      <c r="K859">
        <f t="shared" si="68"/>
        <v>-1.2397109229221954</v>
      </c>
      <c r="M859">
        <f t="shared" si="69"/>
        <v>0.11772175114842444</v>
      </c>
      <c r="O859" s="2" t="s">
        <v>864</v>
      </c>
    </row>
    <row r="860" spans="1:15">
      <c r="A860">
        <v>858</v>
      </c>
      <c r="B860">
        <v>206</v>
      </c>
      <c r="C860">
        <v>1</v>
      </c>
      <c r="D860">
        <v>4</v>
      </c>
      <c r="E860">
        <v>12</v>
      </c>
      <c r="G860">
        <f t="shared" si="65"/>
        <v>-2.8898906681126566</v>
      </c>
      <c r="H860">
        <f t="shared" si="66"/>
        <v>-2.1578942500208846</v>
      </c>
      <c r="I860">
        <f t="shared" si="67"/>
        <v>-1.6900559788703289</v>
      </c>
      <c r="J860" s="5"/>
      <c r="K860">
        <f t="shared" si="68"/>
        <v>-2.2459469656679567</v>
      </c>
      <c r="M860">
        <f t="shared" si="69"/>
        <v>0.60474439305125216</v>
      </c>
      <c r="O860" s="2" t="s">
        <v>865</v>
      </c>
    </row>
    <row r="861" spans="1:15">
      <c r="A861">
        <v>859</v>
      </c>
      <c r="B861">
        <v>95</v>
      </c>
      <c r="C861">
        <v>354</v>
      </c>
      <c r="D861">
        <v>309</v>
      </c>
      <c r="E861">
        <v>359</v>
      </c>
      <c r="G861">
        <f t="shared" si="65"/>
        <v>-4.7437910065633027E-3</v>
      </c>
      <c r="H861">
        <f t="shared" si="66"/>
        <v>6.6147853156293235E-2</v>
      </c>
      <c r="I861">
        <f t="shared" si="67"/>
        <v>0.12200083874067114</v>
      </c>
      <c r="J861" s="5"/>
      <c r="K861">
        <f t="shared" si="68"/>
        <v>6.113496696346702E-2</v>
      </c>
      <c r="M861">
        <f t="shared" si="69"/>
        <v>6.3520839599516918E-2</v>
      </c>
      <c r="O861" s="2" t="s">
        <v>866</v>
      </c>
    </row>
    <row r="862" spans="1:15">
      <c r="A862">
        <v>860</v>
      </c>
      <c r="B862">
        <v>49</v>
      </c>
      <c r="C862">
        <v>0</v>
      </c>
      <c r="D862">
        <v>1</v>
      </c>
      <c r="E862">
        <v>0</v>
      </c>
      <c r="G862" t="e">
        <f t="shared" si="65"/>
        <v>#NUM!</v>
      </c>
      <c r="H862">
        <f t="shared" si="66"/>
        <v>-2.1362831010082073</v>
      </c>
      <c r="I862" t="e">
        <f t="shared" si="67"/>
        <v>#NUM!</v>
      </c>
      <c r="J862" s="5"/>
      <c r="K862" t="e">
        <f t="shared" si="68"/>
        <v>#NUM!</v>
      </c>
      <c r="M862" t="e">
        <f t="shared" si="69"/>
        <v>#NUM!</v>
      </c>
      <c r="O862" s="2" t="s">
        <v>867</v>
      </c>
    </row>
    <row r="863" spans="1:15">
      <c r="A863">
        <v>861</v>
      </c>
      <c r="B863">
        <v>173</v>
      </c>
      <c r="C863">
        <v>135</v>
      </c>
      <c r="D863">
        <v>162</v>
      </c>
      <c r="E863">
        <v>158</v>
      </c>
      <c r="G863">
        <f t="shared" si="65"/>
        <v>-0.6837357823772926</v>
      </c>
      <c r="H863">
        <f t="shared" si="66"/>
        <v>-0.47461810956585815</v>
      </c>
      <c r="I863">
        <f t="shared" si="67"/>
        <v>-0.49475902072317307</v>
      </c>
      <c r="J863" s="5"/>
      <c r="K863">
        <f t="shared" si="68"/>
        <v>-0.55103763755544133</v>
      </c>
      <c r="M863">
        <f t="shared" si="69"/>
        <v>0.11536035846395538</v>
      </c>
      <c r="O863" s="2" t="s">
        <v>868</v>
      </c>
    </row>
    <row r="864" spans="1:15">
      <c r="A864">
        <v>862</v>
      </c>
      <c r="B864">
        <v>107</v>
      </c>
      <c r="C864">
        <v>6</v>
      </c>
      <c r="D864">
        <v>9</v>
      </c>
      <c r="E864">
        <v>13</v>
      </c>
      <c r="G864">
        <f t="shared" si="65"/>
        <v>-1.8272559750450694</v>
      </c>
      <c r="H864">
        <f t="shared" si="66"/>
        <v>-1.5212282892255784</v>
      </c>
      <c r="I864">
        <f t="shared" si="67"/>
        <v>-1.3708104299271731</v>
      </c>
      <c r="J864" s="5"/>
      <c r="K864">
        <f t="shared" si="68"/>
        <v>-1.5730982313992736</v>
      </c>
      <c r="M864">
        <f t="shared" si="69"/>
        <v>0.23260159520158163</v>
      </c>
      <c r="O864" s="2" t="s">
        <v>869</v>
      </c>
    </row>
    <row r="865" spans="1:15">
      <c r="A865">
        <v>863</v>
      </c>
      <c r="B865">
        <v>232</v>
      </c>
      <c r="C865">
        <v>69</v>
      </c>
      <c r="D865">
        <v>68</v>
      </c>
      <c r="E865">
        <v>65</v>
      </c>
      <c r="G865">
        <f t="shared" si="65"/>
        <v>-1.1026623418971475</v>
      </c>
      <c r="H865">
        <f t="shared" si="66"/>
        <v>-0.979066093164357</v>
      </c>
      <c r="I865">
        <f t="shared" si="67"/>
        <v>-1.0079446327968444</v>
      </c>
      <c r="J865" s="5"/>
      <c r="K865">
        <f t="shared" si="68"/>
        <v>-1.0298910226194498</v>
      </c>
      <c r="M865">
        <f t="shared" si="69"/>
        <v>6.4654784779541008E-2</v>
      </c>
      <c r="O865" s="2" t="s">
        <v>870</v>
      </c>
    </row>
    <row r="866" spans="1:15">
      <c r="A866">
        <v>864</v>
      </c>
      <c r="B866">
        <v>108</v>
      </c>
      <c r="C866">
        <v>20</v>
      </c>
      <c r="D866">
        <v>13</v>
      </c>
      <c r="E866">
        <v>16</v>
      </c>
      <c r="G866">
        <f t="shared" si="65"/>
        <v>-1.308417207566472</v>
      </c>
      <c r="H866">
        <f t="shared" si="66"/>
        <v>-1.3655674241598066</v>
      </c>
      <c r="I866">
        <f t="shared" si="67"/>
        <v>-1.2846737773798251</v>
      </c>
      <c r="J866" s="5"/>
      <c r="K866">
        <f t="shared" si="68"/>
        <v>-1.3195528030353678</v>
      </c>
      <c r="M866">
        <f t="shared" si="69"/>
        <v>4.1580604098260435E-2</v>
      </c>
      <c r="O866" s="2" t="s">
        <v>871</v>
      </c>
    </row>
    <row r="867" spans="1:15">
      <c r="A867">
        <v>865</v>
      </c>
      <c r="B867">
        <v>357</v>
      </c>
      <c r="C867">
        <v>7</v>
      </c>
      <c r="D867">
        <v>6</v>
      </c>
      <c r="E867">
        <v>5</v>
      </c>
      <c r="G867">
        <f t="shared" si="65"/>
        <v>-2.2835936238414396</v>
      </c>
      <c r="H867">
        <f t="shared" si="66"/>
        <v>-2.2206039867082432</v>
      </c>
      <c r="I867">
        <f t="shared" si="67"/>
        <v>-2.3090682163249747</v>
      </c>
      <c r="J867" s="5"/>
      <c r="K867">
        <f t="shared" si="68"/>
        <v>-2.2710886089582192</v>
      </c>
      <c r="M867">
        <f t="shared" si="69"/>
        <v>4.553857187421035E-2</v>
      </c>
      <c r="O867" s="2" t="s">
        <v>872</v>
      </c>
    </row>
    <row r="868" spans="1:15">
      <c r="A868">
        <v>866</v>
      </c>
      <c r="B868">
        <v>72</v>
      </c>
      <c r="C868">
        <v>1</v>
      </c>
      <c r="D868">
        <v>1</v>
      </c>
      <c r="E868">
        <v>2</v>
      </c>
      <c r="G868">
        <f t="shared" si="65"/>
        <v>-2.4333559441747719</v>
      </c>
      <c r="H868">
        <f t="shared" si="66"/>
        <v>-2.303419517410962</v>
      </c>
      <c r="I868">
        <f t="shared" si="67"/>
        <v>-2.0116725053160875</v>
      </c>
      <c r="J868" s="5"/>
      <c r="K868">
        <f t="shared" si="68"/>
        <v>-2.2494826556339405</v>
      </c>
      <c r="M868">
        <f t="shared" si="69"/>
        <v>0.21595397529493773</v>
      </c>
      <c r="O868" s="2" t="s">
        <v>873</v>
      </c>
    </row>
    <row r="869" spans="1:15">
      <c r="A869">
        <v>867</v>
      </c>
      <c r="B869">
        <v>95</v>
      </c>
      <c r="C869">
        <v>0</v>
      </c>
      <c r="D869">
        <v>0</v>
      </c>
      <c r="E869">
        <v>3</v>
      </c>
      <c r="G869" t="e">
        <f t="shared" si="65"/>
        <v>#NUM!</v>
      </c>
      <c r="H869" t="e">
        <f t="shared" si="66"/>
        <v>#NUM!</v>
      </c>
      <c r="I869">
        <f t="shared" si="67"/>
        <v>-1.9559723551179855</v>
      </c>
      <c r="J869" s="5"/>
      <c r="K869" t="e">
        <f t="shared" si="68"/>
        <v>#NUM!</v>
      </c>
      <c r="M869" t="e">
        <f t="shared" si="69"/>
        <v>#NUM!</v>
      </c>
      <c r="O869" s="2" t="s">
        <v>874</v>
      </c>
    </row>
    <row r="870" spans="1:15">
      <c r="A870">
        <v>868</v>
      </c>
      <c r="B870">
        <v>88</v>
      </c>
      <c r="C870">
        <v>0</v>
      </c>
      <c r="D870">
        <v>2</v>
      </c>
      <c r="E870">
        <v>1</v>
      </c>
      <c r="G870" t="e">
        <f t="shared" si="65"/>
        <v>#NUM!</v>
      </c>
      <c r="H870">
        <f t="shared" si="66"/>
        <v>-2.0895396974658809</v>
      </c>
      <c r="I870">
        <f t="shared" si="67"/>
        <v>-2.399852676698969</v>
      </c>
      <c r="J870" s="5"/>
      <c r="K870" t="e">
        <f t="shared" si="68"/>
        <v>#NUM!</v>
      </c>
      <c r="M870" t="e">
        <f t="shared" si="69"/>
        <v>#NUM!</v>
      </c>
      <c r="O870" s="2" t="s">
        <v>875</v>
      </c>
    </row>
    <row r="871" spans="1:15">
      <c r="A871">
        <v>869</v>
      </c>
      <c r="B871">
        <v>224</v>
      </c>
      <c r="C871">
        <v>706</v>
      </c>
      <c r="D871">
        <v>604</v>
      </c>
      <c r="E871">
        <v>718</v>
      </c>
      <c r="G871">
        <f t="shared" si="65"/>
        <v>-7.7466765025862361E-2</v>
      </c>
      <c r="H871">
        <f t="shared" si="66"/>
        <v>-1.5298100692724637E-2</v>
      </c>
      <c r="I871">
        <f t="shared" si="67"/>
        <v>5.050642135933725E-2</v>
      </c>
      <c r="J871" s="5"/>
      <c r="K871">
        <f t="shared" si="68"/>
        <v>-1.4086148119749916E-2</v>
      </c>
      <c r="M871">
        <f t="shared" si="69"/>
        <v>6.3995200837051944E-2</v>
      </c>
      <c r="O871" s="2" t="s">
        <v>876</v>
      </c>
    </row>
    <row r="872" spans="1:15">
      <c r="A872">
        <v>870</v>
      </c>
      <c r="B872">
        <v>84</v>
      </c>
      <c r="C872">
        <v>1</v>
      </c>
      <c r="D872">
        <v>1</v>
      </c>
      <c r="E872">
        <v>0</v>
      </c>
      <c r="G872">
        <f t="shared" si="65"/>
        <v>-2.5003027338053849</v>
      </c>
      <c r="H872">
        <f t="shared" si="66"/>
        <v>-2.370366307041575</v>
      </c>
      <c r="I872" t="e">
        <f t="shared" si="67"/>
        <v>#NUM!</v>
      </c>
      <c r="J872" s="5"/>
      <c r="K872" t="e">
        <f t="shared" si="68"/>
        <v>#NUM!</v>
      </c>
      <c r="M872" t="e">
        <f t="shared" si="69"/>
        <v>#NUM!</v>
      </c>
      <c r="O872" s="2" t="s">
        <v>877</v>
      </c>
    </row>
    <row r="873" spans="1:15">
      <c r="A873">
        <v>871</v>
      </c>
      <c r="B873">
        <v>143</v>
      </c>
      <c r="C873">
        <v>325</v>
      </c>
      <c r="D873">
        <v>348</v>
      </c>
      <c r="E873">
        <v>318</v>
      </c>
      <c r="G873">
        <f t="shared" si="65"/>
        <v>-0.21947612422969071</v>
      </c>
      <c r="H873">
        <f t="shared" si="66"/>
        <v>-5.9843814498174497E-2</v>
      </c>
      <c r="I873">
        <f t="shared" si="67"/>
        <v>-0.1082789220294294</v>
      </c>
      <c r="J873" s="5"/>
      <c r="K873">
        <f t="shared" si="68"/>
        <v>-0.12919962025243154</v>
      </c>
      <c r="M873">
        <f t="shared" si="69"/>
        <v>8.1846657159337435E-2</v>
      </c>
      <c r="O873" s="2" t="s">
        <v>878</v>
      </c>
    </row>
    <row r="874" spans="1:15">
      <c r="A874">
        <v>872</v>
      </c>
      <c r="B874">
        <v>39</v>
      </c>
      <c r="C874">
        <v>1</v>
      </c>
      <c r="D874">
        <v>1</v>
      </c>
      <c r="E874">
        <v>2</v>
      </c>
      <c r="G874">
        <f t="shared" si="65"/>
        <v>-2.1670880547700024</v>
      </c>
      <c r="H874">
        <f t="shared" si="66"/>
        <v>-2.037151628006193</v>
      </c>
      <c r="I874">
        <f t="shared" si="67"/>
        <v>-1.7454046159113183</v>
      </c>
      <c r="J874" s="5"/>
      <c r="K874">
        <f t="shared" si="68"/>
        <v>-1.9832147662291713</v>
      </c>
      <c r="M874">
        <f t="shared" si="69"/>
        <v>0.21595397529493765</v>
      </c>
      <c r="O874" s="2" t="s">
        <v>879</v>
      </c>
    </row>
    <row r="875" spans="1:15">
      <c r="A875">
        <v>873</v>
      </c>
      <c r="B875">
        <v>110</v>
      </c>
      <c r="C875">
        <v>309</v>
      </c>
      <c r="D875">
        <v>292</v>
      </c>
      <c r="E875">
        <v>277</v>
      </c>
      <c r="G875">
        <f t="shared" si="65"/>
        <v>-0.12745765347689375</v>
      </c>
      <c r="H875">
        <f t="shared" si="66"/>
        <v>-2.20968546895004E-2</v>
      </c>
      <c r="I875">
        <f t="shared" si="67"/>
        <v>-5.4282920642576782E-2</v>
      </c>
      <c r="J875" s="5"/>
      <c r="K875">
        <f t="shared" si="68"/>
        <v>-6.7945809602990306E-2</v>
      </c>
      <c r="M875">
        <f t="shared" si="69"/>
        <v>5.399287343101717E-2</v>
      </c>
      <c r="O875" s="2" t="s">
        <v>880</v>
      </c>
    </row>
    <row r="876" spans="1:15">
      <c r="A876">
        <v>874</v>
      </c>
      <c r="B876">
        <v>517</v>
      </c>
      <c r="C876">
        <v>1612</v>
      </c>
      <c r="D876">
        <v>772</v>
      </c>
      <c r="E876">
        <v>1087</v>
      </c>
      <c r="G876">
        <f t="shared" si="65"/>
        <v>-8.2148953368374023E-2</v>
      </c>
      <c r="H876">
        <f t="shared" si="66"/>
        <v>-0.2719602637379</v>
      </c>
      <c r="I876">
        <f t="shared" si="67"/>
        <v>-0.13263100355644825</v>
      </c>
      <c r="J876" s="5"/>
      <c r="K876">
        <f t="shared" si="68"/>
        <v>-0.16224674022090743</v>
      </c>
      <c r="M876">
        <f t="shared" si="69"/>
        <v>9.8310234867398621E-2</v>
      </c>
      <c r="O876" s="2" t="s">
        <v>881</v>
      </c>
    </row>
    <row r="877" spans="1:15">
      <c r="A877">
        <v>875</v>
      </c>
      <c r="B877">
        <v>67</v>
      </c>
      <c r="C877">
        <v>1</v>
      </c>
      <c r="D877">
        <v>0</v>
      </c>
      <c r="E877">
        <v>2</v>
      </c>
      <c r="G877">
        <f t="shared" si="65"/>
        <v>-2.4020982504443298</v>
      </c>
      <c r="H877" t="e">
        <f t="shared" si="66"/>
        <v>#NUM!</v>
      </c>
      <c r="I877">
        <f t="shared" si="67"/>
        <v>-1.9804148115856455</v>
      </c>
      <c r="J877" s="5"/>
      <c r="K877" t="e">
        <f t="shared" si="68"/>
        <v>#NUM!</v>
      </c>
      <c r="M877" t="e">
        <f t="shared" si="69"/>
        <v>#NUM!</v>
      </c>
      <c r="O877" s="2" t="s">
        <v>882</v>
      </c>
    </row>
    <row r="878" spans="1:15">
      <c r="A878">
        <v>876</v>
      </c>
      <c r="B878">
        <v>171</v>
      </c>
      <c r="C878">
        <v>7</v>
      </c>
      <c r="D878">
        <v>6</v>
      </c>
      <c r="E878">
        <v>8</v>
      </c>
      <c r="G878">
        <f t="shared" si="65"/>
        <v>-1.9639215181214003</v>
      </c>
      <c r="H878">
        <f t="shared" si="66"/>
        <v>-1.9009318809882039</v>
      </c>
      <c r="I878">
        <f t="shared" si="67"/>
        <v>-1.7852761279490106</v>
      </c>
      <c r="J878" s="5"/>
      <c r="K878">
        <f t="shared" si="68"/>
        <v>-1.8833765090195385</v>
      </c>
      <c r="M878">
        <f t="shared" si="69"/>
        <v>9.0607324048224677E-2</v>
      </c>
      <c r="O878" s="2" t="s">
        <v>883</v>
      </c>
    </row>
    <row r="879" spans="1:15">
      <c r="A879">
        <v>877</v>
      </c>
      <c r="B879">
        <v>140</v>
      </c>
      <c r="C879">
        <v>2</v>
      </c>
      <c r="D879">
        <v>3</v>
      </c>
      <c r="E879">
        <v>4</v>
      </c>
      <c r="G879">
        <f t="shared" si="65"/>
        <v>-2.4211214877577603</v>
      </c>
      <c r="H879">
        <f t="shared" si="66"/>
        <v>-2.1150938019382695</v>
      </c>
      <c r="I879">
        <f t="shared" si="67"/>
        <v>-1.9994380488990759</v>
      </c>
      <c r="J879" s="5"/>
      <c r="K879">
        <f t="shared" si="68"/>
        <v>-2.1785511128650352</v>
      </c>
      <c r="M879">
        <f t="shared" si="69"/>
        <v>0.21788610186164609</v>
      </c>
      <c r="O879" s="2" t="s">
        <v>884</v>
      </c>
    </row>
    <row r="880" spans="1:15">
      <c r="A880">
        <v>878</v>
      </c>
      <c r="B880">
        <v>132</v>
      </c>
      <c r="C880">
        <v>84</v>
      </c>
      <c r="D880">
        <v>59</v>
      </c>
      <c r="E880">
        <v>56</v>
      </c>
      <c r="G880">
        <f t="shared" si="65"/>
        <v>-0.77231809288747155</v>
      </c>
      <c r="H880">
        <f t="shared" si="66"/>
        <v>-0.79580894054339935</v>
      </c>
      <c r="I880">
        <f t="shared" si="67"/>
        <v>-0.82775590874844973</v>
      </c>
      <c r="J880" s="5"/>
      <c r="K880">
        <f t="shared" si="68"/>
        <v>-0.79862764739310688</v>
      </c>
      <c r="M880">
        <f t="shared" si="69"/>
        <v>2.7826187092150661E-2</v>
      </c>
      <c r="O880" s="2" t="s">
        <v>885</v>
      </c>
    </row>
    <row r="881" spans="1:15">
      <c r="A881">
        <v>879</v>
      </c>
      <c r="B881">
        <v>200</v>
      </c>
      <c r="C881">
        <v>5</v>
      </c>
      <c r="D881">
        <v>6</v>
      </c>
      <c r="E881">
        <v>2</v>
      </c>
      <c r="G881">
        <f t="shared" si="65"/>
        <v>-2.1780834390714654</v>
      </c>
      <c r="H881">
        <f t="shared" si="66"/>
        <v>-1.9689657662600313</v>
      </c>
      <c r="I881">
        <f t="shared" si="67"/>
        <v>-2.4553700045488003</v>
      </c>
      <c r="J881" s="5"/>
      <c r="K881">
        <f t="shared" si="68"/>
        <v>-2.2008064032934325</v>
      </c>
      <c r="M881">
        <f t="shared" si="69"/>
        <v>0.24399696839017077</v>
      </c>
      <c r="O881" s="2" t="s">
        <v>886</v>
      </c>
    </row>
    <row r="882" spans="1:15">
      <c r="A882">
        <v>880</v>
      </c>
      <c r="B882">
        <v>157</v>
      </c>
      <c r="C882">
        <v>4</v>
      </c>
      <c r="D882">
        <v>2</v>
      </c>
      <c r="E882">
        <v>2</v>
      </c>
      <c r="G882">
        <f t="shared" si="65"/>
        <v>-2.1698631088247744</v>
      </c>
      <c r="H882">
        <f t="shared" si="66"/>
        <v>-2.3409566777249462</v>
      </c>
      <c r="I882">
        <f t="shared" si="67"/>
        <v>-2.3502396612940526</v>
      </c>
      <c r="J882" s="5"/>
      <c r="K882">
        <f t="shared" si="68"/>
        <v>-2.2870198159479247</v>
      </c>
      <c r="M882">
        <f t="shared" si="69"/>
        <v>0.10156679557779075</v>
      </c>
      <c r="O882" s="2" t="s">
        <v>887</v>
      </c>
    </row>
    <row r="883" spans="1:15">
      <c r="A883">
        <v>881</v>
      </c>
      <c r="B883">
        <v>83</v>
      </c>
      <c r="C883">
        <v>1</v>
      </c>
      <c r="D883">
        <v>0</v>
      </c>
      <c r="E883">
        <v>0</v>
      </c>
      <c r="G883">
        <f t="shared" si="65"/>
        <v>-2.4951015401195775</v>
      </c>
      <c r="H883" t="e">
        <f t="shared" si="66"/>
        <v>#NUM!</v>
      </c>
      <c r="I883" t="e">
        <f t="shared" si="67"/>
        <v>#NUM!</v>
      </c>
      <c r="J883" s="5"/>
      <c r="K883" t="e">
        <f t="shared" si="68"/>
        <v>#NUM!</v>
      </c>
      <c r="M883" t="e">
        <f t="shared" si="69"/>
        <v>#NUM!</v>
      </c>
      <c r="O883" s="2" t="s">
        <v>888</v>
      </c>
    </row>
    <row r="884" spans="1:15">
      <c r="A884">
        <v>882</v>
      </c>
      <c r="B884">
        <v>396</v>
      </c>
      <c r="C884">
        <v>51</v>
      </c>
      <c r="D884">
        <v>29</v>
      </c>
      <c r="E884">
        <v>50</v>
      </c>
      <c r="G884">
        <f t="shared" si="65"/>
        <v>-1.4661484575710793</v>
      </c>
      <c r="H884">
        <f t="shared" si="66"/>
        <v>-1.58138420900625</v>
      </c>
      <c r="I884">
        <f t="shared" si="67"/>
        <v>-1.3540951861382937</v>
      </c>
      <c r="J884" s="5"/>
      <c r="K884">
        <f t="shared" si="68"/>
        <v>-1.4672092842385409</v>
      </c>
      <c r="M884">
        <f t="shared" si="69"/>
        <v>0.11364822477267907</v>
      </c>
      <c r="O884" s="2" t="s">
        <v>889</v>
      </c>
    </row>
    <row r="885" spans="1:15">
      <c r="A885">
        <v>883</v>
      </c>
      <c r="B885">
        <v>73</v>
      </c>
      <c r="C885">
        <v>85</v>
      </c>
      <c r="D885">
        <v>66</v>
      </c>
      <c r="E885">
        <v>74</v>
      </c>
      <c r="G885">
        <f t="shared" si="65"/>
        <v>-0.50992738214966649</v>
      </c>
      <c r="H885">
        <f t="shared" si="66"/>
        <v>-0.48986594555828089</v>
      </c>
      <c r="I885">
        <f t="shared" si="67"/>
        <v>-0.44946114493827999</v>
      </c>
      <c r="J885" s="5"/>
      <c r="K885">
        <f t="shared" si="68"/>
        <v>-0.4830848242154091</v>
      </c>
      <c r="M885">
        <f t="shared" si="69"/>
        <v>3.0798200688124274E-2</v>
      </c>
      <c r="O885" s="2" t="s">
        <v>890</v>
      </c>
    </row>
    <row r="886" spans="1:15">
      <c r="A886">
        <v>884</v>
      </c>
      <c r="B886">
        <v>285</v>
      </c>
      <c r="C886">
        <v>4</v>
      </c>
      <c r="D886">
        <v>6</v>
      </c>
      <c r="E886">
        <v>9</v>
      </c>
      <c r="G886">
        <f t="shared" si="65"/>
        <v>-2.428808316424051</v>
      </c>
      <c r="H886">
        <f t="shared" si="66"/>
        <v>-2.1227806306045602</v>
      </c>
      <c r="I886">
        <f t="shared" si="67"/>
        <v>-1.9559723551179855</v>
      </c>
      <c r="J886" s="5"/>
      <c r="K886">
        <f t="shared" si="68"/>
        <v>-2.1691871007155323</v>
      </c>
      <c r="M886">
        <f t="shared" si="69"/>
        <v>0.23980957430256655</v>
      </c>
      <c r="O886" s="2" t="s">
        <v>891</v>
      </c>
    </row>
    <row r="887" spans="1:15">
      <c r="A887">
        <v>885</v>
      </c>
      <c r="B887">
        <v>30</v>
      </c>
      <c r="C887">
        <v>0</v>
      </c>
      <c r="D887">
        <v>0</v>
      </c>
      <c r="E887">
        <v>0</v>
      </c>
      <c r="G887" t="e">
        <f t="shared" si="65"/>
        <v>#NUM!</v>
      </c>
      <c r="H887" t="e">
        <f t="shared" si="66"/>
        <v>#NUM!</v>
      </c>
      <c r="I887" t="e">
        <f t="shared" si="67"/>
        <v>#NUM!</v>
      </c>
      <c r="J887" s="5"/>
      <c r="K887" t="e">
        <f t="shared" si="68"/>
        <v>#NUM!</v>
      </c>
      <c r="M887" t="e">
        <f t="shared" si="69"/>
        <v>#NUM!</v>
      </c>
      <c r="O887" s="2" t="s">
        <v>892</v>
      </c>
    </row>
    <row r="888" spans="1:15">
      <c r="A888">
        <v>886</v>
      </c>
      <c r="B888">
        <v>110</v>
      </c>
      <c r="C888">
        <v>124</v>
      </c>
      <c r="D888">
        <v>142</v>
      </c>
      <c r="E888">
        <v>125</v>
      </c>
      <c r="G888">
        <f t="shared" si="65"/>
        <v>-0.52399444773949333</v>
      </c>
      <c r="H888">
        <f t="shared" si="66"/>
        <v>-0.33519136175486219</v>
      </c>
      <c r="I888">
        <f t="shared" si="67"/>
        <v>-0.39985267669896885</v>
      </c>
      <c r="J888" s="5"/>
      <c r="K888">
        <f t="shared" si="68"/>
        <v>-0.41967949539777477</v>
      </c>
      <c r="M888">
        <f t="shared" si="69"/>
        <v>9.5950395382804324E-2</v>
      </c>
      <c r="O888" s="2" t="s">
        <v>893</v>
      </c>
    </row>
    <row r="889" spans="1:15">
      <c r="A889">
        <v>887</v>
      </c>
      <c r="B889">
        <v>462</v>
      </c>
      <c r="C889">
        <v>2385</v>
      </c>
      <c r="D889">
        <v>2022</v>
      </c>
      <c r="E889">
        <v>2909</v>
      </c>
      <c r="G889">
        <f t="shared" si="65"/>
        <v>0.13682296007650385</v>
      </c>
      <c r="H889">
        <f t="shared" si="66"/>
        <v>0.19505215471916304</v>
      </c>
      <c r="I889">
        <f t="shared" si="67"/>
        <v>0.34373174114213334</v>
      </c>
      <c r="J889" s="5"/>
      <c r="K889">
        <f t="shared" si="68"/>
        <v>0.22520228531260009</v>
      </c>
      <c r="M889">
        <f t="shared" si="69"/>
        <v>0.1066985646652153</v>
      </c>
      <c r="O889" s="2" t="s">
        <v>894</v>
      </c>
    </row>
    <row r="890" spans="1:15">
      <c r="A890">
        <v>888</v>
      </c>
      <c r="B890">
        <v>97</v>
      </c>
      <c r="C890">
        <v>9</v>
      </c>
      <c r="D890">
        <v>13</v>
      </c>
      <c r="E890">
        <v>28</v>
      </c>
      <c r="G890">
        <f t="shared" si="65"/>
        <v>-1.6085526725704233</v>
      </c>
      <c r="H890">
        <f t="shared" si="66"/>
        <v>-1.3189154029391017</v>
      </c>
      <c r="I890">
        <f t="shared" si="67"/>
        <v>-0.99498370747282594</v>
      </c>
      <c r="J890" s="5"/>
      <c r="K890">
        <f t="shared" si="68"/>
        <v>-1.3074839276607837</v>
      </c>
      <c r="M890">
        <f t="shared" si="69"/>
        <v>0.30694417685144798</v>
      </c>
      <c r="O890" s="2" t="s">
        <v>895</v>
      </c>
    </row>
    <row r="891" spans="1:15">
      <c r="A891">
        <v>889</v>
      </c>
      <c r="B891">
        <v>259</v>
      </c>
      <c r="C891">
        <v>47</v>
      </c>
      <c r="D891">
        <v>61</v>
      </c>
      <c r="E891">
        <v>92</v>
      </c>
      <c r="G891">
        <f t="shared" si="65"/>
        <v>-1.3172253538890377</v>
      </c>
      <c r="H891">
        <f t="shared" si="66"/>
        <v>-1.0740569500501784</v>
      </c>
      <c r="I891">
        <f t="shared" si="67"/>
        <v>-0.90488194128449684</v>
      </c>
      <c r="J891" s="5"/>
      <c r="K891">
        <f t="shared" si="68"/>
        <v>-1.0987214150745712</v>
      </c>
      <c r="M891">
        <f t="shared" si="69"/>
        <v>0.20727523816364002</v>
      </c>
      <c r="O891" s="2" t="s">
        <v>896</v>
      </c>
    </row>
    <row r="892" spans="1:15">
      <c r="A892">
        <v>890</v>
      </c>
      <c r="B892">
        <v>100</v>
      </c>
      <c r="C892">
        <v>100</v>
      </c>
      <c r="D892">
        <v>100</v>
      </c>
      <c r="E892">
        <v>121</v>
      </c>
      <c r="G892">
        <f t="shared" si="65"/>
        <v>-0.57602344774350334</v>
      </c>
      <c r="H892">
        <f t="shared" si="66"/>
        <v>-0.44608702097969366</v>
      </c>
      <c r="I892">
        <f t="shared" si="67"/>
        <v>-0.37258463423235022</v>
      </c>
      <c r="J892" s="5"/>
      <c r="K892">
        <f t="shared" si="68"/>
        <v>-0.46489836765184905</v>
      </c>
      <c r="M892">
        <f t="shared" si="69"/>
        <v>0.1030157161962264</v>
      </c>
      <c r="O892" s="2" t="s">
        <v>897</v>
      </c>
    </row>
    <row r="893" spans="1:15">
      <c r="A893">
        <v>891</v>
      </c>
      <c r="B893">
        <v>235</v>
      </c>
      <c r="C893">
        <v>2</v>
      </c>
      <c r="D893">
        <v>1</v>
      </c>
      <c r="E893">
        <v>5</v>
      </c>
      <c r="G893">
        <f t="shared" si="65"/>
        <v>-2.6460613143512584</v>
      </c>
      <c r="H893">
        <f t="shared" si="66"/>
        <v>-2.8171548832514297</v>
      </c>
      <c r="I893">
        <f t="shared" si="67"/>
        <v>-2.1274678624845178</v>
      </c>
      <c r="J893" s="5"/>
      <c r="K893">
        <f t="shared" si="68"/>
        <v>-2.5302280200290688</v>
      </c>
      <c r="M893">
        <f t="shared" si="69"/>
        <v>0.35913794105988384</v>
      </c>
      <c r="O893" s="2" t="s">
        <v>898</v>
      </c>
    </row>
    <row r="894" spans="1:15">
      <c r="A894">
        <v>892</v>
      </c>
      <c r="B894">
        <v>24</v>
      </c>
      <c r="C894">
        <v>0</v>
      </c>
      <c r="D894">
        <v>0</v>
      </c>
      <c r="E894">
        <v>1</v>
      </c>
      <c r="G894" t="e">
        <f t="shared" si="65"/>
        <v>#NUM!</v>
      </c>
      <c r="H894" t="e">
        <f t="shared" si="66"/>
        <v>#NUM!</v>
      </c>
      <c r="I894">
        <f t="shared" si="67"/>
        <v>-1.8355812462604064</v>
      </c>
      <c r="J894" s="5"/>
      <c r="K894" t="e">
        <f t="shared" si="68"/>
        <v>#NUM!</v>
      </c>
      <c r="M894" t="e">
        <f t="shared" si="69"/>
        <v>#NUM!</v>
      </c>
      <c r="O894" s="2" t="s">
        <v>899</v>
      </c>
    </row>
    <row r="895" spans="1:15">
      <c r="A895">
        <v>893</v>
      </c>
      <c r="B895">
        <v>190</v>
      </c>
      <c r="C895">
        <v>3</v>
      </c>
      <c r="D895">
        <v>0</v>
      </c>
      <c r="E895">
        <v>2</v>
      </c>
      <c r="G895">
        <f t="shared" si="65"/>
        <v>-2.37765579397667</v>
      </c>
      <c r="H895" t="e">
        <f t="shared" si="66"/>
        <v>#NUM!</v>
      </c>
      <c r="I895">
        <f t="shared" si="67"/>
        <v>-2.4330936098376483</v>
      </c>
      <c r="J895" s="5"/>
      <c r="K895" t="e">
        <f t="shared" si="68"/>
        <v>#NUM!</v>
      </c>
      <c r="M895" t="e">
        <f t="shared" si="69"/>
        <v>#NUM!</v>
      </c>
      <c r="O895" s="2" t="s">
        <v>900</v>
      </c>
    </row>
    <row r="896" spans="1:15">
      <c r="A896">
        <v>894</v>
      </c>
      <c r="B896">
        <v>174</v>
      </c>
      <c r="C896">
        <v>1</v>
      </c>
      <c r="D896">
        <v>2</v>
      </c>
      <c r="E896">
        <v>4</v>
      </c>
      <c r="G896">
        <f t="shared" si="65"/>
        <v>-2.8165726960261033</v>
      </c>
      <c r="H896">
        <f t="shared" si="66"/>
        <v>-2.3856062735983121</v>
      </c>
      <c r="I896">
        <f t="shared" si="67"/>
        <v>-2.0938592615034377</v>
      </c>
      <c r="J896" s="5"/>
      <c r="K896">
        <f t="shared" si="68"/>
        <v>-2.4320127437092842</v>
      </c>
      <c r="M896">
        <f t="shared" si="69"/>
        <v>0.36358471840962614</v>
      </c>
      <c r="O896" s="2" t="s">
        <v>901</v>
      </c>
    </row>
    <row r="897" spans="1:15">
      <c r="A897">
        <v>895</v>
      </c>
      <c r="B897">
        <v>133</v>
      </c>
      <c r="C897">
        <v>3</v>
      </c>
      <c r="D897">
        <v>3</v>
      </c>
      <c r="E897">
        <v>4</v>
      </c>
      <c r="G897">
        <f t="shared" si="65"/>
        <v>-2.222753833990927</v>
      </c>
      <c r="H897">
        <f t="shared" si="66"/>
        <v>-2.0928174072271171</v>
      </c>
      <c r="I897">
        <f t="shared" si="67"/>
        <v>-1.9771616541879238</v>
      </c>
      <c r="J897" s="5"/>
      <c r="K897">
        <f t="shared" si="68"/>
        <v>-2.0975776318019892</v>
      </c>
      <c r="M897">
        <f t="shared" si="69"/>
        <v>0.12286526970059551</v>
      </c>
      <c r="O897" s="2" t="s">
        <v>902</v>
      </c>
    </row>
    <row r="898" spans="1:15">
      <c r="A898">
        <v>896</v>
      </c>
      <c r="B898">
        <v>166</v>
      </c>
      <c r="C898">
        <v>11</v>
      </c>
      <c r="D898">
        <v>4</v>
      </c>
      <c r="E898">
        <v>8</v>
      </c>
      <c r="G898">
        <f t="shared" ref="G898:G910" si="70">LOG10(C898/B898)-LOG10(437/116)</f>
        <v>-1.7547388506253334</v>
      </c>
      <c r="H898">
        <f t="shared" ref="H898:H910" si="71">LOG10(D898/B898)-LOG10(324/116)</f>
        <v>-2.0641351176917864</v>
      </c>
      <c r="I898">
        <f t="shared" ref="I898:I910" si="72">LOG10(E898/B898)-LOG10(331/116)</f>
        <v>-1.7723881055969117</v>
      </c>
      <c r="J898" s="5"/>
      <c r="K898">
        <f t="shared" ref="K898:K910" si="73">AVERAGE(G898:I898)</f>
        <v>-1.8637540246380107</v>
      </c>
      <c r="M898">
        <f t="shared" ref="M898:M910" si="74">STDEV(G898:I898)</f>
        <v>0.17375934763440046</v>
      </c>
      <c r="O898" s="2" t="s">
        <v>903</v>
      </c>
    </row>
    <row r="899" spans="1:15">
      <c r="A899">
        <v>897</v>
      </c>
      <c r="B899">
        <v>195</v>
      </c>
      <c r="C899">
        <v>5</v>
      </c>
      <c r="D899">
        <v>10</v>
      </c>
      <c r="E899">
        <v>7</v>
      </c>
      <c r="G899">
        <f t="shared" si="70"/>
        <v>-2.1670880547700024</v>
      </c>
      <c r="H899">
        <f t="shared" si="71"/>
        <v>-1.7361216323422117</v>
      </c>
      <c r="I899">
        <f t="shared" si="72"/>
        <v>-1.9003065758970614</v>
      </c>
      <c r="J899" s="5"/>
      <c r="K899">
        <f t="shared" si="73"/>
        <v>-1.9345054210030919</v>
      </c>
      <c r="M899">
        <f t="shared" si="74"/>
        <v>0.21750904594979936</v>
      </c>
      <c r="O899" s="2" t="s">
        <v>904</v>
      </c>
    </row>
    <row r="900" spans="1:15">
      <c r="A900">
        <v>898</v>
      </c>
      <c r="B900">
        <v>156</v>
      </c>
      <c r="C900">
        <v>4</v>
      </c>
      <c r="D900">
        <v>7</v>
      </c>
      <c r="E900">
        <v>4</v>
      </c>
      <c r="G900">
        <f t="shared" si="70"/>
        <v>-2.1670880547700024</v>
      </c>
      <c r="H900">
        <f t="shared" si="71"/>
        <v>-1.7941135793198983</v>
      </c>
      <c r="I900">
        <f t="shared" si="72"/>
        <v>-2.0464346115752994</v>
      </c>
      <c r="J900" s="5"/>
      <c r="K900">
        <f t="shared" si="73"/>
        <v>-2.0025454152217335</v>
      </c>
      <c r="M900">
        <f t="shared" si="74"/>
        <v>0.19032127049213779</v>
      </c>
      <c r="O900" s="2" t="s">
        <v>905</v>
      </c>
    </row>
    <row r="901" spans="1:15">
      <c r="A901">
        <v>899</v>
      </c>
      <c r="B901">
        <v>524</v>
      </c>
      <c r="C901">
        <v>12</v>
      </c>
      <c r="D901">
        <v>14</v>
      </c>
      <c r="E901">
        <v>20</v>
      </c>
      <c r="G901">
        <f t="shared" si="70"/>
        <v>-2.2161734886796052</v>
      </c>
      <c r="H901">
        <f t="shared" si="71"/>
        <v>-2.0192902722851822</v>
      </c>
      <c r="I901">
        <f t="shared" si="72"/>
        <v>-1.8736712958685457</v>
      </c>
      <c r="J901" s="5"/>
      <c r="K901">
        <f t="shared" si="73"/>
        <v>-2.0363783522777776</v>
      </c>
      <c r="M901">
        <f t="shared" si="74"/>
        <v>0.17188932450408617</v>
      </c>
      <c r="O901" s="2" t="s">
        <v>906</v>
      </c>
    </row>
    <row r="902" spans="1:15">
      <c r="A902">
        <v>900</v>
      </c>
      <c r="B902">
        <v>261</v>
      </c>
      <c r="C902">
        <v>838</v>
      </c>
      <c r="D902">
        <v>884</v>
      </c>
      <c r="E902">
        <v>810</v>
      </c>
      <c r="G902">
        <f t="shared" si="70"/>
        <v>-6.9419936451507791E-2</v>
      </c>
      <c r="H902">
        <f t="shared" si="71"/>
        <v>8.3724736695098501E-2</v>
      </c>
      <c r="I902">
        <f t="shared" si="72"/>
        <v>3.6474506991568512E-2</v>
      </c>
      <c r="J902" s="5"/>
      <c r="K902">
        <f t="shared" si="73"/>
        <v>1.6926435745053075E-2</v>
      </c>
      <c r="M902">
        <f t="shared" si="74"/>
        <v>7.8421413181537031E-2</v>
      </c>
      <c r="O902" s="2" t="s">
        <v>907</v>
      </c>
    </row>
    <row r="903" spans="1:15">
      <c r="A903">
        <v>901</v>
      </c>
      <c r="B903">
        <v>127</v>
      </c>
      <c r="C903">
        <v>6</v>
      </c>
      <c r="D903">
        <v>3</v>
      </c>
      <c r="E903">
        <v>6</v>
      </c>
      <c r="G903">
        <f t="shared" si="70"/>
        <v>-1.9016759183158165</v>
      </c>
      <c r="H903">
        <f t="shared" si="71"/>
        <v>-2.0727694872159881</v>
      </c>
      <c r="I903">
        <f t="shared" si="72"/>
        <v>-1.7810224751211134</v>
      </c>
      <c r="J903" s="5"/>
      <c r="K903">
        <f t="shared" si="73"/>
        <v>-1.9184892935509728</v>
      </c>
      <c r="M903">
        <f t="shared" si="74"/>
        <v>0.14659842071683568</v>
      </c>
      <c r="O903" s="2" t="s">
        <v>908</v>
      </c>
    </row>
    <row r="904" spans="1:15">
      <c r="A904">
        <v>902</v>
      </c>
      <c r="B904">
        <v>40</v>
      </c>
      <c r="C904">
        <v>1</v>
      </c>
      <c r="D904">
        <v>1</v>
      </c>
      <c r="E904">
        <v>1</v>
      </c>
      <c r="G904">
        <f t="shared" si="70"/>
        <v>-2.1780834390714654</v>
      </c>
      <c r="H904">
        <f t="shared" si="71"/>
        <v>-2.0481470123076559</v>
      </c>
      <c r="I904">
        <f t="shared" si="72"/>
        <v>-2.0574299958767623</v>
      </c>
      <c r="J904" s="5"/>
      <c r="K904">
        <f t="shared" si="73"/>
        <v>-2.094553482418628</v>
      </c>
      <c r="M904">
        <f t="shared" si="74"/>
        <v>7.2487817526842122E-2</v>
      </c>
      <c r="O904" s="2" t="s">
        <v>909</v>
      </c>
    </row>
    <row r="905" spans="1:15">
      <c r="A905">
        <v>903</v>
      </c>
      <c r="B905">
        <v>196</v>
      </c>
      <c r="C905">
        <v>30</v>
      </c>
      <c r="D905">
        <v>29</v>
      </c>
      <c r="E905">
        <v>43</v>
      </c>
      <c r="G905">
        <f t="shared" si="70"/>
        <v>-1.3911582643803171</v>
      </c>
      <c r="H905">
        <f t="shared" si="71"/>
        <v>-1.2759450944372137</v>
      </c>
      <c r="I905">
        <f t="shared" si="72"/>
        <v>-1.1141576203256898</v>
      </c>
      <c r="J905" s="5"/>
      <c r="K905">
        <f t="shared" si="73"/>
        <v>-1.2604203263810734</v>
      </c>
      <c r="M905">
        <f t="shared" si="74"/>
        <v>0.13915136729140429</v>
      </c>
      <c r="O905" s="2" t="s">
        <v>910</v>
      </c>
    </row>
    <row r="906" spans="1:15">
      <c r="A906">
        <v>904</v>
      </c>
      <c r="B906">
        <v>90</v>
      </c>
      <c r="C906">
        <v>0</v>
      </c>
      <c r="D906">
        <v>0</v>
      </c>
      <c r="E906">
        <v>1</v>
      </c>
      <c r="G906" t="e">
        <f t="shared" si="70"/>
        <v>#NUM!</v>
      </c>
      <c r="H906" t="e">
        <f t="shared" si="71"/>
        <v>#NUM!</v>
      </c>
      <c r="I906">
        <f t="shared" si="72"/>
        <v>-2.409612513988125</v>
      </c>
      <c r="J906" s="5"/>
      <c r="K906" t="e">
        <f t="shared" si="73"/>
        <v>#NUM!</v>
      </c>
      <c r="M906" t="e">
        <f t="shared" si="74"/>
        <v>#NUM!</v>
      </c>
      <c r="O906" s="2" t="s">
        <v>911</v>
      </c>
    </row>
    <row r="907" spans="1:15">
      <c r="A907">
        <v>905</v>
      </c>
      <c r="B907">
        <v>277</v>
      </c>
      <c r="C907">
        <v>107</v>
      </c>
      <c r="D907">
        <v>115</v>
      </c>
      <c r="E907">
        <v>147</v>
      </c>
      <c r="G907">
        <f t="shared" si="70"/>
        <v>-0.98911943912274225</v>
      </c>
      <c r="H907">
        <f t="shared" si="71"/>
        <v>-0.82786894969053049</v>
      </c>
      <c r="I907">
        <f t="shared" si="72"/>
        <v>-0.73053243886507269</v>
      </c>
      <c r="J907" s="5"/>
      <c r="K907">
        <f t="shared" si="73"/>
        <v>-0.84917360922611518</v>
      </c>
      <c r="M907">
        <f t="shared" si="74"/>
        <v>0.1306033137558556</v>
      </c>
      <c r="O907" s="2" t="s">
        <v>912</v>
      </c>
    </row>
    <row r="908" spans="1:15">
      <c r="A908">
        <v>906</v>
      </c>
      <c r="B908">
        <v>58</v>
      </c>
      <c r="C908">
        <v>0</v>
      </c>
      <c r="D908">
        <v>0</v>
      </c>
      <c r="E908">
        <v>0</v>
      </c>
      <c r="G908" t="e">
        <f t="shared" si="70"/>
        <v>#NUM!</v>
      </c>
      <c r="H908" t="e">
        <f t="shared" si="71"/>
        <v>#NUM!</v>
      </c>
      <c r="I908" t="e">
        <f t="shared" si="72"/>
        <v>#NUM!</v>
      </c>
      <c r="J908" s="5"/>
      <c r="K908" t="e">
        <f t="shared" si="73"/>
        <v>#NUM!</v>
      </c>
      <c r="M908" t="e">
        <f t="shared" si="74"/>
        <v>#NUM!</v>
      </c>
      <c r="O908" s="2" t="s">
        <v>913</v>
      </c>
    </row>
    <row r="909" spans="1:15">
      <c r="A909">
        <v>907</v>
      </c>
      <c r="B909">
        <v>107</v>
      </c>
      <c r="C909">
        <v>1</v>
      </c>
      <c r="D909">
        <v>1</v>
      </c>
      <c r="E909">
        <v>0</v>
      </c>
      <c r="G909">
        <f t="shared" si="70"/>
        <v>-2.6054072254287131</v>
      </c>
      <c r="H909">
        <f t="shared" si="71"/>
        <v>-2.4754707986649036</v>
      </c>
      <c r="I909" t="e">
        <f t="shared" si="72"/>
        <v>#NUM!</v>
      </c>
      <c r="J909" s="5"/>
      <c r="K909" t="e">
        <f t="shared" si="73"/>
        <v>#NUM!</v>
      </c>
      <c r="M909" t="e">
        <f t="shared" si="74"/>
        <v>#NUM!</v>
      </c>
      <c r="O909" s="2" t="s">
        <v>914</v>
      </c>
    </row>
    <row r="910" spans="1:15">
      <c r="A910">
        <v>908</v>
      </c>
      <c r="B910">
        <v>266</v>
      </c>
      <c r="C910">
        <v>694</v>
      </c>
      <c r="D910">
        <v>591</v>
      </c>
      <c r="E910">
        <v>746</v>
      </c>
      <c r="G910">
        <f t="shared" si="70"/>
        <v>-0.15954561391971545</v>
      </c>
      <c r="H910">
        <f t="shared" si="71"/>
        <v>-9.9381176729505305E-2</v>
      </c>
      <c r="I910">
        <f t="shared" si="72"/>
        <v>-7.5128137071984735E-3</v>
      </c>
      <c r="J910" s="5"/>
      <c r="K910">
        <f t="shared" si="73"/>
        <v>-8.8813201452139737E-2</v>
      </c>
      <c r="M910">
        <f t="shared" si="74"/>
        <v>7.6565362019728175E-2</v>
      </c>
      <c r="O910" s="2" t="s">
        <v>915</v>
      </c>
    </row>
  </sheetData>
  <conditionalFormatting sqref="K1:K1048576">
    <cfRule type="colorScale" priority="1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BC70-B9AC-5D45-B52F-033AB6EF2A08}">
  <dimension ref="A1:M910"/>
  <sheetViews>
    <sheetView topLeftCell="A110" workbookViewId="0">
      <selection activeCell="P38" sqref="P38"/>
    </sheetView>
  </sheetViews>
  <sheetFormatPr baseColWidth="10" defaultRowHeight="1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</v>
      </c>
      <c r="H1" t="s">
        <v>3</v>
      </c>
      <c r="I1" t="s">
        <v>4</v>
      </c>
      <c r="K1" t="s">
        <v>5</v>
      </c>
    </row>
    <row r="2" spans="1:13">
      <c r="A2">
        <v>126</v>
      </c>
      <c r="B2">
        <v>178</v>
      </c>
      <c r="C2">
        <v>3493</v>
      </c>
      <c r="D2">
        <v>3879</v>
      </c>
      <c r="E2">
        <v>3499</v>
      </c>
      <c r="G2">
        <v>0.7167551355852495</v>
      </c>
      <c r="H2">
        <v>0.89221275631146879</v>
      </c>
      <c r="I2">
        <v>0.83815393562521212</v>
      </c>
      <c r="K2">
        <v>0.8157072758406434</v>
      </c>
      <c r="M2">
        <f>STDEV(G2:I2)</f>
        <v>8.9856739142590653E-2</v>
      </c>
    </row>
    <row r="3" spans="1:13">
      <c r="A3">
        <v>348</v>
      </c>
      <c r="B3">
        <v>122</v>
      </c>
      <c r="C3">
        <v>1883</v>
      </c>
      <c r="D3">
        <v>4697</v>
      </c>
      <c r="E3">
        <v>1649</v>
      </c>
      <c r="G3">
        <v>0.61246704159841325</v>
      </c>
      <c r="H3">
        <v>1.1393737085288069</v>
      </c>
      <c r="I3">
        <v>0.67549082042097019</v>
      </c>
      <c r="K3">
        <v>0.8091105235160635</v>
      </c>
      <c r="M3">
        <f t="shared" ref="M3:M66" si="0">STDEV(G3:I3)</f>
        <v>0.28774698557124762</v>
      </c>
    </row>
    <row r="4" spans="1:13">
      <c r="A4">
        <v>95</v>
      </c>
      <c r="B4">
        <v>48</v>
      </c>
      <c r="C4">
        <v>886</v>
      </c>
      <c r="D4">
        <v>1034</v>
      </c>
      <c r="E4">
        <v>852</v>
      </c>
      <c r="G4">
        <v>0.69016903676796026</v>
      </c>
      <c r="H4">
        <v>0.88719228040264286</v>
      </c>
      <c r="I4">
        <v>0.79382835284231268</v>
      </c>
      <c r="K4">
        <v>0.79039655667097186</v>
      </c>
      <c r="M4">
        <f t="shared" si="0"/>
        <v>9.8556443481916833E-2</v>
      </c>
    </row>
    <row r="5" spans="1:13">
      <c r="A5">
        <v>125</v>
      </c>
      <c r="B5">
        <v>76</v>
      </c>
      <c r="C5">
        <v>1500</v>
      </c>
      <c r="D5">
        <v>1273</v>
      </c>
      <c r="E5">
        <v>1498</v>
      </c>
      <c r="G5">
        <v>0.71925421903138664</v>
      </c>
      <c r="H5">
        <v>0.77792779039317028</v>
      </c>
      <c r="I5">
        <v>0.83932821653385603</v>
      </c>
      <c r="K5">
        <v>0.77883674198613762</v>
      </c>
      <c r="M5">
        <f t="shared" si="0"/>
        <v>6.0042159053489447E-2</v>
      </c>
    </row>
    <row r="6" spans="1:13">
      <c r="A6">
        <v>1</v>
      </c>
      <c r="B6">
        <v>182</v>
      </c>
      <c r="C6">
        <v>2960</v>
      </c>
      <c r="D6">
        <v>3148</v>
      </c>
      <c r="E6">
        <v>3331</v>
      </c>
      <c r="G6">
        <v>0.63519687533036051</v>
      </c>
      <c r="H6">
        <v>0.7918763147222585</v>
      </c>
      <c r="I6">
        <v>0.8071332401573017</v>
      </c>
      <c r="K6">
        <v>0.7447354767366402</v>
      </c>
      <c r="M6">
        <f t="shared" si="0"/>
        <v>9.5169440168394973E-2</v>
      </c>
    </row>
    <row r="7" spans="1:13">
      <c r="A7">
        <v>823</v>
      </c>
      <c r="B7">
        <v>155</v>
      </c>
      <c r="C7">
        <v>2793</v>
      </c>
      <c r="D7">
        <v>2587</v>
      </c>
      <c r="E7">
        <v>2154</v>
      </c>
      <c r="G7">
        <v>0.67971578978721015</v>
      </c>
      <c r="H7">
        <v>0.77637770956655827</v>
      </c>
      <c r="I7">
        <v>0.6875439962428711</v>
      </c>
      <c r="K7">
        <v>0.71454583186554643</v>
      </c>
      <c r="M7">
        <f t="shared" si="0"/>
        <v>5.3690837478128146E-2</v>
      </c>
    </row>
    <row r="8" spans="1:13">
      <c r="A8">
        <v>212</v>
      </c>
      <c r="B8">
        <v>131</v>
      </c>
      <c r="C8">
        <v>1700</v>
      </c>
      <c r="D8">
        <v>3665</v>
      </c>
      <c r="E8">
        <v>1399</v>
      </c>
      <c r="G8">
        <v>0.53715417797900633</v>
      </c>
      <c r="H8">
        <v>1.0007156623416888</v>
      </c>
      <c r="I8">
        <v>0.57317641428726307</v>
      </c>
      <c r="K8">
        <v>0.70368208486931938</v>
      </c>
      <c r="M8">
        <f t="shared" si="0"/>
        <v>0.25786839664194489</v>
      </c>
    </row>
    <row r="9" spans="1:13">
      <c r="A9">
        <v>205</v>
      </c>
      <c r="B9">
        <v>97</v>
      </c>
      <c r="C9">
        <v>1414</v>
      </c>
      <c r="D9">
        <v>1484</v>
      </c>
      <c r="E9">
        <v>1614</v>
      </c>
      <c r="G9">
        <v>0.58765422745113249</v>
      </c>
      <c r="H9">
        <v>0.73857514569706972</v>
      </c>
      <c r="I9">
        <v>0.76576179157100643</v>
      </c>
      <c r="K9">
        <v>0.69733038823973625</v>
      </c>
      <c r="M9">
        <f t="shared" si="0"/>
        <v>9.5950110017990531E-2</v>
      </c>
    </row>
    <row r="10" spans="1:13">
      <c r="A10">
        <v>44</v>
      </c>
      <c r="B10">
        <v>228</v>
      </c>
      <c r="C10">
        <v>3163</v>
      </c>
      <c r="D10">
        <v>3272</v>
      </c>
      <c r="E10">
        <v>3183</v>
      </c>
      <c r="G10">
        <v>0.56614089717176563</v>
      </c>
      <c r="H10">
        <v>0.710791427019138</v>
      </c>
      <c r="I10">
        <v>0.689531787071749</v>
      </c>
      <c r="K10">
        <v>0.65548803708755088</v>
      </c>
      <c r="M10">
        <f t="shared" si="0"/>
        <v>7.8103627515124632E-2</v>
      </c>
    </row>
    <row r="11" spans="1:13">
      <c r="A11">
        <v>157</v>
      </c>
      <c r="B11">
        <v>187</v>
      </c>
      <c r="C11">
        <v>2580</v>
      </c>
      <c r="D11">
        <v>2586</v>
      </c>
      <c r="E11">
        <v>2548</v>
      </c>
      <c r="G11">
        <v>0.56375465168322791</v>
      </c>
      <c r="H11">
        <v>0.69469989302818269</v>
      </c>
      <c r="I11">
        <v>0.67898781257801355</v>
      </c>
      <c r="K11">
        <v>0.64581411909647468</v>
      </c>
      <c r="M11">
        <f t="shared" si="0"/>
        <v>7.1498493075920364E-2</v>
      </c>
    </row>
    <row r="12" spans="1:13">
      <c r="A12">
        <v>313</v>
      </c>
      <c r="B12">
        <v>423</v>
      </c>
      <c r="C12">
        <v>6199</v>
      </c>
      <c r="D12">
        <v>5285</v>
      </c>
      <c r="E12">
        <v>5531</v>
      </c>
      <c r="G12">
        <v>0.58995782123302787</v>
      </c>
      <c r="H12">
        <v>0.65061760328870899</v>
      </c>
      <c r="I12">
        <v>0.66109328654532296</v>
      </c>
      <c r="K12">
        <v>0.6338895703556866</v>
      </c>
      <c r="M12">
        <f t="shared" si="0"/>
        <v>3.840486844991655E-2</v>
      </c>
    </row>
    <row r="13" spans="1:13">
      <c r="A13">
        <v>461</v>
      </c>
      <c r="B13">
        <v>64</v>
      </c>
      <c r="C13">
        <v>725</v>
      </c>
      <c r="D13">
        <v>685</v>
      </c>
      <c r="E13">
        <v>733</v>
      </c>
      <c r="G13">
        <v>0.47813458484360316</v>
      </c>
      <c r="H13">
        <v>0.58342357652884469</v>
      </c>
      <c r="I13">
        <v>0.6035539961084404</v>
      </c>
      <c r="K13">
        <v>0.55503738582696271</v>
      </c>
      <c r="M13">
        <f t="shared" si="0"/>
        <v>6.7356061697721778E-2</v>
      </c>
    </row>
    <row r="14" spans="1:13">
      <c r="A14">
        <v>400</v>
      </c>
      <c r="B14">
        <v>87</v>
      </c>
      <c r="C14">
        <v>419</v>
      </c>
      <c r="D14">
        <v>4212</v>
      </c>
      <c r="E14">
        <v>447</v>
      </c>
      <c r="G14">
        <v>0.10667132260417345</v>
      </c>
      <c r="H14">
        <v>1.2388820889151368</v>
      </c>
      <c r="I14">
        <v>0.25541826596451767</v>
      </c>
      <c r="K14">
        <v>0.53365722582794273</v>
      </c>
      <c r="M14">
        <f t="shared" si="0"/>
        <v>0.61525441398418679</v>
      </c>
    </row>
    <row r="15" spans="1:13">
      <c r="A15">
        <v>249</v>
      </c>
      <c r="B15">
        <v>150</v>
      </c>
      <c r="C15">
        <v>3270</v>
      </c>
      <c r="D15">
        <v>1173</v>
      </c>
      <c r="E15">
        <v>975</v>
      </c>
      <c r="G15">
        <v>0.7624330458611015</v>
      </c>
      <c r="H15">
        <v>0.44711973208015432</v>
      </c>
      <c r="I15">
        <v>0.3575433520940553</v>
      </c>
      <c r="K15">
        <v>0.52236537667843708</v>
      </c>
      <c r="M15">
        <f t="shared" si="0"/>
        <v>0.2126742727810568</v>
      </c>
    </row>
    <row r="16" spans="1:13">
      <c r="A16">
        <v>271</v>
      </c>
      <c r="B16">
        <v>430</v>
      </c>
      <c r="C16">
        <v>4441</v>
      </c>
      <c r="D16">
        <v>4254</v>
      </c>
      <c r="E16">
        <v>4400</v>
      </c>
      <c r="G16">
        <v>0.43798886985058605</v>
      </c>
      <c r="H16">
        <v>0.54924200900743003</v>
      </c>
      <c r="I16">
        <v>0.55461421635780073</v>
      </c>
      <c r="K16">
        <v>0.51394836507193897</v>
      </c>
      <c r="M16">
        <f t="shared" si="0"/>
        <v>6.5837670361776027E-2</v>
      </c>
    </row>
    <row r="17" spans="1:13">
      <c r="A17">
        <v>292</v>
      </c>
      <c r="B17">
        <v>206</v>
      </c>
      <c r="C17">
        <v>2043</v>
      </c>
      <c r="D17">
        <v>2059</v>
      </c>
      <c r="E17">
        <v>2006</v>
      </c>
      <c r="G17">
        <v>0.4203776985197909</v>
      </c>
      <c r="H17">
        <v>0.55370210526918429</v>
      </c>
      <c r="I17">
        <v>0.5330937037664456</v>
      </c>
      <c r="K17">
        <v>0.50239116918514026</v>
      </c>
      <c r="M17">
        <f t="shared" si="0"/>
        <v>7.1769308071463728E-2</v>
      </c>
    </row>
    <row r="18" spans="1:13">
      <c r="A18">
        <v>150</v>
      </c>
      <c r="B18">
        <v>465</v>
      </c>
      <c r="C18">
        <v>4999</v>
      </c>
      <c r="D18">
        <v>3847</v>
      </c>
      <c r="E18">
        <v>4544</v>
      </c>
      <c r="G18">
        <v>0.45540673611913296</v>
      </c>
      <c r="H18">
        <v>0.47158221243716791</v>
      </c>
      <c r="I18">
        <v>0.53461536526420828</v>
      </c>
      <c r="K18">
        <v>0.48720143794016968</v>
      </c>
      <c r="M18">
        <f t="shared" si="0"/>
        <v>4.1850590040592439E-2</v>
      </c>
    </row>
    <row r="19" spans="1:13">
      <c r="A19">
        <v>191</v>
      </c>
      <c r="B19">
        <v>471</v>
      </c>
      <c r="C19">
        <v>4267</v>
      </c>
      <c r="D19">
        <v>3961</v>
      </c>
      <c r="E19">
        <v>4669</v>
      </c>
      <c r="G19">
        <v>0.38107828798691257</v>
      </c>
      <c r="H19">
        <v>0.47869691429570305</v>
      </c>
      <c r="I19">
        <v>0.54083296225310939</v>
      </c>
      <c r="K19">
        <v>0.46686938817857504</v>
      </c>
      <c r="M19">
        <f t="shared" si="0"/>
        <v>8.0531402372075123E-2</v>
      </c>
    </row>
    <row r="20" spans="1:13">
      <c r="A20">
        <v>296</v>
      </c>
      <c r="B20">
        <v>44</v>
      </c>
      <c r="C20">
        <v>502</v>
      </c>
      <c r="D20">
        <v>385</v>
      </c>
      <c r="E20">
        <v>312</v>
      </c>
      <c r="G20">
        <v>0.48122759291532846</v>
      </c>
      <c r="H20">
        <v>0.49592103204261961</v>
      </c>
      <c r="I20">
        <v>0.39533191298345505</v>
      </c>
      <c r="K20">
        <v>0.45749351264713439</v>
      </c>
      <c r="M20">
        <f t="shared" si="0"/>
        <v>5.4332519202660814E-2</v>
      </c>
    </row>
    <row r="21" spans="1:13">
      <c r="A21">
        <v>460</v>
      </c>
      <c r="B21">
        <v>28</v>
      </c>
      <c r="C21">
        <v>220</v>
      </c>
      <c r="D21">
        <v>244</v>
      </c>
      <c r="E21">
        <v>276</v>
      </c>
      <c r="G21">
        <v>0.31924120173648363</v>
      </c>
      <c r="H21">
        <v>0.49414477401681656</v>
      </c>
      <c r="I21">
        <v>0.53838104617419824</v>
      </c>
      <c r="K21">
        <v>0.45058900730916612</v>
      </c>
      <c r="M21">
        <f t="shared" si="0"/>
        <v>0.11588095816468234</v>
      </c>
    </row>
    <row r="22" spans="1:13">
      <c r="A22">
        <v>197</v>
      </c>
      <c r="B22">
        <v>143</v>
      </c>
      <c r="C22">
        <v>1253</v>
      </c>
      <c r="D22">
        <v>835</v>
      </c>
      <c r="E22">
        <v>1703</v>
      </c>
      <c r="G22">
        <v>0.36659158578558482</v>
      </c>
      <c r="H22">
        <v>0.32026341703884664</v>
      </c>
      <c r="I22">
        <v>0.62050860594873902</v>
      </c>
      <c r="K22">
        <v>0.43578786959105686</v>
      </c>
      <c r="M22">
        <f t="shared" si="0"/>
        <v>0.16164123123525698</v>
      </c>
    </row>
    <row r="23" spans="1:13">
      <c r="A23">
        <v>410</v>
      </c>
      <c r="B23">
        <v>230</v>
      </c>
      <c r="C23">
        <v>1638</v>
      </c>
      <c r="D23">
        <v>2678</v>
      </c>
      <c r="E23">
        <v>1667</v>
      </c>
      <c r="G23">
        <v>0.27656261366330348</v>
      </c>
      <c r="H23">
        <v>0.61999571567870371</v>
      </c>
      <c r="I23">
        <v>0.40483775926161214</v>
      </c>
      <c r="K23">
        <v>0.43379869620120642</v>
      </c>
      <c r="M23">
        <f t="shared" si="0"/>
        <v>0.17353854266788821</v>
      </c>
    </row>
    <row r="24" spans="1:13">
      <c r="A24">
        <v>42</v>
      </c>
      <c r="B24">
        <v>349</v>
      </c>
      <c r="C24">
        <v>3336</v>
      </c>
      <c r="D24">
        <v>2834</v>
      </c>
      <c r="E24">
        <v>2668</v>
      </c>
      <c r="G24">
        <v>0.40437716726301787</v>
      </c>
      <c r="H24">
        <v>0.4634873979725681</v>
      </c>
      <c r="I24">
        <v>0.42799039373653114</v>
      </c>
      <c r="K24">
        <v>0.4319516529907057</v>
      </c>
      <c r="M24">
        <f t="shared" si="0"/>
        <v>2.9753546423798825E-2</v>
      </c>
    </row>
    <row r="25" spans="1:13">
      <c r="A25">
        <v>200</v>
      </c>
      <c r="B25">
        <v>119</v>
      </c>
      <c r="C25">
        <v>1092</v>
      </c>
      <c r="D25">
        <v>962</v>
      </c>
      <c r="E25">
        <v>924</v>
      </c>
      <c r="G25">
        <v>0.38665222923268427</v>
      </c>
      <c r="H25">
        <v>0.46154108966558849</v>
      </c>
      <c r="I25">
        <v>0.43475500527877564</v>
      </c>
      <c r="K25">
        <v>0.42764944139234951</v>
      </c>
      <c r="M25">
        <f t="shared" si="0"/>
        <v>3.7946701211604872E-2</v>
      </c>
    </row>
    <row r="26" spans="1:13">
      <c r="A26">
        <v>251</v>
      </c>
      <c r="B26">
        <v>261</v>
      </c>
      <c r="C26">
        <v>2732</v>
      </c>
      <c r="D26">
        <v>1758</v>
      </c>
      <c r="E26">
        <v>2108</v>
      </c>
      <c r="G26">
        <v>0.44381673992771065</v>
      </c>
      <c r="H26">
        <v>0.38229134241977847</v>
      </c>
      <c r="I26">
        <v>0.4518600946534278</v>
      </c>
      <c r="K26">
        <v>0.42598939233363903</v>
      </c>
      <c r="M26">
        <f t="shared" si="0"/>
        <v>3.8056715090987715E-2</v>
      </c>
    </row>
    <row r="27" spans="1:13">
      <c r="A27">
        <v>226</v>
      </c>
      <c r="B27">
        <v>292</v>
      </c>
      <c r="C27">
        <v>2641</v>
      </c>
      <c r="D27">
        <v>2065</v>
      </c>
      <c r="E27">
        <v>2467</v>
      </c>
      <c r="G27">
        <v>0.38036210201500242</v>
      </c>
      <c r="H27">
        <v>0.40345018356430784</v>
      </c>
      <c r="I27">
        <v>0.47141629349251746</v>
      </c>
      <c r="K27">
        <v>0.41840952635727585</v>
      </c>
      <c r="M27">
        <f t="shared" si="0"/>
        <v>4.733447896622648E-2</v>
      </c>
    </row>
    <row r="28" spans="1:13">
      <c r="A28">
        <v>165</v>
      </c>
      <c r="B28">
        <v>154</v>
      </c>
      <c r="C28">
        <v>1331</v>
      </c>
      <c r="D28">
        <v>1158</v>
      </c>
      <c r="E28">
        <v>1272</v>
      </c>
      <c r="G28">
        <v>0.36063388689470866</v>
      </c>
      <c r="H28">
        <v>0.43010081757526064</v>
      </c>
      <c r="I28">
        <v>0.4615963859271317</v>
      </c>
      <c r="K28">
        <v>0.41744369679903365</v>
      </c>
      <c r="M28">
        <f t="shared" si="0"/>
        <v>5.1657609144016972E-2</v>
      </c>
    </row>
    <row r="29" spans="1:13">
      <c r="A29">
        <v>64</v>
      </c>
      <c r="B29">
        <v>304</v>
      </c>
      <c r="C29">
        <v>2425</v>
      </c>
      <c r="D29">
        <v>2160</v>
      </c>
      <c r="E29">
        <v>2820</v>
      </c>
      <c r="G29">
        <v>0.32581471158602537</v>
      </c>
      <c r="H29">
        <v>0.40549314656248348</v>
      </c>
      <c r="I29">
        <v>0.51200552016180712</v>
      </c>
      <c r="K29">
        <v>0.41443779277010534</v>
      </c>
      <c r="M29">
        <f t="shared" si="0"/>
        <v>9.341712541798966E-2</v>
      </c>
    </row>
    <row r="30" spans="1:13">
      <c r="A30">
        <v>303</v>
      </c>
      <c r="B30">
        <v>69</v>
      </c>
      <c r="C30">
        <v>578</v>
      </c>
      <c r="D30">
        <v>485</v>
      </c>
      <c r="E30">
        <v>579</v>
      </c>
      <c r="G30">
        <v>0.34705529993977036</v>
      </c>
      <c r="H30">
        <v>0.40080562688531474</v>
      </c>
      <c r="I30">
        <v>0.46845946844138064</v>
      </c>
      <c r="K30">
        <v>0.4054401317554886</v>
      </c>
      <c r="M30">
        <f t="shared" si="0"/>
        <v>6.0834628370160848E-2</v>
      </c>
    </row>
    <row r="31" spans="1:13">
      <c r="A31">
        <v>65</v>
      </c>
      <c r="B31">
        <v>265</v>
      </c>
      <c r="C31">
        <v>2055</v>
      </c>
      <c r="D31">
        <v>2094</v>
      </c>
      <c r="E31">
        <v>2023</v>
      </c>
      <c r="G31">
        <v>0.31354250453177679</v>
      </c>
      <c r="H31">
        <v>0.45164378242632197</v>
      </c>
      <c r="I31">
        <v>0.42738000428519651</v>
      </c>
      <c r="K31">
        <v>0.39752209708109842</v>
      </c>
      <c r="M31">
        <f t="shared" si="0"/>
        <v>7.3733382575214695E-2</v>
      </c>
    </row>
    <row r="32" spans="1:13">
      <c r="A32">
        <v>360</v>
      </c>
      <c r="B32">
        <v>140</v>
      </c>
      <c r="C32">
        <v>1099</v>
      </c>
      <c r="D32">
        <v>1017</v>
      </c>
      <c r="E32">
        <v>959</v>
      </c>
      <c r="G32">
        <v>0.3188462090017492</v>
      </c>
      <c r="H32">
        <v>0.41510589626481287</v>
      </c>
      <c r="I32">
        <v>0.38032056694362526</v>
      </c>
      <c r="K32">
        <v>0.37142422407006243</v>
      </c>
      <c r="M32">
        <f t="shared" si="0"/>
        <v>4.8742594672306391E-2</v>
      </c>
    </row>
    <row r="33" spans="1:13">
      <c r="A33">
        <v>339</v>
      </c>
      <c r="B33">
        <v>113</v>
      </c>
      <c r="C33">
        <v>692</v>
      </c>
      <c r="D33">
        <v>791</v>
      </c>
      <c r="E33">
        <v>794</v>
      </c>
      <c r="G33">
        <v>0.21100420322983471</v>
      </c>
      <c r="H33">
        <v>0.39901101903456315</v>
      </c>
      <c r="I33">
        <v>0.39137205439487621</v>
      </c>
      <c r="K33">
        <v>0.33379575888642465</v>
      </c>
      <c r="M33">
        <f t="shared" si="0"/>
        <v>0.10640917747363568</v>
      </c>
    </row>
    <row r="34" spans="1:13">
      <c r="A34">
        <v>388</v>
      </c>
      <c r="B34">
        <v>207</v>
      </c>
      <c r="C34">
        <v>1469</v>
      </c>
      <c r="D34">
        <v>1318</v>
      </c>
      <c r="E34">
        <v>1124</v>
      </c>
      <c r="G34">
        <v>0.2750280025898354</v>
      </c>
      <c r="H34">
        <v>0.35785804382137965</v>
      </c>
      <c r="I34">
        <v>0.27942596122732422</v>
      </c>
      <c r="K34">
        <v>0.30410400254617975</v>
      </c>
      <c r="M34">
        <f t="shared" si="0"/>
        <v>4.6604272605697702E-2</v>
      </c>
    </row>
    <row r="35" spans="1:13">
      <c r="A35">
        <v>24</v>
      </c>
      <c r="B35">
        <v>112</v>
      </c>
      <c r="C35">
        <v>602</v>
      </c>
      <c r="D35">
        <v>718</v>
      </c>
      <c r="E35">
        <v>782</v>
      </c>
      <c r="G35">
        <v>0.15435502084413966</v>
      </c>
      <c r="H35">
        <v>0.36081940059242501</v>
      </c>
      <c r="I35">
        <v>0.3886187258408661</v>
      </c>
      <c r="K35">
        <v>0.30126438242581027</v>
      </c>
      <c r="M35">
        <f t="shared" si="0"/>
        <v>0.12798426079529346</v>
      </c>
    </row>
    <row r="36" spans="1:13">
      <c r="A36">
        <v>412</v>
      </c>
      <c r="B36">
        <v>216</v>
      </c>
      <c r="C36">
        <v>1406</v>
      </c>
      <c r="D36">
        <v>1248</v>
      </c>
      <c r="E36">
        <v>1369</v>
      </c>
      <c r="G36">
        <v>0.23750812178937097</v>
      </c>
      <c r="H36">
        <v>0.31567381321578059</v>
      </c>
      <c r="I36">
        <v>0.34657969243425879</v>
      </c>
      <c r="K36">
        <v>0.29992054247980343</v>
      </c>
      <c r="M36">
        <f t="shared" si="0"/>
        <v>5.6216332456826425E-2</v>
      </c>
    </row>
    <row r="37" spans="1:13">
      <c r="A37">
        <v>402</v>
      </c>
      <c r="B37">
        <v>229</v>
      </c>
      <c r="C37">
        <v>2437</v>
      </c>
      <c r="D37">
        <v>1438</v>
      </c>
      <c r="E37">
        <v>785</v>
      </c>
      <c r="G37">
        <v>0.45099659910133294</v>
      </c>
      <c r="H37">
        <v>0.35183638272728213</v>
      </c>
      <c r="I37">
        <v>7.9664169856564215E-2</v>
      </c>
      <c r="K37">
        <v>0.29416571722839308</v>
      </c>
      <c r="M37">
        <f t="shared" si="0"/>
        <v>0.19226641021384586</v>
      </c>
    </row>
    <row r="38" spans="1:13">
      <c r="A38">
        <v>239</v>
      </c>
      <c r="B38">
        <v>60</v>
      </c>
      <c r="C38">
        <v>328</v>
      </c>
      <c r="D38">
        <v>351</v>
      </c>
      <c r="E38">
        <v>398</v>
      </c>
      <c r="G38">
        <v>0.16169914558453213</v>
      </c>
      <c r="H38">
        <v>0.32106884510248679</v>
      </c>
      <c r="I38">
        <v>0.36636181714124394</v>
      </c>
      <c r="K38">
        <v>0.28304326927608764</v>
      </c>
      <c r="M38">
        <f t="shared" si="0"/>
        <v>0.10749958416142621</v>
      </c>
    </row>
    <row r="39" spans="1:13">
      <c r="A39">
        <v>120</v>
      </c>
      <c r="B39">
        <v>45</v>
      </c>
      <c r="C39">
        <v>255</v>
      </c>
      <c r="D39">
        <v>185</v>
      </c>
      <c r="E39">
        <v>382</v>
      </c>
      <c r="G39">
        <v>0.17730421891510817</v>
      </c>
      <c r="H39">
        <v>0.16787219364797645</v>
      </c>
      <c r="I39">
        <v>0.47348084458756479</v>
      </c>
      <c r="K39">
        <v>0.27288575238354978</v>
      </c>
      <c r="M39">
        <f t="shared" si="0"/>
        <v>0.17378444705270055</v>
      </c>
    </row>
    <row r="40" spans="1:13">
      <c r="A40">
        <v>334</v>
      </c>
      <c r="B40">
        <v>217</v>
      </c>
      <c r="C40">
        <v>1462</v>
      </c>
      <c r="D40">
        <v>945</v>
      </c>
      <c r="E40">
        <v>1453</v>
      </c>
      <c r="G40">
        <v>0.25246419102980888</v>
      </c>
      <c r="H40">
        <v>0.1928850536810397</v>
      </c>
      <c r="I40">
        <v>0.37043587590069171</v>
      </c>
      <c r="K40">
        <v>0.27192837353718008</v>
      </c>
      <c r="M40">
        <f t="shared" si="0"/>
        <v>9.0361576005671879E-2</v>
      </c>
    </row>
    <row r="41" spans="1:13">
      <c r="A41">
        <v>172</v>
      </c>
      <c r="B41">
        <v>194</v>
      </c>
      <c r="C41">
        <v>1248</v>
      </c>
      <c r="D41">
        <v>1049</v>
      </c>
      <c r="E41">
        <v>1083</v>
      </c>
      <c r="G41">
        <v>0.2323894076726758</v>
      </c>
      <c r="H41">
        <v>0.28688673728363823</v>
      </c>
      <c r="I41">
        <v>0.29145672214629403</v>
      </c>
      <c r="K41">
        <v>0.27024428903420267</v>
      </c>
      <c r="M41">
        <f t="shared" si="0"/>
        <v>3.286282432449595E-2</v>
      </c>
    </row>
    <row r="42" spans="1:13">
      <c r="A42">
        <v>48</v>
      </c>
      <c r="B42">
        <v>194</v>
      </c>
      <c r="C42">
        <v>1170</v>
      </c>
      <c r="D42">
        <v>1082</v>
      </c>
      <c r="E42">
        <v>1017</v>
      </c>
      <c r="G42">
        <v>0.20436068407243224</v>
      </c>
      <c r="H42">
        <v>0.30033850986063093</v>
      </c>
      <c r="I42">
        <v>0.2641492184437183</v>
      </c>
      <c r="K42">
        <v>0.25628280412559384</v>
      </c>
      <c r="M42">
        <f t="shared" si="0"/>
        <v>4.8470053810840213E-2</v>
      </c>
    </row>
    <row r="43" spans="1:13">
      <c r="A43">
        <v>503</v>
      </c>
      <c r="B43">
        <v>97</v>
      </c>
      <c r="C43">
        <v>559</v>
      </c>
      <c r="D43">
        <v>497</v>
      </c>
      <c r="E43">
        <v>568</v>
      </c>
      <c r="G43">
        <v>0.18461662587667516</v>
      </c>
      <c r="H43">
        <v>0.26349763348739352</v>
      </c>
      <c r="I43">
        <v>0.31220659689597374</v>
      </c>
      <c r="K43">
        <v>0.25344028542001412</v>
      </c>
      <c r="M43">
        <f t="shared" si="0"/>
        <v>6.4386822128349064E-2</v>
      </c>
    </row>
    <row r="44" spans="1:13">
      <c r="A44">
        <v>248</v>
      </c>
      <c r="B44">
        <v>233</v>
      </c>
      <c r="C44">
        <v>1337</v>
      </c>
      <c r="D44">
        <v>1004</v>
      </c>
      <c r="E44">
        <v>1523</v>
      </c>
      <c r="G44">
        <v>0.18275203849246202</v>
      </c>
      <c r="H44">
        <v>0.18829077080328793</v>
      </c>
      <c r="I44">
        <v>0.35997397776122331</v>
      </c>
      <c r="K44">
        <v>0.24367226235232442</v>
      </c>
      <c r="M44">
        <f t="shared" si="0"/>
        <v>0.10075830558416574</v>
      </c>
    </row>
    <row r="45" spans="1:13">
      <c r="A45">
        <v>302</v>
      </c>
      <c r="B45">
        <v>51</v>
      </c>
      <c r="C45">
        <v>304</v>
      </c>
      <c r="D45">
        <v>222</v>
      </c>
      <c r="E45">
        <v>303</v>
      </c>
      <c r="G45">
        <v>0.19927995976731405</v>
      </c>
      <c r="H45">
        <v>0.19269577737300858</v>
      </c>
      <c r="I45">
        <v>0.31850244785556836</v>
      </c>
      <c r="K45">
        <v>0.23682606166529699</v>
      </c>
      <c r="M45">
        <f t="shared" si="0"/>
        <v>7.0810394083616945E-2</v>
      </c>
    </row>
    <row r="46" spans="1:13">
      <c r="A46">
        <v>82</v>
      </c>
      <c r="B46">
        <v>156</v>
      </c>
      <c r="C46">
        <v>932</v>
      </c>
      <c r="D46">
        <v>678</v>
      </c>
      <c r="E46">
        <v>904</v>
      </c>
      <c r="G46">
        <v>0.20026786625601645</v>
      </c>
      <c r="H46">
        <v>0.19201807453290809</v>
      </c>
      <c r="I46">
        <v>0.30767382757210138</v>
      </c>
      <c r="K46">
        <v>0.23331992278700864</v>
      </c>
      <c r="M46">
        <f t="shared" si="0"/>
        <v>6.4524353026292683E-2</v>
      </c>
    </row>
    <row r="47" spans="1:13">
      <c r="A47">
        <v>37</v>
      </c>
      <c r="B47">
        <v>238</v>
      </c>
      <c r="C47">
        <v>1605</v>
      </c>
      <c r="D47">
        <v>948</v>
      </c>
      <c r="E47">
        <v>1309</v>
      </c>
      <c r="G47">
        <v>0.25287463194087556</v>
      </c>
      <c r="H47">
        <v>0.15414435930186066</v>
      </c>
      <c r="I47">
        <v>0.28499268494544361</v>
      </c>
      <c r="K47">
        <v>0.23067055872939327</v>
      </c>
      <c r="M47">
        <f t="shared" si="0"/>
        <v>6.8191544426841666E-2</v>
      </c>
    </row>
    <row r="48" spans="1:13">
      <c r="A48">
        <v>887</v>
      </c>
      <c r="B48">
        <v>462</v>
      </c>
      <c r="C48">
        <v>2385</v>
      </c>
      <c r="D48">
        <v>2022</v>
      </c>
      <c r="E48">
        <v>2909</v>
      </c>
      <c r="G48">
        <v>0.13682296007650385</v>
      </c>
      <c r="H48">
        <v>0.19505215471916304</v>
      </c>
      <c r="I48">
        <v>0.34373174114213334</v>
      </c>
      <c r="K48">
        <v>0.22520228531260009</v>
      </c>
      <c r="M48">
        <f t="shared" si="0"/>
        <v>0.1066985646652153</v>
      </c>
    </row>
    <row r="49" spans="1:13">
      <c r="A49">
        <v>89</v>
      </c>
      <c r="B49">
        <v>129</v>
      </c>
      <c r="C49">
        <v>658</v>
      </c>
      <c r="D49">
        <v>439</v>
      </c>
      <c r="E49">
        <v>1054</v>
      </c>
      <c r="G49">
        <v>0.13161273557120323</v>
      </c>
      <c r="H49">
        <v>8.5787788963178735E-2</v>
      </c>
      <c r="I49">
        <v>0.45688089602847859</v>
      </c>
      <c r="K49">
        <v>0.22476047352095352</v>
      </c>
      <c r="M49">
        <f t="shared" si="0"/>
        <v>0.20232374883268409</v>
      </c>
    </row>
    <row r="50" spans="1:13">
      <c r="A50">
        <v>211</v>
      </c>
      <c r="B50">
        <v>122</v>
      </c>
      <c r="C50">
        <v>693</v>
      </c>
      <c r="D50">
        <v>626</v>
      </c>
      <c r="E50">
        <v>591</v>
      </c>
      <c r="G50">
        <v>0.1783499561935552</v>
      </c>
      <c r="H50">
        <v>0.26412748155598775</v>
      </c>
      <c r="I50">
        <v>0.22985764565770683</v>
      </c>
      <c r="K50">
        <v>0.22411169446908327</v>
      </c>
      <c r="M50">
        <f t="shared" si="0"/>
        <v>4.3176474272712734E-2</v>
      </c>
    </row>
    <row r="51" spans="1:13">
      <c r="A51">
        <v>465</v>
      </c>
      <c r="B51">
        <v>134</v>
      </c>
      <c r="C51">
        <v>719</v>
      </c>
      <c r="D51">
        <v>611</v>
      </c>
      <c r="E51">
        <v>754</v>
      </c>
      <c r="G51">
        <v>0.15360064427457165</v>
      </c>
      <c r="H51">
        <v>0.21284939089805299</v>
      </c>
      <c r="I51">
        <v>0.29489654295616607</v>
      </c>
      <c r="K51">
        <v>0.22044885937626357</v>
      </c>
      <c r="M51">
        <f t="shared" si="0"/>
        <v>7.0953834899343787E-2</v>
      </c>
    </row>
    <row r="52" spans="1:13">
      <c r="A52">
        <v>362</v>
      </c>
      <c r="B52">
        <v>162</v>
      </c>
      <c r="C52">
        <v>934</v>
      </c>
      <c r="D52">
        <v>779</v>
      </c>
      <c r="E52">
        <v>804</v>
      </c>
      <c r="G52">
        <v>0.18480841394395908</v>
      </c>
      <c r="H52">
        <v>0.23593542215023977</v>
      </c>
      <c r="I52">
        <v>0.24037102965702006</v>
      </c>
      <c r="K52">
        <v>0.22037162191707296</v>
      </c>
      <c r="M52">
        <f t="shared" si="0"/>
        <v>3.0878390089069962E-2</v>
      </c>
    </row>
    <row r="53" spans="1:13">
      <c r="A53">
        <v>418</v>
      </c>
      <c r="B53">
        <v>258</v>
      </c>
      <c r="C53">
        <v>1268</v>
      </c>
      <c r="D53">
        <v>1322</v>
      </c>
      <c r="E53">
        <v>1283</v>
      </c>
      <c r="G53">
        <v>0.11547609983898033</v>
      </c>
      <c r="H53">
        <v>0.26352472820669759</v>
      </c>
      <c r="I53">
        <v>0.24123694586289801</v>
      </c>
      <c r="K53">
        <v>0.20674592463619199</v>
      </c>
      <c r="M53">
        <f t="shared" si="0"/>
        <v>7.9823693220349268E-2</v>
      </c>
    </row>
    <row r="54" spans="1:13">
      <c r="A54">
        <v>115</v>
      </c>
      <c r="B54">
        <v>173</v>
      </c>
      <c r="C54">
        <v>798</v>
      </c>
      <c r="D54">
        <v>818</v>
      </c>
      <c r="E54">
        <v>902</v>
      </c>
      <c r="G54">
        <v>8.793334047843071E-2</v>
      </c>
      <c r="H54">
        <v>0.22862017956283387</v>
      </c>
      <c r="I54">
        <v>0.26179042986434609</v>
      </c>
      <c r="K54">
        <v>0.19278131663520356</v>
      </c>
      <c r="M54">
        <f t="shared" si="0"/>
        <v>9.2303249966589201E-2</v>
      </c>
    </row>
    <row r="55" spans="1:13">
      <c r="A55">
        <v>489</v>
      </c>
      <c r="B55">
        <v>35</v>
      </c>
      <c r="C55">
        <v>158</v>
      </c>
      <c r="D55">
        <v>171</v>
      </c>
      <c r="E55">
        <v>177</v>
      </c>
      <c r="G55">
        <v>7.8565594860643628E-2</v>
      </c>
      <c r="H55">
        <v>0.24284104506218462</v>
      </c>
      <c r="I55">
        <v>0.24853521746273066</v>
      </c>
      <c r="K55">
        <v>0.18998061912851963</v>
      </c>
      <c r="M55">
        <f t="shared" si="0"/>
        <v>9.6530236839501973E-2</v>
      </c>
    </row>
    <row r="56" spans="1:13">
      <c r="A56">
        <v>270</v>
      </c>
      <c r="B56">
        <v>350</v>
      </c>
      <c r="C56">
        <v>1438</v>
      </c>
      <c r="D56">
        <v>2574</v>
      </c>
      <c r="E56">
        <v>1171</v>
      </c>
      <c r="G56">
        <v>3.7667393953084827E-2</v>
      </c>
      <c r="H56">
        <v>0.42045347723839854</v>
      </c>
      <c r="I56">
        <v>6.9118846173287229E-2</v>
      </c>
      <c r="K56">
        <v>0.17574657245492353</v>
      </c>
      <c r="M56">
        <f t="shared" si="0"/>
        <v>0.21250505970028444</v>
      </c>
    </row>
    <row r="57" spans="1:13">
      <c r="A57">
        <v>764</v>
      </c>
      <c r="B57">
        <v>449</v>
      </c>
      <c r="C57">
        <v>2144</v>
      </c>
      <c r="D57">
        <v>2193</v>
      </c>
      <c r="E57">
        <v>1816</v>
      </c>
      <c r="G57">
        <v>0.10295499227390592</v>
      </c>
      <c r="H57">
        <v>0.24270526969450612</v>
      </c>
      <c r="I57">
        <v>0.15149949863294287</v>
      </c>
      <c r="K57">
        <v>0.16571992020045165</v>
      </c>
      <c r="M57">
        <f t="shared" si="0"/>
        <v>7.0952098643746478E-2</v>
      </c>
    </row>
    <row r="58" spans="1:13">
      <c r="A58">
        <v>815</v>
      </c>
      <c r="B58">
        <v>99</v>
      </c>
      <c r="C58">
        <v>419</v>
      </c>
      <c r="D58">
        <v>495</v>
      </c>
      <c r="E58">
        <v>433</v>
      </c>
      <c r="G58">
        <v>5.0555380625242119E-2</v>
      </c>
      <c r="H58">
        <v>0.2528829833563252</v>
      </c>
      <c r="I58">
        <v>0.18548269720701527</v>
      </c>
      <c r="K58">
        <v>0.16297368706286086</v>
      </c>
      <c r="M58">
        <f t="shared" si="0"/>
        <v>0.10302478517317559</v>
      </c>
    </row>
    <row r="59" spans="1:13">
      <c r="A59">
        <v>850</v>
      </c>
      <c r="B59">
        <v>210</v>
      </c>
      <c r="C59">
        <v>1005</v>
      </c>
      <c r="D59">
        <v>784</v>
      </c>
      <c r="E59">
        <v>1042</v>
      </c>
      <c r="G59">
        <v>0.10392331927908505</v>
      </c>
      <c r="H59">
        <v>0.12600974697082556</v>
      </c>
      <c r="I59">
        <v>0.24027841968078612</v>
      </c>
      <c r="K59">
        <v>0.15673716197689891</v>
      </c>
      <c r="M59">
        <f t="shared" si="0"/>
        <v>7.3186808074311369E-2</v>
      </c>
    </row>
    <row r="60" spans="1:13">
      <c r="A60">
        <v>260</v>
      </c>
      <c r="B60">
        <v>320</v>
      </c>
      <c r="C60">
        <v>1688</v>
      </c>
      <c r="D60">
        <v>1215</v>
      </c>
      <c r="E60">
        <v>1376</v>
      </c>
      <c r="G60">
        <v>0.146199016226227</v>
      </c>
      <c r="H60">
        <v>0.13333927863473138</v>
      </c>
      <c r="I60">
        <v>0.17809845103078625</v>
      </c>
      <c r="K60">
        <v>0.15254558196391488</v>
      </c>
      <c r="M60">
        <f t="shared" si="0"/>
        <v>2.304463171526135E-2</v>
      </c>
    </row>
    <row r="61" spans="1:13">
      <c r="A61">
        <v>529</v>
      </c>
      <c r="B61">
        <v>111</v>
      </c>
      <c r="C61">
        <v>561</v>
      </c>
      <c r="D61">
        <v>399</v>
      </c>
      <c r="E61">
        <v>453</v>
      </c>
      <c r="G61">
        <v>0.1276164347260007</v>
      </c>
      <c r="H61">
        <v>0.10956289592039714</v>
      </c>
      <c r="I61">
        <v>0.15540521867737411</v>
      </c>
      <c r="K61">
        <v>0.13086151644125732</v>
      </c>
      <c r="M61">
        <f t="shared" si="0"/>
        <v>2.3092803109253077E-2</v>
      </c>
    </row>
    <row r="62" spans="1:13">
      <c r="A62">
        <v>47</v>
      </c>
      <c r="B62">
        <v>369</v>
      </c>
      <c r="C62">
        <v>1702</v>
      </c>
      <c r="D62">
        <v>1581</v>
      </c>
      <c r="E62">
        <v>1371</v>
      </c>
      <c r="G62">
        <v>8.7909741846005307E-2</v>
      </c>
      <c r="H62">
        <v>0.18581848279345503</v>
      </c>
      <c r="I62">
        <v>0.11464108408165197</v>
      </c>
      <c r="K62">
        <v>0.12945643624037076</v>
      </c>
      <c r="M62">
        <f t="shared" si="0"/>
        <v>5.0607819387608881E-2</v>
      </c>
    </row>
    <row r="63" spans="1:13">
      <c r="A63">
        <v>294</v>
      </c>
      <c r="B63">
        <v>128</v>
      </c>
      <c r="C63">
        <v>619</v>
      </c>
      <c r="D63">
        <v>503</v>
      </c>
      <c r="E63">
        <v>483</v>
      </c>
      <c r="G63">
        <v>0.10845723162874632</v>
      </c>
      <c r="H63">
        <v>0.14827099442836533</v>
      </c>
      <c r="I63">
        <v>0.12136715655484354</v>
      </c>
      <c r="K63">
        <v>0.12603179420398505</v>
      </c>
      <c r="M63">
        <f t="shared" si="0"/>
        <v>2.031263302391936E-2</v>
      </c>
    </row>
    <row r="64" spans="1:13">
      <c r="A64">
        <v>36</v>
      </c>
      <c r="B64">
        <v>365</v>
      </c>
      <c r="C64">
        <v>1489</v>
      </c>
      <c r="D64">
        <v>1451</v>
      </c>
      <c r="E64">
        <v>1443</v>
      </c>
      <c r="G64">
        <v>3.4578385552198165E-2</v>
      </c>
      <c r="H64">
        <v>0.15328752700156756</v>
      </c>
      <c r="I64">
        <v>0.14160346208821928</v>
      </c>
      <c r="K64">
        <v>0.10982312488066166</v>
      </c>
      <c r="M64">
        <f t="shared" si="0"/>
        <v>6.5425204934192974E-2</v>
      </c>
    </row>
    <row r="65" spans="1:13">
      <c r="A65">
        <v>190</v>
      </c>
      <c r="B65">
        <v>113</v>
      </c>
      <c r="C65">
        <v>533</v>
      </c>
      <c r="D65">
        <v>357</v>
      </c>
      <c r="E65">
        <v>484</v>
      </c>
      <c r="G65">
        <v>9.7625317799649114E-2</v>
      </c>
      <c r="H65">
        <v>5.3502751649079805E-2</v>
      </c>
      <c r="I65">
        <v>0.17639691361219256</v>
      </c>
      <c r="K65">
        <v>0.10917499435364049</v>
      </c>
      <c r="M65">
        <f t="shared" si="0"/>
        <v>6.2255843360525705E-2</v>
      </c>
    </row>
    <row r="66" spans="1:13">
      <c r="A66">
        <v>159</v>
      </c>
      <c r="B66">
        <v>158</v>
      </c>
      <c r="C66">
        <v>672</v>
      </c>
      <c r="D66">
        <v>671</v>
      </c>
      <c r="E66">
        <v>539</v>
      </c>
      <c r="G66">
        <v>5.2688738355899267E-2</v>
      </c>
      <c r="H66">
        <v>0.18197841223487587</v>
      </c>
      <c r="I66">
        <v>7.7561673683515853E-2</v>
      </c>
      <c r="K66">
        <v>0.104076274758097</v>
      </c>
      <c r="M66">
        <f t="shared" si="0"/>
        <v>6.8601916850341504E-2</v>
      </c>
    </row>
    <row r="67" spans="1:13">
      <c r="A67">
        <v>470</v>
      </c>
      <c r="B67">
        <v>214</v>
      </c>
      <c r="C67">
        <v>946</v>
      </c>
      <c r="D67">
        <v>738</v>
      </c>
      <c r="E67">
        <v>856</v>
      </c>
      <c r="G67">
        <v>6.9453915309098613E-2</v>
      </c>
      <c r="H67">
        <v>9.1555567494157053E-2</v>
      </c>
      <c r="I67">
        <v>0.14668998677916212</v>
      </c>
      <c r="K67">
        <v>0.10256648986080592</v>
      </c>
      <c r="M67">
        <f t="shared" ref="M67:M130" si="1">STDEV(G67:I67)</f>
        <v>3.9777920917959821E-2</v>
      </c>
    </row>
    <row r="68" spans="1:13">
      <c r="A68">
        <v>479</v>
      </c>
      <c r="B68">
        <v>173</v>
      </c>
      <c r="C68">
        <v>753</v>
      </c>
      <c r="D68">
        <v>608</v>
      </c>
      <c r="E68">
        <v>642</v>
      </c>
      <c r="G68">
        <v>6.2725425328401863E-2</v>
      </c>
      <c r="H68">
        <v>9.9770455164245875E-2</v>
      </c>
      <c r="I68">
        <v>0.11411892039125759</v>
      </c>
      <c r="K68">
        <v>9.2204933627968444E-2</v>
      </c>
      <c r="M68">
        <f t="shared" si="1"/>
        <v>2.6518873859590144E-2</v>
      </c>
    </row>
    <row r="69" spans="1:13">
      <c r="A69">
        <v>227</v>
      </c>
      <c r="B69">
        <v>195</v>
      </c>
      <c r="C69">
        <v>741</v>
      </c>
      <c r="D69">
        <v>641</v>
      </c>
      <c r="E69">
        <v>839</v>
      </c>
      <c r="G69">
        <v>3.7601488733067789E-3</v>
      </c>
      <c r="H69">
        <v>7.0736397176605736E-2</v>
      </c>
      <c r="I69">
        <v>0.17835734491738198</v>
      </c>
      <c r="K69">
        <v>8.4284630322431497E-2</v>
      </c>
      <c r="M69">
        <f t="shared" si="1"/>
        <v>8.8083546605728508E-2</v>
      </c>
    </row>
    <row r="70" spans="1:13">
      <c r="A70">
        <v>14</v>
      </c>
      <c r="B70">
        <v>86</v>
      </c>
      <c r="C70">
        <v>291</v>
      </c>
      <c r="D70">
        <v>354</v>
      </c>
      <c r="E70">
        <v>327</v>
      </c>
      <c r="G70">
        <v>-4.6628910001163759E-2</v>
      </c>
      <c r="H70">
        <v>0.16841778980252642</v>
      </c>
      <c r="I70">
        <v>0.12467929686791812</v>
      </c>
      <c r="K70">
        <v>8.2156058889760256E-2</v>
      </c>
      <c r="M70">
        <f t="shared" si="1"/>
        <v>0.11365491674461294</v>
      </c>
    </row>
    <row r="71" spans="1:13">
      <c r="A71">
        <v>257</v>
      </c>
      <c r="B71">
        <v>66</v>
      </c>
      <c r="C71">
        <v>222</v>
      </c>
      <c r="D71">
        <v>258</v>
      </c>
      <c r="E71">
        <v>262</v>
      </c>
      <c r="G71">
        <v>-4.9214408834733381E-2</v>
      </c>
      <c r="H71">
        <v>0.14598874944166784</v>
      </c>
      <c r="I71">
        <v>0.14338735122907653</v>
      </c>
      <c r="K71">
        <v>8.0053897278670336E-2</v>
      </c>
      <c r="M71">
        <f t="shared" si="1"/>
        <v>0.11195719290084315</v>
      </c>
    </row>
    <row r="72" spans="1:13">
      <c r="A72">
        <v>22</v>
      </c>
      <c r="B72">
        <v>171</v>
      </c>
      <c r="C72">
        <v>703</v>
      </c>
      <c r="D72">
        <v>577</v>
      </c>
      <c r="E72">
        <v>585</v>
      </c>
      <c r="G72">
        <v>3.7935766884166777E-2</v>
      </c>
      <c r="H72">
        <v>8.2092681783883958E-2</v>
      </c>
      <c r="I72">
        <v>7.8789751141226327E-2</v>
      </c>
      <c r="K72">
        <v>6.6272733269759021E-2</v>
      </c>
      <c r="M72">
        <f t="shared" si="1"/>
        <v>2.4596038007394398E-2</v>
      </c>
    </row>
    <row r="73" spans="1:13">
      <c r="A73">
        <v>859</v>
      </c>
      <c r="B73">
        <v>95</v>
      </c>
      <c r="C73">
        <v>354</v>
      </c>
      <c r="D73">
        <v>309</v>
      </c>
      <c r="E73">
        <v>359</v>
      </c>
      <c r="G73">
        <v>-4.7437910065633027E-3</v>
      </c>
      <c r="H73">
        <v>6.6147853156293235E-2</v>
      </c>
      <c r="I73">
        <v>0.12200083874067114</v>
      </c>
      <c r="K73">
        <v>6.113496696346702E-2</v>
      </c>
      <c r="M73">
        <f t="shared" si="1"/>
        <v>6.3520839599516918E-2</v>
      </c>
    </row>
    <row r="74" spans="1:13">
      <c r="A74">
        <v>534</v>
      </c>
      <c r="B74">
        <v>134</v>
      </c>
      <c r="C74">
        <v>560</v>
      </c>
      <c r="D74">
        <v>376</v>
      </c>
      <c r="E74">
        <v>504</v>
      </c>
      <c r="G74">
        <v>4.5059780897889423E-2</v>
      </c>
      <c r="H74">
        <v>1.9960255831597551E-3</v>
      </c>
      <c r="I74">
        <v>0.11995573353191735</v>
      </c>
      <c r="K74">
        <v>5.5670513337655513E-2</v>
      </c>
      <c r="M74">
        <f t="shared" si="1"/>
        <v>5.9691405637832602E-2</v>
      </c>
    </row>
    <row r="75" spans="1:13">
      <c r="A75">
        <v>387</v>
      </c>
      <c r="B75">
        <v>128</v>
      </c>
      <c r="C75">
        <v>464</v>
      </c>
      <c r="D75">
        <v>381</v>
      </c>
      <c r="E75">
        <v>494</v>
      </c>
      <c r="G75">
        <v>-1.6715436836490793E-2</v>
      </c>
      <c r="H75">
        <v>2.7627985048057302E-2</v>
      </c>
      <c r="I75">
        <v>0.13114697472697823</v>
      </c>
      <c r="K75">
        <v>4.7353174312848245E-2</v>
      </c>
      <c r="M75">
        <f t="shared" si="1"/>
        <v>7.5879084779602091E-2</v>
      </c>
    </row>
    <row r="76" spans="1:13">
      <c r="A76">
        <v>766</v>
      </c>
      <c r="B76">
        <v>331</v>
      </c>
      <c r="C76">
        <v>1095</v>
      </c>
      <c r="D76">
        <v>1214</v>
      </c>
      <c r="E76">
        <v>1130</v>
      </c>
      <c r="G76">
        <v>-5.6437322343084961E-2</v>
      </c>
      <c r="H76">
        <v>0.11830367198382641</v>
      </c>
      <c r="I76">
        <v>7.7880445158900691E-2</v>
      </c>
      <c r="K76">
        <v>4.6582264933214046E-2</v>
      </c>
      <c r="M76">
        <f t="shared" si="1"/>
        <v>9.1478335351432197E-2</v>
      </c>
    </row>
    <row r="77" spans="1:13">
      <c r="A77">
        <v>512</v>
      </c>
      <c r="B77">
        <v>186</v>
      </c>
      <c r="C77">
        <v>609</v>
      </c>
      <c r="D77">
        <v>582</v>
      </c>
      <c r="E77">
        <v>739</v>
      </c>
      <c r="G77">
        <v>-6.0919099328544224E-2</v>
      </c>
      <c r="H77">
        <v>4.9323019452278516E-2</v>
      </c>
      <c r="I77">
        <v>0.1437614896281092</v>
      </c>
      <c r="K77">
        <v>4.4055136583947829E-2</v>
      </c>
      <c r="M77">
        <f t="shared" si="1"/>
        <v>0.10244192899563376</v>
      </c>
    </row>
    <row r="78" spans="1:13">
      <c r="A78">
        <v>88</v>
      </c>
      <c r="B78">
        <v>189</v>
      </c>
      <c r="C78">
        <v>670</v>
      </c>
      <c r="D78">
        <v>513</v>
      </c>
      <c r="E78">
        <v>788</v>
      </c>
      <c r="G78">
        <v>-2.6410449215921061E-2</v>
      </c>
      <c r="H78">
        <v>-1.24314600411215E-2</v>
      </c>
      <c r="I78">
        <v>0.16469440876751085</v>
      </c>
      <c r="K78">
        <v>4.1950833170156097E-2</v>
      </c>
      <c r="M78">
        <f t="shared" si="1"/>
        <v>0.1065285973220569</v>
      </c>
    </row>
    <row r="79" spans="1:13">
      <c r="A79">
        <v>259</v>
      </c>
      <c r="B79">
        <v>333</v>
      </c>
      <c r="C79">
        <v>1159</v>
      </c>
      <c r="D79">
        <v>1241</v>
      </c>
      <c r="E79">
        <v>982</v>
      </c>
      <c r="G79">
        <v>-3.4384245286227189E-2</v>
      </c>
      <c r="H79">
        <v>0.12524052701271626</v>
      </c>
      <c r="I79">
        <v>1.4297249731829498E-2</v>
      </c>
      <c r="K79">
        <v>3.505117715277286E-2</v>
      </c>
      <c r="M79">
        <f t="shared" si="1"/>
        <v>8.1811130724478598E-2</v>
      </c>
    </row>
    <row r="80" spans="1:13">
      <c r="A80">
        <v>757</v>
      </c>
      <c r="B80">
        <v>147</v>
      </c>
      <c r="C80">
        <v>559</v>
      </c>
      <c r="D80">
        <v>376</v>
      </c>
      <c r="E80">
        <v>567</v>
      </c>
      <c r="G80">
        <v>4.0710253947439101E-3</v>
      </c>
      <c r="H80">
        <v>-3.8216510800208658E-2</v>
      </c>
      <c r="I80">
        <v>0.13089571959593016</v>
      </c>
      <c r="K80">
        <v>3.2250078063488473E-2</v>
      </c>
      <c r="M80">
        <f t="shared" si="1"/>
        <v>8.8007277394372876E-2</v>
      </c>
    </row>
    <row r="81" spans="1:13">
      <c r="A81">
        <v>230</v>
      </c>
      <c r="B81">
        <v>123</v>
      </c>
      <c r="C81">
        <v>406</v>
      </c>
      <c r="D81">
        <v>331</v>
      </c>
      <c r="E81">
        <v>496</v>
      </c>
      <c r="G81">
        <v>-5.7402525605707133E-2</v>
      </c>
      <c r="H81">
        <v>-1.616413864337285E-2</v>
      </c>
      <c r="I81">
        <v>0.15020656050199921</v>
      </c>
      <c r="K81">
        <v>2.5546632084306409E-2</v>
      </c>
      <c r="M81">
        <f t="shared" si="1"/>
        <v>0.10991007440012961</v>
      </c>
    </row>
    <row r="82" spans="1:13">
      <c r="A82">
        <v>32</v>
      </c>
      <c r="B82">
        <v>87</v>
      </c>
      <c r="C82">
        <v>345</v>
      </c>
      <c r="D82">
        <v>255</v>
      </c>
      <c r="E82">
        <v>259</v>
      </c>
      <c r="G82">
        <v>2.2276394711152281E-2</v>
      </c>
      <c r="H82">
        <v>2.0933906835642946E-2</v>
      </c>
      <c r="I82">
        <v>1.8410506913833002E-2</v>
      </c>
      <c r="K82">
        <v>2.0540269486876078E-2</v>
      </c>
      <c r="M82">
        <f t="shared" si="1"/>
        <v>1.9627747927675461E-3</v>
      </c>
    </row>
    <row r="83" spans="1:13">
      <c r="A83">
        <v>900</v>
      </c>
      <c r="B83">
        <v>261</v>
      </c>
      <c r="C83">
        <v>838</v>
      </c>
      <c r="D83">
        <v>884</v>
      </c>
      <c r="E83">
        <v>810</v>
      </c>
      <c r="G83">
        <v>-6.9419936451507791E-2</v>
      </c>
      <c r="H83">
        <v>8.3724736695098501E-2</v>
      </c>
      <c r="I83">
        <v>3.6474506991568512E-2</v>
      </c>
      <c r="K83">
        <v>1.6926435745053075E-2</v>
      </c>
      <c r="M83">
        <f t="shared" si="1"/>
        <v>7.8421413181537031E-2</v>
      </c>
    </row>
    <row r="84" spans="1:13">
      <c r="A84">
        <v>246</v>
      </c>
      <c r="B84">
        <v>278</v>
      </c>
      <c r="C84">
        <v>829</v>
      </c>
      <c r="D84">
        <v>930</v>
      </c>
      <c r="E84">
        <v>914</v>
      </c>
      <c r="G84">
        <v>-0.10151371311130603</v>
      </c>
      <c r="H84">
        <v>7.8351131656165141E-2</v>
      </c>
      <c r="I84">
        <v>6.1531395266954836E-2</v>
      </c>
      <c r="K84">
        <v>1.2789604603937984E-2</v>
      </c>
      <c r="M84">
        <f t="shared" si="1"/>
        <v>9.9346173623268669E-2</v>
      </c>
    </row>
    <row r="85" spans="1:13">
      <c r="A85">
        <v>809</v>
      </c>
      <c r="B85">
        <v>381</v>
      </c>
      <c r="C85">
        <v>1315</v>
      </c>
      <c r="D85">
        <v>991</v>
      </c>
      <c r="E85">
        <v>1350</v>
      </c>
      <c r="G85">
        <v>-3.8022670593345964E-2</v>
      </c>
      <c r="H85">
        <v>-3.0938342170037603E-2</v>
      </c>
      <c r="I85">
        <v>9.4038788270586537E-2</v>
      </c>
      <c r="K85">
        <v>8.3592585024009902E-3</v>
      </c>
      <c r="M85">
        <f t="shared" si="1"/>
        <v>7.4285148537748577E-2</v>
      </c>
    </row>
    <row r="86" spans="1:13">
      <c r="A86">
        <v>380</v>
      </c>
      <c r="B86">
        <v>65</v>
      </c>
      <c r="C86">
        <v>193</v>
      </c>
      <c r="D86">
        <v>258</v>
      </c>
      <c r="E86">
        <v>174</v>
      </c>
      <c r="G86">
        <v>-0.10337949537858515</v>
      </c>
      <c r="H86">
        <v>0.15261932834068093</v>
      </c>
      <c r="I86">
        <v>-2.7734112909056141E-2</v>
      </c>
      <c r="K86">
        <v>7.1685733510132117E-3</v>
      </c>
      <c r="M86">
        <f t="shared" si="1"/>
        <v>0.13151995121478183</v>
      </c>
    </row>
    <row r="87" spans="1:13">
      <c r="A87">
        <v>763</v>
      </c>
      <c r="B87">
        <v>177</v>
      </c>
      <c r="C87">
        <v>616</v>
      </c>
      <c r="D87">
        <v>464</v>
      </c>
      <c r="E87">
        <v>608</v>
      </c>
      <c r="G87">
        <v>-3.4416001940884566E-2</v>
      </c>
      <c r="H87">
        <v>-2.7542306786619453E-2</v>
      </c>
      <c r="I87">
        <v>8.0560308362128019E-2</v>
      </c>
      <c r="K87">
        <v>6.2006665448746667E-3</v>
      </c>
      <c r="M87">
        <f t="shared" si="1"/>
        <v>6.4488984870759922E-2</v>
      </c>
    </row>
    <row r="88" spans="1:13">
      <c r="A88">
        <v>254</v>
      </c>
      <c r="B88">
        <v>203</v>
      </c>
      <c r="C88">
        <v>671</v>
      </c>
      <c r="D88">
        <v>522</v>
      </c>
      <c r="E88">
        <v>722</v>
      </c>
      <c r="G88">
        <v>-5.6796965487724171E-2</v>
      </c>
      <c r="H88">
        <v>-3.5912555890644404E-2</v>
      </c>
      <c r="I88">
        <v>9.5671155107625916E-2</v>
      </c>
      <c r="K88">
        <v>9.8721124308578001E-4</v>
      </c>
      <c r="M88">
        <f t="shared" si="1"/>
        <v>8.2660913135303493E-2</v>
      </c>
    </row>
    <row r="89" spans="1:13">
      <c r="A89">
        <v>801</v>
      </c>
      <c r="B89">
        <v>326</v>
      </c>
      <c r="C89">
        <v>1215</v>
      </c>
      <c r="D89">
        <v>935</v>
      </c>
      <c r="E89">
        <v>917</v>
      </c>
      <c r="G89">
        <v>-4.6647698771113966E-3</v>
      </c>
      <c r="H89">
        <v>1.1506989824885128E-2</v>
      </c>
      <c r="I89">
        <v>-6.2182689467181751E-3</v>
      </c>
      <c r="K89">
        <v>2.0798366701851867E-4</v>
      </c>
      <c r="M89">
        <f t="shared" si="1"/>
        <v>9.8160070780561239E-3</v>
      </c>
    </row>
    <row r="90" spans="1:13">
      <c r="A90" t="s">
        <v>7</v>
      </c>
      <c r="B90">
        <v>116</v>
      </c>
      <c r="C90">
        <v>437</v>
      </c>
      <c r="D90">
        <v>324</v>
      </c>
      <c r="E90">
        <v>331</v>
      </c>
      <c r="G90">
        <v>0</v>
      </c>
      <c r="H90">
        <v>0</v>
      </c>
      <c r="I90">
        <v>0</v>
      </c>
      <c r="K90">
        <v>0</v>
      </c>
      <c r="M90">
        <f t="shared" si="1"/>
        <v>0</v>
      </c>
    </row>
    <row r="91" spans="1:13">
      <c r="A91">
        <v>293</v>
      </c>
      <c r="B91">
        <v>116</v>
      </c>
      <c r="C91">
        <v>500</v>
      </c>
      <c r="D91">
        <v>316</v>
      </c>
      <c r="E91">
        <v>290</v>
      </c>
      <c r="G91">
        <v>5.8488567365597044E-2</v>
      </c>
      <c r="H91">
        <v>-1.085792758820836E-2</v>
      </c>
      <c r="I91">
        <v>-5.7429995876762674E-2</v>
      </c>
      <c r="K91">
        <v>-3.2664520331246636E-3</v>
      </c>
      <c r="M91">
        <f t="shared" si="1"/>
        <v>5.833096263452895E-2</v>
      </c>
    </row>
    <row r="92" spans="1:13">
      <c r="A92">
        <v>869</v>
      </c>
      <c r="B92">
        <v>224</v>
      </c>
      <c r="C92">
        <v>706</v>
      </c>
      <c r="D92">
        <v>604</v>
      </c>
      <c r="E92">
        <v>718</v>
      </c>
      <c r="G92">
        <v>-7.7466765025862361E-2</v>
      </c>
      <c r="H92">
        <v>-1.5298100692724637E-2</v>
      </c>
      <c r="I92">
        <v>5.050642135933725E-2</v>
      </c>
      <c r="K92">
        <v>-1.4086148119749916E-2</v>
      </c>
      <c r="M92">
        <f t="shared" si="1"/>
        <v>6.3995200837051944E-2</v>
      </c>
    </row>
    <row r="93" spans="1:13">
      <c r="A93">
        <v>124</v>
      </c>
      <c r="B93">
        <v>70</v>
      </c>
      <c r="C93">
        <v>200</v>
      </c>
      <c r="D93">
        <v>218</v>
      </c>
      <c r="E93">
        <v>203</v>
      </c>
      <c r="G93">
        <v>-0.12009149209377895</v>
      </c>
      <c r="H93">
        <v>4.7271432610654363E-2</v>
      </c>
      <c r="I93">
        <v>7.0279933501558034E-3</v>
      </c>
      <c r="K93">
        <v>-2.1930688710989594E-2</v>
      </c>
      <c r="M93">
        <f t="shared" si="1"/>
        <v>8.7358692134465538E-2</v>
      </c>
    </row>
    <row r="94" spans="1:13">
      <c r="A94">
        <v>838</v>
      </c>
      <c r="B94">
        <v>130</v>
      </c>
      <c r="C94">
        <v>512</v>
      </c>
      <c r="D94">
        <v>346</v>
      </c>
      <c r="E94">
        <v>319</v>
      </c>
      <c r="G94">
        <v>1.930316092549067E-2</v>
      </c>
      <c r="H94">
        <v>-2.0954274493753866E-2</v>
      </c>
      <c r="I94">
        <v>-6.5522673798455888E-2</v>
      </c>
      <c r="K94">
        <v>-2.2391262455573029E-2</v>
      </c>
      <c r="M94">
        <f t="shared" si="1"/>
        <v>4.243117085298713E-2</v>
      </c>
    </row>
    <row r="95" spans="1:13">
      <c r="A95">
        <v>129</v>
      </c>
      <c r="B95">
        <v>65</v>
      </c>
      <c r="C95">
        <v>190</v>
      </c>
      <c r="D95">
        <v>190</v>
      </c>
      <c r="E95">
        <v>180</v>
      </c>
      <c r="G95">
        <v>-0.11018320343353</v>
      </c>
      <c r="H95">
        <v>1.9753223330279679E-2</v>
      </c>
      <c r="I95">
        <v>-1.3010856088349787E-2</v>
      </c>
      <c r="K95">
        <v>-3.4480278730533366E-2</v>
      </c>
      <c r="M95">
        <f t="shared" si="1"/>
        <v>6.7576407358472729E-2</v>
      </c>
    </row>
    <row r="96" spans="1:13">
      <c r="A96">
        <v>198</v>
      </c>
      <c r="B96">
        <v>91</v>
      </c>
      <c r="C96">
        <v>269</v>
      </c>
      <c r="D96">
        <v>255</v>
      </c>
      <c r="E96">
        <v>224</v>
      </c>
      <c r="G96">
        <v>-0.10531256006218892</v>
      </c>
      <c r="H96">
        <v>1.4117671331678738E-3</v>
      </c>
      <c r="I96">
        <v>-6.4163378535731064E-2</v>
      </c>
      <c r="K96">
        <v>-5.6021390488250701E-2</v>
      </c>
      <c r="M96">
        <f t="shared" si="1"/>
        <v>5.3826011192074953E-2</v>
      </c>
    </row>
    <row r="97" spans="1:13">
      <c r="A97">
        <v>839</v>
      </c>
      <c r="B97">
        <v>119</v>
      </c>
      <c r="C97">
        <v>355</v>
      </c>
      <c r="D97">
        <v>369</v>
      </c>
      <c r="E97">
        <v>254</v>
      </c>
      <c r="G97">
        <v>-0.10134205608093999</v>
      </c>
      <c r="H97">
        <v>4.5392383786835966E-2</v>
      </c>
      <c r="I97">
        <v>-0.12608324932139298</v>
      </c>
      <c r="K97">
        <v>-6.0677640538499E-2</v>
      </c>
      <c r="M97">
        <f t="shared" si="1"/>
        <v>9.2688560275921983E-2</v>
      </c>
    </row>
    <row r="98" spans="1:13">
      <c r="A98">
        <v>873</v>
      </c>
      <c r="B98">
        <v>110</v>
      </c>
      <c r="C98">
        <v>309</v>
      </c>
      <c r="D98">
        <v>292</v>
      </c>
      <c r="E98">
        <v>277</v>
      </c>
      <c r="G98">
        <v>-0.12745765347689375</v>
      </c>
      <c r="H98">
        <v>-2.20968546895004E-2</v>
      </c>
      <c r="I98">
        <v>-5.4282920642576782E-2</v>
      </c>
      <c r="K98">
        <v>-6.7945809602990306E-2</v>
      </c>
      <c r="M98">
        <f t="shared" si="1"/>
        <v>5.399287343101717E-2</v>
      </c>
    </row>
    <row r="99" spans="1:13">
      <c r="A99">
        <v>542</v>
      </c>
      <c r="B99">
        <v>100</v>
      </c>
      <c r="C99">
        <v>385</v>
      </c>
      <c r="D99">
        <v>191</v>
      </c>
      <c r="E99">
        <v>254</v>
      </c>
      <c r="G99">
        <v>9.4372817649973628E-3</v>
      </c>
      <c r="H99">
        <v>-0.16505365373196612</v>
      </c>
      <c r="I99">
        <v>-5.0536287928862222E-2</v>
      </c>
      <c r="K99">
        <v>-6.8717553298610332E-2</v>
      </c>
      <c r="M99">
        <f t="shared" si="1"/>
        <v>8.8654895242650134E-2</v>
      </c>
    </row>
    <row r="100" spans="1:13">
      <c r="A100">
        <v>810</v>
      </c>
      <c r="B100">
        <v>209</v>
      </c>
      <c r="C100">
        <v>466</v>
      </c>
      <c r="D100">
        <v>691</v>
      </c>
      <c r="E100">
        <v>504</v>
      </c>
      <c r="G100">
        <v>-0.2277838171645572</v>
      </c>
      <c r="H100">
        <v>7.3244740283450738E-2</v>
      </c>
      <c r="I100">
        <v>-7.3085754214328946E-2</v>
      </c>
      <c r="K100">
        <v>-7.587494369847847E-2</v>
      </c>
      <c r="M100">
        <f t="shared" si="1"/>
        <v>0.15053365996776608</v>
      </c>
    </row>
    <row r="101" spans="1:13">
      <c r="A101">
        <v>797</v>
      </c>
      <c r="B101">
        <v>191</v>
      </c>
      <c r="C101">
        <v>582</v>
      </c>
      <c r="D101">
        <v>453</v>
      </c>
      <c r="E101">
        <v>462</v>
      </c>
      <c r="G101">
        <v>-9.2133830341342371E-2</v>
      </c>
      <c r="H101">
        <v>-7.1022186214589389E-2</v>
      </c>
      <c r="I101">
        <v>-7.1761396240402286E-2</v>
      </c>
      <c r="K101">
        <v>-7.8305804265444687E-2</v>
      </c>
      <c r="M101">
        <f t="shared" si="1"/>
        <v>1.1981124184831153E-2</v>
      </c>
    </row>
    <row r="102" spans="1:13">
      <c r="A102">
        <v>789</v>
      </c>
      <c r="B102">
        <v>508</v>
      </c>
      <c r="C102">
        <v>1160</v>
      </c>
      <c r="D102">
        <v>1392</v>
      </c>
      <c r="E102">
        <v>1324</v>
      </c>
      <c r="G102">
        <v>-0.21742917080050411</v>
      </c>
      <c r="H102">
        <v>-8.311497989069605E-3</v>
      </c>
      <c r="I102">
        <v>-3.9345731729038436E-2</v>
      </c>
      <c r="K102">
        <v>-8.8362133506204046E-2</v>
      </c>
      <c r="M102">
        <f t="shared" si="1"/>
        <v>0.11284726847781001</v>
      </c>
    </row>
    <row r="103" spans="1:13">
      <c r="A103">
        <v>908</v>
      </c>
      <c r="B103">
        <v>266</v>
      </c>
      <c r="C103">
        <v>694</v>
      </c>
      <c r="D103">
        <v>591</v>
      </c>
      <c r="E103">
        <v>746</v>
      </c>
      <c r="G103">
        <v>-0.15954561391971545</v>
      </c>
      <c r="H103">
        <v>-9.9381176729505305E-2</v>
      </c>
      <c r="I103">
        <v>-7.5128137071984735E-3</v>
      </c>
      <c r="K103">
        <v>-8.8813201452139737E-2</v>
      </c>
      <c r="M103">
        <f t="shared" si="1"/>
        <v>7.6565362019728175E-2</v>
      </c>
    </row>
    <row r="104" spans="1:13">
      <c r="A104">
        <v>255</v>
      </c>
      <c r="B104">
        <v>179</v>
      </c>
      <c r="C104">
        <v>442</v>
      </c>
      <c r="D104">
        <v>431</v>
      </c>
      <c r="E104">
        <v>486</v>
      </c>
      <c r="G104">
        <v>-0.18345420937430457</v>
      </c>
      <c r="H104">
        <v>-6.4462781798855229E-2</v>
      </c>
      <c r="I104">
        <v>-2.1586766266400048E-2</v>
      </c>
      <c r="K104">
        <v>-8.983458581318661E-2</v>
      </c>
      <c r="M104">
        <f t="shared" si="1"/>
        <v>8.3863362762167507E-2</v>
      </c>
    </row>
    <row r="105" spans="1:13">
      <c r="A105">
        <v>786</v>
      </c>
      <c r="B105">
        <v>65</v>
      </c>
      <c r="C105">
        <v>184</v>
      </c>
      <c r="D105">
        <v>151</v>
      </c>
      <c r="E105">
        <v>154</v>
      </c>
      <c r="G105">
        <v>-0.12411898137682242</v>
      </c>
      <c r="H105">
        <v>-8.0023430329379752E-2</v>
      </c>
      <c r="I105">
        <v>-8.0762640355192761E-2</v>
      </c>
      <c r="K105">
        <v>-9.496835068713165E-2</v>
      </c>
      <c r="M105">
        <f t="shared" si="1"/>
        <v>2.5247892190648744E-2</v>
      </c>
    </row>
    <row r="106" spans="1:13">
      <c r="A106">
        <v>359</v>
      </c>
      <c r="B106">
        <v>162</v>
      </c>
      <c r="C106">
        <v>384</v>
      </c>
      <c r="D106">
        <v>424</v>
      </c>
      <c r="E106">
        <v>402</v>
      </c>
      <c r="G106">
        <v>-0.20120723791860351</v>
      </c>
      <c r="H106">
        <v>-2.823617892959196E-2</v>
      </c>
      <c r="I106">
        <v>-6.065896600696119E-2</v>
      </c>
      <c r="K106">
        <v>-9.6700794285052225E-2</v>
      </c>
      <c r="M106">
        <f t="shared" si="1"/>
        <v>9.1945673368384107E-2</v>
      </c>
    </row>
    <row r="107" spans="1:13">
      <c r="A107">
        <v>408</v>
      </c>
      <c r="B107">
        <v>74</v>
      </c>
      <c r="C107">
        <v>177</v>
      </c>
      <c r="D107">
        <v>182</v>
      </c>
      <c r="E107">
        <v>182</v>
      </c>
      <c r="G107">
        <v>-0.19728190111267285</v>
      </c>
      <c r="H107">
        <v>-5.5247352725595E-2</v>
      </c>
      <c r="I107">
        <v>-6.4530336294701618E-2</v>
      </c>
      <c r="K107">
        <v>-0.10568653004432316</v>
      </c>
      <c r="M107">
        <f t="shared" si="1"/>
        <v>7.9459596316918055E-2</v>
      </c>
    </row>
    <row r="108" spans="1:13">
      <c r="A108">
        <v>725</v>
      </c>
      <c r="B108">
        <v>94</v>
      </c>
      <c r="C108">
        <v>228</v>
      </c>
      <c r="D108">
        <v>191</v>
      </c>
      <c r="E108">
        <v>259</v>
      </c>
      <c r="G108">
        <v>-0.1912164543427482</v>
      </c>
      <c r="H108">
        <v>-0.13818150733166479</v>
      </c>
      <c r="I108">
        <v>-1.5198094067247148E-2</v>
      </c>
      <c r="K108">
        <v>-0.11486535191388671</v>
      </c>
      <c r="M108">
        <f t="shared" si="1"/>
        <v>9.0295892022386665E-2</v>
      </c>
    </row>
    <row r="109" spans="1:13">
      <c r="A109">
        <v>774</v>
      </c>
      <c r="B109">
        <v>288</v>
      </c>
      <c r="C109">
        <v>695</v>
      </c>
      <c r="D109">
        <v>634</v>
      </c>
      <c r="E109">
        <v>728</v>
      </c>
      <c r="G109">
        <v>-0.19343113091262026</v>
      </c>
      <c r="H109">
        <v>-0.10339025085719183</v>
      </c>
      <c r="I109">
        <v>-5.2631112994993956E-2</v>
      </c>
      <c r="K109">
        <v>-0.11648416492160202</v>
      </c>
      <c r="M109">
        <f t="shared" si="1"/>
        <v>7.1307427386953129E-2</v>
      </c>
    </row>
    <row r="110" spans="1:13">
      <c r="A110">
        <v>365</v>
      </c>
      <c r="B110">
        <v>142</v>
      </c>
      <c r="C110">
        <v>322</v>
      </c>
      <c r="D110">
        <v>302</v>
      </c>
      <c r="E110">
        <v>391</v>
      </c>
      <c r="G110">
        <v>-0.22045592043072887</v>
      </c>
      <c r="H110">
        <v>-0.11836842240559953</v>
      </c>
      <c r="I110">
        <v>-1.5481591535989936E-2</v>
      </c>
      <c r="K110">
        <v>-0.11810197812410611</v>
      </c>
      <c r="M110">
        <f t="shared" si="1"/>
        <v>0.10248742420842914</v>
      </c>
    </row>
    <row r="111" spans="1:13">
      <c r="A111">
        <v>752</v>
      </c>
      <c r="B111">
        <v>79</v>
      </c>
      <c r="C111">
        <v>256</v>
      </c>
      <c r="D111">
        <v>128</v>
      </c>
      <c r="E111">
        <v>199</v>
      </c>
      <c r="G111">
        <v>-6.5410573722095244E-2</v>
      </c>
      <c r="H111">
        <v>-0.23650414262226674</v>
      </c>
      <c r="I111">
        <v>-5.4144019429535062E-2</v>
      </c>
      <c r="K111">
        <v>-0.11868624525796567</v>
      </c>
      <c r="M111">
        <f t="shared" si="1"/>
        <v>0.1021886809579003</v>
      </c>
    </row>
    <row r="112" spans="1:13">
      <c r="A112">
        <v>181</v>
      </c>
      <c r="B112">
        <v>202</v>
      </c>
      <c r="C112">
        <v>497</v>
      </c>
      <c r="D112">
        <v>390</v>
      </c>
      <c r="E112">
        <v>559</v>
      </c>
      <c r="G112">
        <v>-0.185018428456795</v>
      </c>
      <c r="H112">
        <v>-0.16037378339981823</v>
      </c>
      <c r="I112">
        <v>-1.3309566109000803E-2</v>
      </c>
      <c r="K112">
        <v>-0.11956725932187134</v>
      </c>
      <c r="M112">
        <f t="shared" si="1"/>
        <v>9.2843215463955561E-2</v>
      </c>
    </row>
    <row r="113" spans="1:13">
      <c r="A113">
        <v>375</v>
      </c>
      <c r="B113">
        <v>149</v>
      </c>
      <c r="C113">
        <v>421</v>
      </c>
      <c r="D113">
        <v>306</v>
      </c>
      <c r="E113">
        <v>337</v>
      </c>
      <c r="G113">
        <v>-0.12492762032010907</v>
      </c>
      <c r="H113">
        <v>-0.13355186291038773</v>
      </c>
      <c r="I113">
        <v>-0.10092637208973571</v>
      </c>
      <c r="K113">
        <v>-0.11980195177341084</v>
      </c>
      <c r="M113">
        <f t="shared" si="1"/>
        <v>1.6905916755978391E-2</v>
      </c>
    </row>
    <row r="114" spans="1:13">
      <c r="A114">
        <v>794</v>
      </c>
      <c r="B114">
        <v>187</v>
      </c>
      <c r="C114">
        <v>409</v>
      </c>
      <c r="D114">
        <v>370</v>
      </c>
      <c r="E114">
        <v>535</v>
      </c>
      <c r="G114">
        <v>-0.23614174627266055</v>
      </c>
      <c r="H114">
        <v>-0.14972690344919765</v>
      </c>
      <c r="I114">
        <v>1.1421709359291654E-3</v>
      </c>
      <c r="K114">
        <v>-0.12824215959530968</v>
      </c>
      <c r="M114">
        <f t="shared" si="1"/>
        <v>0.12009208968668002</v>
      </c>
    </row>
    <row r="115" spans="1:13">
      <c r="A115">
        <v>871</v>
      </c>
      <c r="B115">
        <v>143</v>
      </c>
      <c r="C115">
        <v>325</v>
      </c>
      <c r="D115">
        <v>348</v>
      </c>
      <c r="E115">
        <v>318</v>
      </c>
      <c r="G115">
        <v>-0.21947612422969071</v>
      </c>
      <c r="H115">
        <v>-5.9843814498174497E-2</v>
      </c>
      <c r="I115">
        <v>-0.1082789220294294</v>
      </c>
      <c r="K115">
        <v>-0.12919962025243154</v>
      </c>
      <c r="M115">
        <f t="shared" si="1"/>
        <v>8.1846657159337435E-2</v>
      </c>
    </row>
    <row r="116" spans="1:13">
      <c r="A116">
        <v>213</v>
      </c>
      <c r="B116">
        <v>129</v>
      </c>
      <c r="C116">
        <v>345</v>
      </c>
      <c r="D116">
        <v>238</v>
      </c>
      <c r="E116">
        <v>259</v>
      </c>
      <c r="G116">
        <v>-0.14879406296947822</v>
      </c>
      <c r="H116">
        <v>-0.18009977422243068</v>
      </c>
      <c r="I116">
        <v>-0.15265995076679739</v>
      </c>
      <c r="K116">
        <v>-0.16051792931956876</v>
      </c>
      <c r="M116">
        <f t="shared" si="1"/>
        <v>1.7068179734967919E-2</v>
      </c>
    </row>
    <row r="117" spans="1:13">
      <c r="A117">
        <v>874</v>
      </c>
      <c r="B117">
        <v>517</v>
      </c>
      <c r="C117">
        <v>1612</v>
      </c>
      <c r="D117">
        <v>772</v>
      </c>
      <c r="E117">
        <v>1087</v>
      </c>
      <c r="G117">
        <v>-8.2148953368374023E-2</v>
      </c>
      <c r="H117">
        <v>-0.2719602637379</v>
      </c>
      <c r="I117">
        <v>-0.13263100355644825</v>
      </c>
      <c r="K117">
        <v>-0.16224674022090743</v>
      </c>
      <c r="M117">
        <f t="shared" si="1"/>
        <v>9.8310234867398621E-2</v>
      </c>
    </row>
    <row r="118" spans="1:13">
      <c r="A118">
        <v>123</v>
      </c>
      <c r="B118">
        <v>82</v>
      </c>
      <c r="C118">
        <v>129</v>
      </c>
      <c r="D118">
        <v>253</v>
      </c>
      <c r="E118">
        <v>137</v>
      </c>
      <c r="G118">
        <v>-0.37924758982797102</v>
      </c>
      <c r="H118">
        <v>4.3219647812407558E-2</v>
      </c>
      <c r="I118">
        <v>-0.23246328977611022</v>
      </c>
      <c r="K118">
        <v>-0.18949707726389123</v>
      </c>
      <c r="M118">
        <f t="shared" si="1"/>
        <v>0.21448592793725862</v>
      </c>
    </row>
    <row r="119" spans="1:13">
      <c r="A119">
        <v>477</v>
      </c>
      <c r="B119">
        <v>140</v>
      </c>
      <c r="C119">
        <v>258</v>
      </c>
      <c r="D119">
        <v>286</v>
      </c>
      <c r="E119">
        <v>292</v>
      </c>
      <c r="G119">
        <v>-0.31053177745851124</v>
      </c>
      <c r="H119">
        <v>-0.13584902352888872</v>
      </c>
      <c r="I119">
        <v>-0.13611518877862</v>
      </c>
      <c r="K119">
        <v>-0.19416532992200666</v>
      </c>
      <c r="M119">
        <f t="shared" si="1"/>
        <v>0.10077638758749283</v>
      </c>
    </row>
    <row r="120" spans="1:13">
      <c r="A120">
        <v>825</v>
      </c>
      <c r="B120">
        <v>287</v>
      </c>
      <c r="C120">
        <v>523</v>
      </c>
      <c r="D120">
        <v>663</v>
      </c>
      <c r="E120">
        <v>521</v>
      </c>
      <c r="G120">
        <v>-0.31540365561022143</v>
      </c>
      <c r="H120">
        <v>-8.2455389308912885E-2</v>
      </c>
      <c r="I120">
        <v>-0.19641417798326816</v>
      </c>
      <c r="K120">
        <v>-0.19809107430080083</v>
      </c>
      <c r="M120">
        <f t="shared" si="1"/>
        <v>0.11648318625081117</v>
      </c>
    </row>
    <row r="121" spans="1:13">
      <c r="A121">
        <v>148</v>
      </c>
      <c r="B121">
        <v>75</v>
      </c>
      <c r="C121">
        <v>132</v>
      </c>
      <c r="D121">
        <v>134</v>
      </c>
      <c r="E121">
        <v>178</v>
      </c>
      <c r="G121">
        <v>-0.33051077992935352</v>
      </c>
      <c r="H121">
        <v>-0.19404348600658611</v>
      </c>
      <c r="I121">
        <v>-8.0011265631606321E-2</v>
      </c>
      <c r="K121">
        <v>-0.20152184385584868</v>
      </c>
      <c r="M121">
        <f t="shared" si="1"/>
        <v>0.12541708832110171</v>
      </c>
    </row>
    <row r="122" spans="1:13">
      <c r="A122">
        <v>760</v>
      </c>
      <c r="B122">
        <v>360</v>
      </c>
      <c r="C122">
        <v>848</v>
      </c>
      <c r="D122">
        <v>555</v>
      </c>
      <c r="E122">
        <v>737</v>
      </c>
      <c r="G122">
        <v>-0.20393009625407676</v>
      </c>
      <c r="H122">
        <v>-0.25809653862430471</v>
      </c>
      <c r="I122">
        <v>-0.14420501745703612</v>
      </c>
      <c r="K122">
        <v>-0.20207721744513921</v>
      </c>
      <c r="M122">
        <f t="shared" si="1"/>
        <v>5.6968364188899105E-2</v>
      </c>
    </row>
    <row r="123" spans="1:13">
      <c r="A123">
        <v>735</v>
      </c>
      <c r="B123">
        <v>248</v>
      </c>
      <c r="C123">
        <v>401</v>
      </c>
      <c r="D123">
        <v>558</v>
      </c>
      <c r="E123">
        <v>472</v>
      </c>
      <c r="G123">
        <v>-0.36733075594953729</v>
      </c>
      <c r="H123">
        <v>-9.3904502868331186E-2</v>
      </c>
      <c r="I123">
        <v>-0.17587968674092874</v>
      </c>
      <c r="K123">
        <v>-0.21237164851959908</v>
      </c>
      <c r="M123">
        <f t="shared" si="1"/>
        <v>0.14031830395336484</v>
      </c>
    </row>
    <row r="124" spans="1:13">
      <c r="A124">
        <v>457</v>
      </c>
      <c r="B124">
        <v>74</v>
      </c>
      <c r="C124">
        <v>161</v>
      </c>
      <c r="D124">
        <v>113</v>
      </c>
      <c r="E124">
        <v>150</v>
      </c>
      <c r="G124">
        <v>-0.23842929144262975</v>
      </c>
      <c r="H124">
        <v>-0.26224029722725017</v>
      </c>
      <c r="I124">
        <v>-0.14851046522409517</v>
      </c>
      <c r="K124">
        <v>-0.21639335129799173</v>
      </c>
      <c r="M124">
        <f t="shared" si="1"/>
        <v>5.9981711091048412E-2</v>
      </c>
    </row>
    <row r="125" spans="1:13">
      <c r="A125">
        <v>309</v>
      </c>
      <c r="B125">
        <v>67</v>
      </c>
      <c r="C125">
        <v>104</v>
      </c>
      <c r="D125">
        <v>142</v>
      </c>
      <c r="E125">
        <v>137</v>
      </c>
      <c r="G125">
        <v>-0.38506491114554942</v>
      </c>
      <c r="H125">
        <v>-0.11987347929746361</v>
      </c>
      <c r="I125">
        <v>-0.14472424009321994</v>
      </c>
      <c r="K125">
        <v>-0.21655421017874432</v>
      </c>
      <c r="M125">
        <f t="shared" si="1"/>
        <v>0.14646256290695919</v>
      </c>
    </row>
    <row r="126" spans="1:13">
      <c r="A126">
        <v>538</v>
      </c>
      <c r="B126">
        <v>81</v>
      </c>
      <c r="C126">
        <v>139</v>
      </c>
      <c r="D126">
        <v>131</v>
      </c>
      <c r="E126">
        <v>179</v>
      </c>
      <c r="G126">
        <v>-0.341493666368058</v>
      </c>
      <c r="H126">
        <v>-0.23730074420257913</v>
      </c>
      <c r="I126">
        <v>-0.11100199244755687</v>
      </c>
      <c r="K126">
        <v>-0.22993213433939799</v>
      </c>
      <c r="M126">
        <f t="shared" si="1"/>
        <v>0.11542237757538826</v>
      </c>
    </row>
    <row r="127" spans="1:13">
      <c r="A127">
        <v>493</v>
      </c>
      <c r="B127">
        <v>49</v>
      </c>
      <c r="C127">
        <v>110</v>
      </c>
      <c r="D127">
        <v>76</v>
      </c>
      <c r="E127">
        <v>86</v>
      </c>
      <c r="G127">
        <v>-0.22482684261379199</v>
      </c>
      <c r="H127">
        <v>-0.25546950872741597</v>
      </c>
      <c r="I127">
        <v>-0.21106763333374623</v>
      </c>
      <c r="K127">
        <v>-0.23045466155831806</v>
      </c>
      <c r="M127">
        <f t="shared" si="1"/>
        <v>2.272962591361808E-2</v>
      </c>
    </row>
    <row r="128" spans="1:13">
      <c r="A128">
        <v>194</v>
      </c>
      <c r="B128">
        <v>95</v>
      </c>
      <c r="C128">
        <v>174</v>
      </c>
      <c r="D128">
        <v>150</v>
      </c>
      <c r="E128">
        <v>196</v>
      </c>
      <c r="G128">
        <v>-0.3131978047497514</v>
      </c>
      <c r="H128">
        <v>-0.24771936721286017</v>
      </c>
      <c r="I128">
        <v>-0.14083753848117198</v>
      </c>
      <c r="K128">
        <v>-0.23391823681459453</v>
      </c>
      <c r="M128">
        <f t="shared" si="1"/>
        <v>8.700499265700995E-2</v>
      </c>
    </row>
    <row r="129" spans="1:13">
      <c r="A129">
        <v>354</v>
      </c>
      <c r="B129">
        <v>220</v>
      </c>
      <c r="C129">
        <v>317</v>
      </c>
      <c r="D129">
        <v>334</v>
      </c>
      <c r="E129">
        <v>569</v>
      </c>
      <c r="G129">
        <v>-0.41738686634795807</v>
      </c>
      <c r="H129">
        <v>-0.26476323499033544</v>
      </c>
      <c r="I129">
        <v>-4.268041897593533E-2</v>
      </c>
      <c r="K129">
        <v>-0.24161017343807631</v>
      </c>
      <c r="M129">
        <f t="shared" si="1"/>
        <v>0.18842313716731454</v>
      </c>
    </row>
    <row r="130" spans="1:13">
      <c r="A130">
        <v>727</v>
      </c>
      <c r="B130">
        <v>94</v>
      </c>
      <c r="C130">
        <v>176</v>
      </c>
      <c r="D130">
        <v>137</v>
      </c>
      <c r="E130">
        <v>178</v>
      </c>
      <c r="G130">
        <v>-0.30363863352905218</v>
      </c>
      <c r="H130">
        <v>-0.28249430742298554</v>
      </c>
      <c r="I130">
        <v>-0.17807785583960495</v>
      </c>
      <c r="K130">
        <v>-0.25473693226388089</v>
      </c>
      <c r="M130">
        <f t="shared" si="1"/>
        <v>6.7225226889071496E-2</v>
      </c>
    </row>
    <row r="131" spans="1:13">
      <c r="A131">
        <v>775</v>
      </c>
      <c r="B131">
        <v>99</v>
      </c>
      <c r="C131">
        <v>185</v>
      </c>
      <c r="D131">
        <v>157</v>
      </c>
      <c r="E131">
        <v>172</v>
      </c>
      <c r="G131">
        <v>-0.30448691393803945</v>
      </c>
      <c r="H131">
        <v>-0.24582256316800985</v>
      </c>
      <c r="I131">
        <v>-0.21547675223880125</v>
      </c>
      <c r="K131">
        <v>-0.25526207644828353</v>
      </c>
      <c r="M131">
        <f t="shared" ref="M131:M194" si="2">STDEV(G131:I131)</f>
        <v>4.5249646735167889E-2</v>
      </c>
    </row>
    <row r="132" spans="1:13">
      <c r="A132">
        <v>228</v>
      </c>
      <c r="B132">
        <v>48</v>
      </c>
      <c r="C132">
        <v>82</v>
      </c>
      <c r="D132">
        <v>78</v>
      </c>
      <c r="E132">
        <v>85</v>
      </c>
      <c r="G132">
        <v>-0.34345083273537391</v>
      </c>
      <c r="H132">
        <v>-0.23523365566480048</v>
      </c>
      <c r="I132">
        <v>-0.20719231621009479</v>
      </c>
      <c r="K132">
        <v>-0.26195893487008975</v>
      </c>
      <c r="M132">
        <f t="shared" si="2"/>
        <v>7.1953292091939361E-2</v>
      </c>
    </row>
    <row r="133" spans="1:13">
      <c r="A133">
        <v>826</v>
      </c>
      <c r="B133">
        <v>150</v>
      </c>
      <c r="C133">
        <v>287</v>
      </c>
      <c r="D133">
        <v>247</v>
      </c>
      <c r="E133">
        <v>212</v>
      </c>
      <c r="G133">
        <v>-0.29423281006519225</v>
      </c>
      <c r="H133">
        <v>-0.22948132677570915</v>
      </c>
      <c r="I133">
        <v>-0.30512540267573007</v>
      </c>
      <c r="K133">
        <v>-0.27627984650554382</v>
      </c>
      <c r="M133">
        <f t="shared" si="2"/>
        <v>4.0893009550809295E-2</v>
      </c>
    </row>
    <row r="134" spans="1:13">
      <c r="A134">
        <v>820</v>
      </c>
      <c r="B134">
        <v>300</v>
      </c>
      <c r="C134">
        <v>434</v>
      </c>
      <c r="D134">
        <v>551</v>
      </c>
      <c r="E134">
        <v>490</v>
      </c>
      <c r="G134">
        <v>-0.41565497295065501</v>
      </c>
      <c r="H134">
        <v>-0.18205667684757104</v>
      </c>
      <c r="I134">
        <v>-0.24229517923994906</v>
      </c>
      <c r="K134">
        <v>-0.28000227634605834</v>
      </c>
      <c r="M134">
        <f t="shared" si="2"/>
        <v>0.12127823326835363</v>
      </c>
    </row>
    <row r="135" spans="1:13">
      <c r="A135">
        <v>394</v>
      </c>
      <c r="B135">
        <v>202</v>
      </c>
      <c r="C135">
        <v>292</v>
      </c>
      <c r="D135">
        <v>316</v>
      </c>
      <c r="E135">
        <v>383</v>
      </c>
      <c r="G135">
        <v>-0.41599196574170882</v>
      </c>
      <c r="H135">
        <v>-0.2517513078079136</v>
      </c>
      <c r="I135">
        <v>-0.17752260002680131</v>
      </c>
      <c r="K135">
        <v>-0.28175529119214127</v>
      </c>
      <c r="M135">
        <f t="shared" si="2"/>
        <v>0.12203314656399024</v>
      </c>
    </row>
    <row r="136" spans="1:13">
      <c r="A136">
        <v>739</v>
      </c>
      <c r="B136">
        <v>205</v>
      </c>
      <c r="C136">
        <v>493</v>
      </c>
      <c r="D136">
        <v>244</v>
      </c>
      <c r="E136">
        <v>296</v>
      </c>
      <c r="G136">
        <v>-0.19493038952202763</v>
      </c>
      <c r="H136">
        <v>-0.37045105569671855</v>
      </c>
      <c r="I136">
        <v>-0.29583215454561601</v>
      </c>
      <c r="K136">
        <v>-0.28707119992145408</v>
      </c>
      <c r="M136">
        <f t="shared" si="2"/>
        <v>8.8087693851336663E-2</v>
      </c>
    </row>
    <row r="137" spans="1:13">
      <c r="A137">
        <v>484</v>
      </c>
      <c r="B137">
        <v>75</v>
      </c>
      <c r="C137">
        <v>93</v>
      </c>
      <c r="D137">
        <v>129</v>
      </c>
      <c r="E137">
        <v>140</v>
      </c>
      <c r="G137">
        <v>-0.4826017625812683</v>
      </c>
      <c r="H137">
        <v>-0.21055857407214476</v>
      </c>
      <c r="I137">
        <v>-0.18430323226226231</v>
      </c>
      <c r="K137">
        <v>-0.29248785630522511</v>
      </c>
      <c r="M137">
        <f t="shared" si="2"/>
        <v>0.16516600365402231</v>
      </c>
    </row>
    <row r="138" spans="1:13">
      <c r="A138">
        <v>836</v>
      </c>
      <c r="B138">
        <v>57</v>
      </c>
      <c r="C138">
        <v>88</v>
      </c>
      <c r="D138">
        <v>74</v>
      </c>
      <c r="E138">
        <v>98</v>
      </c>
      <c r="G138">
        <v>-0.38741563126582612</v>
      </c>
      <c r="H138">
        <v>-0.33273015692120889</v>
      </c>
      <c r="I138">
        <v>-0.22001878452879681</v>
      </c>
      <c r="K138">
        <v>-0.31338819090527731</v>
      </c>
      <c r="M138">
        <f t="shared" si="2"/>
        <v>8.5358126803463663E-2</v>
      </c>
    </row>
    <row r="139" spans="1:13">
      <c r="A139">
        <v>173</v>
      </c>
      <c r="B139">
        <v>99</v>
      </c>
      <c r="C139">
        <v>175</v>
      </c>
      <c r="D139">
        <v>103</v>
      </c>
      <c r="E139">
        <v>179</v>
      </c>
      <c r="G139">
        <v>-0.32862059365475882</v>
      </c>
      <c r="H139">
        <v>-0.42888499087207133</v>
      </c>
      <c r="I139">
        <v>-0.19815216816645698</v>
      </c>
      <c r="K139">
        <v>-0.31855258423109573</v>
      </c>
      <c r="M139">
        <f t="shared" si="2"/>
        <v>0.11569542980922508</v>
      </c>
    </row>
    <row r="140" spans="1:13">
      <c r="A140">
        <v>507</v>
      </c>
      <c r="B140">
        <v>161</v>
      </c>
      <c r="C140">
        <v>249</v>
      </c>
      <c r="D140">
        <v>211</v>
      </c>
      <c r="E140">
        <v>250</v>
      </c>
      <c r="G140">
        <v>-0.38664997667961676</v>
      </c>
      <c r="H140">
        <v>-0.32863044171385075</v>
      </c>
      <c r="I140">
        <v>-0.26425587190861233</v>
      </c>
      <c r="K140">
        <v>-0.32651209676735998</v>
      </c>
      <c r="M140">
        <f t="shared" si="2"/>
        <v>6.1224543768476573E-2</v>
      </c>
    </row>
    <row r="141" spans="1:13">
      <c r="A141">
        <v>385</v>
      </c>
      <c r="B141">
        <v>185</v>
      </c>
      <c r="C141">
        <v>338</v>
      </c>
      <c r="D141">
        <v>215</v>
      </c>
      <c r="E141">
        <v>273</v>
      </c>
      <c r="G141">
        <v>-0.31427847586886243</v>
      </c>
      <c r="H141">
        <v>-0.38082028946710217</v>
      </c>
      <c r="I141">
        <v>-0.28637908591105804</v>
      </c>
      <c r="K141">
        <v>-0.32715928374900755</v>
      </c>
      <c r="M141">
        <f t="shared" si="2"/>
        <v>4.8520321938467011E-2</v>
      </c>
    </row>
    <row r="142" spans="1:13">
      <c r="A142">
        <v>819</v>
      </c>
      <c r="B142">
        <v>137</v>
      </c>
      <c r="C142">
        <v>224</v>
      </c>
      <c r="D142">
        <v>159</v>
      </c>
      <c r="E142">
        <v>226</v>
      </c>
      <c r="G142">
        <v>-0.36249599656574727</v>
      </c>
      <c r="H142">
        <v>-0.38141046381564891</v>
      </c>
      <c r="I142">
        <v>-0.23798213255780612</v>
      </c>
      <c r="K142">
        <v>-0.32729619764640078</v>
      </c>
      <c r="M142">
        <f t="shared" si="2"/>
        <v>7.7924264095493537E-2</v>
      </c>
    </row>
    <row r="143" spans="1:13">
      <c r="A143">
        <v>476</v>
      </c>
      <c r="B143">
        <v>268</v>
      </c>
      <c r="C143">
        <v>429</v>
      </c>
      <c r="D143">
        <v>274</v>
      </c>
      <c r="E143">
        <v>485</v>
      </c>
      <c r="G143">
        <v>-0.37170094958756794</v>
      </c>
      <c r="H143">
        <v>-0.43647125218809452</v>
      </c>
      <c r="I143">
        <v>-0.19776305997532545</v>
      </c>
      <c r="K143">
        <v>-0.33531175391699602</v>
      </c>
      <c r="M143">
        <f t="shared" si="2"/>
        <v>0.12344444267983634</v>
      </c>
    </row>
    <row r="144" spans="1:13">
      <c r="A144">
        <v>849</v>
      </c>
      <c r="B144">
        <v>102</v>
      </c>
      <c r="C144">
        <v>133</v>
      </c>
      <c r="D144">
        <v>132</v>
      </c>
      <c r="E144">
        <v>178</v>
      </c>
      <c r="G144">
        <v>-0.46077197853833507</v>
      </c>
      <c r="H144">
        <v>-0.33411326153576132</v>
      </c>
      <c r="I144">
        <v>-0.21355017400182386</v>
      </c>
      <c r="K144">
        <v>-0.33614513802530671</v>
      </c>
      <c r="M144">
        <f t="shared" si="2"/>
        <v>0.1236234263848234</v>
      </c>
    </row>
    <row r="145" spans="1:13">
      <c r="A145">
        <v>696</v>
      </c>
      <c r="B145">
        <v>84</v>
      </c>
      <c r="C145">
        <v>120</v>
      </c>
      <c r="D145">
        <v>107</v>
      </c>
      <c r="E145">
        <v>130</v>
      </c>
      <c r="G145">
        <v>-0.42112148775776015</v>
      </c>
      <c r="H145">
        <v>-0.34098252935636569</v>
      </c>
      <c r="I145">
        <v>-0.26570593830384515</v>
      </c>
      <c r="K145">
        <v>-0.34260331847265696</v>
      </c>
      <c r="M145">
        <f t="shared" si="2"/>
        <v>7.772045079022126E-2</v>
      </c>
    </row>
    <row r="146" spans="1:13">
      <c r="A146">
        <v>767</v>
      </c>
      <c r="B146">
        <v>162</v>
      </c>
      <c r="C146">
        <v>268</v>
      </c>
      <c r="D146">
        <v>176</v>
      </c>
      <c r="E146">
        <v>227</v>
      </c>
      <c r="G146">
        <v>-0.35740366825734549</v>
      </c>
      <c r="H146">
        <v>-0.41008936770817483</v>
      </c>
      <c r="I146">
        <v>-0.30885916189830853</v>
      </c>
      <c r="K146">
        <v>-0.3587840659546096</v>
      </c>
      <c r="M146">
        <f t="shared" si="2"/>
        <v>5.0629218495142944E-2</v>
      </c>
    </row>
    <row r="147" spans="1:13">
      <c r="A147">
        <v>535</v>
      </c>
      <c r="B147">
        <v>101</v>
      </c>
      <c r="C147">
        <v>121</v>
      </c>
      <c r="D147">
        <v>122</v>
      </c>
      <c r="E147">
        <v>162</v>
      </c>
      <c r="G147">
        <v>-0.49755945120969586</v>
      </c>
      <c r="H147">
        <v>-0.36404856408758801</v>
      </c>
      <c r="I147">
        <v>-0.25017636378881192</v>
      </c>
      <c r="K147">
        <v>-0.37059479302869858</v>
      </c>
      <c r="M147">
        <f t="shared" si="2"/>
        <v>0.12382139484145825</v>
      </c>
    </row>
    <row r="148" spans="1:13">
      <c r="A148">
        <v>807</v>
      </c>
      <c r="B148">
        <v>228</v>
      </c>
      <c r="C148">
        <v>344</v>
      </c>
      <c r="D148">
        <v>259</v>
      </c>
      <c r="E148">
        <v>289</v>
      </c>
      <c r="G148">
        <v>-0.39739985217242701</v>
      </c>
      <c r="H148">
        <v>-0.39072210389889561</v>
      </c>
      <c r="I148">
        <v>-0.3524070087927062</v>
      </c>
      <c r="K148">
        <v>-0.38017632162134296</v>
      </c>
      <c r="M148">
        <f t="shared" si="2"/>
        <v>2.4279603203763028E-2</v>
      </c>
    </row>
    <row r="149" spans="1:13">
      <c r="A149">
        <v>415</v>
      </c>
      <c r="B149">
        <v>119</v>
      </c>
      <c r="C149">
        <v>132</v>
      </c>
      <c r="D149">
        <v>225</v>
      </c>
      <c r="E149">
        <v>118</v>
      </c>
      <c r="G149">
        <v>-0.53099647793018423</v>
      </c>
      <c r="H149">
        <v>-0.16945146426086194</v>
      </c>
      <c r="I149">
        <v>-0.45903495863520566</v>
      </c>
      <c r="K149">
        <v>-0.38649430027541726</v>
      </c>
      <c r="M149">
        <f t="shared" si="2"/>
        <v>0.19137740086995997</v>
      </c>
    </row>
    <row r="150" spans="1:13">
      <c r="A150">
        <v>398</v>
      </c>
      <c r="B150">
        <v>122</v>
      </c>
      <c r="C150">
        <v>146</v>
      </c>
      <c r="D150">
        <v>138</v>
      </c>
      <c r="E150">
        <v>158</v>
      </c>
      <c r="G150">
        <v>-0.49803042263381447</v>
      </c>
      <c r="H150">
        <v>-0.39256776525320541</v>
      </c>
      <c r="I150">
        <v>-0.34307274826912582</v>
      </c>
      <c r="K150">
        <v>-0.41122364538538192</v>
      </c>
      <c r="M150">
        <f t="shared" si="2"/>
        <v>7.9145445912937942E-2</v>
      </c>
    </row>
    <row r="151" spans="1:13">
      <c r="A151">
        <v>746</v>
      </c>
      <c r="B151">
        <v>159</v>
      </c>
      <c r="C151">
        <v>188</v>
      </c>
      <c r="D151">
        <v>168</v>
      </c>
      <c r="E151">
        <v>217</v>
      </c>
      <c r="G151">
        <v>-0.50326272280027495</v>
      </c>
      <c r="H151">
        <v>-0.4221748635742823</v>
      </c>
      <c r="I151">
        <v>-0.32030739502072225</v>
      </c>
      <c r="K151">
        <v>-0.4152483271317598</v>
      </c>
      <c r="M151">
        <f t="shared" si="2"/>
        <v>9.1674127599056437E-2</v>
      </c>
    </row>
    <row r="152" spans="1:13">
      <c r="A152">
        <v>397</v>
      </c>
      <c r="B152">
        <v>171</v>
      </c>
      <c r="C152">
        <v>179</v>
      </c>
      <c r="D152">
        <v>232</v>
      </c>
      <c r="E152">
        <v>205</v>
      </c>
      <c r="G152">
        <v>-0.55616652715576398</v>
      </c>
      <c r="H152">
        <v>-0.31359514648094788</v>
      </c>
      <c r="I152">
        <v>-0.37661225388519981</v>
      </c>
      <c r="K152">
        <v>-0.41545797584063721</v>
      </c>
      <c r="M152">
        <f t="shared" si="2"/>
        <v>0.12586485318110474</v>
      </c>
    </row>
    <row r="153" spans="1:13">
      <c r="A153">
        <v>886</v>
      </c>
      <c r="B153">
        <v>110</v>
      </c>
      <c r="C153">
        <v>124</v>
      </c>
      <c r="D153">
        <v>142</v>
      </c>
      <c r="E153">
        <v>125</v>
      </c>
      <c r="G153">
        <v>-0.52399444773949333</v>
      </c>
      <c r="H153">
        <v>-0.33519136175486219</v>
      </c>
      <c r="I153">
        <v>-0.39985267669896885</v>
      </c>
      <c r="K153">
        <v>-0.41967949539777477</v>
      </c>
      <c r="M153">
        <f t="shared" si="2"/>
        <v>9.5950395382804324E-2</v>
      </c>
    </row>
    <row r="154" spans="1:13">
      <c r="A154">
        <v>840</v>
      </c>
      <c r="B154">
        <v>439</v>
      </c>
      <c r="C154">
        <v>541</v>
      </c>
      <c r="D154">
        <v>428</v>
      </c>
      <c r="E154">
        <v>598</v>
      </c>
      <c r="G154">
        <v>-0.48529070287905529</v>
      </c>
      <c r="H154">
        <v>-0.45710777220864302</v>
      </c>
      <c r="I154">
        <v>-0.32113334080251082</v>
      </c>
      <c r="K154">
        <v>-0.42117727196340304</v>
      </c>
      <c r="M154">
        <f t="shared" si="2"/>
        <v>8.7779043722788982E-2</v>
      </c>
    </row>
    <row r="155" spans="1:13">
      <c r="A155">
        <v>429</v>
      </c>
      <c r="B155">
        <v>86</v>
      </c>
      <c r="C155">
        <v>108</v>
      </c>
      <c r="D155">
        <v>99</v>
      </c>
      <c r="E155">
        <v>96</v>
      </c>
      <c r="G155">
        <v>-0.47709814350012136</v>
      </c>
      <c r="H155">
        <v>-0.38495027762571143</v>
      </c>
      <c r="I155">
        <v>-0.40759722275279958</v>
      </c>
      <c r="K155">
        <v>-0.42321521462621076</v>
      </c>
      <c r="M155">
        <f t="shared" si="2"/>
        <v>4.8018210596819558E-2</v>
      </c>
    </row>
    <row r="156" spans="1:13">
      <c r="A156">
        <v>736</v>
      </c>
      <c r="B156">
        <v>244</v>
      </c>
      <c r="C156">
        <v>326</v>
      </c>
      <c r="D156">
        <v>250</v>
      </c>
      <c r="E156">
        <v>274</v>
      </c>
      <c r="G156">
        <v>-0.45019567401429372</v>
      </c>
      <c r="H156">
        <v>-0.43553683864638548</v>
      </c>
      <c r="I156">
        <v>-0.40500926806714171</v>
      </c>
      <c r="K156">
        <v>-0.43024726024260701</v>
      </c>
      <c r="M156">
        <f t="shared" si="2"/>
        <v>2.3052929323027337E-2</v>
      </c>
    </row>
    <row r="157" spans="1:13">
      <c r="A157">
        <v>464</v>
      </c>
      <c r="B157">
        <v>237</v>
      </c>
      <c r="C157">
        <v>294</v>
      </c>
      <c r="D157">
        <v>212</v>
      </c>
      <c r="E157">
        <v>323</v>
      </c>
      <c r="G157">
        <v>-0.48242446334144995</v>
      </c>
      <c r="H157">
        <v>-0.49449950606104609</v>
      </c>
      <c r="I157">
        <v>-0.32091582822780124</v>
      </c>
      <c r="K157">
        <v>-0.4326132658767658</v>
      </c>
      <c r="M157">
        <f t="shared" si="2"/>
        <v>9.6921049556730449E-2</v>
      </c>
    </row>
    <row r="158" spans="1:13">
      <c r="A158">
        <v>740</v>
      </c>
      <c r="B158">
        <v>133</v>
      </c>
      <c r="C158">
        <v>158</v>
      </c>
      <c r="D158">
        <v>140</v>
      </c>
      <c r="E158">
        <v>152</v>
      </c>
      <c r="G158">
        <v>-0.50121800175616649</v>
      </c>
      <c r="H158">
        <v>-0.42381062626854143</v>
      </c>
      <c r="I158">
        <v>-0.39737805757111355</v>
      </c>
      <c r="K158">
        <v>-0.44080222853194045</v>
      </c>
      <c r="M158">
        <f t="shared" si="2"/>
        <v>5.3964983208529667E-2</v>
      </c>
    </row>
    <row r="159" spans="1:13">
      <c r="A159">
        <v>768</v>
      </c>
      <c r="B159">
        <v>135</v>
      </c>
      <c r="C159">
        <v>182</v>
      </c>
      <c r="D159">
        <v>123</v>
      </c>
      <c r="E159">
        <v>157</v>
      </c>
      <c r="G159">
        <v>-0.44628582825343466</v>
      </c>
      <c r="H159">
        <v>-0.48651567803530182</v>
      </c>
      <c r="I159">
        <v>-0.38980412063457265</v>
      </c>
      <c r="K159">
        <v>-0.44086854230776967</v>
      </c>
      <c r="M159">
        <f t="shared" si="2"/>
        <v>4.8582832090991339E-2</v>
      </c>
    </row>
    <row r="160" spans="1:13">
      <c r="A160">
        <v>451</v>
      </c>
      <c r="B160">
        <v>90</v>
      </c>
      <c r="C160">
        <v>102</v>
      </c>
      <c r="D160">
        <v>87</v>
      </c>
      <c r="E160">
        <v>109</v>
      </c>
      <c r="G160">
        <v>-0.52166578542091069</v>
      </c>
      <c r="H160">
        <v>-0.46081027780040001</v>
      </c>
      <c r="I160">
        <v>-0.37218601604750157</v>
      </c>
      <c r="K160">
        <v>-0.4515540264229374</v>
      </c>
      <c r="M160">
        <f t="shared" si="2"/>
        <v>7.5168537335470034E-2</v>
      </c>
    </row>
    <row r="161" spans="1:13">
      <c r="A161">
        <v>853</v>
      </c>
      <c r="B161">
        <v>372</v>
      </c>
      <c r="C161">
        <v>548</v>
      </c>
      <c r="D161">
        <v>322</v>
      </c>
      <c r="E161">
        <v>369</v>
      </c>
      <c r="G161">
        <v>-0.40778582914103167</v>
      </c>
      <c r="H161">
        <v>-0.50877408916576028</v>
      </c>
      <c r="I161">
        <v>-0.45888657827163742</v>
      </c>
      <c r="K161">
        <v>-0.45848216552614313</v>
      </c>
      <c r="M161">
        <f t="shared" si="2"/>
        <v>5.0495344616678164E-2</v>
      </c>
    </row>
    <row r="162" spans="1:13">
      <c r="A162">
        <v>792</v>
      </c>
      <c r="B162">
        <v>92</v>
      </c>
      <c r="C162">
        <v>114</v>
      </c>
      <c r="D162">
        <v>94</v>
      </c>
      <c r="E162">
        <v>91</v>
      </c>
      <c r="G162">
        <v>-0.48290642375258602</v>
      </c>
      <c r="H162">
        <v>-0.43674699472555023</v>
      </c>
      <c r="I162">
        <v>-0.46011643957326198</v>
      </c>
      <c r="K162">
        <v>-0.45992328601713273</v>
      </c>
      <c r="M162">
        <f t="shared" si="2"/>
        <v>2.3080320692045693E-2</v>
      </c>
    </row>
    <row r="163" spans="1:13">
      <c r="A163">
        <v>890</v>
      </c>
      <c r="B163">
        <v>100</v>
      </c>
      <c r="C163">
        <v>100</v>
      </c>
      <c r="D163">
        <v>100</v>
      </c>
      <c r="E163">
        <v>121</v>
      </c>
      <c r="G163">
        <v>-0.57602344774350334</v>
      </c>
      <c r="H163">
        <v>-0.44608702097969366</v>
      </c>
      <c r="I163">
        <v>-0.37258463423235022</v>
      </c>
      <c r="K163">
        <v>-0.46489836765184905</v>
      </c>
      <c r="M163">
        <f t="shared" si="2"/>
        <v>0.1030157161962264</v>
      </c>
    </row>
    <row r="164" spans="1:13">
      <c r="A164">
        <v>883</v>
      </c>
      <c r="B164">
        <v>73</v>
      </c>
      <c r="C164">
        <v>85</v>
      </c>
      <c r="D164">
        <v>66</v>
      </c>
      <c r="E164">
        <v>74</v>
      </c>
      <c r="G164">
        <v>-0.50992738214966649</v>
      </c>
      <c r="H164">
        <v>-0.48986594555828089</v>
      </c>
      <c r="I164">
        <v>-0.44946114493827999</v>
      </c>
      <c r="K164">
        <v>-0.4830848242154091</v>
      </c>
      <c r="M164">
        <f t="shared" si="2"/>
        <v>3.0798200688124274E-2</v>
      </c>
    </row>
    <row r="165" spans="1:13">
      <c r="A165">
        <v>758</v>
      </c>
      <c r="B165">
        <v>84</v>
      </c>
      <c r="C165">
        <v>74</v>
      </c>
      <c r="D165">
        <v>73</v>
      </c>
      <c r="E165">
        <v>110</v>
      </c>
      <c r="G165">
        <v>-0.6310710140744088</v>
      </c>
      <c r="H165">
        <v>-0.50704344692111936</v>
      </c>
      <c r="I165">
        <v>-0.33825660545245689</v>
      </c>
      <c r="K165">
        <v>-0.49212368881599505</v>
      </c>
      <c r="M165">
        <f t="shared" si="2"/>
        <v>0.14697625270972306</v>
      </c>
    </row>
    <row r="166" spans="1:13">
      <c r="A166">
        <v>790</v>
      </c>
      <c r="B166">
        <v>131</v>
      </c>
      <c r="C166">
        <v>122</v>
      </c>
      <c r="D166">
        <v>116</v>
      </c>
      <c r="E166">
        <v>119</v>
      </c>
      <c r="G166">
        <v>-0.60693491272451938</v>
      </c>
      <c r="H166">
        <v>-0.4989003274085394</v>
      </c>
      <c r="I166">
        <v>-0.4970943388120338</v>
      </c>
      <c r="K166">
        <v>-0.53430985964836408</v>
      </c>
      <c r="M166">
        <f t="shared" si="2"/>
        <v>6.2901622788593028E-2</v>
      </c>
    </row>
    <row r="167" spans="1:13">
      <c r="A167">
        <v>732</v>
      </c>
      <c r="B167">
        <v>318</v>
      </c>
      <c r="C167">
        <v>246</v>
      </c>
      <c r="D167">
        <v>276</v>
      </c>
      <c r="E167">
        <v>333</v>
      </c>
      <c r="G167">
        <v>-0.68751546062455682</v>
      </c>
      <c r="H167">
        <v>-0.50760505889890861</v>
      </c>
      <c r="I167">
        <v>-0.43535289102691305</v>
      </c>
      <c r="K167">
        <v>-0.54349113685012618</v>
      </c>
      <c r="M167">
        <f t="shared" si="2"/>
        <v>0.12985510509626602</v>
      </c>
    </row>
    <row r="168" spans="1:13">
      <c r="A168">
        <v>861</v>
      </c>
      <c r="B168">
        <v>173</v>
      </c>
      <c r="C168">
        <v>135</v>
      </c>
      <c r="D168">
        <v>162</v>
      </c>
      <c r="E168">
        <v>158</v>
      </c>
      <c r="G168">
        <v>-0.6837357823772926</v>
      </c>
      <c r="H168">
        <v>-0.47461810956585815</v>
      </c>
      <c r="I168">
        <v>-0.49475902072317307</v>
      </c>
      <c r="K168">
        <v>-0.55103763755544133</v>
      </c>
      <c r="M168">
        <f t="shared" si="2"/>
        <v>0.11536035846395538</v>
      </c>
    </row>
    <row r="169" spans="1:13">
      <c r="A169">
        <v>522</v>
      </c>
      <c r="B169">
        <v>76</v>
      </c>
      <c r="C169">
        <v>59</v>
      </c>
      <c r="D169">
        <v>51</v>
      </c>
      <c r="E169">
        <v>77</v>
      </c>
      <c r="G169">
        <v>-0.68598502838215047</v>
      </c>
      <c r="H169">
        <v>-0.61933043716254865</v>
      </c>
      <c r="I169">
        <v>-0.44969287165710981</v>
      </c>
      <c r="K169">
        <v>-0.58500277906726961</v>
      </c>
      <c r="M169">
        <f t="shared" si="2"/>
        <v>0.12182892478870788</v>
      </c>
    </row>
    <row r="170" spans="1:13">
      <c r="A170">
        <v>419</v>
      </c>
      <c r="B170">
        <v>89</v>
      </c>
      <c r="C170">
        <v>78</v>
      </c>
      <c r="D170">
        <v>57</v>
      </c>
      <c r="E170">
        <v>82</v>
      </c>
      <c r="G170">
        <v>-0.63331885169793567</v>
      </c>
      <c r="H170">
        <v>-0.639602171952115</v>
      </c>
      <c r="I170">
        <v>-0.49094615880999637</v>
      </c>
      <c r="K170">
        <v>-0.58795572748668234</v>
      </c>
      <c r="M170">
        <f t="shared" si="2"/>
        <v>8.4071471614820814E-2</v>
      </c>
    </row>
    <row r="171" spans="1:13">
      <c r="A171">
        <v>748</v>
      </c>
      <c r="B171">
        <v>158</v>
      </c>
      <c r="C171">
        <v>139</v>
      </c>
      <c r="D171">
        <v>95</v>
      </c>
      <c r="E171">
        <v>152</v>
      </c>
      <c r="G171">
        <v>-0.6316657344438309</v>
      </c>
      <c r="H171">
        <v>-0.66702050264526846</v>
      </c>
      <c r="I171">
        <v>-0.47218350355845035</v>
      </c>
      <c r="K171">
        <v>-0.59028991354918325</v>
      </c>
      <c r="M171">
        <f t="shared" si="2"/>
        <v>0.1037994844366706</v>
      </c>
    </row>
    <row r="172" spans="1:13">
      <c r="A172">
        <v>514</v>
      </c>
      <c r="B172">
        <v>100</v>
      </c>
      <c r="C172">
        <v>35</v>
      </c>
      <c r="D172">
        <v>156</v>
      </c>
      <c r="E172">
        <v>63</v>
      </c>
      <c r="G172">
        <v>-1.0319554033932277</v>
      </c>
      <c r="H172">
        <v>-0.25296242262523205</v>
      </c>
      <c r="I172">
        <v>-0.65602945509521859</v>
      </c>
      <c r="K172">
        <v>-0.64698242703789277</v>
      </c>
      <c r="M172">
        <f t="shared" si="2"/>
        <v>0.38957528484101023</v>
      </c>
    </row>
    <row r="173" spans="1:13">
      <c r="A173">
        <v>835</v>
      </c>
      <c r="B173">
        <v>297</v>
      </c>
      <c r="C173">
        <v>241</v>
      </c>
      <c r="D173">
        <v>183</v>
      </c>
      <c r="E173">
        <v>203</v>
      </c>
      <c r="G173">
        <v>-0.66676285448584727</v>
      </c>
      <c r="H173">
        <v>-0.65639238056647653</v>
      </c>
      <c r="I173">
        <v>-0.62063041595279977</v>
      </c>
      <c r="K173">
        <v>-0.64792855033504115</v>
      </c>
      <c r="M173">
        <f t="shared" si="2"/>
        <v>2.4202846689827012E-2</v>
      </c>
    </row>
    <row r="174" spans="1:13">
      <c r="A174">
        <v>443</v>
      </c>
      <c r="B174">
        <v>77</v>
      </c>
      <c r="C174">
        <v>48</v>
      </c>
      <c r="D174">
        <v>42</v>
      </c>
      <c r="E174">
        <v>77</v>
      </c>
      <c r="G174">
        <v>-0.78127293554039801</v>
      </c>
      <c r="H174">
        <v>-0.70932845575427517</v>
      </c>
      <c r="I174">
        <v>-0.45537000454880028</v>
      </c>
      <c r="K174">
        <v>-0.64865713194782448</v>
      </c>
      <c r="M174">
        <f t="shared" si="2"/>
        <v>0.17121313400714608</v>
      </c>
    </row>
    <row r="175" spans="1:13">
      <c r="A175">
        <v>539</v>
      </c>
      <c r="B175">
        <v>101</v>
      </c>
      <c r="C175">
        <v>50</v>
      </c>
      <c r="D175">
        <v>52</v>
      </c>
      <c r="E175">
        <v>126</v>
      </c>
      <c r="G175">
        <v>-0.88137481719012711</v>
      </c>
      <c r="H175">
        <v>-0.73440505112753707</v>
      </c>
      <c r="I175">
        <v>-0.35932083321387998</v>
      </c>
      <c r="K175">
        <v>-0.65836690051051472</v>
      </c>
      <c r="M175">
        <f t="shared" si="2"/>
        <v>0.26920520204541104</v>
      </c>
    </row>
    <row r="176" spans="1:13">
      <c r="A176">
        <v>524</v>
      </c>
      <c r="B176">
        <v>84</v>
      </c>
      <c r="C176">
        <v>64</v>
      </c>
      <c r="D176">
        <v>41</v>
      </c>
      <c r="E176">
        <v>61</v>
      </c>
      <c r="G176">
        <v>-0.69412275982149785</v>
      </c>
      <c r="H176">
        <v>-0.7575824503218398</v>
      </c>
      <c r="I176">
        <v>-0.59431945559991495</v>
      </c>
      <c r="K176">
        <v>-0.68200822191441757</v>
      </c>
      <c r="M176">
        <f t="shared" si="2"/>
        <v>8.2302933622802166E-2</v>
      </c>
    </row>
    <row r="177" spans="1:13">
      <c r="A177">
        <v>520</v>
      </c>
      <c r="B177">
        <v>100</v>
      </c>
      <c r="C177">
        <v>65</v>
      </c>
      <c r="D177">
        <v>58</v>
      </c>
      <c r="E177">
        <v>57</v>
      </c>
      <c r="G177">
        <v>-0.76311009110064776</v>
      </c>
      <c r="H177">
        <v>-0.68265902741675644</v>
      </c>
      <c r="I177">
        <v>-0.69949514887630893</v>
      </c>
      <c r="K177">
        <v>-0.71508808913123767</v>
      </c>
      <c r="M177">
        <f t="shared" si="2"/>
        <v>4.2431689234730195E-2</v>
      </c>
    </row>
    <row r="178" spans="1:13">
      <c r="A178">
        <v>830</v>
      </c>
      <c r="B178">
        <v>91</v>
      </c>
      <c r="C178">
        <v>49</v>
      </c>
      <c r="D178">
        <v>53</v>
      </c>
      <c r="E178">
        <v>59</v>
      </c>
      <c r="G178">
        <v>-0.84486876003608335</v>
      </c>
      <c r="H178">
        <v>-0.68085254369999815</v>
      </c>
      <c r="I178">
        <v>-0.64355938522774969</v>
      </c>
      <c r="K178">
        <v>-0.72309356298794381</v>
      </c>
      <c r="M178">
        <f t="shared" si="2"/>
        <v>0.10709618984489506</v>
      </c>
    </row>
    <row r="179" spans="1:13">
      <c r="A179">
        <v>462</v>
      </c>
      <c r="B179">
        <v>103</v>
      </c>
      <c r="C179">
        <v>56</v>
      </c>
      <c r="D179">
        <v>52</v>
      </c>
      <c r="E179">
        <v>74</v>
      </c>
      <c r="G179">
        <v>-0.84067264544247511</v>
      </c>
      <c r="H179">
        <v>-0.74292090205006667</v>
      </c>
      <c r="I179">
        <v>-0.59897550952299627</v>
      </c>
      <c r="K179">
        <v>-0.72752301900517935</v>
      </c>
      <c r="M179">
        <f t="shared" si="2"/>
        <v>0.12158206068173763</v>
      </c>
    </row>
    <row r="180" spans="1:13">
      <c r="A180">
        <v>532</v>
      </c>
      <c r="B180">
        <v>261</v>
      </c>
      <c r="C180">
        <v>146</v>
      </c>
      <c r="D180">
        <v>156</v>
      </c>
      <c r="E180">
        <v>152</v>
      </c>
      <c r="G180">
        <v>-0.82831109929734725</v>
      </c>
      <c r="H180">
        <v>-0.669602929963513</v>
      </c>
      <c r="I180">
        <v>-0.69016692394230872</v>
      </c>
      <c r="K180">
        <v>-0.7293603177343897</v>
      </c>
      <c r="M180">
        <f t="shared" si="2"/>
        <v>8.6308529943627796E-2</v>
      </c>
    </row>
    <row r="181" spans="1:13">
      <c r="A181">
        <v>381</v>
      </c>
      <c r="B181">
        <v>228</v>
      </c>
      <c r="C181">
        <v>166</v>
      </c>
      <c r="D181">
        <v>100</v>
      </c>
      <c r="E181">
        <v>124</v>
      </c>
      <c r="G181">
        <v>-0.71385020670390198</v>
      </c>
      <c r="H181">
        <v>-0.80402186798014741</v>
      </c>
      <c r="I181">
        <v>-0.71988316638701899</v>
      </c>
      <c r="K181">
        <v>-0.74591841369035616</v>
      </c>
      <c r="M181">
        <f t="shared" si="2"/>
        <v>5.0409400918270474E-2</v>
      </c>
    </row>
    <row r="182" spans="1:13">
      <c r="A182">
        <v>500</v>
      </c>
      <c r="B182">
        <v>141</v>
      </c>
      <c r="C182">
        <v>86</v>
      </c>
      <c r="D182">
        <v>67</v>
      </c>
      <c r="E182">
        <v>82</v>
      </c>
      <c r="G182">
        <v>-0.79074410915531557</v>
      </c>
      <c r="H182">
        <v>-0.76923133093424712</v>
      </c>
      <c r="I182">
        <v>-0.69077526482046347</v>
      </c>
      <c r="K182">
        <v>-0.75025023497000876</v>
      </c>
      <c r="M182">
        <f t="shared" si="2"/>
        <v>5.2618000365029005E-2</v>
      </c>
    </row>
    <row r="183" spans="1:13">
      <c r="A183">
        <v>473</v>
      </c>
      <c r="B183">
        <v>155</v>
      </c>
      <c r="C183">
        <v>68</v>
      </c>
      <c r="D183">
        <v>86</v>
      </c>
      <c r="E183">
        <v>98</v>
      </c>
      <c r="G183">
        <v>-0.93384623320755855</v>
      </c>
      <c r="H183">
        <v>-0.70192026790641737</v>
      </c>
      <c r="I183">
        <v>-0.65447562702659701</v>
      </c>
      <c r="K183">
        <v>-0.76341404271352431</v>
      </c>
      <c r="M183">
        <f t="shared" si="2"/>
        <v>0.14949279967443185</v>
      </c>
    </row>
    <row r="184" spans="1:13">
      <c r="A184">
        <v>762</v>
      </c>
      <c r="B184">
        <v>119</v>
      </c>
      <c r="C184">
        <v>62</v>
      </c>
      <c r="D184">
        <v>44</v>
      </c>
      <c r="E184">
        <v>82</v>
      </c>
      <c r="G184">
        <v>-0.85917871963778025</v>
      </c>
      <c r="H184">
        <v>-0.87818130588603704</v>
      </c>
      <c r="I184">
        <v>-0.61710311355761438</v>
      </c>
      <c r="K184">
        <v>-0.78482104636047723</v>
      </c>
      <c r="M184">
        <f t="shared" si="2"/>
        <v>0.14555841888664389</v>
      </c>
    </row>
    <row r="185" spans="1:13">
      <c r="A185">
        <v>491</v>
      </c>
      <c r="B185">
        <v>46</v>
      </c>
      <c r="C185">
        <v>18</v>
      </c>
      <c r="D185">
        <v>31</v>
      </c>
      <c r="E185">
        <v>22</v>
      </c>
      <c r="G185">
        <v>-0.98350877432177131</v>
      </c>
      <c r="H185">
        <v>-0.61748315882699512</v>
      </c>
      <c r="I185">
        <v>-0.77570515540816809</v>
      </c>
      <c r="K185">
        <v>-0.79223236285231147</v>
      </c>
      <c r="M185">
        <f t="shared" si="2"/>
        <v>0.18357164606498694</v>
      </c>
    </row>
    <row r="186" spans="1:13">
      <c r="A186">
        <v>878</v>
      </c>
      <c r="B186">
        <v>132</v>
      </c>
      <c r="C186">
        <v>84</v>
      </c>
      <c r="D186">
        <v>59</v>
      </c>
      <c r="E186">
        <v>56</v>
      </c>
      <c r="G186">
        <v>-0.77231809288747155</v>
      </c>
      <c r="H186">
        <v>-0.79580894054339935</v>
      </c>
      <c r="I186">
        <v>-0.82775590874844973</v>
      </c>
      <c r="K186">
        <v>-0.79862764739310688</v>
      </c>
      <c r="M186">
        <f t="shared" si="2"/>
        <v>2.7826187092150661E-2</v>
      </c>
    </row>
    <row r="187" spans="1:13">
      <c r="A187">
        <v>800</v>
      </c>
      <c r="B187">
        <v>245</v>
      </c>
      <c r="C187">
        <v>114</v>
      </c>
      <c r="D187">
        <v>84</v>
      </c>
      <c r="E187">
        <v>154</v>
      </c>
      <c r="G187">
        <v>-0.90828468077156321</v>
      </c>
      <c r="H187">
        <v>-0.91097381928234444</v>
      </c>
      <c r="I187">
        <v>-0.65701536807686967</v>
      </c>
      <c r="K187">
        <v>-0.82542462271025918</v>
      </c>
      <c r="M187">
        <f t="shared" si="2"/>
        <v>0.1458528904448344</v>
      </c>
    </row>
    <row r="188" spans="1:13">
      <c r="A188">
        <v>499</v>
      </c>
      <c r="B188">
        <v>70</v>
      </c>
      <c r="C188">
        <v>39</v>
      </c>
      <c r="D188">
        <v>23</v>
      </c>
      <c r="E188">
        <v>33</v>
      </c>
      <c r="G188">
        <v>-0.83005688073126094</v>
      </c>
      <c r="H188">
        <v>-0.92945722497635763</v>
      </c>
      <c r="I188">
        <v>-0.78195410468516968</v>
      </c>
      <c r="K188">
        <v>-0.84715607013092942</v>
      </c>
      <c r="M188">
        <f t="shared" si="2"/>
        <v>7.5223529114921667E-2</v>
      </c>
    </row>
    <row r="189" spans="1:13">
      <c r="A189">
        <v>905</v>
      </c>
      <c r="B189">
        <v>277</v>
      </c>
      <c r="C189">
        <v>107</v>
      </c>
      <c r="D189">
        <v>115</v>
      </c>
      <c r="E189">
        <v>147</v>
      </c>
      <c r="G189">
        <v>-0.98911943912274225</v>
      </c>
      <c r="H189">
        <v>-0.82786894969053049</v>
      </c>
      <c r="I189">
        <v>-0.73053243886507269</v>
      </c>
      <c r="K189">
        <v>-0.84917360922611518</v>
      </c>
      <c r="M189">
        <f t="shared" si="2"/>
        <v>0.1306033137558556</v>
      </c>
    </row>
    <row r="190" spans="1:13">
      <c r="A190">
        <v>728</v>
      </c>
      <c r="B190">
        <v>373</v>
      </c>
      <c r="C190">
        <v>158</v>
      </c>
      <c r="D190">
        <v>158</v>
      </c>
      <c r="E190">
        <v>175</v>
      </c>
      <c r="G190">
        <v>-0.94907519259776829</v>
      </c>
      <c r="H190">
        <v>-0.81913876583395862</v>
      </c>
      <c r="I190">
        <v>-0.78404078767119345</v>
      </c>
      <c r="K190">
        <v>-0.85075158203430679</v>
      </c>
      <c r="M190">
        <f t="shared" si="2"/>
        <v>8.6940303159437599E-2</v>
      </c>
    </row>
    <row r="191" spans="1:13">
      <c r="A191">
        <v>128</v>
      </c>
      <c r="B191">
        <v>100</v>
      </c>
      <c r="C191">
        <v>40</v>
      </c>
      <c r="D191">
        <v>45</v>
      </c>
      <c r="E191">
        <v>46</v>
      </c>
      <c r="G191">
        <v>-0.97396345641554094</v>
      </c>
      <c r="H191">
        <v>-0.79287450720434993</v>
      </c>
      <c r="I191">
        <v>-0.79261217286722618</v>
      </c>
      <c r="K191">
        <v>-0.85315004549570561</v>
      </c>
      <c r="M191">
        <f t="shared" si="2"/>
        <v>0.10462756519383329</v>
      </c>
    </row>
    <row r="192" spans="1:13">
      <c r="A192">
        <v>528</v>
      </c>
      <c r="B192">
        <v>59</v>
      </c>
      <c r="C192">
        <v>32</v>
      </c>
      <c r="D192">
        <v>16</v>
      </c>
      <c r="E192">
        <v>32</v>
      </c>
      <c r="G192">
        <v>-0.84172548106574152</v>
      </c>
      <c r="H192">
        <v>-1.0128190499659131</v>
      </c>
      <c r="I192">
        <v>-0.72107203787103846</v>
      </c>
      <c r="K192">
        <v>-0.85853885630089766</v>
      </c>
      <c r="M192">
        <f t="shared" si="2"/>
        <v>0.14659842071683582</v>
      </c>
    </row>
    <row r="193" spans="1:13">
      <c r="A193">
        <v>780</v>
      </c>
      <c r="B193">
        <v>465</v>
      </c>
      <c r="C193">
        <v>131</v>
      </c>
      <c r="D193">
        <v>392</v>
      </c>
      <c r="E193">
        <v>133</v>
      </c>
      <c r="G193">
        <v>-1.1262051049776929</v>
      </c>
      <c r="H193">
        <v>-0.52025390684919037</v>
      </c>
      <c r="I193">
        <v>-0.99897131647166837</v>
      </c>
      <c r="K193">
        <v>-0.88181010943285054</v>
      </c>
      <c r="M193">
        <f t="shared" si="2"/>
        <v>0.31951412324721457</v>
      </c>
    </row>
    <row r="194" spans="1:13">
      <c r="A194">
        <v>756</v>
      </c>
      <c r="B194">
        <v>282</v>
      </c>
      <c r="C194">
        <v>129</v>
      </c>
      <c r="D194">
        <v>94</v>
      </c>
      <c r="E194">
        <v>122</v>
      </c>
      <c r="G194">
        <v>-0.91568284576361547</v>
      </c>
      <c r="H194">
        <v>-0.92320827569935604</v>
      </c>
      <c r="I194">
        <v>-0.81925928219341315</v>
      </c>
      <c r="K194">
        <v>-0.88605013455212822</v>
      </c>
      <c r="M194">
        <f t="shared" si="2"/>
        <v>5.7964829793868897E-2</v>
      </c>
    </row>
    <row r="195" spans="1:13">
      <c r="A195">
        <v>754</v>
      </c>
      <c r="B195">
        <v>155</v>
      </c>
      <c r="C195">
        <v>46</v>
      </c>
      <c r="D195">
        <v>59</v>
      </c>
      <c r="E195">
        <v>77</v>
      </c>
      <c r="G195">
        <v>-1.1035973142322208</v>
      </c>
      <c r="H195">
        <v>-0.86556670750784104</v>
      </c>
      <c r="I195">
        <v>-0.75921097754660982</v>
      </c>
      <c r="K195">
        <v>-0.90945833309555724</v>
      </c>
      <c r="M195">
        <f t="shared" ref="M195:M258" si="3">STDEV(G195:I195)</f>
        <v>0.17633871759055891</v>
      </c>
    </row>
    <row r="196" spans="1:13">
      <c r="A196">
        <v>485</v>
      </c>
      <c r="B196">
        <v>40</v>
      </c>
      <c r="C196">
        <v>12</v>
      </c>
      <c r="D196">
        <v>11</v>
      </c>
      <c r="E196">
        <v>20</v>
      </c>
      <c r="G196">
        <v>-1.098902193023841</v>
      </c>
      <c r="H196">
        <v>-1.006754327149431</v>
      </c>
      <c r="I196">
        <v>-0.75640000021278153</v>
      </c>
      <c r="K196">
        <v>-0.95401884012868454</v>
      </c>
      <c r="M196">
        <f t="shared" si="3"/>
        <v>0.17723631601221654</v>
      </c>
    </row>
    <row r="197" spans="1:13">
      <c r="A197">
        <v>805</v>
      </c>
      <c r="B197">
        <v>354</v>
      </c>
      <c r="C197">
        <v>117</v>
      </c>
      <c r="D197">
        <v>106</v>
      </c>
      <c r="E197">
        <v>143</v>
      </c>
      <c r="G197">
        <v>-1.0568408480231295</v>
      </c>
      <c r="H197">
        <v>-0.96978441774071122</v>
      </c>
      <c r="I197">
        <v>-0.84903722910952628</v>
      </c>
      <c r="K197">
        <v>-0.95855416495778911</v>
      </c>
      <c r="M197">
        <f t="shared" si="3"/>
        <v>0.10435600098496377</v>
      </c>
    </row>
    <row r="198" spans="1:13">
      <c r="A198">
        <v>492</v>
      </c>
      <c r="B198">
        <v>27</v>
      </c>
      <c r="C198">
        <v>12</v>
      </c>
      <c r="D198">
        <v>8</v>
      </c>
      <c r="E198">
        <v>8</v>
      </c>
      <c r="G198">
        <v>-0.92820596585486581</v>
      </c>
      <c r="H198">
        <v>-0.97436079814673737</v>
      </c>
      <c r="I198">
        <v>-0.98364378171584399</v>
      </c>
      <c r="K198">
        <v>-0.96207018190581561</v>
      </c>
      <c r="M198">
        <f t="shared" si="3"/>
        <v>2.9692293487454554E-2</v>
      </c>
    </row>
    <row r="199" spans="1:13">
      <c r="A199">
        <v>430</v>
      </c>
      <c r="B199">
        <v>109</v>
      </c>
      <c r="C199">
        <v>49</v>
      </c>
      <c r="D199">
        <v>22</v>
      </c>
      <c r="E199">
        <v>44</v>
      </c>
      <c r="G199">
        <v>-0.92325386565561329</v>
      </c>
      <c r="H199">
        <v>-1.1410908380981111</v>
      </c>
      <c r="I199">
        <v>-0.84934382600323644</v>
      </c>
      <c r="K199">
        <v>-0.97122950991898682</v>
      </c>
      <c r="M199">
        <f t="shared" si="3"/>
        <v>0.15167506913938175</v>
      </c>
    </row>
    <row r="200" spans="1:13">
      <c r="A200">
        <v>761</v>
      </c>
      <c r="B200">
        <v>168</v>
      </c>
      <c r="C200">
        <v>49</v>
      </c>
      <c r="D200">
        <v>44</v>
      </c>
      <c r="E200">
        <v>75</v>
      </c>
      <c r="G200">
        <v>-1.1111366494408526</v>
      </c>
      <c r="H200">
        <v>-1.0279436262193691</v>
      </c>
      <c r="I200">
        <v>-0.80561802288296303</v>
      </c>
      <c r="K200">
        <v>-0.98156609951439489</v>
      </c>
      <c r="M200">
        <f t="shared" si="3"/>
        <v>0.1579511444431704</v>
      </c>
    </row>
    <row r="201" spans="1:13">
      <c r="A201">
        <v>863</v>
      </c>
      <c r="B201">
        <v>232</v>
      </c>
      <c r="C201">
        <v>69</v>
      </c>
      <c r="D201">
        <v>68</v>
      </c>
      <c r="E201">
        <v>65</v>
      </c>
      <c r="G201">
        <v>-1.1026623418971475</v>
      </c>
      <c r="H201">
        <v>-0.979066093164357</v>
      </c>
      <c r="I201">
        <v>-1.0079446327968444</v>
      </c>
      <c r="K201">
        <v>-1.0298910226194498</v>
      </c>
      <c r="M201">
        <f t="shared" si="3"/>
        <v>6.4654784779541008E-2</v>
      </c>
    </row>
    <row r="202" spans="1:13">
      <c r="A202">
        <v>445</v>
      </c>
      <c r="B202">
        <v>122</v>
      </c>
      <c r="C202">
        <v>37</v>
      </c>
      <c r="D202">
        <v>26</v>
      </c>
      <c r="E202">
        <v>37</v>
      </c>
      <c r="G202">
        <v>-1.0941815543512565</v>
      </c>
      <c r="H202">
        <v>-1.1174735036836241</v>
      </c>
      <c r="I202">
        <v>-0.97352811115655347</v>
      </c>
      <c r="K202">
        <v>-1.0617277230638111</v>
      </c>
      <c r="M202">
        <f t="shared" si="3"/>
        <v>7.7265822854406821E-2</v>
      </c>
    </row>
    <row r="203" spans="1:13">
      <c r="A203">
        <v>889</v>
      </c>
      <c r="B203">
        <v>259</v>
      </c>
      <c r="C203">
        <v>47</v>
      </c>
      <c r="D203">
        <v>61</v>
      </c>
      <c r="E203">
        <v>92</v>
      </c>
      <c r="G203">
        <v>-1.3172253538890377</v>
      </c>
      <c r="H203">
        <v>-1.0740569500501784</v>
      </c>
      <c r="I203">
        <v>-0.90488194128449684</v>
      </c>
      <c r="K203">
        <v>-1.0987214150745712</v>
      </c>
      <c r="M203">
        <f t="shared" si="3"/>
        <v>0.20727523816364002</v>
      </c>
    </row>
    <row r="204" spans="1:13">
      <c r="A204">
        <v>404</v>
      </c>
      <c r="B204">
        <v>91</v>
      </c>
      <c r="C204">
        <v>26</v>
      </c>
      <c r="D204">
        <v>22</v>
      </c>
      <c r="E204">
        <v>20</v>
      </c>
      <c r="G204">
        <v>-1.120091492093779</v>
      </c>
      <c r="H204">
        <v>-1.0627057324785811</v>
      </c>
      <c r="I204">
        <v>-1.1133814012059127</v>
      </c>
      <c r="K204">
        <v>-1.0987262085927576</v>
      </c>
      <c r="M204">
        <f t="shared" si="3"/>
        <v>3.1374549471662933E-2</v>
      </c>
    </row>
    <row r="205" spans="1:13">
      <c r="A205">
        <v>808</v>
      </c>
      <c r="B205">
        <v>210</v>
      </c>
      <c r="C205">
        <v>29</v>
      </c>
      <c r="D205">
        <v>56</v>
      </c>
      <c r="E205">
        <v>65</v>
      </c>
      <c r="G205">
        <v>-1.4358447445784663</v>
      </c>
      <c r="H205">
        <v>-1.0201182887074125</v>
      </c>
      <c r="I205">
        <v>-0.964675942639864</v>
      </c>
      <c r="K205">
        <v>-1.1402129919752475</v>
      </c>
      <c r="M205">
        <f t="shared" si="3"/>
        <v>0.25752099583297328</v>
      </c>
    </row>
    <row r="206" spans="1:13">
      <c r="A206">
        <v>389</v>
      </c>
      <c r="B206">
        <v>195</v>
      </c>
      <c r="C206">
        <v>32</v>
      </c>
      <c r="D206">
        <v>36</v>
      </c>
      <c r="E206">
        <v>58</v>
      </c>
      <c r="G206">
        <v>-1.3609080807861154</v>
      </c>
      <c r="H206">
        <v>-1.1798191315749245</v>
      </c>
      <c r="I206">
        <v>-0.98197662234838101</v>
      </c>
      <c r="K206">
        <v>-1.1742346115698068</v>
      </c>
      <c r="M206">
        <f t="shared" si="3"/>
        <v>0.18952744575971792</v>
      </c>
    </row>
    <row r="207" spans="1:13">
      <c r="A207">
        <v>384</v>
      </c>
      <c r="B207">
        <v>63</v>
      </c>
      <c r="C207">
        <v>11</v>
      </c>
      <c r="D207">
        <v>12</v>
      </c>
      <c r="E207">
        <v>17</v>
      </c>
      <c r="G207">
        <v>-1.3339713120388601</v>
      </c>
      <c r="H207">
        <v>-1.1662463243856505</v>
      </c>
      <c r="I207">
        <v>-1.0242616326241081</v>
      </c>
      <c r="K207">
        <v>-1.1748264230162062</v>
      </c>
      <c r="M207">
        <f t="shared" si="3"/>
        <v>0.15503301245276835</v>
      </c>
    </row>
    <row r="208" spans="1:13">
      <c r="A208">
        <v>829</v>
      </c>
      <c r="B208">
        <v>217</v>
      </c>
      <c r="C208">
        <v>39</v>
      </c>
      <c r="D208">
        <v>36</v>
      </c>
      <c r="E208">
        <v>46</v>
      </c>
      <c r="G208">
        <v>-1.3214185745655338</v>
      </c>
      <c r="H208">
        <v>-1.2262442540609357</v>
      </c>
      <c r="I208">
        <v>-1.1290719067157557</v>
      </c>
      <c r="K208">
        <v>-1.2255782451140751</v>
      </c>
      <c r="M208">
        <f t="shared" si="3"/>
        <v>9.6175063473679004E-2</v>
      </c>
    </row>
    <row r="209" spans="1:13">
      <c r="A209">
        <v>753</v>
      </c>
      <c r="B209">
        <v>65</v>
      </c>
      <c r="C209">
        <v>12</v>
      </c>
      <c r="D209">
        <v>7</v>
      </c>
      <c r="E209">
        <v>20</v>
      </c>
      <c r="G209">
        <v>-1.3097555583387339</v>
      </c>
      <c r="H209">
        <v>-1.4139023376082924</v>
      </c>
      <c r="I209">
        <v>-0.9672533655276746</v>
      </c>
      <c r="K209">
        <v>-1.2303037538249002</v>
      </c>
      <c r="M209">
        <f t="shared" si="3"/>
        <v>0.23368412011847667</v>
      </c>
    </row>
    <row r="210" spans="1:13">
      <c r="A210">
        <v>799</v>
      </c>
      <c r="B210">
        <v>227</v>
      </c>
      <c r="C210">
        <v>46</v>
      </c>
      <c r="D210">
        <v>27</v>
      </c>
      <c r="E210">
        <v>57</v>
      </c>
      <c r="G210">
        <v>-1.269291473255052</v>
      </c>
      <c r="H210">
        <v>-1.370749114013829</v>
      </c>
      <c r="I210">
        <v>-1.0555210060694316</v>
      </c>
      <c r="K210">
        <v>-1.2318538644461041</v>
      </c>
      <c r="M210">
        <f t="shared" si="3"/>
        <v>0.16091417254098575</v>
      </c>
    </row>
    <row r="211" spans="1:13">
      <c r="A211">
        <v>857</v>
      </c>
      <c r="B211">
        <v>202</v>
      </c>
      <c r="C211">
        <v>45</v>
      </c>
      <c r="D211">
        <v>42</v>
      </c>
      <c r="E211">
        <v>25</v>
      </c>
      <c r="G211">
        <v>-1.2281623034147833</v>
      </c>
      <c r="H211">
        <v>-1.128189100028417</v>
      </c>
      <c r="I211">
        <v>-1.3627813653233865</v>
      </c>
      <c r="K211">
        <v>-1.2397109229221954</v>
      </c>
      <c r="M211">
        <f t="shared" si="3"/>
        <v>0.11772175114842444</v>
      </c>
    </row>
    <row r="212" spans="1:13">
      <c r="A212">
        <v>515</v>
      </c>
      <c r="B212">
        <v>217</v>
      </c>
      <c r="C212">
        <v>38</v>
      </c>
      <c r="D212">
        <v>37</v>
      </c>
      <c r="E212">
        <v>39</v>
      </c>
      <c r="G212">
        <v>-1.3326995849752228</v>
      </c>
      <c r="H212">
        <v>-1.214345030761228</v>
      </c>
      <c r="I212">
        <v>-1.2007651313708307</v>
      </c>
      <c r="K212">
        <v>-1.2492699157024272</v>
      </c>
      <c r="M212">
        <f t="shared" si="3"/>
        <v>7.2570556723022109E-2</v>
      </c>
    </row>
    <row r="213" spans="1:13">
      <c r="A213">
        <v>743</v>
      </c>
      <c r="B213">
        <v>188</v>
      </c>
      <c r="C213">
        <v>33</v>
      </c>
      <c r="D213">
        <v>25</v>
      </c>
      <c r="E213">
        <v>41</v>
      </c>
      <c r="G213">
        <v>-1.3316673571292958</v>
      </c>
      <c r="H213">
        <v>-1.322304861571336</v>
      </c>
      <c r="I213">
        <v>-1.1167439970927446</v>
      </c>
      <c r="K213">
        <v>-1.2569054052644588</v>
      </c>
      <c r="M213">
        <f t="shared" si="3"/>
        <v>0.12147357464188088</v>
      </c>
    </row>
    <row r="214" spans="1:13">
      <c r="A214">
        <v>903</v>
      </c>
      <c r="B214">
        <v>196</v>
      </c>
      <c r="C214">
        <v>30</v>
      </c>
      <c r="D214">
        <v>29</v>
      </c>
      <c r="E214">
        <v>43</v>
      </c>
      <c r="G214">
        <v>-1.3911582643803171</v>
      </c>
      <c r="H214">
        <v>-1.2759450944372137</v>
      </c>
      <c r="I214">
        <v>-1.1141576203256898</v>
      </c>
      <c r="K214">
        <v>-1.2604203263810734</v>
      </c>
      <c r="M214">
        <f t="shared" si="3"/>
        <v>0.13915136729140429</v>
      </c>
    </row>
    <row r="215" spans="1:13">
      <c r="A215">
        <v>358</v>
      </c>
      <c r="B215">
        <v>47</v>
      </c>
      <c r="C215">
        <v>6</v>
      </c>
      <c r="D215">
        <v>8</v>
      </c>
      <c r="E215">
        <v>9</v>
      </c>
      <c r="G215">
        <v>-1.4699700552955772</v>
      </c>
      <c r="H215">
        <v>-1.2150948919234676</v>
      </c>
      <c r="I215">
        <v>-1.1732253530451928</v>
      </c>
      <c r="K215">
        <v>-1.2860967667547458</v>
      </c>
      <c r="M215">
        <f t="shared" si="3"/>
        <v>0.16060916614746726</v>
      </c>
    </row>
    <row r="216" spans="1:13">
      <c r="A216">
        <v>888</v>
      </c>
      <c r="B216">
        <v>97</v>
      </c>
      <c r="C216">
        <v>9</v>
      </c>
      <c r="D216">
        <v>13</v>
      </c>
      <c r="E216">
        <v>28</v>
      </c>
      <c r="G216">
        <v>-1.6085526725704233</v>
      </c>
      <c r="H216">
        <v>-1.3189154029391017</v>
      </c>
      <c r="I216">
        <v>-0.99498370747282594</v>
      </c>
      <c r="K216">
        <v>-1.3074839276607837</v>
      </c>
      <c r="M216">
        <f t="shared" si="3"/>
        <v>0.30694417685144798</v>
      </c>
    </row>
    <row r="217" spans="1:13">
      <c r="A217">
        <v>409</v>
      </c>
      <c r="B217">
        <v>153</v>
      </c>
      <c r="C217">
        <v>18</v>
      </c>
      <c r="D217">
        <v>28</v>
      </c>
      <c r="E217">
        <v>24</v>
      </c>
      <c r="G217">
        <v>-1.5054423734577962</v>
      </c>
      <c r="H217">
        <v>-1.1836204204550733</v>
      </c>
      <c r="I217">
        <v>-1.2598501936547932</v>
      </c>
      <c r="K217">
        <v>-1.3163043291892209</v>
      </c>
      <c r="M217">
        <f t="shared" si="3"/>
        <v>0.168174446402614</v>
      </c>
    </row>
    <row r="218" spans="1:13">
      <c r="A218">
        <v>864</v>
      </c>
      <c r="B218">
        <v>108</v>
      </c>
      <c r="C218">
        <v>20</v>
      </c>
      <c r="D218">
        <v>13</v>
      </c>
      <c r="E218">
        <v>16</v>
      </c>
      <c r="G218">
        <v>-1.308417207566472</v>
      </c>
      <c r="H218">
        <v>-1.3655674241598066</v>
      </c>
      <c r="I218">
        <v>-1.2846737773798251</v>
      </c>
      <c r="K218">
        <v>-1.3195528030353678</v>
      </c>
      <c r="M218">
        <f t="shared" si="3"/>
        <v>4.1580604098260435E-2</v>
      </c>
    </row>
    <row r="219" spans="1:13">
      <c r="A219">
        <v>345</v>
      </c>
      <c r="B219">
        <v>351</v>
      </c>
      <c r="C219">
        <v>42</v>
      </c>
      <c r="D219">
        <v>58</v>
      </c>
      <c r="E219">
        <v>57</v>
      </c>
      <c r="G219">
        <v>-1.4980812738114269</v>
      </c>
      <c r="H219">
        <v>-1.2279661438825804</v>
      </c>
      <c r="I219">
        <v>-1.2448022653421329</v>
      </c>
      <c r="K219">
        <v>-1.3236165610120467</v>
      </c>
      <c r="M219">
        <f t="shared" si="3"/>
        <v>0.1513251986801202</v>
      </c>
    </row>
    <row r="220" spans="1:13">
      <c r="A220">
        <v>486</v>
      </c>
      <c r="B220">
        <v>116</v>
      </c>
      <c r="C220">
        <v>16</v>
      </c>
      <c r="D220">
        <v>18</v>
      </c>
      <c r="E220">
        <v>15</v>
      </c>
      <c r="G220">
        <v>-1.4363614543144969</v>
      </c>
      <c r="H220">
        <v>-1.255272505103306</v>
      </c>
      <c r="I220">
        <v>-1.3437367347200375</v>
      </c>
      <c r="K220">
        <v>-1.3451235647126136</v>
      </c>
      <c r="M220">
        <f t="shared" si="3"/>
        <v>9.0552439805201002E-2</v>
      </c>
    </row>
    <row r="221" spans="1:13">
      <c r="A221">
        <v>366</v>
      </c>
      <c r="B221">
        <v>52</v>
      </c>
      <c r="C221">
        <v>9</v>
      </c>
      <c r="D221">
        <v>7</v>
      </c>
      <c r="E221">
        <v>6</v>
      </c>
      <c r="G221">
        <v>-1.3377842819389776</v>
      </c>
      <c r="H221">
        <v>-1.316992324600236</v>
      </c>
      <c r="I221">
        <v>-1.3932220977999559</v>
      </c>
      <c r="K221">
        <v>-1.34933290144639</v>
      </c>
      <c r="M221">
        <f t="shared" si="3"/>
        <v>3.9405234930341683E-2</v>
      </c>
    </row>
    <row r="222" spans="1:13">
      <c r="A222">
        <v>521</v>
      </c>
      <c r="B222">
        <v>175</v>
      </c>
      <c r="C222">
        <v>29</v>
      </c>
      <c r="D222">
        <v>16</v>
      </c>
      <c r="E222">
        <v>24</v>
      </c>
      <c r="G222">
        <v>-1.3566634985308417</v>
      </c>
      <c r="H222">
        <v>-1.4850050870100633</v>
      </c>
      <c r="I222">
        <v>-1.3181968115234888</v>
      </c>
      <c r="K222">
        <v>-1.3866217990214647</v>
      </c>
      <c r="M222">
        <f t="shared" si="3"/>
        <v>8.7346293675897177E-2</v>
      </c>
    </row>
    <row r="223" spans="1:13">
      <c r="A223">
        <v>828</v>
      </c>
      <c r="B223">
        <v>140</v>
      </c>
      <c r="C223">
        <v>26</v>
      </c>
      <c r="D223">
        <v>12</v>
      </c>
      <c r="E223">
        <v>15</v>
      </c>
      <c r="G223">
        <v>-1.3071781354509233</v>
      </c>
      <c r="H223">
        <v>-1.513033810610307</v>
      </c>
      <c r="I223">
        <v>-1.4254067811713571</v>
      </c>
      <c r="K223">
        <v>-1.4152062424108625</v>
      </c>
      <c r="M223">
        <f t="shared" si="3"/>
        <v>0.10330623404269794</v>
      </c>
    </row>
    <row r="224" spans="1:13">
      <c r="A224">
        <v>307</v>
      </c>
      <c r="B224">
        <v>47</v>
      </c>
      <c r="C224">
        <v>6</v>
      </c>
      <c r="D224">
        <v>6</v>
      </c>
      <c r="E224">
        <v>4</v>
      </c>
      <c r="G224">
        <v>-1.4699700552955772</v>
      </c>
      <c r="H224">
        <v>-1.3400336285317676</v>
      </c>
      <c r="I224">
        <v>-1.5254078711565553</v>
      </c>
      <c r="K224">
        <v>-1.4451371849946335</v>
      </c>
      <c r="M224">
        <f t="shared" si="3"/>
        <v>9.5149388031221943E-2</v>
      </c>
    </row>
    <row r="225" spans="1:13">
      <c r="A225">
        <v>788</v>
      </c>
      <c r="B225">
        <v>255</v>
      </c>
      <c r="C225">
        <v>35</v>
      </c>
      <c r="D225">
        <v>21</v>
      </c>
      <c r="E225">
        <v>31</v>
      </c>
      <c r="G225">
        <v>-1.4384955838271827</v>
      </c>
      <c r="H225">
        <v>-1.5304079066797296</v>
      </c>
      <c r="I225">
        <v>-1.3705484911484827</v>
      </c>
      <c r="K225">
        <v>-1.4464839938851319</v>
      </c>
      <c r="M225">
        <f t="shared" si="3"/>
        <v>8.0228543579815931E-2</v>
      </c>
    </row>
    <row r="226" spans="1:13">
      <c r="A226">
        <v>833</v>
      </c>
      <c r="B226">
        <v>169</v>
      </c>
      <c r="C226">
        <v>21</v>
      </c>
      <c r="D226">
        <v>13</v>
      </c>
      <c r="E226">
        <v>24</v>
      </c>
      <c r="G226">
        <v>-1.4816908576232577</v>
      </c>
      <c r="H226">
        <v>-1.5600303732865304</v>
      </c>
      <c r="I226">
        <v>-1.3030454674508678</v>
      </c>
      <c r="K226">
        <v>-1.4482555661202188</v>
      </c>
      <c r="M226">
        <f t="shared" si="3"/>
        <v>0.13171465178658368</v>
      </c>
    </row>
    <row r="227" spans="1:13">
      <c r="A227">
        <v>882</v>
      </c>
      <c r="B227">
        <v>396</v>
      </c>
      <c r="C227">
        <v>51</v>
      </c>
      <c r="D227">
        <v>29</v>
      </c>
      <c r="E227">
        <v>50</v>
      </c>
      <c r="G227">
        <v>-1.4661484575710793</v>
      </c>
      <c r="H227">
        <v>-1.58138420900625</v>
      </c>
      <c r="I227">
        <v>-1.3540951861382937</v>
      </c>
      <c r="K227">
        <v>-1.4672092842385409</v>
      </c>
      <c r="M227">
        <f t="shared" si="3"/>
        <v>0.11364822477267907</v>
      </c>
    </row>
    <row r="228" spans="1:13">
      <c r="A228">
        <v>368</v>
      </c>
      <c r="B228">
        <v>104</v>
      </c>
      <c r="C228">
        <v>10</v>
      </c>
      <c r="D228">
        <v>10</v>
      </c>
      <c r="E228">
        <v>13</v>
      </c>
      <c r="G228">
        <v>-1.5930567870422836</v>
      </c>
      <c r="H228">
        <v>-1.4631203602784739</v>
      </c>
      <c r="I228">
        <v>-1.3584599915407438</v>
      </c>
      <c r="K228">
        <v>-1.4715457129538336</v>
      </c>
      <c r="M228">
        <f t="shared" si="3"/>
        <v>0.11752512089198616</v>
      </c>
    </row>
    <row r="229" spans="1:13">
      <c r="A229">
        <v>536</v>
      </c>
      <c r="B229">
        <v>195</v>
      </c>
      <c r="C229">
        <v>48</v>
      </c>
      <c r="D229">
        <v>10</v>
      </c>
      <c r="E229">
        <v>17</v>
      </c>
      <c r="G229">
        <v>-1.184816821730434</v>
      </c>
      <c r="H229">
        <v>-1.7361216323422117</v>
      </c>
      <c r="I229">
        <v>-1.5149556945330445</v>
      </c>
      <c r="K229">
        <v>-1.4786313828685635</v>
      </c>
      <c r="M229">
        <f t="shared" si="3"/>
        <v>0.27744159793431294</v>
      </c>
    </row>
    <row r="230" spans="1:13">
      <c r="A230">
        <v>224</v>
      </c>
      <c r="B230">
        <v>85</v>
      </c>
      <c r="C230">
        <v>12</v>
      </c>
      <c r="D230">
        <v>10</v>
      </c>
      <c r="E230">
        <v>5</v>
      </c>
      <c r="G230">
        <v>-1.4262611274101713</v>
      </c>
      <c r="H230">
        <v>-1.3755059466939863</v>
      </c>
      <c r="I230">
        <v>-1.6858189259270742</v>
      </c>
      <c r="K230">
        <v>-1.4958620000104104</v>
      </c>
      <c r="M230">
        <f t="shared" si="3"/>
        <v>0.1664534390457727</v>
      </c>
    </row>
    <row r="231" spans="1:13">
      <c r="A231">
        <v>793</v>
      </c>
      <c r="B231">
        <v>217</v>
      </c>
      <c r="C231">
        <v>24</v>
      </c>
      <c r="D231">
        <v>15</v>
      </c>
      <c r="E231">
        <v>27</v>
      </c>
      <c r="G231">
        <v>-1.5322719398804268</v>
      </c>
      <c r="H231">
        <v>-1.6064554957725419</v>
      </c>
      <c r="I231">
        <v>-1.3604659742383425</v>
      </c>
      <c r="K231">
        <v>-1.4997311366304371</v>
      </c>
      <c r="M231">
        <f t="shared" si="3"/>
        <v>0.12618196813836752</v>
      </c>
    </row>
    <row r="232" spans="1:13">
      <c r="A232">
        <v>650</v>
      </c>
      <c r="B232">
        <v>341</v>
      </c>
      <c r="C232">
        <v>38</v>
      </c>
      <c r="D232">
        <v>21</v>
      </c>
      <c r="E232">
        <v>36</v>
      </c>
      <c r="G232">
        <v>-1.5289942301191908</v>
      </c>
      <c r="H232">
        <v>-1.6566221052382721</v>
      </c>
      <c r="I232">
        <v>-1.4318218827740106</v>
      </c>
      <c r="K232">
        <v>-1.5391460727104913</v>
      </c>
      <c r="M232">
        <f t="shared" si="3"/>
        <v>0.11274342524508593</v>
      </c>
    </row>
    <row r="233" spans="1:13">
      <c r="A233">
        <v>862</v>
      </c>
      <c r="B233">
        <v>107</v>
      </c>
      <c r="C233">
        <v>6</v>
      </c>
      <c r="D233">
        <v>9</v>
      </c>
      <c r="E233">
        <v>13</v>
      </c>
      <c r="G233">
        <v>-1.8272559750450694</v>
      </c>
      <c r="H233">
        <v>-1.5212282892255784</v>
      </c>
      <c r="I233">
        <v>-1.3708104299271731</v>
      </c>
      <c r="K233">
        <v>-1.5730982313992736</v>
      </c>
      <c r="M233">
        <f t="shared" si="3"/>
        <v>0.23260159520158163</v>
      </c>
    </row>
    <row r="234" spans="1:13">
      <c r="A234">
        <v>428</v>
      </c>
      <c r="B234">
        <v>127</v>
      </c>
      <c r="C234">
        <v>8</v>
      </c>
      <c r="D234">
        <v>14</v>
      </c>
      <c r="E234">
        <v>10</v>
      </c>
      <c r="G234">
        <v>-1.7767371817075166</v>
      </c>
      <c r="H234">
        <v>-1.4037627062574125</v>
      </c>
      <c r="I234">
        <v>-1.5591737255047571</v>
      </c>
      <c r="K234">
        <v>-1.5798912044898954</v>
      </c>
      <c r="M234">
        <f t="shared" si="3"/>
        <v>0.18734833942670753</v>
      </c>
    </row>
    <row r="235" spans="1:13">
      <c r="A235">
        <v>501</v>
      </c>
      <c r="B235">
        <v>54</v>
      </c>
      <c r="C235">
        <v>3</v>
      </c>
      <c r="D235">
        <v>5</v>
      </c>
      <c r="E235">
        <v>5</v>
      </c>
      <c r="G235">
        <v>-1.8312959528468093</v>
      </c>
      <c r="H235">
        <v>-1.4795107764666433</v>
      </c>
      <c r="I235">
        <v>-1.4887937600357499</v>
      </c>
      <c r="K235">
        <v>-1.5998668297830676</v>
      </c>
      <c r="M235">
        <f t="shared" si="3"/>
        <v>0.20047723735507897</v>
      </c>
    </row>
    <row r="236" spans="1:13">
      <c r="A236">
        <v>747</v>
      </c>
      <c r="B236">
        <v>84</v>
      </c>
      <c r="C236">
        <v>6</v>
      </c>
      <c r="D236">
        <v>9</v>
      </c>
      <c r="E236">
        <v>5</v>
      </c>
      <c r="G236">
        <v>-1.7221514834217413</v>
      </c>
      <c r="H236">
        <v>-1.4161237976022505</v>
      </c>
      <c r="I236">
        <v>-1.6806792862746631</v>
      </c>
      <c r="K236">
        <v>-1.6063181890995517</v>
      </c>
      <c r="M236">
        <f t="shared" si="3"/>
        <v>0.16601329977391277</v>
      </c>
    </row>
    <row r="237" spans="1:13">
      <c r="A237">
        <v>803</v>
      </c>
      <c r="B237">
        <v>293</v>
      </c>
      <c r="C237">
        <v>17</v>
      </c>
      <c r="D237">
        <v>21</v>
      </c>
      <c r="E237">
        <v>32</v>
      </c>
      <c r="G237">
        <v>-1.8124421467193388</v>
      </c>
      <c r="H237">
        <v>-1.5907353465998839</v>
      </c>
      <c r="I237">
        <v>-1.4170876465830038</v>
      </c>
      <c r="K237">
        <v>-1.6067550466340756</v>
      </c>
      <c r="M237">
        <f t="shared" si="3"/>
        <v>0.19816348878237361</v>
      </c>
    </row>
    <row r="238" spans="1:13">
      <c r="A238">
        <v>361</v>
      </c>
      <c r="B238">
        <v>77</v>
      </c>
      <c r="C238">
        <v>10</v>
      </c>
      <c r="D238">
        <v>5</v>
      </c>
      <c r="E238">
        <v>4</v>
      </c>
      <c r="G238">
        <v>-1.4625141729159852</v>
      </c>
      <c r="H238">
        <v>-1.6336077418161568</v>
      </c>
      <c r="I238">
        <v>-1.7398007383933198</v>
      </c>
      <c r="K238">
        <v>-1.611974217708487</v>
      </c>
      <c r="M238">
        <f t="shared" si="3"/>
        <v>0.13990341980288362</v>
      </c>
    </row>
    <row r="239" spans="1:13">
      <c r="A239">
        <v>471</v>
      </c>
      <c r="B239">
        <v>270</v>
      </c>
      <c r="C239">
        <v>24</v>
      </c>
      <c r="D239">
        <v>17</v>
      </c>
      <c r="E239">
        <v>20</v>
      </c>
      <c r="G239">
        <v>-1.6271759701908846</v>
      </c>
      <c r="H239">
        <v>-1.6470018637604071</v>
      </c>
      <c r="I239">
        <v>-1.5857037730438064</v>
      </c>
      <c r="K239">
        <v>-1.6199605356650328</v>
      </c>
      <c r="M239">
        <f t="shared" si="3"/>
        <v>3.1279559666382691E-2</v>
      </c>
    </row>
    <row r="240" spans="1:13">
      <c r="A240">
        <v>324</v>
      </c>
      <c r="B240">
        <v>64</v>
      </c>
      <c r="C240">
        <v>3</v>
      </c>
      <c r="D240">
        <v>6</v>
      </c>
      <c r="E240">
        <v>6</v>
      </c>
      <c r="G240">
        <v>-1.905082167007728</v>
      </c>
      <c r="H240">
        <v>-1.4741157445799371</v>
      </c>
      <c r="I240">
        <v>-1.4833987281490437</v>
      </c>
      <c r="K240">
        <v>-1.620865546578903</v>
      </c>
      <c r="M240">
        <f t="shared" si="3"/>
        <v>0.24618257237662911</v>
      </c>
    </row>
    <row r="241" spans="1:13">
      <c r="A241">
        <v>13</v>
      </c>
      <c r="B241">
        <v>121</v>
      </c>
      <c r="C241">
        <v>9</v>
      </c>
      <c r="D241">
        <v>6</v>
      </c>
      <c r="E241">
        <v>13</v>
      </c>
      <c r="G241">
        <v>-1.7045663086206286</v>
      </c>
      <c r="H241">
        <v>-1.7507211409125001</v>
      </c>
      <c r="I241">
        <v>-1.4242120225584136</v>
      </c>
      <c r="K241">
        <v>-1.626499824030514</v>
      </c>
      <c r="M241">
        <f t="shared" si="3"/>
        <v>0.17669983900469366</v>
      </c>
    </row>
    <row r="242" spans="1:13">
      <c r="A242">
        <v>329</v>
      </c>
      <c r="B242">
        <v>304</v>
      </c>
      <c r="C242">
        <v>16</v>
      </c>
      <c r="D242">
        <v>29</v>
      </c>
      <c r="E242">
        <v>23</v>
      </c>
      <c r="G242">
        <v>-1.8547770486963324</v>
      </c>
      <c r="H242">
        <v>-1.4665626066894912</v>
      </c>
      <c r="I242">
        <v>-1.5765157521399611</v>
      </c>
      <c r="K242">
        <v>-1.6326184691752619</v>
      </c>
      <c r="M242">
        <f t="shared" si="3"/>
        <v>0.20009560062562098</v>
      </c>
    </row>
    <row r="243" spans="1:13">
      <c r="A243">
        <v>724</v>
      </c>
      <c r="B243">
        <v>110</v>
      </c>
      <c r="C243">
        <v>5</v>
      </c>
      <c r="D243">
        <v>10</v>
      </c>
      <c r="E243">
        <v>8</v>
      </c>
      <c r="G243">
        <v>-1.9184461285657095</v>
      </c>
      <c r="H243">
        <v>-1.4874797061379186</v>
      </c>
      <c r="I243">
        <v>-1.5936727027150817</v>
      </c>
      <c r="K243">
        <v>-1.6665328458062365</v>
      </c>
      <c r="M243">
        <f t="shared" si="3"/>
        <v>0.22453165623916244</v>
      </c>
    </row>
    <row r="244" spans="1:13">
      <c r="A244">
        <v>144</v>
      </c>
      <c r="B244">
        <v>99</v>
      </c>
      <c r="C244">
        <v>8</v>
      </c>
      <c r="D244">
        <v>5</v>
      </c>
      <c r="E244">
        <v>7</v>
      </c>
      <c r="G244">
        <v>-1.6685686553491097</v>
      </c>
      <c r="H244">
        <v>-1.7427522112412248</v>
      </c>
      <c r="I244">
        <v>-1.6059071591320935</v>
      </c>
      <c r="K244">
        <v>-1.6724093419074759</v>
      </c>
      <c r="M244">
        <f t="shared" si="3"/>
        <v>6.850332274143664E-2</v>
      </c>
    </row>
    <row r="245" spans="1:13">
      <c r="A245">
        <v>814</v>
      </c>
      <c r="B245">
        <v>152</v>
      </c>
      <c r="C245">
        <v>14</v>
      </c>
      <c r="D245">
        <v>6</v>
      </c>
      <c r="E245">
        <v>12</v>
      </c>
      <c r="G245">
        <v>-1.6117390000100378</v>
      </c>
      <c r="H245">
        <v>-1.8497793585408226</v>
      </c>
      <c r="I245">
        <v>-1.558032346445948</v>
      </c>
      <c r="K245">
        <v>-1.6731835683322693</v>
      </c>
      <c r="M245">
        <f t="shared" si="3"/>
        <v>0.15527606383084541</v>
      </c>
    </row>
    <row r="246" spans="1:13">
      <c r="A246">
        <v>29</v>
      </c>
      <c r="B246">
        <v>396</v>
      </c>
      <c r="C246">
        <v>17</v>
      </c>
      <c r="D246">
        <v>50</v>
      </c>
      <c r="E246">
        <v>19</v>
      </c>
      <c r="G246">
        <v>-1.9432697122907416</v>
      </c>
      <c r="H246">
        <v>-1.3448122025691871</v>
      </c>
      <c r="I246">
        <v>-1.7743115895214836</v>
      </c>
      <c r="K246">
        <v>-1.6874645014604708</v>
      </c>
      <c r="M246">
        <f t="shared" si="3"/>
        <v>0.30853631919765817</v>
      </c>
    </row>
    <row r="247" spans="1:13">
      <c r="A247">
        <v>458</v>
      </c>
      <c r="B247">
        <v>128</v>
      </c>
      <c r="C247">
        <v>12</v>
      </c>
      <c r="D247">
        <v>2</v>
      </c>
      <c r="E247">
        <v>20</v>
      </c>
      <c r="G247">
        <v>-1.6040521713437468</v>
      </c>
      <c r="H247">
        <v>-2.2522669949635805</v>
      </c>
      <c r="I247">
        <v>-1.2615499785326874</v>
      </c>
      <c r="K247">
        <v>-1.7059563816133381</v>
      </c>
      <c r="M247">
        <f t="shared" si="3"/>
        <v>0.50315842705298486</v>
      </c>
    </row>
    <row r="248" spans="1:13">
      <c r="A248">
        <v>382</v>
      </c>
      <c r="B248">
        <v>146</v>
      </c>
      <c r="C248">
        <v>12</v>
      </c>
      <c r="D248">
        <v>3</v>
      </c>
      <c r="E248">
        <v>19</v>
      </c>
      <c r="G248">
        <v>-1.6611950574803156</v>
      </c>
      <c r="H248">
        <v>-2.1333186220444684</v>
      </c>
      <c r="I248">
        <v>-1.3409692593804086</v>
      </c>
      <c r="K248">
        <v>-1.711827646301731</v>
      </c>
      <c r="M248">
        <f t="shared" si="3"/>
        <v>0.39859393173579982</v>
      </c>
    </row>
    <row r="249" spans="1:13">
      <c r="A249">
        <v>831</v>
      </c>
      <c r="B249">
        <v>147</v>
      </c>
      <c r="C249">
        <v>26</v>
      </c>
      <c r="D249">
        <v>4</v>
      </c>
      <c r="E249">
        <v>6</v>
      </c>
      <c r="G249">
        <v>-1.3283674345208616</v>
      </c>
      <c r="H249">
        <v>-2.0113443643999074</v>
      </c>
      <c r="I249">
        <v>-1.8445360889133329</v>
      </c>
      <c r="K249">
        <v>-1.728082629278034</v>
      </c>
      <c r="M249">
        <f t="shared" si="3"/>
        <v>0.35606941441595785</v>
      </c>
    </row>
    <row r="250" spans="1:13">
      <c r="A250">
        <v>773</v>
      </c>
      <c r="B250">
        <v>169</v>
      </c>
      <c r="C250">
        <v>10</v>
      </c>
      <c r="D250">
        <v>8</v>
      </c>
      <c r="E250">
        <v>11</v>
      </c>
      <c r="G250">
        <v>-1.803910152357177</v>
      </c>
      <c r="H250">
        <v>-1.7708837386014236</v>
      </c>
      <c r="I250">
        <v>-1.6418640240042488</v>
      </c>
      <c r="K250">
        <v>-1.7388859716542833</v>
      </c>
      <c r="M250">
        <f t="shared" si="3"/>
        <v>8.5630775692773303E-2</v>
      </c>
    </row>
    <row r="251" spans="1:13">
      <c r="A251">
        <v>440</v>
      </c>
      <c r="B251">
        <v>41</v>
      </c>
      <c r="C251">
        <v>3</v>
      </c>
      <c r="D251">
        <v>2</v>
      </c>
      <c r="E251">
        <v>2</v>
      </c>
      <c r="G251">
        <v>-1.7116860497435764</v>
      </c>
      <c r="H251">
        <v>-1.7578408820354479</v>
      </c>
      <c r="I251">
        <v>-1.7671238656045545</v>
      </c>
      <c r="K251">
        <v>-1.7455502657945263</v>
      </c>
      <c r="M251">
        <f t="shared" si="3"/>
        <v>2.9692293487454492E-2</v>
      </c>
    </row>
    <row r="252" spans="1:13">
      <c r="A252">
        <v>369</v>
      </c>
      <c r="B252">
        <v>177</v>
      </c>
      <c r="C252">
        <v>10</v>
      </c>
      <c r="D252">
        <v>6</v>
      </c>
      <c r="E252">
        <v>16</v>
      </c>
      <c r="G252">
        <v>-1.8239967141053099</v>
      </c>
      <c r="H252">
        <v>-1.9159090369578566</v>
      </c>
      <c r="I252">
        <v>-1.4992232882546821</v>
      </c>
      <c r="K252">
        <v>-1.746376346439283</v>
      </c>
      <c r="M252">
        <f t="shared" si="3"/>
        <v>0.21891880778164749</v>
      </c>
    </row>
    <row r="253" spans="1:13">
      <c r="A253">
        <v>322</v>
      </c>
      <c r="B253">
        <v>127</v>
      </c>
      <c r="C253">
        <v>5</v>
      </c>
      <c r="D253">
        <v>10</v>
      </c>
      <c r="E253">
        <v>7</v>
      </c>
      <c r="G253">
        <v>-1.9808571643634414</v>
      </c>
      <c r="H253">
        <v>-1.5498907419356505</v>
      </c>
      <c r="I253">
        <v>-1.7140756854905004</v>
      </c>
      <c r="K253">
        <v>-1.7482745305965306</v>
      </c>
      <c r="M253">
        <f t="shared" si="3"/>
        <v>0.217509045949803</v>
      </c>
    </row>
    <row r="254" spans="1:13">
      <c r="A254">
        <v>604</v>
      </c>
      <c r="B254">
        <v>33</v>
      </c>
      <c r="C254">
        <v>1</v>
      </c>
      <c r="D254">
        <v>1</v>
      </c>
      <c r="E254">
        <v>6</v>
      </c>
      <c r="G254">
        <v>-2.0945373876213909</v>
      </c>
      <c r="H254">
        <v>-1.9646009608575812</v>
      </c>
      <c r="I254">
        <v>-1.1957326940430442</v>
      </c>
      <c r="K254">
        <v>-1.751623680840672</v>
      </c>
      <c r="M254">
        <f t="shared" si="3"/>
        <v>0.48577974499989951</v>
      </c>
    </row>
    <row r="255" spans="1:13">
      <c r="A255">
        <v>61</v>
      </c>
      <c r="B255">
        <v>168</v>
      </c>
      <c r="C255">
        <v>12</v>
      </c>
      <c r="D255">
        <v>3</v>
      </c>
      <c r="E255">
        <v>18</v>
      </c>
      <c r="G255">
        <v>-1.7221514834217413</v>
      </c>
      <c r="H255">
        <v>-2.1942750479858941</v>
      </c>
      <c r="I255">
        <v>-1.4254067811713571</v>
      </c>
      <c r="K255">
        <v>-1.7806111041929977</v>
      </c>
      <c r="M255">
        <f t="shared" si="3"/>
        <v>0.38775346339412087</v>
      </c>
    </row>
    <row r="256" spans="1:13">
      <c r="A256">
        <v>519</v>
      </c>
      <c r="B256">
        <v>97</v>
      </c>
      <c r="C256">
        <v>5</v>
      </c>
      <c r="D256">
        <v>3</v>
      </c>
      <c r="E256">
        <v>8</v>
      </c>
      <c r="G256">
        <v>-1.8638251776737293</v>
      </c>
      <c r="H256">
        <v>-1.955737500526276</v>
      </c>
      <c r="I256">
        <v>-1.5390517518231015</v>
      </c>
      <c r="K256">
        <v>-1.7862048100077024</v>
      </c>
      <c r="M256">
        <f t="shared" si="3"/>
        <v>0.21891880778164813</v>
      </c>
    </row>
    <row r="257" spans="1:13">
      <c r="A257">
        <v>795</v>
      </c>
      <c r="B257">
        <v>112</v>
      </c>
      <c r="C257">
        <v>5</v>
      </c>
      <c r="D257">
        <v>6</v>
      </c>
      <c r="E257">
        <v>6</v>
      </c>
      <c r="G257">
        <v>-1.9262714660776661</v>
      </c>
      <c r="H257">
        <v>-1.7171537932662317</v>
      </c>
      <c r="I257">
        <v>-1.7264367768353384</v>
      </c>
      <c r="K257">
        <v>-1.7899540120597457</v>
      </c>
      <c r="M257">
        <f t="shared" si="3"/>
        <v>0.11814558666506345</v>
      </c>
    </row>
    <row r="258" spans="1:13">
      <c r="A258">
        <v>446</v>
      </c>
      <c r="B258">
        <v>141</v>
      </c>
      <c r="C258">
        <v>7</v>
      </c>
      <c r="D258">
        <v>5</v>
      </c>
      <c r="E258">
        <v>10</v>
      </c>
      <c r="G258">
        <v>-1.8801445203846263</v>
      </c>
      <c r="H258">
        <v>-1.8963361292990548</v>
      </c>
      <c r="I258">
        <v>-1.6045891172041802</v>
      </c>
      <c r="K258">
        <v>-1.7936899222959539</v>
      </c>
      <c r="M258">
        <f t="shared" si="3"/>
        <v>0.16396608769674648</v>
      </c>
    </row>
    <row r="259" spans="1:13">
      <c r="A259">
        <v>783</v>
      </c>
      <c r="B259">
        <v>119</v>
      </c>
      <c r="C259">
        <v>7</v>
      </c>
      <c r="D259">
        <v>3</v>
      </c>
      <c r="E259">
        <v>8</v>
      </c>
      <c r="G259">
        <v>-1.8064723691217772</v>
      </c>
      <c r="H259">
        <v>-2.0445127276525619</v>
      </c>
      <c r="I259">
        <v>-1.6278269789493875</v>
      </c>
      <c r="K259">
        <v>-1.826270691907909</v>
      </c>
      <c r="M259">
        <f t="shared" ref="M259:M322" si="4">STDEV(G259:I259)</f>
        <v>0.20904720395628146</v>
      </c>
    </row>
    <row r="260" spans="1:13">
      <c r="A260">
        <v>55</v>
      </c>
      <c r="B260">
        <v>334</v>
      </c>
      <c r="C260">
        <v>20</v>
      </c>
      <c r="D260">
        <v>15</v>
      </c>
      <c r="E260">
        <v>12</v>
      </c>
      <c r="G260">
        <v>-1.7987399188910866</v>
      </c>
      <c r="H260">
        <v>-1.7937422287355769</v>
      </c>
      <c r="I260">
        <v>-1.89993522531274</v>
      </c>
      <c r="K260">
        <v>-1.8308057909798012</v>
      </c>
      <c r="M260">
        <f t="shared" si="4"/>
        <v>5.9919973674198927E-2</v>
      </c>
    </row>
    <row r="261" spans="1:13">
      <c r="A261">
        <v>3</v>
      </c>
      <c r="B261">
        <v>89</v>
      </c>
      <c r="C261">
        <v>4</v>
      </c>
      <c r="D261">
        <v>4</v>
      </c>
      <c r="E261">
        <v>4</v>
      </c>
      <c r="G261">
        <v>-1.9233534630604538</v>
      </c>
      <c r="H261">
        <v>-1.7934170362966442</v>
      </c>
      <c r="I261">
        <v>-1.8027000198657508</v>
      </c>
      <c r="K261">
        <v>-1.8398235064076163</v>
      </c>
      <c r="M261">
        <f t="shared" si="4"/>
        <v>7.2487817526842191E-2</v>
      </c>
    </row>
    <row r="262" spans="1:13">
      <c r="A262">
        <v>855</v>
      </c>
      <c r="B262">
        <v>231</v>
      </c>
      <c r="C262">
        <v>7</v>
      </c>
      <c r="D262">
        <v>11</v>
      </c>
      <c r="E262">
        <v>14</v>
      </c>
      <c r="G262">
        <v>-2.0945373876213909</v>
      </c>
      <c r="H262">
        <v>-1.768306315713613</v>
      </c>
      <c r="I262">
        <v>-1.6728539487627065</v>
      </c>
      <c r="K262">
        <v>-1.8452325506992366</v>
      </c>
      <c r="M262">
        <f t="shared" si="4"/>
        <v>0.22111640570911739</v>
      </c>
    </row>
    <row r="263" spans="1:13">
      <c r="A263">
        <v>121</v>
      </c>
      <c r="B263">
        <v>241</v>
      </c>
      <c r="C263">
        <v>12</v>
      </c>
      <c r="D263">
        <v>9</v>
      </c>
      <c r="E263">
        <v>11</v>
      </c>
      <c r="G263">
        <v>-1.878859244270747</v>
      </c>
      <c r="H263">
        <v>-1.8738615541152372</v>
      </c>
      <c r="I263">
        <v>-1.7959943619654437</v>
      </c>
      <c r="K263">
        <v>-1.8495717201171427</v>
      </c>
      <c r="M263">
        <f t="shared" si="4"/>
        <v>4.6466592371392876E-2</v>
      </c>
    </row>
    <row r="264" spans="1:13">
      <c r="A264">
        <v>769</v>
      </c>
      <c r="B264">
        <v>254</v>
      </c>
      <c r="C264">
        <v>11</v>
      </c>
      <c r="D264">
        <v>12</v>
      </c>
      <c r="E264">
        <v>10</v>
      </c>
      <c r="G264">
        <v>-1.9394644792052163</v>
      </c>
      <c r="H264">
        <v>-1.7717394915520068</v>
      </c>
      <c r="I264">
        <v>-1.8602037211687383</v>
      </c>
      <c r="K264">
        <v>-1.8571358973086538</v>
      </c>
      <c r="M264">
        <f t="shared" si="4"/>
        <v>8.3904567981991848E-2</v>
      </c>
    </row>
    <row r="265" spans="1:13">
      <c r="A265">
        <v>896</v>
      </c>
      <c r="B265">
        <v>166</v>
      </c>
      <c r="C265">
        <v>11</v>
      </c>
      <c r="D265">
        <v>4</v>
      </c>
      <c r="E265">
        <v>8</v>
      </c>
      <c r="G265">
        <v>-1.7547388506253334</v>
      </c>
      <c r="H265">
        <v>-2.0641351176917864</v>
      </c>
      <c r="I265">
        <v>-1.7723881055969117</v>
      </c>
      <c r="K265">
        <v>-1.8637540246380107</v>
      </c>
      <c r="M265">
        <f t="shared" si="4"/>
        <v>0.17375934763440046</v>
      </c>
    </row>
    <row r="266" spans="1:13">
      <c r="A266">
        <v>832</v>
      </c>
      <c r="B266">
        <v>194</v>
      </c>
      <c r="C266">
        <v>10</v>
      </c>
      <c r="D266">
        <v>7</v>
      </c>
      <c r="E266">
        <v>8</v>
      </c>
      <c r="G266">
        <v>-1.8638251776737293</v>
      </c>
      <c r="H266">
        <v>-1.888790710895663</v>
      </c>
      <c r="I266">
        <v>-1.8400817474870828</v>
      </c>
      <c r="K266">
        <v>-1.8642325453521584</v>
      </c>
      <c r="M266">
        <f t="shared" si="4"/>
        <v>2.4357036773870362E-2</v>
      </c>
    </row>
    <row r="267" spans="1:13">
      <c r="A267">
        <v>472</v>
      </c>
      <c r="B267">
        <v>122</v>
      </c>
      <c r="C267">
        <v>9</v>
      </c>
      <c r="D267">
        <v>1</v>
      </c>
      <c r="E267">
        <v>15</v>
      </c>
      <c r="G267">
        <v>-1.7081407689789267</v>
      </c>
      <c r="H267">
        <v>-2.5324468516544423</v>
      </c>
      <c r="I267">
        <v>-1.3656385761678673</v>
      </c>
      <c r="K267">
        <v>-1.8687420656004121</v>
      </c>
      <c r="M267">
        <f t="shared" si="4"/>
        <v>0.59975409151865433</v>
      </c>
    </row>
    <row r="268" spans="1:13">
      <c r="A268">
        <v>46</v>
      </c>
      <c r="B268">
        <v>178</v>
      </c>
      <c r="C268">
        <v>8</v>
      </c>
      <c r="D268">
        <v>5</v>
      </c>
      <c r="E268">
        <v>10</v>
      </c>
      <c r="G268">
        <v>-1.9233534630604538</v>
      </c>
      <c r="H268">
        <v>-1.9975370189525687</v>
      </c>
      <c r="I268">
        <v>-1.7057900068576943</v>
      </c>
      <c r="K268">
        <v>-1.8755601629569056</v>
      </c>
      <c r="M268">
        <f t="shared" si="4"/>
        <v>0.15163188786552309</v>
      </c>
    </row>
    <row r="269" spans="1:13">
      <c r="A269">
        <v>876</v>
      </c>
      <c r="B269">
        <v>171</v>
      </c>
      <c r="C269">
        <v>7</v>
      </c>
      <c r="D269">
        <v>6</v>
      </c>
      <c r="E269">
        <v>8</v>
      </c>
      <c r="G269">
        <v>-1.9639215181214003</v>
      </c>
      <c r="H269">
        <v>-1.9009318809882039</v>
      </c>
      <c r="I269">
        <v>-1.7852761279490106</v>
      </c>
      <c r="K269">
        <v>-1.8833765090195385</v>
      </c>
      <c r="M269">
        <f t="shared" si="4"/>
        <v>9.0607324048224677E-2</v>
      </c>
    </row>
    <row r="270" spans="1:13">
      <c r="A270">
        <v>435</v>
      </c>
      <c r="B270">
        <v>79</v>
      </c>
      <c r="C270">
        <v>3</v>
      </c>
      <c r="D270">
        <v>2</v>
      </c>
      <c r="E270">
        <v>5</v>
      </c>
      <c r="G270">
        <v>-1.9965292843142823</v>
      </c>
      <c r="H270">
        <v>-2.042684116606154</v>
      </c>
      <c r="I270">
        <v>-1.6540270915032229</v>
      </c>
      <c r="K270">
        <v>-1.8977468308078864</v>
      </c>
      <c r="M270">
        <f t="shared" si="4"/>
        <v>0.21232534147157883</v>
      </c>
    </row>
    <row r="271" spans="1:13">
      <c r="A271">
        <v>130</v>
      </c>
      <c r="B271">
        <v>153</v>
      </c>
      <c r="C271">
        <v>18</v>
      </c>
      <c r="D271">
        <v>2</v>
      </c>
      <c r="E271">
        <v>6</v>
      </c>
      <c r="G271">
        <v>-1.5054423734577962</v>
      </c>
      <c r="H271">
        <v>-2.3297484561333111</v>
      </c>
      <c r="I271">
        <v>-1.8619101849827555</v>
      </c>
      <c r="K271">
        <v>-1.899033671524621</v>
      </c>
      <c r="M271">
        <f t="shared" si="4"/>
        <v>0.41340506095563306</v>
      </c>
    </row>
    <row r="272" spans="1:13">
      <c r="A272">
        <v>901</v>
      </c>
      <c r="B272">
        <v>127</v>
      </c>
      <c r="C272">
        <v>6</v>
      </c>
      <c r="D272">
        <v>3</v>
      </c>
      <c r="E272">
        <v>6</v>
      </c>
      <c r="G272">
        <v>-1.9016759183158165</v>
      </c>
      <c r="H272">
        <v>-2.0727694872159881</v>
      </c>
      <c r="I272">
        <v>-1.7810224751211134</v>
      </c>
      <c r="K272">
        <v>-1.9184892935509728</v>
      </c>
      <c r="M272">
        <f t="shared" si="4"/>
        <v>0.14659842071683568</v>
      </c>
    </row>
    <row r="273" spans="1:13">
      <c r="A273">
        <v>449</v>
      </c>
      <c r="B273">
        <v>87</v>
      </c>
      <c r="C273">
        <v>4</v>
      </c>
      <c r="D273">
        <v>2</v>
      </c>
      <c r="E273">
        <v>4</v>
      </c>
      <c r="G273">
        <v>-1.9134827090341595</v>
      </c>
      <c r="H273">
        <v>-2.0845762779343309</v>
      </c>
      <c r="I273">
        <v>-1.7928292658394565</v>
      </c>
      <c r="K273">
        <v>-1.9302960842693155</v>
      </c>
      <c r="M273">
        <f t="shared" si="4"/>
        <v>0.14659842071683557</v>
      </c>
    </row>
    <row r="274" spans="1:13">
      <c r="A274">
        <v>897</v>
      </c>
      <c r="B274">
        <v>195</v>
      </c>
      <c r="C274">
        <v>5</v>
      </c>
      <c r="D274">
        <v>10</v>
      </c>
      <c r="E274">
        <v>7</v>
      </c>
      <c r="G274">
        <v>-2.1670880547700024</v>
      </c>
      <c r="H274">
        <v>-1.7361216323422117</v>
      </c>
      <c r="I274">
        <v>-1.9003065758970614</v>
      </c>
      <c r="K274">
        <v>-1.9345054210030919</v>
      </c>
      <c r="M274">
        <f t="shared" si="4"/>
        <v>0.21750904594979936</v>
      </c>
    </row>
    <row r="275" spans="1:13">
      <c r="A275">
        <v>392</v>
      </c>
      <c r="B275">
        <v>496</v>
      </c>
      <c r="C275">
        <v>20</v>
      </c>
      <c r="D275">
        <v>12</v>
      </c>
      <c r="E275">
        <v>22</v>
      </c>
      <c r="G275">
        <v>-1.9704751285697195</v>
      </c>
      <c r="H275">
        <v>-2.062387451422266</v>
      </c>
      <c r="I275">
        <v>-1.8084290002167915</v>
      </c>
      <c r="K275">
        <v>-1.9470971934029258</v>
      </c>
      <c r="M275">
        <f t="shared" si="4"/>
        <v>0.12858312340337649</v>
      </c>
    </row>
    <row r="276" spans="1:13">
      <c r="A276">
        <v>289</v>
      </c>
      <c r="B276">
        <v>52</v>
      </c>
      <c r="C276">
        <v>1</v>
      </c>
      <c r="D276">
        <v>3</v>
      </c>
      <c r="E276">
        <v>2</v>
      </c>
      <c r="G276">
        <v>-2.2920267913783023</v>
      </c>
      <c r="H276">
        <v>-1.6849691098948303</v>
      </c>
      <c r="I276">
        <v>-1.8703433525196183</v>
      </c>
      <c r="K276">
        <v>-1.9491130845975837</v>
      </c>
      <c r="M276">
        <f t="shared" si="4"/>
        <v>0.31110008065049977</v>
      </c>
    </row>
    <row r="277" spans="1:13">
      <c r="A277">
        <v>806</v>
      </c>
      <c r="B277">
        <v>309</v>
      </c>
      <c r="C277">
        <v>8</v>
      </c>
      <c r="D277">
        <v>9</v>
      </c>
      <c r="E277">
        <v>17</v>
      </c>
      <c r="G277">
        <v>-2.1628919401763946</v>
      </c>
      <c r="H277">
        <v>-1.9818029909652035</v>
      </c>
      <c r="I277">
        <v>-1.714879562595361</v>
      </c>
      <c r="K277">
        <v>-1.9531914979123197</v>
      </c>
      <c r="M277">
        <f t="shared" si="4"/>
        <v>0.22537243790554576</v>
      </c>
    </row>
    <row r="278" spans="1:13">
      <c r="A278">
        <v>371</v>
      </c>
      <c r="B278">
        <v>185</v>
      </c>
      <c r="C278">
        <v>5</v>
      </c>
      <c r="D278">
        <v>6</v>
      </c>
      <c r="E278">
        <v>8</v>
      </c>
      <c r="G278">
        <v>-2.1442251718104983</v>
      </c>
      <c r="H278">
        <v>-1.9351074989990638</v>
      </c>
      <c r="I278">
        <v>-1.8194517459598705</v>
      </c>
      <c r="K278">
        <v>-1.9662614722564775</v>
      </c>
      <c r="M278">
        <f t="shared" si="4"/>
        <v>0.16461279437510637</v>
      </c>
    </row>
    <row r="279" spans="1:13">
      <c r="A279">
        <v>543</v>
      </c>
      <c r="B279">
        <v>80</v>
      </c>
      <c r="C279">
        <v>2</v>
      </c>
      <c r="D279">
        <v>3</v>
      </c>
      <c r="E279">
        <v>3</v>
      </c>
      <c r="G279">
        <v>-2.1780834390714654</v>
      </c>
      <c r="H279">
        <v>-1.8720557532519748</v>
      </c>
      <c r="I279">
        <v>-1.8813387368210814</v>
      </c>
      <c r="K279">
        <v>-1.9771593097148408</v>
      </c>
      <c r="M279">
        <f t="shared" si="4"/>
        <v>0.17406729378109595</v>
      </c>
    </row>
    <row r="280" spans="1:13">
      <c r="A280">
        <v>872</v>
      </c>
      <c r="B280">
        <v>39</v>
      </c>
      <c r="C280">
        <v>1</v>
      </c>
      <c r="D280">
        <v>1</v>
      </c>
      <c r="E280">
        <v>2</v>
      </c>
      <c r="G280">
        <v>-2.1670880547700024</v>
      </c>
      <c r="H280">
        <v>-2.037151628006193</v>
      </c>
      <c r="I280">
        <v>-1.7454046159113183</v>
      </c>
      <c r="K280">
        <v>-1.9832147662291713</v>
      </c>
      <c r="M280">
        <f t="shared" si="4"/>
        <v>0.21595397529493765</v>
      </c>
    </row>
    <row r="281" spans="1:13">
      <c r="A281">
        <v>712</v>
      </c>
      <c r="B281">
        <v>67</v>
      </c>
      <c r="C281">
        <v>5</v>
      </c>
      <c r="D281">
        <v>2</v>
      </c>
      <c r="E281">
        <v>1</v>
      </c>
      <c r="G281">
        <v>-1.703128246108311</v>
      </c>
      <c r="H281">
        <v>-1.9711318280165389</v>
      </c>
      <c r="I281">
        <v>-2.2814448072496267</v>
      </c>
      <c r="K281">
        <v>-1.9852349604581587</v>
      </c>
      <c r="M281">
        <f t="shared" si="4"/>
        <v>0.28941611043803167</v>
      </c>
    </row>
    <row r="282" spans="1:13">
      <c r="A282">
        <v>530</v>
      </c>
      <c r="B282">
        <v>79</v>
      </c>
      <c r="C282">
        <v>4</v>
      </c>
      <c r="D282">
        <v>2</v>
      </c>
      <c r="E282">
        <v>2</v>
      </c>
      <c r="G282">
        <v>-1.8715905477059824</v>
      </c>
      <c r="H282">
        <v>-2.042684116606154</v>
      </c>
      <c r="I282">
        <v>-2.0519671001752604</v>
      </c>
      <c r="K282">
        <v>-1.9887472548291323</v>
      </c>
      <c r="M282">
        <f t="shared" si="4"/>
        <v>0.10156679557779062</v>
      </c>
    </row>
    <row r="283" spans="1:13">
      <c r="A283">
        <v>847</v>
      </c>
      <c r="B283">
        <v>124</v>
      </c>
      <c r="C283">
        <v>5</v>
      </c>
      <c r="D283">
        <v>3</v>
      </c>
      <c r="E283">
        <v>4</v>
      </c>
      <c r="G283">
        <v>-1.9704751285697195</v>
      </c>
      <c r="H283">
        <v>-2.062387451422266</v>
      </c>
      <c r="I283">
        <v>-1.9467316983830729</v>
      </c>
      <c r="K283">
        <v>-1.9931980927916861</v>
      </c>
      <c r="M283">
        <f t="shared" si="4"/>
        <v>6.1084475360276981E-2</v>
      </c>
    </row>
    <row r="284" spans="1:13">
      <c r="A284">
        <v>495</v>
      </c>
      <c r="B284">
        <v>80</v>
      </c>
      <c r="C284">
        <v>2</v>
      </c>
      <c r="D284">
        <v>4</v>
      </c>
      <c r="E284">
        <v>2</v>
      </c>
      <c r="G284">
        <v>-2.1780834390714654</v>
      </c>
      <c r="H284">
        <v>-1.7471170166436749</v>
      </c>
      <c r="I284">
        <v>-2.0574299958767623</v>
      </c>
      <c r="K284">
        <v>-1.9942101505306342</v>
      </c>
      <c r="M284">
        <f t="shared" si="4"/>
        <v>0.22232988091852041</v>
      </c>
    </row>
    <row r="285" spans="1:13">
      <c r="A285">
        <v>25</v>
      </c>
      <c r="B285">
        <v>501</v>
      </c>
      <c r="C285">
        <v>21</v>
      </c>
      <c r="D285">
        <v>11</v>
      </c>
      <c r="E285">
        <v>17</v>
      </c>
      <c r="G285">
        <v>-1.9536418788768297</v>
      </c>
      <c r="H285">
        <v>-2.1045320616887144</v>
      </c>
      <c r="I285">
        <v>-1.9247588090377721</v>
      </c>
      <c r="K285">
        <v>-1.9943109165344388</v>
      </c>
      <c r="M285">
        <f t="shared" si="4"/>
        <v>9.6540579862417972E-2</v>
      </c>
    </row>
    <row r="286" spans="1:13">
      <c r="A286">
        <v>533</v>
      </c>
      <c r="B286">
        <v>265</v>
      </c>
      <c r="C286">
        <v>8</v>
      </c>
      <c r="D286">
        <v>8</v>
      </c>
      <c r="E286">
        <v>9</v>
      </c>
      <c r="G286">
        <v>-2.0961793346883679</v>
      </c>
      <c r="H286">
        <v>-1.966242907924558</v>
      </c>
      <c r="I286">
        <v>-1.9243733690462832</v>
      </c>
      <c r="K286">
        <v>-1.9955985372197365</v>
      </c>
      <c r="M286">
        <f t="shared" si="4"/>
        <v>8.9585920690916879E-2</v>
      </c>
    </row>
    <row r="287" spans="1:13">
      <c r="A287">
        <v>898</v>
      </c>
      <c r="B287">
        <v>156</v>
      </c>
      <c r="C287">
        <v>4</v>
      </c>
      <c r="D287">
        <v>7</v>
      </c>
      <c r="E287">
        <v>4</v>
      </c>
      <c r="G287">
        <v>-2.1670880547700024</v>
      </c>
      <c r="H287">
        <v>-1.7941135793198983</v>
      </c>
      <c r="I287">
        <v>-2.0464346115752994</v>
      </c>
      <c r="K287">
        <v>-2.0025454152217335</v>
      </c>
      <c r="M287">
        <f t="shared" si="4"/>
        <v>0.19032127049213779</v>
      </c>
    </row>
    <row r="288" spans="1:13">
      <c r="A288">
        <v>579</v>
      </c>
      <c r="B288">
        <v>131</v>
      </c>
      <c r="C288">
        <v>4</v>
      </c>
      <c r="D288">
        <v>4</v>
      </c>
      <c r="E288">
        <v>4</v>
      </c>
      <c r="G288">
        <v>-2.0912347520713053</v>
      </c>
      <c r="H288">
        <v>-1.9612983253074956</v>
      </c>
      <c r="I288">
        <v>-1.9705813088766022</v>
      </c>
      <c r="K288">
        <v>-2.0077047954184675</v>
      </c>
      <c r="M288">
        <f t="shared" si="4"/>
        <v>7.2487817526842191E-2</v>
      </c>
    </row>
    <row r="289" spans="1:13">
      <c r="A289">
        <v>537</v>
      </c>
      <c r="B289">
        <v>338</v>
      </c>
      <c r="C289">
        <v>7</v>
      </c>
      <c r="D289">
        <v>12</v>
      </c>
      <c r="E289">
        <v>13</v>
      </c>
      <c r="G289">
        <v>-2.2598421080069011</v>
      </c>
      <c r="H289">
        <v>-1.8958224752097235</v>
      </c>
      <c r="I289">
        <v>-1.8703433525196183</v>
      </c>
      <c r="K289">
        <v>-2.0086693119120809</v>
      </c>
      <c r="M289">
        <f t="shared" si="4"/>
        <v>0.21789476025556911</v>
      </c>
    </row>
    <row r="290" spans="1:13">
      <c r="A290">
        <v>817</v>
      </c>
      <c r="B290">
        <v>306</v>
      </c>
      <c r="C290">
        <v>10</v>
      </c>
      <c r="D290">
        <v>9</v>
      </c>
      <c r="E290">
        <v>9</v>
      </c>
      <c r="G290">
        <v>-2.0617448742250835</v>
      </c>
      <c r="H290">
        <v>-1.9775659380219488</v>
      </c>
      <c r="I290">
        <v>-1.9868489215910554</v>
      </c>
      <c r="K290">
        <v>-2.0087199112793628</v>
      </c>
      <c r="M290">
        <f t="shared" si="4"/>
        <v>4.6154939795566646E-2</v>
      </c>
    </row>
    <row r="291" spans="1:13">
      <c r="A291">
        <v>688</v>
      </c>
      <c r="B291">
        <v>310</v>
      </c>
      <c r="C291">
        <v>12</v>
      </c>
      <c r="D291">
        <v>6</v>
      </c>
      <c r="E291">
        <v>11</v>
      </c>
      <c r="G291">
        <v>-1.9882038955301511</v>
      </c>
      <c r="H291">
        <v>-2.1592974644303227</v>
      </c>
      <c r="I291">
        <v>-1.905339013224848</v>
      </c>
      <c r="K291">
        <v>-2.0176134577284408</v>
      </c>
      <c r="M291">
        <f t="shared" si="4"/>
        <v>0.12950836071926844</v>
      </c>
    </row>
    <row r="292" spans="1:13">
      <c r="A292">
        <v>798</v>
      </c>
      <c r="B292">
        <v>147</v>
      </c>
      <c r="C292">
        <v>7</v>
      </c>
      <c r="D292">
        <v>2</v>
      </c>
      <c r="E292">
        <v>6</v>
      </c>
      <c r="G292">
        <v>-1.8982427424774226</v>
      </c>
      <c r="H292">
        <v>-2.3123743600638886</v>
      </c>
      <c r="I292">
        <v>-1.8445360889133329</v>
      </c>
      <c r="K292">
        <v>-2.0183843971515483</v>
      </c>
      <c r="M292">
        <f t="shared" si="4"/>
        <v>0.2560149895595204</v>
      </c>
    </row>
    <row r="293" spans="1:13">
      <c r="A293">
        <v>480</v>
      </c>
      <c r="B293">
        <v>107</v>
      </c>
      <c r="C293">
        <v>2</v>
      </c>
      <c r="D293">
        <v>2</v>
      </c>
      <c r="E293">
        <v>8</v>
      </c>
      <c r="G293">
        <v>-2.3043772297647318</v>
      </c>
      <c r="H293">
        <v>-2.1744408030009224</v>
      </c>
      <c r="I293">
        <v>-1.5816637952420665</v>
      </c>
      <c r="K293">
        <v>-2.0201606093359068</v>
      </c>
      <c r="M293">
        <f t="shared" si="4"/>
        <v>0.38526673971142888</v>
      </c>
    </row>
    <row r="294" spans="1:13">
      <c r="A294">
        <v>899</v>
      </c>
      <c r="B294">
        <v>524</v>
      </c>
      <c r="C294">
        <v>12</v>
      </c>
      <c r="D294">
        <v>14</v>
      </c>
      <c r="E294">
        <v>20</v>
      </c>
      <c r="G294">
        <v>-2.2161734886796052</v>
      </c>
      <c r="H294">
        <v>-2.0192902722851822</v>
      </c>
      <c r="I294">
        <v>-1.8736712958685457</v>
      </c>
      <c r="K294">
        <v>-2.0363783522777776</v>
      </c>
      <c r="M294">
        <f t="shared" si="4"/>
        <v>0.17188932450408617</v>
      </c>
    </row>
    <row r="295" spans="1:13">
      <c r="A295">
        <v>98</v>
      </c>
      <c r="B295">
        <v>96</v>
      </c>
      <c r="C295">
        <v>2</v>
      </c>
      <c r="D295">
        <v>5</v>
      </c>
      <c r="E295">
        <v>2</v>
      </c>
      <c r="G295">
        <v>-2.2572646851190905</v>
      </c>
      <c r="H295">
        <v>-1.7293882496832433</v>
      </c>
      <c r="I295">
        <v>-2.1366112419243874</v>
      </c>
      <c r="K295">
        <v>-2.0410880589089069</v>
      </c>
      <c r="M295">
        <f t="shared" si="4"/>
        <v>0.27659879183064223</v>
      </c>
    </row>
    <row r="296" spans="1:13">
      <c r="A296">
        <v>755</v>
      </c>
      <c r="B296">
        <v>145</v>
      </c>
      <c r="C296">
        <v>4</v>
      </c>
      <c r="D296">
        <v>4</v>
      </c>
      <c r="E296">
        <v>4</v>
      </c>
      <c r="G296">
        <v>-2.1353314586505157</v>
      </c>
      <c r="H296">
        <v>-2.0053950318867062</v>
      </c>
      <c r="I296">
        <v>-2.0146780154558126</v>
      </c>
      <c r="K296">
        <v>-2.0518015019976783</v>
      </c>
      <c r="M296">
        <f t="shared" si="4"/>
        <v>7.2487817526842122E-2</v>
      </c>
    </row>
    <row r="297" spans="1:13">
      <c r="A297">
        <v>237</v>
      </c>
      <c r="B297">
        <v>400</v>
      </c>
      <c r="C297">
        <v>38</v>
      </c>
      <c r="D297">
        <v>7</v>
      </c>
      <c r="E297">
        <v>5</v>
      </c>
      <c r="G297">
        <v>-1.5982998424546555</v>
      </c>
      <c r="H297">
        <v>-2.2030489722933995</v>
      </c>
      <c r="I297">
        <v>-2.3584599915407436</v>
      </c>
      <c r="K297">
        <v>-2.053269602096266</v>
      </c>
      <c r="M297">
        <f t="shared" si="4"/>
        <v>0.40160460389185354</v>
      </c>
    </row>
    <row r="298" spans="1:13">
      <c r="A298">
        <v>729</v>
      </c>
      <c r="B298">
        <v>302</v>
      </c>
      <c r="C298">
        <v>10</v>
      </c>
      <c r="D298">
        <v>7</v>
      </c>
      <c r="E298">
        <v>7</v>
      </c>
      <c r="G298">
        <v>-2.0560303907006539</v>
      </c>
      <c r="H298">
        <v>-2.0809959239225875</v>
      </c>
      <c r="I298">
        <v>-2.0902789074916939</v>
      </c>
      <c r="K298">
        <v>-2.0757684073716454</v>
      </c>
      <c r="M298">
        <f t="shared" si="4"/>
        <v>1.7712578089152355E-2</v>
      </c>
    </row>
    <row r="299" spans="1:13">
      <c r="A299">
        <v>490</v>
      </c>
      <c r="B299">
        <v>39</v>
      </c>
      <c r="C299">
        <v>1</v>
      </c>
      <c r="D299">
        <v>1</v>
      </c>
      <c r="E299">
        <v>1</v>
      </c>
      <c r="G299">
        <v>-2.1670880547700024</v>
      </c>
      <c r="H299">
        <v>-2.037151628006193</v>
      </c>
      <c r="I299">
        <v>-2.0464346115752994</v>
      </c>
      <c r="K299">
        <v>-2.0835580981171651</v>
      </c>
      <c r="M299">
        <f t="shared" si="4"/>
        <v>7.2487817526842122E-2</v>
      </c>
    </row>
    <row r="300" spans="1:13">
      <c r="A300">
        <v>848</v>
      </c>
      <c r="B300">
        <v>115</v>
      </c>
      <c r="C300">
        <v>1</v>
      </c>
      <c r="D300">
        <v>5</v>
      </c>
      <c r="E300">
        <v>5</v>
      </c>
      <c r="G300">
        <v>-2.6367212880971151</v>
      </c>
      <c r="H300">
        <v>-1.8078148569972865</v>
      </c>
      <c r="I300">
        <v>-1.8170978405663931</v>
      </c>
      <c r="K300">
        <v>-2.087211328553598</v>
      </c>
      <c r="M300">
        <f t="shared" si="4"/>
        <v>0.47591221897963931</v>
      </c>
    </row>
    <row r="301" spans="1:13">
      <c r="A301">
        <v>902</v>
      </c>
      <c r="B301">
        <v>40</v>
      </c>
      <c r="C301">
        <v>1</v>
      </c>
      <c r="D301">
        <v>1</v>
      </c>
      <c r="E301">
        <v>1</v>
      </c>
      <c r="G301">
        <v>-2.1780834390714654</v>
      </c>
      <c r="H301">
        <v>-2.0481470123076559</v>
      </c>
      <c r="I301">
        <v>-2.0574299958767623</v>
      </c>
      <c r="K301">
        <v>-2.094553482418628</v>
      </c>
      <c r="M301">
        <f t="shared" si="4"/>
        <v>7.2487817526842122E-2</v>
      </c>
    </row>
    <row r="302" spans="1:13">
      <c r="A302">
        <v>895</v>
      </c>
      <c r="B302">
        <v>133</v>
      </c>
      <c r="C302">
        <v>3</v>
      </c>
      <c r="D302">
        <v>3</v>
      </c>
      <c r="E302">
        <v>4</v>
      </c>
      <c r="G302">
        <v>-2.222753833990927</v>
      </c>
      <c r="H302">
        <v>-2.0928174072271171</v>
      </c>
      <c r="I302">
        <v>-1.9771616541879238</v>
      </c>
      <c r="K302">
        <v>-2.0975776318019892</v>
      </c>
      <c r="M302">
        <f t="shared" si="4"/>
        <v>0.12286526970059551</v>
      </c>
    </row>
    <row r="303" spans="1:13">
      <c r="A303">
        <v>414</v>
      </c>
      <c r="B303">
        <v>207</v>
      </c>
      <c r="C303">
        <v>4</v>
      </c>
      <c r="D303">
        <v>4</v>
      </c>
      <c r="E303">
        <v>8</v>
      </c>
      <c r="G303">
        <v>-2.2899338018724587</v>
      </c>
      <c r="H303">
        <v>-2.1599973751086488</v>
      </c>
      <c r="I303">
        <v>-1.8682503630137746</v>
      </c>
      <c r="K303">
        <v>-2.1060605133316272</v>
      </c>
      <c r="M303">
        <f t="shared" si="4"/>
        <v>0.21595397529493762</v>
      </c>
    </row>
    <row r="304" spans="1:13">
      <c r="A304">
        <v>391</v>
      </c>
      <c r="B304">
        <v>216</v>
      </c>
      <c r="C304">
        <v>8</v>
      </c>
      <c r="D304">
        <v>3</v>
      </c>
      <c r="E304">
        <v>6</v>
      </c>
      <c r="G304">
        <v>-2.0073872119024907</v>
      </c>
      <c r="H304">
        <v>-2.303419517410962</v>
      </c>
      <c r="I304">
        <v>-2.0116725053160875</v>
      </c>
      <c r="K304">
        <v>-2.1074930782098469</v>
      </c>
      <c r="M304">
        <f t="shared" si="4"/>
        <v>0.16969080151390464</v>
      </c>
    </row>
    <row r="305" spans="1:13">
      <c r="A305">
        <v>731</v>
      </c>
      <c r="B305">
        <v>357</v>
      </c>
      <c r="C305">
        <v>6</v>
      </c>
      <c r="D305">
        <v>12</v>
      </c>
      <c r="E305">
        <v>9</v>
      </c>
      <c r="G305">
        <v>-2.3505404134720527</v>
      </c>
      <c r="H305">
        <v>-1.919573991044262</v>
      </c>
      <c r="I305">
        <v>-2.0537957112216683</v>
      </c>
      <c r="K305">
        <v>-2.1079700385793276</v>
      </c>
      <c r="M305">
        <f t="shared" si="4"/>
        <v>0.22053153430641925</v>
      </c>
    </row>
    <row r="306" spans="1:13">
      <c r="A306">
        <v>143</v>
      </c>
      <c r="B306">
        <v>172</v>
      </c>
      <c r="C306">
        <v>4</v>
      </c>
      <c r="D306">
        <v>2</v>
      </c>
      <c r="E306">
        <v>9</v>
      </c>
      <c r="G306">
        <v>-2.20949190332309</v>
      </c>
      <c r="H306">
        <v>-2.3805854722232613</v>
      </c>
      <c r="I306">
        <v>-1.7366559420170242</v>
      </c>
      <c r="K306">
        <v>-2.1089111058544585</v>
      </c>
      <c r="M306">
        <f t="shared" si="4"/>
        <v>0.33353962670494874</v>
      </c>
    </row>
    <row r="307" spans="1:13">
      <c r="A307">
        <v>821</v>
      </c>
      <c r="B307">
        <v>207</v>
      </c>
      <c r="C307">
        <v>2</v>
      </c>
      <c r="D307">
        <v>15</v>
      </c>
      <c r="E307">
        <v>4</v>
      </c>
      <c r="G307">
        <v>-2.5909637975364399</v>
      </c>
      <c r="H307">
        <v>-1.5859661073809301</v>
      </c>
      <c r="I307">
        <v>-2.1692803586777556</v>
      </c>
      <c r="K307">
        <v>-2.115403421198375</v>
      </c>
      <c r="M307">
        <f t="shared" si="4"/>
        <v>0.50466041314788612</v>
      </c>
    </row>
    <row r="308" spans="1:13">
      <c r="A308">
        <v>17</v>
      </c>
      <c r="B308">
        <v>1124</v>
      </c>
      <c r="C308">
        <v>24</v>
      </c>
      <c r="D308">
        <v>28</v>
      </c>
      <c r="E308">
        <v>28</v>
      </c>
      <c r="G308">
        <v>-2.2465785172649397</v>
      </c>
      <c r="H308">
        <v>-2.0496953008705168</v>
      </c>
      <c r="I308">
        <v>-2.0589782844396236</v>
      </c>
      <c r="K308">
        <v>-2.1184173675250269</v>
      </c>
      <c r="M308">
        <f t="shared" si="4"/>
        <v>0.11108781964274204</v>
      </c>
    </row>
    <row r="309" spans="1:13">
      <c r="A309">
        <v>75</v>
      </c>
      <c r="B309">
        <v>86</v>
      </c>
      <c r="C309">
        <v>4</v>
      </c>
      <c r="D309">
        <v>2</v>
      </c>
      <c r="E309">
        <v>1</v>
      </c>
      <c r="G309">
        <v>-1.9084619076591087</v>
      </c>
      <c r="H309">
        <v>-2.0795554765592801</v>
      </c>
      <c r="I309">
        <v>-2.3898684557923682</v>
      </c>
      <c r="K309">
        <v>-2.1259619466702522</v>
      </c>
      <c r="M309">
        <f t="shared" si="4"/>
        <v>0.24403531813554258</v>
      </c>
    </row>
    <row r="310" spans="1:13">
      <c r="A310">
        <v>175</v>
      </c>
      <c r="B310">
        <v>165</v>
      </c>
      <c r="C310">
        <v>9</v>
      </c>
      <c r="D310">
        <v>1</v>
      </c>
      <c r="E310">
        <v>6</v>
      </c>
      <c r="G310">
        <v>-1.8392648825180848</v>
      </c>
      <c r="H310">
        <v>-2.6635709651935997</v>
      </c>
      <c r="I310">
        <v>-1.8947026983790629</v>
      </c>
      <c r="K310">
        <v>-2.132512848696916</v>
      </c>
      <c r="M310">
        <f t="shared" si="4"/>
        <v>0.46074437617795483</v>
      </c>
    </row>
    <row r="311" spans="1:13">
      <c r="A311">
        <v>187</v>
      </c>
      <c r="B311">
        <v>303</v>
      </c>
      <c r="C311">
        <v>6</v>
      </c>
      <c r="D311">
        <v>9</v>
      </c>
      <c r="E311">
        <v>6</v>
      </c>
      <c r="G311">
        <v>-2.2793148258621647</v>
      </c>
      <c r="H311">
        <v>-1.9732871400426739</v>
      </c>
      <c r="I311">
        <v>-2.1586613826674617</v>
      </c>
      <c r="K311">
        <v>-2.1370877828574337</v>
      </c>
      <c r="M311">
        <f t="shared" si="4"/>
        <v>0.15415025552551212</v>
      </c>
    </row>
    <row r="312" spans="1:13">
      <c r="A312">
        <v>78</v>
      </c>
      <c r="B312">
        <v>129</v>
      </c>
      <c r="C312">
        <v>2</v>
      </c>
      <c r="D312">
        <v>3</v>
      </c>
      <c r="E312">
        <v>4</v>
      </c>
      <c r="G312">
        <v>-2.3855831623787713</v>
      </c>
      <c r="H312">
        <v>-2.0795554765592801</v>
      </c>
      <c r="I312">
        <v>-1.9638997235200868</v>
      </c>
      <c r="K312">
        <v>-2.1430127874860463</v>
      </c>
      <c r="M312">
        <f t="shared" si="4"/>
        <v>0.21788610186164623</v>
      </c>
    </row>
    <row r="313" spans="1:13">
      <c r="A313">
        <v>91</v>
      </c>
      <c r="B313">
        <v>459</v>
      </c>
      <c r="C313">
        <v>13</v>
      </c>
      <c r="D313">
        <v>9</v>
      </c>
      <c r="E313">
        <v>9</v>
      </c>
      <c r="G313">
        <v>-2.1238927809739279</v>
      </c>
      <c r="H313">
        <v>-2.1536571970776297</v>
      </c>
      <c r="I313">
        <v>-2.1629401806467365</v>
      </c>
      <c r="K313">
        <v>-2.1468300528994315</v>
      </c>
      <c r="M313">
        <f t="shared" si="4"/>
        <v>2.0399320540754426E-2</v>
      </c>
    </row>
    <row r="314" spans="1:13">
      <c r="A314">
        <v>185</v>
      </c>
      <c r="B314">
        <v>359</v>
      </c>
      <c r="C314">
        <v>13</v>
      </c>
      <c r="D314">
        <v>9</v>
      </c>
      <c r="E314">
        <v>4</v>
      </c>
      <c r="G314">
        <v>-2.0171745440149857</v>
      </c>
      <c r="H314">
        <v>-2.046938960118688</v>
      </c>
      <c r="I314">
        <v>-2.4084044617991571</v>
      </c>
      <c r="K314">
        <v>-2.1575059886442771</v>
      </c>
      <c r="M314">
        <f t="shared" si="4"/>
        <v>0.21779350998155608</v>
      </c>
    </row>
    <row r="315" spans="1:13">
      <c r="A315">
        <v>301</v>
      </c>
      <c r="B315">
        <v>67</v>
      </c>
      <c r="C315">
        <v>1</v>
      </c>
      <c r="D315">
        <v>1</v>
      </c>
      <c r="E315">
        <v>3</v>
      </c>
      <c r="G315">
        <v>-2.4020982504443298</v>
      </c>
      <c r="H315">
        <v>-2.2721618236805199</v>
      </c>
      <c r="I315">
        <v>-1.8043235525299643</v>
      </c>
      <c r="K315">
        <v>-2.1595278755516047</v>
      </c>
      <c r="M315">
        <f t="shared" si="4"/>
        <v>0.31440173674772282</v>
      </c>
    </row>
    <row r="316" spans="1:13">
      <c r="A316">
        <v>8</v>
      </c>
      <c r="B316">
        <v>516</v>
      </c>
      <c r="C316">
        <v>8</v>
      </c>
      <c r="D316">
        <v>10</v>
      </c>
      <c r="E316">
        <v>17</v>
      </c>
      <c r="G316">
        <v>-2.3855831623787713</v>
      </c>
      <c r="H316">
        <v>-2.1587367226069052</v>
      </c>
      <c r="I316">
        <v>-1.9375707847977377</v>
      </c>
      <c r="K316">
        <v>-2.1606302232611383</v>
      </c>
      <c r="M316">
        <f t="shared" si="4"/>
        <v>0.22401219079549742</v>
      </c>
    </row>
    <row r="317" spans="1:13">
      <c r="A317">
        <v>884</v>
      </c>
      <c r="B317">
        <v>285</v>
      </c>
      <c r="C317">
        <v>4</v>
      </c>
      <c r="D317">
        <v>6</v>
      </c>
      <c r="E317">
        <v>9</v>
      </c>
      <c r="G317">
        <v>-2.428808316424051</v>
      </c>
      <c r="H317">
        <v>-2.1227806306045602</v>
      </c>
      <c r="I317">
        <v>-1.9559723551179855</v>
      </c>
      <c r="K317">
        <v>-2.1691871007155323</v>
      </c>
      <c r="M317">
        <f t="shared" si="4"/>
        <v>0.23980957430256655</v>
      </c>
    </row>
    <row r="318" spans="1:13">
      <c r="A318">
        <v>496</v>
      </c>
      <c r="B318">
        <v>61</v>
      </c>
      <c r="C318">
        <v>1</v>
      </c>
      <c r="D318">
        <v>1</v>
      </c>
      <c r="E318">
        <v>2</v>
      </c>
      <c r="G318">
        <v>-2.36135328275427</v>
      </c>
      <c r="H318">
        <v>-2.2314168559904606</v>
      </c>
      <c r="I318">
        <v>-1.9396698438955862</v>
      </c>
      <c r="K318">
        <v>-2.1774799942134391</v>
      </c>
      <c r="M318">
        <f t="shared" si="4"/>
        <v>0.21595397529493754</v>
      </c>
    </row>
    <row r="319" spans="1:13">
      <c r="A319">
        <v>540</v>
      </c>
      <c r="B319">
        <v>77</v>
      </c>
      <c r="C319">
        <v>1</v>
      </c>
      <c r="D319">
        <v>1</v>
      </c>
      <c r="E319">
        <v>4</v>
      </c>
      <c r="G319">
        <v>-2.4625141729159852</v>
      </c>
      <c r="H319">
        <v>-2.3325777461521753</v>
      </c>
      <c r="I319">
        <v>-1.7398007383933198</v>
      </c>
      <c r="K319">
        <v>-2.1782975524871602</v>
      </c>
      <c r="M319">
        <f t="shared" si="4"/>
        <v>0.38526673971142661</v>
      </c>
    </row>
    <row r="320" spans="1:13">
      <c r="A320">
        <v>845</v>
      </c>
      <c r="B320">
        <v>210</v>
      </c>
      <c r="C320">
        <v>9</v>
      </c>
      <c r="D320">
        <v>1</v>
      </c>
      <c r="E320">
        <v>9</v>
      </c>
      <c r="G320">
        <v>-1.9440002330380977</v>
      </c>
      <c r="H320">
        <v>-2.7683063157136125</v>
      </c>
      <c r="I320">
        <v>-1.8233467898433946</v>
      </c>
      <c r="K320">
        <v>-2.1785511128650352</v>
      </c>
      <c r="M320">
        <f t="shared" si="4"/>
        <v>0.5142934112001698</v>
      </c>
    </row>
    <row r="321" spans="1:13">
      <c r="A321">
        <v>877</v>
      </c>
      <c r="B321">
        <v>140</v>
      </c>
      <c r="C321">
        <v>2</v>
      </c>
      <c r="D321">
        <v>3</v>
      </c>
      <c r="E321">
        <v>4</v>
      </c>
      <c r="G321">
        <v>-2.4211214877577603</v>
      </c>
      <c r="H321">
        <v>-2.1150938019382695</v>
      </c>
      <c r="I321">
        <v>-1.9994380488990759</v>
      </c>
      <c r="K321">
        <v>-2.1785511128650352</v>
      </c>
      <c r="M321">
        <f t="shared" si="4"/>
        <v>0.21788610186164609</v>
      </c>
    </row>
    <row r="322" spans="1:13">
      <c r="A322">
        <v>272</v>
      </c>
      <c r="B322">
        <v>510</v>
      </c>
      <c r="C322">
        <v>6</v>
      </c>
      <c r="D322">
        <v>10</v>
      </c>
      <c r="E322">
        <v>19</v>
      </c>
      <c r="G322">
        <v>-2.5054423734577957</v>
      </c>
      <c r="H322">
        <v>-2.1536571970776297</v>
      </c>
      <c r="I322">
        <v>-1.8841865796939077</v>
      </c>
      <c r="K322">
        <v>-2.1810953834097777</v>
      </c>
      <c r="M322">
        <f t="shared" si="4"/>
        <v>0.31153544079799034</v>
      </c>
    </row>
    <row r="323" spans="1:13">
      <c r="A323">
        <v>842</v>
      </c>
      <c r="B323">
        <v>162</v>
      </c>
      <c r="C323">
        <v>6</v>
      </c>
      <c r="D323">
        <v>2</v>
      </c>
      <c r="E323">
        <v>3</v>
      </c>
      <c r="G323">
        <v>-2.0073872119024907</v>
      </c>
      <c r="H323">
        <v>-2.3545720398583434</v>
      </c>
      <c r="I323">
        <v>-2.1877637643717689</v>
      </c>
      <c r="K323">
        <v>-2.1832410053775342</v>
      </c>
      <c r="M323">
        <f t="shared" ref="M323:M386" si="5">STDEV(G323:I323)</f>
        <v>0.17363659666779266</v>
      </c>
    </row>
    <row r="324" spans="1:13">
      <c r="A324">
        <v>220</v>
      </c>
      <c r="B324">
        <v>188</v>
      </c>
      <c r="C324">
        <v>4</v>
      </c>
      <c r="D324">
        <v>2</v>
      </c>
      <c r="E324">
        <v>7</v>
      </c>
      <c r="G324">
        <v>-2.2481213056792209</v>
      </c>
      <c r="H324">
        <v>-2.4192148745793922</v>
      </c>
      <c r="I324">
        <v>-1.8844298137982234</v>
      </c>
      <c r="K324">
        <v>-2.1839219980189455</v>
      </c>
      <c r="M324">
        <f t="shared" si="5"/>
        <v>0.2731115681122358</v>
      </c>
    </row>
    <row r="325" spans="1:13">
      <c r="A325">
        <v>844</v>
      </c>
      <c r="B325">
        <v>142</v>
      </c>
      <c r="C325">
        <v>6</v>
      </c>
      <c r="D325">
        <v>2</v>
      </c>
      <c r="E325">
        <v>2</v>
      </c>
      <c r="G325">
        <v>-1.9501605417429162</v>
      </c>
      <c r="H325">
        <v>-2.2973453696987689</v>
      </c>
      <c r="I325">
        <v>-2.3066283532678753</v>
      </c>
      <c r="K325">
        <v>-2.1847114215698533</v>
      </c>
      <c r="M325">
        <f t="shared" si="5"/>
        <v>0.20318004298325867</v>
      </c>
    </row>
    <row r="326" spans="1:13">
      <c r="A326">
        <v>138</v>
      </c>
      <c r="B326">
        <v>264</v>
      </c>
      <c r="C326">
        <v>11</v>
      </c>
      <c r="D326">
        <v>7</v>
      </c>
      <c r="E326">
        <v>2</v>
      </c>
      <c r="G326">
        <v>-1.9562346894551095</v>
      </c>
      <c r="H326">
        <v>-2.0225929078352678</v>
      </c>
      <c r="I326">
        <v>-2.5759439357546503</v>
      </c>
      <c r="K326">
        <v>-2.1849238443483423</v>
      </c>
      <c r="M326">
        <f t="shared" si="5"/>
        <v>0.34025488563604089</v>
      </c>
    </row>
    <row r="327" spans="1:13">
      <c r="A327">
        <v>854</v>
      </c>
      <c r="B327">
        <v>387</v>
      </c>
      <c r="C327">
        <v>10</v>
      </c>
      <c r="D327">
        <v>4</v>
      </c>
      <c r="E327">
        <v>12</v>
      </c>
      <c r="G327">
        <v>-2.1637344127624147</v>
      </c>
      <c r="H327">
        <v>-2.4317379946706428</v>
      </c>
      <c r="I327">
        <v>-1.9638997235200868</v>
      </c>
      <c r="K327">
        <v>-2.1864573769843814</v>
      </c>
      <c r="M327">
        <f t="shared" si="5"/>
        <v>0.23474541915777583</v>
      </c>
    </row>
    <row r="328" spans="1:13">
      <c r="A328">
        <v>297</v>
      </c>
      <c r="B328">
        <v>159</v>
      </c>
      <c r="C328">
        <v>2</v>
      </c>
      <c r="D328">
        <v>4</v>
      </c>
      <c r="E328">
        <v>4</v>
      </c>
      <c r="G328">
        <v>-2.4763905763999734</v>
      </c>
      <c r="H328">
        <v>-2.0454241539721827</v>
      </c>
      <c r="I328">
        <v>-2.0547071375412891</v>
      </c>
      <c r="K328">
        <v>-2.1921739559711484</v>
      </c>
      <c r="M328">
        <f t="shared" si="5"/>
        <v>0.24618257237662697</v>
      </c>
    </row>
    <row r="329" spans="1:13">
      <c r="A329">
        <v>332</v>
      </c>
      <c r="B329">
        <v>101</v>
      </c>
      <c r="C329">
        <v>4</v>
      </c>
      <c r="D329">
        <v>2</v>
      </c>
      <c r="E329">
        <v>1</v>
      </c>
      <c r="G329">
        <v>-1.9782848301981835</v>
      </c>
      <c r="H329">
        <v>-2.1493783990983548</v>
      </c>
      <c r="I329">
        <v>-2.4596913783314429</v>
      </c>
      <c r="K329">
        <v>-2.1957848692093269</v>
      </c>
      <c r="M329">
        <f t="shared" si="5"/>
        <v>0.24403531813554258</v>
      </c>
    </row>
    <row r="330" spans="1:13">
      <c r="A330">
        <v>85</v>
      </c>
      <c r="B330">
        <v>250</v>
      </c>
      <c r="C330">
        <v>5</v>
      </c>
      <c r="D330">
        <v>4</v>
      </c>
      <c r="E330">
        <v>6</v>
      </c>
      <c r="G330">
        <v>-2.2749934520795221</v>
      </c>
      <c r="H330">
        <v>-2.2419670383237689</v>
      </c>
      <c r="I330">
        <v>-2.0751587628371944</v>
      </c>
      <c r="K330">
        <v>-2.1973730844134951</v>
      </c>
      <c r="M330">
        <f t="shared" si="5"/>
        <v>0.10712115244039405</v>
      </c>
    </row>
    <row r="331" spans="1:13">
      <c r="A331">
        <v>40</v>
      </c>
      <c r="B331">
        <v>318</v>
      </c>
      <c r="C331">
        <v>7</v>
      </c>
      <c r="D331">
        <v>5</v>
      </c>
      <c r="E331">
        <v>7</v>
      </c>
      <c r="G331">
        <v>-2.233352527713679</v>
      </c>
      <c r="H331">
        <v>-2.2495441366281073</v>
      </c>
      <c r="I331">
        <v>-2.1126990845189759</v>
      </c>
      <c r="K331">
        <v>-2.1985319162869206</v>
      </c>
      <c r="M331">
        <f t="shared" si="5"/>
        <v>7.4772978453366987E-2</v>
      </c>
    </row>
    <row r="332" spans="1:13">
      <c r="A332">
        <v>879</v>
      </c>
      <c r="B332">
        <v>200</v>
      </c>
      <c r="C332">
        <v>5</v>
      </c>
      <c r="D332">
        <v>6</v>
      </c>
      <c r="E332">
        <v>2</v>
      </c>
      <c r="G332">
        <v>-2.1780834390714654</v>
      </c>
      <c r="H332">
        <v>-1.9689657662600313</v>
      </c>
      <c r="I332">
        <v>-2.4553700045488003</v>
      </c>
      <c r="K332">
        <v>-2.2008064032934325</v>
      </c>
      <c r="M332">
        <f t="shared" si="5"/>
        <v>0.24399696839017077</v>
      </c>
    </row>
    <row r="333" spans="1:13">
      <c r="A333">
        <v>79</v>
      </c>
      <c r="B333">
        <v>469</v>
      </c>
      <c r="C333">
        <v>4</v>
      </c>
      <c r="D333">
        <v>10</v>
      </c>
      <c r="E333">
        <v>18</v>
      </c>
      <c r="G333">
        <v>-2.6451362991306242</v>
      </c>
      <c r="H333">
        <v>-2.1172598636947768</v>
      </c>
      <c r="I333">
        <v>-1.8712703421605774</v>
      </c>
      <c r="K333">
        <v>-2.2112221683286593</v>
      </c>
      <c r="M333">
        <f t="shared" si="5"/>
        <v>0.3953970357227955</v>
      </c>
    </row>
    <row r="334" spans="1:13">
      <c r="A334">
        <v>33</v>
      </c>
      <c r="B334">
        <v>290</v>
      </c>
      <c r="C334">
        <v>4</v>
      </c>
      <c r="D334">
        <v>7</v>
      </c>
      <c r="E334">
        <v>6</v>
      </c>
      <c r="G334">
        <v>-2.4363614543144969</v>
      </c>
      <c r="H334">
        <v>-2.0633869788643926</v>
      </c>
      <c r="I334">
        <v>-2.1396167520641125</v>
      </c>
      <c r="K334">
        <v>-2.2131217284143339</v>
      </c>
      <c r="M334">
        <f t="shared" si="5"/>
        <v>0.1970525970280653</v>
      </c>
    </row>
    <row r="335" spans="1:13">
      <c r="A335">
        <v>856</v>
      </c>
      <c r="B335">
        <v>279</v>
      </c>
      <c r="C335">
        <v>7</v>
      </c>
      <c r="D335">
        <v>3</v>
      </c>
      <c r="E335">
        <v>7</v>
      </c>
      <c r="G335">
        <v>-2.1765296110028443</v>
      </c>
      <c r="H335">
        <v>-2.4145699695336287</v>
      </c>
      <c r="I335">
        <v>-2.0558761678081412</v>
      </c>
      <c r="K335">
        <v>-2.215658582781538</v>
      </c>
      <c r="M335">
        <f t="shared" si="5"/>
        <v>0.18252018566014605</v>
      </c>
    </row>
    <row r="336" spans="1:13">
      <c r="A336">
        <v>759</v>
      </c>
      <c r="B336">
        <v>182</v>
      </c>
      <c r="C336">
        <v>10</v>
      </c>
      <c r="D336">
        <v>2</v>
      </c>
      <c r="E336">
        <v>2</v>
      </c>
      <c r="G336">
        <v>-1.8360948357285782</v>
      </c>
      <c r="H336">
        <v>-2.4051284133007873</v>
      </c>
      <c r="I336">
        <v>-2.4144113968698937</v>
      </c>
      <c r="K336">
        <v>-2.21854488196642</v>
      </c>
      <c r="M336">
        <f t="shared" si="5"/>
        <v>0.33124397631727726</v>
      </c>
    </row>
    <row r="337" spans="1:13">
      <c r="A337">
        <v>453</v>
      </c>
      <c r="B337">
        <v>122</v>
      </c>
      <c r="C337">
        <v>3</v>
      </c>
      <c r="D337">
        <v>1</v>
      </c>
      <c r="E337">
        <v>4</v>
      </c>
      <c r="G337">
        <v>-2.1852620236985891</v>
      </c>
      <c r="H337">
        <v>-2.5324468516544423</v>
      </c>
      <c r="I337">
        <v>-1.9396698438955862</v>
      </c>
      <c r="K337">
        <v>-2.219126239749539</v>
      </c>
      <c r="M337">
        <f t="shared" si="5"/>
        <v>0.29783591804623699</v>
      </c>
    </row>
    <row r="338" spans="1:13">
      <c r="A338">
        <v>796</v>
      </c>
      <c r="B338">
        <v>285</v>
      </c>
      <c r="C338">
        <v>5</v>
      </c>
      <c r="D338">
        <v>5</v>
      </c>
      <c r="E338">
        <v>6</v>
      </c>
      <c r="G338">
        <v>-2.3318983034159948</v>
      </c>
      <c r="H338">
        <v>-2.2019618766521853</v>
      </c>
      <c r="I338">
        <v>-2.1320636141736671</v>
      </c>
      <c r="K338">
        <v>-2.2219745980806156</v>
      </c>
      <c r="M338">
        <f t="shared" si="5"/>
        <v>0.10140935617768901</v>
      </c>
    </row>
    <row r="339" spans="1:13">
      <c r="A339">
        <v>742</v>
      </c>
      <c r="B339">
        <v>437</v>
      </c>
      <c r="C339">
        <v>12</v>
      </c>
      <c r="D339">
        <v>6</v>
      </c>
      <c r="E339">
        <v>7</v>
      </c>
      <c r="G339">
        <v>-2.1373236386663006</v>
      </c>
      <c r="H339">
        <v>-2.308417207566472</v>
      </c>
      <c r="I339">
        <v>-2.2507534015049653</v>
      </c>
      <c r="K339">
        <v>-2.2321647492459125</v>
      </c>
      <c r="M339">
        <f t="shared" si="5"/>
        <v>8.7048295930221467E-2</v>
      </c>
    </row>
    <row r="340" spans="1:13">
      <c r="A340">
        <v>439</v>
      </c>
      <c r="B340">
        <v>332</v>
      </c>
      <c r="C340">
        <v>6</v>
      </c>
      <c r="D340">
        <v>4</v>
      </c>
      <c r="E340">
        <v>9</v>
      </c>
      <c r="G340">
        <v>-2.3190102810638962</v>
      </c>
      <c r="H340">
        <v>-2.3651651133557676</v>
      </c>
      <c r="I340">
        <v>-2.0222655788135118</v>
      </c>
      <c r="K340">
        <v>-2.2354803244110584</v>
      </c>
      <c r="M340">
        <f t="shared" si="5"/>
        <v>0.18608590204833528</v>
      </c>
    </row>
    <row r="341" spans="1:13">
      <c r="A341">
        <v>41</v>
      </c>
      <c r="B341">
        <v>217</v>
      </c>
      <c r="C341">
        <v>6</v>
      </c>
      <c r="D341">
        <v>5</v>
      </c>
      <c r="E341">
        <v>2</v>
      </c>
      <c r="G341">
        <v>-2.134331931208389</v>
      </c>
      <c r="H341">
        <v>-2.0835767504922043</v>
      </c>
      <c r="I341">
        <v>-2.4907997427333486</v>
      </c>
      <c r="K341">
        <v>-2.2362361414779808</v>
      </c>
      <c r="M341">
        <f t="shared" si="5"/>
        <v>0.22191438079912629</v>
      </c>
    </row>
    <row r="342" spans="1:13">
      <c r="A342">
        <v>770</v>
      </c>
      <c r="B342">
        <v>101</v>
      </c>
      <c r="C342">
        <v>3</v>
      </c>
      <c r="D342">
        <v>2</v>
      </c>
      <c r="E342">
        <v>1</v>
      </c>
      <c r="G342">
        <v>-2.1032235668064834</v>
      </c>
      <c r="H342">
        <v>-2.1493783990983548</v>
      </c>
      <c r="I342">
        <v>-2.4596913783314429</v>
      </c>
      <c r="K342">
        <v>-2.2374311147454269</v>
      </c>
      <c r="M342">
        <f t="shared" si="5"/>
        <v>0.19386151168544682</v>
      </c>
    </row>
    <row r="343" spans="1:13">
      <c r="A343">
        <v>201</v>
      </c>
      <c r="B343">
        <v>117</v>
      </c>
      <c r="C343">
        <v>3</v>
      </c>
      <c r="D343">
        <v>3</v>
      </c>
      <c r="E343">
        <v>1</v>
      </c>
      <c r="G343">
        <v>-2.1670880547700024</v>
      </c>
      <c r="H343">
        <v>-2.037151628006193</v>
      </c>
      <c r="I343">
        <v>-2.523555866294962</v>
      </c>
      <c r="K343">
        <v>-2.2425985163570528</v>
      </c>
      <c r="M343">
        <f t="shared" si="5"/>
        <v>0.25184051126285545</v>
      </c>
    </row>
    <row r="344" spans="1:13">
      <c r="A344">
        <v>858</v>
      </c>
      <c r="B344">
        <v>206</v>
      </c>
      <c r="C344">
        <v>1</v>
      </c>
      <c r="D344">
        <v>4</v>
      </c>
      <c r="E344">
        <v>12</v>
      </c>
      <c r="G344">
        <v>-2.8898906681126566</v>
      </c>
      <c r="H344">
        <v>-2.1578942500208846</v>
      </c>
      <c r="I344">
        <v>-1.6900559788703289</v>
      </c>
      <c r="K344">
        <v>-2.2459469656679567</v>
      </c>
      <c r="M344">
        <f t="shared" si="5"/>
        <v>0.60474439305125216</v>
      </c>
    </row>
    <row r="345" spans="1:13">
      <c r="A345">
        <v>498</v>
      </c>
      <c r="B345">
        <v>72</v>
      </c>
      <c r="C345">
        <v>2</v>
      </c>
      <c r="D345">
        <v>1</v>
      </c>
      <c r="E345">
        <v>1</v>
      </c>
      <c r="G345">
        <v>-2.1323259485107906</v>
      </c>
      <c r="H345">
        <v>-2.303419517410962</v>
      </c>
      <c r="I345">
        <v>-2.3127025009800688</v>
      </c>
      <c r="K345">
        <v>-2.2494826556339405</v>
      </c>
      <c r="M345">
        <f t="shared" si="5"/>
        <v>0.10156679557779062</v>
      </c>
    </row>
    <row r="346" spans="1:13">
      <c r="A346">
        <v>866</v>
      </c>
      <c r="B346">
        <v>72</v>
      </c>
      <c r="C346">
        <v>1</v>
      </c>
      <c r="D346">
        <v>1</v>
      </c>
      <c r="E346">
        <v>2</v>
      </c>
      <c r="G346">
        <v>-2.4333559441747719</v>
      </c>
      <c r="H346">
        <v>-2.303419517410962</v>
      </c>
      <c r="I346">
        <v>-2.0116725053160875</v>
      </c>
      <c r="K346">
        <v>-2.2494826556339405</v>
      </c>
      <c r="M346">
        <f t="shared" si="5"/>
        <v>0.21595397529493773</v>
      </c>
    </row>
    <row r="347" spans="1:13">
      <c r="A347">
        <v>180</v>
      </c>
      <c r="B347">
        <v>105</v>
      </c>
      <c r="C347">
        <v>3</v>
      </c>
      <c r="D347">
        <v>1</v>
      </c>
      <c r="E347">
        <v>2</v>
      </c>
      <c r="G347">
        <v>-2.120091492093779</v>
      </c>
      <c r="H347">
        <v>-2.4672763200496313</v>
      </c>
      <c r="I347">
        <v>-2.1755293079547569</v>
      </c>
      <c r="K347">
        <v>-2.2542990400327225</v>
      </c>
      <c r="M347">
        <f t="shared" si="5"/>
        <v>0.18651495706620833</v>
      </c>
    </row>
    <row r="348" spans="1:13">
      <c r="A348">
        <v>101</v>
      </c>
      <c r="B348">
        <v>368</v>
      </c>
      <c r="C348">
        <v>6</v>
      </c>
      <c r="D348">
        <v>7</v>
      </c>
      <c r="E348">
        <v>6</v>
      </c>
      <c r="G348">
        <v>-2.3637200160333771</v>
      </c>
      <c r="H348">
        <v>-2.1668367996389541</v>
      </c>
      <c r="I348">
        <v>-2.2430665728386741</v>
      </c>
      <c r="K348">
        <v>-2.2578744628370018</v>
      </c>
      <c r="M348">
        <f t="shared" si="5"/>
        <v>9.927338731556018E-2</v>
      </c>
    </row>
    <row r="349" spans="1:13">
      <c r="A349">
        <v>772</v>
      </c>
      <c r="B349">
        <v>310</v>
      </c>
      <c r="C349">
        <v>5</v>
      </c>
      <c r="D349">
        <v>5</v>
      </c>
      <c r="E349">
        <v>6</v>
      </c>
      <c r="G349">
        <v>-2.3684151372417572</v>
      </c>
      <c r="H349">
        <v>-2.2384787104779473</v>
      </c>
      <c r="I349">
        <v>-2.1685804479994291</v>
      </c>
      <c r="K349">
        <v>-2.258491431906378</v>
      </c>
      <c r="M349">
        <f t="shared" si="5"/>
        <v>0.10140935617768924</v>
      </c>
    </row>
    <row r="350" spans="1:13">
      <c r="A350">
        <v>195</v>
      </c>
      <c r="B350">
        <v>107</v>
      </c>
      <c r="C350">
        <v>2</v>
      </c>
      <c r="D350">
        <v>3</v>
      </c>
      <c r="E350">
        <v>1</v>
      </c>
      <c r="G350">
        <v>-2.3043772297647318</v>
      </c>
      <c r="H350">
        <v>-1.9983495439452408</v>
      </c>
      <c r="I350">
        <v>-2.48475378223401</v>
      </c>
      <c r="K350">
        <v>-2.2624935186479944</v>
      </c>
      <c r="M350">
        <f t="shared" si="5"/>
        <v>0.24589216071075182</v>
      </c>
    </row>
    <row r="351" spans="1:13">
      <c r="A351">
        <v>179</v>
      </c>
      <c r="B351">
        <v>358</v>
      </c>
      <c r="C351">
        <v>5</v>
      </c>
      <c r="D351">
        <v>11</v>
      </c>
      <c r="E351">
        <v>4</v>
      </c>
      <c r="G351">
        <v>-2.4309364700513587</v>
      </c>
      <c r="H351">
        <v>-1.9585773624653431</v>
      </c>
      <c r="I351">
        <v>-2.4071930398647123</v>
      </c>
      <c r="K351">
        <v>-2.2655689574604714</v>
      </c>
      <c r="M351">
        <f t="shared" si="5"/>
        <v>0.26612744534808258</v>
      </c>
    </row>
    <row r="352" spans="1:13">
      <c r="A352">
        <v>782</v>
      </c>
      <c r="B352">
        <v>239</v>
      </c>
      <c r="C352">
        <v>4</v>
      </c>
      <c r="D352">
        <v>4</v>
      </c>
      <c r="E352">
        <v>4</v>
      </c>
      <c r="G352">
        <v>-2.3523613573636784</v>
      </c>
      <c r="H352">
        <v>-2.2224249305998689</v>
      </c>
      <c r="I352">
        <v>-2.2317079141689753</v>
      </c>
      <c r="K352">
        <v>-2.268831400710841</v>
      </c>
      <c r="M352">
        <f t="shared" si="5"/>
        <v>7.2487817526842122E-2</v>
      </c>
    </row>
    <row r="353" spans="1:13">
      <c r="A353">
        <v>865</v>
      </c>
      <c r="B353">
        <v>357</v>
      </c>
      <c r="C353">
        <v>7</v>
      </c>
      <c r="D353">
        <v>6</v>
      </c>
      <c r="E353">
        <v>5</v>
      </c>
      <c r="G353">
        <v>-2.2835936238414396</v>
      </c>
      <c r="H353">
        <v>-2.2206039867082432</v>
      </c>
      <c r="I353">
        <v>-2.3090682163249747</v>
      </c>
      <c r="K353">
        <v>-2.2710886089582192</v>
      </c>
      <c r="M353">
        <f t="shared" si="5"/>
        <v>4.553857187421035E-2</v>
      </c>
    </row>
    <row r="354" spans="1:13">
      <c r="A354">
        <v>776</v>
      </c>
      <c r="B354">
        <v>255</v>
      </c>
      <c r="C354">
        <v>5</v>
      </c>
      <c r="D354">
        <v>3</v>
      </c>
      <c r="E354">
        <v>5</v>
      </c>
      <c r="G354">
        <v>-2.2835936238414396</v>
      </c>
      <c r="H354">
        <v>-2.3755059466939863</v>
      </c>
      <c r="I354">
        <v>-2.1629401806467365</v>
      </c>
      <c r="K354">
        <v>-2.2740132503940544</v>
      </c>
      <c r="M354">
        <f t="shared" si="5"/>
        <v>0.10660623288699894</v>
      </c>
    </row>
    <row r="355" spans="1:13">
      <c r="A355">
        <v>214</v>
      </c>
      <c r="B355">
        <v>202</v>
      </c>
      <c r="C355">
        <v>3</v>
      </c>
      <c r="D355">
        <v>6</v>
      </c>
      <c r="E355">
        <v>2</v>
      </c>
      <c r="G355">
        <v>-2.4042535624704646</v>
      </c>
      <c r="H355">
        <v>-1.9732871400426739</v>
      </c>
      <c r="I355">
        <v>-2.4596913783314429</v>
      </c>
      <c r="K355">
        <v>-2.2790773602815273</v>
      </c>
      <c r="M355">
        <f t="shared" si="5"/>
        <v>0.26626881520777779</v>
      </c>
    </row>
    <row r="356" spans="1:13">
      <c r="A356">
        <v>356</v>
      </c>
      <c r="B356">
        <v>148</v>
      </c>
      <c r="C356">
        <v>7</v>
      </c>
      <c r="D356">
        <v>1</v>
      </c>
      <c r="E356">
        <v>2</v>
      </c>
      <c r="G356">
        <v>-1.9011871231242039</v>
      </c>
      <c r="H356">
        <v>-2.6163487363746514</v>
      </c>
      <c r="I356">
        <v>-2.3246017242797765</v>
      </c>
      <c r="K356">
        <v>-2.2807125279262106</v>
      </c>
      <c r="M356">
        <f t="shared" si="5"/>
        <v>0.35959522999362514</v>
      </c>
    </row>
    <row r="357" spans="1:13">
      <c r="A357">
        <v>7</v>
      </c>
      <c r="B357">
        <v>174</v>
      </c>
      <c r="C357">
        <v>1</v>
      </c>
      <c r="D357">
        <v>2</v>
      </c>
      <c r="E357">
        <v>11</v>
      </c>
      <c r="G357">
        <v>-2.8165726960261033</v>
      </c>
      <c r="H357">
        <v>-2.3856062735983121</v>
      </c>
      <c r="I357">
        <v>-1.6545265676731749</v>
      </c>
      <c r="K357">
        <v>-2.2855685124325302</v>
      </c>
      <c r="M357">
        <f t="shared" si="5"/>
        <v>0.58744656467571876</v>
      </c>
    </row>
    <row r="358" spans="1:13">
      <c r="A358">
        <v>785</v>
      </c>
      <c r="B358">
        <v>113</v>
      </c>
      <c r="C358">
        <v>1</v>
      </c>
      <c r="D358">
        <v>3</v>
      </c>
      <c r="E358">
        <v>2</v>
      </c>
      <c r="G358">
        <v>-2.6291018912269233</v>
      </c>
      <c r="H358">
        <v>-2.0220442097434512</v>
      </c>
      <c r="I358">
        <v>-2.2074184523682385</v>
      </c>
      <c r="K358">
        <v>-2.2861881844462042</v>
      </c>
      <c r="M358">
        <f t="shared" si="5"/>
        <v>0.3111000806505026</v>
      </c>
    </row>
    <row r="359" spans="1:13">
      <c r="A359">
        <v>880</v>
      </c>
      <c r="B359">
        <v>157</v>
      </c>
      <c r="C359">
        <v>4</v>
      </c>
      <c r="D359">
        <v>2</v>
      </c>
      <c r="E359">
        <v>2</v>
      </c>
      <c r="G359">
        <v>-2.1698631088247744</v>
      </c>
      <c r="H359">
        <v>-2.3409566777249462</v>
      </c>
      <c r="I359">
        <v>-2.3502396612940526</v>
      </c>
      <c r="K359">
        <v>-2.2870198159479247</v>
      </c>
      <c r="M359">
        <f t="shared" si="5"/>
        <v>0.10156679557779075</v>
      </c>
    </row>
    <row r="360" spans="1:13">
      <c r="A360">
        <v>452</v>
      </c>
      <c r="B360">
        <v>662</v>
      </c>
      <c r="C360">
        <v>11</v>
      </c>
      <c r="D360">
        <v>12</v>
      </c>
      <c r="E360">
        <v>9</v>
      </c>
      <c r="G360">
        <v>-2.3554887520249785</v>
      </c>
      <c r="H360">
        <v>-2.1877637643717689</v>
      </c>
      <c r="I360">
        <v>-2.3219854845491756</v>
      </c>
      <c r="K360">
        <v>-2.2884126669819742</v>
      </c>
      <c r="M360">
        <f t="shared" si="5"/>
        <v>8.8759610354979396E-2</v>
      </c>
    </row>
    <row r="361" spans="1:13">
      <c r="A361">
        <v>299</v>
      </c>
      <c r="B361">
        <v>164</v>
      </c>
      <c r="C361">
        <v>3</v>
      </c>
      <c r="D361">
        <v>3</v>
      </c>
      <c r="E361">
        <v>2</v>
      </c>
      <c r="G361">
        <v>-2.3137460410715391</v>
      </c>
      <c r="H361">
        <v>-2.1838096143077292</v>
      </c>
      <c r="I361">
        <v>-2.369183856932517</v>
      </c>
      <c r="K361">
        <v>-2.288913170770595</v>
      </c>
      <c r="M361">
        <f t="shared" si="5"/>
        <v>9.5149388031221985E-2</v>
      </c>
    </row>
    <row r="362" spans="1:13">
      <c r="A362">
        <v>510</v>
      </c>
      <c r="B362">
        <v>215</v>
      </c>
      <c r="C362">
        <v>2</v>
      </c>
      <c r="D362">
        <v>5</v>
      </c>
      <c r="E362">
        <v>4</v>
      </c>
      <c r="G362">
        <v>-2.6074319119951275</v>
      </c>
      <c r="H362">
        <v>-2.0795554765592801</v>
      </c>
      <c r="I362">
        <v>-2.1857484731364432</v>
      </c>
      <c r="K362">
        <v>-2.2909119538969502</v>
      </c>
      <c r="M362">
        <f t="shared" si="5"/>
        <v>0.27920942146776362</v>
      </c>
    </row>
    <row r="363" spans="1:13">
      <c r="A363">
        <v>16</v>
      </c>
      <c r="B363">
        <v>171</v>
      </c>
      <c r="C363">
        <v>5</v>
      </c>
      <c r="D363">
        <v>4</v>
      </c>
      <c r="E363">
        <v>1</v>
      </c>
      <c r="G363">
        <v>-2.1100495537996382</v>
      </c>
      <c r="H363">
        <v>-2.0770231400438854</v>
      </c>
      <c r="I363">
        <v>-2.6883661149409543</v>
      </c>
      <c r="K363">
        <v>-2.291812936261493</v>
      </c>
      <c r="M363">
        <f t="shared" si="5"/>
        <v>0.34382190686746344</v>
      </c>
    </row>
    <row r="364" spans="1:13">
      <c r="A364">
        <v>234</v>
      </c>
      <c r="B364">
        <v>597</v>
      </c>
      <c r="C364">
        <v>12</v>
      </c>
      <c r="D364">
        <v>7</v>
      </c>
      <c r="E364">
        <v>10</v>
      </c>
      <c r="G364">
        <v>-2.2728165328252476</v>
      </c>
      <c r="H364">
        <v>-2.3769633120948059</v>
      </c>
      <c r="I364">
        <v>-2.2313443356781697</v>
      </c>
      <c r="K364">
        <v>-2.2937080601994078</v>
      </c>
      <c r="M364">
        <f t="shared" si="5"/>
        <v>7.5023752973149616E-2</v>
      </c>
    </row>
    <row r="365" spans="1:13">
      <c r="A365">
        <v>393</v>
      </c>
      <c r="B365">
        <v>101</v>
      </c>
      <c r="C365">
        <v>2</v>
      </c>
      <c r="D365">
        <v>1</v>
      </c>
      <c r="E365">
        <v>2</v>
      </c>
      <c r="G365">
        <v>-2.2793148258621647</v>
      </c>
      <c r="H365">
        <v>-2.4504083947623361</v>
      </c>
      <c r="I365">
        <v>-2.1586613826674617</v>
      </c>
      <c r="K365">
        <v>-2.296128201097321</v>
      </c>
      <c r="M365">
        <f t="shared" si="5"/>
        <v>0.14659842071683557</v>
      </c>
    </row>
    <row r="366" spans="1:13">
      <c r="A366">
        <v>59</v>
      </c>
      <c r="B366">
        <v>401</v>
      </c>
      <c r="C366">
        <v>5</v>
      </c>
      <c r="D366">
        <v>5</v>
      </c>
      <c r="E366">
        <v>10</v>
      </c>
      <c r="G366">
        <v>-2.4801978160276668</v>
      </c>
      <c r="H366">
        <v>-2.3502613892638573</v>
      </c>
      <c r="I366">
        <v>-2.0585143771689829</v>
      </c>
      <c r="K366">
        <v>-2.2963245274868354</v>
      </c>
      <c r="M366">
        <f t="shared" si="5"/>
        <v>0.21595397529493757</v>
      </c>
    </row>
    <row r="367" spans="1:13">
      <c r="A367">
        <v>852</v>
      </c>
      <c r="B367">
        <v>271</v>
      </c>
      <c r="C367">
        <v>5</v>
      </c>
      <c r="D367">
        <v>3</v>
      </c>
      <c r="E367">
        <v>5</v>
      </c>
      <c r="G367">
        <v>-2.3100227342818904</v>
      </c>
      <c r="H367">
        <v>-2.4019350571344367</v>
      </c>
      <c r="I367">
        <v>-2.1893692910871874</v>
      </c>
      <c r="K367">
        <v>-2.3004423608345048</v>
      </c>
      <c r="M367">
        <f t="shared" si="5"/>
        <v>0.10660623288699873</v>
      </c>
    </row>
    <row r="368" spans="1:13">
      <c r="A368">
        <v>364</v>
      </c>
      <c r="B368">
        <v>139</v>
      </c>
      <c r="C368">
        <v>1</v>
      </c>
      <c r="D368">
        <v>2</v>
      </c>
      <c r="E368">
        <v>5</v>
      </c>
      <c r="G368">
        <v>-2.7190382479975983</v>
      </c>
      <c r="H368">
        <v>-2.2880718255698076</v>
      </c>
      <c r="I368">
        <v>-1.8994148004668765</v>
      </c>
      <c r="K368">
        <v>-2.3021749580114275</v>
      </c>
      <c r="M368">
        <f t="shared" si="5"/>
        <v>0.40999368616362208</v>
      </c>
    </row>
    <row r="369" spans="1:13">
      <c r="A369">
        <v>738</v>
      </c>
      <c r="B369">
        <v>148</v>
      </c>
      <c r="C369">
        <v>3</v>
      </c>
      <c r="D369">
        <v>2</v>
      </c>
      <c r="E369">
        <v>2</v>
      </c>
      <c r="G369">
        <v>-2.2691639084187982</v>
      </c>
      <c r="H369">
        <v>-2.3153187407106701</v>
      </c>
      <c r="I369">
        <v>-2.3246017242797765</v>
      </c>
      <c r="K369">
        <v>-2.3030281244697481</v>
      </c>
      <c r="M369">
        <f t="shared" si="5"/>
        <v>2.9692293487454665E-2</v>
      </c>
    </row>
    <row r="370" spans="1:13">
      <c r="A370">
        <v>202</v>
      </c>
      <c r="B370">
        <v>130</v>
      </c>
      <c r="C370">
        <v>1</v>
      </c>
      <c r="D370">
        <v>2</v>
      </c>
      <c r="E370">
        <v>4</v>
      </c>
      <c r="G370">
        <v>-2.6899668000503403</v>
      </c>
      <c r="H370">
        <v>-2.2590003776225491</v>
      </c>
      <c r="I370">
        <v>-1.9672533655276747</v>
      </c>
      <c r="K370">
        <v>-2.3054068477335217</v>
      </c>
      <c r="M370">
        <f t="shared" si="5"/>
        <v>0.36358471840962492</v>
      </c>
    </row>
    <row r="371" spans="1:13">
      <c r="A371">
        <v>703</v>
      </c>
      <c r="B371">
        <v>83</v>
      </c>
      <c r="C371">
        <v>1</v>
      </c>
      <c r="D371">
        <v>1</v>
      </c>
      <c r="E371">
        <v>2</v>
      </c>
      <c r="G371">
        <v>-2.4951015401195775</v>
      </c>
      <c r="H371">
        <v>-2.3651651133557676</v>
      </c>
      <c r="I371">
        <v>-2.0734181012608932</v>
      </c>
      <c r="K371">
        <v>-2.3112282515787461</v>
      </c>
      <c r="M371">
        <f t="shared" si="5"/>
        <v>0.21595397529493773</v>
      </c>
    </row>
    <row r="372" spans="1:13">
      <c r="A372">
        <v>282</v>
      </c>
      <c r="B372">
        <v>132</v>
      </c>
      <c r="C372">
        <v>2</v>
      </c>
      <c r="D372">
        <v>2</v>
      </c>
      <c r="E372">
        <v>2</v>
      </c>
      <c r="G372">
        <v>-2.3955673832853721</v>
      </c>
      <c r="H372">
        <v>-2.2656309565215622</v>
      </c>
      <c r="I372">
        <v>-2.2749139400906691</v>
      </c>
      <c r="K372">
        <v>-2.3120374266325343</v>
      </c>
      <c r="M372">
        <f t="shared" si="5"/>
        <v>7.248781752684226E-2</v>
      </c>
    </row>
    <row r="373" spans="1:13">
      <c r="A373">
        <v>76</v>
      </c>
      <c r="B373">
        <v>105</v>
      </c>
      <c r="C373">
        <v>2</v>
      </c>
      <c r="D373">
        <v>2</v>
      </c>
      <c r="E373">
        <v>1</v>
      </c>
      <c r="G373">
        <v>-2.2961827511494599</v>
      </c>
      <c r="H373">
        <v>-2.1662463243856505</v>
      </c>
      <c r="I373">
        <v>-2.4765593036187381</v>
      </c>
      <c r="K373">
        <v>-2.3129961263846162</v>
      </c>
      <c r="M373">
        <f t="shared" si="5"/>
        <v>0.15583822849425391</v>
      </c>
    </row>
    <row r="374" spans="1:13">
      <c r="A374">
        <v>497</v>
      </c>
      <c r="B374">
        <v>280</v>
      </c>
      <c r="C374">
        <v>5</v>
      </c>
      <c r="D374">
        <v>5</v>
      </c>
      <c r="E374">
        <v>3</v>
      </c>
      <c r="G374">
        <v>-2.3242114747497036</v>
      </c>
      <c r="H374">
        <v>-2.1942750479858941</v>
      </c>
      <c r="I374">
        <v>-2.4254067811713571</v>
      </c>
      <c r="K374">
        <v>-2.3146311013023184</v>
      </c>
      <c r="M374">
        <f t="shared" si="5"/>
        <v>0.11586331251898738</v>
      </c>
    </row>
    <row r="375" spans="1:13">
      <c r="A375">
        <v>745</v>
      </c>
      <c r="B375">
        <v>330</v>
      </c>
      <c r="C375">
        <v>3</v>
      </c>
      <c r="D375">
        <v>8</v>
      </c>
      <c r="E375">
        <v>5</v>
      </c>
      <c r="G375">
        <v>-2.6174161329017283</v>
      </c>
      <c r="H375">
        <v>-2.0615109738656376</v>
      </c>
      <c r="I375">
        <v>-2.2749139400906691</v>
      </c>
      <c r="K375">
        <v>-2.3179470156193451</v>
      </c>
      <c r="M375">
        <f t="shared" si="5"/>
        <v>0.28043986994153997</v>
      </c>
    </row>
    <row r="376" spans="1:13">
      <c r="A376">
        <v>623</v>
      </c>
      <c r="B376">
        <v>134</v>
      </c>
      <c r="C376">
        <v>2</v>
      </c>
      <c r="D376">
        <v>2</v>
      </c>
      <c r="E376">
        <v>2</v>
      </c>
      <c r="G376">
        <v>-2.4020982504443298</v>
      </c>
      <c r="H376">
        <v>-2.2721618236805199</v>
      </c>
      <c r="I376">
        <v>-2.2814448072496267</v>
      </c>
      <c r="K376">
        <v>-2.318568293791492</v>
      </c>
      <c r="M376">
        <f t="shared" si="5"/>
        <v>7.248781752684226E-2</v>
      </c>
    </row>
    <row r="377" spans="1:13">
      <c r="A377">
        <v>80</v>
      </c>
      <c r="B377">
        <v>366</v>
      </c>
      <c r="C377">
        <v>6</v>
      </c>
      <c r="D377">
        <v>3</v>
      </c>
      <c r="E377">
        <v>9</v>
      </c>
      <c r="G377">
        <v>-2.36135328275427</v>
      </c>
      <c r="H377">
        <v>-2.5324468516544423</v>
      </c>
      <c r="I377">
        <v>-2.0646085805038861</v>
      </c>
      <c r="K377">
        <v>-2.3194695716375331</v>
      </c>
      <c r="M377">
        <f t="shared" si="5"/>
        <v>0.23671469310325471</v>
      </c>
    </row>
    <row r="378" spans="1:13">
      <c r="A378">
        <v>84</v>
      </c>
      <c r="B378">
        <v>154</v>
      </c>
      <c r="C378">
        <v>4</v>
      </c>
      <c r="D378">
        <v>3</v>
      </c>
      <c r="E378">
        <v>1</v>
      </c>
      <c r="G378">
        <v>-2.1614841772520039</v>
      </c>
      <c r="H378">
        <v>-2.1564864870964944</v>
      </c>
      <c r="I378">
        <v>-2.6428907253852634</v>
      </c>
      <c r="K378">
        <v>-2.3202871299112542</v>
      </c>
      <c r="M378">
        <f t="shared" si="5"/>
        <v>0.27939408384268155</v>
      </c>
    </row>
    <row r="379" spans="1:13">
      <c r="A379">
        <v>131</v>
      </c>
      <c r="B379">
        <v>270</v>
      </c>
      <c r="C379">
        <v>8</v>
      </c>
      <c r="D379">
        <v>2</v>
      </c>
      <c r="E379">
        <v>4</v>
      </c>
      <c r="G379">
        <v>-2.1042972249105469</v>
      </c>
      <c r="H379">
        <v>-2.5764207894746995</v>
      </c>
      <c r="I379">
        <v>-2.2846737773798251</v>
      </c>
      <c r="K379">
        <v>-2.3217972639216904</v>
      </c>
      <c r="M379">
        <f t="shared" si="5"/>
        <v>0.23824101240961523</v>
      </c>
    </row>
    <row r="380" spans="1:13">
      <c r="A380">
        <v>207</v>
      </c>
      <c r="B380">
        <v>591</v>
      </c>
      <c r="C380">
        <v>12</v>
      </c>
      <c r="D380">
        <v>5</v>
      </c>
      <c r="E380">
        <v>11</v>
      </c>
      <c r="G380">
        <v>-2.2684296825771337</v>
      </c>
      <c r="H380">
        <v>-2.5187044975249302</v>
      </c>
      <c r="I380">
        <v>-2.1855648002718304</v>
      </c>
      <c r="K380">
        <v>-2.3242329934579646</v>
      </c>
      <c r="M380">
        <f t="shared" si="5"/>
        <v>0.17343881226651303</v>
      </c>
    </row>
    <row r="381" spans="1:13">
      <c r="A381">
        <v>846</v>
      </c>
      <c r="B381">
        <v>108</v>
      </c>
      <c r="C381">
        <v>2</v>
      </c>
      <c r="D381">
        <v>1</v>
      </c>
      <c r="E381">
        <v>2</v>
      </c>
      <c r="G381">
        <v>-2.308417207566472</v>
      </c>
      <c r="H381">
        <v>-2.4795107764666433</v>
      </c>
      <c r="I381">
        <v>-2.1877637643717689</v>
      </c>
      <c r="K381">
        <v>-2.3252305828016282</v>
      </c>
      <c r="M381">
        <f t="shared" si="5"/>
        <v>0.14659842071683557</v>
      </c>
    </row>
    <row r="382" spans="1:13">
      <c r="A382">
        <v>431</v>
      </c>
      <c r="B382">
        <v>336</v>
      </c>
      <c r="C382">
        <v>10</v>
      </c>
      <c r="D382">
        <v>1</v>
      </c>
      <c r="E382">
        <v>12</v>
      </c>
      <c r="G382">
        <v>-2.1023627251333474</v>
      </c>
      <c r="H382">
        <v>-2.9724262983695375</v>
      </c>
      <c r="I382">
        <v>-1.9025280358910195</v>
      </c>
      <c r="K382">
        <v>-2.3257723531313013</v>
      </c>
      <c r="M382">
        <f t="shared" si="5"/>
        <v>0.56886243453516516</v>
      </c>
    </row>
    <row r="383" spans="1:13">
      <c r="A383">
        <v>511</v>
      </c>
      <c r="B383">
        <v>86</v>
      </c>
      <c r="C383">
        <v>1</v>
      </c>
      <c r="D383">
        <v>2</v>
      </c>
      <c r="E383">
        <v>1</v>
      </c>
      <c r="G383">
        <v>-2.5105218989870712</v>
      </c>
      <c r="H383">
        <v>-2.0795554765592801</v>
      </c>
      <c r="I383">
        <v>-2.3898684557923682</v>
      </c>
      <c r="K383">
        <v>-2.3266486104462398</v>
      </c>
      <c r="M383">
        <f t="shared" si="5"/>
        <v>0.22232988091852077</v>
      </c>
    </row>
    <row r="384" spans="1:13">
      <c r="A384">
        <v>81</v>
      </c>
      <c r="B384">
        <v>332</v>
      </c>
      <c r="C384">
        <v>7</v>
      </c>
      <c r="D384">
        <v>4</v>
      </c>
      <c r="E384">
        <v>4</v>
      </c>
      <c r="G384">
        <v>-2.2520634914332831</v>
      </c>
      <c r="H384">
        <v>-2.3651651133557676</v>
      </c>
      <c r="I384">
        <v>-2.3744480969248745</v>
      </c>
      <c r="K384">
        <v>-2.3305589005713085</v>
      </c>
      <c r="M384">
        <f t="shared" si="5"/>
        <v>6.8137290728319727E-2</v>
      </c>
    </row>
    <row r="385" spans="1:13">
      <c r="A385">
        <v>15</v>
      </c>
      <c r="B385">
        <v>321</v>
      </c>
      <c r="C385">
        <v>5</v>
      </c>
      <c r="D385">
        <v>4</v>
      </c>
      <c r="E385">
        <v>5</v>
      </c>
      <c r="G385">
        <v>-2.3835584758123565</v>
      </c>
      <c r="H385">
        <v>-2.3505320620566033</v>
      </c>
      <c r="I385">
        <v>-2.2629050326176534</v>
      </c>
      <c r="K385">
        <v>-2.3323318568288713</v>
      </c>
      <c r="M385">
        <f t="shared" si="5"/>
        <v>6.2351815863157002E-2</v>
      </c>
    </row>
    <row r="386" spans="1:13">
      <c r="A386">
        <v>781</v>
      </c>
      <c r="B386">
        <v>161</v>
      </c>
      <c r="C386">
        <v>3</v>
      </c>
      <c r="D386">
        <v>1</v>
      </c>
      <c r="E386">
        <v>4</v>
      </c>
      <c r="G386">
        <v>-2.3057280690556903</v>
      </c>
      <c r="H386">
        <v>-2.652912897011543</v>
      </c>
      <c r="I386">
        <v>-2.0601358892526873</v>
      </c>
      <c r="K386">
        <v>-2.3395922851066402</v>
      </c>
      <c r="M386">
        <f t="shared" si="5"/>
        <v>0.29783591804623549</v>
      </c>
    </row>
    <row r="387" spans="1:13">
      <c r="A387">
        <v>206</v>
      </c>
      <c r="B387">
        <v>185</v>
      </c>
      <c r="C387">
        <v>9</v>
      </c>
      <c r="D387">
        <v>1</v>
      </c>
      <c r="E387">
        <v>2</v>
      </c>
      <c r="G387">
        <v>-1.8889526667071923</v>
      </c>
      <c r="H387">
        <v>-2.7132587493827076</v>
      </c>
      <c r="I387">
        <v>-2.4215117372878328</v>
      </c>
      <c r="K387">
        <v>-2.3412410511259107</v>
      </c>
      <c r="M387">
        <f t="shared" ref="M387:M450" si="6">STDEV(G387:I387)</f>
        <v>0.41797448101127477</v>
      </c>
    </row>
    <row r="388" spans="1:13">
      <c r="A388">
        <v>320</v>
      </c>
      <c r="B388">
        <v>178</v>
      </c>
      <c r="C388">
        <v>2</v>
      </c>
      <c r="D388">
        <v>2</v>
      </c>
      <c r="E388">
        <v>4</v>
      </c>
      <c r="G388">
        <v>-2.5254134543884161</v>
      </c>
      <c r="H388">
        <v>-2.3954770276246062</v>
      </c>
      <c r="I388">
        <v>-2.1037300155297318</v>
      </c>
      <c r="K388">
        <v>-2.3415401658475847</v>
      </c>
      <c r="M388">
        <f t="shared" si="6"/>
        <v>0.21595397529493773</v>
      </c>
    </row>
    <row r="389" spans="1:13">
      <c r="A389">
        <v>69</v>
      </c>
      <c r="B389">
        <v>442</v>
      </c>
      <c r="C389">
        <v>10</v>
      </c>
      <c r="D389">
        <v>6</v>
      </c>
      <c r="E389">
        <v>4</v>
      </c>
      <c r="G389">
        <v>-2.2214457170925952</v>
      </c>
      <c r="H389">
        <v>-2.3133580399451419</v>
      </c>
      <c r="I389">
        <v>-2.4987322825699296</v>
      </c>
      <c r="K389">
        <v>-2.3445120132025559</v>
      </c>
      <c r="M389">
        <f t="shared" si="6"/>
        <v>0.14124407026791164</v>
      </c>
    </row>
    <row r="390" spans="1:13">
      <c r="A390">
        <v>192</v>
      </c>
      <c r="B390">
        <v>363</v>
      </c>
      <c r="C390">
        <v>2</v>
      </c>
      <c r="D390">
        <v>6</v>
      </c>
      <c r="E390">
        <v>11</v>
      </c>
      <c r="G390">
        <v>-2.8349000771156345</v>
      </c>
      <c r="H390">
        <v>-2.2278423956321625</v>
      </c>
      <c r="I390">
        <v>-1.9738839444266878</v>
      </c>
      <c r="K390">
        <v>-2.3455421390581614</v>
      </c>
      <c r="M390">
        <f t="shared" si="6"/>
        <v>0.4424105755851343</v>
      </c>
    </row>
    <row r="391" spans="1:13">
      <c r="A391">
        <v>151</v>
      </c>
      <c r="B391">
        <v>525</v>
      </c>
      <c r="C391">
        <v>11</v>
      </c>
      <c r="D391">
        <v>5</v>
      </c>
      <c r="E391">
        <v>7</v>
      </c>
      <c r="G391">
        <v>-2.2547900659912354</v>
      </c>
      <c r="H391">
        <v>-2.4672763200496313</v>
      </c>
      <c r="I391">
        <v>-2.3304312679405004</v>
      </c>
      <c r="K391">
        <v>-2.3508325513271227</v>
      </c>
      <c r="M391">
        <f t="shared" si="6"/>
        <v>0.10770218806416251</v>
      </c>
    </row>
    <row r="392" spans="1:13">
      <c r="A392">
        <v>92</v>
      </c>
      <c r="B392">
        <v>636</v>
      </c>
      <c r="C392">
        <v>19</v>
      </c>
      <c r="D392">
        <v>4</v>
      </c>
      <c r="E392">
        <v>9</v>
      </c>
      <c r="G392">
        <v>-2.1007269624390883</v>
      </c>
      <c r="H392">
        <v>-2.6474841453001448</v>
      </c>
      <c r="I392">
        <v>-2.3045846107578893</v>
      </c>
      <c r="K392">
        <v>-2.3509319061657075</v>
      </c>
      <c r="M392">
        <f t="shared" si="6"/>
        <v>0.27630944264764884</v>
      </c>
    </row>
    <row r="393" spans="1:13">
      <c r="A393">
        <v>665</v>
      </c>
      <c r="B393">
        <v>213</v>
      </c>
      <c r="C393">
        <v>4</v>
      </c>
      <c r="D393">
        <v>2</v>
      </c>
      <c r="E393">
        <v>3</v>
      </c>
      <c r="G393">
        <v>-2.3023430598542785</v>
      </c>
      <c r="H393">
        <v>-2.4734366287544498</v>
      </c>
      <c r="I393">
        <v>-2.3066283532678753</v>
      </c>
      <c r="K393">
        <v>-2.3608026806255347</v>
      </c>
      <c r="M393">
        <f t="shared" si="6"/>
        <v>9.756739023997997E-2</v>
      </c>
    </row>
    <row r="394" spans="1:13">
      <c r="A394">
        <v>52</v>
      </c>
      <c r="B394">
        <v>253</v>
      </c>
      <c r="C394">
        <v>4</v>
      </c>
      <c r="D394">
        <v>2</v>
      </c>
      <c r="E394">
        <v>5</v>
      </c>
      <c r="G394">
        <v>-2.3770839775913588</v>
      </c>
      <c r="H394">
        <v>-2.5481775464915302</v>
      </c>
      <c r="I394">
        <v>-2.1595205213885995</v>
      </c>
      <c r="K394">
        <v>-2.3615940151571628</v>
      </c>
      <c r="M394">
        <f t="shared" si="6"/>
        <v>0.19479097769821019</v>
      </c>
    </row>
    <row r="395" spans="1:13">
      <c r="A395">
        <v>196</v>
      </c>
      <c r="B395">
        <v>183</v>
      </c>
      <c r="C395">
        <v>3</v>
      </c>
      <c r="D395">
        <v>5</v>
      </c>
      <c r="E395">
        <v>1</v>
      </c>
      <c r="G395">
        <v>-2.36135328275427</v>
      </c>
      <c r="H395">
        <v>-2.0095681063741044</v>
      </c>
      <c r="I395">
        <v>-2.7178210942792296</v>
      </c>
      <c r="K395">
        <v>-2.3629141611358682</v>
      </c>
      <c r="M395">
        <f t="shared" si="6"/>
        <v>0.35412907389132042</v>
      </c>
    </row>
    <row r="396" spans="1:13">
      <c r="A396">
        <v>108</v>
      </c>
      <c r="B396">
        <v>374</v>
      </c>
      <c r="C396">
        <v>4</v>
      </c>
      <c r="D396">
        <v>4</v>
      </c>
      <c r="E396">
        <v>8</v>
      </c>
      <c r="G396">
        <v>-2.5468350586160211</v>
      </c>
      <c r="H396">
        <v>-2.4168986318522112</v>
      </c>
      <c r="I396">
        <v>-2.1251516197573368</v>
      </c>
      <c r="K396">
        <v>-2.3629617700751897</v>
      </c>
      <c r="M396">
        <f t="shared" si="6"/>
        <v>0.21595397529493773</v>
      </c>
    </row>
    <row r="397" spans="1:13">
      <c r="A397">
        <v>327</v>
      </c>
      <c r="B397">
        <v>149</v>
      </c>
      <c r="C397">
        <v>1</v>
      </c>
      <c r="D397">
        <v>4</v>
      </c>
      <c r="E397">
        <v>2</v>
      </c>
      <c r="G397">
        <v>-2.7492097161557774</v>
      </c>
      <c r="H397">
        <v>-2.0172132980640054</v>
      </c>
      <c r="I397">
        <v>-2.327526277297093</v>
      </c>
      <c r="K397">
        <v>-2.3646497638389583</v>
      </c>
      <c r="M397">
        <f t="shared" si="6"/>
        <v>0.36740754478448778</v>
      </c>
    </row>
    <row r="398" spans="1:13">
      <c r="A398">
        <v>38</v>
      </c>
      <c r="B398">
        <v>510</v>
      </c>
      <c r="C398">
        <v>8</v>
      </c>
      <c r="D398">
        <v>5</v>
      </c>
      <c r="E398">
        <v>8</v>
      </c>
      <c r="G398">
        <v>-2.3805036368494958</v>
      </c>
      <c r="H398">
        <v>-2.454687192741611</v>
      </c>
      <c r="I398">
        <v>-2.2598501936547928</v>
      </c>
      <c r="K398">
        <v>-2.3650136744152999</v>
      </c>
      <c r="M398">
        <f t="shared" si="6"/>
        <v>9.8337776339760694E-2</v>
      </c>
    </row>
    <row r="399" spans="1:13">
      <c r="A399">
        <v>487</v>
      </c>
      <c r="B399">
        <v>353</v>
      </c>
      <c r="C399">
        <v>7</v>
      </c>
      <c r="D399">
        <v>5</v>
      </c>
      <c r="E399">
        <v>3</v>
      </c>
      <c r="G399">
        <v>-2.2787001131170692</v>
      </c>
      <c r="H399">
        <v>-2.2948917220314975</v>
      </c>
      <c r="I399">
        <v>-2.5260234552169605</v>
      </c>
      <c r="K399">
        <v>-2.3665384301218424</v>
      </c>
      <c r="M399">
        <f t="shared" si="6"/>
        <v>0.13835514797795664</v>
      </c>
    </row>
    <row r="400" spans="1:13">
      <c r="A400">
        <v>561</v>
      </c>
      <c r="B400">
        <v>95</v>
      </c>
      <c r="C400">
        <v>2</v>
      </c>
      <c r="D400">
        <v>1</v>
      </c>
      <c r="E400">
        <v>1</v>
      </c>
      <c r="G400">
        <v>-2.2527170573683701</v>
      </c>
      <c r="H400">
        <v>-2.4238106262685415</v>
      </c>
      <c r="I400">
        <v>-2.4330936098376483</v>
      </c>
      <c r="K400">
        <v>-2.36987376449152</v>
      </c>
      <c r="M400">
        <f t="shared" si="6"/>
        <v>0.10156679557779062</v>
      </c>
    </row>
    <row r="401" spans="1:13">
      <c r="A401">
        <v>70</v>
      </c>
      <c r="B401">
        <v>152</v>
      </c>
      <c r="C401">
        <v>2</v>
      </c>
      <c r="D401">
        <v>2</v>
      </c>
      <c r="E401">
        <v>2</v>
      </c>
      <c r="G401">
        <v>-2.4568370400242947</v>
      </c>
      <c r="H401">
        <v>-2.3269006132604853</v>
      </c>
      <c r="I401">
        <v>-2.3361835968295916</v>
      </c>
      <c r="K401">
        <v>-2.3733070833714573</v>
      </c>
      <c r="M401">
        <f t="shared" si="6"/>
        <v>7.2487817526842122E-2</v>
      </c>
    </row>
    <row r="402" spans="1:13">
      <c r="A402">
        <v>153</v>
      </c>
      <c r="B402">
        <v>96</v>
      </c>
      <c r="C402">
        <v>1</v>
      </c>
      <c r="D402">
        <v>1</v>
      </c>
      <c r="E402">
        <v>2</v>
      </c>
      <c r="G402">
        <v>-2.5582946807830718</v>
      </c>
      <c r="H402">
        <v>-2.4283582540192619</v>
      </c>
      <c r="I402">
        <v>-2.1366112419243874</v>
      </c>
      <c r="K402">
        <v>-2.3744213922422404</v>
      </c>
      <c r="M402">
        <f t="shared" si="6"/>
        <v>0.21595397529493773</v>
      </c>
    </row>
    <row r="403" spans="1:13">
      <c r="A403">
        <v>12</v>
      </c>
      <c r="B403">
        <v>272</v>
      </c>
      <c r="C403">
        <v>3</v>
      </c>
      <c r="D403">
        <v>3</v>
      </c>
      <c r="E403">
        <v>5</v>
      </c>
      <c r="G403">
        <v>-2.5334710970580394</v>
      </c>
      <c r="H403">
        <v>-2.40353467029423</v>
      </c>
      <c r="I403">
        <v>-2.1909689042469802</v>
      </c>
      <c r="K403">
        <v>-2.3759915571997499</v>
      </c>
      <c r="M403">
        <f t="shared" si="6"/>
        <v>0.17290432420647403</v>
      </c>
    </row>
    <row r="404" spans="1:13">
      <c r="A404">
        <v>401</v>
      </c>
      <c r="B404">
        <v>153</v>
      </c>
      <c r="C404">
        <v>1</v>
      </c>
      <c r="D404">
        <v>2</v>
      </c>
      <c r="E404">
        <v>4</v>
      </c>
      <c r="G404">
        <v>-2.7607148785611022</v>
      </c>
      <c r="H404">
        <v>-2.3297484561333111</v>
      </c>
      <c r="I404">
        <v>-2.0380014440384366</v>
      </c>
      <c r="K404">
        <v>-2.3761549262442831</v>
      </c>
      <c r="M404">
        <f t="shared" si="6"/>
        <v>0.36358471840962614</v>
      </c>
    </row>
    <row r="405" spans="1:13">
      <c r="A405">
        <v>72</v>
      </c>
      <c r="B405">
        <v>442</v>
      </c>
      <c r="C405">
        <v>8</v>
      </c>
      <c r="D405">
        <v>6</v>
      </c>
      <c r="E405">
        <v>4</v>
      </c>
      <c r="G405">
        <v>-2.3183557301006514</v>
      </c>
      <c r="H405">
        <v>-2.3133580399451419</v>
      </c>
      <c r="I405">
        <v>-2.4987322825699296</v>
      </c>
      <c r="K405">
        <v>-2.3768153508719077</v>
      </c>
      <c r="M405">
        <f t="shared" si="6"/>
        <v>0.10561272604529123</v>
      </c>
    </row>
    <row r="406" spans="1:13">
      <c r="A406">
        <v>273</v>
      </c>
      <c r="B406">
        <v>189</v>
      </c>
      <c r="C406">
        <v>5</v>
      </c>
      <c r="D406">
        <v>1</v>
      </c>
      <c r="E406">
        <v>3</v>
      </c>
      <c r="G406">
        <v>-2.1535152475807289</v>
      </c>
      <c r="H406">
        <v>-2.7225488251529377</v>
      </c>
      <c r="I406">
        <v>-2.254710554002382</v>
      </c>
      <c r="K406">
        <v>-2.3769248755786827</v>
      </c>
      <c r="M406">
        <f t="shared" si="6"/>
        <v>0.30356557512327315</v>
      </c>
    </row>
    <row r="407" spans="1:13">
      <c r="A407">
        <v>23</v>
      </c>
      <c r="B407">
        <v>212</v>
      </c>
      <c r="C407">
        <v>7</v>
      </c>
      <c r="D407">
        <v>1</v>
      </c>
      <c r="E407">
        <v>3</v>
      </c>
      <c r="G407">
        <v>-2.0572612686579976</v>
      </c>
      <c r="H407">
        <v>-2.7724228819084455</v>
      </c>
      <c r="I407">
        <v>-2.3045846107578893</v>
      </c>
      <c r="K407">
        <v>-2.3780895871081107</v>
      </c>
      <c r="M407">
        <f t="shared" si="6"/>
        <v>0.36320279380524151</v>
      </c>
    </row>
    <row r="408" spans="1:13">
      <c r="A408">
        <v>422</v>
      </c>
      <c r="B408">
        <v>97</v>
      </c>
      <c r="C408">
        <v>1</v>
      </c>
      <c r="D408">
        <v>2</v>
      </c>
      <c r="E408">
        <v>1</v>
      </c>
      <c r="G408">
        <v>-2.5627951820097481</v>
      </c>
      <c r="H408">
        <v>-2.1318287595819574</v>
      </c>
      <c r="I408">
        <v>-2.442141738815045</v>
      </c>
      <c r="K408">
        <v>-2.3789218934689171</v>
      </c>
      <c r="M408">
        <f t="shared" si="6"/>
        <v>0.22232988091852052</v>
      </c>
    </row>
    <row r="409" spans="1:13">
      <c r="A409">
        <v>822</v>
      </c>
      <c r="B409">
        <v>77</v>
      </c>
      <c r="C409">
        <v>1</v>
      </c>
      <c r="D409">
        <v>1</v>
      </c>
      <c r="E409">
        <v>1</v>
      </c>
      <c r="G409">
        <v>-2.4625141729159852</v>
      </c>
      <c r="H409">
        <v>-2.3325777461521753</v>
      </c>
      <c r="I409">
        <v>-2.3418607297212821</v>
      </c>
      <c r="K409">
        <v>-2.3789842162631474</v>
      </c>
      <c r="M409">
        <f t="shared" si="6"/>
        <v>7.248781752684226E-2</v>
      </c>
    </row>
    <row r="410" spans="1:13">
      <c r="A410">
        <v>94</v>
      </c>
      <c r="B410">
        <v>479</v>
      </c>
      <c r="C410">
        <v>6</v>
      </c>
      <c r="D410">
        <v>8</v>
      </c>
      <c r="E410">
        <v>5</v>
      </c>
      <c r="G410">
        <v>-2.4782077107744227</v>
      </c>
      <c r="H410">
        <v>-2.2233325474023133</v>
      </c>
      <c r="I410">
        <v>-2.4367355136273448</v>
      </c>
      <c r="K410">
        <v>-2.3794252572680272</v>
      </c>
      <c r="M410">
        <f t="shared" si="6"/>
        <v>0.13676142123774493</v>
      </c>
    </row>
    <row r="411" spans="1:13">
      <c r="A411">
        <v>107</v>
      </c>
      <c r="B411">
        <v>123</v>
      </c>
      <c r="C411">
        <v>1</v>
      </c>
      <c r="D411">
        <v>1</v>
      </c>
      <c r="E411">
        <v>4</v>
      </c>
      <c r="G411">
        <v>-2.6659285591829014</v>
      </c>
      <c r="H411">
        <v>-2.5359921324190919</v>
      </c>
      <c r="I411">
        <v>-1.9432151246602358</v>
      </c>
      <c r="K411">
        <v>-2.3817119387540764</v>
      </c>
      <c r="M411">
        <f t="shared" si="6"/>
        <v>0.38526673971143005</v>
      </c>
    </row>
    <row r="412" spans="1:13">
      <c r="A412">
        <v>57</v>
      </c>
      <c r="B412">
        <v>99</v>
      </c>
      <c r="C412">
        <v>2</v>
      </c>
      <c r="D412">
        <v>1</v>
      </c>
      <c r="E412">
        <v>1</v>
      </c>
      <c r="G412">
        <v>-2.2706286466770722</v>
      </c>
      <c r="H412">
        <v>-2.4417222155772436</v>
      </c>
      <c r="I412">
        <v>-2.4510051991463504</v>
      </c>
      <c r="K412">
        <v>-2.3877853538002221</v>
      </c>
      <c r="M412">
        <f t="shared" si="6"/>
        <v>0.10156679557779062</v>
      </c>
    </row>
    <row r="413" spans="1:13">
      <c r="A413">
        <v>280</v>
      </c>
      <c r="B413">
        <v>340</v>
      </c>
      <c r="C413">
        <v>4</v>
      </c>
      <c r="D413">
        <v>4</v>
      </c>
      <c r="E413">
        <v>5</v>
      </c>
      <c r="G413">
        <v>-2.5054423734577957</v>
      </c>
      <c r="H413">
        <v>-2.3755059466939863</v>
      </c>
      <c r="I413">
        <v>-2.2878789172550364</v>
      </c>
      <c r="K413">
        <v>-2.3896090791356062</v>
      </c>
      <c r="M413">
        <f t="shared" si="6"/>
        <v>0.10946523707196679</v>
      </c>
    </row>
    <row r="414" spans="1:13">
      <c r="A414">
        <v>651</v>
      </c>
      <c r="B414">
        <v>158</v>
      </c>
      <c r="C414">
        <v>1</v>
      </c>
      <c r="D414">
        <v>4</v>
      </c>
      <c r="E414">
        <v>2</v>
      </c>
      <c r="G414">
        <v>-2.774680534697926</v>
      </c>
      <c r="H414">
        <v>-2.042684116606154</v>
      </c>
      <c r="I414">
        <v>-2.3529970958392417</v>
      </c>
      <c r="K414">
        <v>-2.3901205823811074</v>
      </c>
      <c r="M414">
        <f t="shared" si="6"/>
        <v>0.36740754478448295</v>
      </c>
    </row>
    <row r="415" spans="1:13">
      <c r="A415">
        <v>298</v>
      </c>
      <c r="B415">
        <v>531</v>
      </c>
      <c r="C415">
        <v>5</v>
      </c>
      <c r="D415">
        <v>5</v>
      </c>
      <c r="E415">
        <v>12</v>
      </c>
      <c r="G415">
        <v>-2.6021479644889536</v>
      </c>
      <c r="H415">
        <v>-2.4722115377251441</v>
      </c>
      <c r="I415">
        <v>-2.1012832795826446</v>
      </c>
      <c r="K415">
        <v>-2.3918809272655808</v>
      </c>
      <c r="M415">
        <f t="shared" si="6"/>
        <v>0.25991558894991013</v>
      </c>
    </row>
    <row r="416" spans="1:13">
      <c r="A416">
        <v>606</v>
      </c>
      <c r="B416">
        <v>126</v>
      </c>
      <c r="C416">
        <v>2</v>
      </c>
      <c r="D416">
        <v>1</v>
      </c>
      <c r="E416">
        <v>2</v>
      </c>
      <c r="G416">
        <v>-2.375363997197085</v>
      </c>
      <c r="H416">
        <v>-2.5464575660972564</v>
      </c>
      <c r="I416">
        <v>-2.254710554002382</v>
      </c>
      <c r="K416">
        <v>-2.3921773724322413</v>
      </c>
      <c r="M416">
        <f t="shared" si="6"/>
        <v>0.14659842071683557</v>
      </c>
    </row>
    <row r="417" spans="1:13">
      <c r="A417">
        <v>308</v>
      </c>
      <c r="B417">
        <v>537</v>
      </c>
      <c r="C417">
        <v>8</v>
      </c>
      <c r="D417">
        <v>9</v>
      </c>
      <c r="E417">
        <v>4</v>
      </c>
      <c r="G417">
        <v>-2.402907746451115</v>
      </c>
      <c r="H417">
        <v>-2.2218187972399246</v>
      </c>
      <c r="I417">
        <v>-2.5832842989203937</v>
      </c>
      <c r="K417">
        <v>-2.4026702808704776</v>
      </c>
      <c r="M417">
        <f t="shared" si="6"/>
        <v>0.18073286784286027</v>
      </c>
    </row>
    <row r="418" spans="1:13">
      <c r="A418">
        <v>734</v>
      </c>
      <c r="B418">
        <v>187</v>
      </c>
      <c r="C418">
        <v>1</v>
      </c>
      <c r="D418">
        <v>3</v>
      </c>
      <c r="E418">
        <v>4</v>
      </c>
      <c r="G418">
        <v>-2.8478650542800024</v>
      </c>
      <c r="H418">
        <v>-2.2408073727965299</v>
      </c>
      <c r="I418">
        <v>-2.1251516197573368</v>
      </c>
      <c r="K418">
        <v>-2.4046080156112897</v>
      </c>
      <c r="M418">
        <f t="shared" si="6"/>
        <v>0.38820312344156105</v>
      </c>
    </row>
    <row r="419" spans="1:13">
      <c r="A419">
        <v>323</v>
      </c>
      <c r="B419">
        <v>236</v>
      </c>
      <c r="C419">
        <v>2</v>
      </c>
      <c r="D419">
        <v>2</v>
      </c>
      <c r="E419">
        <v>6</v>
      </c>
      <c r="G419">
        <v>-2.6479054550496288</v>
      </c>
      <c r="H419">
        <v>-2.5179690282858189</v>
      </c>
      <c r="I419">
        <v>-2.0501307571352632</v>
      </c>
      <c r="K419">
        <v>-2.4053350801569038</v>
      </c>
      <c r="M419">
        <f t="shared" si="6"/>
        <v>0.31440173674772137</v>
      </c>
    </row>
    <row r="420" spans="1:13">
      <c r="A420">
        <v>28</v>
      </c>
      <c r="B420">
        <v>149</v>
      </c>
      <c r="C420">
        <v>3</v>
      </c>
      <c r="D420">
        <v>1</v>
      </c>
      <c r="E420">
        <v>2</v>
      </c>
      <c r="G420">
        <v>-2.2720884614361152</v>
      </c>
      <c r="H420">
        <v>-2.6192732893919679</v>
      </c>
      <c r="I420">
        <v>-2.327526277297093</v>
      </c>
      <c r="K420">
        <v>-2.4062960093750587</v>
      </c>
      <c r="M420">
        <f t="shared" si="6"/>
        <v>0.1865149570662086</v>
      </c>
    </row>
    <row r="421" spans="1:13">
      <c r="A421">
        <v>53</v>
      </c>
      <c r="B421">
        <v>346</v>
      </c>
      <c r="C421">
        <v>3</v>
      </c>
      <c r="D421">
        <v>5</v>
      </c>
      <c r="E421">
        <v>5</v>
      </c>
      <c r="G421">
        <v>-2.6379782918166175</v>
      </c>
      <c r="H421">
        <v>-2.2861931154364514</v>
      </c>
      <c r="I421">
        <v>-2.2954760990055583</v>
      </c>
      <c r="K421">
        <v>-2.4065491687528757</v>
      </c>
      <c r="M421">
        <f t="shared" si="6"/>
        <v>0.20047723735508097</v>
      </c>
    </row>
    <row r="422" spans="1:13">
      <c r="A422">
        <v>127</v>
      </c>
      <c r="B422">
        <v>299</v>
      </c>
      <c r="C422">
        <v>3</v>
      </c>
      <c r="D422">
        <v>4</v>
      </c>
      <c r="E422">
        <v>4</v>
      </c>
      <c r="G422">
        <v>-2.5745733813482703</v>
      </c>
      <c r="H422">
        <v>-2.3196982179761609</v>
      </c>
      <c r="I422">
        <v>-2.3289812015452673</v>
      </c>
      <c r="K422">
        <v>-2.407750933623233</v>
      </c>
      <c r="M422">
        <f t="shared" si="6"/>
        <v>0.14454701741895512</v>
      </c>
    </row>
    <row r="423" spans="1:13">
      <c r="A423">
        <v>627</v>
      </c>
      <c r="B423">
        <v>83</v>
      </c>
      <c r="C423">
        <v>1</v>
      </c>
      <c r="D423">
        <v>1</v>
      </c>
      <c r="E423">
        <v>1</v>
      </c>
      <c r="G423">
        <v>-2.4951015401195775</v>
      </c>
      <c r="H423">
        <v>-2.3651651133557676</v>
      </c>
      <c r="I423">
        <v>-2.3744480969248745</v>
      </c>
      <c r="K423">
        <v>-2.4115715834667397</v>
      </c>
      <c r="M423">
        <f t="shared" si="6"/>
        <v>7.248781752684226E-2</v>
      </c>
    </row>
    <row r="424" spans="1:13">
      <c r="A424">
        <v>284</v>
      </c>
      <c r="B424">
        <v>205</v>
      </c>
      <c r="C424">
        <v>3</v>
      </c>
      <c r="D424">
        <v>5</v>
      </c>
      <c r="E424">
        <v>1</v>
      </c>
      <c r="G424">
        <v>-2.4106560540795954</v>
      </c>
      <c r="H424">
        <v>-2.0588708776994293</v>
      </c>
      <c r="I424">
        <v>-2.7671238656045545</v>
      </c>
      <c r="K424">
        <v>-2.4122169324611931</v>
      </c>
      <c r="M424">
        <f t="shared" si="6"/>
        <v>0.35412907389132292</v>
      </c>
    </row>
    <row r="425" spans="1:13">
      <c r="A425">
        <v>592</v>
      </c>
      <c r="B425">
        <v>121</v>
      </c>
      <c r="C425">
        <v>1</v>
      </c>
      <c r="D425">
        <v>1</v>
      </c>
      <c r="E425">
        <v>3</v>
      </c>
      <c r="G425">
        <v>-2.6588088180599536</v>
      </c>
      <c r="H425">
        <v>-2.5288723912961437</v>
      </c>
      <c r="I425">
        <v>-2.061034120145588</v>
      </c>
      <c r="K425">
        <v>-2.4162384431672286</v>
      </c>
      <c r="M425">
        <f t="shared" si="6"/>
        <v>0.31440173674772137</v>
      </c>
    </row>
    <row r="426" spans="1:13">
      <c r="A426">
        <v>103</v>
      </c>
      <c r="B426">
        <v>258</v>
      </c>
      <c r="C426">
        <v>7</v>
      </c>
      <c r="D426">
        <v>2</v>
      </c>
      <c r="E426">
        <v>2</v>
      </c>
      <c r="G426">
        <v>-2.1425451136924769</v>
      </c>
      <c r="H426">
        <v>-2.5566767312789427</v>
      </c>
      <c r="I426">
        <v>-2.5659597148480491</v>
      </c>
      <c r="K426">
        <v>-2.4217271866064896</v>
      </c>
      <c r="M426">
        <f t="shared" si="6"/>
        <v>0.2418233153015025</v>
      </c>
    </row>
    <row r="427" spans="1:13">
      <c r="A427">
        <v>709</v>
      </c>
      <c r="B427">
        <v>224</v>
      </c>
      <c r="C427">
        <v>3</v>
      </c>
      <c r="D427">
        <v>2</v>
      </c>
      <c r="E427">
        <v>3</v>
      </c>
      <c r="G427">
        <v>-2.4491502113580035</v>
      </c>
      <c r="H427">
        <v>-2.4953050436498749</v>
      </c>
      <c r="I427">
        <v>-2.3284967681633004</v>
      </c>
      <c r="K427">
        <v>-2.4243173410570598</v>
      </c>
      <c r="M427">
        <f t="shared" si="6"/>
        <v>8.6132187817556674E-2</v>
      </c>
    </row>
    <row r="428" spans="1:13">
      <c r="A428">
        <v>607</v>
      </c>
      <c r="B428">
        <v>136</v>
      </c>
      <c r="C428">
        <v>2</v>
      </c>
      <c r="D428">
        <v>1</v>
      </c>
      <c r="E428">
        <v>2</v>
      </c>
      <c r="G428">
        <v>-2.4085323604497395</v>
      </c>
      <c r="H428">
        <v>-2.5796259293499109</v>
      </c>
      <c r="I428">
        <v>-2.2878789172550364</v>
      </c>
      <c r="K428">
        <v>-2.4253457356848958</v>
      </c>
      <c r="M428">
        <f t="shared" si="6"/>
        <v>0.14659842071683557</v>
      </c>
    </row>
    <row r="429" spans="1:13">
      <c r="A429">
        <v>779</v>
      </c>
      <c r="B429">
        <v>172</v>
      </c>
      <c r="C429">
        <v>1</v>
      </c>
      <c r="D429">
        <v>4</v>
      </c>
      <c r="E429">
        <v>2</v>
      </c>
      <c r="G429">
        <v>-2.811551894651052</v>
      </c>
      <c r="H429">
        <v>-2.0795554765592801</v>
      </c>
      <c r="I429">
        <v>-2.3898684557923682</v>
      </c>
      <c r="K429">
        <v>-2.4269919423342334</v>
      </c>
      <c r="M429">
        <f t="shared" si="6"/>
        <v>0.36740754478448778</v>
      </c>
    </row>
    <row r="430" spans="1:13">
      <c r="A430">
        <v>574</v>
      </c>
      <c r="B430">
        <v>137</v>
      </c>
      <c r="C430">
        <v>2</v>
      </c>
      <c r="D430">
        <v>1</v>
      </c>
      <c r="E430">
        <v>2</v>
      </c>
      <c r="G430">
        <v>-2.4117140192359292</v>
      </c>
      <c r="H430">
        <v>-2.5828075881361006</v>
      </c>
      <c r="I430">
        <v>-2.2910605760412261</v>
      </c>
      <c r="K430">
        <v>-2.4285273944710855</v>
      </c>
      <c r="M430">
        <f t="shared" si="6"/>
        <v>0.14659842071683557</v>
      </c>
    </row>
    <row r="431" spans="1:13">
      <c r="A431">
        <v>685</v>
      </c>
      <c r="B431">
        <v>137</v>
      </c>
      <c r="C431">
        <v>2</v>
      </c>
      <c r="D431">
        <v>2</v>
      </c>
      <c r="E431">
        <v>1</v>
      </c>
      <c r="G431">
        <v>-2.4117140192359292</v>
      </c>
      <c r="H431">
        <v>-2.2817775924721193</v>
      </c>
      <c r="I431">
        <v>-2.592090571705207</v>
      </c>
      <c r="K431">
        <v>-2.4285273944710855</v>
      </c>
      <c r="M431">
        <f t="shared" si="6"/>
        <v>0.15583822849425391</v>
      </c>
    </row>
    <row r="432" spans="1:13">
      <c r="A432">
        <v>18</v>
      </c>
      <c r="B432">
        <v>269</v>
      </c>
      <c r="C432">
        <v>2</v>
      </c>
      <c r="D432">
        <v>3</v>
      </c>
      <c r="E432">
        <v>5</v>
      </c>
      <c r="G432">
        <v>-2.7047457320819301</v>
      </c>
      <c r="H432">
        <v>-2.3987180462624389</v>
      </c>
      <c r="I432">
        <v>-2.1861522802151896</v>
      </c>
      <c r="K432">
        <v>-2.4298720195198529</v>
      </c>
      <c r="M432">
        <f t="shared" si="6"/>
        <v>0.26069660453687937</v>
      </c>
    </row>
    <row r="433" spans="1:13">
      <c r="A433">
        <v>894</v>
      </c>
      <c r="B433">
        <v>174</v>
      </c>
      <c r="C433">
        <v>1</v>
      </c>
      <c r="D433">
        <v>2</v>
      </c>
      <c r="E433">
        <v>4</v>
      </c>
      <c r="G433">
        <v>-2.8165726960261033</v>
      </c>
      <c r="H433">
        <v>-2.3856062735983121</v>
      </c>
      <c r="I433">
        <v>-2.0938592615034377</v>
      </c>
      <c r="K433">
        <v>-2.4320127437092842</v>
      </c>
      <c r="M433">
        <f t="shared" si="6"/>
        <v>0.36358471840962614</v>
      </c>
    </row>
    <row r="434" spans="1:13">
      <c r="A434">
        <v>99</v>
      </c>
      <c r="B434">
        <v>252</v>
      </c>
      <c r="C434">
        <v>2</v>
      </c>
      <c r="D434">
        <v>3</v>
      </c>
      <c r="E434">
        <v>4</v>
      </c>
      <c r="G434">
        <v>-2.6763939928610663</v>
      </c>
      <c r="H434">
        <v>-2.370366307041575</v>
      </c>
      <c r="I434">
        <v>-2.254710554002382</v>
      </c>
      <c r="K434">
        <v>-2.4338236179683412</v>
      </c>
      <c r="M434">
        <f t="shared" si="6"/>
        <v>0.21788610186164614</v>
      </c>
    </row>
    <row r="435" spans="1:13">
      <c r="A435">
        <v>11</v>
      </c>
      <c r="B435">
        <v>175</v>
      </c>
      <c r="C435">
        <v>2</v>
      </c>
      <c r="D435">
        <v>1</v>
      </c>
      <c r="E435">
        <v>4</v>
      </c>
      <c r="G435">
        <v>-2.5180315007658165</v>
      </c>
      <c r="H435">
        <v>-2.6891250696659883</v>
      </c>
      <c r="I435">
        <v>-2.0963480619071326</v>
      </c>
      <c r="K435">
        <v>-2.4345015441129791</v>
      </c>
      <c r="M435">
        <f t="shared" si="6"/>
        <v>0.30508865183042161</v>
      </c>
    </row>
    <row r="436" spans="1:13">
      <c r="A436">
        <v>54</v>
      </c>
      <c r="B436">
        <v>159</v>
      </c>
      <c r="C436">
        <v>2</v>
      </c>
      <c r="D436">
        <v>1</v>
      </c>
      <c r="E436">
        <v>3</v>
      </c>
      <c r="G436">
        <v>-2.4763905763999734</v>
      </c>
      <c r="H436">
        <v>-2.6474841453001448</v>
      </c>
      <c r="I436">
        <v>-2.1796458741495894</v>
      </c>
      <c r="K436">
        <v>-2.434506865283236</v>
      </c>
      <c r="M436">
        <f t="shared" si="6"/>
        <v>0.2367146931032543</v>
      </c>
    </row>
    <row r="437" spans="1:13">
      <c r="A437">
        <v>199</v>
      </c>
      <c r="B437">
        <v>549</v>
      </c>
      <c r="C437">
        <v>5</v>
      </c>
      <c r="D437">
        <v>7</v>
      </c>
      <c r="E437">
        <v>7</v>
      </c>
      <c r="G437">
        <v>-2.6166257878575765</v>
      </c>
      <c r="H437">
        <v>-2.3405613254155284</v>
      </c>
      <c r="I437">
        <v>-2.3498443089846353</v>
      </c>
      <c r="K437">
        <v>-2.4356771407525799</v>
      </c>
      <c r="M437">
        <f t="shared" si="6"/>
        <v>0.15677484847013082</v>
      </c>
    </row>
    <row r="438" spans="1:13">
      <c r="A438">
        <v>97</v>
      </c>
      <c r="B438">
        <v>410</v>
      </c>
      <c r="C438">
        <v>4</v>
      </c>
      <c r="D438">
        <v>5</v>
      </c>
      <c r="E438">
        <v>5</v>
      </c>
      <c r="G438">
        <v>-2.5867473131352763</v>
      </c>
      <c r="H438">
        <v>-2.3599008733634106</v>
      </c>
      <c r="I438">
        <v>-2.369183856932517</v>
      </c>
      <c r="K438">
        <v>-2.4386106811437345</v>
      </c>
      <c r="M438">
        <f t="shared" si="6"/>
        <v>0.12837402287586908</v>
      </c>
    </row>
    <row r="439" spans="1:13">
      <c r="A439">
        <v>87</v>
      </c>
      <c r="B439">
        <v>256</v>
      </c>
      <c r="C439">
        <v>2</v>
      </c>
      <c r="D439">
        <v>4</v>
      </c>
      <c r="E439">
        <v>3</v>
      </c>
      <c r="G439">
        <v>-2.6832334173913717</v>
      </c>
      <c r="H439">
        <v>-2.2522669949635805</v>
      </c>
      <c r="I439">
        <v>-2.3864887151409873</v>
      </c>
      <c r="K439">
        <v>-2.4406630424986466</v>
      </c>
      <c r="M439">
        <f t="shared" si="6"/>
        <v>0.22053153430641942</v>
      </c>
    </row>
    <row r="440" spans="1:13">
      <c r="A440">
        <v>504</v>
      </c>
      <c r="B440">
        <v>178</v>
      </c>
      <c r="C440">
        <v>2</v>
      </c>
      <c r="D440">
        <v>2</v>
      </c>
      <c r="E440">
        <v>2</v>
      </c>
      <c r="G440">
        <v>-2.5254134543884161</v>
      </c>
      <c r="H440">
        <v>-2.3954770276246062</v>
      </c>
      <c r="I440">
        <v>-2.4047600111937131</v>
      </c>
      <c r="K440">
        <v>-2.4418834977355783</v>
      </c>
      <c r="M440">
        <f t="shared" si="6"/>
        <v>7.248781752684226E-2</v>
      </c>
    </row>
    <row r="441" spans="1:13">
      <c r="A441">
        <v>319</v>
      </c>
      <c r="B441">
        <v>324</v>
      </c>
      <c r="C441">
        <v>4</v>
      </c>
      <c r="D441">
        <v>4</v>
      </c>
      <c r="E441">
        <v>3</v>
      </c>
      <c r="G441">
        <v>-2.4845084666221533</v>
      </c>
      <c r="H441">
        <v>-2.3545720398583434</v>
      </c>
      <c r="I441">
        <v>-2.4887937600357501</v>
      </c>
      <c r="K441">
        <v>-2.4426247555054155</v>
      </c>
      <c r="M441">
        <f t="shared" si="6"/>
        <v>7.6285984849959632E-2</v>
      </c>
    </row>
    <row r="442" spans="1:13">
      <c r="A442">
        <v>74</v>
      </c>
      <c r="B442">
        <v>206</v>
      </c>
      <c r="C442">
        <v>4</v>
      </c>
      <c r="D442">
        <v>1</v>
      </c>
      <c r="E442">
        <v>3</v>
      </c>
      <c r="G442">
        <v>-2.2878306767846945</v>
      </c>
      <c r="H442">
        <v>-2.7599542413488471</v>
      </c>
      <c r="I442">
        <v>-2.2921159701982914</v>
      </c>
      <c r="K442">
        <v>-2.4466336294439444</v>
      </c>
      <c r="M442">
        <f t="shared" si="6"/>
        <v>0.27135206894043978</v>
      </c>
    </row>
    <row r="443" spans="1:13">
      <c r="A443">
        <v>261</v>
      </c>
      <c r="B443">
        <v>180</v>
      </c>
      <c r="C443">
        <v>4</v>
      </c>
      <c r="D443">
        <v>1</v>
      </c>
      <c r="E443">
        <v>2</v>
      </c>
      <c r="G443">
        <v>-2.2292359615188468</v>
      </c>
      <c r="H443">
        <v>-2.7013595260829995</v>
      </c>
      <c r="I443">
        <v>-2.409612513988125</v>
      </c>
      <c r="K443">
        <v>-2.4467360005299903</v>
      </c>
      <c r="M443">
        <f t="shared" si="6"/>
        <v>0.23824101240961523</v>
      </c>
    </row>
    <row r="444" spans="1:13">
      <c r="A444">
        <v>353</v>
      </c>
      <c r="B444">
        <v>130</v>
      </c>
      <c r="C444">
        <v>1</v>
      </c>
      <c r="D444">
        <v>3</v>
      </c>
      <c r="E444">
        <v>1</v>
      </c>
      <c r="G444">
        <v>-2.6899668000503403</v>
      </c>
      <c r="H444">
        <v>-2.0829091185668682</v>
      </c>
      <c r="I444">
        <v>-2.5693133568556372</v>
      </c>
      <c r="K444">
        <v>-2.4473964251576152</v>
      </c>
      <c r="M444">
        <f t="shared" si="6"/>
        <v>0.32136826358247961</v>
      </c>
    </row>
    <row r="445" spans="1:13">
      <c r="A445">
        <v>66</v>
      </c>
      <c r="B445">
        <v>114</v>
      </c>
      <c r="C445">
        <v>2</v>
      </c>
      <c r="D445">
        <v>1</v>
      </c>
      <c r="E445">
        <v>1</v>
      </c>
      <c r="G445">
        <v>-2.3318983034159948</v>
      </c>
      <c r="H445">
        <v>-2.5029918723161666</v>
      </c>
      <c r="I445">
        <v>-2.512274855885273</v>
      </c>
      <c r="K445">
        <v>-2.4490550105391447</v>
      </c>
      <c r="M445">
        <f t="shared" si="6"/>
        <v>0.10156679557779075</v>
      </c>
    </row>
    <row r="446" spans="1:13">
      <c r="A446">
        <v>333</v>
      </c>
      <c r="B446">
        <v>282</v>
      </c>
      <c r="C446">
        <v>5</v>
      </c>
      <c r="D446">
        <v>3</v>
      </c>
      <c r="E446">
        <v>2</v>
      </c>
      <c r="G446">
        <v>-2.3273025517268455</v>
      </c>
      <c r="H446">
        <v>-2.4192148745793922</v>
      </c>
      <c r="I446">
        <v>-2.6045891172041804</v>
      </c>
      <c r="K446">
        <v>-2.4503688478368058</v>
      </c>
      <c r="M446">
        <f t="shared" si="6"/>
        <v>0.14124407026791186</v>
      </c>
    </row>
    <row r="447" spans="1:13">
      <c r="A447">
        <v>149</v>
      </c>
      <c r="B447">
        <v>388</v>
      </c>
      <c r="C447">
        <v>3</v>
      </c>
      <c r="D447">
        <v>2</v>
      </c>
      <c r="E447">
        <v>13</v>
      </c>
      <c r="G447">
        <v>-2.687733918618048</v>
      </c>
      <c r="H447">
        <v>-2.7338887509099195</v>
      </c>
      <c r="I447">
        <v>-1.9302583778361708</v>
      </c>
      <c r="K447">
        <v>-2.4506270157880459</v>
      </c>
      <c r="M447">
        <f t="shared" si="6"/>
        <v>0.45124295746182197</v>
      </c>
    </row>
    <row r="448" spans="1:13">
      <c r="A448">
        <v>379</v>
      </c>
      <c r="B448">
        <v>189</v>
      </c>
      <c r="C448">
        <v>3</v>
      </c>
      <c r="D448">
        <v>3</v>
      </c>
      <c r="E448">
        <v>1</v>
      </c>
      <c r="G448">
        <v>-2.375363997197085</v>
      </c>
      <c r="H448">
        <v>-2.2454275704332751</v>
      </c>
      <c r="I448">
        <v>-2.7318318087220446</v>
      </c>
      <c r="K448">
        <v>-2.4508744587841349</v>
      </c>
      <c r="M448">
        <f t="shared" si="6"/>
        <v>0.25184051126285562</v>
      </c>
    </row>
    <row r="449" spans="1:13">
      <c r="A449">
        <v>403</v>
      </c>
      <c r="B449">
        <v>230</v>
      </c>
      <c r="C449">
        <v>2</v>
      </c>
      <c r="D449">
        <v>2</v>
      </c>
      <c r="E449">
        <v>4</v>
      </c>
      <c r="G449">
        <v>-2.6367212880971151</v>
      </c>
      <c r="H449">
        <v>-2.5067848613333057</v>
      </c>
      <c r="I449">
        <v>-2.2150378492384308</v>
      </c>
      <c r="K449">
        <v>-2.4528479995562837</v>
      </c>
      <c r="M449">
        <f t="shared" si="6"/>
        <v>0.21595397529493779</v>
      </c>
    </row>
    <row r="450" spans="1:13">
      <c r="A450">
        <v>216</v>
      </c>
      <c r="B450">
        <v>183</v>
      </c>
      <c r="C450">
        <v>2</v>
      </c>
      <c r="D450">
        <v>2</v>
      </c>
      <c r="E450">
        <v>2</v>
      </c>
      <c r="G450">
        <v>-2.5374445418099514</v>
      </c>
      <c r="H450">
        <v>-2.4075081150461419</v>
      </c>
      <c r="I450">
        <v>-2.4167910986152483</v>
      </c>
      <c r="K450">
        <v>-2.453914585157114</v>
      </c>
      <c r="M450">
        <f t="shared" si="6"/>
        <v>7.2487817526842122E-2</v>
      </c>
    </row>
    <row r="451" spans="1:13">
      <c r="A451">
        <v>50</v>
      </c>
      <c r="B451">
        <v>303</v>
      </c>
      <c r="C451">
        <v>3</v>
      </c>
      <c r="D451">
        <v>2</v>
      </c>
      <c r="E451">
        <v>6</v>
      </c>
      <c r="G451">
        <v>-2.580344821526146</v>
      </c>
      <c r="H451">
        <v>-2.6264996538180174</v>
      </c>
      <c r="I451">
        <v>-2.1586613826674617</v>
      </c>
      <c r="K451">
        <v>-2.4551686193372082</v>
      </c>
      <c r="M451">
        <f t="shared" ref="M451:M514" si="7">STDEV(G451:I451)</f>
        <v>0.2578177130922536</v>
      </c>
    </row>
    <row r="452" spans="1:13">
      <c r="A452">
        <v>660</v>
      </c>
      <c r="B452">
        <v>385</v>
      </c>
      <c r="C452">
        <v>4</v>
      </c>
      <c r="D452">
        <v>3</v>
      </c>
      <c r="E452">
        <v>6</v>
      </c>
      <c r="G452">
        <v>-2.5594241859240414</v>
      </c>
      <c r="H452">
        <v>-2.5544264957685323</v>
      </c>
      <c r="I452">
        <v>-2.262679483673657</v>
      </c>
      <c r="K452">
        <v>-2.4588433884554104</v>
      </c>
      <c r="M452">
        <f t="shared" si="7"/>
        <v>0.16990130188183133</v>
      </c>
    </row>
    <row r="453" spans="1:13">
      <c r="A453">
        <v>346</v>
      </c>
      <c r="B453">
        <v>149</v>
      </c>
      <c r="C453">
        <v>1</v>
      </c>
      <c r="D453">
        <v>1</v>
      </c>
      <c r="E453">
        <v>4</v>
      </c>
      <c r="G453">
        <v>-2.7492097161557774</v>
      </c>
      <c r="H453">
        <v>-2.6192732893919679</v>
      </c>
      <c r="I453">
        <v>-2.0264962816331122</v>
      </c>
      <c r="K453">
        <v>-2.4649930957269524</v>
      </c>
      <c r="M453">
        <f t="shared" si="7"/>
        <v>0.38526673971143005</v>
      </c>
    </row>
    <row r="454" spans="1:13">
      <c r="A454">
        <v>154</v>
      </c>
      <c r="B454">
        <v>464</v>
      </c>
      <c r="C454">
        <v>6</v>
      </c>
      <c r="D454">
        <v>4</v>
      </c>
      <c r="E454">
        <v>5</v>
      </c>
      <c r="G454">
        <v>-2.4643901779147406</v>
      </c>
      <c r="H454">
        <v>-2.510545010206612</v>
      </c>
      <c r="I454">
        <v>-2.4229179807676626</v>
      </c>
      <c r="K454">
        <v>-2.4659510562963383</v>
      </c>
      <c r="M454">
        <f t="shared" si="7"/>
        <v>4.3834362411984858E-2</v>
      </c>
    </row>
    <row r="455" spans="1:13">
      <c r="A455">
        <v>563</v>
      </c>
      <c r="B455">
        <v>96</v>
      </c>
      <c r="C455">
        <v>1</v>
      </c>
      <c r="D455">
        <v>1</v>
      </c>
      <c r="E455">
        <v>1</v>
      </c>
      <c r="G455">
        <v>-2.5582946807830718</v>
      </c>
      <c r="H455">
        <v>-2.4283582540192619</v>
      </c>
      <c r="I455">
        <v>-2.4376412375883687</v>
      </c>
      <c r="K455">
        <v>-2.474764724130234</v>
      </c>
      <c r="M455">
        <f t="shared" si="7"/>
        <v>7.248781752684226E-2</v>
      </c>
    </row>
    <row r="456" spans="1:13">
      <c r="A456">
        <v>605</v>
      </c>
      <c r="B456">
        <v>121</v>
      </c>
      <c r="C456">
        <v>2</v>
      </c>
      <c r="D456">
        <v>1</v>
      </c>
      <c r="E456">
        <v>1</v>
      </c>
      <c r="G456">
        <v>-2.3577788223959724</v>
      </c>
      <c r="H456">
        <v>-2.5288723912961437</v>
      </c>
      <c r="I456">
        <v>-2.5381553748652506</v>
      </c>
      <c r="K456">
        <v>-2.4749355295191222</v>
      </c>
      <c r="M456">
        <f t="shared" si="7"/>
        <v>0.10156679557779062</v>
      </c>
    </row>
    <row r="457" spans="1:13">
      <c r="A457">
        <v>812</v>
      </c>
      <c r="B457">
        <v>363</v>
      </c>
      <c r="C457">
        <v>3</v>
      </c>
      <c r="D457">
        <v>6</v>
      </c>
      <c r="E457">
        <v>3</v>
      </c>
      <c r="G457">
        <v>-2.6588088180599536</v>
      </c>
      <c r="H457">
        <v>-2.2278423956321625</v>
      </c>
      <c r="I457">
        <v>-2.5381553748652506</v>
      </c>
      <c r="K457">
        <v>-2.4749355295191222</v>
      </c>
      <c r="M457">
        <f t="shared" si="7"/>
        <v>0.22232988091852077</v>
      </c>
    </row>
    <row r="458" spans="1:13">
      <c r="A458">
        <v>750</v>
      </c>
      <c r="B458">
        <v>220</v>
      </c>
      <c r="C458">
        <v>3</v>
      </c>
      <c r="D458">
        <v>2</v>
      </c>
      <c r="E458">
        <v>2</v>
      </c>
      <c r="G458">
        <v>-2.4413248738460469</v>
      </c>
      <c r="H458">
        <v>-2.4874797061379184</v>
      </c>
      <c r="I458">
        <v>-2.4967626897070252</v>
      </c>
      <c r="K458">
        <v>-2.4751890898969968</v>
      </c>
      <c r="M458">
        <f t="shared" si="7"/>
        <v>2.9692293487454571E-2</v>
      </c>
    </row>
    <row r="459" spans="1:13">
      <c r="A459">
        <v>390</v>
      </c>
      <c r="B459">
        <v>153</v>
      </c>
      <c r="C459">
        <v>2</v>
      </c>
      <c r="D459">
        <v>1</v>
      </c>
      <c r="E459">
        <v>2</v>
      </c>
      <c r="G459">
        <v>-2.4596848828971209</v>
      </c>
      <c r="H459">
        <v>-2.6307784517972923</v>
      </c>
      <c r="I459">
        <v>-2.3390314397024179</v>
      </c>
      <c r="K459">
        <v>-2.4764982581322772</v>
      </c>
      <c r="M459">
        <f t="shared" si="7"/>
        <v>0.14659842071683557</v>
      </c>
    </row>
    <row r="460" spans="1:13">
      <c r="A460">
        <v>420</v>
      </c>
      <c r="B460">
        <v>208</v>
      </c>
      <c r="C460">
        <v>5</v>
      </c>
      <c r="D460">
        <v>2</v>
      </c>
      <c r="E460">
        <v>1</v>
      </c>
      <c r="G460">
        <v>-2.1951167783702461</v>
      </c>
      <c r="H460">
        <v>-2.4631203602784737</v>
      </c>
      <c r="I460">
        <v>-2.7734333395115618</v>
      </c>
      <c r="K460">
        <v>-2.477223492720094</v>
      </c>
      <c r="M460">
        <f t="shared" si="7"/>
        <v>0.28941611043803123</v>
      </c>
    </row>
    <row r="461" spans="1:13">
      <c r="A461">
        <v>26</v>
      </c>
      <c r="B461">
        <v>209</v>
      </c>
      <c r="C461">
        <v>1</v>
      </c>
      <c r="D461">
        <v>2</v>
      </c>
      <c r="E461">
        <v>5</v>
      </c>
      <c r="G461">
        <v>-2.8961697338545576</v>
      </c>
      <c r="H461">
        <v>-2.4652033114267669</v>
      </c>
      <c r="I461">
        <v>-2.0765462863238353</v>
      </c>
      <c r="K461">
        <v>-2.4793064438683863</v>
      </c>
      <c r="M461">
        <f t="shared" si="7"/>
        <v>0.40999368616362536</v>
      </c>
    </row>
    <row r="462" spans="1:13">
      <c r="A462">
        <v>737</v>
      </c>
      <c r="B462">
        <v>376</v>
      </c>
      <c r="C462">
        <v>7</v>
      </c>
      <c r="D462">
        <v>4</v>
      </c>
      <c r="E462">
        <v>2</v>
      </c>
      <c r="G462">
        <v>-2.3061132526569077</v>
      </c>
      <c r="H462">
        <v>-2.4192148745793922</v>
      </c>
      <c r="I462">
        <v>-2.7295278538124803</v>
      </c>
      <c r="K462">
        <v>-2.4849519936829267</v>
      </c>
      <c r="M462">
        <f t="shared" si="7"/>
        <v>0.21922820926823575</v>
      </c>
    </row>
    <row r="463" spans="1:13">
      <c r="A463">
        <v>707</v>
      </c>
      <c r="B463">
        <v>474</v>
      </c>
      <c r="C463">
        <v>4</v>
      </c>
      <c r="D463">
        <v>7</v>
      </c>
      <c r="E463">
        <v>4</v>
      </c>
      <c r="G463">
        <v>-2.6497417980896261</v>
      </c>
      <c r="H463">
        <v>-2.2767673226395218</v>
      </c>
      <c r="I463">
        <v>-2.529088354894923</v>
      </c>
      <c r="K463">
        <v>-2.4851991585413571</v>
      </c>
      <c r="M463">
        <f t="shared" si="7"/>
        <v>0.19032127049213793</v>
      </c>
    </row>
    <row r="464" spans="1:13">
      <c r="A464">
        <v>816</v>
      </c>
      <c r="B464">
        <v>516</v>
      </c>
      <c r="C464">
        <v>4</v>
      </c>
      <c r="D464">
        <v>6</v>
      </c>
      <c r="E464">
        <v>6</v>
      </c>
      <c r="G464">
        <v>-2.6866131580427521</v>
      </c>
      <c r="H464">
        <v>-2.3805854722232613</v>
      </c>
      <c r="I464">
        <v>-2.3898684557923682</v>
      </c>
      <c r="K464">
        <v>-2.4856890286861271</v>
      </c>
      <c r="M464">
        <f t="shared" si="7"/>
        <v>0.17406729378109601</v>
      </c>
    </row>
    <row r="465" spans="1:13">
      <c r="A465">
        <v>336</v>
      </c>
      <c r="B465">
        <v>125</v>
      </c>
      <c r="C465">
        <v>1</v>
      </c>
      <c r="D465">
        <v>2</v>
      </c>
      <c r="E465">
        <v>1</v>
      </c>
      <c r="G465">
        <v>-2.6729334607515596</v>
      </c>
      <c r="H465">
        <v>-2.2419670383237689</v>
      </c>
      <c r="I465">
        <v>-2.5522800175568565</v>
      </c>
      <c r="K465">
        <v>-2.4890601722107282</v>
      </c>
      <c r="M465">
        <f t="shared" si="7"/>
        <v>0.22232988091852052</v>
      </c>
    </row>
    <row r="466" spans="1:13">
      <c r="A466">
        <v>377</v>
      </c>
      <c r="B466">
        <v>289</v>
      </c>
      <c r="C466">
        <v>4</v>
      </c>
      <c r="D466">
        <v>2</v>
      </c>
      <c r="E466">
        <v>3</v>
      </c>
      <c r="G466">
        <v>-2.4348612991720886</v>
      </c>
      <c r="H466">
        <v>-2.60595486807226</v>
      </c>
      <c r="I466">
        <v>-2.4391465925856854</v>
      </c>
      <c r="K466">
        <v>-2.4933209199433448</v>
      </c>
      <c r="M466">
        <f t="shared" si="7"/>
        <v>9.756739023997997E-2</v>
      </c>
    </row>
    <row r="467" spans="1:13">
      <c r="A467">
        <v>217</v>
      </c>
      <c r="B467">
        <v>273</v>
      </c>
      <c r="C467">
        <v>5</v>
      </c>
      <c r="D467">
        <v>1</v>
      </c>
      <c r="E467">
        <v>4</v>
      </c>
      <c r="G467">
        <v>-2.3132160904482406</v>
      </c>
      <c r="H467">
        <v>-2.8822496680204495</v>
      </c>
      <c r="I467">
        <v>-2.2894726602615938</v>
      </c>
      <c r="K467">
        <v>-2.4949794729100945</v>
      </c>
      <c r="M467">
        <f t="shared" si="7"/>
        <v>0.33559587398367624</v>
      </c>
    </row>
    <row r="468" spans="1:13">
      <c r="A468">
        <v>73</v>
      </c>
      <c r="B468">
        <v>333</v>
      </c>
      <c r="C468">
        <v>6</v>
      </c>
      <c r="D468">
        <v>3</v>
      </c>
      <c r="E468">
        <v>2</v>
      </c>
      <c r="G468">
        <v>-2.3203164308661797</v>
      </c>
      <c r="H468">
        <v>-2.4914099997663515</v>
      </c>
      <c r="I468">
        <v>-2.6767842423911388</v>
      </c>
      <c r="K468">
        <v>-2.4961702243412232</v>
      </c>
      <c r="M468">
        <f t="shared" si="7"/>
        <v>0.17828157495055638</v>
      </c>
    </row>
    <row r="469" spans="1:13">
      <c r="A469">
        <v>133</v>
      </c>
      <c r="B469">
        <v>334</v>
      </c>
      <c r="C469">
        <v>3</v>
      </c>
      <c r="D469">
        <v>3</v>
      </c>
      <c r="E469">
        <v>4</v>
      </c>
      <c r="G469">
        <v>-2.6226486598354053</v>
      </c>
      <c r="H469">
        <v>-2.4927122330715958</v>
      </c>
      <c r="I469">
        <v>-2.3770564800324023</v>
      </c>
      <c r="K469">
        <v>-2.497472457646468</v>
      </c>
      <c r="M469">
        <f t="shared" si="7"/>
        <v>0.1228652697005954</v>
      </c>
    </row>
    <row r="470" spans="1:13">
      <c r="A470">
        <v>482</v>
      </c>
      <c r="B470">
        <v>318</v>
      </c>
      <c r="C470">
        <v>5</v>
      </c>
      <c r="D470">
        <v>3</v>
      </c>
      <c r="E470">
        <v>2</v>
      </c>
      <c r="G470">
        <v>-2.3794805633919172</v>
      </c>
      <c r="H470">
        <v>-2.4713928862444643</v>
      </c>
      <c r="I470">
        <v>-2.6567671288692516</v>
      </c>
      <c r="K470">
        <v>-2.5025468595018778</v>
      </c>
      <c r="M470">
        <f t="shared" si="7"/>
        <v>0.14124407026791158</v>
      </c>
    </row>
    <row r="471" spans="1:13">
      <c r="A471">
        <v>35</v>
      </c>
      <c r="B471">
        <v>325</v>
      </c>
      <c r="C471">
        <v>2</v>
      </c>
      <c r="D471">
        <v>4</v>
      </c>
      <c r="E471">
        <v>4</v>
      </c>
      <c r="G471">
        <v>-2.7868768130583965</v>
      </c>
      <c r="H471">
        <v>-2.3559103906306058</v>
      </c>
      <c r="I471">
        <v>-2.3651933741997122</v>
      </c>
      <c r="K471">
        <v>-2.5026601926295715</v>
      </c>
      <c r="M471">
        <f t="shared" si="7"/>
        <v>0.24618257237662697</v>
      </c>
    </row>
    <row r="472" spans="1:13">
      <c r="A472">
        <v>9</v>
      </c>
      <c r="B472">
        <v>129</v>
      </c>
      <c r="C472">
        <v>2</v>
      </c>
      <c r="D472">
        <v>1</v>
      </c>
      <c r="E472">
        <v>1</v>
      </c>
      <c r="G472">
        <v>-2.3855831623787713</v>
      </c>
      <c r="H472">
        <v>-2.5566767312789427</v>
      </c>
      <c r="I472">
        <v>-2.5659597148480491</v>
      </c>
      <c r="K472">
        <v>-2.5027398695019212</v>
      </c>
      <c r="M472">
        <f t="shared" si="7"/>
        <v>0.10156679557779048</v>
      </c>
    </row>
    <row r="473" spans="1:13">
      <c r="A473">
        <v>204</v>
      </c>
      <c r="B473">
        <v>164</v>
      </c>
      <c r="C473">
        <v>1</v>
      </c>
      <c r="D473">
        <v>1</v>
      </c>
      <c r="E473">
        <v>4</v>
      </c>
      <c r="G473">
        <v>-2.7908672957912013</v>
      </c>
      <c r="H473">
        <v>-2.6609308690273918</v>
      </c>
      <c r="I473">
        <v>-2.0681538612685357</v>
      </c>
      <c r="K473">
        <v>-2.5066506753623763</v>
      </c>
      <c r="M473">
        <f t="shared" si="7"/>
        <v>0.38526673971142777</v>
      </c>
    </row>
    <row r="474" spans="1:13">
      <c r="A474">
        <v>509</v>
      </c>
      <c r="B474">
        <v>216</v>
      </c>
      <c r="C474">
        <v>1</v>
      </c>
      <c r="D474">
        <v>3</v>
      </c>
      <c r="E474">
        <v>3</v>
      </c>
      <c r="G474">
        <v>-2.9104771988944345</v>
      </c>
      <c r="H474">
        <v>-2.303419517410962</v>
      </c>
      <c r="I474">
        <v>-2.3127025009800688</v>
      </c>
      <c r="K474">
        <v>-2.5088664057618217</v>
      </c>
      <c r="M474">
        <f t="shared" si="7"/>
        <v>0.34783611847598817</v>
      </c>
    </row>
    <row r="475" spans="1:13">
      <c r="A475">
        <v>265</v>
      </c>
      <c r="B475">
        <v>193</v>
      </c>
      <c r="C475">
        <v>2</v>
      </c>
      <c r="D475">
        <v>3</v>
      </c>
      <c r="E475">
        <v>1</v>
      </c>
      <c r="G475">
        <v>-2.560550761087296</v>
      </c>
      <c r="H475">
        <v>-2.2545230752678052</v>
      </c>
      <c r="I475">
        <v>-2.7409273135565742</v>
      </c>
      <c r="K475">
        <v>-2.5186670499705581</v>
      </c>
      <c r="M475">
        <f t="shared" si="7"/>
        <v>0.24589216071075168</v>
      </c>
    </row>
    <row r="476" spans="1:13">
      <c r="A476">
        <v>208</v>
      </c>
      <c r="B476">
        <v>169</v>
      </c>
      <c r="C476">
        <v>2</v>
      </c>
      <c r="D476">
        <v>1</v>
      </c>
      <c r="E476">
        <v>2</v>
      </c>
      <c r="G476">
        <v>-2.5028801566931955</v>
      </c>
      <c r="H476">
        <v>-2.6739737255933669</v>
      </c>
      <c r="I476">
        <v>-2.3822267134984925</v>
      </c>
      <c r="K476">
        <v>-2.5196935319283518</v>
      </c>
      <c r="M476">
        <f t="shared" si="7"/>
        <v>0.14659842071683557</v>
      </c>
    </row>
    <row r="477" spans="1:13">
      <c r="A477">
        <v>287</v>
      </c>
      <c r="B477">
        <v>196</v>
      </c>
      <c r="C477">
        <v>1</v>
      </c>
      <c r="D477">
        <v>2</v>
      </c>
      <c r="E477">
        <v>3</v>
      </c>
      <c r="G477">
        <v>-2.8682795190999792</v>
      </c>
      <c r="H477">
        <v>-2.4373130966721885</v>
      </c>
      <c r="I477">
        <v>-2.2705048211856136</v>
      </c>
      <c r="K477">
        <v>-2.5253658123192606</v>
      </c>
      <c r="M477">
        <f t="shared" si="7"/>
        <v>0.30846167981820832</v>
      </c>
    </row>
    <row r="478" spans="1:13">
      <c r="A478">
        <v>601</v>
      </c>
      <c r="B478">
        <v>136</v>
      </c>
      <c r="C478">
        <v>1</v>
      </c>
      <c r="D478">
        <v>1</v>
      </c>
      <c r="E478">
        <v>2</v>
      </c>
      <c r="G478">
        <v>-2.7095623561137208</v>
      </c>
      <c r="H478">
        <v>-2.5796259293499109</v>
      </c>
      <c r="I478">
        <v>-2.2878789172550364</v>
      </c>
      <c r="K478">
        <v>-2.5256890675728894</v>
      </c>
      <c r="M478">
        <f t="shared" si="7"/>
        <v>0.21595397529493773</v>
      </c>
    </row>
    <row r="479" spans="1:13">
      <c r="A479">
        <v>488</v>
      </c>
      <c r="B479">
        <v>216</v>
      </c>
      <c r="C479">
        <v>1</v>
      </c>
      <c r="D479">
        <v>2</v>
      </c>
      <c r="E479">
        <v>4</v>
      </c>
      <c r="G479">
        <v>-2.9104771988944345</v>
      </c>
      <c r="H479">
        <v>-2.4795107764666433</v>
      </c>
      <c r="I479">
        <v>-2.1877637643717689</v>
      </c>
      <c r="K479">
        <v>-2.5259172465776154</v>
      </c>
      <c r="M479">
        <f t="shared" si="7"/>
        <v>0.3635847184096237</v>
      </c>
    </row>
    <row r="480" spans="1:13">
      <c r="A480">
        <v>139</v>
      </c>
      <c r="B480">
        <v>357</v>
      </c>
      <c r="C480">
        <v>2</v>
      </c>
      <c r="D480">
        <v>3</v>
      </c>
      <c r="E480">
        <v>6</v>
      </c>
      <c r="G480">
        <v>-2.8276616681917153</v>
      </c>
      <c r="H480">
        <v>-2.521633982372224</v>
      </c>
      <c r="I480">
        <v>-2.2298869702773496</v>
      </c>
      <c r="K480">
        <v>-2.5263942069470962</v>
      </c>
      <c r="M480">
        <f t="shared" si="7"/>
        <v>0.29891577772033917</v>
      </c>
    </row>
    <row r="481" spans="1:13">
      <c r="A481">
        <v>306</v>
      </c>
      <c r="B481">
        <v>359</v>
      </c>
      <c r="C481">
        <v>2</v>
      </c>
      <c r="D481">
        <v>6</v>
      </c>
      <c r="E481">
        <v>3</v>
      </c>
      <c r="G481">
        <v>-2.8300879006578414</v>
      </c>
      <c r="H481">
        <v>-2.2230302191743689</v>
      </c>
      <c r="I481">
        <v>-2.533343198407457</v>
      </c>
      <c r="K481">
        <v>-2.5288204394132223</v>
      </c>
      <c r="M481">
        <f t="shared" si="7"/>
        <v>0.30355411160732487</v>
      </c>
    </row>
    <row r="482" spans="1:13">
      <c r="A482">
        <v>891</v>
      </c>
      <c r="B482">
        <v>235</v>
      </c>
      <c r="C482">
        <v>2</v>
      </c>
      <c r="D482">
        <v>1</v>
      </c>
      <c r="E482">
        <v>5</v>
      </c>
      <c r="G482">
        <v>-2.6460613143512584</v>
      </c>
      <c r="H482">
        <v>-2.8171548832514297</v>
      </c>
      <c r="I482">
        <v>-2.1274678624845178</v>
      </c>
      <c r="K482">
        <v>-2.5302280200290688</v>
      </c>
      <c r="M482">
        <f t="shared" si="7"/>
        <v>0.35913794105988384</v>
      </c>
    </row>
    <row r="483" spans="1:13">
      <c r="A483">
        <v>552</v>
      </c>
      <c r="B483">
        <v>287</v>
      </c>
      <c r="C483">
        <v>3</v>
      </c>
      <c r="D483">
        <v>3</v>
      </c>
      <c r="E483">
        <v>2</v>
      </c>
      <c r="G483">
        <v>-2.5567840897578331</v>
      </c>
      <c r="H483">
        <v>-2.4268476629940237</v>
      </c>
      <c r="I483">
        <v>-2.6122219056188114</v>
      </c>
      <c r="K483">
        <v>-2.5319512194568894</v>
      </c>
      <c r="M483">
        <f t="shared" si="7"/>
        <v>9.5149388031221915E-2</v>
      </c>
    </row>
    <row r="484" spans="1:13">
      <c r="A484">
        <v>243</v>
      </c>
      <c r="B484">
        <v>203</v>
      </c>
      <c r="C484">
        <v>1</v>
      </c>
      <c r="D484">
        <v>2</v>
      </c>
      <c r="E484">
        <v>3</v>
      </c>
      <c r="G484">
        <v>-2.8835194856567163</v>
      </c>
      <c r="H484">
        <v>-2.4525530632289252</v>
      </c>
      <c r="I484">
        <v>-2.2857447877423507</v>
      </c>
      <c r="K484">
        <v>-2.5406057788759973</v>
      </c>
      <c r="M484">
        <f t="shared" si="7"/>
        <v>0.30846167981820838</v>
      </c>
    </row>
    <row r="485" spans="1:13">
      <c r="A485">
        <v>281</v>
      </c>
      <c r="B485">
        <v>375</v>
      </c>
      <c r="C485">
        <v>2</v>
      </c>
      <c r="D485">
        <v>6</v>
      </c>
      <c r="E485">
        <v>3</v>
      </c>
      <c r="G485">
        <v>-2.8490247198072409</v>
      </c>
      <c r="H485">
        <v>-2.2419670383237689</v>
      </c>
      <c r="I485">
        <v>-2.5522800175568565</v>
      </c>
      <c r="K485">
        <v>-2.5477572585626223</v>
      </c>
      <c r="M485">
        <f t="shared" si="7"/>
        <v>0.30355411160732465</v>
      </c>
    </row>
    <row r="486" spans="1:13">
      <c r="A486">
        <v>31</v>
      </c>
      <c r="B486">
        <v>207</v>
      </c>
      <c r="C486">
        <v>2</v>
      </c>
      <c r="D486">
        <v>1</v>
      </c>
      <c r="E486">
        <v>3</v>
      </c>
      <c r="G486">
        <v>-2.5909637975364399</v>
      </c>
      <c r="H486">
        <v>-2.7620573664366113</v>
      </c>
      <c r="I486">
        <v>-2.2942190952860555</v>
      </c>
      <c r="K486">
        <v>-2.5490800864197021</v>
      </c>
      <c r="M486">
        <f t="shared" si="7"/>
        <v>0.23671469310325455</v>
      </c>
    </row>
    <row r="487" spans="1:13">
      <c r="A487">
        <v>632</v>
      </c>
      <c r="B487">
        <v>363</v>
      </c>
      <c r="C487">
        <v>4</v>
      </c>
      <c r="D487">
        <v>2</v>
      </c>
      <c r="E487">
        <v>4</v>
      </c>
      <c r="G487">
        <v>-2.5338700814516537</v>
      </c>
      <c r="H487">
        <v>-2.7049636503518251</v>
      </c>
      <c r="I487">
        <v>-2.4132166382569507</v>
      </c>
      <c r="K487">
        <v>-2.55068345668681</v>
      </c>
      <c r="M487">
        <f t="shared" si="7"/>
        <v>0.14659842071683557</v>
      </c>
    </row>
    <row r="488" spans="1:13">
      <c r="A488">
        <v>102</v>
      </c>
      <c r="B488">
        <v>208</v>
      </c>
      <c r="C488">
        <v>2</v>
      </c>
      <c r="D488">
        <v>3</v>
      </c>
      <c r="E488">
        <v>1</v>
      </c>
      <c r="G488">
        <v>-2.5930567870422836</v>
      </c>
      <c r="H488">
        <v>-2.2870291012227928</v>
      </c>
      <c r="I488">
        <v>-2.7734333395115618</v>
      </c>
      <c r="K488">
        <v>-2.5511730759255462</v>
      </c>
      <c r="M488">
        <f t="shared" si="7"/>
        <v>0.24589216071075168</v>
      </c>
    </row>
    <row r="489" spans="1:13">
      <c r="A489">
        <v>674</v>
      </c>
      <c r="B489">
        <v>263</v>
      </c>
      <c r="C489">
        <v>2</v>
      </c>
      <c r="D489">
        <v>3</v>
      </c>
      <c r="E489">
        <v>2</v>
      </c>
      <c r="G489">
        <v>-2.6949492005692801</v>
      </c>
      <c r="H489">
        <v>-2.3889215147497893</v>
      </c>
      <c r="I489">
        <v>-2.5742957573745771</v>
      </c>
      <c r="K489">
        <v>-2.5527221575645487</v>
      </c>
      <c r="M489">
        <f t="shared" si="7"/>
        <v>0.15415025552551212</v>
      </c>
    </row>
    <row r="490" spans="1:13">
      <c r="A490">
        <v>164</v>
      </c>
      <c r="B490">
        <v>441</v>
      </c>
      <c r="C490">
        <v>7</v>
      </c>
      <c r="D490">
        <v>4</v>
      </c>
      <c r="E490">
        <v>2</v>
      </c>
      <c r="G490">
        <v>-2.375363997197085</v>
      </c>
      <c r="H490">
        <v>-2.4884656191195695</v>
      </c>
      <c r="I490">
        <v>-2.7987785983526576</v>
      </c>
      <c r="K490">
        <v>-2.5542027382231041</v>
      </c>
      <c r="M490">
        <f t="shared" si="7"/>
        <v>0.21922820926823575</v>
      </c>
    </row>
    <row r="491" spans="1:13">
      <c r="A491">
        <v>824</v>
      </c>
      <c r="B491">
        <v>333</v>
      </c>
      <c r="C491">
        <v>6</v>
      </c>
      <c r="D491">
        <v>2</v>
      </c>
      <c r="E491">
        <v>2</v>
      </c>
      <c r="G491">
        <v>-2.3203164308661797</v>
      </c>
      <c r="H491">
        <v>-2.6675012588220319</v>
      </c>
      <c r="I491">
        <v>-2.6767842423911388</v>
      </c>
      <c r="K491">
        <v>-2.5548673106931168</v>
      </c>
      <c r="M491">
        <f t="shared" si="7"/>
        <v>0.20318004298325856</v>
      </c>
    </row>
    <row r="492" spans="1:13">
      <c r="A492">
        <v>590</v>
      </c>
      <c r="B492">
        <v>438</v>
      </c>
      <c r="C492">
        <v>3</v>
      </c>
      <c r="D492">
        <v>6</v>
      </c>
      <c r="E492">
        <v>3</v>
      </c>
      <c r="G492">
        <v>-2.7403763035279405</v>
      </c>
      <c r="H492">
        <v>-2.3094098811001498</v>
      </c>
      <c r="I492">
        <v>-2.6197228603332374</v>
      </c>
      <c r="K492">
        <v>-2.5565030149871091</v>
      </c>
      <c r="M492">
        <f t="shared" si="7"/>
        <v>0.22232988091852052</v>
      </c>
    </row>
    <row r="493" spans="1:13">
      <c r="A493">
        <v>117</v>
      </c>
      <c r="B493">
        <v>640</v>
      </c>
      <c r="C493">
        <v>6</v>
      </c>
      <c r="D493">
        <v>4</v>
      </c>
      <c r="E493">
        <v>7</v>
      </c>
      <c r="G493">
        <v>-2.604052171343747</v>
      </c>
      <c r="H493">
        <v>-2.650207003635618</v>
      </c>
      <c r="I493">
        <v>-2.4164519385184304</v>
      </c>
      <c r="K493">
        <v>-2.5569037044992653</v>
      </c>
      <c r="M493">
        <f t="shared" si="7"/>
        <v>0.12380464878720854</v>
      </c>
    </row>
    <row r="494" spans="1:13">
      <c r="A494">
        <v>560</v>
      </c>
      <c r="B494">
        <v>304</v>
      </c>
      <c r="C494">
        <v>3</v>
      </c>
      <c r="D494">
        <v>2</v>
      </c>
      <c r="E494">
        <v>3</v>
      </c>
      <c r="G494">
        <v>-2.5817757766325946</v>
      </c>
      <c r="H494">
        <v>-2.6279306089244665</v>
      </c>
      <c r="I494">
        <v>-2.4611223334378916</v>
      </c>
      <c r="K494">
        <v>-2.5569429063316509</v>
      </c>
      <c r="M494">
        <f t="shared" si="7"/>
        <v>8.6132187817556854E-2</v>
      </c>
    </row>
    <row r="495" spans="1:13">
      <c r="A495">
        <v>152</v>
      </c>
      <c r="B495">
        <v>384</v>
      </c>
      <c r="C495">
        <v>1</v>
      </c>
      <c r="D495">
        <v>6</v>
      </c>
      <c r="E495">
        <v>6</v>
      </c>
      <c r="G495">
        <v>-3.1603546721110343</v>
      </c>
      <c r="H495">
        <v>-2.2522669949635805</v>
      </c>
      <c r="I495">
        <v>-2.2615499785326874</v>
      </c>
      <c r="K495">
        <v>-2.5580572152024339</v>
      </c>
      <c r="M495">
        <f t="shared" si="7"/>
        <v>0.5216255490243078</v>
      </c>
    </row>
    <row r="496" spans="1:13">
      <c r="A496">
        <v>245</v>
      </c>
      <c r="B496">
        <v>601</v>
      </c>
      <c r="C496">
        <v>11</v>
      </c>
      <c r="D496">
        <v>4</v>
      </c>
      <c r="E496">
        <v>3</v>
      </c>
      <c r="G496">
        <v>-2.3135052345880176</v>
      </c>
      <c r="H496">
        <v>-2.6229015016544706</v>
      </c>
      <c r="I496">
        <v>-2.7571232218318773</v>
      </c>
      <c r="K496">
        <v>-2.5645099860247886</v>
      </c>
      <c r="M496">
        <f t="shared" si="7"/>
        <v>0.22750034390022769</v>
      </c>
    </row>
    <row r="497" spans="1:13">
      <c r="A497">
        <v>174</v>
      </c>
      <c r="B497">
        <v>376</v>
      </c>
      <c r="C497">
        <v>4</v>
      </c>
      <c r="D497">
        <v>2</v>
      </c>
      <c r="E497">
        <v>4</v>
      </c>
      <c r="G497">
        <v>-2.5491513013432021</v>
      </c>
      <c r="H497">
        <v>-2.7202448702433735</v>
      </c>
      <c r="I497">
        <v>-2.4284978581484991</v>
      </c>
      <c r="K497">
        <v>-2.5659646765783584</v>
      </c>
      <c r="M497">
        <f t="shared" si="7"/>
        <v>0.14659842071683557</v>
      </c>
    </row>
    <row r="498" spans="1:13">
      <c r="A498">
        <v>304</v>
      </c>
      <c r="B498">
        <v>188</v>
      </c>
      <c r="C498">
        <v>4</v>
      </c>
      <c r="D498">
        <v>1</v>
      </c>
      <c r="E498">
        <v>1</v>
      </c>
      <c r="G498">
        <v>-2.2481213056792209</v>
      </c>
      <c r="H498">
        <v>-2.7202448702433735</v>
      </c>
      <c r="I498">
        <v>-2.7295278538124803</v>
      </c>
      <c r="K498">
        <v>-2.5659646765783584</v>
      </c>
      <c r="M498">
        <f t="shared" si="7"/>
        <v>0.27529956368360087</v>
      </c>
    </row>
    <row r="499" spans="1:13">
      <c r="A499">
        <v>166</v>
      </c>
      <c r="B499">
        <v>374</v>
      </c>
      <c r="C499">
        <v>3</v>
      </c>
      <c r="D499">
        <v>2</v>
      </c>
      <c r="E499">
        <v>5</v>
      </c>
      <c r="G499">
        <v>-2.671773795224321</v>
      </c>
      <c r="H499">
        <v>-2.7179286275161925</v>
      </c>
      <c r="I499">
        <v>-2.3292716024132618</v>
      </c>
      <c r="K499">
        <v>-2.5729913417179251</v>
      </c>
      <c r="M499">
        <f t="shared" si="7"/>
        <v>0.21232534147157864</v>
      </c>
    </row>
    <row r="500" spans="1:13">
      <c r="A500">
        <v>609</v>
      </c>
      <c r="B500">
        <v>276</v>
      </c>
      <c r="C500">
        <v>2</v>
      </c>
      <c r="D500">
        <v>2</v>
      </c>
      <c r="E500">
        <v>3</v>
      </c>
      <c r="G500">
        <v>-2.7159025341447398</v>
      </c>
      <c r="H500">
        <v>-2.5859661073809299</v>
      </c>
      <c r="I500">
        <v>-2.4191578318943554</v>
      </c>
      <c r="K500">
        <v>-2.5736754911400084</v>
      </c>
      <c r="M500">
        <f t="shared" si="7"/>
        <v>0.14875365210341401</v>
      </c>
    </row>
    <row r="501" spans="1:13">
      <c r="A501">
        <v>236</v>
      </c>
      <c r="B501">
        <v>175</v>
      </c>
      <c r="C501">
        <v>1</v>
      </c>
      <c r="D501">
        <v>3</v>
      </c>
      <c r="E501">
        <v>1</v>
      </c>
      <c r="G501">
        <v>-2.8190614964297978</v>
      </c>
      <c r="H501">
        <v>-2.2120038149463257</v>
      </c>
      <c r="I501">
        <v>-2.6984080532350947</v>
      </c>
      <c r="K501">
        <v>-2.5764911215370727</v>
      </c>
      <c r="M501">
        <f t="shared" si="7"/>
        <v>0.32136826358247961</v>
      </c>
    </row>
    <row r="502" spans="1:13">
      <c r="A502">
        <v>700</v>
      </c>
      <c r="B502">
        <v>330</v>
      </c>
      <c r="C502">
        <v>5</v>
      </c>
      <c r="D502">
        <v>2</v>
      </c>
      <c r="E502">
        <v>2</v>
      </c>
      <c r="G502">
        <v>-2.3955673832853721</v>
      </c>
      <c r="H502">
        <v>-2.6635709651935997</v>
      </c>
      <c r="I502">
        <v>-2.6728539487627065</v>
      </c>
      <c r="K502">
        <v>-2.577330765747226</v>
      </c>
      <c r="M502">
        <f t="shared" si="7"/>
        <v>0.15748012207566625</v>
      </c>
    </row>
    <row r="503" spans="1:13">
      <c r="A503">
        <v>193</v>
      </c>
      <c r="B503">
        <v>244</v>
      </c>
      <c r="C503">
        <v>2</v>
      </c>
      <c r="D503">
        <v>2</v>
      </c>
      <c r="E503">
        <v>2</v>
      </c>
      <c r="G503">
        <v>-2.6623832784182517</v>
      </c>
      <c r="H503">
        <v>-2.5324468516544423</v>
      </c>
      <c r="I503">
        <v>-2.5417298352235487</v>
      </c>
      <c r="K503">
        <v>-2.5788533217654144</v>
      </c>
      <c r="M503">
        <f t="shared" si="7"/>
        <v>7.2487817526842122E-2</v>
      </c>
    </row>
    <row r="504" spans="1:13">
      <c r="A504">
        <v>155</v>
      </c>
      <c r="B504">
        <v>354</v>
      </c>
      <c r="C504">
        <v>3</v>
      </c>
      <c r="D504">
        <v>4</v>
      </c>
      <c r="E504">
        <v>2</v>
      </c>
      <c r="G504">
        <v>-2.6479054550496288</v>
      </c>
      <c r="H504">
        <v>-2.393030291677519</v>
      </c>
      <c r="I504">
        <v>-2.7033432709106071</v>
      </c>
      <c r="K504">
        <v>-2.5814263392125851</v>
      </c>
      <c r="M504">
        <f t="shared" si="7"/>
        <v>0.16549362798000733</v>
      </c>
    </row>
    <row r="505" spans="1:13">
      <c r="A505">
        <v>186</v>
      </c>
      <c r="B505">
        <v>354</v>
      </c>
      <c r="C505">
        <v>4</v>
      </c>
      <c r="D505">
        <v>2</v>
      </c>
      <c r="E505">
        <v>3</v>
      </c>
      <c r="G505">
        <v>-2.5229667184413289</v>
      </c>
      <c r="H505">
        <v>-2.6940602873415003</v>
      </c>
      <c r="I505">
        <v>-2.5272520118549258</v>
      </c>
      <c r="K505">
        <v>-2.5814263392125851</v>
      </c>
      <c r="M505">
        <f t="shared" si="7"/>
        <v>9.756739023997997E-2</v>
      </c>
    </row>
    <row r="506" spans="1:13">
      <c r="A506">
        <v>268</v>
      </c>
      <c r="B506">
        <v>357</v>
      </c>
      <c r="C506">
        <v>4</v>
      </c>
      <c r="D506">
        <v>3</v>
      </c>
      <c r="E506">
        <v>2</v>
      </c>
      <c r="G506">
        <v>-2.526631672527734</v>
      </c>
      <c r="H506">
        <v>-2.521633982372224</v>
      </c>
      <c r="I506">
        <v>-2.7070082249970122</v>
      </c>
      <c r="K506">
        <v>-2.5850912932989902</v>
      </c>
      <c r="M506">
        <f t="shared" si="7"/>
        <v>0.10561272604529137</v>
      </c>
    </row>
    <row r="507" spans="1:13">
      <c r="A507">
        <v>616</v>
      </c>
      <c r="B507">
        <v>124</v>
      </c>
      <c r="C507">
        <v>1</v>
      </c>
      <c r="D507">
        <v>1</v>
      </c>
      <c r="E507">
        <v>1</v>
      </c>
      <c r="G507">
        <v>-2.6694451329057385</v>
      </c>
      <c r="H507">
        <v>-2.5395087061419286</v>
      </c>
      <c r="I507">
        <v>-2.5487916897110354</v>
      </c>
      <c r="K507">
        <v>-2.5859151762529007</v>
      </c>
      <c r="M507">
        <f t="shared" si="7"/>
        <v>7.248781752684226E-2</v>
      </c>
    </row>
    <row r="508" spans="1:13">
      <c r="A508">
        <v>318</v>
      </c>
      <c r="B508">
        <v>226</v>
      </c>
      <c r="C508">
        <v>2</v>
      </c>
      <c r="D508">
        <v>1</v>
      </c>
      <c r="E508">
        <v>3</v>
      </c>
      <c r="G508">
        <v>-2.6291018912269233</v>
      </c>
      <c r="H508">
        <v>-2.8001954601270942</v>
      </c>
      <c r="I508">
        <v>-2.3323571889765389</v>
      </c>
      <c r="K508">
        <v>-2.5872181801101859</v>
      </c>
      <c r="M508">
        <f t="shared" si="7"/>
        <v>0.23671469310325435</v>
      </c>
    </row>
    <row r="509" spans="1:13">
      <c r="A509">
        <v>134</v>
      </c>
      <c r="B509">
        <v>459</v>
      </c>
      <c r="C509">
        <v>5</v>
      </c>
      <c r="D509">
        <v>5</v>
      </c>
      <c r="E509">
        <v>2</v>
      </c>
      <c r="G509">
        <v>-2.5388661289447461</v>
      </c>
      <c r="H509">
        <v>-2.4089297021809362</v>
      </c>
      <c r="I509">
        <v>-2.8161526944220805</v>
      </c>
      <c r="K509">
        <v>-2.5879828418492541</v>
      </c>
      <c r="M509">
        <f t="shared" si="7"/>
        <v>0.20800716325974375</v>
      </c>
    </row>
    <row r="510" spans="1:13">
      <c r="A510">
        <v>225</v>
      </c>
      <c r="B510">
        <v>292</v>
      </c>
      <c r="C510">
        <v>2</v>
      </c>
      <c r="D510">
        <v>2</v>
      </c>
      <c r="E510">
        <v>3</v>
      </c>
      <c r="G510">
        <v>-2.7403763035279405</v>
      </c>
      <c r="H510">
        <v>-2.610439876764131</v>
      </c>
      <c r="I510">
        <v>-2.4436316012775561</v>
      </c>
      <c r="K510">
        <v>-2.598149260523209</v>
      </c>
      <c r="M510">
        <f t="shared" si="7"/>
        <v>0.14875365210341401</v>
      </c>
    </row>
    <row r="511" spans="1:13">
      <c r="A511">
        <v>183</v>
      </c>
      <c r="B511">
        <v>454</v>
      </c>
      <c r="C511">
        <v>5</v>
      </c>
      <c r="D511">
        <v>3</v>
      </c>
      <c r="E511">
        <v>3</v>
      </c>
      <c r="G511">
        <v>-2.5341092962645884</v>
      </c>
      <c r="H511">
        <v>-2.6260216191171351</v>
      </c>
      <c r="I511">
        <v>-2.6353046026862419</v>
      </c>
      <c r="K511">
        <v>-2.598478506022655</v>
      </c>
      <c r="M511">
        <f t="shared" si="7"/>
        <v>5.5938267935685786E-2</v>
      </c>
    </row>
    <row r="512" spans="1:13">
      <c r="A512">
        <v>169</v>
      </c>
      <c r="B512">
        <v>161</v>
      </c>
      <c r="C512">
        <v>1</v>
      </c>
      <c r="D512">
        <v>1</v>
      </c>
      <c r="E512">
        <v>2</v>
      </c>
      <c r="G512">
        <v>-2.7828493237753529</v>
      </c>
      <c r="H512">
        <v>-2.652912897011543</v>
      </c>
      <c r="I512">
        <v>-2.3611658849166686</v>
      </c>
      <c r="K512">
        <v>-2.5989760352345215</v>
      </c>
      <c r="M512">
        <f t="shared" si="7"/>
        <v>0.21595397529493773</v>
      </c>
    </row>
    <row r="513" spans="1:13">
      <c r="A513">
        <v>557</v>
      </c>
      <c r="B513">
        <v>161</v>
      </c>
      <c r="C513">
        <v>1</v>
      </c>
      <c r="D513">
        <v>1</v>
      </c>
      <c r="E513">
        <v>2</v>
      </c>
      <c r="G513">
        <v>-2.7828493237753529</v>
      </c>
      <c r="H513">
        <v>-2.652912897011543</v>
      </c>
      <c r="I513">
        <v>-2.3611658849166686</v>
      </c>
      <c r="K513">
        <v>-2.5989760352345215</v>
      </c>
      <c r="M513">
        <f t="shared" si="7"/>
        <v>0.21595397529493773</v>
      </c>
    </row>
    <row r="514" spans="1:13">
      <c r="A514">
        <v>2</v>
      </c>
      <c r="B514">
        <v>53</v>
      </c>
      <c r="C514">
        <v>1</v>
      </c>
      <c r="D514">
        <v>1</v>
      </c>
      <c r="E514">
        <v>0</v>
      </c>
      <c r="G514">
        <v>-2.3002993173442925</v>
      </c>
      <c r="H514">
        <v>-2.170362890580483</v>
      </c>
      <c r="I514">
        <v>-2.6</v>
      </c>
      <c r="K514">
        <v>-2.6</v>
      </c>
      <c r="M514">
        <f t="shared" si="7"/>
        <v>0.22033762728095338</v>
      </c>
    </row>
    <row r="515" spans="1:13">
      <c r="A515">
        <v>4</v>
      </c>
      <c r="B515">
        <v>114</v>
      </c>
      <c r="C515">
        <v>1</v>
      </c>
      <c r="D515">
        <v>1</v>
      </c>
      <c r="E515">
        <v>0</v>
      </c>
      <c r="G515">
        <v>-2.6329282990799761</v>
      </c>
      <c r="H515">
        <v>-2.5029918723161666</v>
      </c>
      <c r="I515">
        <v>-2.6</v>
      </c>
      <c r="K515">
        <v>-2.6</v>
      </c>
      <c r="M515">
        <f t="shared" ref="M515:M578" si="8">STDEV(G515:I515)</f>
        <v>6.7550382082771018E-2</v>
      </c>
    </row>
    <row r="516" spans="1:13">
      <c r="A516">
        <v>5</v>
      </c>
      <c r="B516">
        <v>66</v>
      </c>
      <c r="C516">
        <v>1</v>
      </c>
      <c r="D516">
        <v>0</v>
      </c>
      <c r="E516">
        <v>2</v>
      </c>
      <c r="G516">
        <v>-2.3955673832853721</v>
      </c>
      <c r="H516">
        <v>-2.6</v>
      </c>
      <c r="I516">
        <v>-1.9738839444266878</v>
      </c>
      <c r="K516">
        <v>-2.6</v>
      </c>
      <c r="M516">
        <f t="shared" si="8"/>
        <v>0.31927807431535909</v>
      </c>
    </row>
    <row r="517" spans="1:13">
      <c r="A517">
        <v>6</v>
      </c>
      <c r="B517">
        <v>36</v>
      </c>
      <c r="C517">
        <v>0</v>
      </c>
      <c r="D517">
        <v>0</v>
      </c>
      <c r="E517">
        <v>0</v>
      </c>
      <c r="G517">
        <v>-2.6</v>
      </c>
      <c r="H517">
        <v>-2.6</v>
      </c>
      <c r="I517">
        <v>-2.6</v>
      </c>
      <c r="K517">
        <v>-2.6</v>
      </c>
      <c r="M517">
        <f t="shared" si="8"/>
        <v>0</v>
      </c>
    </row>
    <row r="518" spans="1:13">
      <c r="A518">
        <v>10</v>
      </c>
      <c r="B518">
        <v>101</v>
      </c>
      <c r="C518">
        <v>0</v>
      </c>
      <c r="D518">
        <v>4</v>
      </c>
      <c r="E518">
        <v>2</v>
      </c>
      <c r="G518">
        <v>-2.6</v>
      </c>
      <c r="H518">
        <v>-1.8483484034343738</v>
      </c>
      <c r="I518">
        <v>-2.1586613826674617</v>
      </c>
      <c r="K518">
        <v>-2.6</v>
      </c>
      <c r="M518">
        <f t="shared" si="8"/>
        <v>0.37772433573731107</v>
      </c>
    </row>
    <row r="519" spans="1:13">
      <c r="A519">
        <v>19</v>
      </c>
      <c r="B519">
        <v>85</v>
      </c>
      <c r="C519">
        <v>0</v>
      </c>
      <c r="D519">
        <v>1</v>
      </c>
      <c r="E519">
        <v>2</v>
      </c>
      <c r="G519">
        <v>-2.6</v>
      </c>
      <c r="H519">
        <v>-2.3755059466939863</v>
      </c>
      <c r="I519">
        <v>-2.0837589345991119</v>
      </c>
      <c r="K519">
        <v>-2.6</v>
      </c>
      <c r="M519">
        <f t="shared" si="8"/>
        <v>0.25884961420430147</v>
      </c>
    </row>
    <row r="520" spans="1:13">
      <c r="A520">
        <v>20</v>
      </c>
      <c r="B520">
        <v>89</v>
      </c>
      <c r="C520">
        <v>0</v>
      </c>
      <c r="D520">
        <v>3</v>
      </c>
      <c r="E520">
        <v>1</v>
      </c>
      <c r="G520">
        <v>-2.6</v>
      </c>
      <c r="H520">
        <v>-1.9183557729049441</v>
      </c>
      <c r="I520">
        <v>-2.4047600111937131</v>
      </c>
      <c r="K520">
        <v>-2.6</v>
      </c>
      <c r="M520">
        <f t="shared" si="8"/>
        <v>0.35103337652004385</v>
      </c>
    </row>
    <row r="521" spans="1:13">
      <c r="A521">
        <v>27</v>
      </c>
      <c r="B521">
        <v>117</v>
      </c>
      <c r="C521">
        <v>0</v>
      </c>
      <c r="D521">
        <v>3</v>
      </c>
      <c r="E521">
        <v>1</v>
      </c>
      <c r="G521">
        <v>-2.6</v>
      </c>
      <c r="H521">
        <v>-2.037151628006193</v>
      </c>
      <c r="I521">
        <v>-2.523555866294962</v>
      </c>
      <c r="K521">
        <v>-2.6</v>
      </c>
      <c r="M521">
        <f t="shared" si="8"/>
        <v>0.30529523373811723</v>
      </c>
    </row>
    <row r="522" spans="1:13">
      <c r="A522">
        <v>30</v>
      </c>
      <c r="B522">
        <v>92</v>
      </c>
      <c r="C522">
        <v>0</v>
      </c>
      <c r="D522">
        <v>2</v>
      </c>
      <c r="E522">
        <v>0</v>
      </c>
      <c r="G522">
        <v>-2.6</v>
      </c>
      <c r="H522">
        <v>-2.1088448526612678</v>
      </c>
      <c r="I522">
        <v>-2.6</v>
      </c>
      <c r="K522">
        <v>-2.6</v>
      </c>
      <c r="M522">
        <f t="shared" si="8"/>
        <v>0.28356855652988744</v>
      </c>
    </row>
    <row r="523" spans="1:13">
      <c r="A523">
        <v>34</v>
      </c>
      <c r="B523">
        <v>104</v>
      </c>
      <c r="C523">
        <v>2</v>
      </c>
      <c r="D523">
        <v>0</v>
      </c>
      <c r="E523">
        <v>2</v>
      </c>
      <c r="G523">
        <v>-2.2920267913783023</v>
      </c>
      <c r="H523">
        <v>-2.6</v>
      </c>
      <c r="I523">
        <v>-2.1713733481835993</v>
      </c>
      <c r="K523">
        <v>-2.6</v>
      </c>
      <c r="M523">
        <f t="shared" si="8"/>
        <v>0.22102999692003319</v>
      </c>
    </row>
    <row r="524" spans="1:13">
      <c r="A524">
        <v>39</v>
      </c>
      <c r="B524">
        <v>161</v>
      </c>
      <c r="C524">
        <v>2</v>
      </c>
      <c r="D524">
        <v>0</v>
      </c>
      <c r="E524">
        <v>0</v>
      </c>
      <c r="G524">
        <v>-2.4818193281113716</v>
      </c>
      <c r="H524">
        <v>-2.6</v>
      </c>
      <c r="I524">
        <v>-2.6</v>
      </c>
      <c r="K524">
        <v>-2.6</v>
      </c>
      <c r="M524">
        <f t="shared" si="8"/>
        <v>6.8231642727910477E-2</v>
      </c>
    </row>
    <row r="525" spans="1:13">
      <c r="A525">
        <v>43</v>
      </c>
      <c r="B525">
        <v>35</v>
      </c>
      <c r="C525">
        <v>0</v>
      </c>
      <c r="D525">
        <v>1</v>
      </c>
      <c r="E525">
        <v>0</v>
      </c>
      <c r="G525">
        <v>-2.6</v>
      </c>
      <c r="H525">
        <v>-1.9901550653299693</v>
      </c>
      <c r="I525">
        <v>-2.6</v>
      </c>
      <c r="K525">
        <v>-2.6</v>
      </c>
      <c r="M525">
        <f t="shared" si="8"/>
        <v>0.35209413719567328</v>
      </c>
    </row>
    <row r="526" spans="1:13">
      <c r="A526">
        <v>49</v>
      </c>
      <c r="B526">
        <v>63</v>
      </c>
      <c r="C526">
        <v>0</v>
      </c>
      <c r="D526">
        <v>0</v>
      </c>
      <c r="E526">
        <v>0</v>
      </c>
      <c r="G526">
        <v>-2.6</v>
      </c>
      <c r="H526">
        <v>-2.6</v>
      </c>
      <c r="I526">
        <v>-2.6</v>
      </c>
      <c r="K526">
        <v>-2.6</v>
      </c>
      <c r="M526">
        <f t="shared" si="8"/>
        <v>0</v>
      </c>
    </row>
    <row r="527" spans="1:13">
      <c r="A527">
        <v>51</v>
      </c>
      <c r="B527">
        <v>224</v>
      </c>
      <c r="C527">
        <v>1</v>
      </c>
      <c r="D527">
        <v>0</v>
      </c>
      <c r="E527">
        <v>2</v>
      </c>
      <c r="G527">
        <v>-2.9262714660776661</v>
      </c>
      <c r="H527">
        <v>-2.6</v>
      </c>
      <c r="I527">
        <v>-2.5045880272189818</v>
      </c>
      <c r="K527">
        <v>-2.6</v>
      </c>
      <c r="M527">
        <f t="shared" si="8"/>
        <v>0.22112343337832871</v>
      </c>
    </row>
    <row r="528" spans="1:13">
      <c r="A528">
        <v>56</v>
      </c>
      <c r="B528">
        <v>182</v>
      </c>
      <c r="C528">
        <v>3</v>
      </c>
      <c r="D528">
        <v>0</v>
      </c>
      <c r="E528">
        <v>3</v>
      </c>
      <c r="G528">
        <v>-2.3589735810089154</v>
      </c>
      <c r="H528">
        <v>-2.6</v>
      </c>
      <c r="I528">
        <v>-2.2383201378142124</v>
      </c>
      <c r="K528">
        <v>-2.6</v>
      </c>
      <c r="M528">
        <f t="shared" si="8"/>
        <v>0.18414817888371571</v>
      </c>
    </row>
    <row r="529" spans="1:13">
      <c r="A529">
        <v>63</v>
      </c>
      <c r="B529">
        <v>142</v>
      </c>
      <c r="C529">
        <v>3</v>
      </c>
      <c r="D529">
        <v>0</v>
      </c>
      <c r="E529">
        <v>1</v>
      </c>
      <c r="G529">
        <v>-2.2511905374068975</v>
      </c>
      <c r="H529">
        <v>-2.6</v>
      </c>
      <c r="I529">
        <v>-2.6076583489318566</v>
      </c>
      <c r="K529">
        <v>-2.6</v>
      </c>
      <c r="M529">
        <f t="shared" si="8"/>
        <v>0.2036320178476545</v>
      </c>
    </row>
    <row r="530" spans="1:13">
      <c r="A530">
        <v>67</v>
      </c>
      <c r="B530">
        <v>76</v>
      </c>
      <c r="C530">
        <v>0</v>
      </c>
      <c r="D530">
        <v>1</v>
      </c>
      <c r="E530">
        <v>2</v>
      </c>
      <c r="G530">
        <v>-2.6</v>
      </c>
      <c r="H530">
        <v>-2.3269006132604853</v>
      </c>
      <c r="I530">
        <v>-2.0351536011656104</v>
      </c>
      <c r="K530">
        <v>-2.6</v>
      </c>
      <c r="M530">
        <f t="shared" si="8"/>
        <v>0.28247449689602205</v>
      </c>
    </row>
    <row r="531" spans="1:13">
      <c r="A531">
        <v>68</v>
      </c>
      <c r="B531">
        <v>54</v>
      </c>
      <c r="C531">
        <v>0</v>
      </c>
      <c r="D531">
        <v>2</v>
      </c>
      <c r="E531">
        <v>1</v>
      </c>
      <c r="G531">
        <v>-2.6</v>
      </c>
      <c r="H531">
        <v>-1.877450785138681</v>
      </c>
      <c r="I531">
        <v>-2.1877637643717689</v>
      </c>
      <c r="K531">
        <v>-2.6</v>
      </c>
      <c r="M531">
        <f t="shared" si="8"/>
        <v>0.36247074064494156</v>
      </c>
    </row>
    <row r="532" spans="1:13">
      <c r="A532">
        <v>71</v>
      </c>
      <c r="B532">
        <v>291</v>
      </c>
      <c r="C532">
        <v>0</v>
      </c>
      <c r="D532">
        <v>3</v>
      </c>
      <c r="E532">
        <v>1</v>
      </c>
      <c r="G532">
        <v>-2.6</v>
      </c>
      <c r="H532">
        <v>-2.4328587552459382</v>
      </c>
      <c r="I532">
        <v>-2.9192629935347076</v>
      </c>
      <c r="K532">
        <v>-2.6</v>
      </c>
      <c r="M532">
        <f t="shared" si="8"/>
        <v>0.24713496237344953</v>
      </c>
    </row>
    <row r="533" spans="1:13">
      <c r="A533">
        <v>83</v>
      </c>
      <c r="B533">
        <v>82</v>
      </c>
      <c r="C533">
        <v>1</v>
      </c>
      <c r="D533">
        <v>0</v>
      </c>
      <c r="E533">
        <v>1</v>
      </c>
      <c r="G533">
        <v>-2.48983730012722</v>
      </c>
      <c r="H533">
        <v>-2.6</v>
      </c>
      <c r="I533">
        <v>-2.369183856932517</v>
      </c>
      <c r="K533">
        <v>-2.6</v>
      </c>
      <c r="M533">
        <f t="shared" si="8"/>
        <v>0.11544779895299469</v>
      </c>
    </row>
    <row r="534" spans="1:13">
      <c r="A534">
        <v>93</v>
      </c>
      <c r="B534">
        <v>77</v>
      </c>
      <c r="C534">
        <v>2</v>
      </c>
      <c r="D534">
        <v>0</v>
      </c>
      <c r="E534">
        <v>1</v>
      </c>
      <c r="G534">
        <v>-2.1614841772520039</v>
      </c>
      <c r="H534">
        <v>-2.6</v>
      </c>
      <c r="I534">
        <v>-2.3418607297212821</v>
      </c>
      <c r="K534">
        <v>-2.6</v>
      </c>
      <c r="M534">
        <f t="shared" si="8"/>
        <v>0.22040406467103524</v>
      </c>
    </row>
    <row r="535" spans="1:13">
      <c r="A535">
        <v>96</v>
      </c>
      <c r="B535">
        <v>128</v>
      </c>
      <c r="C535">
        <v>2</v>
      </c>
      <c r="D535">
        <v>0</v>
      </c>
      <c r="E535">
        <v>0</v>
      </c>
      <c r="G535">
        <v>-2.3822034217273904</v>
      </c>
      <c r="H535">
        <v>-2.6</v>
      </c>
      <c r="I535">
        <v>-2.6</v>
      </c>
      <c r="K535">
        <v>-2.6</v>
      </c>
      <c r="M535">
        <f t="shared" si="8"/>
        <v>0.12574491309427061</v>
      </c>
    </row>
    <row r="536" spans="1:13">
      <c r="A536">
        <v>100</v>
      </c>
      <c r="B536">
        <v>86</v>
      </c>
      <c r="C536">
        <v>0</v>
      </c>
      <c r="D536">
        <v>1</v>
      </c>
      <c r="E536">
        <v>1</v>
      </c>
      <c r="G536">
        <v>-2.6</v>
      </c>
      <c r="H536">
        <v>-2.3805854722232613</v>
      </c>
      <c r="I536">
        <v>-2.3898684557923682</v>
      </c>
      <c r="K536">
        <v>-2.6</v>
      </c>
      <c r="M536">
        <f t="shared" si="8"/>
        <v>0.12408610898251096</v>
      </c>
    </row>
    <row r="537" spans="1:13">
      <c r="A537">
        <v>104</v>
      </c>
      <c r="B537">
        <v>24</v>
      </c>
      <c r="C537">
        <v>0</v>
      </c>
      <c r="D537">
        <v>0</v>
      </c>
      <c r="E537">
        <v>0</v>
      </c>
      <c r="G537">
        <v>-2.6</v>
      </c>
      <c r="H537">
        <v>-2.6</v>
      </c>
      <c r="I537">
        <v>-2.6</v>
      </c>
      <c r="K537">
        <v>-2.6</v>
      </c>
      <c r="M537">
        <f t="shared" si="8"/>
        <v>0</v>
      </c>
    </row>
    <row r="538" spans="1:13">
      <c r="A538">
        <v>112</v>
      </c>
      <c r="B538">
        <v>179</v>
      </c>
      <c r="C538">
        <v>2</v>
      </c>
      <c r="D538">
        <v>1</v>
      </c>
      <c r="E538">
        <v>0</v>
      </c>
      <c r="G538">
        <v>-2.5278464830594154</v>
      </c>
      <c r="H538">
        <v>-2.6989400519595872</v>
      </c>
      <c r="I538">
        <v>-2.6</v>
      </c>
      <c r="K538">
        <v>-2.6</v>
      </c>
      <c r="M538">
        <f t="shared" si="8"/>
        <v>8.5895550144403934E-2</v>
      </c>
    </row>
    <row r="539" spans="1:13">
      <c r="A539">
        <v>113</v>
      </c>
      <c r="B539">
        <v>240</v>
      </c>
      <c r="C539">
        <v>1</v>
      </c>
      <c r="D539">
        <v>2</v>
      </c>
      <c r="E539">
        <v>0</v>
      </c>
      <c r="G539">
        <v>-2.9562346894551093</v>
      </c>
      <c r="H539">
        <v>-2.5252682670273181</v>
      </c>
      <c r="I539">
        <v>-2.6</v>
      </c>
      <c r="K539">
        <v>-2.6</v>
      </c>
      <c r="M539">
        <f t="shared" si="8"/>
        <v>0.23029692541893521</v>
      </c>
    </row>
    <row r="540" spans="1:13">
      <c r="A540">
        <v>114</v>
      </c>
      <c r="B540">
        <v>77</v>
      </c>
      <c r="C540">
        <v>2</v>
      </c>
      <c r="D540">
        <v>1</v>
      </c>
      <c r="E540">
        <v>0</v>
      </c>
      <c r="G540">
        <v>-2.1614841772520039</v>
      </c>
      <c r="H540">
        <v>-2.3325777461521753</v>
      </c>
      <c r="I540">
        <v>-2.6</v>
      </c>
      <c r="K540">
        <v>-2.6</v>
      </c>
      <c r="M540">
        <f t="shared" si="8"/>
        <v>0.22101425216955284</v>
      </c>
    </row>
    <row r="541" spans="1:13">
      <c r="A541">
        <v>118</v>
      </c>
      <c r="B541">
        <v>180</v>
      </c>
      <c r="C541">
        <v>2</v>
      </c>
      <c r="D541">
        <v>0</v>
      </c>
      <c r="E541">
        <v>2</v>
      </c>
      <c r="G541">
        <v>-2.5302659571828281</v>
      </c>
      <c r="H541">
        <v>-2.6</v>
      </c>
      <c r="I541">
        <v>-2.409612513988125</v>
      </c>
      <c r="K541">
        <v>-2.6</v>
      </c>
      <c r="M541">
        <f t="shared" si="8"/>
        <v>9.6321929756664218E-2</v>
      </c>
    </row>
    <row r="542" spans="1:13">
      <c r="A542">
        <v>119</v>
      </c>
      <c r="B542">
        <v>99</v>
      </c>
      <c r="C542">
        <v>0</v>
      </c>
      <c r="D542">
        <v>2</v>
      </c>
      <c r="E542">
        <v>0</v>
      </c>
      <c r="G542">
        <v>-2.6</v>
      </c>
      <c r="H542">
        <v>-2.1406922199132623</v>
      </c>
      <c r="I542">
        <v>-2.6</v>
      </c>
      <c r="K542">
        <v>-2.6</v>
      </c>
      <c r="M542">
        <f t="shared" si="8"/>
        <v>0.26518147047396751</v>
      </c>
    </row>
    <row r="543" spans="1:13">
      <c r="A543">
        <v>122</v>
      </c>
      <c r="B543">
        <v>95</v>
      </c>
      <c r="C543">
        <v>0</v>
      </c>
      <c r="D543">
        <v>1</v>
      </c>
      <c r="E543">
        <v>0</v>
      </c>
      <c r="G543">
        <v>-2.6</v>
      </c>
      <c r="H543">
        <v>-2.4238106262685415</v>
      </c>
      <c r="I543">
        <v>-2.6</v>
      </c>
      <c r="K543">
        <v>-2.6</v>
      </c>
      <c r="M543">
        <f t="shared" si="8"/>
        <v>0.1017229823522092</v>
      </c>
    </row>
    <row r="544" spans="1:13">
      <c r="A544">
        <v>132</v>
      </c>
      <c r="B544">
        <v>103</v>
      </c>
      <c r="C544">
        <v>1</v>
      </c>
      <c r="D544">
        <v>0</v>
      </c>
      <c r="E544">
        <v>0</v>
      </c>
      <c r="G544">
        <v>-2.5888606724486758</v>
      </c>
      <c r="H544">
        <v>-2.6</v>
      </c>
      <c r="I544">
        <v>-2.6</v>
      </c>
      <c r="K544">
        <v>-2.6</v>
      </c>
      <c r="M544">
        <f t="shared" si="8"/>
        <v>6.4312937603484962E-3</v>
      </c>
    </row>
    <row r="545" spans="1:13">
      <c r="A545">
        <v>135</v>
      </c>
      <c r="B545">
        <v>197</v>
      </c>
      <c r="C545">
        <v>1</v>
      </c>
      <c r="D545">
        <v>1</v>
      </c>
      <c r="E545">
        <v>0</v>
      </c>
      <c r="G545">
        <v>-2.8704896739050962</v>
      </c>
      <c r="H545">
        <v>-2.7405532471412863</v>
      </c>
      <c r="I545">
        <v>-2.6</v>
      </c>
      <c r="K545">
        <v>-2.6</v>
      </c>
      <c r="M545">
        <f t="shared" si="8"/>
        <v>0.13527955867473823</v>
      </c>
    </row>
    <row r="546" spans="1:13">
      <c r="A546">
        <v>137</v>
      </c>
      <c r="B546">
        <v>309</v>
      </c>
      <c r="C546">
        <v>0</v>
      </c>
      <c r="D546">
        <v>7</v>
      </c>
      <c r="E546">
        <v>12</v>
      </c>
      <c r="G546">
        <v>-2.6</v>
      </c>
      <c r="H546">
        <v>-2.0909474603902716</v>
      </c>
      <c r="I546">
        <v>-1.8661472379260102</v>
      </c>
      <c r="K546">
        <v>-2.6</v>
      </c>
      <c r="M546">
        <f t="shared" si="8"/>
        <v>0.37598969500655355</v>
      </c>
    </row>
    <row r="547" spans="1:13">
      <c r="A547">
        <v>140</v>
      </c>
      <c r="B547">
        <v>174</v>
      </c>
      <c r="C547">
        <v>4</v>
      </c>
      <c r="D547">
        <v>0</v>
      </c>
      <c r="E547">
        <v>2</v>
      </c>
      <c r="G547">
        <v>-2.2145127046981408</v>
      </c>
      <c r="H547">
        <v>-2.6</v>
      </c>
      <c r="I547">
        <v>-2.394889257167419</v>
      </c>
      <c r="K547">
        <v>-2.6</v>
      </c>
      <c r="M547">
        <f t="shared" si="8"/>
        <v>0.19287585486748482</v>
      </c>
    </row>
    <row r="548" spans="1:13">
      <c r="A548">
        <v>141</v>
      </c>
      <c r="B548">
        <v>145</v>
      </c>
      <c r="C548">
        <v>1</v>
      </c>
      <c r="D548">
        <v>0</v>
      </c>
      <c r="E548">
        <v>0</v>
      </c>
      <c r="G548">
        <v>-2.7373914499784782</v>
      </c>
      <c r="H548">
        <v>-2.6</v>
      </c>
      <c r="I548">
        <v>-2.6</v>
      </c>
      <c r="K548">
        <v>-2.6</v>
      </c>
      <c r="M548">
        <f t="shared" si="8"/>
        <v>7.9322990629427312E-2</v>
      </c>
    </row>
    <row r="549" spans="1:13">
      <c r="A549">
        <v>142</v>
      </c>
      <c r="B549">
        <v>304</v>
      </c>
      <c r="C549">
        <v>5</v>
      </c>
      <c r="D549">
        <v>0</v>
      </c>
      <c r="E549">
        <v>3</v>
      </c>
      <c r="G549">
        <v>-2.359927027016238</v>
      </c>
      <c r="H549">
        <v>-2.6</v>
      </c>
      <c r="I549">
        <v>-2.4611223334378916</v>
      </c>
      <c r="K549">
        <v>-2.6</v>
      </c>
      <c r="M549">
        <f t="shared" si="8"/>
        <v>0.12052837056669183</v>
      </c>
    </row>
    <row r="550" spans="1:13">
      <c r="A550">
        <v>145</v>
      </c>
      <c r="B550">
        <v>148</v>
      </c>
      <c r="C550">
        <v>3</v>
      </c>
      <c r="D550">
        <v>0</v>
      </c>
      <c r="E550">
        <v>2</v>
      </c>
      <c r="G550">
        <v>-2.2691639084187982</v>
      </c>
      <c r="H550">
        <v>-2.6</v>
      </c>
      <c r="I550">
        <v>-2.3246017242797765</v>
      </c>
      <c r="K550">
        <v>-2.6</v>
      </c>
      <c r="M550">
        <f t="shared" si="8"/>
        <v>0.17718638077357668</v>
      </c>
    </row>
    <row r="551" spans="1:13">
      <c r="A551">
        <v>146</v>
      </c>
      <c r="B551">
        <v>75</v>
      </c>
      <c r="C551">
        <v>0</v>
      </c>
      <c r="D551">
        <v>0</v>
      </c>
      <c r="E551">
        <v>0</v>
      </c>
      <c r="G551">
        <v>-2.6</v>
      </c>
      <c r="H551">
        <v>-2.6</v>
      </c>
      <c r="I551">
        <v>-2.6</v>
      </c>
      <c r="K551">
        <v>-2.6</v>
      </c>
      <c r="M551">
        <f t="shared" si="8"/>
        <v>0</v>
      </c>
    </row>
    <row r="552" spans="1:13">
      <c r="A552">
        <v>147</v>
      </c>
      <c r="B552">
        <v>164</v>
      </c>
      <c r="C552">
        <v>0</v>
      </c>
      <c r="D552">
        <v>2</v>
      </c>
      <c r="E552">
        <v>2</v>
      </c>
      <c r="G552">
        <v>-2.6</v>
      </c>
      <c r="H552">
        <v>-2.3599008733634106</v>
      </c>
      <c r="I552">
        <v>-2.369183856932517</v>
      </c>
      <c r="K552">
        <v>-2.6</v>
      </c>
      <c r="M552">
        <f t="shared" si="8"/>
        <v>0.13602074369751241</v>
      </c>
    </row>
    <row r="553" spans="1:13">
      <c r="A553">
        <v>158</v>
      </c>
      <c r="B553">
        <v>51</v>
      </c>
      <c r="C553">
        <v>0</v>
      </c>
      <c r="D553">
        <v>1</v>
      </c>
      <c r="E553">
        <v>0</v>
      </c>
      <c r="G553">
        <v>-2.6</v>
      </c>
      <c r="H553">
        <v>-2.1536571970776297</v>
      </c>
      <c r="I553">
        <v>-2.6</v>
      </c>
      <c r="K553">
        <v>-2.6</v>
      </c>
      <c r="M553">
        <f t="shared" si="8"/>
        <v>0.25769613741808262</v>
      </c>
    </row>
    <row r="554" spans="1:13">
      <c r="A554">
        <v>160</v>
      </c>
      <c r="B554">
        <v>94</v>
      </c>
      <c r="C554">
        <v>0</v>
      </c>
      <c r="D554">
        <v>1</v>
      </c>
      <c r="E554">
        <v>0</v>
      </c>
      <c r="G554">
        <v>-2.6</v>
      </c>
      <c r="H554">
        <v>-2.4192148745793922</v>
      </c>
      <c r="I554">
        <v>-2.6</v>
      </c>
      <c r="K554">
        <v>-2.6</v>
      </c>
      <c r="M554">
        <f t="shared" si="8"/>
        <v>0.1043763408270682</v>
      </c>
    </row>
    <row r="555" spans="1:13">
      <c r="A555">
        <v>161</v>
      </c>
      <c r="B555">
        <v>162</v>
      </c>
      <c r="C555">
        <v>2</v>
      </c>
      <c r="D555">
        <v>0</v>
      </c>
      <c r="E555">
        <v>2</v>
      </c>
      <c r="G555">
        <v>-2.4845084666221533</v>
      </c>
      <c r="H555">
        <v>-2.6</v>
      </c>
      <c r="I555">
        <v>-2.3638550234274502</v>
      </c>
      <c r="K555">
        <v>-2.6</v>
      </c>
      <c r="M555">
        <f t="shared" si="8"/>
        <v>0.11808189079134436</v>
      </c>
    </row>
    <row r="556" spans="1:13">
      <c r="A556">
        <v>162</v>
      </c>
      <c r="B556">
        <v>95</v>
      </c>
      <c r="C556">
        <v>1</v>
      </c>
      <c r="D556">
        <v>0</v>
      </c>
      <c r="E556">
        <v>0</v>
      </c>
      <c r="G556">
        <v>-2.5537470530323514</v>
      </c>
      <c r="H556">
        <v>-2.6</v>
      </c>
      <c r="I556">
        <v>-2.6</v>
      </c>
      <c r="K556">
        <v>-2.6</v>
      </c>
      <c r="M556">
        <f t="shared" si="8"/>
        <v>2.6704151382585462E-2</v>
      </c>
    </row>
    <row r="557" spans="1:13">
      <c r="A557">
        <v>163</v>
      </c>
      <c r="B557">
        <v>168</v>
      </c>
      <c r="C557">
        <v>0</v>
      </c>
      <c r="D557">
        <v>5</v>
      </c>
      <c r="E557">
        <v>1</v>
      </c>
      <c r="G557">
        <v>-2.6</v>
      </c>
      <c r="H557">
        <v>-1.9724262983695378</v>
      </c>
      <c r="I557">
        <v>-2.6806792862746631</v>
      </c>
      <c r="K557">
        <v>-2.6</v>
      </c>
      <c r="M557">
        <f t="shared" si="8"/>
        <v>0.38772417023112371</v>
      </c>
    </row>
    <row r="558" spans="1:13">
      <c r="A558">
        <v>167</v>
      </c>
      <c r="B558">
        <v>260</v>
      </c>
      <c r="C558">
        <v>1</v>
      </c>
      <c r="D558">
        <v>2</v>
      </c>
      <c r="E558">
        <v>0</v>
      </c>
      <c r="G558">
        <v>-2.9909967957143211</v>
      </c>
      <c r="H558">
        <v>-2.5600303732865308</v>
      </c>
      <c r="I558">
        <v>-2.6</v>
      </c>
      <c r="K558">
        <v>-2.6</v>
      </c>
      <c r="M558">
        <f t="shared" si="8"/>
        <v>0.23812046061419176</v>
      </c>
    </row>
    <row r="559" spans="1:13">
      <c r="A559">
        <v>168</v>
      </c>
      <c r="B559">
        <v>108</v>
      </c>
      <c r="C559">
        <v>1</v>
      </c>
      <c r="D559">
        <v>0</v>
      </c>
      <c r="E559">
        <v>0</v>
      </c>
      <c r="G559">
        <v>-2.6094472032304532</v>
      </c>
      <c r="H559">
        <v>-2.6</v>
      </c>
      <c r="I559">
        <v>-2.6</v>
      </c>
      <c r="K559">
        <v>-2.6</v>
      </c>
      <c r="M559">
        <f t="shared" si="8"/>
        <v>5.4543453281912088E-3</v>
      </c>
    </row>
    <row r="560" spans="1:13">
      <c r="A560">
        <v>170</v>
      </c>
      <c r="B560">
        <v>135</v>
      </c>
      <c r="C560">
        <v>2</v>
      </c>
      <c r="D560">
        <v>0</v>
      </c>
      <c r="E560">
        <v>0</v>
      </c>
      <c r="G560">
        <v>-2.4053272205745282</v>
      </c>
      <c r="H560">
        <v>-2.6</v>
      </c>
      <c r="I560">
        <v>-2.6</v>
      </c>
      <c r="K560">
        <v>-2.6</v>
      </c>
      <c r="M560">
        <f t="shared" si="8"/>
        <v>0.11239438160518885</v>
      </c>
    </row>
    <row r="561" spans="1:13">
      <c r="A561">
        <v>171</v>
      </c>
      <c r="B561">
        <v>84</v>
      </c>
      <c r="C561">
        <v>0</v>
      </c>
      <c r="D561">
        <v>4</v>
      </c>
      <c r="E561">
        <v>3</v>
      </c>
      <c r="G561">
        <v>-2.6</v>
      </c>
      <c r="H561">
        <v>-1.768306315713613</v>
      </c>
      <c r="I561">
        <v>-1.9025280358910195</v>
      </c>
      <c r="K561">
        <v>-2.6</v>
      </c>
      <c r="M561">
        <f t="shared" si="8"/>
        <v>0.44650438507874507</v>
      </c>
    </row>
    <row r="562" spans="1:13">
      <c r="A562">
        <v>178</v>
      </c>
      <c r="B562">
        <v>160</v>
      </c>
      <c r="C562">
        <v>0</v>
      </c>
      <c r="D562">
        <v>1</v>
      </c>
      <c r="E562">
        <v>2</v>
      </c>
      <c r="G562">
        <v>-2.6</v>
      </c>
      <c r="H562">
        <v>-2.650207003635618</v>
      </c>
      <c r="I562">
        <v>-2.3584599915407436</v>
      </c>
      <c r="K562">
        <v>-2.6</v>
      </c>
      <c r="M562">
        <f t="shared" si="8"/>
        <v>0.15598004037207852</v>
      </c>
    </row>
    <row r="563" spans="1:13">
      <c r="A563">
        <v>184</v>
      </c>
      <c r="B563">
        <v>246</v>
      </c>
      <c r="C563">
        <v>1</v>
      </c>
      <c r="D563">
        <v>0</v>
      </c>
      <c r="E563">
        <v>5</v>
      </c>
      <c r="G563">
        <v>-2.9669585548468822</v>
      </c>
      <c r="H563">
        <v>-2.6</v>
      </c>
      <c r="I563">
        <v>-2.1473351073161604</v>
      </c>
      <c r="K563">
        <v>-2.6</v>
      </c>
      <c r="M563">
        <f t="shared" si="8"/>
        <v>0.41055788909440299</v>
      </c>
    </row>
    <row r="564" spans="1:13">
      <c r="A564">
        <v>189</v>
      </c>
      <c r="B564">
        <v>98</v>
      </c>
      <c r="C564">
        <v>4</v>
      </c>
      <c r="D564">
        <v>0</v>
      </c>
      <c r="E564">
        <v>6</v>
      </c>
      <c r="G564">
        <v>-1.9651895321080359</v>
      </c>
      <c r="H564">
        <v>-2.6</v>
      </c>
      <c r="I564">
        <v>-1.6684448298576515</v>
      </c>
      <c r="K564">
        <v>-2.6</v>
      </c>
      <c r="M564">
        <f t="shared" si="8"/>
        <v>0.47589158139885496</v>
      </c>
    </row>
    <row r="565" spans="1:13">
      <c r="A565">
        <v>203</v>
      </c>
      <c r="B565">
        <v>186</v>
      </c>
      <c r="C565">
        <v>1</v>
      </c>
      <c r="D565">
        <v>4</v>
      </c>
      <c r="E565">
        <v>0</v>
      </c>
      <c r="G565">
        <v>-2.8455363919614198</v>
      </c>
      <c r="H565">
        <v>-2.1135399738696474</v>
      </c>
      <c r="I565">
        <v>-2.6</v>
      </c>
      <c r="K565">
        <v>-2.6</v>
      </c>
      <c r="M565">
        <f t="shared" si="8"/>
        <v>0.37254758821287093</v>
      </c>
    </row>
    <row r="566" spans="1:13">
      <c r="A566">
        <v>209</v>
      </c>
      <c r="B566">
        <v>48</v>
      </c>
      <c r="C566">
        <v>0</v>
      </c>
      <c r="D566">
        <v>0</v>
      </c>
      <c r="E566">
        <v>0</v>
      </c>
      <c r="G566">
        <v>-2.6</v>
      </c>
      <c r="H566">
        <v>-2.6</v>
      </c>
      <c r="I566">
        <v>-2.6</v>
      </c>
      <c r="K566">
        <v>-2.6</v>
      </c>
      <c r="M566">
        <f t="shared" si="8"/>
        <v>0</v>
      </c>
    </row>
    <row r="567" spans="1:13">
      <c r="A567">
        <v>210</v>
      </c>
      <c r="B567">
        <v>48</v>
      </c>
      <c r="C567">
        <v>0</v>
      </c>
      <c r="D567">
        <v>1</v>
      </c>
      <c r="E567">
        <v>1</v>
      </c>
      <c r="G567">
        <v>-2.6</v>
      </c>
      <c r="H567">
        <v>-2.1273282583552806</v>
      </c>
      <c r="I567">
        <v>-2.1366112419243874</v>
      </c>
      <c r="K567">
        <v>-2.6</v>
      </c>
      <c r="M567">
        <f t="shared" si="8"/>
        <v>0.27025725098020198</v>
      </c>
    </row>
    <row r="568" spans="1:13">
      <c r="A568">
        <v>218</v>
      </c>
      <c r="B568">
        <v>65</v>
      </c>
      <c r="C568">
        <v>0</v>
      </c>
      <c r="D568">
        <v>0</v>
      </c>
      <c r="E568">
        <v>2</v>
      </c>
      <c r="G568">
        <v>-2.6</v>
      </c>
      <c r="H568">
        <v>-2.6</v>
      </c>
      <c r="I568">
        <v>-1.9672533655276747</v>
      </c>
      <c r="K568">
        <v>-2.6</v>
      </c>
      <c r="M568">
        <f t="shared" si="8"/>
        <v>0.36531643974142791</v>
      </c>
    </row>
    <row r="569" spans="1:13">
      <c r="A569">
        <v>219</v>
      </c>
      <c r="B569">
        <v>95</v>
      </c>
      <c r="C569">
        <v>0</v>
      </c>
      <c r="D569">
        <v>1</v>
      </c>
      <c r="E569">
        <v>2</v>
      </c>
      <c r="G569">
        <v>-2.6</v>
      </c>
      <c r="H569">
        <v>-2.4238106262685415</v>
      </c>
      <c r="I569">
        <v>-2.1320636141736671</v>
      </c>
      <c r="K569">
        <v>-2.6</v>
      </c>
      <c r="M569">
        <f t="shared" si="8"/>
        <v>0.23633432380929534</v>
      </c>
    </row>
    <row r="570" spans="1:13">
      <c r="A570">
        <v>221</v>
      </c>
      <c r="B570">
        <v>30</v>
      </c>
      <c r="C570">
        <v>0</v>
      </c>
      <c r="D570">
        <v>0</v>
      </c>
      <c r="E570">
        <v>1</v>
      </c>
      <c r="G570">
        <v>-2.6</v>
      </c>
      <c r="H570">
        <v>-2.6</v>
      </c>
      <c r="I570">
        <v>-1.9324912592684627</v>
      </c>
      <c r="K570">
        <v>-2.6</v>
      </c>
      <c r="M570">
        <f t="shared" si="8"/>
        <v>0.38538635114778058</v>
      </c>
    </row>
    <row r="571" spans="1:13">
      <c r="A571">
        <v>222</v>
      </c>
      <c r="B571">
        <v>151</v>
      </c>
      <c r="C571">
        <v>2</v>
      </c>
      <c r="D571">
        <v>0</v>
      </c>
      <c r="E571">
        <v>0</v>
      </c>
      <c r="G571">
        <v>-2.4539703993726913</v>
      </c>
      <c r="H571">
        <v>-2.6</v>
      </c>
      <c r="I571">
        <v>-2.6</v>
      </c>
      <c r="K571">
        <v>-2.6</v>
      </c>
      <c r="M571">
        <f t="shared" si="8"/>
        <v>8.431022923183025E-2</v>
      </c>
    </row>
    <row r="572" spans="1:13">
      <c r="A572">
        <v>229</v>
      </c>
      <c r="B572">
        <v>29</v>
      </c>
      <c r="C572">
        <v>1</v>
      </c>
      <c r="D572">
        <v>1</v>
      </c>
      <c r="E572">
        <v>0</v>
      </c>
      <c r="G572">
        <v>-2.0384214456424594</v>
      </c>
      <c r="H572">
        <v>-1.9084850188786497</v>
      </c>
      <c r="I572">
        <v>-2.6</v>
      </c>
      <c r="K572">
        <v>-2.6</v>
      </c>
      <c r="M572">
        <f t="shared" si="8"/>
        <v>0.36752481023501737</v>
      </c>
    </row>
    <row r="573" spans="1:13">
      <c r="A573">
        <v>232</v>
      </c>
      <c r="B573">
        <v>198</v>
      </c>
      <c r="C573">
        <v>2</v>
      </c>
      <c r="D573">
        <v>0</v>
      </c>
      <c r="E573">
        <v>4</v>
      </c>
      <c r="G573">
        <v>-2.5716586423410535</v>
      </c>
      <c r="H573">
        <v>-2.6</v>
      </c>
      <c r="I573">
        <v>-2.1499752034823691</v>
      </c>
      <c r="K573">
        <v>-2.6</v>
      </c>
      <c r="M573">
        <f t="shared" si="8"/>
        <v>0.25203917441619178</v>
      </c>
    </row>
    <row r="574" spans="1:13">
      <c r="A574">
        <v>233</v>
      </c>
      <c r="B574">
        <v>135</v>
      </c>
      <c r="C574">
        <v>2</v>
      </c>
      <c r="D574">
        <v>0</v>
      </c>
      <c r="E574">
        <v>0</v>
      </c>
      <c r="G574">
        <v>-2.4053272205745282</v>
      </c>
      <c r="H574">
        <v>-2.6</v>
      </c>
      <c r="I574">
        <v>-2.6</v>
      </c>
      <c r="K574">
        <v>-2.6</v>
      </c>
      <c r="M574">
        <f t="shared" si="8"/>
        <v>0.11239438160518885</v>
      </c>
    </row>
    <row r="575" spans="1:13">
      <c r="A575">
        <v>235</v>
      </c>
      <c r="B575">
        <v>50</v>
      </c>
      <c r="C575">
        <v>0</v>
      </c>
      <c r="D575">
        <v>0</v>
      </c>
      <c r="E575">
        <v>0</v>
      </c>
      <c r="G575">
        <v>-2.6</v>
      </c>
      <c r="H575">
        <v>-2.6</v>
      </c>
      <c r="I575">
        <v>-2.6</v>
      </c>
      <c r="K575">
        <v>-2.6</v>
      </c>
      <c r="M575">
        <f t="shared" si="8"/>
        <v>0</v>
      </c>
    </row>
    <row r="576" spans="1:13">
      <c r="A576">
        <v>238</v>
      </c>
      <c r="B576">
        <v>49</v>
      </c>
      <c r="C576">
        <v>1</v>
      </c>
      <c r="D576">
        <v>0</v>
      </c>
      <c r="E576">
        <v>1</v>
      </c>
      <c r="G576">
        <v>-2.2662195277720167</v>
      </c>
      <c r="H576">
        <v>-2.6</v>
      </c>
      <c r="I576">
        <v>-2.1455660845773137</v>
      </c>
      <c r="K576">
        <v>-2.6</v>
      </c>
      <c r="M576">
        <f t="shared" si="8"/>
        <v>0.23539924967377809</v>
      </c>
    </row>
    <row r="577" spans="1:13">
      <c r="A577">
        <v>241</v>
      </c>
      <c r="B577">
        <v>93</v>
      </c>
      <c r="C577">
        <v>0</v>
      </c>
      <c r="D577">
        <v>1</v>
      </c>
      <c r="E577">
        <v>1</v>
      </c>
      <c r="G577">
        <v>-2.6</v>
      </c>
      <c r="H577">
        <v>-2.4145699695336287</v>
      </c>
      <c r="I577">
        <v>-2.4238529531027355</v>
      </c>
      <c r="K577">
        <v>-2.6</v>
      </c>
      <c r="M577">
        <f t="shared" si="8"/>
        <v>0.10448145937065489</v>
      </c>
    </row>
    <row r="578" spans="1:13">
      <c r="A578">
        <v>242</v>
      </c>
      <c r="B578">
        <v>93</v>
      </c>
      <c r="C578">
        <v>1</v>
      </c>
      <c r="D578">
        <v>0</v>
      </c>
      <c r="E578">
        <v>2</v>
      </c>
      <c r="G578">
        <v>-2.5445063962974386</v>
      </c>
      <c r="H578">
        <v>-2.6</v>
      </c>
      <c r="I578">
        <v>-2.1228229574387543</v>
      </c>
      <c r="K578">
        <v>-2.6</v>
      </c>
      <c r="M578">
        <f t="shared" si="8"/>
        <v>0.2609579763764911</v>
      </c>
    </row>
    <row r="579" spans="1:13">
      <c r="A579">
        <v>244</v>
      </c>
      <c r="B579">
        <v>52</v>
      </c>
      <c r="C579">
        <v>1</v>
      </c>
      <c r="D579">
        <v>0</v>
      </c>
      <c r="E579">
        <v>1</v>
      </c>
      <c r="G579">
        <v>-2.2920267913783023</v>
      </c>
      <c r="H579">
        <v>-2.6</v>
      </c>
      <c r="I579">
        <v>-2.1713733481835993</v>
      </c>
      <c r="K579">
        <v>-2.6</v>
      </c>
      <c r="M579">
        <f t="shared" ref="M579:M642" si="9">STDEV(G579:I579)</f>
        <v>0.22102999692003319</v>
      </c>
    </row>
    <row r="580" spans="1:13">
      <c r="A580">
        <v>247</v>
      </c>
      <c r="B580">
        <v>165</v>
      </c>
      <c r="C580">
        <v>2</v>
      </c>
      <c r="D580">
        <v>0</v>
      </c>
      <c r="E580">
        <v>10</v>
      </c>
      <c r="G580">
        <v>-2.4924773962934283</v>
      </c>
      <c r="H580">
        <v>-2.6</v>
      </c>
      <c r="I580">
        <v>-1.6728539487627065</v>
      </c>
      <c r="K580">
        <v>-2.6</v>
      </c>
      <c r="M580">
        <f t="shared" si="9"/>
        <v>0.50710674523465105</v>
      </c>
    </row>
    <row r="581" spans="1:13">
      <c r="A581">
        <v>250</v>
      </c>
      <c r="B581">
        <v>63</v>
      </c>
      <c r="C581">
        <v>1</v>
      </c>
      <c r="D581">
        <v>2</v>
      </c>
      <c r="E581">
        <v>0</v>
      </c>
      <c r="G581">
        <v>-2.375363997197085</v>
      </c>
      <c r="H581">
        <v>-1.9443975747692941</v>
      </c>
      <c r="I581">
        <v>-2.6</v>
      </c>
      <c r="K581">
        <v>-2.6</v>
      </c>
      <c r="M581">
        <f t="shared" si="9"/>
        <v>0.33316860871132942</v>
      </c>
    </row>
    <row r="582" spans="1:13">
      <c r="A582">
        <v>252</v>
      </c>
      <c r="B582">
        <v>167</v>
      </c>
      <c r="C582">
        <v>1</v>
      </c>
      <c r="D582">
        <v>0</v>
      </c>
      <c r="E582">
        <v>2</v>
      </c>
      <c r="G582">
        <v>-2.7987399188910866</v>
      </c>
      <c r="H582">
        <v>-2.6</v>
      </c>
      <c r="I582">
        <v>-2.3770564800324023</v>
      </c>
      <c r="K582">
        <v>-2.6</v>
      </c>
      <c r="M582">
        <f t="shared" si="9"/>
        <v>0.21095745663682369</v>
      </c>
    </row>
    <row r="583" spans="1:13">
      <c r="A583">
        <v>256</v>
      </c>
      <c r="B583">
        <v>75</v>
      </c>
      <c r="C583">
        <v>1</v>
      </c>
      <c r="D583">
        <v>2</v>
      </c>
      <c r="E583">
        <v>0</v>
      </c>
      <c r="G583">
        <v>-2.4510847111352034</v>
      </c>
      <c r="H583">
        <v>-2.0201182887074127</v>
      </c>
      <c r="I583">
        <v>-2.6</v>
      </c>
      <c r="K583">
        <v>-2.6</v>
      </c>
      <c r="M583">
        <f t="shared" si="9"/>
        <v>0.30115627715233889</v>
      </c>
    </row>
    <row r="584" spans="1:13">
      <c r="A584">
        <v>258</v>
      </c>
      <c r="B584">
        <v>444</v>
      </c>
      <c r="C584">
        <v>5</v>
      </c>
      <c r="D584">
        <v>0</v>
      </c>
      <c r="E584">
        <v>6</v>
      </c>
      <c r="G584">
        <v>-2.5244364135221042</v>
      </c>
      <c r="H584">
        <v>-2.6</v>
      </c>
      <c r="I584">
        <v>-2.3246017242797765</v>
      </c>
      <c r="K584">
        <v>-2.6</v>
      </c>
      <c r="M584">
        <f t="shared" si="9"/>
        <v>0.14229544903454244</v>
      </c>
    </row>
    <row r="585" spans="1:13">
      <c r="A585">
        <v>262</v>
      </c>
      <c r="B585">
        <v>130</v>
      </c>
      <c r="C585">
        <v>0</v>
      </c>
      <c r="D585">
        <v>3</v>
      </c>
      <c r="E585">
        <v>2</v>
      </c>
      <c r="G585">
        <v>-2.6</v>
      </c>
      <c r="H585">
        <v>-2.0829091185668682</v>
      </c>
      <c r="I585">
        <v>-2.2682833611916555</v>
      </c>
      <c r="K585">
        <v>-2.6</v>
      </c>
      <c r="M585">
        <f t="shared" si="9"/>
        <v>0.26197408203621736</v>
      </c>
    </row>
    <row r="586" spans="1:13">
      <c r="A586">
        <v>264</v>
      </c>
      <c r="B586">
        <v>102</v>
      </c>
      <c r="C586">
        <v>1</v>
      </c>
      <c r="D586">
        <v>0</v>
      </c>
      <c r="E586">
        <v>1</v>
      </c>
      <c r="G586">
        <v>-2.5846236195054209</v>
      </c>
      <c r="H586">
        <v>-2.6</v>
      </c>
      <c r="I586">
        <v>-2.4639701763107178</v>
      </c>
      <c r="K586">
        <v>-2.6</v>
      </c>
      <c r="M586">
        <f t="shared" si="9"/>
        <v>7.4495860472007375E-2</v>
      </c>
    </row>
    <row r="587" spans="1:13">
      <c r="A587">
        <v>266</v>
      </c>
      <c r="B587">
        <v>92</v>
      </c>
      <c r="C587">
        <v>1</v>
      </c>
      <c r="D587">
        <v>1</v>
      </c>
      <c r="E587">
        <v>0</v>
      </c>
      <c r="G587">
        <v>-2.5398112750890585</v>
      </c>
      <c r="H587">
        <v>-2.409874848325249</v>
      </c>
      <c r="I587">
        <v>-2.6</v>
      </c>
      <c r="K587">
        <v>-2.6</v>
      </c>
      <c r="M587">
        <f t="shared" si="9"/>
        <v>9.7171438624301984E-2</v>
      </c>
    </row>
    <row r="588" spans="1:13">
      <c r="A588">
        <v>267</v>
      </c>
      <c r="B588">
        <v>151</v>
      </c>
      <c r="C588">
        <v>2</v>
      </c>
      <c r="D588">
        <v>0</v>
      </c>
      <c r="E588">
        <v>1</v>
      </c>
      <c r="G588">
        <v>-2.4539703993726913</v>
      </c>
      <c r="H588">
        <v>-2.6</v>
      </c>
      <c r="I588">
        <v>-2.6343469518419695</v>
      </c>
      <c r="K588">
        <v>-2.6</v>
      </c>
      <c r="M588">
        <f t="shared" si="9"/>
        <v>9.577757047878184E-2</v>
      </c>
    </row>
    <row r="589" spans="1:13">
      <c r="A589">
        <v>269</v>
      </c>
      <c r="B589">
        <v>271</v>
      </c>
      <c r="C589">
        <v>2</v>
      </c>
      <c r="D589">
        <v>0</v>
      </c>
      <c r="E589">
        <v>4</v>
      </c>
      <c r="G589">
        <v>-2.7079627429539279</v>
      </c>
      <c r="H589">
        <v>-2.6</v>
      </c>
      <c r="I589">
        <v>-2.2862793040952436</v>
      </c>
      <c r="K589">
        <v>-2.6</v>
      </c>
      <c r="M589">
        <f t="shared" si="9"/>
        <v>0.21904853020612666</v>
      </c>
    </row>
    <row r="590" spans="1:13">
      <c r="A590">
        <v>274</v>
      </c>
      <c r="B590">
        <v>160</v>
      </c>
      <c r="C590">
        <v>0</v>
      </c>
      <c r="D590">
        <v>3</v>
      </c>
      <c r="E590">
        <v>3</v>
      </c>
      <c r="G590">
        <v>-2.6</v>
      </c>
      <c r="H590">
        <v>-2.1730857489159563</v>
      </c>
      <c r="I590">
        <v>-2.1823687324850627</v>
      </c>
      <c r="K590">
        <v>-2.6</v>
      </c>
      <c r="M590">
        <f t="shared" si="9"/>
        <v>0.24384346999961795</v>
      </c>
    </row>
    <row r="591" spans="1:13">
      <c r="A591">
        <v>275</v>
      </c>
      <c r="B591">
        <v>85</v>
      </c>
      <c r="C591">
        <v>1</v>
      </c>
      <c r="D591">
        <v>0</v>
      </c>
      <c r="E591">
        <v>0</v>
      </c>
      <c r="G591">
        <v>-2.5054423734577957</v>
      </c>
      <c r="H591">
        <v>-2.6</v>
      </c>
      <c r="I591">
        <v>-2.6</v>
      </c>
      <c r="K591">
        <v>-2.6</v>
      </c>
      <c r="M591">
        <f t="shared" si="9"/>
        <v>5.4592871138073776E-2</v>
      </c>
    </row>
    <row r="592" spans="1:13">
      <c r="A592">
        <v>276</v>
      </c>
      <c r="B592">
        <v>75</v>
      </c>
      <c r="C592">
        <v>2</v>
      </c>
      <c r="D592">
        <v>1</v>
      </c>
      <c r="E592">
        <v>0</v>
      </c>
      <c r="G592">
        <v>-2.1500547154712222</v>
      </c>
      <c r="H592">
        <v>-2.321148284371394</v>
      </c>
      <c r="I592">
        <v>-2.6</v>
      </c>
      <c r="K592">
        <v>-2.6</v>
      </c>
      <c r="M592">
        <f t="shared" si="9"/>
        <v>0.22711305837170531</v>
      </c>
    </row>
    <row r="593" spans="1:13">
      <c r="A593">
        <v>277</v>
      </c>
      <c r="B593">
        <v>16</v>
      </c>
      <c r="C593">
        <v>0</v>
      </c>
      <c r="D593">
        <v>0</v>
      </c>
      <c r="E593">
        <v>0</v>
      </c>
      <c r="G593">
        <v>-2.6</v>
      </c>
      <c r="H593">
        <v>-2.6</v>
      </c>
      <c r="I593">
        <v>-2.6</v>
      </c>
      <c r="K593">
        <v>-2.6</v>
      </c>
      <c r="M593">
        <f t="shared" si="9"/>
        <v>0</v>
      </c>
    </row>
    <row r="594" spans="1:13">
      <c r="A594">
        <v>278</v>
      </c>
      <c r="B594">
        <v>42</v>
      </c>
      <c r="C594">
        <v>1</v>
      </c>
      <c r="D594">
        <v>0</v>
      </c>
      <c r="E594">
        <v>0</v>
      </c>
      <c r="G594">
        <v>-2.1992727381414037</v>
      </c>
      <c r="H594">
        <v>-2.6</v>
      </c>
      <c r="I594">
        <v>-2.6</v>
      </c>
      <c r="K594">
        <v>-2.6</v>
      </c>
      <c r="M594">
        <f t="shared" si="9"/>
        <v>0.23135999250568232</v>
      </c>
    </row>
    <row r="595" spans="1:13">
      <c r="A595">
        <v>279</v>
      </c>
      <c r="B595">
        <v>70</v>
      </c>
      <c r="C595">
        <v>2</v>
      </c>
      <c r="D595">
        <v>0</v>
      </c>
      <c r="E595">
        <v>0</v>
      </c>
      <c r="G595">
        <v>-2.120091492093779</v>
      </c>
      <c r="H595">
        <v>-2.6</v>
      </c>
      <c r="I595">
        <v>-2.6</v>
      </c>
      <c r="K595">
        <v>-2.6</v>
      </c>
      <c r="M595">
        <f t="shared" si="9"/>
        <v>0.27707530622604837</v>
      </c>
    </row>
    <row r="596" spans="1:13">
      <c r="A596">
        <v>283</v>
      </c>
      <c r="B596">
        <v>117</v>
      </c>
      <c r="C596">
        <v>0</v>
      </c>
      <c r="D596">
        <v>1</v>
      </c>
      <c r="E596">
        <v>1</v>
      </c>
      <c r="G596">
        <v>-2.6</v>
      </c>
      <c r="H596">
        <v>-2.5142728827258551</v>
      </c>
      <c r="I596">
        <v>-2.523555866294962</v>
      </c>
      <c r="K596">
        <v>-2.6</v>
      </c>
      <c r="M596">
        <f t="shared" si="9"/>
        <v>4.7044337239801511E-2</v>
      </c>
    </row>
    <row r="597" spans="1:13">
      <c r="A597">
        <v>286</v>
      </c>
      <c r="B597">
        <v>31</v>
      </c>
      <c r="C597">
        <v>1</v>
      </c>
      <c r="D597">
        <v>0</v>
      </c>
      <c r="E597">
        <v>0</v>
      </c>
      <c r="G597">
        <v>-2.067385141577776</v>
      </c>
      <c r="H597">
        <v>-2.6</v>
      </c>
      <c r="I597">
        <v>-2.6</v>
      </c>
      <c r="K597">
        <v>-2.6</v>
      </c>
      <c r="M597">
        <f t="shared" si="9"/>
        <v>0.30750533188446666</v>
      </c>
    </row>
    <row r="598" spans="1:13">
      <c r="A598">
        <v>291</v>
      </c>
      <c r="B598">
        <v>108</v>
      </c>
      <c r="C598">
        <v>3</v>
      </c>
      <c r="D598">
        <v>0</v>
      </c>
      <c r="E598">
        <v>0</v>
      </c>
      <c r="G598">
        <v>-2.1323259485107906</v>
      </c>
      <c r="H598">
        <v>-2.6</v>
      </c>
      <c r="I598">
        <v>-2.6</v>
      </c>
      <c r="K598">
        <v>-2.6</v>
      </c>
      <c r="M598">
        <f t="shared" si="9"/>
        <v>0.270011739520298</v>
      </c>
    </row>
    <row r="599" spans="1:13">
      <c r="A599">
        <v>295</v>
      </c>
      <c r="B599">
        <v>71</v>
      </c>
      <c r="C599">
        <v>0</v>
      </c>
      <c r="D599">
        <v>1</v>
      </c>
      <c r="E599">
        <v>1</v>
      </c>
      <c r="G599">
        <v>-2.6</v>
      </c>
      <c r="H599">
        <v>-2.2973453696987689</v>
      </c>
      <c r="I599">
        <v>-2.3066283532678753</v>
      </c>
      <c r="K599">
        <v>-2.6</v>
      </c>
      <c r="M599">
        <f t="shared" si="9"/>
        <v>0.17212055955687855</v>
      </c>
    </row>
    <row r="600" spans="1:13">
      <c r="A600">
        <v>300</v>
      </c>
      <c r="B600">
        <v>56</v>
      </c>
      <c r="C600">
        <v>0</v>
      </c>
      <c r="D600">
        <v>0</v>
      </c>
      <c r="E600">
        <v>1</v>
      </c>
      <c r="G600">
        <v>-2.6</v>
      </c>
      <c r="H600">
        <v>-2.6</v>
      </c>
      <c r="I600">
        <v>-2.2035580315550005</v>
      </c>
      <c r="K600">
        <v>-2.6</v>
      </c>
      <c r="M600">
        <f t="shared" si="9"/>
        <v>0.22888587719978565</v>
      </c>
    </row>
    <row r="601" spans="1:13">
      <c r="A601">
        <v>305</v>
      </c>
      <c r="B601">
        <v>76</v>
      </c>
      <c r="C601">
        <v>1</v>
      </c>
      <c r="D601">
        <v>0</v>
      </c>
      <c r="E601">
        <v>0</v>
      </c>
      <c r="G601">
        <v>-2.4568370400242947</v>
      </c>
      <c r="H601">
        <v>-2.6</v>
      </c>
      <c r="I601">
        <v>-2.6</v>
      </c>
      <c r="K601">
        <v>-2.6</v>
      </c>
      <c r="M601">
        <f t="shared" si="9"/>
        <v>8.2655173479957128E-2</v>
      </c>
    </row>
    <row r="602" spans="1:13">
      <c r="A602">
        <v>310</v>
      </c>
      <c r="B602">
        <v>88</v>
      </c>
      <c r="C602">
        <v>0</v>
      </c>
      <c r="D602">
        <v>0</v>
      </c>
      <c r="E602">
        <v>1</v>
      </c>
      <c r="G602">
        <v>-2.6</v>
      </c>
      <c r="H602">
        <v>-2.6</v>
      </c>
      <c r="I602">
        <v>-2.399852676698969</v>
      </c>
      <c r="K602">
        <v>-2.6</v>
      </c>
      <c r="M602">
        <f t="shared" si="9"/>
        <v>0.11555511098543338</v>
      </c>
    </row>
    <row r="603" spans="1:13">
      <c r="A603">
        <v>311</v>
      </c>
      <c r="B603">
        <v>69</v>
      </c>
      <c r="C603">
        <v>1</v>
      </c>
      <c r="D603">
        <v>0</v>
      </c>
      <c r="E603">
        <v>0</v>
      </c>
      <c r="G603">
        <v>-2.4148725384807586</v>
      </c>
      <c r="H603">
        <v>-2.6</v>
      </c>
      <c r="I603">
        <v>-2.6</v>
      </c>
      <c r="K603">
        <v>-2.6</v>
      </c>
      <c r="M603">
        <f t="shared" si="9"/>
        <v>0.10688338974252617</v>
      </c>
    </row>
    <row r="604" spans="1:13">
      <c r="A604">
        <v>312</v>
      </c>
      <c r="B604">
        <v>48</v>
      </c>
      <c r="C604">
        <v>0</v>
      </c>
      <c r="D604">
        <v>0</v>
      </c>
      <c r="E604">
        <v>2</v>
      </c>
      <c r="G604">
        <v>-2.6</v>
      </c>
      <c r="H604">
        <v>-2.6</v>
      </c>
      <c r="I604">
        <v>-1.8355812462604064</v>
      </c>
      <c r="K604">
        <v>-2.6</v>
      </c>
      <c r="M604">
        <f t="shared" si="9"/>
        <v>0.44133737324515487</v>
      </c>
    </row>
    <row r="605" spans="1:13">
      <c r="A605">
        <v>314</v>
      </c>
      <c r="B605">
        <v>188</v>
      </c>
      <c r="C605">
        <v>1</v>
      </c>
      <c r="D605">
        <v>2</v>
      </c>
      <c r="E605">
        <v>0</v>
      </c>
      <c r="G605">
        <v>-2.8501812970071834</v>
      </c>
      <c r="H605">
        <v>-2.4192148745793922</v>
      </c>
      <c r="I605">
        <v>-2.6</v>
      </c>
      <c r="K605">
        <v>-2.6</v>
      </c>
      <c r="M605">
        <f t="shared" si="9"/>
        <v>0.21641241500344915</v>
      </c>
    </row>
    <row r="606" spans="1:13">
      <c r="A606">
        <v>315</v>
      </c>
      <c r="B606">
        <v>103</v>
      </c>
      <c r="C606">
        <v>1</v>
      </c>
      <c r="D606">
        <v>1</v>
      </c>
      <c r="E606">
        <v>0</v>
      </c>
      <c r="G606">
        <v>-2.5888606724486758</v>
      </c>
      <c r="H606">
        <v>-2.4589242456848659</v>
      </c>
      <c r="I606">
        <v>-2.6</v>
      </c>
      <c r="K606">
        <v>-2.6</v>
      </c>
      <c r="M606">
        <f t="shared" si="9"/>
        <v>7.843248484527604E-2</v>
      </c>
    </row>
    <row r="607" spans="1:13">
      <c r="A607">
        <v>316</v>
      </c>
      <c r="B607">
        <v>106</v>
      </c>
      <c r="C607">
        <v>1</v>
      </c>
      <c r="D607">
        <v>2</v>
      </c>
      <c r="E607">
        <v>0</v>
      </c>
      <c r="G607">
        <v>-2.6013293130082737</v>
      </c>
      <c r="H607">
        <v>-2.170362890580483</v>
      </c>
      <c r="I607">
        <v>-2.6</v>
      </c>
      <c r="K607">
        <v>-2.6</v>
      </c>
      <c r="M607">
        <f t="shared" si="9"/>
        <v>0.24843572949009066</v>
      </c>
    </row>
    <row r="608" spans="1:13">
      <c r="A608">
        <v>317</v>
      </c>
      <c r="B608">
        <v>99</v>
      </c>
      <c r="C608">
        <v>0</v>
      </c>
      <c r="D608">
        <v>1</v>
      </c>
      <c r="E608">
        <v>1</v>
      </c>
      <c r="G608">
        <v>-2.6</v>
      </c>
      <c r="H608">
        <v>-2.4417222155772436</v>
      </c>
      <c r="I608">
        <v>-2.4510051991463504</v>
      </c>
      <c r="K608">
        <v>-2.6</v>
      </c>
      <c r="M608">
        <f t="shared" si="9"/>
        <v>8.8823309165949993E-2</v>
      </c>
    </row>
    <row r="609" spans="1:13">
      <c r="A609">
        <v>325</v>
      </c>
      <c r="B609">
        <v>134</v>
      </c>
      <c r="C609">
        <v>1</v>
      </c>
      <c r="D609">
        <v>0</v>
      </c>
      <c r="E609">
        <v>2</v>
      </c>
      <c r="G609">
        <v>-2.703128246108311</v>
      </c>
      <c r="H609">
        <v>-2.6</v>
      </c>
      <c r="I609">
        <v>-2.2814448072496267</v>
      </c>
      <c r="K609">
        <v>-2.6</v>
      </c>
      <c r="M609">
        <f t="shared" si="9"/>
        <v>0.21982180987536612</v>
      </c>
    </row>
    <row r="610" spans="1:13">
      <c r="A610">
        <v>326</v>
      </c>
      <c r="B610">
        <v>88</v>
      </c>
      <c r="C610">
        <v>2</v>
      </c>
      <c r="D610">
        <v>0</v>
      </c>
      <c r="E610">
        <v>0</v>
      </c>
      <c r="G610">
        <v>-2.2194761242296908</v>
      </c>
      <c r="H610">
        <v>-2.6</v>
      </c>
      <c r="I610">
        <v>-2.6</v>
      </c>
      <c r="K610">
        <v>-2.6</v>
      </c>
      <c r="M610">
        <f t="shared" si="9"/>
        <v>0.21969556210906782</v>
      </c>
    </row>
    <row r="611" spans="1:13">
      <c r="A611">
        <v>328</v>
      </c>
      <c r="B611">
        <v>46</v>
      </c>
      <c r="C611">
        <v>0</v>
      </c>
      <c r="D611">
        <v>0</v>
      </c>
      <c r="E611">
        <v>1</v>
      </c>
      <c r="G611">
        <v>-2.6</v>
      </c>
      <c r="H611">
        <v>-2.6</v>
      </c>
      <c r="I611">
        <v>-2.1181278362303742</v>
      </c>
      <c r="K611">
        <v>-2.6</v>
      </c>
      <c r="M611">
        <f t="shared" si="9"/>
        <v>0.27820902346738097</v>
      </c>
    </row>
    <row r="612" spans="1:13">
      <c r="A612">
        <v>331</v>
      </c>
      <c r="B612">
        <v>72</v>
      </c>
      <c r="C612">
        <v>1</v>
      </c>
      <c r="D612">
        <v>0</v>
      </c>
      <c r="E612">
        <v>0</v>
      </c>
      <c r="G612">
        <v>-2.4333559441747719</v>
      </c>
      <c r="H612">
        <v>-2.6</v>
      </c>
      <c r="I612">
        <v>-2.6</v>
      </c>
      <c r="K612">
        <v>-2.6</v>
      </c>
      <c r="M612">
        <f t="shared" si="9"/>
        <v>9.6211990489546539E-2</v>
      </c>
    </row>
    <row r="613" spans="1:13">
      <c r="A613">
        <v>335</v>
      </c>
      <c r="B613">
        <v>158</v>
      </c>
      <c r="C613">
        <v>1</v>
      </c>
      <c r="D613">
        <v>0</v>
      </c>
      <c r="E613">
        <v>1</v>
      </c>
      <c r="G613">
        <v>-2.774680534697926</v>
      </c>
      <c r="H613">
        <v>-2.6</v>
      </c>
      <c r="I613">
        <v>-2.6540270915032229</v>
      </c>
      <c r="K613">
        <v>-2.6</v>
      </c>
      <c r="M613">
        <f t="shared" si="9"/>
        <v>8.9432907043388618E-2</v>
      </c>
    </row>
    <row r="614" spans="1:13">
      <c r="A614">
        <v>338</v>
      </c>
      <c r="B614">
        <v>150</v>
      </c>
      <c r="C614">
        <v>2</v>
      </c>
      <c r="D614">
        <v>1</v>
      </c>
      <c r="E614">
        <v>0</v>
      </c>
      <c r="G614">
        <v>-2.4510847111352034</v>
      </c>
      <c r="H614">
        <v>-2.6221782800353752</v>
      </c>
      <c r="I614">
        <v>-2.6</v>
      </c>
      <c r="K614">
        <v>-2.6</v>
      </c>
      <c r="M614">
        <f t="shared" si="9"/>
        <v>9.3041790504779079E-2</v>
      </c>
    </row>
    <row r="615" spans="1:13">
      <c r="A615">
        <v>341</v>
      </c>
      <c r="B615">
        <v>302</v>
      </c>
      <c r="C615">
        <v>2</v>
      </c>
      <c r="D615">
        <v>0</v>
      </c>
      <c r="E615">
        <v>3</v>
      </c>
      <c r="G615">
        <v>-2.7550003950366726</v>
      </c>
      <c r="H615">
        <v>-2.6</v>
      </c>
      <c r="I615">
        <v>-2.4582556927862886</v>
      </c>
      <c r="K615">
        <v>-2.6</v>
      </c>
      <c r="M615">
        <f t="shared" si="9"/>
        <v>0.14842169057715732</v>
      </c>
    </row>
    <row r="616" spans="1:13">
      <c r="A616">
        <v>342</v>
      </c>
      <c r="B616">
        <v>48</v>
      </c>
      <c r="C616">
        <v>0</v>
      </c>
      <c r="D616">
        <v>2</v>
      </c>
      <c r="E616">
        <v>0</v>
      </c>
      <c r="G616">
        <v>-2.6</v>
      </c>
      <c r="H616">
        <v>-1.8262982626912998</v>
      </c>
      <c r="I616">
        <v>-2.6</v>
      </c>
      <c r="K616">
        <v>-2.6</v>
      </c>
      <c r="M616">
        <f t="shared" si="9"/>
        <v>0.44669690630765924</v>
      </c>
    </row>
    <row r="617" spans="1:13">
      <c r="A617">
        <v>343</v>
      </c>
      <c r="B617">
        <v>72</v>
      </c>
      <c r="C617">
        <v>0</v>
      </c>
      <c r="D617">
        <v>0</v>
      </c>
      <c r="E617">
        <v>0</v>
      </c>
      <c r="G617">
        <v>-2.6</v>
      </c>
      <c r="H617">
        <v>-2.6</v>
      </c>
      <c r="I617">
        <v>-2.6</v>
      </c>
      <c r="K617">
        <v>-2.6</v>
      </c>
      <c r="M617">
        <f t="shared" si="9"/>
        <v>0</v>
      </c>
    </row>
    <row r="618" spans="1:13">
      <c r="A618">
        <v>344</v>
      </c>
      <c r="B618">
        <v>252</v>
      </c>
      <c r="C618">
        <v>5</v>
      </c>
      <c r="D618">
        <v>2</v>
      </c>
      <c r="E618">
        <v>0</v>
      </c>
      <c r="G618">
        <v>-2.2784539841890288</v>
      </c>
      <c r="H618">
        <v>-2.5464575660972564</v>
      </c>
      <c r="I618">
        <v>-2.6</v>
      </c>
      <c r="K618">
        <v>-2.6</v>
      </c>
      <c r="M618">
        <f t="shared" si="9"/>
        <v>0.17228104578845344</v>
      </c>
    </row>
    <row r="619" spans="1:13">
      <c r="A619">
        <v>347</v>
      </c>
      <c r="B619">
        <v>63</v>
      </c>
      <c r="C619">
        <v>1</v>
      </c>
      <c r="D619">
        <v>0</v>
      </c>
      <c r="E619">
        <v>2</v>
      </c>
      <c r="G619">
        <v>-2.375363997197085</v>
      </c>
      <c r="H619">
        <v>-2.6</v>
      </c>
      <c r="I619">
        <v>-1.9536805583384007</v>
      </c>
      <c r="K619">
        <v>-2.6</v>
      </c>
      <c r="M619">
        <f t="shared" si="9"/>
        <v>0.32812778939327636</v>
      </c>
    </row>
    <row r="620" spans="1:13">
      <c r="A620">
        <v>349</v>
      </c>
      <c r="B620">
        <v>24</v>
      </c>
      <c r="C620">
        <v>1</v>
      </c>
      <c r="D620">
        <v>0</v>
      </c>
      <c r="E620">
        <v>0</v>
      </c>
      <c r="G620">
        <v>-1.9562346894551095</v>
      </c>
      <c r="H620">
        <v>-2.6</v>
      </c>
      <c r="I620">
        <v>-2.6</v>
      </c>
      <c r="K620">
        <v>-2.6</v>
      </c>
      <c r="M620">
        <f t="shared" si="9"/>
        <v>0.37167807533803515</v>
      </c>
    </row>
    <row r="621" spans="1:13">
      <c r="A621">
        <v>350</v>
      </c>
      <c r="B621">
        <v>165</v>
      </c>
      <c r="C621">
        <v>0</v>
      </c>
      <c r="D621">
        <v>0</v>
      </c>
      <c r="E621">
        <v>1</v>
      </c>
      <c r="G621">
        <v>-2.6</v>
      </c>
      <c r="H621">
        <v>-2.6</v>
      </c>
      <c r="I621">
        <v>-2.6728539487627065</v>
      </c>
      <c r="K621">
        <v>-2.6</v>
      </c>
      <c r="M621">
        <f t="shared" si="9"/>
        <v>4.2062246929675771E-2</v>
      </c>
    </row>
    <row r="622" spans="1:13">
      <c r="A622">
        <v>351</v>
      </c>
      <c r="B622">
        <v>93</v>
      </c>
      <c r="C622">
        <v>3</v>
      </c>
      <c r="D622">
        <v>0</v>
      </c>
      <c r="E622">
        <v>1</v>
      </c>
      <c r="G622">
        <v>-2.067385141577776</v>
      </c>
      <c r="H622">
        <v>-2.6</v>
      </c>
      <c r="I622">
        <v>-2.4238529531027355</v>
      </c>
      <c r="K622">
        <v>-2.6</v>
      </c>
      <c r="M622">
        <f t="shared" si="9"/>
        <v>0.27134715470412529</v>
      </c>
    </row>
    <row r="623" spans="1:13">
      <c r="A623">
        <v>355</v>
      </c>
      <c r="B623">
        <v>133</v>
      </c>
      <c r="C623">
        <v>1</v>
      </c>
      <c r="D623">
        <v>0</v>
      </c>
      <c r="E623">
        <v>2</v>
      </c>
      <c r="G623">
        <v>-2.6998750887105891</v>
      </c>
      <c r="H623">
        <v>-2.6</v>
      </c>
      <c r="I623">
        <v>-2.2781916498519048</v>
      </c>
      <c r="K623">
        <v>-2.6</v>
      </c>
      <c r="M623">
        <f t="shared" si="9"/>
        <v>0.22036052662915565</v>
      </c>
    </row>
    <row r="624" spans="1:13">
      <c r="A624">
        <v>357</v>
      </c>
      <c r="B624">
        <v>110</v>
      </c>
      <c r="C624">
        <v>3</v>
      </c>
      <c r="D624">
        <v>0</v>
      </c>
      <c r="E624">
        <v>1</v>
      </c>
      <c r="G624">
        <v>-2.1402948781820657</v>
      </c>
      <c r="H624">
        <v>-2.6</v>
      </c>
      <c r="I624">
        <v>-2.4967626897070252</v>
      </c>
      <c r="K624">
        <v>-2.6</v>
      </c>
      <c r="M624">
        <f t="shared" si="9"/>
        <v>0.2411970293886874</v>
      </c>
    </row>
    <row r="625" spans="1:13">
      <c r="A625">
        <v>363</v>
      </c>
      <c r="B625">
        <v>81</v>
      </c>
      <c r="C625">
        <v>1</v>
      </c>
      <c r="D625">
        <v>1</v>
      </c>
      <c r="E625">
        <v>0</v>
      </c>
      <c r="G625">
        <v>-2.4845084666221533</v>
      </c>
      <c r="H625">
        <v>-2.3545720398583434</v>
      </c>
      <c r="I625">
        <v>-2.6</v>
      </c>
      <c r="K625">
        <v>-2.6</v>
      </c>
      <c r="M625">
        <f t="shared" si="9"/>
        <v>0.122784806946549</v>
      </c>
    </row>
    <row r="626" spans="1:13">
      <c r="A626">
        <v>367</v>
      </c>
      <c r="B626">
        <v>125</v>
      </c>
      <c r="C626">
        <v>7</v>
      </c>
      <c r="D626">
        <v>0</v>
      </c>
      <c r="E626">
        <v>3</v>
      </c>
      <c r="G626">
        <v>-1.8278354207373029</v>
      </c>
      <c r="H626">
        <v>-2.6</v>
      </c>
      <c r="I626">
        <v>-2.0751587628371944</v>
      </c>
      <c r="K626">
        <v>-2.6</v>
      </c>
      <c r="M626">
        <f t="shared" si="9"/>
        <v>0.39430641579909764</v>
      </c>
    </row>
    <row r="627" spans="1:13">
      <c r="A627">
        <v>370</v>
      </c>
      <c r="B627">
        <v>140</v>
      </c>
      <c r="C627">
        <v>5</v>
      </c>
      <c r="D627">
        <v>0</v>
      </c>
      <c r="E627">
        <v>6</v>
      </c>
      <c r="G627">
        <v>-2.0231814790857223</v>
      </c>
      <c r="H627">
        <v>-2.6</v>
      </c>
      <c r="I627">
        <v>-1.8233467898433946</v>
      </c>
      <c r="K627">
        <v>-2.6</v>
      </c>
      <c r="M627">
        <f t="shared" si="9"/>
        <v>0.4032872669162888</v>
      </c>
    </row>
    <row r="628" spans="1:13">
      <c r="A628">
        <v>372</v>
      </c>
      <c r="B628">
        <v>95</v>
      </c>
      <c r="C628">
        <v>1</v>
      </c>
      <c r="D628">
        <v>0</v>
      </c>
      <c r="E628">
        <v>1</v>
      </c>
      <c r="G628">
        <v>-2.5537470530323514</v>
      </c>
      <c r="H628">
        <v>-2.6</v>
      </c>
      <c r="I628">
        <v>-2.4330936098376483</v>
      </c>
      <c r="K628">
        <v>-2.6</v>
      </c>
      <c r="M628">
        <f t="shared" si="9"/>
        <v>8.6172628615429805E-2</v>
      </c>
    </row>
    <row r="629" spans="1:13">
      <c r="A629">
        <v>373</v>
      </c>
      <c r="B629">
        <v>186</v>
      </c>
      <c r="C629">
        <v>1</v>
      </c>
      <c r="D629">
        <v>0</v>
      </c>
      <c r="E629">
        <v>1</v>
      </c>
      <c r="G629">
        <v>-2.8455363919614198</v>
      </c>
      <c r="H629">
        <v>-2.6</v>
      </c>
      <c r="I629">
        <v>-2.7248829487667168</v>
      </c>
      <c r="K629">
        <v>-2.6</v>
      </c>
      <c r="M629">
        <f t="shared" si="9"/>
        <v>0.12277426713610075</v>
      </c>
    </row>
    <row r="630" spans="1:13">
      <c r="A630">
        <v>374</v>
      </c>
      <c r="B630">
        <v>57</v>
      </c>
      <c r="C630">
        <v>0</v>
      </c>
      <c r="D630">
        <v>0</v>
      </c>
      <c r="E630">
        <v>1</v>
      </c>
      <c r="G630">
        <v>-2.6</v>
      </c>
      <c r="H630">
        <v>-2.6</v>
      </c>
      <c r="I630">
        <v>-2.2112448602212917</v>
      </c>
      <c r="K630">
        <v>-2.6</v>
      </c>
      <c r="M630">
        <f t="shared" si="9"/>
        <v>0.22444788460008785</v>
      </c>
    </row>
    <row r="631" spans="1:13">
      <c r="A631">
        <v>376</v>
      </c>
      <c r="B631">
        <v>110</v>
      </c>
      <c r="C631">
        <v>0</v>
      </c>
      <c r="D631">
        <v>1</v>
      </c>
      <c r="E631">
        <v>0</v>
      </c>
      <c r="G631">
        <v>-2.6</v>
      </c>
      <c r="H631">
        <v>-2.4874797061379184</v>
      </c>
      <c r="I631">
        <v>-2.6</v>
      </c>
      <c r="K631">
        <v>-2.6</v>
      </c>
      <c r="M631">
        <f t="shared" si="9"/>
        <v>6.4963621950568692E-2</v>
      </c>
    </row>
    <row r="632" spans="1:13">
      <c r="A632">
        <v>378</v>
      </c>
      <c r="B632">
        <v>61</v>
      </c>
      <c r="C632">
        <v>0</v>
      </c>
      <c r="D632">
        <v>2</v>
      </c>
      <c r="E632">
        <v>0</v>
      </c>
      <c r="G632">
        <v>-2.6</v>
      </c>
      <c r="H632">
        <v>-1.9303868603264795</v>
      </c>
      <c r="I632">
        <v>-2.6</v>
      </c>
      <c r="K632">
        <v>-2.6</v>
      </c>
      <c r="M632">
        <f t="shared" si="9"/>
        <v>0.38660132644341616</v>
      </c>
    </row>
    <row r="633" spans="1:13">
      <c r="A633">
        <v>383</v>
      </c>
      <c r="B633">
        <v>104</v>
      </c>
      <c r="C633">
        <v>1</v>
      </c>
      <c r="D633">
        <v>2</v>
      </c>
      <c r="E633">
        <v>0</v>
      </c>
      <c r="G633">
        <v>-2.5930567870422836</v>
      </c>
      <c r="H633">
        <v>-2.1620903646144929</v>
      </c>
      <c r="I633">
        <v>-2.6</v>
      </c>
      <c r="K633">
        <v>-2.6</v>
      </c>
      <c r="M633">
        <f t="shared" si="9"/>
        <v>0.25084693680604414</v>
      </c>
    </row>
    <row r="634" spans="1:13">
      <c r="A634">
        <v>386</v>
      </c>
      <c r="B634">
        <v>117</v>
      </c>
      <c r="C634">
        <v>4</v>
      </c>
      <c r="D634">
        <v>0</v>
      </c>
      <c r="E634">
        <v>2</v>
      </c>
      <c r="G634">
        <v>-2.0421493181617025</v>
      </c>
      <c r="H634">
        <v>-2.6</v>
      </c>
      <c r="I634">
        <v>-2.2225258706309807</v>
      </c>
      <c r="K634">
        <v>-2.6</v>
      </c>
      <c r="M634">
        <f t="shared" si="9"/>
        <v>0.28466934100550412</v>
      </c>
    </row>
    <row r="635" spans="1:13">
      <c r="A635">
        <v>395</v>
      </c>
      <c r="B635">
        <v>105</v>
      </c>
      <c r="C635">
        <v>0</v>
      </c>
      <c r="D635">
        <v>1</v>
      </c>
      <c r="E635">
        <v>1</v>
      </c>
      <c r="G635">
        <v>-2.6</v>
      </c>
      <c r="H635">
        <v>-2.4672763200496313</v>
      </c>
      <c r="I635">
        <v>-2.4765593036187381</v>
      </c>
      <c r="K635">
        <v>-2.6</v>
      </c>
      <c r="M635">
        <f t="shared" si="9"/>
        <v>7.4093808250760909E-2</v>
      </c>
    </row>
    <row r="636" spans="1:13">
      <c r="A636">
        <v>396</v>
      </c>
      <c r="B636">
        <v>65</v>
      </c>
      <c r="C636">
        <v>6</v>
      </c>
      <c r="D636">
        <v>4</v>
      </c>
      <c r="E636">
        <v>0</v>
      </c>
      <c r="G636">
        <v>-1.6107855540027152</v>
      </c>
      <c r="H636">
        <v>-1.6569403862945868</v>
      </c>
      <c r="I636">
        <v>-2.6</v>
      </c>
      <c r="K636">
        <v>-2.6</v>
      </c>
      <c r="M636">
        <f t="shared" si="9"/>
        <v>0.55827665240389812</v>
      </c>
    </row>
    <row r="637" spans="1:13">
      <c r="A637">
        <v>399</v>
      </c>
      <c r="B637">
        <v>111</v>
      </c>
      <c r="C637">
        <v>0</v>
      </c>
      <c r="D637">
        <v>2</v>
      </c>
      <c r="E637">
        <v>0</v>
      </c>
      <c r="G637">
        <v>-2.6</v>
      </c>
      <c r="H637">
        <v>-2.1903800041023702</v>
      </c>
      <c r="I637">
        <v>-2.6</v>
      </c>
      <c r="K637">
        <v>-2.6</v>
      </c>
      <c r="M637">
        <f t="shared" si="9"/>
        <v>0.23649421489695002</v>
      </c>
    </row>
    <row r="638" spans="1:13">
      <c r="A638">
        <v>405</v>
      </c>
      <c r="B638">
        <v>115</v>
      </c>
      <c r="C638">
        <v>0</v>
      </c>
      <c r="D638">
        <v>0</v>
      </c>
      <c r="E638">
        <v>1</v>
      </c>
      <c r="G638">
        <v>-2.6</v>
      </c>
      <c r="H638">
        <v>-2.6</v>
      </c>
      <c r="I638">
        <v>-2.5160678449024121</v>
      </c>
      <c r="K638">
        <v>-2.6</v>
      </c>
      <c r="M638">
        <f t="shared" si="9"/>
        <v>4.8458252339257851E-2</v>
      </c>
    </row>
    <row r="639" spans="1:13">
      <c r="A639">
        <v>406</v>
      </c>
      <c r="B639">
        <v>216</v>
      </c>
      <c r="C639">
        <v>3</v>
      </c>
      <c r="D639">
        <v>1</v>
      </c>
      <c r="E639">
        <v>0</v>
      </c>
      <c r="G639">
        <v>-2.4333559441747719</v>
      </c>
      <c r="H639">
        <v>-2.7805407721306246</v>
      </c>
      <c r="I639">
        <v>-2.6</v>
      </c>
      <c r="K639">
        <v>-2.6</v>
      </c>
      <c r="M639">
        <f t="shared" si="9"/>
        <v>0.17363876127665107</v>
      </c>
    </row>
    <row r="640" spans="1:13">
      <c r="A640">
        <v>407</v>
      </c>
      <c r="B640">
        <v>31</v>
      </c>
      <c r="C640">
        <v>0</v>
      </c>
      <c r="D640">
        <v>0</v>
      </c>
      <c r="E640">
        <v>0</v>
      </c>
      <c r="G640">
        <v>-2.6</v>
      </c>
      <c r="H640">
        <v>-2.6</v>
      </c>
      <c r="I640">
        <v>-2.6</v>
      </c>
      <c r="K640">
        <v>-2.6</v>
      </c>
      <c r="M640">
        <f t="shared" si="9"/>
        <v>0</v>
      </c>
    </row>
    <row r="641" spans="1:13">
      <c r="A641">
        <v>411</v>
      </c>
      <c r="B641">
        <v>112</v>
      </c>
      <c r="C641">
        <v>0</v>
      </c>
      <c r="D641">
        <v>1</v>
      </c>
      <c r="E641">
        <v>0</v>
      </c>
      <c r="G641">
        <v>-2.6</v>
      </c>
      <c r="H641">
        <v>-2.4953050436498749</v>
      </c>
      <c r="I641">
        <v>-2.6</v>
      </c>
      <c r="K641">
        <v>-2.6</v>
      </c>
      <c r="M641">
        <f t="shared" si="9"/>
        <v>6.0445661231540881E-2</v>
      </c>
    </row>
    <row r="642" spans="1:13">
      <c r="A642">
        <v>413</v>
      </c>
      <c r="B642">
        <v>117</v>
      </c>
      <c r="C642">
        <v>0</v>
      </c>
      <c r="D642">
        <v>1</v>
      </c>
      <c r="E642">
        <v>0</v>
      </c>
      <c r="G642">
        <v>-2.6</v>
      </c>
      <c r="H642">
        <v>-2.5142728827258551</v>
      </c>
      <c r="I642">
        <v>-2.6</v>
      </c>
      <c r="K642">
        <v>-2.6</v>
      </c>
      <c r="M642">
        <f t="shared" si="9"/>
        <v>4.9494574235078206E-2</v>
      </c>
    </row>
    <row r="643" spans="1:13">
      <c r="A643">
        <v>416</v>
      </c>
      <c r="B643">
        <v>84</v>
      </c>
      <c r="C643">
        <v>0</v>
      </c>
      <c r="D643">
        <v>2</v>
      </c>
      <c r="E643">
        <v>1</v>
      </c>
      <c r="G643">
        <v>-2.6</v>
      </c>
      <c r="H643">
        <v>-2.0693363113775942</v>
      </c>
      <c r="I643">
        <v>-2.3796492906106819</v>
      </c>
      <c r="K643">
        <v>-2.6</v>
      </c>
      <c r="M643">
        <f t="shared" ref="M643:M706" si="10">STDEV(G643:I643)</f>
        <v>0.26659974075732212</v>
      </c>
    </row>
    <row r="644" spans="1:13">
      <c r="A644">
        <v>417</v>
      </c>
      <c r="B644">
        <v>69</v>
      </c>
      <c r="C644">
        <v>0</v>
      </c>
      <c r="D644">
        <v>1</v>
      </c>
      <c r="E644">
        <v>1</v>
      </c>
      <c r="G644">
        <v>-2.6</v>
      </c>
      <c r="H644">
        <v>-2.2849361117169487</v>
      </c>
      <c r="I644">
        <v>-2.2942190952860555</v>
      </c>
      <c r="K644">
        <v>-2.6</v>
      </c>
      <c r="M644">
        <f t="shared" si="10"/>
        <v>0.17928254663689283</v>
      </c>
    </row>
    <row r="645" spans="1:13">
      <c r="A645">
        <v>421</v>
      </c>
      <c r="B645">
        <v>172</v>
      </c>
      <c r="C645">
        <v>1</v>
      </c>
      <c r="D645">
        <v>0</v>
      </c>
      <c r="E645">
        <v>2</v>
      </c>
      <c r="G645">
        <v>-2.811551894651052</v>
      </c>
      <c r="H645">
        <v>-2.6</v>
      </c>
      <c r="I645">
        <v>-2.3898684557923682</v>
      </c>
      <c r="K645">
        <v>-2.6</v>
      </c>
      <c r="M645">
        <f t="shared" si="10"/>
        <v>0.21084211810784673</v>
      </c>
    </row>
    <row r="646" spans="1:13">
      <c r="A646">
        <v>423</v>
      </c>
      <c r="B646">
        <v>22</v>
      </c>
      <c r="C646">
        <v>1</v>
      </c>
      <c r="D646">
        <v>0</v>
      </c>
      <c r="E646">
        <v>0</v>
      </c>
      <c r="G646">
        <v>-1.9184461285657095</v>
      </c>
      <c r="H646">
        <v>-2.6</v>
      </c>
      <c r="I646">
        <v>-2.6</v>
      </c>
      <c r="K646">
        <v>-2.6</v>
      </c>
      <c r="M646">
        <f t="shared" si="10"/>
        <v>0.39349531113982011</v>
      </c>
    </row>
    <row r="647" spans="1:13">
      <c r="A647">
        <v>424</v>
      </c>
      <c r="B647">
        <v>113</v>
      </c>
      <c r="C647">
        <v>1</v>
      </c>
      <c r="D647">
        <v>0</v>
      </c>
      <c r="E647">
        <v>3</v>
      </c>
      <c r="G647">
        <v>-2.6291018912269233</v>
      </c>
      <c r="H647">
        <v>-2.6</v>
      </c>
      <c r="I647">
        <v>-2.0313271933125576</v>
      </c>
      <c r="K647">
        <v>-2.6</v>
      </c>
      <c r="M647">
        <f t="shared" si="10"/>
        <v>0.33703864036767922</v>
      </c>
    </row>
    <row r="648" spans="1:13">
      <c r="A648">
        <v>425</v>
      </c>
      <c r="B648">
        <v>38</v>
      </c>
      <c r="C648">
        <v>0</v>
      </c>
      <c r="D648">
        <v>0</v>
      </c>
      <c r="E648">
        <v>0</v>
      </c>
      <c r="G648">
        <v>-2.6</v>
      </c>
      <c r="H648">
        <v>-2.6</v>
      </c>
      <c r="I648">
        <v>-2.6</v>
      </c>
      <c r="K648">
        <v>-2.6</v>
      </c>
      <c r="M648">
        <f t="shared" si="10"/>
        <v>0</v>
      </c>
    </row>
    <row r="649" spans="1:13">
      <c r="A649">
        <v>426</v>
      </c>
      <c r="B649">
        <v>74</v>
      </c>
      <c r="C649">
        <v>0</v>
      </c>
      <c r="D649">
        <v>1</v>
      </c>
      <c r="E649">
        <v>0</v>
      </c>
      <c r="G649">
        <v>-2.6</v>
      </c>
      <c r="H649">
        <v>-2.3153187407106701</v>
      </c>
      <c r="I649">
        <v>-2.6</v>
      </c>
      <c r="K649">
        <v>-2.6</v>
      </c>
      <c r="M649">
        <f t="shared" si="10"/>
        <v>0.1643608016839363</v>
      </c>
    </row>
    <row r="650" spans="1:13">
      <c r="A650">
        <v>427</v>
      </c>
      <c r="B650">
        <v>45</v>
      </c>
      <c r="C650">
        <v>0</v>
      </c>
      <c r="D650">
        <v>0</v>
      </c>
      <c r="E650">
        <v>0</v>
      </c>
      <c r="G650">
        <v>-2.6</v>
      </c>
      <c r="H650">
        <v>-2.6</v>
      </c>
      <c r="I650">
        <v>-2.6</v>
      </c>
      <c r="K650">
        <v>-2.6</v>
      </c>
      <c r="M650">
        <f t="shared" si="10"/>
        <v>0</v>
      </c>
    </row>
    <row r="651" spans="1:13">
      <c r="A651">
        <v>432</v>
      </c>
      <c r="B651">
        <v>109</v>
      </c>
      <c r="C651">
        <v>3</v>
      </c>
      <c r="D651">
        <v>0</v>
      </c>
      <c r="E651">
        <v>2</v>
      </c>
      <c r="G651">
        <v>-2.1363286909644645</v>
      </c>
      <c r="H651">
        <v>-2.6</v>
      </c>
      <c r="I651">
        <v>-2.1917665068254424</v>
      </c>
      <c r="K651">
        <v>-2.6</v>
      </c>
      <c r="M651">
        <f t="shared" si="10"/>
        <v>0.25321894979104032</v>
      </c>
    </row>
    <row r="652" spans="1:13">
      <c r="A652">
        <v>433</v>
      </c>
      <c r="B652">
        <v>69</v>
      </c>
      <c r="C652">
        <v>0</v>
      </c>
      <c r="D652">
        <v>0</v>
      </c>
      <c r="E652">
        <v>3</v>
      </c>
      <c r="G652">
        <v>-2.6</v>
      </c>
      <c r="H652">
        <v>-2.6</v>
      </c>
      <c r="I652">
        <v>-1.8170978405663931</v>
      </c>
      <c r="K652">
        <v>-2.6</v>
      </c>
      <c r="M652">
        <f t="shared" si="10"/>
        <v>0.45200877249813298</v>
      </c>
    </row>
    <row r="653" spans="1:13">
      <c r="A653">
        <v>434</v>
      </c>
      <c r="B653">
        <v>108</v>
      </c>
      <c r="C653">
        <v>1</v>
      </c>
      <c r="D653">
        <v>0</v>
      </c>
      <c r="E653">
        <v>0</v>
      </c>
      <c r="G653">
        <v>-2.6094472032304532</v>
      </c>
      <c r="H653">
        <v>-2.6</v>
      </c>
      <c r="I653">
        <v>-2.6</v>
      </c>
      <c r="K653">
        <v>-2.6</v>
      </c>
      <c r="M653">
        <f t="shared" si="10"/>
        <v>5.4543453281912088E-3</v>
      </c>
    </row>
    <row r="654" spans="1:13">
      <c r="A654">
        <v>436</v>
      </c>
      <c r="B654">
        <v>51</v>
      </c>
      <c r="C654">
        <v>0</v>
      </c>
      <c r="D654">
        <v>0</v>
      </c>
      <c r="E654">
        <v>0</v>
      </c>
      <c r="G654">
        <v>-2.6</v>
      </c>
      <c r="H654">
        <v>-2.6</v>
      </c>
      <c r="I654">
        <v>-2.6</v>
      </c>
      <c r="K654">
        <v>-2.6</v>
      </c>
      <c r="M654">
        <f t="shared" si="10"/>
        <v>0</v>
      </c>
    </row>
    <row r="655" spans="1:13">
      <c r="A655">
        <v>437</v>
      </c>
      <c r="B655">
        <v>178</v>
      </c>
      <c r="C655">
        <v>3</v>
      </c>
      <c r="D655">
        <v>0</v>
      </c>
      <c r="E655">
        <v>0</v>
      </c>
      <c r="G655">
        <v>-2.3493221953327348</v>
      </c>
      <c r="H655">
        <v>-2.6</v>
      </c>
      <c r="I655">
        <v>-2.6</v>
      </c>
      <c r="K655">
        <v>-2.6</v>
      </c>
      <c r="M655">
        <f t="shared" si="10"/>
        <v>0.14472889800451005</v>
      </c>
    </row>
    <row r="656" spans="1:13">
      <c r="A656">
        <v>438</v>
      </c>
      <c r="B656">
        <v>109</v>
      </c>
      <c r="C656">
        <v>0</v>
      </c>
      <c r="D656">
        <v>3</v>
      </c>
      <c r="E656">
        <v>2</v>
      </c>
      <c r="G656">
        <v>-2.6</v>
      </c>
      <c r="H656">
        <v>-2.0063922642006551</v>
      </c>
      <c r="I656">
        <v>-2.1917665068254424</v>
      </c>
      <c r="K656">
        <v>-2.6</v>
      </c>
      <c r="M656">
        <f t="shared" si="10"/>
        <v>0.3036962130098203</v>
      </c>
    </row>
    <row r="657" spans="1:13">
      <c r="A657">
        <v>442</v>
      </c>
      <c r="B657">
        <v>76</v>
      </c>
      <c r="C657">
        <v>2</v>
      </c>
      <c r="D657">
        <v>0</v>
      </c>
      <c r="E657">
        <v>0</v>
      </c>
      <c r="G657">
        <v>-2.1558070443603135</v>
      </c>
      <c r="H657">
        <v>-2.6</v>
      </c>
      <c r="I657">
        <v>-2.6</v>
      </c>
      <c r="K657">
        <v>-2.6</v>
      </c>
      <c r="M657">
        <f t="shared" si="10"/>
        <v>0.25645492251070856</v>
      </c>
    </row>
    <row r="658" spans="1:13">
      <c r="A658">
        <v>444</v>
      </c>
      <c r="B658">
        <v>68</v>
      </c>
      <c r="C658">
        <v>0</v>
      </c>
      <c r="D658">
        <v>0</v>
      </c>
      <c r="E658">
        <v>2</v>
      </c>
      <c r="G658">
        <v>-2.6</v>
      </c>
      <c r="H658">
        <v>-2.6</v>
      </c>
      <c r="I658">
        <v>-1.9868489215910554</v>
      </c>
      <c r="K658">
        <v>-2.6</v>
      </c>
      <c r="M658">
        <f t="shared" si="10"/>
        <v>0.35400294017331357</v>
      </c>
    </row>
    <row r="659" spans="1:13">
      <c r="A659">
        <v>447</v>
      </c>
      <c r="B659">
        <v>94</v>
      </c>
      <c r="C659">
        <v>0</v>
      </c>
      <c r="D659">
        <v>0</v>
      </c>
      <c r="E659">
        <v>2</v>
      </c>
      <c r="G659">
        <v>-2.6</v>
      </c>
      <c r="H659">
        <v>-2.6</v>
      </c>
      <c r="I659">
        <v>-2.1274678624845178</v>
      </c>
      <c r="K659">
        <v>-2.6</v>
      </c>
      <c r="M659">
        <f t="shared" si="10"/>
        <v>0.27281655679531297</v>
      </c>
    </row>
    <row r="660" spans="1:13">
      <c r="A660">
        <v>448</v>
      </c>
      <c r="B660">
        <v>89</v>
      </c>
      <c r="C660">
        <v>2</v>
      </c>
      <c r="D660">
        <v>0</v>
      </c>
      <c r="E660">
        <v>1</v>
      </c>
      <c r="G660">
        <v>-2.2243834587244349</v>
      </c>
      <c r="H660">
        <v>-2.6</v>
      </c>
      <c r="I660">
        <v>-2.4047600111937131</v>
      </c>
      <c r="K660">
        <v>-2.6</v>
      </c>
      <c r="M660">
        <f t="shared" si="10"/>
        <v>0.1878572773808172</v>
      </c>
    </row>
    <row r="661" spans="1:13">
      <c r="A661">
        <v>450</v>
      </c>
      <c r="B661">
        <v>77</v>
      </c>
      <c r="C661">
        <v>1</v>
      </c>
      <c r="D661">
        <v>0</v>
      </c>
      <c r="E661">
        <v>1</v>
      </c>
      <c r="G661">
        <v>-2.4625141729159852</v>
      </c>
      <c r="H661">
        <v>-2.6</v>
      </c>
      <c r="I661">
        <v>-2.3418607297212821</v>
      </c>
      <c r="K661">
        <v>-2.6</v>
      </c>
      <c r="M661">
        <f t="shared" si="10"/>
        <v>0.12916106796279733</v>
      </c>
    </row>
    <row r="662" spans="1:13">
      <c r="A662">
        <v>454</v>
      </c>
      <c r="B662">
        <v>111</v>
      </c>
      <c r="C662">
        <v>2</v>
      </c>
      <c r="D662">
        <v>4</v>
      </c>
      <c r="E662">
        <v>0</v>
      </c>
      <c r="G662">
        <v>-2.3203164308661797</v>
      </c>
      <c r="H662">
        <v>-1.8893500084383887</v>
      </c>
      <c r="I662">
        <v>-2.6</v>
      </c>
      <c r="K662">
        <v>-2.6</v>
      </c>
      <c r="M662">
        <f t="shared" si="10"/>
        <v>0.35799868868711787</v>
      </c>
    </row>
    <row r="663" spans="1:13">
      <c r="A663">
        <v>455</v>
      </c>
      <c r="B663">
        <v>80</v>
      </c>
      <c r="C663">
        <v>0</v>
      </c>
      <c r="D663">
        <v>0</v>
      </c>
      <c r="E663">
        <v>0</v>
      </c>
      <c r="G663">
        <v>-2.6</v>
      </c>
      <c r="H663">
        <v>-2.6</v>
      </c>
      <c r="I663">
        <v>-2.6</v>
      </c>
      <c r="K663">
        <v>-2.6</v>
      </c>
      <c r="M663">
        <f t="shared" si="10"/>
        <v>0</v>
      </c>
    </row>
    <row r="664" spans="1:13">
      <c r="A664">
        <v>456</v>
      </c>
      <c r="B664">
        <v>159</v>
      </c>
      <c r="C664">
        <v>0</v>
      </c>
      <c r="D664">
        <v>2</v>
      </c>
      <c r="E664">
        <v>1</v>
      </c>
      <c r="G664">
        <v>-2.6</v>
      </c>
      <c r="H664">
        <v>-2.3464541496361639</v>
      </c>
      <c r="I664">
        <v>-2.6567671288692516</v>
      </c>
      <c r="K664">
        <v>-2.6</v>
      </c>
      <c r="M664">
        <f t="shared" si="10"/>
        <v>0.16522820090070062</v>
      </c>
    </row>
    <row r="665" spans="1:13">
      <c r="A665">
        <v>459</v>
      </c>
      <c r="B665">
        <v>37</v>
      </c>
      <c r="C665">
        <v>1</v>
      </c>
      <c r="D665">
        <v>0</v>
      </c>
      <c r="E665">
        <v>0</v>
      </c>
      <c r="G665">
        <v>-2.1442251718104983</v>
      </c>
      <c r="H665">
        <v>-2.6</v>
      </c>
      <c r="I665">
        <v>-2.6</v>
      </c>
      <c r="K665">
        <v>-2.6</v>
      </c>
      <c r="M665">
        <f t="shared" si="10"/>
        <v>0.26314171974506428</v>
      </c>
    </row>
    <row r="666" spans="1:13">
      <c r="A666">
        <v>463</v>
      </c>
      <c r="B666">
        <v>142</v>
      </c>
      <c r="C666">
        <v>0</v>
      </c>
      <c r="D666">
        <v>1</v>
      </c>
      <c r="E666">
        <v>3</v>
      </c>
      <c r="G666">
        <v>-2.6</v>
      </c>
      <c r="H666">
        <v>-2.5983753653627497</v>
      </c>
      <c r="I666">
        <v>-2.1305370942121944</v>
      </c>
      <c r="K666">
        <v>-2.6</v>
      </c>
      <c r="M666">
        <f t="shared" si="10"/>
        <v>0.27057676276846565</v>
      </c>
    </row>
    <row r="667" spans="1:13">
      <c r="A667">
        <v>466</v>
      </c>
      <c r="B667">
        <v>120</v>
      </c>
      <c r="C667">
        <v>0</v>
      </c>
      <c r="D667">
        <v>0</v>
      </c>
      <c r="E667">
        <v>0</v>
      </c>
      <c r="G667">
        <v>-2.6</v>
      </c>
      <c r="H667">
        <v>-2.6</v>
      </c>
      <c r="I667">
        <v>-2.6</v>
      </c>
      <c r="K667">
        <v>-2.6</v>
      </c>
      <c r="M667">
        <f t="shared" si="10"/>
        <v>0</v>
      </c>
    </row>
    <row r="668" spans="1:13">
      <c r="A668">
        <v>467</v>
      </c>
      <c r="B668">
        <v>104</v>
      </c>
      <c r="C668">
        <v>1</v>
      </c>
      <c r="D668">
        <v>0</v>
      </c>
      <c r="E668">
        <v>1</v>
      </c>
      <c r="G668">
        <v>-2.5930567870422836</v>
      </c>
      <c r="H668">
        <v>-2.6</v>
      </c>
      <c r="I668">
        <v>-2.4724033438475805</v>
      </c>
      <c r="K668">
        <v>-2.6</v>
      </c>
      <c r="M668">
        <f t="shared" si="10"/>
        <v>7.1747669209752521E-2</v>
      </c>
    </row>
    <row r="669" spans="1:13">
      <c r="A669">
        <v>468</v>
      </c>
      <c r="B669">
        <v>81</v>
      </c>
      <c r="C669">
        <v>0</v>
      </c>
      <c r="D669">
        <v>1</v>
      </c>
      <c r="E669">
        <v>0</v>
      </c>
      <c r="G669">
        <v>-2.6</v>
      </c>
      <c r="H669">
        <v>-2.3545720398583434</v>
      </c>
      <c r="I669">
        <v>-2.6</v>
      </c>
      <c r="K669">
        <v>-2.6</v>
      </c>
      <c r="M669">
        <f t="shared" si="10"/>
        <v>0.14169789885444622</v>
      </c>
    </row>
    <row r="670" spans="1:13">
      <c r="A670">
        <v>469</v>
      </c>
      <c r="B670">
        <v>33</v>
      </c>
      <c r="C670">
        <v>0</v>
      </c>
      <c r="D670">
        <v>0</v>
      </c>
      <c r="E670">
        <v>0</v>
      </c>
      <c r="G670">
        <v>-2.6</v>
      </c>
      <c r="H670">
        <v>-2.6</v>
      </c>
      <c r="I670">
        <v>-2.6</v>
      </c>
      <c r="K670">
        <v>-2.6</v>
      </c>
      <c r="M670">
        <f t="shared" si="10"/>
        <v>0</v>
      </c>
    </row>
    <row r="671" spans="1:13">
      <c r="A671">
        <v>474</v>
      </c>
      <c r="B671">
        <v>37</v>
      </c>
      <c r="C671">
        <v>0</v>
      </c>
      <c r="D671">
        <v>1</v>
      </c>
      <c r="E671">
        <v>1</v>
      </c>
      <c r="G671">
        <v>-2.6</v>
      </c>
      <c r="H671">
        <v>-2.0142887450466889</v>
      </c>
      <c r="I671">
        <v>-2.0235717286157953</v>
      </c>
      <c r="K671">
        <v>-2.6</v>
      </c>
      <c r="M671">
        <f t="shared" si="10"/>
        <v>0.33551289096295045</v>
      </c>
    </row>
    <row r="672" spans="1:13">
      <c r="A672">
        <v>475</v>
      </c>
      <c r="B672">
        <v>89</v>
      </c>
      <c r="C672">
        <v>2</v>
      </c>
      <c r="D672">
        <v>2</v>
      </c>
      <c r="E672">
        <v>0</v>
      </c>
      <c r="G672">
        <v>-2.2243834587244349</v>
      </c>
      <c r="H672">
        <v>-2.094447031960625</v>
      </c>
      <c r="I672">
        <v>-2.6</v>
      </c>
      <c r="K672">
        <v>-2.6</v>
      </c>
      <c r="M672">
        <f t="shared" si="10"/>
        <v>0.26253731943395109</v>
      </c>
    </row>
    <row r="673" spans="1:13">
      <c r="A673">
        <v>478</v>
      </c>
      <c r="B673">
        <v>55</v>
      </c>
      <c r="C673">
        <v>1</v>
      </c>
      <c r="D673">
        <v>2</v>
      </c>
      <c r="E673">
        <v>0</v>
      </c>
      <c r="G673">
        <v>-2.316386137237747</v>
      </c>
      <c r="H673">
        <v>-1.8854197148099563</v>
      </c>
      <c r="I673">
        <v>-2.6</v>
      </c>
      <c r="K673">
        <v>-2.6</v>
      </c>
      <c r="M673">
        <f t="shared" si="10"/>
        <v>0.35981334614709537</v>
      </c>
    </row>
    <row r="674" spans="1:13">
      <c r="A674">
        <v>481</v>
      </c>
      <c r="B674">
        <v>147</v>
      </c>
      <c r="C674">
        <v>1</v>
      </c>
      <c r="D674">
        <v>0</v>
      </c>
      <c r="E674">
        <v>1</v>
      </c>
      <c r="G674">
        <v>-2.7433407824916793</v>
      </c>
      <c r="H674">
        <v>-2.6</v>
      </c>
      <c r="I674">
        <v>-2.6226873392969763</v>
      </c>
      <c r="K674">
        <v>-2.6</v>
      </c>
      <c r="M674">
        <f t="shared" si="10"/>
        <v>7.7048197734102833E-2</v>
      </c>
    </row>
    <row r="675" spans="1:13">
      <c r="A675">
        <v>483</v>
      </c>
      <c r="B675">
        <v>76</v>
      </c>
      <c r="C675">
        <v>1</v>
      </c>
      <c r="D675">
        <v>0</v>
      </c>
      <c r="E675">
        <v>2</v>
      </c>
      <c r="G675">
        <v>-2.4568370400242947</v>
      </c>
      <c r="H675">
        <v>-2.6</v>
      </c>
      <c r="I675">
        <v>-2.0351536011656104</v>
      </c>
      <c r="K675">
        <v>-2.6</v>
      </c>
      <c r="M675">
        <f t="shared" si="10"/>
        <v>0.29364491311584145</v>
      </c>
    </row>
    <row r="676" spans="1:13">
      <c r="A676">
        <v>494</v>
      </c>
      <c r="B676">
        <v>64</v>
      </c>
      <c r="C676">
        <v>0</v>
      </c>
      <c r="D676">
        <v>0</v>
      </c>
      <c r="E676">
        <v>0</v>
      </c>
      <c r="G676">
        <v>-2.6</v>
      </c>
      <c r="H676">
        <v>-2.6</v>
      </c>
      <c r="I676">
        <v>-2.6</v>
      </c>
      <c r="K676">
        <v>-2.6</v>
      </c>
      <c r="M676">
        <f t="shared" si="10"/>
        <v>0</v>
      </c>
    </row>
    <row r="677" spans="1:13">
      <c r="A677">
        <v>502</v>
      </c>
      <c r="B677">
        <v>119</v>
      </c>
      <c r="C677">
        <v>6</v>
      </c>
      <c r="D677">
        <v>1</v>
      </c>
      <c r="E677">
        <v>0</v>
      </c>
      <c r="G677">
        <v>-1.8734191587523905</v>
      </c>
      <c r="H677">
        <v>-2.521633982372224</v>
      </c>
      <c r="I677">
        <v>-2.6</v>
      </c>
      <c r="K677">
        <v>-2.6</v>
      </c>
      <c r="M677">
        <f t="shared" si="10"/>
        <v>0.39879890695842618</v>
      </c>
    </row>
    <row r="678" spans="1:13">
      <c r="A678">
        <v>506</v>
      </c>
      <c r="B678">
        <v>66</v>
      </c>
      <c r="C678">
        <v>0</v>
      </c>
      <c r="D678">
        <v>0</v>
      </c>
      <c r="E678">
        <v>0</v>
      </c>
      <c r="G678">
        <v>-2.6</v>
      </c>
      <c r="H678">
        <v>-2.6</v>
      </c>
      <c r="I678">
        <v>-2.6</v>
      </c>
      <c r="K678">
        <v>-2.6</v>
      </c>
      <c r="M678">
        <f t="shared" si="10"/>
        <v>0</v>
      </c>
    </row>
    <row r="679" spans="1:13">
      <c r="A679">
        <v>508</v>
      </c>
      <c r="B679">
        <v>92</v>
      </c>
      <c r="C679">
        <v>1</v>
      </c>
      <c r="D679">
        <v>2</v>
      </c>
      <c r="E679">
        <v>0</v>
      </c>
      <c r="G679">
        <v>-2.5398112750890585</v>
      </c>
      <c r="H679">
        <v>-2.1088448526612678</v>
      </c>
      <c r="I679">
        <v>-2.6</v>
      </c>
      <c r="K679">
        <v>-2.6</v>
      </c>
      <c r="M679">
        <f t="shared" si="10"/>
        <v>0.26788931751252104</v>
      </c>
    </row>
    <row r="680" spans="1:13">
      <c r="A680">
        <v>513</v>
      </c>
      <c r="B680">
        <v>85</v>
      </c>
      <c r="C680">
        <v>2</v>
      </c>
      <c r="D680">
        <v>1</v>
      </c>
      <c r="E680">
        <v>0</v>
      </c>
      <c r="G680">
        <v>-2.2044123777938149</v>
      </c>
      <c r="H680">
        <v>-2.3755059466939863</v>
      </c>
      <c r="I680">
        <v>-2.6</v>
      </c>
      <c r="K680">
        <v>-2.6</v>
      </c>
      <c r="M680">
        <f t="shared" si="10"/>
        <v>0.19839361386374668</v>
      </c>
    </row>
    <row r="681" spans="1:13">
      <c r="A681">
        <v>516</v>
      </c>
      <c r="B681">
        <v>152</v>
      </c>
      <c r="C681">
        <v>1</v>
      </c>
      <c r="D681">
        <v>3</v>
      </c>
      <c r="E681">
        <v>0</v>
      </c>
      <c r="G681">
        <v>-2.757867035688276</v>
      </c>
      <c r="H681">
        <v>-2.1508093542048039</v>
      </c>
      <c r="I681">
        <v>-2.6</v>
      </c>
      <c r="K681">
        <v>-2.6</v>
      </c>
      <c r="M681">
        <f t="shared" si="10"/>
        <v>0.31496382487385494</v>
      </c>
    </row>
    <row r="682" spans="1:13">
      <c r="A682">
        <v>518</v>
      </c>
      <c r="B682">
        <v>65</v>
      </c>
      <c r="C682">
        <v>0</v>
      </c>
      <c r="D682">
        <v>0</v>
      </c>
      <c r="E682">
        <v>1</v>
      </c>
      <c r="G682">
        <v>-2.6</v>
      </c>
      <c r="H682">
        <v>-2.6</v>
      </c>
      <c r="I682">
        <v>-2.2682833611916555</v>
      </c>
      <c r="K682">
        <v>-2.6</v>
      </c>
      <c r="M682">
        <f t="shared" si="10"/>
        <v>0.19151669071067559</v>
      </c>
    </row>
    <row r="683" spans="1:13">
      <c r="A683">
        <v>523</v>
      </c>
      <c r="B683">
        <v>32</v>
      </c>
      <c r="C683">
        <v>0</v>
      </c>
      <c r="D683">
        <v>1</v>
      </c>
      <c r="E683">
        <v>2</v>
      </c>
      <c r="G683">
        <v>-2.6</v>
      </c>
      <c r="H683">
        <v>-1.9512369992995997</v>
      </c>
      <c r="I683">
        <v>-1.6594899872047251</v>
      </c>
      <c r="K683">
        <v>-2.6</v>
      </c>
      <c r="M683">
        <f t="shared" si="10"/>
        <v>0.48141611147257335</v>
      </c>
    </row>
    <row r="684" spans="1:13">
      <c r="A684">
        <v>525</v>
      </c>
      <c r="B684">
        <v>156</v>
      </c>
      <c r="C684">
        <v>0</v>
      </c>
      <c r="D684">
        <v>0</v>
      </c>
      <c r="E684">
        <v>4</v>
      </c>
      <c r="G684">
        <v>-2.6</v>
      </c>
      <c r="H684">
        <v>-2.6</v>
      </c>
      <c r="I684">
        <v>-2.0464346115752994</v>
      </c>
      <c r="K684">
        <v>-2.6</v>
      </c>
      <c r="M684">
        <f t="shared" si="10"/>
        <v>0.31960112602106244</v>
      </c>
    </row>
    <row r="685" spans="1:13">
      <c r="A685">
        <v>526</v>
      </c>
      <c r="B685">
        <v>83</v>
      </c>
      <c r="C685">
        <v>0</v>
      </c>
      <c r="D685">
        <v>0</v>
      </c>
      <c r="E685">
        <v>1</v>
      </c>
      <c r="G685">
        <v>-2.6</v>
      </c>
      <c r="H685">
        <v>-2.6</v>
      </c>
      <c r="I685">
        <v>-2.3744480969248745</v>
      </c>
      <c r="K685">
        <v>-2.6</v>
      </c>
      <c r="M685">
        <f t="shared" si="10"/>
        <v>0.13022245195665616</v>
      </c>
    </row>
    <row r="686" spans="1:13">
      <c r="A686">
        <v>527</v>
      </c>
      <c r="B686">
        <v>52</v>
      </c>
      <c r="C686">
        <v>1</v>
      </c>
      <c r="D686">
        <v>2</v>
      </c>
      <c r="E686">
        <v>0</v>
      </c>
      <c r="G686">
        <v>-2.2920267913783023</v>
      </c>
      <c r="H686">
        <v>-1.8610603689505116</v>
      </c>
      <c r="I686">
        <v>-2.6</v>
      </c>
      <c r="K686">
        <v>-2.6</v>
      </c>
      <c r="M686">
        <f t="shared" si="10"/>
        <v>0.37117186783315287</v>
      </c>
    </row>
    <row r="687" spans="1:13">
      <c r="A687">
        <v>531</v>
      </c>
      <c r="B687">
        <v>47</v>
      </c>
      <c r="C687">
        <v>0</v>
      </c>
      <c r="D687">
        <v>1</v>
      </c>
      <c r="E687">
        <v>0</v>
      </c>
      <c r="G687">
        <v>-2.6</v>
      </c>
      <c r="H687">
        <v>-2.118184878915411</v>
      </c>
      <c r="I687">
        <v>-2.6</v>
      </c>
      <c r="K687">
        <v>-2.6</v>
      </c>
      <c r="M687">
        <f t="shared" si="10"/>
        <v>0.27817608985781966</v>
      </c>
    </row>
    <row r="688" spans="1:13">
      <c r="A688">
        <v>541</v>
      </c>
      <c r="B688">
        <v>144</v>
      </c>
      <c r="C688">
        <v>1</v>
      </c>
      <c r="D688">
        <v>1</v>
      </c>
      <c r="E688">
        <v>0</v>
      </c>
      <c r="G688">
        <v>-2.7343859398387531</v>
      </c>
      <c r="H688">
        <v>-2.6044495130749432</v>
      </c>
      <c r="I688">
        <v>-2.6</v>
      </c>
      <c r="K688">
        <v>-2.6</v>
      </c>
      <c r="M688">
        <f t="shared" si="10"/>
        <v>7.6335721206933396E-2</v>
      </c>
    </row>
    <row r="689" spans="1:13">
      <c r="A689">
        <v>544</v>
      </c>
      <c r="B689">
        <v>79</v>
      </c>
      <c r="C689">
        <v>0</v>
      </c>
      <c r="D689">
        <v>0</v>
      </c>
      <c r="E689">
        <v>0</v>
      </c>
      <c r="G689">
        <v>-2.6</v>
      </c>
      <c r="H689">
        <v>-2.6</v>
      </c>
      <c r="I689">
        <v>-2.6</v>
      </c>
      <c r="K689">
        <v>-2.6</v>
      </c>
      <c r="M689">
        <f t="shared" si="10"/>
        <v>0</v>
      </c>
    </row>
    <row r="690" spans="1:13">
      <c r="A690">
        <v>545</v>
      </c>
      <c r="B690">
        <v>51</v>
      </c>
      <c r="C690">
        <v>0</v>
      </c>
      <c r="D690">
        <v>0</v>
      </c>
      <c r="E690">
        <v>0</v>
      </c>
      <c r="G690">
        <v>-2.6</v>
      </c>
      <c r="H690">
        <v>-2.6</v>
      </c>
      <c r="I690">
        <v>-2.6</v>
      </c>
      <c r="K690">
        <v>-2.6</v>
      </c>
      <c r="M690">
        <f t="shared" si="10"/>
        <v>0</v>
      </c>
    </row>
    <row r="691" spans="1:13">
      <c r="A691">
        <v>546</v>
      </c>
      <c r="B691">
        <v>90</v>
      </c>
      <c r="C691">
        <v>0</v>
      </c>
      <c r="D691">
        <v>0</v>
      </c>
      <c r="E691">
        <v>4</v>
      </c>
      <c r="G691">
        <v>-2.6</v>
      </c>
      <c r="H691">
        <v>-2.6</v>
      </c>
      <c r="I691">
        <v>-1.8075525226601628</v>
      </c>
      <c r="K691">
        <v>-2.6</v>
      </c>
      <c r="M691">
        <f t="shared" si="10"/>
        <v>0.457519764360796</v>
      </c>
    </row>
    <row r="692" spans="1:13">
      <c r="A692">
        <v>547</v>
      </c>
      <c r="B692">
        <v>170</v>
      </c>
      <c r="C692">
        <v>1</v>
      </c>
      <c r="D692">
        <v>0</v>
      </c>
      <c r="E692">
        <v>1</v>
      </c>
      <c r="G692">
        <v>-2.8064723691217774</v>
      </c>
      <c r="H692">
        <v>-2.6</v>
      </c>
      <c r="I692">
        <v>-2.6858189259270744</v>
      </c>
      <c r="K692">
        <v>-2.6</v>
      </c>
      <c r="M692">
        <f t="shared" si="10"/>
        <v>0.10372478055956026</v>
      </c>
    </row>
    <row r="693" spans="1:13">
      <c r="A693">
        <v>549</v>
      </c>
      <c r="B693">
        <v>92</v>
      </c>
      <c r="C693">
        <v>0</v>
      </c>
      <c r="D693">
        <v>0</v>
      </c>
      <c r="E693">
        <v>1</v>
      </c>
      <c r="G693">
        <v>-2.6</v>
      </c>
      <c r="H693">
        <v>-2.6</v>
      </c>
      <c r="I693">
        <v>-2.4191578318943554</v>
      </c>
      <c r="K693">
        <v>-2.6</v>
      </c>
      <c r="M693">
        <f t="shared" si="10"/>
        <v>0.10440927443662952</v>
      </c>
    </row>
    <row r="694" spans="1:13">
      <c r="A694">
        <v>553</v>
      </c>
      <c r="B694">
        <v>17</v>
      </c>
      <c r="C694">
        <v>0</v>
      </c>
      <c r="D694">
        <v>0</v>
      </c>
      <c r="E694">
        <v>0</v>
      </c>
      <c r="G694">
        <v>-2.6</v>
      </c>
      <c r="H694">
        <v>-2.6</v>
      </c>
      <c r="I694">
        <v>-2.6</v>
      </c>
      <c r="K694">
        <v>-2.6</v>
      </c>
      <c r="M694">
        <f t="shared" si="10"/>
        <v>0</v>
      </c>
    </row>
    <row r="695" spans="1:13">
      <c r="A695">
        <v>554</v>
      </c>
      <c r="B695">
        <v>170</v>
      </c>
      <c r="C695">
        <v>1</v>
      </c>
      <c r="D695">
        <v>1</v>
      </c>
      <c r="E695">
        <v>0</v>
      </c>
      <c r="G695">
        <v>-2.8064723691217774</v>
      </c>
      <c r="H695">
        <v>-2.676535942357968</v>
      </c>
      <c r="I695">
        <v>-2.6</v>
      </c>
      <c r="K695">
        <v>-2.6</v>
      </c>
      <c r="M695">
        <f t="shared" si="10"/>
        <v>0.10438076505717619</v>
      </c>
    </row>
    <row r="696" spans="1:13">
      <c r="A696">
        <v>556</v>
      </c>
      <c r="B696">
        <v>187</v>
      </c>
      <c r="C696">
        <v>0</v>
      </c>
      <c r="D696">
        <v>1</v>
      </c>
      <c r="E696">
        <v>3</v>
      </c>
      <c r="G696">
        <v>-2.6</v>
      </c>
      <c r="H696">
        <v>-2.7179286275161925</v>
      </c>
      <c r="I696">
        <v>-2.2500903563656367</v>
      </c>
      <c r="K696">
        <v>-2.6</v>
      </c>
      <c r="M696">
        <f t="shared" si="10"/>
        <v>0.24331617559919883</v>
      </c>
    </row>
    <row r="697" spans="1:13">
      <c r="A697">
        <v>558</v>
      </c>
      <c r="B697">
        <v>216</v>
      </c>
      <c r="C697">
        <v>3</v>
      </c>
      <c r="D697">
        <v>1</v>
      </c>
      <c r="E697">
        <v>0</v>
      </c>
      <c r="G697">
        <v>-2.4333559441747719</v>
      </c>
      <c r="H697">
        <v>-2.7805407721306246</v>
      </c>
      <c r="I697">
        <v>-2.6</v>
      </c>
      <c r="K697">
        <v>-2.6</v>
      </c>
      <c r="M697">
        <f t="shared" si="10"/>
        <v>0.17363876127665107</v>
      </c>
    </row>
    <row r="698" spans="1:13">
      <c r="A698">
        <v>562</v>
      </c>
      <c r="B698">
        <v>25</v>
      </c>
      <c r="C698">
        <v>0</v>
      </c>
      <c r="D698">
        <v>0</v>
      </c>
      <c r="E698">
        <v>0</v>
      </c>
      <c r="G698">
        <v>-2.6</v>
      </c>
      <c r="H698">
        <v>-2.6</v>
      </c>
      <c r="I698">
        <v>-2.6</v>
      </c>
      <c r="K698">
        <v>-2.6</v>
      </c>
      <c r="M698">
        <f t="shared" si="10"/>
        <v>0</v>
      </c>
    </row>
    <row r="699" spans="1:13">
      <c r="A699">
        <v>564</v>
      </c>
      <c r="B699">
        <v>17</v>
      </c>
      <c r="C699">
        <v>0</v>
      </c>
      <c r="D699">
        <v>0</v>
      </c>
      <c r="E699">
        <v>0</v>
      </c>
      <c r="G699">
        <v>-2.6</v>
      </c>
      <c r="H699">
        <v>-2.6</v>
      </c>
      <c r="I699">
        <v>-2.6</v>
      </c>
      <c r="K699">
        <v>-2.6</v>
      </c>
      <c r="M699">
        <f t="shared" si="10"/>
        <v>0</v>
      </c>
    </row>
    <row r="700" spans="1:13">
      <c r="A700">
        <v>565</v>
      </c>
      <c r="B700">
        <v>251</v>
      </c>
      <c r="C700">
        <v>3</v>
      </c>
      <c r="D700">
        <v>0</v>
      </c>
      <c r="E700">
        <v>1</v>
      </c>
      <c r="G700">
        <v>-2.4985759145048791</v>
      </c>
      <c r="H700">
        <v>-2.6</v>
      </c>
      <c r="I700">
        <v>-2.8550437260298382</v>
      </c>
      <c r="K700">
        <v>-2.6</v>
      </c>
      <c r="M700">
        <f t="shared" si="10"/>
        <v>0.18366792859174702</v>
      </c>
    </row>
    <row r="701" spans="1:13">
      <c r="A701">
        <v>567</v>
      </c>
      <c r="B701">
        <v>11</v>
      </c>
      <c r="C701">
        <v>0</v>
      </c>
      <c r="D701">
        <v>0</v>
      </c>
      <c r="E701">
        <v>1</v>
      </c>
      <c r="G701">
        <v>-2.6</v>
      </c>
      <c r="H701">
        <v>-2.6</v>
      </c>
      <c r="I701">
        <v>-1.4967626897070252</v>
      </c>
      <c r="K701">
        <v>-2.6</v>
      </c>
      <c r="M701">
        <f t="shared" si="10"/>
        <v>0.63695435807768819</v>
      </c>
    </row>
    <row r="702" spans="1:13">
      <c r="A702">
        <v>569</v>
      </c>
      <c r="B702">
        <v>44</v>
      </c>
      <c r="C702">
        <v>1</v>
      </c>
      <c r="D702">
        <v>1</v>
      </c>
      <c r="E702">
        <v>0</v>
      </c>
      <c r="G702">
        <v>-2.2194761242296908</v>
      </c>
      <c r="H702">
        <v>-2.0895396974658809</v>
      </c>
      <c r="I702">
        <v>-2.6</v>
      </c>
      <c r="K702">
        <v>-2.6</v>
      </c>
      <c r="M702">
        <f t="shared" si="10"/>
        <v>0.26528337537264729</v>
      </c>
    </row>
    <row r="703" spans="1:13">
      <c r="A703">
        <v>570</v>
      </c>
      <c r="B703">
        <v>141</v>
      </c>
      <c r="C703">
        <v>1</v>
      </c>
      <c r="D703">
        <v>1</v>
      </c>
      <c r="E703">
        <v>0</v>
      </c>
      <c r="G703">
        <v>-2.7252425603988835</v>
      </c>
      <c r="H703">
        <v>-2.5953061336350736</v>
      </c>
      <c r="I703">
        <v>-2.6</v>
      </c>
      <c r="K703">
        <v>-2.6</v>
      </c>
      <c r="M703">
        <f t="shared" si="10"/>
        <v>7.3701205685373819E-2</v>
      </c>
    </row>
    <row r="704" spans="1:13">
      <c r="A704">
        <v>571</v>
      </c>
      <c r="B704">
        <v>114</v>
      </c>
      <c r="C704">
        <v>0</v>
      </c>
      <c r="D704">
        <v>0</v>
      </c>
      <c r="E704">
        <v>1</v>
      </c>
      <c r="G704">
        <v>-2.6</v>
      </c>
      <c r="H704">
        <v>-2.6</v>
      </c>
      <c r="I704">
        <v>-2.512274855885273</v>
      </c>
      <c r="K704">
        <v>-2.6</v>
      </c>
      <c r="M704">
        <f t="shared" si="10"/>
        <v>5.0648135569336401E-2</v>
      </c>
    </row>
    <row r="705" spans="1:13">
      <c r="A705">
        <v>572</v>
      </c>
      <c r="B705">
        <v>23</v>
      </c>
      <c r="C705">
        <v>0</v>
      </c>
      <c r="D705">
        <v>0</v>
      </c>
      <c r="E705">
        <v>0</v>
      </c>
      <c r="G705">
        <v>-2.6</v>
      </c>
      <c r="H705">
        <v>-2.6</v>
      </c>
      <c r="I705">
        <v>-2.6</v>
      </c>
      <c r="K705">
        <v>-2.6</v>
      </c>
      <c r="M705">
        <f t="shared" si="10"/>
        <v>0</v>
      </c>
    </row>
    <row r="706" spans="1:13">
      <c r="A706">
        <v>573</v>
      </c>
      <c r="B706">
        <v>113</v>
      </c>
      <c r="C706">
        <v>0</v>
      </c>
      <c r="D706">
        <v>2</v>
      </c>
      <c r="E706">
        <v>2</v>
      </c>
      <c r="G706">
        <v>-2.6</v>
      </c>
      <c r="H706">
        <v>-2.1981354687991321</v>
      </c>
      <c r="I706">
        <v>-2.2074184523682385</v>
      </c>
      <c r="K706">
        <v>-2.6</v>
      </c>
      <c r="M706">
        <f t="shared" si="10"/>
        <v>0.2293837929330764</v>
      </c>
    </row>
    <row r="707" spans="1:13">
      <c r="A707">
        <v>575</v>
      </c>
      <c r="B707">
        <v>67</v>
      </c>
      <c r="C707">
        <v>0</v>
      </c>
      <c r="D707">
        <v>1</v>
      </c>
      <c r="E707">
        <v>1</v>
      </c>
      <c r="G707">
        <v>-2.6</v>
      </c>
      <c r="H707">
        <v>-2.2721618236805199</v>
      </c>
      <c r="I707">
        <v>-2.2814448072496267</v>
      </c>
      <c r="K707">
        <v>-2.6</v>
      </c>
      <c r="M707">
        <f t="shared" ref="M707:M770" si="11">STDEV(G707:I707)</f>
        <v>0.18665541087998422</v>
      </c>
    </row>
    <row r="708" spans="1:13">
      <c r="A708">
        <v>576</v>
      </c>
      <c r="B708">
        <v>86</v>
      </c>
      <c r="C708">
        <v>2</v>
      </c>
      <c r="D708">
        <v>1</v>
      </c>
      <c r="E708">
        <v>0</v>
      </c>
      <c r="G708">
        <v>-2.20949190332309</v>
      </c>
      <c r="H708">
        <v>-2.3805854722232613</v>
      </c>
      <c r="I708">
        <v>-2.6</v>
      </c>
      <c r="K708">
        <v>-2.6</v>
      </c>
      <c r="M708">
        <f t="shared" si="11"/>
        <v>0.19575167853205838</v>
      </c>
    </row>
    <row r="709" spans="1:13">
      <c r="A709">
        <v>577</v>
      </c>
      <c r="B709">
        <v>206</v>
      </c>
      <c r="C709">
        <v>2</v>
      </c>
      <c r="D709">
        <v>0</v>
      </c>
      <c r="E709">
        <v>2</v>
      </c>
      <c r="G709">
        <v>-2.5888606724486758</v>
      </c>
      <c r="H709">
        <v>-2.6</v>
      </c>
      <c r="I709">
        <v>-2.4682072292539727</v>
      </c>
      <c r="K709">
        <v>-2.6</v>
      </c>
      <c r="M709">
        <f t="shared" si="11"/>
        <v>7.3087473155970278E-2</v>
      </c>
    </row>
    <row r="710" spans="1:13">
      <c r="A710">
        <v>578</v>
      </c>
      <c r="B710">
        <v>68</v>
      </c>
      <c r="C710">
        <v>0</v>
      </c>
      <c r="D710">
        <v>0</v>
      </c>
      <c r="E710">
        <v>1</v>
      </c>
      <c r="G710">
        <v>-2.6</v>
      </c>
      <c r="H710">
        <v>-2.6</v>
      </c>
      <c r="I710">
        <v>-2.2878789172550364</v>
      </c>
      <c r="K710">
        <v>-2.6</v>
      </c>
      <c r="M710">
        <f t="shared" si="11"/>
        <v>0.18020319114256222</v>
      </c>
    </row>
    <row r="711" spans="1:13">
      <c r="A711">
        <v>580</v>
      </c>
      <c r="B711">
        <v>73</v>
      </c>
      <c r="C711">
        <v>0</v>
      </c>
      <c r="D711">
        <v>0</v>
      </c>
      <c r="E711">
        <v>0</v>
      </c>
      <c r="G711">
        <v>-2.6</v>
      </c>
      <c r="H711">
        <v>-2.6</v>
      </c>
      <c r="I711">
        <v>-2.6</v>
      </c>
      <c r="K711">
        <v>-2.6</v>
      </c>
      <c r="M711">
        <f t="shared" si="11"/>
        <v>0</v>
      </c>
    </row>
    <row r="712" spans="1:13">
      <c r="A712">
        <v>581</v>
      </c>
      <c r="B712">
        <v>52</v>
      </c>
      <c r="C712">
        <v>1</v>
      </c>
      <c r="D712">
        <v>0</v>
      </c>
      <c r="E712">
        <v>1</v>
      </c>
      <c r="G712">
        <v>-2.2920267913783023</v>
      </c>
      <c r="H712">
        <v>-2.6</v>
      </c>
      <c r="I712">
        <v>-2.1713733481835993</v>
      </c>
      <c r="K712">
        <v>-2.6</v>
      </c>
      <c r="M712">
        <f t="shared" si="11"/>
        <v>0.22102999692003319</v>
      </c>
    </row>
    <row r="713" spans="1:13">
      <c r="A713">
        <v>582</v>
      </c>
      <c r="B713">
        <v>27</v>
      </c>
      <c r="C713">
        <v>1</v>
      </c>
      <c r="D713">
        <v>0</v>
      </c>
      <c r="E713">
        <v>1</v>
      </c>
      <c r="G713">
        <v>-2.0073872119024907</v>
      </c>
      <c r="H713">
        <v>-2.6</v>
      </c>
      <c r="I713">
        <v>-1.8867337687077876</v>
      </c>
      <c r="K713">
        <v>-2.6</v>
      </c>
      <c r="M713">
        <f t="shared" si="11"/>
        <v>0.38177128551730982</v>
      </c>
    </row>
    <row r="714" spans="1:13">
      <c r="A714">
        <v>583</v>
      </c>
      <c r="B714">
        <v>119</v>
      </c>
      <c r="C714">
        <v>0</v>
      </c>
      <c r="D714">
        <v>0</v>
      </c>
      <c r="E714">
        <v>0</v>
      </c>
      <c r="G714">
        <v>-2.6</v>
      </c>
      <c r="H714">
        <v>-2.6</v>
      </c>
      <c r="I714">
        <v>-2.6</v>
      </c>
      <c r="K714">
        <v>-2.6</v>
      </c>
      <c r="M714">
        <f t="shared" si="11"/>
        <v>0</v>
      </c>
    </row>
    <row r="715" spans="1:13">
      <c r="A715">
        <v>584</v>
      </c>
      <c r="B715">
        <v>343</v>
      </c>
      <c r="C715">
        <v>6</v>
      </c>
      <c r="D715">
        <v>0</v>
      </c>
      <c r="E715">
        <v>2</v>
      </c>
      <c r="G715">
        <v>-2.3331663174026303</v>
      </c>
      <c r="H715">
        <v>-2.6</v>
      </c>
      <c r="I715">
        <v>-2.6896341289275898</v>
      </c>
      <c r="K715">
        <v>-2.6</v>
      </c>
      <c r="M715">
        <f t="shared" si="11"/>
        <v>0.18542913825793211</v>
      </c>
    </row>
    <row r="716" spans="1:13">
      <c r="A716">
        <v>585</v>
      </c>
      <c r="B716">
        <v>47</v>
      </c>
      <c r="C716">
        <v>1</v>
      </c>
      <c r="D716">
        <v>0</v>
      </c>
      <c r="E716">
        <v>1</v>
      </c>
      <c r="G716">
        <v>-2.2481213056792209</v>
      </c>
      <c r="H716">
        <v>-2.6</v>
      </c>
      <c r="I716">
        <v>-2.1274678624845178</v>
      </c>
      <c r="K716">
        <v>-2.6</v>
      </c>
      <c r="M716">
        <f t="shared" si="11"/>
        <v>0.24551391333845843</v>
      </c>
    </row>
    <row r="717" spans="1:13">
      <c r="A717">
        <v>587</v>
      </c>
      <c r="B717">
        <v>159</v>
      </c>
      <c r="C717">
        <v>0</v>
      </c>
      <c r="D717">
        <v>2</v>
      </c>
      <c r="E717">
        <v>2</v>
      </c>
      <c r="G717">
        <v>-2.6</v>
      </c>
      <c r="H717">
        <v>-2.3464541496361639</v>
      </c>
      <c r="I717">
        <v>-2.3557371332052703</v>
      </c>
      <c r="K717">
        <v>-2.6</v>
      </c>
      <c r="M717">
        <f t="shared" si="11"/>
        <v>0.14377993608025019</v>
      </c>
    </row>
    <row r="718" spans="1:13">
      <c r="A718">
        <v>588</v>
      </c>
      <c r="B718">
        <v>97</v>
      </c>
      <c r="C718">
        <v>2</v>
      </c>
      <c r="D718">
        <v>1</v>
      </c>
      <c r="E718">
        <v>0</v>
      </c>
      <c r="G718">
        <v>-2.2617651863457668</v>
      </c>
      <c r="H718">
        <v>-2.4328587552459382</v>
      </c>
      <c r="I718">
        <v>-2.6</v>
      </c>
      <c r="K718">
        <v>-2.6</v>
      </c>
      <c r="M718">
        <f t="shared" si="11"/>
        <v>0.16912125540799064</v>
      </c>
    </row>
    <row r="719" spans="1:13">
      <c r="A719">
        <v>589</v>
      </c>
      <c r="B719">
        <v>163</v>
      </c>
      <c r="C719">
        <v>0</v>
      </c>
      <c r="D719">
        <v>2</v>
      </c>
      <c r="E719">
        <v>1</v>
      </c>
      <c r="G719">
        <v>-2.6</v>
      </c>
      <c r="H719">
        <v>-2.3572446297196703</v>
      </c>
      <c r="I719">
        <v>-2.667557608952758</v>
      </c>
      <c r="K719">
        <v>-2.6</v>
      </c>
      <c r="M719">
        <f t="shared" si="11"/>
        <v>0.16319127091027696</v>
      </c>
    </row>
    <row r="720" spans="1:13">
      <c r="A720">
        <v>594</v>
      </c>
      <c r="B720">
        <v>23</v>
      </c>
      <c r="C720">
        <v>0</v>
      </c>
      <c r="D720">
        <v>0</v>
      </c>
      <c r="E720">
        <v>0</v>
      </c>
      <c r="G720">
        <v>-2.6</v>
      </c>
      <c r="H720">
        <v>-2.6</v>
      </c>
      <c r="I720">
        <v>-2.6</v>
      </c>
      <c r="K720">
        <v>-2.6</v>
      </c>
      <c r="M720">
        <f t="shared" si="11"/>
        <v>0</v>
      </c>
    </row>
    <row r="721" spans="1:13">
      <c r="A721">
        <v>595</v>
      </c>
      <c r="B721">
        <v>59</v>
      </c>
      <c r="C721">
        <v>0</v>
      </c>
      <c r="D721">
        <v>2</v>
      </c>
      <c r="E721">
        <v>0</v>
      </c>
      <c r="G721">
        <v>-2.6</v>
      </c>
      <c r="H721">
        <v>-1.9159090369578566</v>
      </c>
      <c r="I721">
        <v>-2.6</v>
      </c>
      <c r="K721">
        <v>-2.6</v>
      </c>
      <c r="M721">
        <f t="shared" si="11"/>
        <v>0.39496010166256956</v>
      </c>
    </row>
    <row r="722" spans="1:13">
      <c r="A722">
        <v>596</v>
      </c>
      <c r="B722">
        <v>18</v>
      </c>
      <c r="C722">
        <v>0</v>
      </c>
      <c r="D722">
        <v>0</v>
      </c>
      <c r="E722">
        <v>0</v>
      </c>
      <c r="G722">
        <v>-2.6</v>
      </c>
      <c r="H722">
        <v>-2.6</v>
      </c>
      <c r="I722">
        <v>-2.6</v>
      </c>
      <c r="K722">
        <v>-2.6</v>
      </c>
      <c r="M722">
        <f t="shared" si="11"/>
        <v>0</v>
      </c>
    </row>
    <row r="723" spans="1:13">
      <c r="A723">
        <v>597</v>
      </c>
      <c r="B723">
        <v>204</v>
      </c>
      <c r="C723">
        <v>4</v>
      </c>
      <c r="D723">
        <v>0</v>
      </c>
      <c r="E723">
        <v>4</v>
      </c>
      <c r="G723">
        <v>-2.2835936238414396</v>
      </c>
      <c r="H723">
        <v>-2.6</v>
      </c>
      <c r="I723">
        <v>-2.1629401806467365</v>
      </c>
      <c r="K723">
        <v>-2.6</v>
      </c>
      <c r="M723">
        <f t="shared" si="11"/>
        <v>0.2257179412163321</v>
      </c>
    </row>
    <row r="724" spans="1:13">
      <c r="A724">
        <v>598</v>
      </c>
      <c r="B724">
        <v>209</v>
      </c>
      <c r="C724">
        <v>0</v>
      </c>
      <c r="D724">
        <v>2</v>
      </c>
      <c r="E724">
        <v>1</v>
      </c>
      <c r="G724">
        <v>-2.6</v>
      </c>
      <c r="H724">
        <v>-2.4652033114267669</v>
      </c>
      <c r="I724">
        <v>-2.7755162906598545</v>
      </c>
      <c r="K724">
        <v>-2.6</v>
      </c>
      <c r="M724">
        <f t="shared" si="11"/>
        <v>0.15560112500547588</v>
      </c>
    </row>
    <row r="725" spans="1:13">
      <c r="A725">
        <v>599</v>
      </c>
      <c r="B725">
        <v>15</v>
      </c>
      <c r="C725">
        <v>0</v>
      </c>
      <c r="D725">
        <v>0</v>
      </c>
      <c r="E725">
        <v>0</v>
      </c>
      <c r="G725">
        <v>-2.6</v>
      </c>
      <c r="H725">
        <v>-2.6</v>
      </c>
      <c r="I725">
        <v>-2.6</v>
      </c>
      <c r="K725">
        <v>-2.6</v>
      </c>
      <c r="M725">
        <f t="shared" si="11"/>
        <v>0</v>
      </c>
    </row>
    <row r="726" spans="1:13">
      <c r="A726">
        <v>600</v>
      </c>
      <c r="B726">
        <v>129</v>
      </c>
      <c r="C726">
        <v>0</v>
      </c>
      <c r="D726">
        <v>1</v>
      </c>
      <c r="E726">
        <v>2</v>
      </c>
      <c r="G726">
        <v>-2.6</v>
      </c>
      <c r="H726">
        <v>-2.5566767312789427</v>
      </c>
      <c r="I726">
        <v>-2.2649297191840683</v>
      </c>
      <c r="K726">
        <v>-2.6</v>
      </c>
      <c r="M726">
        <f t="shared" si="11"/>
        <v>0.18223854228502778</v>
      </c>
    </row>
    <row r="727" spans="1:13">
      <c r="A727">
        <v>602</v>
      </c>
      <c r="B727">
        <v>65</v>
      </c>
      <c r="C727">
        <v>0</v>
      </c>
      <c r="D727">
        <v>0</v>
      </c>
      <c r="E727">
        <v>0</v>
      </c>
      <c r="G727">
        <v>-2.6</v>
      </c>
      <c r="H727">
        <v>-2.6</v>
      </c>
      <c r="I727">
        <v>-2.6</v>
      </c>
      <c r="K727">
        <v>-2.6</v>
      </c>
      <c r="M727">
        <f t="shared" si="11"/>
        <v>0</v>
      </c>
    </row>
    <row r="728" spans="1:13">
      <c r="A728">
        <v>610</v>
      </c>
      <c r="B728">
        <v>73</v>
      </c>
      <c r="C728">
        <v>1</v>
      </c>
      <c r="D728">
        <v>0</v>
      </c>
      <c r="E728">
        <v>1</v>
      </c>
      <c r="G728">
        <v>-2.4393463078639592</v>
      </c>
      <c r="H728">
        <v>-2.6</v>
      </c>
      <c r="I728">
        <v>-2.3186928646692562</v>
      </c>
      <c r="K728">
        <v>-2.6</v>
      </c>
      <c r="M728">
        <f t="shared" si="11"/>
        <v>0.14112675540075589</v>
      </c>
    </row>
    <row r="729" spans="1:13">
      <c r="A729">
        <v>611</v>
      </c>
      <c r="B729">
        <v>167</v>
      </c>
      <c r="C729">
        <v>2</v>
      </c>
      <c r="D729">
        <v>1</v>
      </c>
      <c r="E729">
        <v>0</v>
      </c>
      <c r="G729">
        <v>-2.4977099232271054</v>
      </c>
      <c r="H729">
        <v>-2.6688034921272772</v>
      </c>
      <c r="I729">
        <v>-2.6</v>
      </c>
      <c r="K729">
        <v>-2.6</v>
      </c>
      <c r="M729">
        <f t="shared" si="11"/>
        <v>8.6091220665554122E-2</v>
      </c>
    </row>
    <row r="730" spans="1:13">
      <c r="A730">
        <v>613</v>
      </c>
      <c r="B730">
        <v>26</v>
      </c>
      <c r="C730">
        <v>0</v>
      </c>
      <c r="D730">
        <v>0</v>
      </c>
      <c r="E730">
        <v>0</v>
      </c>
      <c r="G730">
        <v>-2.6</v>
      </c>
      <c r="H730">
        <v>-2.6</v>
      </c>
      <c r="I730">
        <v>-2.6</v>
      </c>
      <c r="K730">
        <v>-2.6</v>
      </c>
      <c r="M730">
        <f t="shared" si="11"/>
        <v>0</v>
      </c>
    </row>
    <row r="731" spans="1:13">
      <c r="A731">
        <v>614</v>
      </c>
      <c r="B731">
        <v>28</v>
      </c>
      <c r="C731">
        <v>0</v>
      </c>
      <c r="D731">
        <v>0</v>
      </c>
      <c r="E731">
        <v>0</v>
      </c>
      <c r="G731">
        <v>-2.6</v>
      </c>
      <c r="H731">
        <v>-2.6</v>
      </c>
      <c r="I731">
        <v>-2.6</v>
      </c>
      <c r="K731">
        <v>-2.6</v>
      </c>
      <c r="M731">
        <f t="shared" si="11"/>
        <v>0</v>
      </c>
    </row>
    <row r="732" spans="1:13">
      <c r="A732">
        <v>615</v>
      </c>
      <c r="B732">
        <v>125</v>
      </c>
      <c r="C732">
        <v>1</v>
      </c>
      <c r="D732">
        <v>0</v>
      </c>
      <c r="E732">
        <v>1</v>
      </c>
      <c r="G732">
        <v>-2.6729334607515596</v>
      </c>
      <c r="H732">
        <v>-2.6</v>
      </c>
      <c r="I732">
        <v>-2.5522800175568565</v>
      </c>
      <c r="K732">
        <v>-2.6</v>
      </c>
      <c r="M732">
        <f t="shared" si="11"/>
        <v>6.0764216136789249E-2</v>
      </c>
    </row>
    <row r="733" spans="1:13">
      <c r="A733">
        <v>617</v>
      </c>
      <c r="B733">
        <v>126</v>
      </c>
      <c r="C733">
        <v>0</v>
      </c>
      <c r="D733">
        <v>1</v>
      </c>
      <c r="E733">
        <v>1</v>
      </c>
      <c r="G733">
        <v>-2.6</v>
      </c>
      <c r="H733">
        <v>-2.5464575660972564</v>
      </c>
      <c r="I733">
        <v>-2.5557405496663632</v>
      </c>
      <c r="K733">
        <v>-2.6</v>
      </c>
      <c r="M733">
        <f t="shared" si="11"/>
        <v>2.8611958327506046E-2</v>
      </c>
    </row>
    <row r="734" spans="1:13">
      <c r="A734">
        <v>618</v>
      </c>
      <c r="B734">
        <v>44</v>
      </c>
      <c r="C734">
        <v>0</v>
      </c>
      <c r="D734">
        <v>0</v>
      </c>
      <c r="E734">
        <v>3</v>
      </c>
      <c r="G734">
        <v>-2.6</v>
      </c>
      <c r="H734">
        <v>-2.6</v>
      </c>
      <c r="I734">
        <v>-1.6217014263153253</v>
      </c>
      <c r="K734">
        <v>-2.6</v>
      </c>
      <c r="M734">
        <f t="shared" si="11"/>
        <v>0.56482094486467449</v>
      </c>
    </row>
    <row r="735" spans="1:13">
      <c r="A735">
        <v>619</v>
      </c>
      <c r="B735">
        <v>163</v>
      </c>
      <c r="C735">
        <v>0</v>
      </c>
      <c r="D735">
        <v>2</v>
      </c>
      <c r="E735">
        <v>4</v>
      </c>
      <c r="G735">
        <v>-2.6</v>
      </c>
      <c r="H735">
        <v>-2.3572446297196703</v>
      </c>
      <c r="I735">
        <v>-2.0654976176247954</v>
      </c>
      <c r="K735">
        <v>-2.6</v>
      </c>
      <c r="M735">
        <f t="shared" si="11"/>
        <v>0.26762513759329998</v>
      </c>
    </row>
    <row r="736" spans="1:13">
      <c r="A736">
        <v>620</v>
      </c>
      <c r="B736">
        <v>113</v>
      </c>
      <c r="C736">
        <v>0</v>
      </c>
      <c r="D736">
        <v>0</v>
      </c>
      <c r="E736">
        <v>0</v>
      </c>
      <c r="G736">
        <v>-2.6</v>
      </c>
      <c r="H736">
        <v>-2.6</v>
      </c>
      <c r="I736">
        <v>-2.6</v>
      </c>
      <c r="K736">
        <v>-2.6</v>
      </c>
      <c r="M736">
        <f t="shared" si="11"/>
        <v>0</v>
      </c>
    </row>
    <row r="737" spans="1:13">
      <c r="A737">
        <v>621</v>
      </c>
      <c r="B737">
        <v>153</v>
      </c>
      <c r="C737">
        <v>0</v>
      </c>
      <c r="D737">
        <v>0</v>
      </c>
      <c r="E737">
        <v>1</v>
      </c>
      <c r="G737">
        <v>-2.6</v>
      </c>
      <c r="H737">
        <v>-2.6</v>
      </c>
      <c r="I737">
        <v>-2.6400614353663991</v>
      </c>
      <c r="K737">
        <v>-2.6</v>
      </c>
      <c r="M737">
        <f t="shared" si="11"/>
        <v>2.3129480492913287E-2</v>
      </c>
    </row>
    <row r="738" spans="1:13">
      <c r="A738">
        <v>626</v>
      </c>
      <c r="B738">
        <v>48</v>
      </c>
      <c r="C738">
        <v>0</v>
      </c>
      <c r="D738">
        <v>1</v>
      </c>
      <c r="E738">
        <v>3</v>
      </c>
      <c r="G738">
        <v>-2.6</v>
      </c>
      <c r="H738">
        <v>-2.1273282583552806</v>
      </c>
      <c r="I738">
        <v>-1.6594899872047251</v>
      </c>
      <c r="K738">
        <v>-2.6</v>
      </c>
      <c r="M738">
        <f t="shared" si="11"/>
        <v>0.4702570764079953</v>
      </c>
    </row>
    <row r="739" spans="1:13">
      <c r="A739">
        <v>628</v>
      </c>
      <c r="B739">
        <v>116</v>
      </c>
      <c r="C739">
        <v>1</v>
      </c>
      <c r="D739">
        <v>0</v>
      </c>
      <c r="E739">
        <v>0</v>
      </c>
      <c r="G739">
        <v>-2.6404814369704219</v>
      </c>
      <c r="H739">
        <v>-2.6</v>
      </c>
      <c r="I739">
        <v>-2.6</v>
      </c>
      <c r="K739">
        <v>-2.6</v>
      </c>
      <c r="M739">
        <f t="shared" si="11"/>
        <v>2.3371968532055917E-2</v>
      </c>
    </row>
    <row r="740" spans="1:13">
      <c r="A740">
        <v>629</v>
      </c>
      <c r="B740">
        <v>287</v>
      </c>
      <c r="C740">
        <v>0</v>
      </c>
      <c r="D740">
        <v>0</v>
      </c>
      <c r="E740">
        <v>0</v>
      </c>
      <c r="G740">
        <v>-2.6</v>
      </c>
      <c r="H740">
        <v>-2.6</v>
      </c>
      <c r="I740">
        <v>-2.6</v>
      </c>
      <c r="K740">
        <v>-2.6</v>
      </c>
      <c r="M740">
        <f t="shared" si="11"/>
        <v>0</v>
      </c>
    </row>
    <row r="741" spans="1:13">
      <c r="A741">
        <v>630</v>
      </c>
      <c r="B741">
        <v>152</v>
      </c>
      <c r="C741">
        <v>3</v>
      </c>
      <c r="D741">
        <v>0</v>
      </c>
      <c r="E741">
        <v>0</v>
      </c>
      <c r="G741">
        <v>-2.2807457809686138</v>
      </c>
      <c r="H741">
        <v>-2.6</v>
      </c>
      <c r="I741">
        <v>-2.6</v>
      </c>
      <c r="K741">
        <v>-2.6</v>
      </c>
      <c r="M741">
        <f t="shared" si="11"/>
        <v>0.18432150929769461</v>
      </c>
    </row>
    <row r="742" spans="1:13">
      <c r="A742">
        <v>633</v>
      </c>
      <c r="B742">
        <v>189</v>
      </c>
      <c r="C742">
        <v>0</v>
      </c>
      <c r="D742">
        <v>2</v>
      </c>
      <c r="E742">
        <v>1</v>
      </c>
      <c r="G742">
        <v>-2.6</v>
      </c>
      <c r="H742">
        <v>-2.4215188294889565</v>
      </c>
      <c r="I742">
        <v>-2.7318318087220446</v>
      </c>
      <c r="K742">
        <v>-2.6</v>
      </c>
      <c r="M742">
        <f t="shared" si="11"/>
        <v>0.15573979319066836</v>
      </c>
    </row>
    <row r="743" spans="1:13">
      <c r="A743">
        <v>634</v>
      </c>
      <c r="B743">
        <v>30</v>
      </c>
      <c r="C743">
        <v>0</v>
      </c>
      <c r="D743">
        <v>0</v>
      </c>
      <c r="E743">
        <v>0</v>
      </c>
      <c r="G743">
        <v>-2.6</v>
      </c>
      <c r="H743">
        <v>-2.6</v>
      </c>
      <c r="I743">
        <v>-2.6</v>
      </c>
      <c r="K743">
        <v>-2.6</v>
      </c>
      <c r="M743">
        <f t="shared" si="11"/>
        <v>0</v>
      </c>
    </row>
    <row r="744" spans="1:13">
      <c r="A744">
        <v>635</v>
      </c>
      <c r="B744">
        <v>26</v>
      </c>
      <c r="C744">
        <v>1</v>
      </c>
      <c r="D744">
        <v>1</v>
      </c>
      <c r="E744">
        <v>0</v>
      </c>
      <c r="G744">
        <v>-1.9909967957143213</v>
      </c>
      <c r="H744">
        <v>-1.8610603689505116</v>
      </c>
      <c r="I744">
        <v>-2.6</v>
      </c>
      <c r="K744">
        <v>-2.6</v>
      </c>
      <c r="M744">
        <f t="shared" si="11"/>
        <v>0.3945039408687675</v>
      </c>
    </row>
    <row r="745" spans="1:13">
      <c r="A745">
        <v>637</v>
      </c>
      <c r="B745">
        <v>8</v>
      </c>
      <c r="C745">
        <v>0</v>
      </c>
      <c r="D745">
        <v>0</v>
      </c>
      <c r="E745">
        <v>0</v>
      </c>
      <c r="G745">
        <v>-2.6</v>
      </c>
      <c r="H745">
        <v>-2.6</v>
      </c>
      <c r="I745">
        <v>-2.6</v>
      </c>
      <c r="K745">
        <v>-2.6</v>
      </c>
      <c r="M745">
        <f t="shared" si="11"/>
        <v>0</v>
      </c>
    </row>
    <row r="746" spans="1:13">
      <c r="A746">
        <v>638</v>
      </c>
      <c r="B746">
        <v>129</v>
      </c>
      <c r="C746">
        <v>0</v>
      </c>
      <c r="D746">
        <v>1</v>
      </c>
      <c r="E746">
        <v>0</v>
      </c>
      <c r="G746">
        <v>-2.6</v>
      </c>
      <c r="H746">
        <v>-2.5566767312789427</v>
      </c>
      <c r="I746">
        <v>-2.6</v>
      </c>
      <c r="K746">
        <v>-2.6</v>
      </c>
      <c r="M746">
        <f t="shared" si="11"/>
        <v>2.5012700858276986E-2</v>
      </c>
    </row>
    <row r="747" spans="1:13">
      <c r="A747">
        <v>639</v>
      </c>
      <c r="B747">
        <v>13</v>
      </c>
      <c r="C747">
        <v>0</v>
      </c>
      <c r="D747">
        <v>0</v>
      </c>
      <c r="E747">
        <v>0</v>
      </c>
      <c r="G747">
        <v>-2.6</v>
      </c>
      <c r="H747">
        <v>-2.6</v>
      </c>
      <c r="I747">
        <v>-2.6</v>
      </c>
      <c r="K747">
        <v>-2.6</v>
      </c>
      <c r="M747">
        <f t="shared" si="11"/>
        <v>0</v>
      </c>
    </row>
    <row r="748" spans="1:13">
      <c r="A748">
        <v>640</v>
      </c>
      <c r="B748">
        <v>13</v>
      </c>
      <c r="C748">
        <v>0</v>
      </c>
      <c r="D748">
        <v>0</v>
      </c>
      <c r="E748">
        <v>0</v>
      </c>
      <c r="G748">
        <v>-2.6</v>
      </c>
      <c r="H748">
        <v>-2.6</v>
      </c>
      <c r="I748">
        <v>-2.6</v>
      </c>
      <c r="K748">
        <v>-2.6</v>
      </c>
      <c r="M748">
        <f t="shared" si="11"/>
        <v>0</v>
      </c>
    </row>
    <row r="749" spans="1:13">
      <c r="A749">
        <v>641</v>
      </c>
      <c r="B749">
        <v>376</v>
      </c>
      <c r="C749">
        <v>2</v>
      </c>
      <c r="D749">
        <v>4</v>
      </c>
      <c r="E749">
        <v>0</v>
      </c>
      <c r="G749">
        <v>-2.8501812970071834</v>
      </c>
      <c r="H749">
        <v>-2.4192148745793922</v>
      </c>
      <c r="I749">
        <v>-2.6</v>
      </c>
      <c r="K749">
        <v>-2.6</v>
      </c>
      <c r="M749">
        <f t="shared" si="11"/>
        <v>0.21641241500344915</v>
      </c>
    </row>
    <row r="750" spans="1:13">
      <c r="A750">
        <v>642</v>
      </c>
      <c r="B750">
        <v>168</v>
      </c>
      <c r="C750">
        <v>2</v>
      </c>
      <c r="D750">
        <v>0</v>
      </c>
      <c r="E750">
        <v>1</v>
      </c>
      <c r="G750">
        <v>-2.5003027338053849</v>
      </c>
      <c r="H750">
        <v>-2.6</v>
      </c>
      <c r="I750">
        <v>-2.6806792862746631</v>
      </c>
      <c r="K750">
        <v>-2.6</v>
      </c>
      <c r="M750">
        <f t="shared" si="11"/>
        <v>9.0355218260274678E-2</v>
      </c>
    </row>
    <row r="751" spans="1:13">
      <c r="A751">
        <v>643</v>
      </c>
      <c r="B751">
        <v>128</v>
      </c>
      <c r="C751">
        <v>0</v>
      </c>
      <c r="D751">
        <v>0</v>
      </c>
      <c r="E751">
        <v>0</v>
      </c>
      <c r="G751">
        <v>-2.6</v>
      </c>
      <c r="H751">
        <v>-2.6</v>
      </c>
      <c r="I751">
        <v>-2.6</v>
      </c>
      <c r="K751">
        <v>-2.6</v>
      </c>
      <c r="M751">
        <f t="shared" si="11"/>
        <v>0</v>
      </c>
    </row>
    <row r="752" spans="1:13">
      <c r="A752">
        <v>644</v>
      </c>
      <c r="B752">
        <v>150</v>
      </c>
      <c r="C752">
        <v>0</v>
      </c>
      <c r="D752">
        <v>1</v>
      </c>
      <c r="E752">
        <v>0</v>
      </c>
      <c r="G752">
        <v>-2.6</v>
      </c>
      <c r="H752">
        <v>-2.6221782800353752</v>
      </c>
      <c r="I752">
        <v>-2.6</v>
      </c>
      <c r="K752">
        <v>-2.6</v>
      </c>
      <c r="M752">
        <f t="shared" si="11"/>
        <v>1.280463594858674E-2</v>
      </c>
    </row>
    <row r="753" spans="1:13">
      <c r="A753">
        <v>645</v>
      </c>
      <c r="B753">
        <v>77</v>
      </c>
      <c r="C753">
        <v>0</v>
      </c>
      <c r="D753">
        <v>1</v>
      </c>
      <c r="E753">
        <v>1</v>
      </c>
      <c r="G753">
        <v>-2.6</v>
      </c>
      <c r="H753">
        <v>-2.3325777461521753</v>
      </c>
      <c r="I753">
        <v>-2.3418607297212821</v>
      </c>
      <c r="K753">
        <v>-2.6</v>
      </c>
      <c r="M753">
        <f t="shared" si="11"/>
        <v>0.15178752611080165</v>
      </c>
    </row>
    <row r="754" spans="1:13">
      <c r="A754">
        <v>646</v>
      </c>
      <c r="B754">
        <v>136</v>
      </c>
      <c r="C754">
        <v>0</v>
      </c>
      <c r="D754">
        <v>0</v>
      </c>
      <c r="E754">
        <v>2</v>
      </c>
      <c r="G754">
        <v>-2.6</v>
      </c>
      <c r="H754">
        <v>-2.6</v>
      </c>
      <c r="I754">
        <v>-2.2878789172550364</v>
      </c>
      <c r="K754">
        <v>-2.6</v>
      </c>
      <c r="M754">
        <f t="shared" si="11"/>
        <v>0.18020319114256222</v>
      </c>
    </row>
    <row r="755" spans="1:13">
      <c r="A755">
        <v>647</v>
      </c>
      <c r="B755">
        <v>56</v>
      </c>
      <c r="C755">
        <v>1</v>
      </c>
      <c r="D755">
        <v>0</v>
      </c>
      <c r="E755">
        <v>0</v>
      </c>
      <c r="G755">
        <v>-2.3242114747497036</v>
      </c>
      <c r="H755">
        <v>-2.6</v>
      </c>
      <c r="I755">
        <v>-2.6</v>
      </c>
      <c r="K755">
        <v>-2.6</v>
      </c>
      <c r="M755">
        <f t="shared" si="11"/>
        <v>0.15922657929266859</v>
      </c>
    </row>
    <row r="756" spans="1:13">
      <c r="A756">
        <v>648</v>
      </c>
      <c r="B756">
        <v>146</v>
      </c>
      <c r="C756">
        <v>1</v>
      </c>
      <c r="D756">
        <v>0</v>
      </c>
      <c r="E756">
        <v>0</v>
      </c>
      <c r="G756">
        <v>-2.7403763035279405</v>
      </c>
      <c r="H756">
        <v>-2.6</v>
      </c>
      <c r="I756">
        <v>-2.6</v>
      </c>
      <c r="K756">
        <v>-2.6</v>
      </c>
      <c r="M756">
        <f t="shared" si="11"/>
        <v>8.1046296629701003E-2</v>
      </c>
    </row>
    <row r="757" spans="1:13">
      <c r="A757">
        <v>649</v>
      </c>
      <c r="B757">
        <v>46</v>
      </c>
      <c r="C757">
        <v>1</v>
      </c>
      <c r="D757">
        <v>2</v>
      </c>
      <c r="E757">
        <v>0</v>
      </c>
      <c r="G757">
        <v>-2.2387812794250772</v>
      </c>
      <c r="H757">
        <v>-1.8078148569972865</v>
      </c>
      <c r="I757">
        <v>-2.6</v>
      </c>
      <c r="K757">
        <v>-2.6</v>
      </c>
      <c r="M757">
        <f t="shared" si="11"/>
        <v>0.39660398429420435</v>
      </c>
    </row>
    <row r="758" spans="1:13">
      <c r="A758">
        <v>652</v>
      </c>
      <c r="B758">
        <v>141</v>
      </c>
      <c r="C758">
        <v>0</v>
      </c>
      <c r="D758">
        <v>2</v>
      </c>
      <c r="E758">
        <v>1</v>
      </c>
      <c r="G758">
        <v>-2.6</v>
      </c>
      <c r="H758">
        <v>-2.2942761379710923</v>
      </c>
      <c r="I758">
        <v>-2.6045891172041804</v>
      </c>
      <c r="K758">
        <v>-2.6</v>
      </c>
      <c r="M758">
        <f t="shared" si="11"/>
        <v>0.17784932053618652</v>
      </c>
    </row>
    <row r="759" spans="1:13">
      <c r="A759">
        <v>653</v>
      </c>
      <c r="B759">
        <v>122</v>
      </c>
      <c r="C759">
        <v>2</v>
      </c>
      <c r="D759">
        <v>1</v>
      </c>
      <c r="E759">
        <v>0</v>
      </c>
      <c r="G759">
        <v>-2.36135328275427</v>
      </c>
      <c r="H759">
        <v>-2.5324468516544423</v>
      </c>
      <c r="I759">
        <v>-2.6</v>
      </c>
      <c r="K759">
        <v>-2.6</v>
      </c>
      <c r="M759">
        <f t="shared" si="11"/>
        <v>0.12300995408404854</v>
      </c>
    </row>
    <row r="760" spans="1:13">
      <c r="A760">
        <v>654</v>
      </c>
      <c r="B760">
        <v>101</v>
      </c>
      <c r="C760">
        <v>9</v>
      </c>
      <c r="D760">
        <v>0</v>
      </c>
      <c r="E760">
        <v>0</v>
      </c>
      <c r="G760">
        <v>-1.626102312086821</v>
      </c>
      <c r="H760">
        <v>-2.6</v>
      </c>
      <c r="I760">
        <v>-2.6</v>
      </c>
      <c r="K760">
        <v>-2.6</v>
      </c>
      <c r="M760">
        <f t="shared" si="11"/>
        <v>0.56228009227982922</v>
      </c>
    </row>
    <row r="761" spans="1:13">
      <c r="A761">
        <v>656</v>
      </c>
      <c r="B761">
        <v>95</v>
      </c>
      <c r="C761">
        <v>1</v>
      </c>
      <c r="D761">
        <v>0</v>
      </c>
      <c r="E761">
        <v>0</v>
      </c>
      <c r="G761">
        <v>-2.5537470530323514</v>
      </c>
      <c r="H761">
        <v>-2.6</v>
      </c>
      <c r="I761">
        <v>-2.6</v>
      </c>
      <c r="K761">
        <v>-2.6</v>
      </c>
      <c r="M761">
        <f t="shared" si="11"/>
        <v>2.6704151382585462E-2</v>
      </c>
    </row>
    <row r="762" spans="1:13">
      <c r="A762">
        <v>657</v>
      </c>
      <c r="B762">
        <v>30</v>
      </c>
      <c r="C762">
        <v>1</v>
      </c>
      <c r="D762">
        <v>0</v>
      </c>
      <c r="E762">
        <v>1</v>
      </c>
      <c r="G762">
        <v>-2.0531447024631655</v>
      </c>
      <c r="H762">
        <v>-2.6</v>
      </c>
      <c r="I762">
        <v>-1.9324912592684627</v>
      </c>
      <c r="K762">
        <v>-2.6</v>
      </c>
      <c r="M762">
        <f t="shared" si="11"/>
        <v>0.35570959333699942</v>
      </c>
    </row>
    <row r="763" spans="1:13">
      <c r="A763">
        <v>659</v>
      </c>
      <c r="B763">
        <v>69</v>
      </c>
      <c r="C763">
        <v>0</v>
      </c>
      <c r="D763">
        <v>0</v>
      </c>
      <c r="E763">
        <v>0</v>
      </c>
      <c r="G763">
        <v>-2.6</v>
      </c>
      <c r="H763">
        <v>-2.6</v>
      </c>
      <c r="I763">
        <v>-2.6</v>
      </c>
      <c r="K763">
        <v>-2.6</v>
      </c>
      <c r="M763">
        <f t="shared" si="11"/>
        <v>0</v>
      </c>
    </row>
    <row r="764" spans="1:13">
      <c r="A764">
        <v>661</v>
      </c>
      <c r="B764">
        <v>236</v>
      </c>
      <c r="C764">
        <v>0</v>
      </c>
      <c r="D764">
        <v>2</v>
      </c>
      <c r="E764">
        <v>2</v>
      </c>
      <c r="G764">
        <v>-2.6</v>
      </c>
      <c r="H764">
        <v>-2.5179690282858189</v>
      </c>
      <c r="I764">
        <v>-2.5272520118549258</v>
      </c>
      <c r="K764">
        <v>-2.6</v>
      </c>
      <c r="M764">
        <f t="shared" si="11"/>
        <v>4.4921271656593778E-2</v>
      </c>
    </row>
    <row r="765" spans="1:13">
      <c r="A765">
        <v>662</v>
      </c>
      <c r="B765">
        <v>25</v>
      </c>
      <c r="C765">
        <v>0</v>
      </c>
      <c r="D765">
        <v>0</v>
      </c>
      <c r="E765">
        <v>0</v>
      </c>
      <c r="G765">
        <v>-2.6</v>
      </c>
      <c r="H765">
        <v>-2.6</v>
      </c>
      <c r="I765">
        <v>-2.6</v>
      </c>
      <c r="K765">
        <v>-2.6</v>
      </c>
      <c r="M765">
        <f t="shared" si="11"/>
        <v>0</v>
      </c>
    </row>
    <row r="766" spans="1:13">
      <c r="A766">
        <v>663</v>
      </c>
      <c r="B766">
        <v>118</v>
      </c>
      <c r="C766">
        <v>0</v>
      </c>
      <c r="D766">
        <v>3</v>
      </c>
      <c r="E766">
        <v>4</v>
      </c>
      <c r="G766">
        <v>-2.6</v>
      </c>
      <c r="H766">
        <v>-2.0408477735661563</v>
      </c>
      <c r="I766">
        <v>-1.9251920205269633</v>
      </c>
      <c r="K766">
        <v>-2.6</v>
      </c>
      <c r="M766">
        <f t="shared" si="11"/>
        <v>0.36087700460070887</v>
      </c>
    </row>
    <row r="767" spans="1:13">
      <c r="A767">
        <v>664</v>
      </c>
      <c r="B767">
        <v>112</v>
      </c>
      <c r="C767">
        <v>2</v>
      </c>
      <c r="D767">
        <v>2</v>
      </c>
      <c r="E767">
        <v>0</v>
      </c>
      <c r="G767">
        <v>-2.3242114747497036</v>
      </c>
      <c r="H767">
        <v>-2.1942750479858941</v>
      </c>
      <c r="I767">
        <v>-2.6</v>
      </c>
      <c r="K767">
        <v>-2.6</v>
      </c>
      <c r="M767">
        <f t="shared" si="11"/>
        <v>0.20718571473709638</v>
      </c>
    </row>
    <row r="768" spans="1:13">
      <c r="A768">
        <v>666</v>
      </c>
      <c r="B768">
        <v>150</v>
      </c>
      <c r="C768">
        <v>2</v>
      </c>
      <c r="D768">
        <v>0</v>
      </c>
      <c r="E768">
        <v>1</v>
      </c>
      <c r="G768">
        <v>-2.4510847111352034</v>
      </c>
      <c r="H768">
        <v>-2.6</v>
      </c>
      <c r="I768">
        <v>-2.6314612636044816</v>
      </c>
      <c r="K768">
        <v>-2.6</v>
      </c>
      <c r="M768">
        <f t="shared" si="11"/>
        <v>9.6351159001832776E-2</v>
      </c>
    </row>
    <row r="769" spans="1:13">
      <c r="A769">
        <v>667</v>
      </c>
      <c r="B769">
        <v>113</v>
      </c>
      <c r="C769">
        <v>0</v>
      </c>
      <c r="D769">
        <v>1</v>
      </c>
      <c r="E769">
        <v>0</v>
      </c>
      <c r="G769">
        <v>-2.6</v>
      </c>
      <c r="H769">
        <v>-2.4991654644631138</v>
      </c>
      <c r="I769">
        <v>-2.6</v>
      </c>
      <c r="K769">
        <v>-2.6</v>
      </c>
      <c r="M769">
        <f t="shared" si="11"/>
        <v>5.8216846235832169E-2</v>
      </c>
    </row>
    <row r="770" spans="1:13">
      <c r="A770">
        <v>668</v>
      </c>
      <c r="B770">
        <v>65</v>
      </c>
      <c r="C770">
        <v>2</v>
      </c>
      <c r="D770">
        <v>0</v>
      </c>
      <c r="E770">
        <v>0</v>
      </c>
      <c r="G770">
        <v>-2.0879068087223778</v>
      </c>
      <c r="H770">
        <v>-2.6</v>
      </c>
      <c r="I770">
        <v>-2.6</v>
      </c>
      <c r="K770">
        <v>-2.6</v>
      </c>
      <c r="M770">
        <f t="shared" si="11"/>
        <v>0.29565714183430974</v>
      </c>
    </row>
    <row r="771" spans="1:13">
      <c r="A771">
        <v>669</v>
      </c>
      <c r="B771">
        <v>110</v>
      </c>
      <c r="C771">
        <v>0</v>
      </c>
      <c r="D771">
        <v>0</v>
      </c>
      <c r="E771">
        <v>0</v>
      </c>
      <c r="G771">
        <v>-2.6</v>
      </c>
      <c r="H771">
        <v>-2.6</v>
      </c>
      <c r="I771">
        <v>-2.6</v>
      </c>
      <c r="K771">
        <v>-2.6</v>
      </c>
      <c r="M771">
        <f t="shared" ref="M771:M834" si="12">STDEV(G771:I771)</f>
        <v>0</v>
      </c>
    </row>
    <row r="772" spans="1:13">
      <c r="A772">
        <v>670</v>
      </c>
      <c r="B772">
        <v>22</v>
      </c>
      <c r="C772">
        <v>0</v>
      </c>
      <c r="D772">
        <v>0</v>
      </c>
      <c r="E772">
        <v>0</v>
      </c>
      <c r="G772">
        <v>-2.6</v>
      </c>
      <c r="H772">
        <v>-2.6</v>
      </c>
      <c r="I772">
        <v>-2.6</v>
      </c>
      <c r="K772">
        <v>-2.6</v>
      </c>
      <c r="M772">
        <f t="shared" si="12"/>
        <v>0</v>
      </c>
    </row>
    <row r="773" spans="1:13">
      <c r="A773">
        <v>671</v>
      </c>
      <c r="B773">
        <v>227</v>
      </c>
      <c r="C773">
        <v>2</v>
      </c>
      <c r="D773">
        <v>0</v>
      </c>
      <c r="E773">
        <v>5</v>
      </c>
      <c r="G773">
        <v>-2.6310193092726446</v>
      </c>
      <c r="H773">
        <v>-2.6</v>
      </c>
      <c r="I773">
        <v>-2.1124258574059045</v>
      </c>
      <c r="K773">
        <v>-2.6</v>
      </c>
      <c r="M773">
        <f t="shared" si="12"/>
        <v>0.29086936082291315</v>
      </c>
    </row>
    <row r="774" spans="1:13">
      <c r="A774">
        <v>672</v>
      </c>
      <c r="B774">
        <v>23</v>
      </c>
      <c r="C774">
        <v>0</v>
      </c>
      <c r="D774">
        <v>0</v>
      </c>
      <c r="E774">
        <v>1</v>
      </c>
      <c r="G774">
        <v>-2.6</v>
      </c>
      <c r="H774">
        <v>-2.6</v>
      </c>
      <c r="I774">
        <v>-1.8170978405663931</v>
      </c>
      <c r="K774">
        <v>-2.6</v>
      </c>
      <c r="M774">
        <f t="shared" si="12"/>
        <v>0.45200877249813298</v>
      </c>
    </row>
    <row r="775" spans="1:13">
      <c r="A775">
        <v>673</v>
      </c>
      <c r="B775">
        <v>123</v>
      </c>
      <c r="C775">
        <v>1</v>
      </c>
      <c r="D775">
        <v>0</v>
      </c>
      <c r="E775">
        <v>1</v>
      </c>
      <c r="G775">
        <v>-2.6659285591829014</v>
      </c>
      <c r="H775">
        <v>-2.6</v>
      </c>
      <c r="I775">
        <v>-2.5452751159881983</v>
      </c>
      <c r="K775">
        <v>-2.6</v>
      </c>
      <c r="M775">
        <f t="shared" si="12"/>
        <v>6.0413355588500889E-2</v>
      </c>
    </row>
    <row r="776" spans="1:13">
      <c r="A776">
        <v>675</v>
      </c>
      <c r="B776">
        <v>65</v>
      </c>
      <c r="C776">
        <v>2</v>
      </c>
      <c r="D776">
        <v>0</v>
      </c>
      <c r="E776">
        <v>0</v>
      </c>
      <c r="G776">
        <v>-2.0879068087223778</v>
      </c>
      <c r="H776">
        <v>-2.6</v>
      </c>
      <c r="I776">
        <v>-2.6</v>
      </c>
      <c r="K776">
        <v>-2.6</v>
      </c>
      <c r="M776">
        <f t="shared" si="12"/>
        <v>0.29565714183430974</v>
      </c>
    </row>
    <row r="777" spans="1:13">
      <c r="A777">
        <v>676</v>
      </c>
      <c r="B777">
        <v>114</v>
      </c>
      <c r="C777">
        <v>0</v>
      </c>
      <c r="D777">
        <v>1</v>
      </c>
      <c r="E777">
        <v>1</v>
      </c>
      <c r="G777">
        <v>-2.6</v>
      </c>
      <c r="H777">
        <v>-2.5029918723161666</v>
      </c>
      <c r="I777">
        <v>-2.512274855885273</v>
      </c>
      <c r="K777">
        <v>-2.6</v>
      </c>
      <c r="M777">
        <f t="shared" si="12"/>
        <v>5.3529511378641842E-2</v>
      </c>
    </row>
    <row r="778" spans="1:13">
      <c r="A778">
        <v>677</v>
      </c>
      <c r="B778">
        <v>152</v>
      </c>
      <c r="C778">
        <v>1</v>
      </c>
      <c r="D778">
        <v>0</v>
      </c>
      <c r="E778">
        <v>0</v>
      </c>
      <c r="G778">
        <v>-2.757867035688276</v>
      </c>
      <c r="H778">
        <v>-2.6</v>
      </c>
      <c r="I778">
        <v>-2.6</v>
      </c>
      <c r="K778">
        <v>-2.6</v>
      </c>
      <c r="M778">
        <f t="shared" si="12"/>
        <v>9.1144575550794332E-2</v>
      </c>
    </row>
    <row r="779" spans="1:13">
      <c r="A779">
        <v>679</v>
      </c>
      <c r="B779">
        <v>86</v>
      </c>
      <c r="C779">
        <v>1</v>
      </c>
      <c r="D779">
        <v>2</v>
      </c>
      <c r="E779">
        <v>0</v>
      </c>
      <c r="G779">
        <v>-2.5105218989870712</v>
      </c>
      <c r="H779">
        <v>-2.0795554765592801</v>
      </c>
      <c r="I779">
        <v>-2.6</v>
      </c>
      <c r="K779">
        <v>-2.6</v>
      </c>
      <c r="M779">
        <f t="shared" si="12"/>
        <v>0.27826872198186636</v>
      </c>
    </row>
    <row r="780" spans="1:13">
      <c r="A780">
        <v>680</v>
      </c>
      <c r="B780">
        <v>15</v>
      </c>
      <c r="C780">
        <v>1</v>
      </c>
      <c r="D780">
        <v>0</v>
      </c>
      <c r="E780">
        <v>0</v>
      </c>
      <c r="G780">
        <v>-1.7521147067991847</v>
      </c>
      <c r="H780">
        <v>-2.6</v>
      </c>
      <c r="I780">
        <v>-2.6</v>
      </c>
      <c r="K780">
        <v>-2.6</v>
      </c>
      <c r="M780">
        <f t="shared" si="12"/>
        <v>0.4895268022714151</v>
      </c>
    </row>
    <row r="781" spans="1:13">
      <c r="A781">
        <v>681</v>
      </c>
      <c r="B781">
        <v>35</v>
      </c>
      <c r="C781">
        <v>2</v>
      </c>
      <c r="D781">
        <v>0</v>
      </c>
      <c r="E781">
        <v>0</v>
      </c>
      <c r="G781">
        <v>-1.8190614964297978</v>
      </c>
      <c r="H781">
        <v>-2.6</v>
      </c>
      <c r="I781">
        <v>-2.6</v>
      </c>
      <c r="K781">
        <v>-2.6</v>
      </c>
      <c r="M781">
        <f t="shared" si="12"/>
        <v>0.45087505525680122</v>
      </c>
    </row>
    <row r="782" spans="1:13">
      <c r="A782">
        <v>682</v>
      </c>
      <c r="B782">
        <v>88</v>
      </c>
      <c r="C782">
        <v>0</v>
      </c>
      <c r="D782">
        <v>1</v>
      </c>
      <c r="E782">
        <v>0</v>
      </c>
      <c r="G782">
        <v>-2.6</v>
      </c>
      <c r="H782">
        <v>-2.3905696931298621</v>
      </c>
      <c r="I782">
        <v>-2.6</v>
      </c>
      <c r="K782">
        <v>-2.6</v>
      </c>
      <c r="M782">
        <f t="shared" si="12"/>
        <v>0.12091464404794008</v>
      </c>
    </row>
    <row r="783" spans="1:13">
      <c r="A783">
        <v>683</v>
      </c>
      <c r="B783">
        <v>25</v>
      </c>
      <c r="C783">
        <v>0</v>
      </c>
      <c r="D783">
        <v>0</v>
      </c>
      <c r="E783">
        <v>0</v>
      </c>
      <c r="G783">
        <v>-2.6</v>
      </c>
      <c r="H783">
        <v>-2.6</v>
      </c>
      <c r="I783">
        <v>-2.6</v>
      </c>
      <c r="K783">
        <v>-2.6</v>
      </c>
      <c r="M783">
        <f t="shared" si="12"/>
        <v>0</v>
      </c>
    </row>
    <row r="784" spans="1:13">
      <c r="A784">
        <v>684</v>
      </c>
      <c r="B784">
        <v>105</v>
      </c>
      <c r="C784">
        <v>0</v>
      </c>
      <c r="D784">
        <v>1</v>
      </c>
      <c r="E784">
        <v>0</v>
      </c>
      <c r="G784">
        <v>-2.6</v>
      </c>
      <c r="H784">
        <v>-2.4672763200496313</v>
      </c>
      <c r="I784">
        <v>-2.6</v>
      </c>
      <c r="K784">
        <v>-2.6</v>
      </c>
      <c r="M784">
        <f t="shared" si="12"/>
        <v>7.6628052347183173E-2</v>
      </c>
    </row>
    <row r="785" spans="1:13">
      <c r="A785">
        <v>686</v>
      </c>
      <c r="B785">
        <v>155</v>
      </c>
      <c r="C785">
        <v>0</v>
      </c>
      <c r="D785">
        <v>1</v>
      </c>
      <c r="E785">
        <v>2</v>
      </c>
      <c r="G785">
        <v>-2.6</v>
      </c>
      <c r="H785">
        <v>-2.6364187191499848</v>
      </c>
      <c r="I785">
        <v>-2.3446717070551104</v>
      </c>
      <c r="K785">
        <v>-2.6</v>
      </c>
      <c r="M785">
        <f t="shared" si="12"/>
        <v>0.15897336220730171</v>
      </c>
    </row>
    <row r="786" spans="1:13">
      <c r="A786">
        <v>687</v>
      </c>
      <c r="B786">
        <v>69</v>
      </c>
      <c r="C786">
        <v>1</v>
      </c>
      <c r="D786">
        <v>0</v>
      </c>
      <c r="E786">
        <v>0</v>
      </c>
      <c r="G786">
        <v>-2.4148725384807586</v>
      </c>
      <c r="H786">
        <v>-2.6</v>
      </c>
      <c r="I786">
        <v>-2.6</v>
      </c>
      <c r="K786">
        <v>-2.6</v>
      </c>
      <c r="M786">
        <f t="shared" si="12"/>
        <v>0.10688338974252617</v>
      </c>
    </row>
    <row r="787" spans="1:13">
      <c r="A787">
        <v>689</v>
      </c>
      <c r="B787">
        <v>18</v>
      </c>
      <c r="C787">
        <v>0</v>
      </c>
      <c r="D787">
        <v>0</v>
      </c>
      <c r="E787">
        <v>0</v>
      </c>
      <c r="G787">
        <v>-2.6</v>
      </c>
      <c r="H787">
        <v>-2.6</v>
      </c>
      <c r="I787">
        <v>-2.6</v>
      </c>
      <c r="K787">
        <v>-2.6</v>
      </c>
      <c r="M787">
        <f t="shared" si="12"/>
        <v>0</v>
      </c>
    </row>
    <row r="788" spans="1:13">
      <c r="A788">
        <v>691</v>
      </c>
      <c r="B788">
        <v>160</v>
      </c>
      <c r="C788">
        <v>0</v>
      </c>
      <c r="D788">
        <v>2</v>
      </c>
      <c r="E788">
        <v>1</v>
      </c>
      <c r="G788">
        <v>-2.6</v>
      </c>
      <c r="H788">
        <v>-2.3491770079716372</v>
      </c>
      <c r="I788">
        <v>-2.6594899872047248</v>
      </c>
      <c r="K788">
        <v>-2.6</v>
      </c>
      <c r="M788">
        <f t="shared" si="12"/>
        <v>0.16469435174902691</v>
      </c>
    </row>
    <row r="789" spans="1:13">
      <c r="A789">
        <v>692</v>
      </c>
      <c r="B789">
        <v>50</v>
      </c>
      <c r="C789">
        <v>0</v>
      </c>
      <c r="D789">
        <v>0</v>
      </c>
      <c r="E789">
        <v>0</v>
      </c>
      <c r="G789">
        <v>-2.6</v>
      </c>
      <c r="H789">
        <v>-2.6</v>
      </c>
      <c r="I789">
        <v>-2.6</v>
      </c>
      <c r="K789">
        <v>-2.6</v>
      </c>
      <c r="M789">
        <f t="shared" si="12"/>
        <v>0</v>
      </c>
    </row>
    <row r="790" spans="1:13">
      <c r="A790">
        <v>693</v>
      </c>
      <c r="B790">
        <v>24</v>
      </c>
      <c r="C790">
        <v>0</v>
      </c>
      <c r="D790">
        <v>0</v>
      </c>
      <c r="E790">
        <v>0</v>
      </c>
      <c r="G790">
        <v>-2.6</v>
      </c>
      <c r="H790">
        <v>-2.6</v>
      </c>
      <c r="I790">
        <v>-2.6</v>
      </c>
      <c r="K790">
        <v>-2.6</v>
      </c>
      <c r="M790">
        <f t="shared" si="12"/>
        <v>0</v>
      </c>
    </row>
    <row r="791" spans="1:13">
      <c r="A791">
        <v>695</v>
      </c>
      <c r="B791">
        <v>382</v>
      </c>
      <c r="C791">
        <v>4</v>
      </c>
      <c r="D791">
        <v>3</v>
      </c>
      <c r="E791">
        <v>0</v>
      </c>
      <c r="G791">
        <v>-2.5560268193272497</v>
      </c>
      <c r="H791">
        <v>-2.5510291291717397</v>
      </c>
      <c r="I791">
        <v>-2.6</v>
      </c>
      <c r="K791">
        <v>-2.6</v>
      </c>
      <c r="M791">
        <f t="shared" si="12"/>
        <v>2.6946749077414969E-2</v>
      </c>
    </row>
    <row r="792" spans="1:13">
      <c r="A792">
        <v>698</v>
      </c>
      <c r="B792">
        <v>39</v>
      </c>
      <c r="C792">
        <v>0</v>
      </c>
      <c r="D792">
        <v>0</v>
      </c>
      <c r="E792">
        <v>0</v>
      </c>
      <c r="G792">
        <v>-2.6</v>
      </c>
      <c r="H792">
        <v>-2.6</v>
      </c>
      <c r="I792">
        <v>-2.6</v>
      </c>
      <c r="K792">
        <v>-2.6</v>
      </c>
      <c r="M792">
        <f t="shared" si="12"/>
        <v>0</v>
      </c>
    </row>
    <row r="793" spans="1:13">
      <c r="A793">
        <v>701</v>
      </c>
      <c r="B793">
        <v>78</v>
      </c>
      <c r="C793">
        <v>1</v>
      </c>
      <c r="D793">
        <v>0</v>
      </c>
      <c r="E793">
        <v>1</v>
      </c>
      <c r="G793">
        <v>-2.4681180504339837</v>
      </c>
      <c r="H793">
        <v>-2.6</v>
      </c>
      <c r="I793">
        <v>-2.3474646072392806</v>
      </c>
      <c r="K793">
        <v>-2.6</v>
      </c>
      <c r="M793">
        <f t="shared" si="12"/>
        <v>0.1263092940450026</v>
      </c>
    </row>
    <row r="794" spans="1:13">
      <c r="A794">
        <v>702</v>
      </c>
      <c r="B794">
        <v>97</v>
      </c>
      <c r="C794">
        <v>0</v>
      </c>
      <c r="D794">
        <v>0</v>
      </c>
      <c r="E794">
        <v>1</v>
      </c>
      <c r="G794">
        <v>-2.6</v>
      </c>
      <c r="H794">
        <v>-2.6</v>
      </c>
      <c r="I794">
        <v>-2.442141738815045</v>
      </c>
      <c r="K794">
        <v>-2.6</v>
      </c>
      <c r="M794">
        <f t="shared" si="12"/>
        <v>9.1139509588940043E-2</v>
      </c>
    </row>
    <row r="795" spans="1:13">
      <c r="A795">
        <v>704</v>
      </c>
      <c r="B795">
        <v>240</v>
      </c>
      <c r="C795">
        <v>2</v>
      </c>
      <c r="D795">
        <v>0</v>
      </c>
      <c r="E795">
        <v>1</v>
      </c>
      <c r="G795">
        <v>-2.655204693791128</v>
      </c>
      <c r="H795">
        <v>-2.6</v>
      </c>
      <c r="I795">
        <v>-2.8355812462604062</v>
      </c>
      <c r="K795">
        <v>-2.6</v>
      </c>
      <c r="M795">
        <f t="shared" si="12"/>
        <v>0.12320834826076828</v>
      </c>
    </row>
    <row r="796" spans="1:13">
      <c r="A796">
        <v>705</v>
      </c>
      <c r="B796">
        <v>16</v>
      </c>
      <c r="C796">
        <v>0</v>
      </c>
      <c r="D796">
        <v>0</v>
      </c>
      <c r="E796">
        <v>0</v>
      </c>
      <c r="G796">
        <v>-2.6</v>
      </c>
      <c r="H796">
        <v>-2.6</v>
      </c>
      <c r="I796">
        <v>-2.6</v>
      </c>
      <c r="K796">
        <v>-2.6</v>
      </c>
      <c r="M796">
        <f t="shared" si="12"/>
        <v>0</v>
      </c>
    </row>
    <row r="797" spans="1:13">
      <c r="A797">
        <v>706</v>
      </c>
      <c r="B797">
        <v>52</v>
      </c>
      <c r="C797">
        <v>0</v>
      </c>
      <c r="D797">
        <v>0</v>
      </c>
      <c r="E797">
        <v>0</v>
      </c>
      <c r="G797">
        <v>-2.6</v>
      </c>
      <c r="H797">
        <v>-2.6</v>
      </c>
      <c r="I797">
        <v>-2.6</v>
      </c>
      <c r="K797">
        <v>-2.6</v>
      </c>
      <c r="M797">
        <f t="shared" si="12"/>
        <v>0</v>
      </c>
    </row>
    <row r="798" spans="1:13">
      <c r="A798">
        <v>708</v>
      </c>
      <c r="B798">
        <v>65</v>
      </c>
      <c r="C798">
        <v>0</v>
      </c>
      <c r="D798">
        <v>0</v>
      </c>
      <c r="E798">
        <v>0</v>
      </c>
      <c r="G798">
        <v>-2.6</v>
      </c>
      <c r="H798">
        <v>-2.6</v>
      </c>
      <c r="I798">
        <v>-2.6</v>
      </c>
      <c r="K798">
        <v>-2.6</v>
      </c>
      <c r="M798">
        <f t="shared" si="12"/>
        <v>0</v>
      </c>
    </row>
    <row r="799" spans="1:13">
      <c r="A799">
        <v>710</v>
      </c>
      <c r="B799">
        <v>83</v>
      </c>
      <c r="C799">
        <v>1</v>
      </c>
      <c r="D799">
        <v>0</v>
      </c>
      <c r="E799">
        <v>2</v>
      </c>
      <c r="G799">
        <v>-2.4951015401195775</v>
      </c>
      <c r="H799">
        <v>-2.6</v>
      </c>
      <c r="I799">
        <v>-2.0734181012608932</v>
      </c>
      <c r="K799">
        <v>-2.6</v>
      </c>
      <c r="M799">
        <f t="shared" si="12"/>
        <v>0.27872002247555799</v>
      </c>
    </row>
    <row r="800" spans="1:13">
      <c r="A800">
        <v>711</v>
      </c>
      <c r="B800">
        <v>183</v>
      </c>
      <c r="C800">
        <v>0</v>
      </c>
      <c r="D800">
        <v>2</v>
      </c>
      <c r="E800">
        <v>2</v>
      </c>
      <c r="G800">
        <v>-2.6</v>
      </c>
      <c r="H800">
        <v>-2.4075081150461419</v>
      </c>
      <c r="I800">
        <v>-2.4167910986152483</v>
      </c>
      <c r="K800">
        <v>-2.6</v>
      </c>
      <c r="M800">
        <f t="shared" si="12"/>
        <v>0.10855474893929588</v>
      </c>
    </row>
    <row r="801" spans="1:13">
      <c r="A801">
        <v>713</v>
      </c>
      <c r="B801">
        <v>106</v>
      </c>
      <c r="C801">
        <v>0</v>
      </c>
      <c r="D801">
        <v>0</v>
      </c>
      <c r="E801">
        <v>0</v>
      </c>
      <c r="G801">
        <v>-2.6</v>
      </c>
      <c r="H801">
        <v>-2.6</v>
      </c>
      <c r="I801">
        <v>-2.6</v>
      </c>
      <c r="K801">
        <v>-2.6</v>
      </c>
      <c r="M801">
        <f t="shared" si="12"/>
        <v>0</v>
      </c>
    </row>
    <row r="802" spans="1:13">
      <c r="A802">
        <v>714</v>
      </c>
      <c r="B802">
        <v>140</v>
      </c>
      <c r="C802">
        <v>1</v>
      </c>
      <c r="D802">
        <v>0</v>
      </c>
      <c r="E802">
        <v>0</v>
      </c>
      <c r="G802">
        <v>-2.7221514834217415</v>
      </c>
      <c r="H802">
        <v>-2.6</v>
      </c>
      <c r="I802">
        <v>-2.6</v>
      </c>
      <c r="K802">
        <v>-2.6</v>
      </c>
      <c r="M802">
        <f t="shared" si="12"/>
        <v>7.0524191835454525E-2</v>
      </c>
    </row>
    <row r="803" spans="1:13">
      <c r="A803">
        <v>715</v>
      </c>
      <c r="B803">
        <v>118</v>
      </c>
      <c r="C803">
        <v>1</v>
      </c>
      <c r="D803">
        <v>0</v>
      </c>
      <c r="E803">
        <v>1</v>
      </c>
      <c r="G803">
        <v>-2.6479054550496288</v>
      </c>
      <c r="H803">
        <v>-2.6</v>
      </c>
      <c r="I803">
        <v>-2.5272520118549258</v>
      </c>
      <c r="K803">
        <v>-2.6</v>
      </c>
      <c r="M803">
        <f t="shared" si="12"/>
        <v>6.0751482502357242E-2</v>
      </c>
    </row>
    <row r="804" spans="1:13">
      <c r="A804">
        <v>716</v>
      </c>
      <c r="B804">
        <v>195</v>
      </c>
      <c r="C804">
        <v>0</v>
      </c>
      <c r="D804">
        <v>2</v>
      </c>
      <c r="E804">
        <v>5</v>
      </c>
      <c r="G804">
        <v>-2.6</v>
      </c>
      <c r="H804">
        <v>-2.4350916366782305</v>
      </c>
      <c r="I804">
        <v>-2.0464346115752994</v>
      </c>
      <c r="K804">
        <v>-2.6</v>
      </c>
      <c r="M804">
        <f t="shared" si="12"/>
        <v>0.28421930813989249</v>
      </c>
    </row>
    <row r="805" spans="1:13">
      <c r="A805">
        <v>717</v>
      </c>
      <c r="B805">
        <v>93</v>
      </c>
      <c r="C805">
        <v>1</v>
      </c>
      <c r="D805">
        <v>0</v>
      </c>
      <c r="E805">
        <v>1</v>
      </c>
      <c r="G805">
        <v>-2.5445063962974386</v>
      </c>
      <c r="H805">
        <v>-2.6</v>
      </c>
      <c r="I805">
        <v>-2.4238529531027355</v>
      </c>
      <c r="K805">
        <v>-2.6</v>
      </c>
      <c r="M805">
        <f t="shared" si="12"/>
        <v>9.00597723156326E-2</v>
      </c>
    </row>
    <row r="806" spans="1:13">
      <c r="A806">
        <v>718</v>
      </c>
      <c r="B806">
        <v>115</v>
      </c>
      <c r="C806">
        <v>0</v>
      </c>
      <c r="D806">
        <v>1</v>
      </c>
      <c r="E806">
        <v>1</v>
      </c>
      <c r="G806">
        <v>-2.6</v>
      </c>
      <c r="H806">
        <v>-2.5067848613333057</v>
      </c>
      <c r="I806">
        <v>-2.5160678449024121</v>
      </c>
      <c r="K806">
        <v>-2.6</v>
      </c>
      <c r="M806">
        <f t="shared" si="12"/>
        <v>5.1348227038397559E-2</v>
      </c>
    </row>
    <row r="807" spans="1:13">
      <c r="A807">
        <v>719</v>
      </c>
      <c r="B807">
        <v>66</v>
      </c>
      <c r="C807">
        <v>0</v>
      </c>
      <c r="D807">
        <v>1</v>
      </c>
      <c r="E807">
        <v>0</v>
      </c>
      <c r="G807">
        <v>-2.6</v>
      </c>
      <c r="H807">
        <v>-2.2656309565215622</v>
      </c>
      <c r="I807">
        <v>-2.6</v>
      </c>
      <c r="K807">
        <v>-2.6</v>
      </c>
      <c r="M807">
        <f t="shared" si="12"/>
        <v>0.19304805726095378</v>
      </c>
    </row>
    <row r="808" spans="1:13">
      <c r="A808">
        <v>720</v>
      </c>
      <c r="B808">
        <v>47</v>
      </c>
      <c r="C808">
        <v>0</v>
      </c>
      <c r="D808">
        <v>0</v>
      </c>
      <c r="E808">
        <v>0</v>
      </c>
      <c r="G808">
        <v>-2.6</v>
      </c>
      <c r="H808">
        <v>-2.6</v>
      </c>
      <c r="I808">
        <v>-2.6</v>
      </c>
      <c r="K808">
        <v>-2.6</v>
      </c>
      <c r="M808">
        <f t="shared" si="12"/>
        <v>0</v>
      </c>
    </row>
    <row r="809" spans="1:13">
      <c r="A809">
        <v>721</v>
      </c>
      <c r="B809">
        <v>104</v>
      </c>
      <c r="C809">
        <v>0</v>
      </c>
      <c r="D809">
        <v>1</v>
      </c>
      <c r="E809">
        <v>1</v>
      </c>
      <c r="G809">
        <v>-2.6</v>
      </c>
      <c r="H809">
        <v>-2.4631203602784737</v>
      </c>
      <c r="I809">
        <v>-2.4724033438475805</v>
      </c>
      <c r="K809">
        <v>-2.6</v>
      </c>
      <c r="M809">
        <f t="shared" si="12"/>
        <v>7.6488687851557449E-2</v>
      </c>
    </row>
    <row r="810" spans="1:13">
      <c r="A810">
        <v>722</v>
      </c>
      <c r="B810">
        <v>41</v>
      </c>
      <c r="C810">
        <v>0</v>
      </c>
      <c r="D810">
        <v>0</v>
      </c>
      <c r="E810">
        <v>2</v>
      </c>
      <c r="G810">
        <v>-2.6</v>
      </c>
      <c r="H810">
        <v>-2.6</v>
      </c>
      <c r="I810">
        <v>-1.7671238656045545</v>
      </c>
      <c r="K810">
        <v>-2.6</v>
      </c>
      <c r="M810">
        <f t="shared" si="12"/>
        <v>0.48086126039482519</v>
      </c>
    </row>
    <row r="811" spans="1:13">
      <c r="A811">
        <v>723</v>
      </c>
      <c r="B811">
        <v>42</v>
      </c>
      <c r="C811">
        <v>0</v>
      </c>
      <c r="D811">
        <v>0</v>
      </c>
      <c r="E811">
        <v>0</v>
      </c>
      <c r="G811">
        <v>-2.6</v>
      </c>
      <c r="H811">
        <v>-2.6</v>
      </c>
      <c r="I811">
        <v>-2.6</v>
      </c>
      <c r="K811">
        <v>-2.6</v>
      </c>
      <c r="M811">
        <f t="shared" si="12"/>
        <v>0</v>
      </c>
    </row>
    <row r="812" spans="1:13">
      <c r="A812">
        <v>726</v>
      </c>
      <c r="B812">
        <v>33</v>
      </c>
      <c r="C812">
        <v>2</v>
      </c>
      <c r="D812">
        <v>0</v>
      </c>
      <c r="E812">
        <v>0</v>
      </c>
      <c r="G812">
        <v>-1.7935073919574096</v>
      </c>
      <c r="H812">
        <v>-2.6</v>
      </c>
      <c r="I812">
        <v>-2.6</v>
      </c>
      <c r="K812">
        <v>-2.6</v>
      </c>
      <c r="M812">
        <f t="shared" si="12"/>
        <v>0.46562872435283326</v>
      </c>
    </row>
    <row r="813" spans="1:13">
      <c r="A813">
        <v>730</v>
      </c>
      <c r="B813">
        <v>152</v>
      </c>
      <c r="C813">
        <v>2</v>
      </c>
      <c r="D813">
        <v>0</v>
      </c>
      <c r="E813">
        <v>1</v>
      </c>
      <c r="G813">
        <v>-2.4568370400242947</v>
      </c>
      <c r="H813">
        <v>-2.6</v>
      </c>
      <c r="I813">
        <v>-2.6372135924935729</v>
      </c>
      <c r="K813">
        <v>-2.6</v>
      </c>
      <c r="M813">
        <f t="shared" si="12"/>
        <v>9.5233209592719803E-2</v>
      </c>
    </row>
    <row r="814" spans="1:13">
      <c r="A814">
        <v>733</v>
      </c>
      <c r="B814">
        <v>25</v>
      </c>
      <c r="C814">
        <v>0</v>
      </c>
      <c r="D814">
        <v>0</v>
      </c>
      <c r="E814">
        <v>0</v>
      </c>
      <c r="G814">
        <v>-2.6</v>
      </c>
      <c r="H814">
        <v>-2.6</v>
      </c>
      <c r="I814">
        <v>-2.6</v>
      </c>
      <c r="K814">
        <v>-2.6</v>
      </c>
      <c r="M814">
        <f t="shared" si="12"/>
        <v>0</v>
      </c>
    </row>
    <row r="815" spans="1:13">
      <c r="A815">
        <v>741</v>
      </c>
      <c r="B815">
        <v>75</v>
      </c>
      <c r="C815">
        <v>0</v>
      </c>
      <c r="D815">
        <v>1</v>
      </c>
      <c r="E815">
        <v>1</v>
      </c>
      <c r="G815">
        <v>-2.6</v>
      </c>
      <c r="H815">
        <v>-2.321148284371394</v>
      </c>
      <c r="I815">
        <v>-2.3304312679405004</v>
      </c>
      <c r="K815">
        <v>-2.6</v>
      </c>
      <c r="M815">
        <f t="shared" si="12"/>
        <v>0.15838337160043436</v>
      </c>
    </row>
    <row r="816" spans="1:13">
      <c r="A816">
        <v>744</v>
      </c>
      <c r="B816">
        <v>112</v>
      </c>
      <c r="C816">
        <v>2</v>
      </c>
      <c r="D816">
        <v>0</v>
      </c>
      <c r="E816">
        <v>1</v>
      </c>
      <c r="G816">
        <v>-2.3242114747497036</v>
      </c>
      <c r="H816">
        <v>-2.6</v>
      </c>
      <c r="I816">
        <v>-2.5045880272189818</v>
      </c>
      <c r="K816">
        <v>-2.6</v>
      </c>
      <c r="M816">
        <f t="shared" si="12"/>
        <v>0.14005859243569069</v>
      </c>
    </row>
    <row r="817" spans="1:13">
      <c r="A817">
        <v>749</v>
      </c>
      <c r="B817">
        <v>28</v>
      </c>
      <c r="C817">
        <v>0</v>
      </c>
      <c r="D817">
        <v>0</v>
      </c>
      <c r="E817">
        <v>1</v>
      </c>
      <c r="G817">
        <v>-2.6</v>
      </c>
      <c r="H817">
        <v>-2.6</v>
      </c>
      <c r="I817">
        <v>-1.9025280358910195</v>
      </c>
      <c r="K817">
        <v>-2.6</v>
      </c>
      <c r="M817">
        <f t="shared" si="12"/>
        <v>0.40268562623053772</v>
      </c>
    </row>
    <row r="818" spans="1:13">
      <c r="A818">
        <v>751</v>
      </c>
      <c r="B818">
        <v>98</v>
      </c>
      <c r="C818">
        <v>0</v>
      </c>
      <c r="D818">
        <v>0</v>
      </c>
      <c r="E818">
        <v>2</v>
      </c>
      <c r="G818">
        <v>-2.6</v>
      </c>
      <c r="H818">
        <v>-2.6</v>
      </c>
      <c r="I818">
        <v>-2.1455660845773137</v>
      </c>
      <c r="K818">
        <v>-2.6</v>
      </c>
      <c r="M818">
        <f t="shared" si="12"/>
        <v>0.26236754339818363</v>
      </c>
    </row>
    <row r="819" spans="1:13">
      <c r="A819">
        <v>765</v>
      </c>
      <c r="B819">
        <v>16</v>
      </c>
      <c r="C819">
        <v>1</v>
      </c>
      <c r="D819">
        <v>0</v>
      </c>
      <c r="E819">
        <v>0</v>
      </c>
      <c r="G819">
        <v>-1.7801434303994281</v>
      </c>
      <c r="H819">
        <v>-2.6</v>
      </c>
      <c r="I819">
        <v>-2.6</v>
      </c>
      <c r="K819">
        <v>-2.6</v>
      </c>
      <c r="M819">
        <f t="shared" si="12"/>
        <v>0.47334441115577319</v>
      </c>
    </row>
    <row r="820" spans="1:13">
      <c r="A820">
        <v>771</v>
      </c>
      <c r="B820">
        <v>290</v>
      </c>
      <c r="C820">
        <v>0</v>
      </c>
      <c r="D820">
        <v>2</v>
      </c>
      <c r="E820">
        <v>2</v>
      </c>
      <c r="G820">
        <v>-2.6</v>
      </c>
      <c r="H820">
        <v>-2.6074550232146683</v>
      </c>
      <c r="I820">
        <v>-2.6167380067837751</v>
      </c>
      <c r="K820">
        <v>-2.6</v>
      </c>
      <c r="M820">
        <f t="shared" si="12"/>
        <v>8.3856228765791709E-3</v>
      </c>
    </row>
    <row r="821" spans="1:13">
      <c r="A821">
        <v>777</v>
      </c>
      <c r="B821">
        <v>26</v>
      </c>
      <c r="C821">
        <v>1</v>
      </c>
      <c r="D821">
        <v>0</v>
      </c>
      <c r="E821">
        <v>0</v>
      </c>
      <c r="G821">
        <v>-1.9909967957143213</v>
      </c>
      <c r="H821">
        <v>-2.6</v>
      </c>
      <c r="I821">
        <v>-2.6</v>
      </c>
      <c r="K821">
        <v>-2.6</v>
      </c>
      <c r="M821">
        <f t="shared" si="12"/>
        <v>0.35160816393168254</v>
      </c>
    </row>
    <row r="822" spans="1:13">
      <c r="A822">
        <v>778</v>
      </c>
      <c r="B822">
        <v>243</v>
      </c>
      <c r="C822">
        <v>2</v>
      </c>
      <c r="D822">
        <v>1</v>
      </c>
      <c r="E822">
        <v>0</v>
      </c>
      <c r="G822">
        <v>-2.6605997256778342</v>
      </c>
      <c r="H822">
        <v>-2.831693294578006</v>
      </c>
      <c r="I822">
        <v>-2.6</v>
      </c>
      <c r="K822">
        <v>-2.6</v>
      </c>
      <c r="M822">
        <f t="shared" si="12"/>
        <v>0.12015761789113859</v>
      </c>
    </row>
    <row r="823" spans="1:13">
      <c r="A823">
        <v>784</v>
      </c>
      <c r="B823">
        <v>59</v>
      </c>
      <c r="C823">
        <v>2</v>
      </c>
      <c r="D823">
        <v>0</v>
      </c>
      <c r="E823">
        <v>0</v>
      </c>
      <c r="G823">
        <v>-2.0458454637216663</v>
      </c>
      <c r="H823">
        <v>-2.6</v>
      </c>
      <c r="I823">
        <v>-2.6</v>
      </c>
      <c r="K823">
        <v>-2.6</v>
      </c>
      <c r="M823">
        <f t="shared" si="12"/>
        <v>0.31994127069294698</v>
      </c>
    </row>
    <row r="824" spans="1:13">
      <c r="A824">
        <v>787</v>
      </c>
      <c r="B824">
        <v>211</v>
      </c>
      <c r="C824">
        <v>1</v>
      </c>
      <c r="D824">
        <v>4</v>
      </c>
      <c r="E824">
        <v>0</v>
      </c>
      <c r="G824">
        <v>-2.900305903041196</v>
      </c>
      <c r="H824">
        <v>-2.168309484949424</v>
      </c>
      <c r="I824">
        <v>-2.6</v>
      </c>
      <c r="K824">
        <v>-2.6</v>
      </c>
      <c r="M824">
        <f t="shared" si="12"/>
        <v>0.36795812539952577</v>
      </c>
    </row>
    <row r="825" spans="1:13">
      <c r="A825">
        <v>804</v>
      </c>
      <c r="B825">
        <v>93</v>
      </c>
      <c r="C825">
        <v>0</v>
      </c>
      <c r="D825">
        <v>0</v>
      </c>
      <c r="E825">
        <v>2</v>
      </c>
      <c r="G825">
        <v>-2.6</v>
      </c>
      <c r="H825">
        <v>-2.6</v>
      </c>
      <c r="I825">
        <v>-2.1228229574387543</v>
      </c>
      <c r="K825">
        <v>-2.6</v>
      </c>
      <c r="M825">
        <f t="shared" si="12"/>
        <v>0.27549829397384479</v>
      </c>
    </row>
    <row r="826" spans="1:13">
      <c r="A826">
        <v>811</v>
      </c>
      <c r="B826">
        <v>99</v>
      </c>
      <c r="C826">
        <v>1</v>
      </c>
      <c r="D826">
        <v>2</v>
      </c>
      <c r="E826">
        <v>0</v>
      </c>
      <c r="G826">
        <v>-2.5716586423410535</v>
      </c>
      <c r="H826">
        <v>-2.1406922199132623</v>
      </c>
      <c r="I826">
        <v>-2.6</v>
      </c>
      <c r="K826">
        <v>-2.6</v>
      </c>
      <c r="M826">
        <f t="shared" si="12"/>
        <v>0.25739040601855151</v>
      </c>
    </row>
    <row r="827" spans="1:13">
      <c r="A827">
        <v>813</v>
      </c>
      <c r="B827">
        <v>39</v>
      </c>
      <c r="C827">
        <v>0</v>
      </c>
      <c r="D827">
        <v>0</v>
      </c>
      <c r="E827">
        <v>0</v>
      </c>
      <c r="G827">
        <v>-2.6</v>
      </c>
      <c r="H827">
        <v>-2.6</v>
      </c>
      <c r="I827">
        <v>-2.6</v>
      </c>
      <c r="K827">
        <v>-2.6</v>
      </c>
      <c r="M827">
        <f t="shared" si="12"/>
        <v>0</v>
      </c>
    </row>
    <row r="828" spans="1:13">
      <c r="A828">
        <v>818</v>
      </c>
      <c r="B828">
        <v>160</v>
      </c>
      <c r="C828">
        <v>2</v>
      </c>
      <c r="D828">
        <v>5</v>
      </c>
      <c r="E828">
        <v>0</v>
      </c>
      <c r="G828">
        <v>-2.4791134347354467</v>
      </c>
      <c r="H828">
        <v>-1.9512369992995997</v>
      </c>
      <c r="I828">
        <v>-2.6</v>
      </c>
      <c r="K828">
        <v>-2.6</v>
      </c>
      <c r="M828">
        <f t="shared" si="12"/>
        <v>0.34500254197800267</v>
      </c>
    </row>
    <row r="829" spans="1:13">
      <c r="A829">
        <v>827</v>
      </c>
      <c r="B829">
        <v>237</v>
      </c>
      <c r="C829">
        <v>1</v>
      </c>
      <c r="D829">
        <v>1</v>
      </c>
      <c r="E829">
        <v>0</v>
      </c>
      <c r="G829">
        <v>-2.9507717937536073</v>
      </c>
      <c r="H829">
        <v>-2.8208353669897974</v>
      </c>
      <c r="I829">
        <v>-2.6</v>
      </c>
      <c r="K829">
        <v>-2.6</v>
      </c>
      <c r="M829">
        <f t="shared" si="12"/>
        <v>0.17733799442814868</v>
      </c>
    </row>
    <row r="830" spans="1:13">
      <c r="A830">
        <v>837</v>
      </c>
      <c r="B830">
        <v>61</v>
      </c>
      <c r="C830">
        <v>2</v>
      </c>
      <c r="D830">
        <v>1</v>
      </c>
      <c r="E830">
        <v>0</v>
      </c>
      <c r="G830">
        <v>-2.0603232870902892</v>
      </c>
      <c r="H830">
        <v>-2.2314168559904606</v>
      </c>
      <c r="I830">
        <v>-2.6</v>
      </c>
      <c r="K830">
        <v>-2.6</v>
      </c>
      <c r="M830">
        <f t="shared" si="12"/>
        <v>0.2757950621457852</v>
      </c>
    </row>
    <row r="831" spans="1:13">
      <c r="A831">
        <v>841</v>
      </c>
      <c r="B831">
        <v>92</v>
      </c>
      <c r="C831">
        <v>1</v>
      </c>
      <c r="D831">
        <v>0</v>
      </c>
      <c r="E831">
        <v>0</v>
      </c>
      <c r="G831">
        <v>-2.5398112750890585</v>
      </c>
      <c r="H831">
        <v>-2.6</v>
      </c>
      <c r="I831">
        <v>-2.6</v>
      </c>
      <c r="K831">
        <v>-2.6</v>
      </c>
      <c r="M831">
        <f t="shared" si="12"/>
        <v>3.4749976529512484E-2</v>
      </c>
    </row>
    <row r="832" spans="1:13">
      <c r="A832">
        <v>843</v>
      </c>
      <c r="B832">
        <v>59</v>
      </c>
      <c r="C832">
        <v>0</v>
      </c>
      <c r="D832">
        <v>0</v>
      </c>
      <c r="E832">
        <v>1</v>
      </c>
      <c r="G832">
        <v>-2.6</v>
      </c>
      <c r="H832">
        <v>-2.6</v>
      </c>
      <c r="I832">
        <v>-2.2262220161909445</v>
      </c>
      <c r="K832">
        <v>-2.6</v>
      </c>
      <c r="M832">
        <f t="shared" si="12"/>
        <v>0.21580081956931382</v>
      </c>
    </row>
    <row r="833" spans="1:13">
      <c r="A833">
        <v>851</v>
      </c>
      <c r="B833">
        <v>59</v>
      </c>
      <c r="C833">
        <v>0</v>
      </c>
      <c r="D833">
        <v>2</v>
      </c>
      <c r="E833">
        <v>0</v>
      </c>
      <c r="G833">
        <v>-2.6</v>
      </c>
      <c r="H833">
        <v>-1.9159090369578566</v>
      </c>
      <c r="I833">
        <v>-2.6</v>
      </c>
      <c r="K833">
        <v>-2.6</v>
      </c>
      <c r="M833">
        <f t="shared" si="12"/>
        <v>0.39496010166256956</v>
      </c>
    </row>
    <row r="834" spans="1:13">
      <c r="A834">
        <v>860</v>
      </c>
      <c r="B834">
        <v>49</v>
      </c>
      <c r="C834">
        <v>0</v>
      </c>
      <c r="D834">
        <v>1</v>
      </c>
      <c r="E834">
        <v>0</v>
      </c>
      <c r="G834">
        <v>-2.6</v>
      </c>
      <c r="H834">
        <v>-2.1362831010082073</v>
      </c>
      <c r="I834">
        <v>-2.6</v>
      </c>
      <c r="K834">
        <v>-2.6</v>
      </c>
      <c r="M834">
        <f t="shared" si="12"/>
        <v>0.26772707646069005</v>
      </c>
    </row>
    <row r="835" spans="1:13">
      <c r="A835">
        <v>867</v>
      </c>
      <c r="B835">
        <v>95</v>
      </c>
      <c r="C835">
        <v>0</v>
      </c>
      <c r="D835">
        <v>0</v>
      </c>
      <c r="E835">
        <v>3</v>
      </c>
      <c r="G835">
        <v>-2.6</v>
      </c>
      <c r="H835">
        <v>-2.6</v>
      </c>
      <c r="I835">
        <v>-1.9559723551179855</v>
      </c>
      <c r="K835">
        <v>-2.6</v>
      </c>
      <c r="M835">
        <f t="shared" ref="M835:M898" si="13">STDEV(G835:I835)</f>
        <v>0.37182953413819142</v>
      </c>
    </row>
    <row r="836" spans="1:13">
      <c r="A836">
        <v>868</v>
      </c>
      <c r="B836">
        <v>88</v>
      </c>
      <c r="C836">
        <v>0</v>
      </c>
      <c r="D836">
        <v>2</v>
      </c>
      <c r="E836">
        <v>1</v>
      </c>
      <c r="G836">
        <v>-2.6</v>
      </c>
      <c r="H836">
        <v>-2.0895396974658809</v>
      </c>
      <c r="I836">
        <v>-2.399852676698969</v>
      </c>
      <c r="K836">
        <v>-2.6</v>
      </c>
      <c r="M836">
        <f t="shared" si="13"/>
        <v>0.25720381560424893</v>
      </c>
    </row>
    <row r="837" spans="1:13">
      <c r="A837">
        <v>870</v>
      </c>
      <c r="B837">
        <v>84</v>
      </c>
      <c r="C837">
        <v>1</v>
      </c>
      <c r="D837">
        <v>1</v>
      </c>
      <c r="E837">
        <v>0</v>
      </c>
      <c r="G837">
        <v>-2.5003027338053849</v>
      </c>
      <c r="H837">
        <v>-2.370366307041575</v>
      </c>
      <c r="I837">
        <v>-2.6</v>
      </c>
      <c r="K837">
        <v>-2.6</v>
      </c>
      <c r="M837">
        <f t="shared" si="13"/>
        <v>0.11514820365406714</v>
      </c>
    </row>
    <row r="838" spans="1:13">
      <c r="A838">
        <v>875</v>
      </c>
      <c r="B838">
        <v>67</v>
      </c>
      <c r="C838">
        <v>1</v>
      </c>
      <c r="D838">
        <v>0</v>
      </c>
      <c r="E838">
        <v>2</v>
      </c>
      <c r="G838">
        <v>-2.4020982504443298</v>
      </c>
      <c r="H838">
        <v>-2.6</v>
      </c>
      <c r="I838">
        <v>-1.9804148115856455</v>
      </c>
      <c r="K838">
        <v>-2.6</v>
      </c>
      <c r="M838">
        <f t="shared" si="13"/>
        <v>0.31645637687452965</v>
      </c>
    </row>
    <row r="839" spans="1:13">
      <c r="A839">
        <v>881</v>
      </c>
      <c r="B839">
        <v>83</v>
      </c>
      <c r="C839">
        <v>1</v>
      </c>
      <c r="D839">
        <v>0</v>
      </c>
      <c r="E839">
        <v>0</v>
      </c>
      <c r="G839">
        <v>-2.4951015401195775</v>
      </c>
      <c r="H839">
        <v>-2.6</v>
      </c>
      <c r="I839">
        <v>-2.6</v>
      </c>
      <c r="K839">
        <v>-2.6</v>
      </c>
      <c r="M839">
        <f t="shared" si="13"/>
        <v>6.0563154049539124E-2</v>
      </c>
    </row>
    <row r="840" spans="1:13">
      <c r="A840">
        <v>885</v>
      </c>
      <c r="B840">
        <v>30</v>
      </c>
      <c r="C840">
        <v>0</v>
      </c>
      <c r="D840">
        <v>0</v>
      </c>
      <c r="E840">
        <v>0</v>
      </c>
      <c r="G840">
        <v>-2.6</v>
      </c>
      <c r="H840">
        <v>-2.6</v>
      </c>
      <c r="I840">
        <v>-2.6</v>
      </c>
      <c r="K840">
        <v>-2.6</v>
      </c>
      <c r="M840">
        <f t="shared" si="13"/>
        <v>0</v>
      </c>
    </row>
    <row r="841" spans="1:13">
      <c r="A841">
        <v>892</v>
      </c>
      <c r="B841">
        <v>24</v>
      </c>
      <c r="C841">
        <v>0</v>
      </c>
      <c r="D841">
        <v>0</v>
      </c>
      <c r="E841">
        <v>1</v>
      </c>
      <c r="G841">
        <v>-2.6</v>
      </c>
      <c r="H841">
        <v>-2.6</v>
      </c>
      <c r="I841">
        <v>-1.8355812462604064</v>
      </c>
      <c r="K841">
        <v>-2.6</v>
      </c>
      <c r="M841">
        <f t="shared" si="13"/>
        <v>0.44133737324515487</v>
      </c>
    </row>
    <row r="842" spans="1:13">
      <c r="A842">
        <v>893</v>
      </c>
      <c r="B842">
        <v>190</v>
      </c>
      <c r="C842">
        <v>3</v>
      </c>
      <c r="D842">
        <v>0</v>
      </c>
      <c r="E842">
        <v>2</v>
      </c>
      <c r="G842">
        <v>-2.37765579397667</v>
      </c>
      <c r="H842">
        <v>-2.6</v>
      </c>
      <c r="I842">
        <v>-2.4330936098376483</v>
      </c>
      <c r="K842">
        <v>-2.6</v>
      </c>
      <c r="M842">
        <f t="shared" si="13"/>
        <v>0.11573535937402477</v>
      </c>
    </row>
    <row r="843" spans="1:13">
      <c r="A843">
        <v>904</v>
      </c>
      <c r="B843">
        <v>90</v>
      </c>
      <c r="C843">
        <v>0</v>
      </c>
      <c r="D843">
        <v>0</v>
      </c>
      <c r="E843">
        <v>1</v>
      </c>
      <c r="G843">
        <v>-2.6</v>
      </c>
      <c r="H843">
        <v>-2.6</v>
      </c>
      <c r="I843">
        <v>-2.409612513988125</v>
      </c>
      <c r="K843">
        <v>-2.6</v>
      </c>
      <c r="M843">
        <f t="shared" si="13"/>
        <v>0.10992026629929216</v>
      </c>
    </row>
    <row r="844" spans="1:13">
      <c r="A844">
        <v>906</v>
      </c>
      <c r="B844">
        <v>58</v>
      </c>
      <c r="C844">
        <v>0</v>
      </c>
      <c r="D844">
        <v>0</v>
      </c>
      <c r="E844">
        <v>0</v>
      </c>
      <c r="G844">
        <v>-2.6</v>
      </c>
      <c r="H844">
        <v>-2.6</v>
      </c>
      <c r="I844">
        <v>-2.6</v>
      </c>
      <c r="K844">
        <v>-2.6</v>
      </c>
      <c r="M844">
        <f t="shared" si="13"/>
        <v>0</v>
      </c>
    </row>
    <row r="845" spans="1:13">
      <c r="A845">
        <v>907</v>
      </c>
      <c r="B845">
        <v>107</v>
      </c>
      <c r="C845">
        <v>1</v>
      </c>
      <c r="D845">
        <v>1</v>
      </c>
      <c r="E845">
        <v>0</v>
      </c>
      <c r="G845">
        <v>-2.6054072254287131</v>
      </c>
      <c r="H845">
        <v>-2.4754707986649036</v>
      </c>
      <c r="I845">
        <v>-2.6</v>
      </c>
      <c r="K845">
        <v>-2.6</v>
      </c>
      <c r="M845">
        <f t="shared" si="13"/>
        <v>7.3507635739584604E-2</v>
      </c>
    </row>
    <row r="846" spans="1:13">
      <c r="A846">
        <v>551</v>
      </c>
      <c r="B846">
        <v>323</v>
      </c>
      <c r="C846">
        <v>2</v>
      </c>
      <c r="D846">
        <v>2</v>
      </c>
      <c r="E846">
        <v>4</v>
      </c>
      <c r="G846">
        <v>-2.7841959744106251</v>
      </c>
      <c r="H846">
        <v>-2.6542595476468156</v>
      </c>
      <c r="I846">
        <v>-2.3625125355519407</v>
      </c>
      <c r="K846">
        <v>-2.6003226858697936</v>
      </c>
      <c r="M846">
        <f t="shared" si="13"/>
        <v>0.21595397529493779</v>
      </c>
    </row>
    <row r="847" spans="1:13">
      <c r="A847">
        <v>176</v>
      </c>
      <c r="B847">
        <v>221</v>
      </c>
      <c r="C847">
        <v>1</v>
      </c>
      <c r="D847">
        <v>1</v>
      </c>
      <c r="E847">
        <v>5</v>
      </c>
      <c r="G847">
        <v>-2.9204157214286139</v>
      </c>
      <c r="H847">
        <v>-2.790479294664804</v>
      </c>
      <c r="I847">
        <v>-2.1007922738978921</v>
      </c>
      <c r="K847">
        <v>-2.6038957633304367</v>
      </c>
      <c r="M847">
        <f t="shared" si="13"/>
        <v>0.44051754739106513</v>
      </c>
    </row>
    <row r="848" spans="1:13">
      <c r="A848">
        <v>517</v>
      </c>
      <c r="B848">
        <v>374</v>
      </c>
      <c r="C848">
        <v>1</v>
      </c>
      <c r="D848">
        <v>4</v>
      </c>
      <c r="E848">
        <v>6</v>
      </c>
      <c r="G848">
        <v>-3.1488950499439836</v>
      </c>
      <c r="H848">
        <v>-2.4168986318522112</v>
      </c>
      <c r="I848">
        <v>-2.2500903563656367</v>
      </c>
      <c r="K848">
        <v>-2.6052946793872773</v>
      </c>
      <c r="M848">
        <f t="shared" si="13"/>
        <v>0.47810278428884068</v>
      </c>
    </row>
    <row r="849" spans="1:13">
      <c r="A849">
        <v>188</v>
      </c>
      <c r="B849">
        <v>237</v>
      </c>
      <c r="C849">
        <v>2</v>
      </c>
      <c r="D849">
        <v>1</v>
      </c>
      <c r="E849">
        <v>3</v>
      </c>
      <c r="G849">
        <v>-2.6497417980896261</v>
      </c>
      <c r="H849">
        <v>-2.8208353669897974</v>
      </c>
      <c r="I849">
        <v>-2.3529970958392417</v>
      </c>
      <c r="K849">
        <v>-2.6078580869728882</v>
      </c>
      <c r="M849">
        <f t="shared" si="13"/>
        <v>0.23671469310325455</v>
      </c>
    </row>
    <row r="850" spans="1:13">
      <c r="A850">
        <v>697</v>
      </c>
      <c r="B850">
        <v>237</v>
      </c>
      <c r="C850">
        <v>2</v>
      </c>
      <c r="D850">
        <v>3</v>
      </c>
      <c r="E850">
        <v>1</v>
      </c>
      <c r="G850">
        <v>-2.6497417980896261</v>
      </c>
      <c r="H850">
        <v>-2.3437141122701348</v>
      </c>
      <c r="I850">
        <v>-2.8301183505589043</v>
      </c>
      <c r="K850">
        <v>-2.6078580869728882</v>
      </c>
      <c r="M850">
        <f t="shared" si="13"/>
        <v>0.2458921607107519</v>
      </c>
    </row>
    <row r="851" spans="1:13">
      <c r="A851">
        <v>253</v>
      </c>
      <c r="B851">
        <v>519</v>
      </c>
      <c r="C851">
        <v>7</v>
      </c>
      <c r="D851">
        <v>1</v>
      </c>
      <c r="E851">
        <v>9</v>
      </c>
      <c r="G851">
        <v>-2.4460927655777045</v>
      </c>
      <c r="H851">
        <v>-3.1612543788281515</v>
      </c>
      <c r="I851">
        <v>-2.2162948529579332</v>
      </c>
      <c r="K851">
        <v>-2.6078806657879299</v>
      </c>
      <c r="M851">
        <f t="shared" si="13"/>
        <v>0.49281702474046418</v>
      </c>
    </row>
    <row r="852" spans="1:13">
      <c r="A852">
        <v>182</v>
      </c>
      <c r="B852">
        <v>397</v>
      </c>
      <c r="C852">
        <v>4</v>
      </c>
      <c r="D852">
        <v>1</v>
      </c>
      <c r="E852">
        <v>7</v>
      </c>
      <c r="G852">
        <v>-2.572753963178656</v>
      </c>
      <c r="H852">
        <v>-3.0448775277428091</v>
      </c>
      <c r="I852">
        <v>-2.2090624712976585</v>
      </c>
      <c r="K852">
        <v>-2.6088979874063742</v>
      </c>
      <c r="M852">
        <f t="shared" si="13"/>
        <v>0.41907814904935636</v>
      </c>
    </row>
    <row r="853" spans="1:13">
      <c r="A853">
        <v>330</v>
      </c>
      <c r="B853">
        <v>383</v>
      </c>
      <c r="C853">
        <v>4</v>
      </c>
      <c r="D853">
        <v>1</v>
      </c>
      <c r="E853">
        <v>6</v>
      </c>
      <c r="G853">
        <v>-2.5571622303841637</v>
      </c>
      <c r="H853">
        <v>-3.0292857949483167</v>
      </c>
      <c r="I853">
        <v>-2.2604175281337797</v>
      </c>
      <c r="K853">
        <v>-2.6156218511554199</v>
      </c>
      <c r="M853">
        <f t="shared" si="13"/>
        <v>0.38775346339412542</v>
      </c>
    </row>
    <row r="854" spans="1:13">
      <c r="A854">
        <v>655</v>
      </c>
      <c r="B854">
        <v>383</v>
      </c>
      <c r="C854">
        <v>2</v>
      </c>
      <c r="D854">
        <v>2</v>
      </c>
      <c r="E854">
        <v>6</v>
      </c>
      <c r="G854">
        <v>-2.8581922260481449</v>
      </c>
      <c r="H854">
        <v>-2.7282557992843355</v>
      </c>
      <c r="I854">
        <v>-2.2604175281337797</v>
      </c>
      <c r="K854">
        <v>-2.6156218511554199</v>
      </c>
      <c r="M854">
        <f t="shared" si="13"/>
        <v>0.31440173674772071</v>
      </c>
    </row>
    <row r="855" spans="1:13">
      <c r="A855">
        <v>566</v>
      </c>
      <c r="B855">
        <v>350</v>
      </c>
      <c r="C855">
        <v>3</v>
      </c>
      <c r="D855">
        <v>2</v>
      </c>
      <c r="E855">
        <v>3</v>
      </c>
      <c r="G855">
        <v>-2.6429702373741164</v>
      </c>
      <c r="H855">
        <v>-2.6891250696659883</v>
      </c>
      <c r="I855">
        <v>-2.5223167941794133</v>
      </c>
      <c r="K855">
        <v>-2.6181373670731727</v>
      </c>
      <c r="M855">
        <f t="shared" si="13"/>
        <v>8.6132187817556854E-2</v>
      </c>
    </row>
    <row r="856" spans="1:13">
      <c r="A856">
        <v>834</v>
      </c>
      <c r="B856">
        <v>230</v>
      </c>
      <c r="C856">
        <v>1</v>
      </c>
      <c r="D856">
        <v>1</v>
      </c>
      <c r="E856">
        <v>5</v>
      </c>
      <c r="G856">
        <v>-2.9377512837610964</v>
      </c>
      <c r="H856">
        <v>-2.8078148569972869</v>
      </c>
      <c r="I856">
        <v>-2.1181278362303742</v>
      </c>
      <c r="K856">
        <v>-2.6212313256629192</v>
      </c>
      <c r="M856">
        <f t="shared" si="13"/>
        <v>0.44051754739106513</v>
      </c>
    </row>
    <row r="857" spans="1:13">
      <c r="A857">
        <v>215</v>
      </c>
      <c r="B857">
        <v>389</v>
      </c>
      <c r="C857">
        <v>2</v>
      </c>
      <c r="D857">
        <v>6</v>
      </c>
      <c r="E857">
        <v>2</v>
      </c>
      <c r="G857">
        <v>-2.8649430534052298</v>
      </c>
      <c r="H857">
        <v>-2.2578853719217578</v>
      </c>
      <c r="I857">
        <v>-2.7442896102105268</v>
      </c>
      <c r="K857">
        <v>-2.6223726785125048</v>
      </c>
      <c r="M857">
        <f t="shared" si="13"/>
        <v>0.32136826358247833</v>
      </c>
    </row>
    <row r="858" spans="1:13">
      <c r="A858">
        <v>45</v>
      </c>
      <c r="B858">
        <v>310</v>
      </c>
      <c r="C858">
        <v>4</v>
      </c>
      <c r="D858">
        <v>3</v>
      </c>
      <c r="E858">
        <v>1</v>
      </c>
      <c r="G858">
        <v>-2.4653251502498135</v>
      </c>
      <c r="H858">
        <v>-2.4603274600943035</v>
      </c>
      <c r="I858">
        <v>-2.9467316983830729</v>
      </c>
      <c r="K858">
        <v>-2.6241281029090633</v>
      </c>
      <c r="M858">
        <f t="shared" si="13"/>
        <v>0.27939408384268172</v>
      </c>
    </row>
    <row r="859" spans="1:13">
      <c r="A859">
        <v>109</v>
      </c>
      <c r="B859">
        <v>136</v>
      </c>
      <c r="C859">
        <v>1</v>
      </c>
      <c r="D859">
        <v>1</v>
      </c>
      <c r="E859">
        <v>1</v>
      </c>
      <c r="G859">
        <v>-2.7095623561137208</v>
      </c>
      <c r="H859">
        <v>-2.5796259293499109</v>
      </c>
      <c r="I859">
        <v>-2.5889089129190177</v>
      </c>
      <c r="K859">
        <v>-2.626032399460883</v>
      </c>
      <c r="M859">
        <f t="shared" si="13"/>
        <v>7.248781752684226E-2</v>
      </c>
    </row>
    <row r="860" spans="1:13">
      <c r="A860">
        <v>177</v>
      </c>
      <c r="B860">
        <v>272</v>
      </c>
      <c r="C860">
        <v>1</v>
      </c>
      <c r="D860">
        <v>2</v>
      </c>
      <c r="E860">
        <v>4</v>
      </c>
      <c r="G860">
        <v>-3.010592351777702</v>
      </c>
      <c r="H860">
        <v>-2.5796259293499109</v>
      </c>
      <c r="I860">
        <v>-2.2878789172550364</v>
      </c>
      <c r="K860">
        <v>-2.626032399460883</v>
      </c>
      <c r="M860">
        <f t="shared" si="13"/>
        <v>0.36358471840962614</v>
      </c>
    </row>
    <row r="861" spans="1:13">
      <c r="A861">
        <v>231</v>
      </c>
      <c r="B861">
        <v>495</v>
      </c>
      <c r="C861">
        <v>4</v>
      </c>
      <c r="D861">
        <v>3</v>
      </c>
      <c r="E861">
        <v>4</v>
      </c>
      <c r="G861">
        <v>-2.6685686553491097</v>
      </c>
      <c r="H861">
        <v>-2.6635709651935997</v>
      </c>
      <c r="I861">
        <v>-2.5479152121544066</v>
      </c>
      <c r="K861">
        <v>-2.6266849442323719</v>
      </c>
      <c r="M861">
        <f t="shared" si="13"/>
        <v>6.8262341341683089E-2</v>
      </c>
    </row>
    <row r="862" spans="1:13">
      <c r="A862">
        <v>263</v>
      </c>
      <c r="B862">
        <v>198</v>
      </c>
      <c r="C862">
        <v>1</v>
      </c>
      <c r="D862">
        <v>1</v>
      </c>
      <c r="E862">
        <v>3</v>
      </c>
      <c r="G862">
        <v>-2.8726886380050343</v>
      </c>
      <c r="H862">
        <v>-2.7427522112412248</v>
      </c>
      <c r="I862">
        <v>-2.2749139400906691</v>
      </c>
      <c r="K862">
        <v>-2.6301182631123092</v>
      </c>
      <c r="M862">
        <f t="shared" si="13"/>
        <v>0.31440173674772071</v>
      </c>
    </row>
    <row r="863" spans="1:13">
      <c r="A863">
        <v>624</v>
      </c>
      <c r="B863">
        <v>173</v>
      </c>
      <c r="C863">
        <v>1</v>
      </c>
      <c r="D863">
        <v>1</v>
      </c>
      <c r="E863">
        <v>2</v>
      </c>
      <c r="G863">
        <v>-2.8140695508722988</v>
      </c>
      <c r="H863">
        <v>-2.6841331241084889</v>
      </c>
      <c r="I863">
        <v>-2.3923861120136145</v>
      </c>
      <c r="K863">
        <v>-2.6301962623314674</v>
      </c>
      <c r="M863">
        <f t="shared" si="13"/>
        <v>0.21595397529493773</v>
      </c>
    </row>
    <row r="864" spans="1:13">
      <c r="A864">
        <v>60</v>
      </c>
      <c r="B864">
        <v>429</v>
      </c>
      <c r="C864">
        <v>5</v>
      </c>
      <c r="D864">
        <v>6</v>
      </c>
      <c r="E864">
        <v>1</v>
      </c>
      <c r="G864">
        <v>-2.5095107355922091</v>
      </c>
      <c r="H864">
        <v>-2.300393062780774</v>
      </c>
      <c r="I864">
        <v>-3.0878272967335247</v>
      </c>
      <c r="K864">
        <v>-2.6325770317021693</v>
      </c>
      <c r="M864">
        <f t="shared" si="13"/>
        <v>0.40788742702963549</v>
      </c>
    </row>
    <row r="865" spans="1:13">
      <c r="A865">
        <v>136</v>
      </c>
      <c r="B865">
        <v>174</v>
      </c>
      <c r="C865">
        <v>1</v>
      </c>
      <c r="D865">
        <v>1</v>
      </c>
      <c r="E865">
        <v>2</v>
      </c>
      <c r="G865">
        <v>-2.8165726960261033</v>
      </c>
      <c r="H865">
        <v>-2.6866362692622934</v>
      </c>
      <c r="I865">
        <v>-2.394889257167419</v>
      </c>
      <c r="K865">
        <v>-2.6326994074852719</v>
      </c>
      <c r="M865">
        <f t="shared" si="13"/>
        <v>0.21595397529493773</v>
      </c>
    </row>
    <row r="866" spans="1:13">
      <c r="A866">
        <v>105</v>
      </c>
      <c r="B866">
        <v>651</v>
      </c>
      <c r="C866">
        <v>13</v>
      </c>
      <c r="D866">
        <v>2</v>
      </c>
      <c r="E866">
        <v>4</v>
      </c>
      <c r="G866">
        <v>-2.2756610840048586</v>
      </c>
      <c r="H866">
        <v>-2.9586380138839043</v>
      </c>
      <c r="I866">
        <v>-2.6668910017890299</v>
      </c>
      <c r="K866">
        <v>-2.6337300332259308</v>
      </c>
      <c r="M866">
        <f t="shared" si="13"/>
        <v>0.34269389995122901</v>
      </c>
    </row>
    <row r="867" spans="1:13">
      <c r="A867">
        <v>290</v>
      </c>
      <c r="B867">
        <v>175</v>
      </c>
      <c r="C867">
        <v>1</v>
      </c>
      <c r="D867">
        <v>1</v>
      </c>
      <c r="E867">
        <v>2</v>
      </c>
      <c r="G867">
        <v>-2.8190614964297978</v>
      </c>
      <c r="H867">
        <v>-2.6891250696659883</v>
      </c>
      <c r="I867">
        <v>-2.3973780575711134</v>
      </c>
      <c r="K867">
        <v>-2.6351882078889663</v>
      </c>
      <c r="M867">
        <f t="shared" si="13"/>
        <v>0.21595397529493779</v>
      </c>
    </row>
    <row r="868" spans="1:13">
      <c r="A868">
        <v>568</v>
      </c>
      <c r="B868">
        <v>201</v>
      </c>
      <c r="C868">
        <v>1</v>
      </c>
      <c r="D868">
        <v>3</v>
      </c>
      <c r="E868">
        <v>1</v>
      </c>
      <c r="G868">
        <v>-2.8792195051639924</v>
      </c>
      <c r="H868">
        <v>-2.2721618236805199</v>
      </c>
      <c r="I868">
        <v>-2.7585660619692893</v>
      </c>
      <c r="K868">
        <v>-2.6366491302712673</v>
      </c>
      <c r="M868">
        <f t="shared" si="13"/>
        <v>0.32136826358247861</v>
      </c>
    </row>
    <row r="869" spans="1:13">
      <c r="A869">
        <v>340</v>
      </c>
      <c r="B869">
        <v>176</v>
      </c>
      <c r="C869">
        <v>1</v>
      </c>
      <c r="D869">
        <v>1</v>
      </c>
      <c r="E869">
        <v>2</v>
      </c>
      <c r="G869">
        <v>-2.8215361155576533</v>
      </c>
      <c r="H869">
        <v>-2.6915996887938434</v>
      </c>
      <c r="I869">
        <v>-2.399852676698969</v>
      </c>
      <c r="K869">
        <v>-2.6376628270168219</v>
      </c>
      <c r="M869">
        <f t="shared" si="13"/>
        <v>0.21595397529493773</v>
      </c>
    </row>
    <row r="870" spans="1:13">
      <c r="A870">
        <v>288</v>
      </c>
      <c r="B870">
        <v>140</v>
      </c>
      <c r="C870">
        <v>1</v>
      </c>
      <c r="D870">
        <v>1</v>
      </c>
      <c r="E870">
        <v>1</v>
      </c>
      <c r="G870">
        <v>-2.7221514834217415</v>
      </c>
      <c r="H870">
        <v>-2.5922150566579321</v>
      </c>
      <c r="I870">
        <v>-2.6014980402270385</v>
      </c>
      <c r="K870">
        <v>-2.6386215267689042</v>
      </c>
      <c r="M870">
        <f t="shared" si="13"/>
        <v>7.2487817526842122E-2</v>
      </c>
    </row>
    <row r="871" spans="1:13">
      <c r="A871">
        <v>791</v>
      </c>
      <c r="B871">
        <v>141</v>
      </c>
      <c r="C871">
        <v>1</v>
      </c>
      <c r="D871">
        <v>1</v>
      </c>
      <c r="E871">
        <v>1</v>
      </c>
      <c r="G871">
        <v>-2.7252425603988835</v>
      </c>
      <c r="H871">
        <v>-2.5953061336350736</v>
      </c>
      <c r="I871">
        <v>-2.6045891172041804</v>
      </c>
      <c r="K871">
        <v>-2.6417126037460457</v>
      </c>
      <c r="M871">
        <f t="shared" si="13"/>
        <v>7.248781752684226E-2</v>
      </c>
    </row>
    <row r="872" spans="1:13">
      <c r="A872">
        <v>77</v>
      </c>
      <c r="B872">
        <v>522</v>
      </c>
      <c r="C872">
        <v>5</v>
      </c>
      <c r="D872">
        <v>2</v>
      </c>
      <c r="E872">
        <v>5</v>
      </c>
      <c r="G872">
        <v>-2.5947239464097467</v>
      </c>
      <c r="H872">
        <v>-2.8627275283179747</v>
      </c>
      <c r="I872">
        <v>-2.4740705032150436</v>
      </c>
      <c r="K872">
        <v>-2.6438406593142552</v>
      </c>
      <c r="M872">
        <f t="shared" si="13"/>
        <v>0.19892940809586959</v>
      </c>
    </row>
    <row r="873" spans="1:13">
      <c r="A873">
        <v>636</v>
      </c>
      <c r="B873">
        <v>413</v>
      </c>
      <c r="C873">
        <v>4</v>
      </c>
      <c r="D873">
        <v>3</v>
      </c>
      <c r="E873">
        <v>2</v>
      </c>
      <c r="G873">
        <v>-2.589913508071942</v>
      </c>
      <c r="H873">
        <v>-2.584915817916432</v>
      </c>
      <c r="I873">
        <v>-2.7702900605412202</v>
      </c>
      <c r="K873">
        <v>-2.6483731288431982</v>
      </c>
      <c r="M873">
        <f t="shared" si="13"/>
        <v>0.10561272604529137</v>
      </c>
    </row>
    <row r="874" spans="1:13">
      <c r="A874">
        <v>559</v>
      </c>
      <c r="B874">
        <v>144</v>
      </c>
      <c r="C874">
        <v>1</v>
      </c>
      <c r="D874">
        <v>1</v>
      </c>
      <c r="E874">
        <v>1</v>
      </c>
      <c r="G874">
        <v>-2.7343859398387531</v>
      </c>
      <c r="H874">
        <v>-2.6044495130749432</v>
      </c>
      <c r="I874">
        <v>-2.6137324966440501</v>
      </c>
      <c r="K874">
        <v>-2.6508559831859153</v>
      </c>
      <c r="M874">
        <f t="shared" si="13"/>
        <v>7.248781752684226E-2</v>
      </c>
    </row>
    <row r="875" spans="1:13">
      <c r="A875">
        <v>21</v>
      </c>
      <c r="B875">
        <v>182</v>
      </c>
      <c r="C875">
        <v>2</v>
      </c>
      <c r="D875">
        <v>1</v>
      </c>
      <c r="E875">
        <v>1</v>
      </c>
      <c r="G875">
        <v>-2.5350648400645968</v>
      </c>
      <c r="H875">
        <v>-2.7061584089647681</v>
      </c>
      <c r="I875">
        <v>-2.715441392533875</v>
      </c>
      <c r="K875">
        <v>-2.6522215471877466</v>
      </c>
      <c r="M875">
        <f t="shared" si="13"/>
        <v>0.10156679557779062</v>
      </c>
    </row>
    <row r="876" spans="1:13">
      <c r="A876">
        <v>625</v>
      </c>
      <c r="B876">
        <v>211</v>
      </c>
      <c r="C876">
        <v>3</v>
      </c>
      <c r="D876">
        <v>1</v>
      </c>
      <c r="E876">
        <v>1</v>
      </c>
      <c r="G876">
        <v>-2.4231846483215334</v>
      </c>
      <c r="H876">
        <v>-2.7703694762773861</v>
      </c>
      <c r="I876">
        <v>-2.7796524598464929</v>
      </c>
      <c r="K876">
        <v>-2.6577355281484709</v>
      </c>
      <c r="M876">
        <f t="shared" si="13"/>
        <v>0.20318004298325881</v>
      </c>
    </row>
    <row r="877" spans="1:13">
      <c r="A877">
        <v>116</v>
      </c>
      <c r="B877">
        <v>424</v>
      </c>
      <c r="C877">
        <v>4</v>
      </c>
      <c r="D877">
        <v>1</v>
      </c>
      <c r="E877">
        <v>6</v>
      </c>
      <c r="G877">
        <v>-2.6013293130082737</v>
      </c>
      <c r="H877">
        <v>-3.0734528775724259</v>
      </c>
      <c r="I877">
        <v>-2.3045846107578893</v>
      </c>
      <c r="K877">
        <v>-2.6597889337795295</v>
      </c>
      <c r="M877">
        <f t="shared" si="13"/>
        <v>0.38775346339412314</v>
      </c>
    </row>
    <row r="878" spans="1:13">
      <c r="A878">
        <v>658</v>
      </c>
      <c r="B878">
        <v>297</v>
      </c>
      <c r="C878">
        <v>2</v>
      </c>
      <c r="D878">
        <v>4</v>
      </c>
      <c r="E878">
        <v>1</v>
      </c>
      <c r="G878">
        <v>-2.7477499013967344</v>
      </c>
      <c r="H878">
        <v>-2.3167834789689437</v>
      </c>
      <c r="I878">
        <v>-2.9281264538660126</v>
      </c>
      <c r="K878">
        <v>-2.6642199447438966</v>
      </c>
      <c r="M878">
        <f t="shared" si="13"/>
        <v>0.31411462634334336</v>
      </c>
    </row>
    <row r="879" spans="1:13">
      <c r="A879">
        <v>631</v>
      </c>
      <c r="B879">
        <v>343</v>
      </c>
      <c r="C879">
        <v>3</v>
      </c>
      <c r="D879">
        <v>1</v>
      </c>
      <c r="E879">
        <v>4</v>
      </c>
      <c r="G879">
        <v>-2.6341963130666115</v>
      </c>
      <c r="H879">
        <v>-2.9813811410224638</v>
      </c>
      <c r="I879">
        <v>-2.3886041332636081</v>
      </c>
      <c r="K879">
        <v>-2.668060529117561</v>
      </c>
      <c r="M879">
        <f t="shared" si="13"/>
        <v>0.29783591804623677</v>
      </c>
    </row>
    <row r="880" spans="1:13">
      <c r="A880">
        <v>802</v>
      </c>
      <c r="B880">
        <v>152</v>
      </c>
      <c r="C880">
        <v>1</v>
      </c>
      <c r="D880">
        <v>1</v>
      </c>
      <c r="E880">
        <v>1</v>
      </c>
      <c r="G880">
        <v>-2.757867035688276</v>
      </c>
      <c r="H880">
        <v>-2.6279306089244665</v>
      </c>
      <c r="I880">
        <v>-2.6372135924935729</v>
      </c>
      <c r="K880">
        <v>-2.6743370790354386</v>
      </c>
      <c r="M880">
        <f t="shared" si="13"/>
        <v>7.2487817526842122E-2</v>
      </c>
    </row>
    <row r="881" spans="1:13">
      <c r="A881">
        <v>593</v>
      </c>
      <c r="B881">
        <v>438</v>
      </c>
      <c r="C881">
        <v>3</v>
      </c>
      <c r="D881">
        <v>1</v>
      </c>
      <c r="E881">
        <v>7</v>
      </c>
      <c r="G881">
        <v>-2.7403763035279405</v>
      </c>
      <c r="H881">
        <v>-3.0875611314837936</v>
      </c>
      <c r="I881">
        <v>-2.2517460750386431</v>
      </c>
      <c r="K881">
        <v>-2.6932278366834588</v>
      </c>
      <c r="M881">
        <f t="shared" si="13"/>
        <v>0.41989752986823198</v>
      </c>
    </row>
    <row r="882" spans="1:13">
      <c r="A882">
        <v>223</v>
      </c>
      <c r="B882">
        <v>484</v>
      </c>
      <c r="C882">
        <v>4</v>
      </c>
      <c r="D882">
        <v>1</v>
      </c>
      <c r="E882">
        <v>7</v>
      </c>
      <c r="G882">
        <v>-2.6588088180599536</v>
      </c>
      <c r="H882">
        <v>-3.1309323826241062</v>
      </c>
      <c r="I882">
        <v>-2.2951173261789561</v>
      </c>
      <c r="K882">
        <v>-2.6949528422876718</v>
      </c>
      <c r="M882">
        <f t="shared" si="13"/>
        <v>0.41907814904935214</v>
      </c>
    </row>
    <row r="883" spans="1:13">
      <c r="A883">
        <v>550</v>
      </c>
      <c r="B883">
        <v>161</v>
      </c>
      <c r="C883">
        <v>1</v>
      </c>
      <c r="D883">
        <v>1</v>
      </c>
      <c r="E883">
        <v>1</v>
      </c>
      <c r="G883">
        <v>-2.7828493237753529</v>
      </c>
      <c r="H883">
        <v>-2.652912897011543</v>
      </c>
      <c r="I883">
        <v>-2.6621958805806498</v>
      </c>
      <c r="K883">
        <v>-2.6993193671225151</v>
      </c>
      <c r="M883">
        <f t="shared" si="13"/>
        <v>7.248781752684226E-2</v>
      </c>
    </row>
    <row r="884" spans="1:13">
      <c r="A884">
        <v>62</v>
      </c>
      <c r="B884">
        <v>300</v>
      </c>
      <c r="C884">
        <v>1</v>
      </c>
      <c r="D884">
        <v>2</v>
      </c>
      <c r="E884">
        <v>3</v>
      </c>
      <c r="G884">
        <v>-3.0531447024631659</v>
      </c>
      <c r="H884">
        <v>-2.6221782800353752</v>
      </c>
      <c r="I884">
        <v>-2.4553700045488003</v>
      </c>
      <c r="K884">
        <v>-2.7102309956824473</v>
      </c>
      <c r="M884">
        <f t="shared" si="13"/>
        <v>0.30846167981820832</v>
      </c>
    </row>
    <row r="885" spans="1:13">
      <c r="A885">
        <v>612</v>
      </c>
      <c r="B885">
        <v>331</v>
      </c>
      <c r="C885">
        <v>4</v>
      </c>
      <c r="D885">
        <v>1</v>
      </c>
      <c r="E885">
        <v>2</v>
      </c>
      <c r="G885">
        <v>-2.4937914501912597</v>
      </c>
      <c r="H885">
        <v>-2.9659150147554127</v>
      </c>
      <c r="I885">
        <v>-2.6741680026605379</v>
      </c>
      <c r="K885">
        <v>-2.7112914892024036</v>
      </c>
      <c r="M885">
        <f t="shared" si="13"/>
        <v>0.23824101240961545</v>
      </c>
    </row>
    <row r="886" spans="1:13">
      <c r="A886">
        <v>156</v>
      </c>
      <c r="B886">
        <v>241</v>
      </c>
      <c r="C886">
        <v>3</v>
      </c>
      <c r="D886">
        <v>1</v>
      </c>
      <c r="E886">
        <v>1</v>
      </c>
      <c r="G886">
        <v>-2.4809192355987095</v>
      </c>
      <c r="H886">
        <v>-2.8281040635545622</v>
      </c>
      <c r="I886">
        <v>-2.8373870471236686</v>
      </c>
      <c r="K886">
        <v>-2.7154701154256471</v>
      </c>
      <c r="M886">
        <f t="shared" si="13"/>
        <v>0.20318004298325867</v>
      </c>
    </row>
    <row r="887" spans="1:13">
      <c r="A887">
        <v>690</v>
      </c>
      <c r="B887">
        <v>220</v>
      </c>
      <c r="C887">
        <v>1</v>
      </c>
      <c r="D887">
        <v>1</v>
      </c>
      <c r="E887">
        <v>2</v>
      </c>
      <c r="G887">
        <v>-2.9184461285657095</v>
      </c>
      <c r="H887">
        <v>-2.7885097018018996</v>
      </c>
      <c r="I887">
        <v>-2.4967626897070252</v>
      </c>
      <c r="K887">
        <v>-2.7345728400248781</v>
      </c>
      <c r="M887">
        <f t="shared" si="13"/>
        <v>0.21595397529493773</v>
      </c>
    </row>
    <row r="888" spans="1:13">
      <c r="A888">
        <v>699</v>
      </c>
      <c r="B888">
        <v>222</v>
      </c>
      <c r="C888">
        <v>1</v>
      </c>
      <c r="D888">
        <v>2</v>
      </c>
      <c r="E888">
        <v>1</v>
      </c>
      <c r="G888">
        <v>-2.9223764221941422</v>
      </c>
      <c r="H888">
        <v>-2.4914099997663515</v>
      </c>
      <c r="I888">
        <v>-2.8017229789994391</v>
      </c>
      <c r="K888">
        <v>-2.7385031336533108</v>
      </c>
      <c r="M888">
        <f t="shared" si="13"/>
        <v>0.22232988091852052</v>
      </c>
    </row>
    <row r="889" spans="1:13">
      <c r="A889">
        <v>240</v>
      </c>
      <c r="B889">
        <v>257</v>
      </c>
      <c r="C889">
        <v>3</v>
      </c>
      <c r="D889">
        <v>1</v>
      </c>
      <c r="E889">
        <v>1</v>
      </c>
      <c r="G889">
        <v>-2.5088353163551353</v>
      </c>
      <c r="H889">
        <v>-2.8560201443109881</v>
      </c>
      <c r="I889">
        <v>-2.8653031278800949</v>
      </c>
      <c r="K889">
        <v>-2.7433861961820725</v>
      </c>
      <c r="M889">
        <f t="shared" si="13"/>
        <v>0.20318004298325881</v>
      </c>
    </row>
    <row r="890" spans="1:13">
      <c r="A890">
        <v>285</v>
      </c>
      <c r="B890">
        <v>258</v>
      </c>
      <c r="C890">
        <v>1</v>
      </c>
      <c r="D890">
        <v>1</v>
      </c>
      <c r="E890">
        <v>3</v>
      </c>
      <c r="G890">
        <v>-2.9876431537067334</v>
      </c>
      <c r="H890">
        <v>-2.8577067269429239</v>
      </c>
      <c r="I890">
        <v>-2.3898684557923682</v>
      </c>
      <c r="K890">
        <v>-2.7450727788140079</v>
      </c>
      <c r="M890">
        <f t="shared" si="13"/>
        <v>0.31440173674772065</v>
      </c>
    </row>
    <row r="891" spans="1:13">
      <c r="A891">
        <v>86</v>
      </c>
      <c r="B891">
        <v>443</v>
      </c>
      <c r="C891">
        <v>5</v>
      </c>
      <c r="D891">
        <v>1</v>
      </c>
      <c r="E891">
        <v>3</v>
      </c>
      <c r="G891">
        <v>-2.5234571696305541</v>
      </c>
      <c r="H891">
        <v>-3.0924907472027634</v>
      </c>
      <c r="I891">
        <v>-2.6246524760522072</v>
      </c>
      <c r="K891">
        <v>-2.7468667976285079</v>
      </c>
      <c r="M891">
        <f t="shared" si="13"/>
        <v>0.30356557512327303</v>
      </c>
    </row>
    <row r="892" spans="1:13">
      <c r="A892">
        <v>505</v>
      </c>
      <c r="B892">
        <v>230</v>
      </c>
      <c r="C892">
        <v>2</v>
      </c>
      <c r="D892">
        <v>1</v>
      </c>
      <c r="E892">
        <v>1</v>
      </c>
      <c r="G892">
        <v>-2.6367212880971151</v>
      </c>
      <c r="H892">
        <v>-2.8078148569972869</v>
      </c>
      <c r="I892">
        <v>-2.8170978405663933</v>
      </c>
      <c r="K892">
        <v>-2.753877995220265</v>
      </c>
      <c r="M892">
        <f t="shared" si="13"/>
        <v>0.10156679557779075</v>
      </c>
    </row>
    <row r="893" spans="1:13">
      <c r="A893">
        <v>352</v>
      </c>
      <c r="B893">
        <v>183</v>
      </c>
      <c r="C893">
        <v>1</v>
      </c>
      <c r="D893">
        <v>1</v>
      </c>
      <c r="E893">
        <v>1</v>
      </c>
      <c r="G893">
        <v>-2.8384745374739326</v>
      </c>
      <c r="H893">
        <v>-2.7085381107101227</v>
      </c>
      <c r="I893">
        <v>-2.7178210942792296</v>
      </c>
      <c r="K893">
        <v>-2.7549445808210948</v>
      </c>
      <c r="M893">
        <f t="shared" si="13"/>
        <v>7.248781752684226E-2</v>
      </c>
    </row>
    <row r="894" spans="1:13">
      <c r="A894">
        <v>441</v>
      </c>
      <c r="B894">
        <v>232</v>
      </c>
      <c r="C894">
        <v>1</v>
      </c>
      <c r="D894">
        <v>2</v>
      </c>
      <c r="E894">
        <v>1</v>
      </c>
      <c r="G894">
        <v>-2.9415114326344032</v>
      </c>
      <c r="H894">
        <v>-2.510545010206612</v>
      </c>
      <c r="I894">
        <v>-2.8208579894397001</v>
      </c>
      <c r="K894">
        <v>-2.7576381440935713</v>
      </c>
      <c r="M894">
        <f t="shared" si="13"/>
        <v>0.22232988091852077</v>
      </c>
    </row>
    <row r="895" spans="1:13">
      <c r="A895">
        <v>90</v>
      </c>
      <c r="B895">
        <v>339</v>
      </c>
      <c r="C895">
        <v>2</v>
      </c>
      <c r="D895">
        <v>1</v>
      </c>
      <c r="E895">
        <v>3</v>
      </c>
      <c r="G895">
        <v>-2.8051931502826042</v>
      </c>
      <c r="H895">
        <v>-2.9762867191827755</v>
      </c>
      <c r="I895">
        <v>-2.5084484480322202</v>
      </c>
      <c r="K895">
        <v>-2.7633094391658664</v>
      </c>
      <c r="M895">
        <f t="shared" si="13"/>
        <v>0.2367146931032543</v>
      </c>
    </row>
    <row r="896" spans="1:13">
      <c r="A896">
        <v>110</v>
      </c>
      <c r="B896">
        <v>343</v>
      </c>
      <c r="C896">
        <v>2</v>
      </c>
      <c r="D896">
        <v>1</v>
      </c>
      <c r="E896">
        <v>3</v>
      </c>
      <c r="G896">
        <v>-2.8102875721222929</v>
      </c>
      <c r="H896">
        <v>-2.9813811410224638</v>
      </c>
      <c r="I896">
        <v>-2.5135428698719084</v>
      </c>
      <c r="K896">
        <v>-2.7684038610055555</v>
      </c>
      <c r="M896">
        <f t="shared" si="13"/>
        <v>0.23671469310325435</v>
      </c>
    </row>
    <row r="897" spans="1:13">
      <c r="A897">
        <v>586</v>
      </c>
      <c r="B897">
        <v>243</v>
      </c>
      <c r="C897">
        <v>2</v>
      </c>
      <c r="D897">
        <v>1</v>
      </c>
      <c r="E897">
        <v>1</v>
      </c>
      <c r="G897">
        <v>-2.6605997256778342</v>
      </c>
      <c r="H897">
        <v>-2.831693294578006</v>
      </c>
      <c r="I897">
        <v>-2.8409762781471124</v>
      </c>
      <c r="K897">
        <v>-2.7777564328009841</v>
      </c>
      <c r="M897">
        <f t="shared" si="13"/>
        <v>0.10156679557779075</v>
      </c>
    </row>
    <row r="898" spans="1:13">
      <c r="A898">
        <v>58</v>
      </c>
      <c r="B898">
        <v>561</v>
      </c>
      <c r="C898">
        <v>2</v>
      </c>
      <c r="D898">
        <v>3</v>
      </c>
      <c r="E898">
        <v>4</v>
      </c>
      <c r="G898">
        <v>-3.0239563133356837</v>
      </c>
      <c r="H898">
        <v>-2.7179286275161925</v>
      </c>
      <c r="I898">
        <v>-2.6022728744769994</v>
      </c>
      <c r="K898">
        <v>-2.7813859384429587</v>
      </c>
      <c r="M898">
        <f t="shared" si="13"/>
        <v>0.21788610186164614</v>
      </c>
    </row>
    <row r="899" spans="1:13">
      <c r="A899">
        <v>321</v>
      </c>
      <c r="B899">
        <v>199</v>
      </c>
      <c r="C899">
        <v>1</v>
      </c>
      <c r="D899">
        <v>1</v>
      </c>
      <c r="E899">
        <v>1</v>
      </c>
      <c r="G899">
        <v>-2.8748765241532102</v>
      </c>
      <c r="H899">
        <v>-2.7449400973894003</v>
      </c>
      <c r="I899">
        <v>-2.7542230809585071</v>
      </c>
      <c r="K899">
        <v>-2.7913465675003728</v>
      </c>
      <c r="M899">
        <f t="shared" ref="M899:M910" si="14">STDEV(G899:I899)</f>
        <v>7.248781752684226E-2</v>
      </c>
    </row>
    <row r="900" spans="1:13">
      <c r="A900">
        <v>608</v>
      </c>
      <c r="B900">
        <v>200</v>
      </c>
      <c r="C900">
        <v>1</v>
      </c>
      <c r="D900">
        <v>1</v>
      </c>
      <c r="E900">
        <v>1</v>
      </c>
      <c r="G900">
        <v>-2.8770534434074846</v>
      </c>
      <c r="H900">
        <v>-2.7471170166436751</v>
      </c>
      <c r="I900">
        <v>-2.7564000002127815</v>
      </c>
      <c r="K900">
        <v>-2.7935234867546472</v>
      </c>
      <c r="M900">
        <f t="shared" si="14"/>
        <v>7.2487817526842122E-2</v>
      </c>
    </row>
    <row r="901" spans="1:13">
      <c r="A901">
        <v>106</v>
      </c>
      <c r="B901">
        <v>346</v>
      </c>
      <c r="C901">
        <v>1</v>
      </c>
      <c r="D901">
        <v>5</v>
      </c>
      <c r="E901">
        <v>1</v>
      </c>
      <c r="G901">
        <v>-3.1150995465362801</v>
      </c>
      <c r="H901">
        <v>-2.2861931154364514</v>
      </c>
      <c r="I901">
        <v>-2.994446103341577</v>
      </c>
      <c r="K901">
        <v>-2.7985795884381033</v>
      </c>
      <c r="M901">
        <f t="shared" si="14"/>
        <v>0.44782165716385941</v>
      </c>
    </row>
    <row r="902" spans="1:13">
      <c r="A902">
        <v>337</v>
      </c>
      <c r="B902">
        <v>261</v>
      </c>
      <c r="C902">
        <v>1</v>
      </c>
      <c r="D902">
        <v>2</v>
      </c>
      <c r="E902">
        <v>1</v>
      </c>
      <c r="G902">
        <v>-2.9926639550817842</v>
      </c>
      <c r="H902">
        <v>-2.5616975326539935</v>
      </c>
      <c r="I902">
        <v>-2.8720105118870811</v>
      </c>
      <c r="K902">
        <v>-2.8087906665409528</v>
      </c>
      <c r="M902">
        <f t="shared" si="14"/>
        <v>0.22232988091852052</v>
      </c>
    </row>
    <row r="903" spans="1:13">
      <c r="A903">
        <v>548</v>
      </c>
      <c r="B903">
        <v>213</v>
      </c>
      <c r="C903">
        <v>1</v>
      </c>
      <c r="D903">
        <v>1</v>
      </c>
      <c r="E903">
        <v>1</v>
      </c>
      <c r="G903">
        <v>-2.904403051182241</v>
      </c>
      <c r="H903">
        <v>-2.7744666244184311</v>
      </c>
      <c r="I903">
        <v>-2.7837496079875379</v>
      </c>
      <c r="K903">
        <v>-2.8208730945294036</v>
      </c>
      <c r="M903">
        <f t="shared" si="14"/>
        <v>7.248781752684226E-2</v>
      </c>
    </row>
    <row r="904" spans="1:13">
      <c r="A904">
        <v>555</v>
      </c>
      <c r="B904">
        <v>428</v>
      </c>
      <c r="C904">
        <v>1</v>
      </c>
      <c r="D904">
        <v>4</v>
      </c>
      <c r="E904">
        <v>2</v>
      </c>
      <c r="G904">
        <v>-3.2074672167566756</v>
      </c>
      <c r="H904">
        <v>-2.4754707986649036</v>
      </c>
      <c r="I904">
        <v>-2.7857837778979913</v>
      </c>
      <c r="K904">
        <v>-2.822907264439857</v>
      </c>
      <c r="M904">
        <f t="shared" si="14"/>
        <v>0.3674075447844854</v>
      </c>
    </row>
    <row r="905" spans="1:13">
      <c r="A905">
        <v>694</v>
      </c>
      <c r="B905">
        <v>309</v>
      </c>
      <c r="C905">
        <v>1</v>
      </c>
      <c r="D905">
        <v>1</v>
      </c>
      <c r="E905">
        <v>3</v>
      </c>
      <c r="G905">
        <v>-3.065981927168338</v>
      </c>
      <c r="H905">
        <v>-2.9360455004045285</v>
      </c>
      <c r="I905">
        <v>-2.4682072292539727</v>
      </c>
      <c r="K905">
        <v>-2.8234115522756134</v>
      </c>
      <c r="M905">
        <f t="shared" si="14"/>
        <v>0.31440173674772065</v>
      </c>
    </row>
    <row r="906" spans="1:13">
      <c r="A906">
        <v>111</v>
      </c>
      <c r="B906">
        <v>254</v>
      </c>
      <c r="C906">
        <v>1</v>
      </c>
      <c r="D906">
        <v>1</v>
      </c>
      <c r="E906">
        <v>1</v>
      </c>
      <c r="G906">
        <v>-2.9808571643634414</v>
      </c>
      <c r="H906">
        <v>-2.8509207375996315</v>
      </c>
      <c r="I906">
        <v>-2.8602037211687383</v>
      </c>
      <c r="K906">
        <v>-2.8973272077106036</v>
      </c>
      <c r="M906">
        <f t="shared" si="14"/>
        <v>7.248781752684226E-2</v>
      </c>
    </row>
    <row r="907" spans="1:13">
      <c r="A907">
        <v>591</v>
      </c>
      <c r="B907">
        <v>463</v>
      </c>
      <c r="C907">
        <v>2</v>
      </c>
      <c r="D907">
        <v>3</v>
      </c>
      <c r="E907">
        <v>1</v>
      </c>
      <c r="G907">
        <v>-2.9405744430974754</v>
      </c>
      <c r="H907">
        <v>-2.6345467572779846</v>
      </c>
      <c r="I907">
        <v>-3.1209509955667536</v>
      </c>
      <c r="K907">
        <v>-2.8986907319807376</v>
      </c>
      <c r="M907">
        <f t="shared" si="14"/>
        <v>0.24589216071075168</v>
      </c>
    </row>
    <row r="908" spans="1:13">
      <c r="A908">
        <v>622</v>
      </c>
      <c r="B908">
        <v>352</v>
      </c>
      <c r="C908">
        <v>2</v>
      </c>
      <c r="D908">
        <v>1</v>
      </c>
      <c r="E908">
        <v>1</v>
      </c>
      <c r="G908">
        <v>-2.8215361155576533</v>
      </c>
      <c r="H908">
        <v>-2.9926296844578246</v>
      </c>
      <c r="I908">
        <v>-3.0019126680269315</v>
      </c>
      <c r="K908">
        <v>-2.9386928226808031</v>
      </c>
      <c r="M908">
        <f t="shared" si="14"/>
        <v>0.10156679557779062</v>
      </c>
    </row>
    <row r="909" spans="1:13">
      <c r="A909">
        <v>678</v>
      </c>
      <c r="B909">
        <v>282</v>
      </c>
      <c r="C909">
        <v>1</v>
      </c>
      <c r="D909">
        <v>1</v>
      </c>
      <c r="E909">
        <v>1</v>
      </c>
      <c r="G909">
        <v>-3.0262725560628643</v>
      </c>
      <c r="H909">
        <v>-2.8963361292990548</v>
      </c>
      <c r="I909">
        <v>-2.9056191128681612</v>
      </c>
      <c r="K909">
        <v>-2.9427425994100265</v>
      </c>
      <c r="M909">
        <f t="shared" si="14"/>
        <v>7.2487817526842122E-2</v>
      </c>
    </row>
    <row r="910" spans="1:13">
      <c r="A910">
        <v>603</v>
      </c>
      <c r="B910">
        <v>454</v>
      </c>
      <c r="C910">
        <v>1</v>
      </c>
      <c r="D910">
        <v>2</v>
      </c>
      <c r="E910">
        <v>2</v>
      </c>
      <c r="G910">
        <v>-3.2330793006006071</v>
      </c>
      <c r="H910">
        <v>-2.8021128781728164</v>
      </c>
      <c r="I910">
        <v>-2.8113958617419228</v>
      </c>
      <c r="K910">
        <v>-2.9488626801717821</v>
      </c>
      <c r="M910">
        <f t="shared" si="14"/>
        <v>0.24618257237662697</v>
      </c>
    </row>
  </sheetData>
  <sortState xmlns:xlrd2="http://schemas.microsoft.com/office/spreadsheetml/2017/richdata2" ref="A1:K910">
    <sortCondition descending="1" ref="K1:K910"/>
  </sortState>
  <conditionalFormatting sqref="K1:K1048576">
    <cfRule type="colorScale" priority="1">
      <colorScale>
        <cfvo type="num" val="-2"/>
        <cfvo type="num" val="0"/>
        <cfvo type="num" val="2"/>
        <color rgb="FF5A8AC6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45C1-95CD-0645-9CB6-6D9A13DF8F8D}">
  <dimension ref="A1:C46"/>
  <sheetViews>
    <sheetView workbookViewId="0">
      <selection activeCell="G53" sqref="G53"/>
    </sheetView>
  </sheetViews>
  <sheetFormatPr baseColWidth="10" defaultRowHeight="18"/>
  <cols>
    <col min="1" max="1" width="4" bestFit="1" customWidth="1"/>
    <col min="2" max="2" width="15.5" bestFit="1" customWidth="1"/>
    <col min="3" max="3" width="14.25" bestFit="1" customWidth="1"/>
  </cols>
  <sheetData>
    <row r="1" spans="1:3">
      <c r="A1" t="s">
        <v>0</v>
      </c>
      <c r="B1" t="s">
        <v>916</v>
      </c>
      <c r="C1" t="s">
        <v>917</v>
      </c>
    </row>
    <row r="2" spans="1:3">
      <c r="A2">
        <v>1</v>
      </c>
      <c r="B2">
        <v>0.79541466476935796</v>
      </c>
      <c r="C2">
        <v>0.74473547673663998</v>
      </c>
    </row>
    <row r="3" spans="1:3">
      <c r="A3">
        <v>24</v>
      </c>
      <c r="B3">
        <v>0.34096236747398501</v>
      </c>
      <c r="C3">
        <v>0.30126438242581</v>
      </c>
    </row>
    <row r="4" spans="1:3">
      <c r="A4">
        <v>37</v>
      </c>
      <c r="B4">
        <v>0.60045672624302204</v>
      </c>
      <c r="C4">
        <v>0.23067055872939299</v>
      </c>
    </row>
    <row r="5" spans="1:3">
      <c r="A5">
        <v>42</v>
      </c>
      <c r="B5">
        <v>0.477825912778785</v>
      </c>
      <c r="C5">
        <v>0.43195165299070498</v>
      </c>
    </row>
    <row r="6" spans="1:3">
      <c r="A6">
        <v>44</v>
      </c>
      <c r="B6">
        <v>1.0294980740397499</v>
      </c>
      <c r="C6">
        <v>0.65548803708754999</v>
      </c>
    </row>
    <row r="7" spans="1:3">
      <c r="A7">
        <v>64</v>
      </c>
      <c r="B7">
        <v>0.47030460300462301</v>
      </c>
      <c r="C7">
        <v>0.41443779277010501</v>
      </c>
    </row>
    <row r="8" spans="1:3">
      <c r="A8">
        <v>95</v>
      </c>
      <c r="B8">
        <v>0.60402760481353601</v>
      </c>
      <c r="C8">
        <v>0.79039655667097097</v>
      </c>
    </row>
    <row r="9" spans="1:3">
      <c r="A9">
        <v>125</v>
      </c>
      <c r="B9">
        <v>1.1168780223407699</v>
      </c>
      <c r="C9">
        <v>0.77883674198613695</v>
      </c>
    </row>
    <row r="10" spans="1:3">
      <c r="A10">
        <v>126</v>
      </c>
      <c r="B10">
        <v>0.35817037793041101</v>
      </c>
      <c r="C10">
        <v>0.81570727584064295</v>
      </c>
    </row>
    <row r="11" spans="1:3">
      <c r="A11">
        <v>150</v>
      </c>
      <c r="B11">
        <v>0.56336458262061995</v>
      </c>
      <c r="C11">
        <v>0.48720143794016901</v>
      </c>
    </row>
    <row r="12" spans="1:3">
      <c r="A12">
        <v>157</v>
      </c>
      <c r="B12">
        <v>0.39427492356150901</v>
      </c>
      <c r="C12">
        <v>0.64581411909647402</v>
      </c>
    </row>
    <row r="13" spans="1:3">
      <c r="A13">
        <v>165</v>
      </c>
      <c r="B13">
        <v>0.23090424173710999</v>
      </c>
      <c r="C13">
        <v>0.41744369679903298</v>
      </c>
    </row>
    <row r="14" spans="1:3">
      <c r="A14">
        <v>172</v>
      </c>
      <c r="B14">
        <v>0.29575314455496499</v>
      </c>
      <c r="C14">
        <v>0.270244289034202</v>
      </c>
    </row>
    <row r="15" spans="1:3">
      <c r="A15">
        <v>191</v>
      </c>
      <c r="B15">
        <v>0.62172334731999102</v>
      </c>
      <c r="C15">
        <v>0.46686938817857498</v>
      </c>
    </row>
    <row r="16" spans="1:3">
      <c r="A16">
        <v>197</v>
      </c>
      <c r="B16">
        <v>0.78728809202858496</v>
      </c>
      <c r="C16">
        <v>0.43578786959105598</v>
      </c>
    </row>
    <row r="17" spans="1:3">
      <c r="A17">
        <v>200</v>
      </c>
      <c r="B17">
        <v>0.384679392130088</v>
      </c>
      <c r="C17">
        <v>0.42764944139234901</v>
      </c>
    </row>
    <row r="18" spans="1:3">
      <c r="A18">
        <v>205</v>
      </c>
      <c r="B18">
        <v>0.78975452933114398</v>
      </c>
      <c r="C18">
        <v>0.69733038823973603</v>
      </c>
    </row>
    <row r="19" spans="1:3">
      <c r="A19">
        <v>211</v>
      </c>
      <c r="B19">
        <v>0.48697974856028597</v>
      </c>
      <c r="C19">
        <v>0.22411169446908299</v>
      </c>
    </row>
    <row r="20" spans="1:3">
      <c r="A20">
        <v>212</v>
      </c>
      <c r="B20">
        <v>0.46491378848067</v>
      </c>
      <c r="C20">
        <v>0.70368208486931905</v>
      </c>
    </row>
    <row r="21" spans="1:3">
      <c r="A21">
        <v>226</v>
      </c>
      <c r="B21">
        <v>0.20540030905921899</v>
      </c>
      <c r="C21">
        <v>0.41840952635727502</v>
      </c>
    </row>
    <row r="22" spans="1:3">
      <c r="A22">
        <v>239</v>
      </c>
      <c r="B22">
        <v>0.76554536387449301</v>
      </c>
      <c r="C22">
        <v>0.28304326927608697</v>
      </c>
    </row>
    <row r="23" spans="1:3">
      <c r="A23">
        <v>249</v>
      </c>
      <c r="B23">
        <v>0.23217904422709701</v>
      </c>
      <c r="C23">
        <v>0.52236537667843697</v>
      </c>
    </row>
    <row r="24" spans="1:3">
      <c r="A24">
        <v>251</v>
      </c>
      <c r="B24">
        <v>0.75591830262084203</v>
      </c>
      <c r="C24">
        <v>0.42598939233363903</v>
      </c>
    </row>
    <row r="25" spans="1:3">
      <c r="A25">
        <v>271</v>
      </c>
      <c r="B25">
        <v>0.65068151642947702</v>
      </c>
      <c r="C25">
        <v>0.51394836507193897</v>
      </c>
    </row>
    <row r="26" spans="1:3">
      <c r="A26">
        <v>292</v>
      </c>
      <c r="B26">
        <v>0.51922548167446303</v>
      </c>
      <c r="C26">
        <v>0.50239116918514004</v>
      </c>
    </row>
    <row r="27" spans="1:3">
      <c r="A27">
        <v>296</v>
      </c>
      <c r="B27">
        <v>0.864746311161394</v>
      </c>
      <c r="C27">
        <v>0.457493512647134</v>
      </c>
    </row>
    <row r="28" spans="1:3">
      <c r="A28">
        <v>302</v>
      </c>
      <c r="B28">
        <v>0.60258770461659095</v>
      </c>
      <c r="C28">
        <v>0.23682606166529699</v>
      </c>
    </row>
    <row r="29" spans="1:3">
      <c r="A29">
        <v>303</v>
      </c>
      <c r="B29">
        <v>0.47318211209366801</v>
      </c>
      <c r="C29">
        <v>0.40544013175548799</v>
      </c>
    </row>
    <row r="30" spans="1:3">
      <c r="A30">
        <v>313</v>
      </c>
      <c r="B30">
        <v>0.64847561957440403</v>
      </c>
      <c r="C30">
        <v>0.63388957035568605</v>
      </c>
    </row>
    <row r="31" spans="1:3">
      <c r="A31">
        <v>334</v>
      </c>
      <c r="B31">
        <v>0.29269424409143202</v>
      </c>
      <c r="C31">
        <v>0.27192837353718002</v>
      </c>
    </row>
    <row r="32" spans="1:3">
      <c r="A32">
        <v>339</v>
      </c>
      <c r="B32">
        <v>1.35306678371377</v>
      </c>
      <c r="C32">
        <v>0.33379575888642399</v>
      </c>
    </row>
    <row r="33" spans="1:3">
      <c r="A33">
        <v>348</v>
      </c>
      <c r="B33">
        <v>0.67848872569562202</v>
      </c>
      <c r="C33">
        <v>0.80911052351606305</v>
      </c>
    </row>
    <row r="34" spans="1:3">
      <c r="A34">
        <v>360</v>
      </c>
      <c r="B34">
        <v>0.31725481425865798</v>
      </c>
      <c r="C34">
        <v>0.37142422407006198</v>
      </c>
    </row>
    <row r="35" spans="1:3">
      <c r="A35">
        <v>362</v>
      </c>
      <c r="B35">
        <v>0.53408996248085905</v>
      </c>
      <c r="C35">
        <v>0.22037162191707199</v>
      </c>
    </row>
    <row r="36" spans="1:3">
      <c r="A36">
        <v>400</v>
      </c>
      <c r="B36">
        <v>0.46274210586607101</v>
      </c>
      <c r="C36">
        <v>0.53365722582794195</v>
      </c>
    </row>
    <row r="37" spans="1:3">
      <c r="A37">
        <v>402</v>
      </c>
      <c r="B37">
        <v>1.0656532399651399</v>
      </c>
      <c r="C37">
        <v>0.29416571722839302</v>
      </c>
    </row>
    <row r="38" spans="1:3">
      <c r="A38">
        <v>410</v>
      </c>
      <c r="B38">
        <v>1.8142647409746899</v>
      </c>
      <c r="C38">
        <v>0.43379869620120598</v>
      </c>
    </row>
    <row r="39" spans="1:3">
      <c r="A39">
        <v>412</v>
      </c>
      <c r="B39">
        <v>0.54175484244124095</v>
      </c>
      <c r="C39">
        <v>0.29992054247980299</v>
      </c>
    </row>
    <row r="40" spans="1:3">
      <c r="A40">
        <v>418</v>
      </c>
      <c r="B40">
        <v>0.27171035344926903</v>
      </c>
      <c r="C40">
        <v>0.20674592463619099</v>
      </c>
    </row>
    <row r="41" spans="1:3">
      <c r="A41">
        <v>460</v>
      </c>
      <c r="B41">
        <v>0.56380070187537801</v>
      </c>
      <c r="C41">
        <v>0.45058900730916601</v>
      </c>
    </row>
    <row r="42" spans="1:3">
      <c r="A42">
        <v>461</v>
      </c>
      <c r="B42">
        <v>0.64017717861599199</v>
      </c>
      <c r="C42">
        <v>0.55503738582696205</v>
      </c>
    </row>
    <row r="43" spans="1:3">
      <c r="A43">
        <v>465</v>
      </c>
      <c r="B43">
        <v>0.53247600773076498</v>
      </c>
      <c r="C43">
        <v>0.22044885937626299</v>
      </c>
    </row>
    <row r="44" spans="1:3">
      <c r="A44">
        <v>503</v>
      </c>
      <c r="B44">
        <v>0.52014232248709302</v>
      </c>
      <c r="C44">
        <v>0.25344028542001401</v>
      </c>
    </row>
    <row r="45" spans="1:3">
      <c r="A45">
        <v>823</v>
      </c>
      <c r="B45">
        <v>0.77498391413268597</v>
      </c>
      <c r="C45">
        <v>0.71454583186554599</v>
      </c>
    </row>
    <row r="46" spans="1:3">
      <c r="A46">
        <v>887</v>
      </c>
      <c r="B46">
        <v>0.428281015693457</v>
      </c>
      <c r="C46">
        <v>0.2252022853126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170_182</vt:lpstr>
      <vt:lpstr>Arranged</vt:lpstr>
      <vt:lpstr>170_182Repeat</vt:lpstr>
      <vt:lpstr>Repeat_170_182_arrange</vt:lpstr>
      <vt:lpstr>Common_seqs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Nimkar</dc:creator>
  <cp:lastModifiedBy>Siddharth Nimkar</cp:lastModifiedBy>
  <dcterms:created xsi:type="dcterms:W3CDTF">2025-09-21T19:45:03Z</dcterms:created>
  <dcterms:modified xsi:type="dcterms:W3CDTF">2026-04-14T16:04:34Z</dcterms:modified>
</cp:coreProperties>
</file>