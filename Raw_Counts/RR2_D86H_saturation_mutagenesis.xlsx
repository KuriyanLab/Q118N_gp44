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ddharthnimkar/VU Basic Sciences Dropbox/Siddharth Nimkar/MiSeq/D86H_chimera/"/>
    </mc:Choice>
  </mc:AlternateContent>
  <xr:revisionPtr revIDLastSave="0" documentId="13_ncr:1_{CF59983C-96F4-1141-892A-AAED5825033F}" xr6:coauthVersionLast="47" xr6:coauthVersionMax="47" xr10:uidLastSave="{00000000-0000-0000-0000-000000000000}"/>
  <bookViews>
    <workbookView xWindow="940" yWindow="600" windowWidth="50260" windowHeight="28200" xr2:uid="{C0AF6BEF-832C-8541-BD38-C6640258B5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27" i="1" l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026" i="1"/>
  <c r="G3026" i="1"/>
  <c r="I2970" i="1"/>
  <c r="I3785" i="1"/>
  <c r="I3788" i="1"/>
  <c r="I3978" i="1"/>
  <c r="I4086" i="1"/>
  <c r="I4158" i="1"/>
  <c r="I4192" i="1"/>
  <c r="I4240" i="1"/>
  <c r="I4251" i="1"/>
  <c r="I4266" i="1"/>
  <c r="I4278" i="1"/>
  <c r="I4290" i="1"/>
  <c r="I4314" i="1"/>
  <c r="I4326" i="1"/>
  <c r="I4350" i="1"/>
  <c r="I4362" i="1"/>
  <c r="I4372" i="1"/>
  <c r="I4386" i="1"/>
  <c r="I4398" i="1"/>
  <c r="I4422" i="1"/>
  <c r="I4434" i="1"/>
  <c r="I4458" i="1"/>
  <c r="I4477" i="1"/>
  <c r="I4478" i="1"/>
  <c r="I4494" i="1"/>
  <c r="I4518" i="1"/>
  <c r="I4530" i="1"/>
  <c r="I4537" i="1"/>
  <c r="I4560" i="1"/>
  <c r="I4561" i="1"/>
  <c r="I4584" i="1"/>
  <c r="I4608" i="1"/>
  <c r="I4609" i="1"/>
  <c r="I4632" i="1"/>
  <c r="I4656" i="1"/>
  <c r="I4680" i="1"/>
  <c r="I4681" i="1"/>
  <c r="I4704" i="1"/>
  <c r="I4705" i="1"/>
  <c r="I4728" i="1"/>
  <c r="I4752" i="1"/>
  <c r="I4753" i="1"/>
  <c r="I4776" i="1"/>
  <c r="I4800" i="1"/>
  <c r="I4824" i="1"/>
  <c r="I4825" i="1"/>
  <c r="I4848" i="1"/>
  <c r="I4849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538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034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I3920" i="1" s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2522" i="1"/>
  <c r="G2521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018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1514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010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50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2" i="1"/>
  <c r="F4539" i="1"/>
  <c r="I4539" i="1" s="1"/>
  <c r="F4540" i="1"/>
  <c r="I4540" i="1" s="1"/>
  <c r="F4541" i="1"/>
  <c r="I4541" i="1" s="1"/>
  <c r="F4542" i="1"/>
  <c r="I4542" i="1" s="1"/>
  <c r="F4543" i="1"/>
  <c r="I4543" i="1" s="1"/>
  <c r="F4544" i="1"/>
  <c r="I4544" i="1" s="1"/>
  <c r="F4545" i="1"/>
  <c r="I4545" i="1" s="1"/>
  <c r="F4546" i="1"/>
  <c r="I4546" i="1" s="1"/>
  <c r="F4547" i="1"/>
  <c r="I4547" i="1" s="1"/>
  <c r="F4548" i="1"/>
  <c r="I4548" i="1" s="1"/>
  <c r="F4549" i="1"/>
  <c r="I4549" i="1" s="1"/>
  <c r="F4550" i="1"/>
  <c r="I4550" i="1" s="1"/>
  <c r="F4551" i="1"/>
  <c r="I4551" i="1" s="1"/>
  <c r="F4552" i="1"/>
  <c r="I4552" i="1" s="1"/>
  <c r="F4553" i="1"/>
  <c r="I4553" i="1" s="1"/>
  <c r="F4554" i="1"/>
  <c r="I4554" i="1" s="1"/>
  <c r="F4555" i="1"/>
  <c r="I4555" i="1" s="1"/>
  <c r="F4556" i="1"/>
  <c r="I4556" i="1" s="1"/>
  <c r="F4557" i="1"/>
  <c r="I4557" i="1" s="1"/>
  <c r="F4558" i="1"/>
  <c r="I4558" i="1" s="1"/>
  <c r="F4559" i="1"/>
  <c r="F4560" i="1"/>
  <c r="F4561" i="1"/>
  <c r="F4562" i="1"/>
  <c r="I4562" i="1" s="1"/>
  <c r="F4563" i="1"/>
  <c r="I4563" i="1" s="1"/>
  <c r="F4564" i="1"/>
  <c r="I4564" i="1" s="1"/>
  <c r="F4565" i="1"/>
  <c r="I4565" i="1" s="1"/>
  <c r="F4566" i="1"/>
  <c r="I4566" i="1" s="1"/>
  <c r="F4567" i="1"/>
  <c r="I4567" i="1" s="1"/>
  <c r="F4568" i="1"/>
  <c r="I4568" i="1" s="1"/>
  <c r="F4569" i="1"/>
  <c r="I4569" i="1" s="1"/>
  <c r="F4570" i="1"/>
  <c r="I4570" i="1" s="1"/>
  <c r="F4571" i="1"/>
  <c r="F4572" i="1"/>
  <c r="I4572" i="1" s="1"/>
  <c r="F4573" i="1"/>
  <c r="I4573" i="1" s="1"/>
  <c r="F4574" i="1"/>
  <c r="I4574" i="1" s="1"/>
  <c r="F4575" i="1"/>
  <c r="I4575" i="1" s="1"/>
  <c r="F4576" i="1"/>
  <c r="I4576" i="1" s="1"/>
  <c r="F4577" i="1"/>
  <c r="I4577" i="1" s="1"/>
  <c r="F4578" i="1"/>
  <c r="I4578" i="1" s="1"/>
  <c r="F4579" i="1"/>
  <c r="I4579" i="1" s="1"/>
  <c r="F4580" i="1"/>
  <c r="I4580" i="1" s="1"/>
  <c r="F4581" i="1"/>
  <c r="I4581" i="1" s="1"/>
  <c r="F4582" i="1"/>
  <c r="F4583" i="1"/>
  <c r="I4583" i="1" s="1"/>
  <c r="F4584" i="1"/>
  <c r="F4585" i="1"/>
  <c r="I4585" i="1" s="1"/>
  <c r="F4586" i="1"/>
  <c r="I4586" i="1" s="1"/>
  <c r="F4587" i="1"/>
  <c r="I4587" i="1" s="1"/>
  <c r="F4588" i="1"/>
  <c r="I4588" i="1" s="1"/>
  <c r="F4589" i="1"/>
  <c r="I4589" i="1" s="1"/>
  <c r="F4590" i="1"/>
  <c r="I4590" i="1" s="1"/>
  <c r="F4591" i="1"/>
  <c r="I4591" i="1" s="1"/>
  <c r="F4592" i="1"/>
  <c r="I4592" i="1" s="1"/>
  <c r="F4593" i="1"/>
  <c r="I4593" i="1" s="1"/>
  <c r="F4594" i="1"/>
  <c r="I4594" i="1" s="1"/>
  <c r="F4595" i="1"/>
  <c r="F4596" i="1"/>
  <c r="I4596" i="1" s="1"/>
  <c r="F4597" i="1"/>
  <c r="I4597" i="1" s="1"/>
  <c r="F4598" i="1"/>
  <c r="I4598" i="1" s="1"/>
  <c r="F4599" i="1"/>
  <c r="I4599" i="1" s="1"/>
  <c r="F4600" i="1"/>
  <c r="I4600" i="1" s="1"/>
  <c r="F4601" i="1"/>
  <c r="I4601" i="1" s="1"/>
  <c r="F4602" i="1"/>
  <c r="I4602" i="1" s="1"/>
  <c r="F4603" i="1"/>
  <c r="I4603" i="1" s="1"/>
  <c r="F4604" i="1"/>
  <c r="I4604" i="1" s="1"/>
  <c r="F4605" i="1"/>
  <c r="I4605" i="1" s="1"/>
  <c r="F4606" i="1"/>
  <c r="F4607" i="1"/>
  <c r="F4608" i="1"/>
  <c r="F4609" i="1"/>
  <c r="F4610" i="1"/>
  <c r="I4610" i="1" s="1"/>
  <c r="F4611" i="1"/>
  <c r="I4611" i="1" s="1"/>
  <c r="F4612" i="1"/>
  <c r="I4612" i="1" s="1"/>
  <c r="F4613" i="1"/>
  <c r="I4613" i="1" s="1"/>
  <c r="F4614" i="1"/>
  <c r="I4614" i="1" s="1"/>
  <c r="F4615" i="1"/>
  <c r="I4615" i="1" s="1"/>
  <c r="F4616" i="1"/>
  <c r="I4616" i="1" s="1"/>
  <c r="F4617" i="1"/>
  <c r="I4617" i="1" s="1"/>
  <c r="F4618" i="1"/>
  <c r="I4618" i="1" s="1"/>
  <c r="F4619" i="1"/>
  <c r="F4620" i="1"/>
  <c r="I4620" i="1" s="1"/>
  <c r="F4621" i="1"/>
  <c r="I4621" i="1" s="1"/>
  <c r="F4622" i="1"/>
  <c r="I4622" i="1" s="1"/>
  <c r="F4623" i="1"/>
  <c r="I4623" i="1" s="1"/>
  <c r="F4624" i="1"/>
  <c r="I4624" i="1" s="1"/>
  <c r="F4625" i="1"/>
  <c r="I4625" i="1" s="1"/>
  <c r="F4626" i="1"/>
  <c r="I4626" i="1" s="1"/>
  <c r="F4627" i="1"/>
  <c r="I4627" i="1" s="1"/>
  <c r="F4628" i="1"/>
  <c r="I4628" i="1" s="1"/>
  <c r="F4629" i="1"/>
  <c r="I4629" i="1" s="1"/>
  <c r="F4630" i="1"/>
  <c r="I4630" i="1" s="1"/>
  <c r="F4631" i="1"/>
  <c r="F4632" i="1"/>
  <c r="F4633" i="1"/>
  <c r="I4633" i="1" s="1"/>
  <c r="F4634" i="1"/>
  <c r="I4634" i="1" s="1"/>
  <c r="F4635" i="1"/>
  <c r="I4635" i="1" s="1"/>
  <c r="F4636" i="1"/>
  <c r="I4636" i="1" s="1"/>
  <c r="F4637" i="1"/>
  <c r="I4637" i="1" s="1"/>
  <c r="F4638" i="1"/>
  <c r="I4638" i="1" s="1"/>
  <c r="F4639" i="1"/>
  <c r="I4639" i="1" s="1"/>
  <c r="F4640" i="1"/>
  <c r="I4640" i="1" s="1"/>
  <c r="F4641" i="1"/>
  <c r="I4641" i="1" s="1"/>
  <c r="F4642" i="1"/>
  <c r="F4643" i="1"/>
  <c r="F4644" i="1"/>
  <c r="I4644" i="1" s="1"/>
  <c r="F4645" i="1"/>
  <c r="I4645" i="1" s="1"/>
  <c r="F4646" i="1"/>
  <c r="I4646" i="1" s="1"/>
  <c r="F4647" i="1"/>
  <c r="I4647" i="1" s="1"/>
  <c r="F4648" i="1"/>
  <c r="I4648" i="1" s="1"/>
  <c r="F4649" i="1"/>
  <c r="I4649" i="1" s="1"/>
  <c r="F4650" i="1"/>
  <c r="I4650" i="1" s="1"/>
  <c r="F4651" i="1"/>
  <c r="I4651" i="1" s="1"/>
  <c r="F4652" i="1"/>
  <c r="I4652" i="1" s="1"/>
  <c r="F4653" i="1"/>
  <c r="I4653" i="1" s="1"/>
  <c r="F4654" i="1"/>
  <c r="F4655" i="1"/>
  <c r="F4656" i="1"/>
  <c r="F4657" i="1"/>
  <c r="I4657" i="1" s="1"/>
  <c r="F4658" i="1"/>
  <c r="I4658" i="1" s="1"/>
  <c r="F4659" i="1"/>
  <c r="I4659" i="1" s="1"/>
  <c r="F4660" i="1"/>
  <c r="I4660" i="1" s="1"/>
  <c r="F4661" i="1"/>
  <c r="I4661" i="1" s="1"/>
  <c r="F4662" i="1"/>
  <c r="I4662" i="1" s="1"/>
  <c r="F4663" i="1"/>
  <c r="I4663" i="1" s="1"/>
  <c r="F4664" i="1"/>
  <c r="I4664" i="1" s="1"/>
  <c r="F4665" i="1"/>
  <c r="I4665" i="1" s="1"/>
  <c r="F4666" i="1"/>
  <c r="F4667" i="1"/>
  <c r="F4668" i="1"/>
  <c r="I4668" i="1" s="1"/>
  <c r="F4669" i="1"/>
  <c r="I4669" i="1" s="1"/>
  <c r="F4670" i="1"/>
  <c r="I4670" i="1" s="1"/>
  <c r="F4671" i="1"/>
  <c r="I4671" i="1" s="1"/>
  <c r="F4672" i="1"/>
  <c r="I4672" i="1" s="1"/>
  <c r="F4673" i="1"/>
  <c r="I4673" i="1" s="1"/>
  <c r="F4674" i="1"/>
  <c r="I4674" i="1" s="1"/>
  <c r="F4675" i="1"/>
  <c r="I4675" i="1" s="1"/>
  <c r="F4676" i="1"/>
  <c r="I4676" i="1" s="1"/>
  <c r="F4677" i="1"/>
  <c r="I4677" i="1" s="1"/>
  <c r="F4678" i="1"/>
  <c r="F4679" i="1"/>
  <c r="F4680" i="1"/>
  <c r="F4681" i="1"/>
  <c r="F4682" i="1"/>
  <c r="I4682" i="1" s="1"/>
  <c r="F4683" i="1"/>
  <c r="I4683" i="1" s="1"/>
  <c r="F4684" i="1"/>
  <c r="I4684" i="1" s="1"/>
  <c r="F4685" i="1"/>
  <c r="I4685" i="1" s="1"/>
  <c r="F4686" i="1"/>
  <c r="I4686" i="1" s="1"/>
  <c r="F4687" i="1"/>
  <c r="I4687" i="1" s="1"/>
  <c r="F4688" i="1"/>
  <c r="I4688" i="1" s="1"/>
  <c r="F4689" i="1"/>
  <c r="I4689" i="1" s="1"/>
  <c r="F4690" i="1"/>
  <c r="F4691" i="1"/>
  <c r="I4691" i="1" s="1"/>
  <c r="F4692" i="1"/>
  <c r="I4692" i="1" s="1"/>
  <c r="F4693" i="1"/>
  <c r="I4693" i="1" s="1"/>
  <c r="F4694" i="1"/>
  <c r="I4694" i="1" s="1"/>
  <c r="F4695" i="1"/>
  <c r="I4695" i="1" s="1"/>
  <c r="F4696" i="1"/>
  <c r="I4696" i="1" s="1"/>
  <c r="F4697" i="1"/>
  <c r="I4697" i="1" s="1"/>
  <c r="F4698" i="1"/>
  <c r="I4698" i="1" s="1"/>
  <c r="F4699" i="1"/>
  <c r="I4699" i="1" s="1"/>
  <c r="F4700" i="1"/>
  <c r="I4700" i="1" s="1"/>
  <c r="F4701" i="1"/>
  <c r="I4701" i="1" s="1"/>
  <c r="F4702" i="1"/>
  <c r="F4703" i="1"/>
  <c r="F4704" i="1"/>
  <c r="F4705" i="1"/>
  <c r="F4706" i="1"/>
  <c r="I4706" i="1" s="1"/>
  <c r="F4707" i="1"/>
  <c r="I4707" i="1" s="1"/>
  <c r="F4708" i="1"/>
  <c r="I4708" i="1" s="1"/>
  <c r="F4709" i="1"/>
  <c r="I4709" i="1" s="1"/>
  <c r="F4710" i="1"/>
  <c r="I4710" i="1" s="1"/>
  <c r="F4711" i="1"/>
  <c r="I4711" i="1" s="1"/>
  <c r="F4712" i="1"/>
  <c r="I4712" i="1" s="1"/>
  <c r="F4713" i="1"/>
  <c r="I4713" i="1" s="1"/>
  <c r="F4714" i="1"/>
  <c r="F4715" i="1"/>
  <c r="I4715" i="1" s="1"/>
  <c r="F4716" i="1"/>
  <c r="I4716" i="1" s="1"/>
  <c r="F4717" i="1"/>
  <c r="I4717" i="1" s="1"/>
  <c r="F4718" i="1"/>
  <c r="I4718" i="1" s="1"/>
  <c r="F4719" i="1"/>
  <c r="I4719" i="1" s="1"/>
  <c r="F4720" i="1"/>
  <c r="I4720" i="1" s="1"/>
  <c r="F4721" i="1"/>
  <c r="I4721" i="1" s="1"/>
  <c r="F4722" i="1"/>
  <c r="I4722" i="1" s="1"/>
  <c r="F4723" i="1"/>
  <c r="I4723" i="1" s="1"/>
  <c r="F4724" i="1"/>
  <c r="I4724" i="1" s="1"/>
  <c r="F4725" i="1"/>
  <c r="I4725" i="1" s="1"/>
  <c r="F4726" i="1"/>
  <c r="I4726" i="1" s="1"/>
  <c r="F4727" i="1"/>
  <c r="F4728" i="1"/>
  <c r="F4729" i="1"/>
  <c r="I4729" i="1" s="1"/>
  <c r="F4730" i="1"/>
  <c r="I4730" i="1" s="1"/>
  <c r="F4731" i="1"/>
  <c r="I4731" i="1" s="1"/>
  <c r="F4732" i="1"/>
  <c r="I4732" i="1" s="1"/>
  <c r="F4733" i="1"/>
  <c r="I4733" i="1" s="1"/>
  <c r="F4734" i="1"/>
  <c r="I4734" i="1" s="1"/>
  <c r="F4735" i="1"/>
  <c r="I4735" i="1" s="1"/>
  <c r="F4736" i="1"/>
  <c r="I4736" i="1" s="1"/>
  <c r="F4737" i="1"/>
  <c r="I4737" i="1" s="1"/>
  <c r="F4738" i="1"/>
  <c r="I4738" i="1" s="1"/>
  <c r="F4739" i="1"/>
  <c r="I4739" i="1" s="1"/>
  <c r="F4740" i="1"/>
  <c r="I4740" i="1" s="1"/>
  <c r="F4741" i="1"/>
  <c r="I4741" i="1" s="1"/>
  <c r="F4742" i="1"/>
  <c r="I4742" i="1" s="1"/>
  <c r="F4743" i="1"/>
  <c r="I4743" i="1" s="1"/>
  <c r="F4744" i="1"/>
  <c r="I4744" i="1" s="1"/>
  <c r="F4745" i="1"/>
  <c r="I4745" i="1" s="1"/>
  <c r="F4746" i="1"/>
  <c r="I4746" i="1" s="1"/>
  <c r="F4747" i="1"/>
  <c r="I4747" i="1" s="1"/>
  <c r="F4748" i="1"/>
  <c r="I4748" i="1" s="1"/>
  <c r="F4749" i="1"/>
  <c r="I4749" i="1" s="1"/>
  <c r="F4750" i="1"/>
  <c r="I4750" i="1" s="1"/>
  <c r="F4751" i="1"/>
  <c r="F4752" i="1"/>
  <c r="F4753" i="1"/>
  <c r="F4754" i="1"/>
  <c r="I4754" i="1" s="1"/>
  <c r="F4755" i="1"/>
  <c r="I4755" i="1" s="1"/>
  <c r="F4756" i="1"/>
  <c r="I4756" i="1" s="1"/>
  <c r="F4757" i="1"/>
  <c r="I4757" i="1" s="1"/>
  <c r="F4758" i="1"/>
  <c r="I4758" i="1" s="1"/>
  <c r="F4759" i="1"/>
  <c r="I4759" i="1" s="1"/>
  <c r="F4760" i="1"/>
  <c r="I4760" i="1" s="1"/>
  <c r="F4761" i="1"/>
  <c r="I4761" i="1" s="1"/>
  <c r="F4762" i="1"/>
  <c r="F4763" i="1"/>
  <c r="F4764" i="1"/>
  <c r="I4764" i="1" s="1"/>
  <c r="F4765" i="1"/>
  <c r="I4765" i="1" s="1"/>
  <c r="F4766" i="1"/>
  <c r="I4766" i="1" s="1"/>
  <c r="F4767" i="1"/>
  <c r="I4767" i="1" s="1"/>
  <c r="F4768" i="1"/>
  <c r="I4768" i="1" s="1"/>
  <c r="F4769" i="1"/>
  <c r="I4769" i="1" s="1"/>
  <c r="F4770" i="1"/>
  <c r="I4770" i="1" s="1"/>
  <c r="F4771" i="1"/>
  <c r="I4771" i="1" s="1"/>
  <c r="F4772" i="1"/>
  <c r="I4772" i="1" s="1"/>
  <c r="F4773" i="1"/>
  <c r="I4773" i="1" s="1"/>
  <c r="F4774" i="1"/>
  <c r="I4774" i="1" s="1"/>
  <c r="F4775" i="1"/>
  <c r="I4775" i="1" s="1"/>
  <c r="F4776" i="1"/>
  <c r="F4777" i="1"/>
  <c r="I4777" i="1" s="1"/>
  <c r="F4778" i="1"/>
  <c r="I4778" i="1" s="1"/>
  <c r="F4779" i="1"/>
  <c r="I4779" i="1" s="1"/>
  <c r="F4780" i="1"/>
  <c r="I4780" i="1" s="1"/>
  <c r="F4781" i="1"/>
  <c r="I4781" i="1" s="1"/>
  <c r="F4782" i="1"/>
  <c r="I4782" i="1" s="1"/>
  <c r="F4783" i="1"/>
  <c r="I4783" i="1" s="1"/>
  <c r="F4784" i="1"/>
  <c r="I4784" i="1" s="1"/>
  <c r="F4785" i="1"/>
  <c r="I4785" i="1" s="1"/>
  <c r="F4786" i="1"/>
  <c r="I4786" i="1" s="1"/>
  <c r="F4787" i="1"/>
  <c r="F4788" i="1"/>
  <c r="I4788" i="1" s="1"/>
  <c r="F4789" i="1"/>
  <c r="I4789" i="1" s="1"/>
  <c r="F4790" i="1"/>
  <c r="I4790" i="1" s="1"/>
  <c r="F4791" i="1"/>
  <c r="I4791" i="1" s="1"/>
  <c r="F4792" i="1"/>
  <c r="I4792" i="1" s="1"/>
  <c r="F4793" i="1"/>
  <c r="I4793" i="1" s="1"/>
  <c r="F4794" i="1"/>
  <c r="I4794" i="1" s="1"/>
  <c r="F4795" i="1"/>
  <c r="I4795" i="1" s="1"/>
  <c r="F4796" i="1"/>
  <c r="I4796" i="1" s="1"/>
  <c r="F4797" i="1"/>
  <c r="I4797" i="1" s="1"/>
  <c r="F4798" i="1"/>
  <c r="F4799" i="1"/>
  <c r="F4800" i="1"/>
  <c r="F4801" i="1"/>
  <c r="I4801" i="1" s="1"/>
  <c r="F4802" i="1"/>
  <c r="I4802" i="1" s="1"/>
  <c r="F4803" i="1"/>
  <c r="I4803" i="1" s="1"/>
  <c r="F4804" i="1"/>
  <c r="I4804" i="1" s="1"/>
  <c r="F4805" i="1"/>
  <c r="I4805" i="1" s="1"/>
  <c r="F4806" i="1"/>
  <c r="I4806" i="1" s="1"/>
  <c r="F4807" i="1"/>
  <c r="I4807" i="1" s="1"/>
  <c r="F4808" i="1"/>
  <c r="I4808" i="1" s="1"/>
  <c r="F4809" i="1"/>
  <c r="I4809" i="1" s="1"/>
  <c r="F4810" i="1"/>
  <c r="F4811" i="1"/>
  <c r="F4812" i="1"/>
  <c r="I4812" i="1" s="1"/>
  <c r="F4813" i="1"/>
  <c r="I4813" i="1" s="1"/>
  <c r="F4814" i="1"/>
  <c r="I4814" i="1" s="1"/>
  <c r="F4815" i="1"/>
  <c r="I4815" i="1" s="1"/>
  <c r="F4816" i="1"/>
  <c r="I4816" i="1" s="1"/>
  <c r="F4817" i="1"/>
  <c r="I4817" i="1" s="1"/>
  <c r="F4818" i="1"/>
  <c r="I4818" i="1" s="1"/>
  <c r="F4819" i="1"/>
  <c r="I4819" i="1" s="1"/>
  <c r="F4820" i="1"/>
  <c r="I4820" i="1" s="1"/>
  <c r="F4821" i="1"/>
  <c r="I4821" i="1" s="1"/>
  <c r="F4822" i="1"/>
  <c r="I4822" i="1" s="1"/>
  <c r="F4823" i="1"/>
  <c r="I4823" i="1" s="1"/>
  <c r="F4824" i="1"/>
  <c r="F4825" i="1"/>
  <c r="F4826" i="1"/>
  <c r="I4826" i="1" s="1"/>
  <c r="F4827" i="1"/>
  <c r="I4827" i="1" s="1"/>
  <c r="F4828" i="1"/>
  <c r="I4828" i="1" s="1"/>
  <c r="F4829" i="1"/>
  <c r="I4829" i="1" s="1"/>
  <c r="F4830" i="1"/>
  <c r="I4830" i="1" s="1"/>
  <c r="F4831" i="1"/>
  <c r="I4831" i="1" s="1"/>
  <c r="F4832" i="1"/>
  <c r="I4832" i="1" s="1"/>
  <c r="F4833" i="1"/>
  <c r="I4833" i="1" s="1"/>
  <c r="F4834" i="1"/>
  <c r="F4835" i="1"/>
  <c r="F4836" i="1"/>
  <c r="I4836" i="1" s="1"/>
  <c r="F4837" i="1"/>
  <c r="I4837" i="1" s="1"/>
  <c r="F4838" i="1"/>
  <c r="I4838" i="1" s="1"/>
  <c r="F4839" i="1"/>
  <c r="I4839" i="1" s="1"/>
  <c r="F4840" i="1"/>
  <c r="I4840" i="1" s="1"/>
  <c r="F4841" i="1"/>
  <c r="I4841" i="1" s="1"/>
  <c r="F4842" i="1"/>
  <c r="I4842" i="1" s="1"/>
  <c r="F4843" i="1"/>
  <c r="I4843" i="1" s="1"/>
  <c r="F4844" i="1"/>
  <c r="I4844" i="1" s="1"/>
  <c r="F4845" i="1"/>
  <c r="I4845" i="1" s="1"/>
  <c r="F4846" i="1"/>
  <c r="F4847" i="1"/>
  <c r="F4848" i="1"/>
  <c r="F4849" i="1"/>
  <c r="F4850" i="1"/>
  <c r="I4850" i="1" s="1"/>
  <c r="F4851" i="1"/>
  <c r="I4851" i="1" s="1"/>
  <c r="F4852" i="1"/>
  <c r="I4852" i="1" s="1"/>
  <c r="F4538" i="1"/>
  <c r="I4538" i="1" s="1"/>
  <c r="F4035" i="1"/>
  <c r="I4035" i="1" s="1"/>
  <c r="F4036" i="1"/>
  <c r="I4036" i="1" s="1"/>
  <c r="F4037" i="1"/>
  <c r="I4037" i="1" s="1"/>
  <c r="F4038" i="1"/>
  <c r="I4038" i="1" s="1"/>
  <c r="F4039" i="1"/>
  <c r="F4040" i="1"/>
  <c r="F4041" i="1"/>
  <c r="I4041" i="1" s="1"/>
  <c r="F4042" i="1"/>
  <c r="I4042" i="1" s="1"/>
  <c r="F4043" i="1"/>
  <c r="I4043" i="1" s="1"/>
  <c r="F4044" i="1"/>
  <c r="I4044" i="1" s="1"/>
  <c r="F4045" i="1"/>
  <c r="I4045" i="1" s="1"/>
  <c r="F4046" i="1"/>
  <c r="I4046" i="1" s="1"/>
  <c r="F4047" i="1"/>
  <c r="I4047" i="1" s="1"/>
  <c r="F4048" i="1"/>
  <c r="I4048" i="1" s="1"/>
  <c r="F4049" i="1"/>
  <c r="I4049" i="1" s="1"/>
  <c r="F4050" i="1"/>
  <c r="I4050" i="1" s="1"/>
  <c r="F4051" i="1"/>
  <c r="F4052" i="1"/>
  <c r="F4053" i="1"/>
  <c r="I4053" i="1" s="1"/>
  <c r="F4054" i="1"/>
  <c r="I4054" i="1" s="1"/>
  <c r="F4055" i="1"/>
  <c r="I4055" i="1" s="1"/>
  <c r="F4056" i="1"/>
  <c r="I4056" i="1" s="1"/>
  <c r="F4057" i="1"/>
  <c r="I4057" i="1" s="1"/>
  <c r="F4058" i="1"/>
  <c r="I4058" i="1" s="1"/>
  <c r="F4059" i="1"/>
  <c r="I4059" i="1" s="1"/>
  <c r="F4060" i="1"/>
  <c r="I4060" i="1" s="1"/>
  <c r="F4061" i="1"/>
  <c r="I4061" i="1" s="1"/>
  <c r="F4062" i="1"/>
  <c r="I4062" i="1" s="1"/>
  <c r="F4063" i="1"/>
  <c r="F4064" i="1"/>
  <c r="I4064" i="1" s="1"/>
  <c r="F4065" i="1"/>
  <c r="I4065" i="1" s="1"/>
  <c r="F4066" i="1"/>
  <c r="I4066" i="1" s="1"/>
  <c r="F4067" i="1"/>
  <c r="I4067" i="1" s="1"/>
  <c r="F4068" i="1"/>
  <c r="I4068" i="1" s="1"/>
  <c r="F4069" i="1"/>
  <c r="I4069" i="1" s="1"/>
  <c r="F4070" i="1"/>
  <c r="I4070" i="1" s="1"/>
  <c r="F4071" i="1"/>
  <c r="I4071" i="1" s="1"/>
  <c r="F4072" i="1"/>
  <c r="I4072" i="1" s="1"/>
  <c r="F4073" i="1"/>
  <c r="I4073" i="1" s="1"/>
  <c r="F4074" i="1"/>
  <c r="I4074" i="1" s="1"/>
  <c r="F4075" i="1"/>
  <c r="F4076" i="1"/>
  <c r="F4077" i="1"/>
  <c r="I4077" i="1" s="1"/>
  <c r="F4078" i="1"/>
  <c r="I4078" i="1" s="1"/>
  <c r="F4079" i="1"/>
  <c r="I4079" i="1" s="1"/>
  <c r="F4080" i="1"/>
  <c r="I4080" i="1" s="1"/>
  <c r="F4081" i="1"/>
  <c r="I4081" i="1" s="1"/>
  <c r="F4082" i="1"/>
  <c r="I4082" i="1" s="1"/>
  <c r="F4083" i="1"/>
  <c r="I4083" i="1" s="1"/>
  <c r="F4084" i="1"/>
  <c r="I4084" i="1" s="1"/>
  <c r="F4085" i="1"/>
  <c r="I4085" i="1" s="1"/>
  <c r="F4086" i="1"/>
  <c r="F4087" i="1"/>
  <c r="F4088" i="1"/>
  <c r="F4089" i="1"/>
  <c r="I4089" i="1" s="1"/>
  <c r="F4090" i="1"/>
  <c r="I4090" i="1" s="1"/>
  <c r="F4091" i="1"/>
  <c r="I4091" i="1" s="1"/>
  <c r="F4092" i="1"/>
  <c r="I4092" i="1" s="1"/>
  <c r="F4093" i="1"/>
  <c r="I4093" i="1" s="1"/>
  <c r="F4094" i="1"/>
  <c r="I4094" i="1" s="1"/>
  <c r="F4095" i="1"/>
  <c r="I4095" i="1" s="1"/>
  <c r="F4096" i="1"/>
  <c r="I4096" i="1" s="1"/>
  <c r="F4097" i="1"/>
  <c r="I4097" i="1" s="1"/>
  <c r="F4098" i="1"/>
  <c r="I4098" i="1" s="1"/>
  <c r="F4099" i="1"/>
  <c r="F4100" i="1"/>
  <c r="I4100" i="1" s="1"/>
  <c r="F4101" i="1"/>
  <c r="I4101" i="1" s="1"/>
  <c r="F4102" i="1"/>
  <c r="I4102" i="1" s="1"/>
  <c r="F4103" i="1"/>
  <c r="I4103" i="1" s="1"/>
  <c r="F4104" i="1"/>
  <c r="I4104" i="1" s="1"/>
  <c r="F4105" i="1"/>
  <c r="I4105" i="1" s="1"/>
  <c r="F4106" i="1"/>
  <c r="I4106" i="1" s="1"/>
  <c r="F4107" i="1"/>
  <c r="I4107" i="1" s="1"/>
  <c r="F4108" i="1"/>
  <c r="I4108" i="1" s="1"/>
  <c r="F4109" i="1"/>
  <c r="I4109" i="1" s="1"/>
  <c r="F4110" i="1"/>
  <c r="I4110" i="1" s="1"/>
  <c r="F4111" i="1"/>
  <c r="F4112" i="1"/>
  <c r="F4113" i="1"/>
  <c r="I4113" i="1" s="1"/>
  <c r="F4114" i="1"/>
  <c r="I4114" i="1" s="1"/>
  <c r="F4115" i="1"/>
  <c r="I4115" i="1" s="1"/>
  <c r="F4116" i="1"/>
  <c r="I4116" i="1" s="1"/>
  <c r="F4117" i="1"/>
  <c r="I4117" i="1" s="1"/>
  <c r="F4118" i="1"/>
  <c r="I4118" i="1" s="1"/>
  <c r="F4119" i="1"/>
  <c r="I4119" i="1" s="1"/>
  <c r="F4120" i="1"/>
  <c r="I4120" i="1" s="1"/>
  <c r="F4121" i="1"/>
  <c r="I4121" i="1" s="1"/>
  <c r="F4122" i="1"/>
  <c r="I4122" i="1" s="1"/>
  <c r="F4123" i="1"/>
  <c r="F4124" i="1"/>
  <c r="F4125" i="1"/>
  <c r="I4125" i="1" s="1"/>
  <c r="F4126" i="1"/>
  <c r="I4126" i="1" s="1"/>
  <c r="F4127" i="1"/>
  <c r="I4127" i="1" s="1"/>
  <c r="F4128" i="1"/>
  <c r="I4128" i="1" s="1"/>
  <c r="F4129" i="1"/>
  <c r="I4129" i="1" s="1"/>
  <c r="F4130" i="1"/>
  <c r="I4130" i="1" s="1"/>
  <c r="F4131" i="1"/>
  <c r="I4131" i="1" s="1"/>
  <c r="F4132" i="1"/>
  <c r="I4132" i="1" s="1"/>
  <c r="F4133" i="1"/>
  <c r="I4133" i="1" s="1"/>
  <c r="F4134" i="1"/>
  <c r="I4134" i="1" s="1"/>
  <c r="F4135" i="1"/>
  <c r="F4136" i="1"/>
  <c r="I4136" i="1" s="1"/>
  <c r="F4137" i="1"/>
  <c r="I4137" i="1" s="1"/>
  <c r="F4138" i="1"/>
  <c r="I4138" i="1" s="1"/>
  <c r="F4139" i="1"/>
  <c r="I4139" i="1" s="1"/>
  <c r="F4140" i="1"/>
  <c r="I4140" i="1" s="1"/>
  <c r="F4141" i="1"/>
  <c r="I4141" i="1" s="1"/>
  <c r="F4142" i="1"/>
  <c r="I4142" i="1" s="1"/>
  <c r="F4143" i="1"/>
  <c r="I4143" i="1" s="1"/>
  <c r="F4144" i="1"/>
  <c r="I4144" i="1" s="1"/>
  <c r="F4145" i="1"/>
  <c r="I4145" i="1" s="1"/>
  <c r="F4146" i="1"/>
  <c r="I4146" i="1" s="1"/>
  <c r="F4147" i="1"/>
  <c r="F4148" i="1"/>
  <c r="F4149" i="1"/>
  <c r="I4149" i="1" s="1"/>
  <c r="F4150" i="1"/>
  <c r="I4150" i="1" s="1"/>
  <c r="F4151" i="1"/>
  <c r="I4151" i="1" s="1"/>
  <c r="F4152" i="1"/>
  <c r="I4152" i="1" s="1"/>
  <c r="F4153" i="1"/>
  <c r="I4153" i="1" s="1"/>
  <c r="F4154" i="1"/>
  <c r="I4154" i="1" s="1"/>
  <c r="F4155" i="1"/>
  <c r="I4155" i="1" s="1"/>
  <c r="F4156" i="1"/>
  <c r="I4156" i="1" s="1"/>
  <c r="F4157" i="1"/>
  <c r="I4157" i="1" s="1"/>
  <c r="F4158" i="1"/>
  <c r="F4159" i="1"/>
  <c r="F4160" i="1"/>
  <c r="F4161" i="1"/>
  <c r="I4161" i="1" s="1"/>
  <c r="F4162" i="1"/>
  <c r="I4162" i="1" s="1"/>
  <c r="F4163" i="1"/>
  <c r="I4163" i="1" s="1"/>
  <c r="F4164" i="1"/>
  <c r="I4164" i="1" s="1"/>
  <c r="F4165" i="1"/>
  <c r="I4165" i="1" s="1"/>
  <c r="F4166" i="1"/>
  <c r="I4166" i="1" s="1"/>
  <c r="F4167" i="1"/>
  <c r="I4167" i="1" s="1"/>
  <c r="F4168" i="1"/>
  <c r="I4168" i="1" s="1"/>
  <c r="F4169" i="1"/>
  <c r="I4169" i="1" s="1"/>
  <c r="F4170" i="1"/>
  <c r="I4170" i="1" s="1"/>
  <c r="F4171" i="1"/>
  <c r="F4172" i="1"/>
  <c r="I4172" i="1" s="1"/>
  <c r="F4173" i="1"/>
  <c r="I4173" i="1" s="1"/>
  <c r="F4174" i="1"/>
  <c r="I4174" i="1" s="1"/>
  <c r="F4175" i="1"/>
  <c r="I4175" i="1" s="1"/>
  <c r="F4176" i="1"/>
  <c r="I4176" i="1" s="1"/>
  <c r="F4177" i="1"/>
  <c r="I4177" i="1" s="1"/>
  <c r="F4178" i="1"/>
  <c r="I4178" i="1" s="1"/>
  <c r="F4179" i="1"/>
  <c r="I4179" i="1" s="1"/>
  <c r="F4180" i="1"/>
  <c r="I4180" i="1" s="1"/>
  <c r="F4181" i="1"/>
  <c r="I4181" i="1" s="1"/>
  <c r="F4182" i="1"/>
  <c r="I4182" i="1" s="1"/>
  <c r="F4183" i="1"/>
  <c r="F4184" i="1"/>
  <c r="F4185" i="1"/>
  <c r="I4185" i="1" s="1"/>
  <c r="F4186" i="1"/>
  <c r="I4186" i="1" s="1"/>
  <c r="F4187" i="1"/>
  <c r="I4187" i="1" s="1"/>
  <c r="F4188" i="1"/>
  <c r="I4188" i="1" s="1"/>
  <c r="F4189" i="1"/>
  <c r="I4189" i="1" s="1"/>
  <c r="F4190" i="1"/>
  <c r="I4190" i="1" s="1"/>
  <c r="F4191" i="1"/>
  <c r="I4191" i="1" s="1"/>
  <c r="F4192" i="1"/>
  <c r="F4193" i="1"/>
  <c r="I4193" i="1" s="1"/>
  <c r="F4194" i="1"/>
  <c r="I4194" i="1" s="1"/>
  <c r="F4195" i="1"/>
  <c r="F4196" i="1"/>
  <c r="F4197" i="1"/>
  <c r="I4197" i="1" s="1"/>
  <c r="F4198" i="1"/>
  <c r="I4198" i="1" s="1"/>
  <c r="F4199" i="1"/>
  <c r="I4199" i="1" s="1"/>
  <c r="F4200" i="1"/>
  <c r="I4200" i="1" s="1"/>
  <c r="F4201" i="1"/>
  <c r="I4201" i="1" s="1"/>
  <c r="F4202" i="1"/>
  <c r="I4202" i="1" s="1"/>
  <c r="F4203" i="1"/>
  <c r="I4203" i="1" s="1"/>
  <c r="F4204" i="1"/>
  <c r="I4204" i="1" s="1"/>
  <c r="F4205" i="1"/>
  <c r="I4205" i="1" s="1"/>
  <c r="F4206" i="1"/>
  <c r="I4206" i="1" s="1"/>
  <c r="F4207" i="1"/>
  <c r="F4208" i="1"/>
  <c r="I4208" i="1" s="1"/>
  <c r="F4209" i="1"/>
  <c r="I4209" i="1" s="1"/>
  <c r="F4210" i="1"/>
  <c r="I4210" i="1" s="1"/>
  <c r="F4211" i="1"/>
  <c r="I4211" i="1" s="1"/>
  <c r="F4212" i="1"/>
  <c r="I4212" i="1" s="1"/>
  <c r="F4213" i="1"/>
  <c r="I4213" i="1" s="1"/>
  <c r="F4214" i="1"/>
  <c r="I4214" i="1" s="1"/>
  <c r="F4215" i="1"/>
  <c r="I4215" i="1" s="1"/>
  <c r="F4216" i="1"/>
  <c r="I4216" i="1" s="1"/>
  <c r="F4217" i="1"/>
  <c r="I4217" i="1" s="1"/>
  <c r="F4218" i="1"/>
  <c r="I4218" i="1" s="1"/>
  <c r="F4219" i="1"/>
  <c r="F4220" i="1"/>
  <c r="F4221" i="1"/>
  <c r="I4221" i="1" s="1"/>
  <c r="F4222" i="1"/>
  <c r="I4222" i="1" s="1"/>
  <c r="F4223" i="1"/>
  <c r="I4223" i="1" s="1"/>
  <c r="F4224" i="1"/>
  <c r="I4224" i="1" s="1"/>
  <c r="F4225" i="1"/>
  <c r="I4225" i="1" s="1"/>
  <c r="F4226" i="1"/>
  <c r="I4226" i="1" s="1"/>
  <c r="F4227" i="1"/>
  <c r="I4227" i="1" s="1"/>
  <c r="F4228" i="1"/>
  <c r="I4228" i="1" s="1"/>
  <c r="F4229" i="1"/>
  <c r="I4229" i="1" s="1"/>
  <c r="F4230" i="1"/>
  <c r="I4230" i="1" s="1"/>
  <c r="F4231" i="1"/>
  <c r="F4232" i="1"/>
  <c r="F4233" i="1"/>
  <c r="I4233" i="1" s="1"/>
  <c r="F4234" i="1"/>
  <c r="I4234" i="1" s="1"/>
  <c r="F4235" i="1"/>
  <c r="I4235" i="1" s="1"/>
  <c r="F4236" i="1"/>
  <c r="I4236" i="1" s="1"/>
  <c r="F4237" i="1"/>
  <c r="I4237" i="1" s="1"/>
  <c r="F4238" i="1"/>
  <c r="I4238" i="1" s="1"/>
  <c r="F4239" i="1"/>
  <c r="I4239" i="1" s="1"/>
  <c r="F4240" i="1"/>
  <c r="F4241" i="1"/>
  <c r="I4241" i="1" s="1"/>
  <c r="F4242" i="1"/>
  <c r="I4242" i="1" s="1"/>
  <c r="F4243" i="1"/>
  <c r="F4244" i="1"/>
  <c r="F4245" i="1"/>
  <c r="I4245" i="1" s="1"/>
  <c r="F4246" i="1"/>
  <c r="I4246" i="1" s="1"/>
  <c r="F4247" i="1"/>
  <c r="I4247" i="1" s="1"/>
  <c r="F4248" i="1"/>
  <c r="I4248" i="1" s="1"/>
  <c r="F4249" i="1"/>
  <c r="I4249" i="1" s="1"/>
  <c r="F4250" i="1"/>
  <c r="I4250" i="1" s="1"/>
  <c r="F4251" i="1"/>
  <c r="F4252" i="1"/>
  <c r="I4252" i="1" s="1"/>
  <c r="F4253" i="1"/>
  <c r="I4253" i="1" s="1"/>
  <c r="F4254" i="1"/>
  <c r="I4254" i="1" s="1"/>
  <c r="F4255" i="1"/>
  <c r="F4256" i="1"/>
  <c r="F4257" i="1"/>
  <c r="I4257" i="1" s="1"/>
  <c r="F4258" i="1"/>
  <c r="I4258" i="1" s="1"/>
  <c r="F4259" i="1"/>
  <c r="I4259" i="1" s="1"/>
  <c r="F4260" i="1"/>
  <c r="I4260" i="1" s="1"/>
  <c r="F4261" i="1"/>
  <c r="I4261" i="1" s="1"/>
  <c r="F4262" i="1"/>
  <c r="I4262" i="1" s="1"/>
  <c r="F4263" i="1"/>
  <c r="I4263" i="1" s="1"/>
  <c r="F4264" i="1"/>
  <c r="I4264" i="1" s="1"/>
  <c r="F4265" i="1"/>
  <c r="I4265" i="1" s="1"/>
  <c r="F4266" i="1"/>
  <c r="F4267" i="1"/>
  <c r="F4268" i="1"/>
  <c r="F4269" i="1"/>
  <c r="I4269" i="1" s="1"/>
  <c r="F4270" i="1"/>
  <c r="I4270" i="1" s="1"/>
  <c r="F4271" i="1"/>
  <c r="I4271" i="1" s="1"/>
  <c r="F4272" i="1"/>
  <c r="I4272" i="1" s="1"/>
  <c r="F4273" i="1"/>
  <c r="I4273" i="1" s="1"/>
  <c r="F4274" i="1"/>
  <c r="I4274" i="1" s="1"/>
  <c r="F4275" i="1"/>
  <c r="I4275" i="1" s="1"/>
  <c r="F4276" i="1"/>
  <c r="I4276" i="1" s="1"/>
  <c r="F4277" i="1"/>
  <c r="I4277" i="1" s="1"/>
  <c r="F4278" i="1"/>
  <c r="F4279" i="1"/>
  <c r="F4280" i="1"/>
  <c r="F4281" i="1"/>
  <c r="I4281" i="1" s="1"/>
  <c r="F4282" i="1"/>
  <c r="I4282" i="1" s="1"/>
  <c r="F4283" i="1"/>
  <c r="I4283" i="1" s="1"/>
  <c r="F4284" i="1"/>
  <c r="I4284" i="1" s="1"/>
  <c r="F4285" i="1"/>
  <c r="I4285" i="1" s="1"/>
  <c r="F4286" i="1"/>
  <c r="I4286" i="1" s="1"/>
  <c r="F4287" i="1"/>
  <c r="I4287" i="1" s="1"/>
  <c r="F4288" i="1"/>
  <c r="I4288" i="1" s="1"/>
  <c r="F4289" i="1"/>
  <c r="I4289" i="1" s="1"/>
  <c r="F4290" i="1"/>
  <c r="F4291" i="1"/>
  <c r="F4292" i="1"/>
  <c r="F4293" i="1"/>
  <c r="I4293" i="1" s="1"/>
  <c r="F4294" i="1"/>
  <c r="I4294" i="1" s="1"/>
  <c r="F4295" i="1"/>
  <c r="I4295" i="1" s="1"/>
  <c r="F4296" i="1"/>
  <c r="I4296" i="1" s="1"/>
  <c r="F4297" i="1"/>
  <c r="I4297" i="1" s="1"/>
  <c r="F4298" i="1"/>
  <c r="I4298" i="1" s="1"/>
  <c r="F4299" i="1"/>
  <c r="I4299" i="1" s="1"/>
  <c r="F4300" i="1"/>
  <c r="I4300" i="1" s="1"/>
  <c r="F4301" i="1"/>
  <c r="I4301" i="1" s="1"/>
  <c r="F4302" i="1"/>
  <c r="I4302" i="1" s="1"/>
  <c r="F4303" i="1"/>
  <c r="F4304" i="1"/>
  <c r="F4305" i="1"/>
  <c r="I4305" i="1" s="1"/>
  <c r="F4306" i="1"/>
  <c r="I4306" i="1" s="1"/>
  <c r="F4307" i="1"/>
  <c r="I4307" i="1" s="1"/>
  <c r="F4308" i="1"/>
  <c r="I4308" i="1" s="1"/>
  <c r="F4309" i="1"/>
  <c r="I4309" i="1" s="1"/>
  <c r="F4310" i="1"/>
  <c r="I4310" i="1" s="1"/>
  <c r="F4311" i="1"/>
  <c r="I4311" i="1" s="1"/>
  <c r="F4312" i="1"/>
  <c r="I4312" i="1" s="1"/>
  <c r="F4313" i="1"/>
  <c r="I4313" i="1" s="1"/>
  <c r="F4314" i="1"/>
  <c r="F4315" i="1"/>
  <c r="F4316" i="1"/>
  <c r="F4317" i="1"/>
  <c r="I4317" i="1" s="1"/>
  <c r="F4318" i="1"/>
  <c r="I4318" i="1" s="1"/>
  <c r="F4319" i="1"/>
  <c r="I4319" i="1" s="1"/>
  <c r="F4320" i="1"/>
  <c r="I4320" i="1" s="1"/>
  <c r="F4321" i="1"/>
  <c r="I4321" i="1" s="1"/>
  <c r="F4322" i="1"/>
  <c r="I4322" i="1" s="1"/>
  <c r="F4323" i="1"/>
  <c r="I4323" i="1" s="1"/>
  <c r="F4324" i="1"/>
  <c r="I4324" i="1" s="1"/>
  <c r="F4325" i="1"/>
  <c r="I4325" i="1" s="1"/>
  <c r="F4326" i="1"/>
  <c r="F4327" i="1"/>
  <c r="F4328" i="1"/>
  <c r="F4329" i="1"/>
  <c r="I4329" i="1" s="1"/>
  <c r="F4330" i="1"/>
  <c r="I4330" i="1" s="1"/>
  <c r="F4331" i="1"/>
  <c r="I4331" i="1" s="1"/>
  <c r="F4332" i="1"/>
  <c r="I4332" i="1" s="1"/>
  <c r="F4333" i="1"/>
  <c r="I4333" i="1" s="1"/>
  <c r="F4334" i="1"/>
  <c r="I4334" i="1" s="1"/>
  <c r="F4335" i="1"/>
  <c r="I4335" i="1" s="1"/>
  <c r="F4336" i="1"/>
  <c r="I4336" i="1" s="1"/>
  <c r="F4337" i="1"/>
  <c r="I4337" i="1" s="1"/>
  <c r="F4338" i="1"/>
  <c r="I4338" i="1" s="1"/>
  <c r="F4339" i="1"/>
  <c r="F4340" i="1"/>
  <c r="F4341" i="1"/>
  <c r="I4341" i="1" s="1"/>
  <c r="F4342" i="1"/>
  <c r="I4342" i="1" s="1"/>
  <c r="F4343" i="1"/>
  <c r="I4343" i="1" s="1"/>
  <c r="F4344" i="1"/>
  <c r="I4344" i="1" s="1"/>
  <c r="F4345" i="1"/>
  <c r="I4345" i="1" s="1"/>
  <c r="F4346" i="1"/>
  <c r="I4346" i="1" s="1"/>
  <c r="F4347" i="1"/>
  <c r="I4347" i="1" s="1"/>
  <c r="F4348" i="1"/>
  <c r="I4348" i="1" s="1"/>
  <c r="F4349" i="1"/>
  <c r="I4349" i="1" s="1"/>
  <c r="F4350" i="1"/>
  <c r="F4351" i="1"/>
  <c r="F4352" i="1"/>
  <c r="F4353" i="1"/>
  <c r="I4353" i="1" s="1"/>
  <c r="F4354" i="1"/>
  <c r="I4354" i="1" s="1"/>
  <c r="F4355" i="1"/>
  <c r="I4355" i="1" s="1"/>
  <c r="F4356" i="1"/>
  <c r="I4356" i="1" s="1"/>
  <c r="F4357" i="1"/>
  <c r="I4357" i="1" s="1"/>
  <c r="F4358" i="1"/>
  <c r="I4358" i="1" s="1"/>
  <c r="F4359" i="1"/>
  <c r="I4359" i="1" s="1"/>
  <c r="F4360" i="1"/>
  <c r="I4360" i="1" s="1"/>
  <c r="F4361" i="1"/>
  <c r="I4361" i="1" s="1"/>
  <c r="F4362" i="1"/>
  <c r="F4363" i="1"/>
  <c r="F4364" i="1"/>
  <c r="F4365" i="1"/>
  <c r="I4365" i="1" s="1"/>
  <c r="F4366" i="1"/>
  <c r="I4366" i="1" s="1"/>
  <c r="F4367" i="1"/>
  <c r="I4367" i="1" s="1"/>
  <c r="F4368" i="1"/>
  <c r="I4368" i="1" s="1"/>
  <c r="F4369" i="1"/>
  <c r="I4369" i="1" s="1"/>
  <c r="F4370" i="1"/>
  <c r="I4370" i="1" s="1"/>
  <c r="F4371" i="1"/>
  <c r="I4371" i="1" s="1"/>
  <c r="F4372" i="1"/>
  <c r="F4373" i="1"/>
  <c r="I4373" i="1" s="1"/>
  <c r="F4374" i="1"/>
  <c r="I4374" i="1" s="1"/>
  <c r="F4375" i="1"/>
  <c r="F4376" i="1"/>
  <c r="F4377" i="1"/>
  <c r="I4377" i="1" s="1"/>
  <c r="F4378" i="1"/>
  <c r="I4378" i="1" s="1"/>
  <c r="F4379" i="1"/>
  <c r="I4379" i="1" s="1"/>
  <c r="F4380" i="1"/>
  <c r="I4380" i="1" s="1"/>
  <c r="F4381" i="1"/>
  <c r="I4381" i="1" s="1"/>
  <c r="F4382" i="1"/>
  <c r="I4382" i="1" s="1"/>
  <c r="F4383" i="1"/>
  <c r="I4383" i="1" s="1"/>
  <c r="F4384" i="1"/>
  <c r="I4384" i="1" s="1"/>
  <c r="F4385" i="1"/>
  <c r="I4385" i="1" s="1"/>
  <c r="F4386" i="1"/>
  <c r="F4387" i="1"/>
  <c r="F4388" i="1"/>
  <c r="F4389" i="1"/>
  <c r="I4389" i="1" s="1"/>
  <c r="F4390" i="1"/>
  <c r="I4390" i="1" s="1"/>
  <c r="F4391" i="1"/>
  <c r="I4391" i="1" s="1"/>
  <c r="F4392" i="1"/>
  <c r="I4392" i="1" s="1"/>
  <c r="F4393" i="1"/>
  <c r="I4393" i="1" s="1"/>
  <c r="F4394" i="1"/>
  <c r="I4394" i="1" s="1"/>
  <c r="F4395" i="1"/>
  <c r="I4395" i="1" s="1"/>
  <c r="F4396" i="1"/>
  <c r="I4396" i="1" s="1"/>
  <c r="F4397" i="1"/>
  <c r="I4397" i="1" s="1"/>
  <c r="F4398" i="1"/>
  <c r="F4399" i="1"/>
  <c r="F4400" i="1"/>
  <c r="I4400" i="1" s="1"/>
  <c r="F4401" i="1"/>
  <c r="I4401" i="1" s="1"/>
  <c r="F4402" i="1"/>
  <c r="I4402" i="1" s="1"/>
  <c r="F4403" i="1"/>
  <c r="I4403" i="1" s="1"/>
  <c r="F4404" i="1"/>
  <c r="I4404" i="1" s="1"/>
  <c r="F4405" i="1"/>
  <c r="I4405" i="1" s="1"/>
  <c r="F4406" i="1"/>
  <c r="I4406" i="1" s="1"/>
  <c r="F4407" i="1"/>
  <c r="I4407" i="1" s="1"/>
  <c r="F4408" i="1"/>
  <c r="I4408" i="1" s="1"/>
  <c r="F4409" i="1"/>
  <c r="I4409" i="1" s="1"/>
  <c r="F4410" i="1"/>
  <c r="I4410" i="1" s="1"/>
  <c r="F4411" i="1"/>
  <c r="F4412" i="1"/>
  <c r="F4413" i="1"/>
  <c r="I4413" i="1" s="1"/>
  <c r="F4414" i="1"/>
  <c r="I4414" i="1" s="1"/>
  <c r="F4415" i="1"/>
  <c r="I4415" i="1" s="1"/>
  <c r="F4416" i="1"/>
  <c r="I4416" i="1" s="1"/>
  <c r="F4417" i="1"/>
  <c r="I4417" i="1" s="1"/>
  <c r="F4418" i="1"/>
  <c r="I4418" i="1" s="1"/>
  <c r="F4419" i="1"/>
  <c r="I4419" i="1" s="1"/>
  <c r="F4420" i="1"/>
  <c r="I4420" i="1" s="1"/>
  <c r="F4421" i="1"/>
  <c r="I4421" i="1" s="1"/>
  <c r="F4422" i="1"/>
  <c r="F4423" i="1"/>
  <c r="F4424" i="1"/>
  <c r="I4424" i="1" s="1"/>
  <c r="F4425" i="1"/>
  <c r="I4425" i="1" s="1"/>
  <c r="F4426" i="1"/>
  <c r="I4426" i="1" s="1"/>
  <c r="F4427" i="1"/>
  <c r="I4427" i="1" s="1"/>
  <c r="F4428" i="1"/>
  <c r="I4428" i="1" s="1"/>
  <c r="F4429" i="1"/>
  <c r="I4429" i="1" s="1"/>
  <c r="F4430" i="1"/>
  <c r="I4430" i="1" s="1"/>
  <c r="F4431" i="1"/>
  <c r="I4431" i="1" s="1"/>
  <c r="F4432" i="1"/>
  <c r="I4432" i="1" s="1"/>
  <c r="F4433" i="1"/>
  <c r="I4433" i="1" s="1"/>
  <c r="F4434" i="1"/>
  <c r="F4435" i="1"/>
  <c r="I4435" i="1" s="1"/>
  <c r="F4436" i="1"/>
  <c r="I4436" i="1" s="1"/>
  <c r="F4437" i="1"/>
  <c r="I4437" i="1" s="1"/>
  <c r="F4438" i="1"/>
  <c r="I4438" i="1" s="1"/>
  <c r="F4439" i="1"/>
  <c r="I4439" i="1" s="1"/>
  <c r="F4440" i="1"/>
  <c r="I4440" i="1" s="1"/>
  <c r="F4441" i="1"/>
  <c r="I4441" i="1" s="1"/>
  <c r="F4442" i="1"/>
  <c r="I4442" i="1" s="1"/>
  <c r="F4443" i="1"/>
  <c r="I4443" i="1" s="1"/>
  <c r="F4444" i="1"/>
  <c r="I4444" i="1" s="1"/>
  <c r="F4445" i="1"/>
  <c r="I4445" i="1" s="1"/>
  <c r="F4446" i="1"/>
  <c r="I4446" i="1" s="1"/>
  <c r="F4447" i="1"/>
  <c r="I4447" i="1" s="1"/>
  <c r="F4448" i="1"/>
  <c r="I4448" i="1" s="1"/>
  <c r="F4449" i="1"/>
  <c r="I4449" i="1" s="1"/>
  <c r="F4450" i="1"/>
  <c r="I4450" i="1" s="1"/>
  <c r="F4451" i="1"/>
  <c r="I4451" i="1" s="1"/>
  <c r="F4452" i="1"/>
  <c r="I4452" i="1" s="1"/>
  <c r="F4453" i="1"/>
  <c r="I4453" i="1" s="1"/>
  <c r="F4454" i="1"/>
  <c r="I4454" i="1" s="1"/>
  <c r="F4455" i="1"/>
  <c r="I4455" i="1" s="1"/>
  <c r="F4456" i="1"/>
  <c r="I4456" i="1" s="1"/>
  <c r="F4457" i="1"/>
  <c r="I4457" i="1" s="1"/>
  <c r="F4458" i="1"/>
  <c r="F4459" i="1"/>
  <c r="F4460" i="1"/>
  <c r="I4460" i="1" s="1"/>
  <c r="F4461" i="1"/>
  <c r="I4461" i="1" s="1"/>
  <c r="F4462" i="1"/>
  <c r="I4462" i="1" s="1"/>
  <c r="F4463" i="1"/>
  <c r="I4463" i="1" s="1"/>
  <c r="F4464" i="1"/>
  <c r="I4464" i="1" s="1"/>
  <c r="F4465" i="1"/>
  <c r="I4465" i="1" s="1"/>
  <c r="F4466" i="1"/>
  <c r="I4466" i="1" s="1"/>
  <c r="F4467" i="1"/>
  <c r="I4467" i="1" s="1"/>
  <c r="F4468" i="1"/>
  <c r="I4468" i="1" s="1"/>
  <c r="F4469" i="1"/>
  <c r="I4469" i="1" s="1"/>
  <c r="F4470" i="1"/>
  <c r="I4470" i="1" s="1"/>
  <c r="F4471" i="1"/>
  <c r="F4472" i="1"/>
  <c r="F4473" i="1"/>
  <c r="I4473" i="1" s="1"/>
  <c r="F4474" i="1"/>
  <c r="I4474" i="1" s="1"/>
  <c r="F4475" i="1"/>
  <c r="I4475" i="1" s="1"/>
  <c r="F4476" i="1"/>
  <c r="I4476" i="1" s="1"/>
  <c r="F4477" i="1"/>
  <c r="F4478" i="1"/>
  <c r="F4479" i="1"/>
  <c r="I4479" i="1" s="1"/>
  <c r="F4480" i="1"/>
  <c r="I4480" i="1" s="1"/>
  <c r="F4481" i="1"/>
  <c r="I4481" i="1" s="1"/>
  <c r="F4482" i="1"/>
  <c r="I4482" i="1" s="1"/>
  <c r="F4483" i="1"/>
  <c r="F4484" i="1"/>
  <c r="F4485" i="1"/>
  <c r="I4485" i="1" s="1"/>
  <c r="F4486" i="1"/>
  <c r="I4486" i="1" s="1"/>
  <c r="F4487" i="1"/>
  <c r="I4487" i="1" s="1"/>
  <c r="F4488" i="1"/>
  <c r="I4488" i="1" s="1"/>
  <c r="F4489" i="1"/>
  <c r="I4489" i="1" s="1"/>
  <c r="F4490" i="1"/>
  <c r="I4490" i="1" s="1"/>
  <c r="F4491" i="1"/>
  <c r="I4491" i="1" s="1"/>
  <c r="F4492" i="1"/>
  <c r="I4492" i="1" s="1"/>
  <c r="F4493" i="1"/>
  <c r="I4493" i="1" s="1"/>
  <c r="F4494" i="1"/>
  <c r="F4495" i="1"/>
  <c r="F4496" i="1"/>
  <c r="F4497" i="1"/>
  <c r="I4497" i="1" s="1"/>
  <c r="F4498" i="1"/>
  <c r="I4498" i="1" s="1"/>
  <c r="F4499" i="1"/>
  <c r="I4499" i="1" s="1"/>
  <c r="F4500" i="1"/>
  <c r="I4500" i="1" s="1"/>
  <c r="F4501" i="1"/>
  <c r="I4501" i="1" s="1"/>
  <c r="F4502" i="1"/>
  <c r="I4502" i="1" s="1"/>
  <c r="F4503" i="1"/>
  <c r="I4503" i="1" s="1"/>
  <c r="F4504" i="1"/>
  <c r="I4504" i="1" s="1"/>
  <c r="F4505" i="1"/>
  <c r="I4505" i="1" s="1"/>
  <c r="F4506" i="1"/>
  <c r="I4506" i="1" s="1"/>
  <c r="F4507" i="1"/>
  <c r="F4508" i="1"/>
  <c r="I4508" i="1" s="1"/>
  <c r="F4509" i="1"/>
  <c r="I4509" i="1" s="1"/>
  <c r="F4510" i="1"/>
  <c r="I4510" i="1" s="1"/>
  <c r="F4511" i="1"/>
  <c r="I4511" i="1" s="1"/>
  <c r="F4512" i="1"/>
  <c r="I4512" i="1" s="1"/>
  <c r="F4513" i="1"/>
  <c r="I4513" i="1" s="1"/>
  <c r="F4514" i="1"/>
  <c r="I4514" i="1" s="1"/>
  <c r="F4515" i="1"/>
  <c r="I4515" i="1" s="1"/>
  <c r="F4516" i="1"/>
  <c r="I4516" i="1" s="1"/>
  <c r="F4517" i="1"/>
  <c r="I4517" i="1" s="1"/>
  <c r="F4518" i="1"/>
  <c r="F4519" i="1"/>
  <c r="F4520" i="1"/>
  <c r="I4520" i="1" s="1"/>
  <c r="F4521" i="1"/>
  <c r="I4521" i="1" s="1"/>
  <c r="F4522" i="1"/>
  <c r="I4522" i="1" s="1"/>
  <c r="F4523" i="1"/>
  <c r="I4523" i="1" s="1"/>
  <c r="F4524" i="1"/>
  <c r="I4524" i="1" s="1"/>
  <c r="F4525" i="1"/>
  <c r="I4525" i="1" s="1"/>
  <c r="F4526" i="1"/>
  <c r="I4526" i="1" s="1"/>
  <c r="F4527" i="1"/>
  <c r="I4527" i="1" s="1"/>
  <c r="F4528" i="1"/>
  <c r="I4528" i="1" s="1"/>
  <c r="F4529" i="1"/>
  <c r="I4529" i="1" s="1"/>
  <c r="F4530" i="1"/>
  <c r="F4531" i="1"/>
  <c r="I4531" i="1" s="1"/>
  <c r="F4532" i="1"/>
  <c r="F4533" i="1"/>
  <c r="I4533" i="1" s="1"/>
  <c r="F4534" i="1"/>
  <c r="I4534" i="1" s="1"/>
  <c r="F4535" i="1"/>
  <c r="I4535" i="1" s="1"/>
  <c r="F4536" i="1"/>
  <c r="I4536" i="1" s="1"/>
  <c r="F4537" i="1"/>
  <c r="F4034" i="1"/>
  <c r="I4034" i="1" s="1"/>
  <c r="F3531" i="1"/>
  <c r="I3531" i="1" s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I3543" i="1" s="1"/>
  <c r="F3544" i="1"/>
  <c r="I3544" i="1" s="1"/>
  <c r="F3545" i="1"/>
  <c r="I3545" i="1" s="1"/>
  <c r="F3546" i="1"/>
  <c r="I3546" i="1" s="1"/>
  <c r="F3547" i="1"/>
  <c r="F3548" i="1"/>
  <c r="I3548" i="1" s="1"/>
  <c r="F3549" i="1"/>
  <c r="I3549" i="1" s="1"/>
  <c r="F3550" i="1"/>
  <c r="I3550" i="1" s="1"/>
  <c r="F3551" i="1"/>
  <c r="I3551" i="1" s="1"/>
  <c r="F3552" i="1"/>
  <c r="I3552" i="1" s="1"/>
  <c r="F3553" i="1"/>
  <c r="I3553" i="1" s="1"/>
  <c r="F3554" i="1"/>
  <c r="I3554" i="1" s="1"/>
  <c r="F3555" i="1"/>
  <c r="I3555" i="1" s="1"/>
  <c r="F3556" i="1"/>
  <c r="I3556" i="1" s="1"/>
  <c r="F3557" i="1"/>
  <c r="I3557" i="1" s="1"/>
  <c r="F3558" i="1"/>
  <c r="I3558" i="1" s="1"/>
  <c r="F3559" i="1"/>
  <c r="I3559" i="1" s="1"/>
  <c r="F3560" i="1"/>
  <c r="F3561" i="1"/>
  <c r="I3561" i="1" s="1"/>
  <c r="F3562" i="1"/>
  <c r="I3562" i="1" s="1"/>
  <c r="F3563" i="1"/>
  <c r="I3563" i="1" s="1"/>
  <c r="F3564" i="1"/>
  <c r="I3564" i="1" s="1"/>
  <c r="F3565" i="1"/>
  <c r="I3565" i="1" s="1"/>
  <c r="F3566" i="1"/>
  <c r="I3566" i="1" s="1"/>
  <c r="F3567" i="1"/>
  <c r="I3567" i="1" s="1"/>
  <c r="F3568" i="1"/>
  <c r="I3568" i="1" s="1"/>
  <c r="F3569" i="1"/>
  <c r="I3569" i="1" s="1"/>
  <c r="F3570" i="1"/>
  <c r="I3570" i="1" s="1"/>
  <c r="F3571" i="1"/>
  <c r="F3572" i="1"/>
  <c r="I3572" i="1" s="1"/>
  <c r="F3573" i="1"/>
  <c r="I3573" i="1" s="1"/>
  <c r="F3574" i="1"/>
  <c r="I3574" i="1" s="1"/>
  <c r="F3575" i="1"/>
  <c r="I3575" i="1" s="1"/>
  <c r="F3576" i="1"/>
  <c r="I3576" i="1" s="1"/>
  <c r="F3577" i="1"/>
  <c r="I3577" i="1" s="1"/>
  <c r="F3578" i="1"/>
  <c r="I3578" i="1" s="1"/>
  <c r="F3579" i="1"/>
  <c r="I3579" i="1" s="1"/>
  <c r="F3580" i="1"/>
  <c r="I3580" i="1" s="1"/>
  <c r="F3581" i="1"/>
  <c r="I3581" i="1" s="1"/>
  <c r="F3582" i="1"/>
  <c r="I3582" i="1" s="1"/>
  <c r="F3583" i="1"/>
  <c r="F3584" i="1"/>
  <c r="F3585" i="1"/>
  <c r="I3585" i="1" s="1"/>
  <c r="F3586" i="1"/>
  <c r="I3586" i="1" s="1"/>
  <c r="F3587" i="1"/>
  <c r="I3587" i="1" s="1"/>
  <c r="F3588" i="1"/>
  <c r="I3588" i="1" s="1"/>
  <c r="F3589" i="1"/>
  <c r="F3590" i="1"/>
  <c r="I3590" i="1" s="1"/>
  <c r="F3591" i="1"/>
  <c r="I3591" i="1" s="1"/>
  <c r="F3592" i="1"/>
  <c r="I3592" i="1" s="1"/>
  <c r="F3593" i="1"/>
  <c r="I3593" i="1" s="1"/>
  <c r="F3594" i="1"/>
  <c r="I3594" i="1" s="1"/>
  <c r="F3595" i="1"/>
  <c r="F3596" i="1"/>
  <c r="I3596" i="1" s="1"/>
  <c r="F3597" i="1"/>
  <c r="I3597" i="1" s="1"/>
  <c r="F3598" i="1"/>
  <c r="I3598" i="1" s="1"/>
  <c r="F3599" i="1"/>
  <c r="I3599" i="1" s="1"/>
  <c r="F3600" i="1"/>
  <c r="I3600" i="1" s="1"/>
  <c r="F3601" i="1"/>
  <c r="I3601" i="1" s="1"/>
  <c r="F3602" i="1"/>
  <c r="I3602" i="1" s="1"/>
  <c r="F3603" i="1"/>
  <c r="I3603" i="1" s="1"/>
  <c r="F3604" i="1"/>
  <c r="I3604" i="1" s="1"/>
  <c r="F3605" i="1"/>
  <c r="I3605" i="1" s="1"/>
  <c r="F3606" i="1"/>
  <c r="I3606" i="1" s="1"/>
  <c r="F3607" i="1"/>
  <c r="F3608" i="1"/>
  <c r="F3609" i="1"/>
  <c r="I3609" i="1" s="1"/>
  <c r="F3610" i="1"/>
  <c r="I3610" i="1" s="1"/>
  <c r="F3611" i="1"/>
  <c r="I3611" i="1" s="1"/>
  <c r="F3612" i="1"/>
  <c r="I3612" i="1" s="1"/>
  <c r="F3613" i="1"/>
  <c r="I3613" i="1" s="1"/>
  <c r="F3614" i="1"/>
  <c r="I3614" i="1" s="1"/>
  <c r="F3615" i="1"/>
  <c r="I3615" i="1" s="1"/>
  <c r="F3616" i="1"/>
  <c r="I3616" i="1" s="1"/>
  <c r="F3617" i="1"/>
  <c r="I3617" i="1" s="1"/>
  <c r="F3618" i="1"/>
  <c r="I3618" i="1" s="1"/>
  <c r="F3619" i="1"/>
  <c r="F3620" i="1"/>
  <c r="I3620" i="1" s="1"/>
  <c r="F3621" i="1"/>
  <c r="I3621" i="1" s="1"/>
  <c r="F3622" i="1"/>
  <c r="I3622" i="1" s="1"/>
  <c r="F3623" i="1"/>
  <c r="I3623" i="1" s="1"/>
  <c r="F3624" i="1"/>
  <c r="I3624" i="1" s="1"/>
  <c r="F3625" i="1"/>
  <c r="I3625" i="1" s="1"/>
  <c r="F3626" i="1"/>
  <c r="I3626" i="1" s="1"/>
  <c r="F3627" i="1"/>
  <c r="I3627" i="1" s="1"/>
  <c r="F3628" i="1"/>
  <c r="I3628" i="1" s="1"/>
  <c r="F3629" i="1"/>
  <c r="I3629" i="1" s="1"/>
  <c r="F3630" i="1"/>
  <c r="I3630" i="1" s="1"/>
  <c r="F3631" i="1"/>
  <c r="F3632" i="1"/>
  <c r="F3633" i="1"/>
  <c r="I3633" i="1" s="1"/>
  <c r="F3634" i="1"/>
  <c r="I3634" i="1" s="1"/>
  <c r="F3635" i="1"/>
  <c r="I3635" i="1" s="1"/>
  <c r="F3636" i="1"/>
  <c r="I3636" i="1" s="1"/>
  <c r="F3637" i="1"/>
  <c r="I3637" i="1" s="1"/>
  <c r="F3638" i="1"/>
  <c r="I3638" i="1" s="1"/>
  <c r="F3639" i="1"/>
  <c r="I3639" i="1" s="1"/>
  <c r="F3640" i="1"/>
  <c r="I3640" i="1" s="1"/>
  <c r="F3641" i="1"/>
  <c r="I3641" i="1" s="1"/>
  <c r="F3642" i="1"/>
  <c r="I3642" i="1" s="1"/>
  <c r="F3643" i="1"/>
  <c r="F3644" i="1"/>
  <c r="F3645" i="1"/>
  <c r="I3645" i="1" s="1"/>
  <c r="F3646" i="1"/>
  <c r="I3646" i="1" s="1"/>
  <c r="F3647" i="1"/>
  <c r="I3647" i="1" s="1"/>
  <c r="F3648" i="1"/>
  <c r="I3648" i="1" s="1"/>
  <c r="F3649" i="1"/>
  <c r="I3649" i="1" s="1"/>
  <c r="F3650" i="1"/>
  <c r="I3650" i="1" s="1"/>
  <c r="F3651" i="1"/>
  <c r="I3651" i="1" s="1"/>
  <c r="F3652" i="1"/>
  <c r="I3652" i="1" s="1"/>
  <c r="F3653" i="1"/>
  <c r="I3653" i="1" s="1"/>
  <c r="F3654" i="1"/>
  <c r="I3654" i="1" s="1"/>
  <c r="F3655" i="1"/>
  <c r="F3656" i="1"/>
  <c r="F3657" i="1"/>
  <c r="I3657" i="1" s="1"/>
  <c r="F3658" i="1"/>
  <c r="I3658" i="1" s="1"/>
  <c r="F3659" i="1"/>
  <c r="I3659" i="1" s="1"/>
  <c r="F3660" i="1"/>
  <c r="I3660" i="1" s="1"/>
  <c r="F3661" i="1"/>
  <c r="I3661" i="1" s="1"/>
  <c r="F3662" i="1"/>
  <c r="I3662" i="1" s="1"/>
  <c r="F3663" i="1"/>
  <c r="I3663" i="1" s="1"/>
  <c r="F3664" i="1"/>
  <c r="I3664" i="1" s="1"/>
  <c r="F3665" i="1"/>
  <c r="I3665" i="1" s="1"/>
  <c r="F3666" i="1"/>
  <c r="I3666" i="1" s="1"/>
  <c r="F3667" i="1"/>
  <c r="F3668" i="1"/>
  <c r="I3668" i="1" s="1"/>
  <c r="F3669" i="1"/>
  <c r="I3669" i="1" s="1"/>
  <c r="F3670" i="1"/>
  <c r="I3670" i="1" s="1"/>
  <c r="F3671" i="1"/>
  <c r="I3671" i="1" s="1"/>
  <c r="F3672" i="1"/>
  <c r="I3672" i="1" s="1"/>
  <c r="F3673" i="1"/>
  <c r="I3673" i="1" s="1"/>
  <c r="F3674" i="1"/>
  <c r="I3674" i="1" s="1"/>
  <c r="F3675" i="1"/>
  <c r="I3675" i="1" s="1"/>
  <c r="F3676" i="1"/>
  <c r="I3676" i="1" s="1"/>
  <c r="F3677" i="1"/>
  <c r="I3677" i="1" s="1"/>
  <c r="F3678" i="1"/>
  <c r="I3678" i="1" s="1"/>
  <c r="F3679" i="1"/>
  <c r="F3680" i="1"/>
  <c r="F3681" i="1"/>
  <c r="I3681" i="1" s="1"/>
  <c r="F3682" i="1"/>
  <c r="I3682" i="1" s="1"/>
  <c r="F3683" i="1"/>
  <c r="I3683" i="1" s="1"/>
  <c r="F3684" i="1"/>
  <c r="I3684" i="1" s="1"/>
  <c r="F3685" i="1"/>
  <c r="I3685" i="1" s="1"/>
  <c r="F3686" i="1"/>
  <c r="I3686" i="1" s="1"/>
  <c r="F3687" i="1"/>
  <c r="I3687" i="1" s="1"/>
  <c r="F3688" i="1"/>
  <c r="I3688" i="1" s="1"/>
  <c r="F3689" i="1"/>
  <c r="I3689" i="1" s="1"/>
  <c r="F3690" i="1"/>
  <c r="I3690" i="1" s="1"/>
  <c r="F3691" i="1"/>
  <c r="F3692" i="1"/>
  <c r="I3692" i="1" s="1"/>
  <c r="F3693" i="1"/>
  <c r="I3693" i="1" s="1"/>
  <c r="F3694" i="1"/>
  <c r="I3694" i="1" s="1"/>
  <c r="F3695" i="1"/>
  <c r="I3695" i="1" s="1"/>
  <c r="F3696" i="1"/>
  <c r="I3696" i="1" s="1"/>
  <c r="F3697" i="1"/>
  <c r="I3697" i="1" s="1"/>
  <c r="F3698" i="1"/>
  <c r="I3698" i="1" s="1"/>
  <c r="F3699" i="1"/>
  <c r="I3699" i="1" s="1"/>
  <c r="F3700" i="1"/>
  <c r="I3700" i="1" s="1"/>
  <c r="F3701" i="1"/>
  <c r="I3701" i="1" s="1"/>
  <c r="F3702" i="1"/>
  <c r="I3702" i="1" s="1"/>
  <c r="F3703" i="1"/>
  <c r="F3704" i="1"/>
  <c r="F3705" i="1"/>
  <c r="I3705" i="1" s="1"/>
  <c r="F3706" i="1"/>
  <c r="I3706" i="1" s="1"/>
  <c r="F3707" i="1"/>
  <c r="I3707" i="1" s="1"/>
  <c r="F3708" i="1"/>
  <c r="I3708" i="1" s="1"/>
  <c r="F3709" i="1"/>
  <c r="I3709" i="1" s="1"/>
  <c r="F3710" i="1"/>
  <c r="I3710" i="1" s="1"/>
  <c r="F3711" i="1"/>
  <c r="I3711" i="1" s="1"/>
  <c r="F3712" i="1"/>
  <c r="I3712" i="1" s="1"/>
  <c r="F3713" i="1"/>
  <c r="I3713" i="1" s="1"/>
  <c r="F3714" i="1"/>
  <c r="I3714" i="1" s="1"/>
  <c r="F3715" i="1"/>
  <c r="F3716" i="1"/>
  <c r="I3716" i="1" s="1"/>
  <c r="F3717" i="1"/>
  <c r="I3717" i="1" s="1"/>
  <c r="F3718" i="1"/>
  <c r="I3718" i="1" s="1"/>
  <c r="F3719" i="1"/>
  <c r="I3719" i="1" s="1"/>
  <c r="F3720" i="1"/>
  <c r="I3720" i="1" s="1"/>
  <c r="F3721" i="1"/>
  <c r="I3721" i="1" s="1"/>
  <c r="F3722" i="1"/>
  <c r="I3722" i="1" s="1"/>
  <c r="F3723" i="1"/>
  <c r="I3723" i="1" s="1"/>
  <c r="F3724" i="1"/>
  <c r="I3724" i="1" s="1"/>
  <c r="F3725" i="1"/>
  <c r="I3725" i="1" s="1"/>
  <c r="F3726" i="1"/>
  <c r="I3726" i="1" s="1"/>
  <c r="F3727" i="1"/>
  <c r="F3728" i="1"/>
  <c r="F3729" i="1"/>
  <c r="I3729" i="1" s="1"/>
  <c r="F3730" i="1"/>
  <c r="I3730" i="1" s="1"/>
  <c r="F3731" i="1"/>
  <c r="I3731" i="1" s="1"/>
  <c r="F3732" i="1"/>
  <c r="I3732" i="1" s="1"/>
  <c r="F3733" i="1"/>
  <c r="I3733" i="1" s="1"/>
  <c r="F3734" i="1"/>
  <c r="I3734" i="1" s="1"/>
  <c r="F3735" i="1"/>
  <c r="I3735" i="1" s="1"/>
  <c r="F3736" i="1"/>
  <c r="I3736" i="1" s="1"/>
  <c r="F3737" i="1"/>
  <c r="I3737" i="1" s="1"/>
  <c r="F3738" i="1"/>
  <c r="I3738" i="1" s="1"/>
  <c r="F3739" i="1"/>
  <c r="F3740" i="1"/>
  <c r="I3740" i="1" s="1"/>
  <c r="F3741" i="1"/>
  <c r="I3741" i="1" s="1"/>
  <c r="F3742" i="1"/>
  <c r="I3742" i="1" s="1"/>
  <c r="F3743" i="1"/>
  <c r="I3743" i="1" s="1"/>
  <c r="F3744" i="1"/>
  <c r="I3744" i="1" s="1"/>
  <c r="F3745" i="1"/>
  <c r="I3745" i="1" s="1"/>
  <c r="F3746" i="1"/>
  <c r="I3746" i="1" s="1"/>
  <c r="F3747" i="1"/>
  <c r="I3747" i="1" s="1"/>
  <c r="F3748" i="1"/>
  <c r="I3748" i="1" s="1"/>
  <c r="F3749" i="1"/>
  <c r="I3749" i="1" s="1"/>
  <c r="F3750" i="1"/>
  <c r="I3750" i="1" s="1"/>
  <c r="F3751" i="1"/>
  <c r="F3752" i="1"/>
  <c r="F3753" i="1"/>
  <c r="I3753" i="1" s="1"/>
  <c r="F3754" i="1"/>
  <c r="I3754" i="1" s="1"/>
  <c r="F3755" i="1"/>
  <c r="I3755" i="1" s="1"/>
  <c r="F3756" i="1"/>
  <c r="I3756" i="1" s="1"/>
  <c r="F3757" i="1"/>
  <c r="I3757" i="1" s="1"/>
  <c r="F3758" i="1"/>
  <c r="I3758" i="1" s="1"/>
  <c r="F3759" i="1"/>
  <c r="I3759" i="1" s="1"/>
  <c r="F3760" i="1"/>
  <c r="I3760" i="1" s="1"/>
  <c r="F3761" i="1"/>
  <c r="I3761" i="1" s="1"/>
  <c r="F3762" i="1"/>
  <c r="I3762" i="1" s="1"/>
  <c r="F3763" i="1"/>
  <c r="F3764" i="1"/>
  <c r="I3764" i="1" s="1"/>
  <c r="F3765" i="1"/>
  <c r="I3765" i="1" s="1"/>
  <c r="F3766" i="1"/>
  <c r="I3766" i="1" s="1"/>
  <c r="F3767" i="1"/>
  <c r="I3767" i="1" s="1"/>
  <c r="F3768" i="1"/>
  <c r="I3768" i="1" s="1"/>
  <c r="F3769" i="1"/>
  <c r="I3769" i="1" s="1"/>
  <c r="F3770" i="1"/>
  <c r="I3770" i="1" s="1"/>
  <c r="F3771" i="1"/>
  <c r="I3771" i="1" s="1"/>
  <c r="F3772" i="1"/>
  <c r="I3772" i="1" s="1"/>
  <c r="F3773" i="1"/>
  <c r="I3773" i="1" s="1"/>
  <c r="F3774" i="1"/>
  <c r="I3774" i="1" s="1"/>
  <c r="F3775" i="1"/>
  <c r="F3776" i="1"/>
  <c r="F3777" i="1"/>
  <c r="I3777" i="1" s="1"/>
  <c r="F3778" i="1"/>
  <c r="I3778" i="1" s="1"/>
  <c r="F3779" i="1"/>
  <c r="I3779" i="1" s="1"/>
  <c r="F3780" i="1"/>
  <c r="I3780" i="1" s="1"/>
  <c r="F3781" i="1"/>
  <c r="I3781" i="1" s="1"/>
  <c r="F3782" i="1"/>
  <c r="I3782" i="1" s="1"/>
  <c r="F3783" i="1"/>
  <c r="I3783" i="1" s="1"/>
  <c r="F3784" i="1"/>
  <c r="I3784" i="1" s="1"/>
  <c r="F3785" i="1"/>
  <c r="F3786" i="1"/>
  <c r="I3786" i="1" s="1"/>
  <c r="F3787" i="1"/>
  <c r="F3788" i="1"/>
  <c r="F3789" i="1"/>
  <c r="I3789" i="1" s="1"/>
  <c r="F3790" i="1"/>
  <c r="I3790" i="1" s="1"/>
  <c r="F3791" i="1"/>
  <c r="I3791" i="1" s="1"/>
  <c r="F3792" i="1"/>
  <c r="I3792" i="1" s="1"/>
  <c r="F3793" i="1"/>
  <c r="I3793" i="1" s="1"/>
  <c r="F3794" i="1"/>
  <c r="I3794" i="1" s="1"/>
  <c r="F3795" i="1"/>
  <c r="I3795" i="1" s="1"/>
  <c r="F3796" i="1"/>
  <c r="I3796" i="1" s="1"/>
  <c r="F3797" i="1"/>
  <c r="I3797" i="1" s="1"/>
  <c r="F3798" i="1"/>
  <c r="I3798" i="1" s="1"/>
  <c r="F3799" i="1"/>
  <c r="F3800" i="1"/>
  <c r="F3801" i="1"/>
  <c r="I3801" i="1" s="1"/>
  <c r="F3802" i="1"/>
  <c r="I3802" i="1" s="1"/>
  <c r="F3803" i="1"/>
  <c r="I3803" i="1" s="1"/>
  <c r="F3804" i="1"/>
  <c r="I3804" i="1" s="1"/>
  <c r="F3805" i="1"/>
  <c r="I3805" i="1" s="1"/>
  <c r="F3806" i="1"/>
  <c r="I3806" i="1" s="1"/>
  <c r="F3807" i="1"/>
  <c r="I3807" i="1" s="1"/>
  <c r="F3808" i="1"/>
  <c r="I3808" i="1" s="1"/>
  <c r="F3809" i="1"/>
  <c r="I3809" i="1" s="1"/>
  <c r="F3810" i="1"/>
  <c r="I3810" i="1" s="1"/>
  <c r="F3811" i="1"/>
  <c r="F3812" i="1"/>
  <c r="I3812" i="1" s="1"/>
  <c r="F3813" i="1"/>
  <c r="I3813" i="1" s="1"/>
  <c r="F3814" i="1"/>
  <c r="I3814" i="1" s="1"/>
  <c r="F3815" i="1"/>
  <c r="I3815" i="1" s="1"/>
  <c r="F3816" i="1"/>
  <c r="I3816" i="1" s="1"/>
  <c r="F3817" i="1"/>
  <c r="I3817" i="1" s="1"/>
  <c r="F3818" i="1"/>
  <c r="I3818" i="1" s="1"/>
  <c r="F3819" i="1"/>
  <c r="I3819" i="1" s="1"/>
  <c r="F3820" i="1"/>
  <c r="I3820" i="1" s="1"/>
  <c r="F3821" i="1"/>
  <c r="I3821" i="1" s="1"/>
  <c r="F3822" i="1"/>
  <c r="I3822" i="1" s="1"/>
  <c r="F3823" i="1"/>
  <c r="F3824" i="1"/>
  <c r="F3825" i="1"/>
  <c r="I3825" i="1" s="1"/>
  <c r="F3826" i="1"/>
  <c r="I3826" i="1" s="1"/>
  <c r="F3827" i="1"/>
  <c r="I3827" i="1" s="1"/>
  <c r="F3828" i="1"/>
  <c r="I3828" i="1" s="1"/>
  <c r="F3829" i="1"/>
  <c r="I3829" i="1" s="1"/>
  <c r="F3830" i="1"/>
  <c r="I3830" i="1" s="1"/>
  <c r="F3831" i="1"/>
  <c r="I3831" i="1" s="1"/>
  <c r="F3832" i="1"/>
  <c r="I3832" i="1" s="1"/>
  <c r="F3833" i="1"/>
  <c r="I3833" i="1" s="1"/>
  <c r="F3834" i="1"/>
  <c r="I3834" i="1" s="1"/>
  <c r="F3835" i="1"/>
  <c r="F3836" i="1"/>
  <c r="I3836" i="1" s="1"/>
  <c r="F3837" i="1"/>
  <c r="I3837" i="1" s="1"/>
  <c r="F3838" i="1"/>
  <c r="I3838" i="1" s="1"/>
  <c r="F3839" i="1"/>
  <c r="I3839" i="1" s="1"/>
  <c r="F3840" i="1"/>
  <c r="I3840" i="1" s="1"/>
  <c r="F3841" i="1"/>
  <c r="I3841" i="1" s="1"/>
  <c r="F3842" i="1"/>
  <c r="I3842" i="1" s="1"/>
  <c r="F3843" i="1"/>
  <c r="I3843" i="1" s="1"/>
  <c r="F3844" i="1"/>
  <c r="I3844" i="1" s="1"/>
  <c r="F3845" i="1"/>
  <c r="I3845" i="1" s="1"/>
  <c r="F3846" i="1"/>
  <c r="I3846" i="1" s="1"/>
  <c r="F3847" i="1"/>
  <c r="F3848" i="1"/>
  <c r="F3849" i="1"/>
  <c r="I3849" i="1" s="1"/>
  <c r="F3850" i="1"/>
  <c r="I3850" i="1" s="1"/>
  <c r="F3851" i="1"/>
  <c r="I3851" i="1" s="1"/>
  <c r="F3852" i="1"/>
  <c r="I3852" i="1" s="1"/>
  <c r="F3853" i="1"/>
  <c r="I3853" i="1" s="1"/>
  <c r="F3854" i="1"/>
  <c r="I3854" i="1" s="1"/>
  <c r="F3855" i="1"/>
  <c r="I3855" i="1" s="1"/>
  <c r="F3856" i="1"/>
  <c r="I3856" i="1" s="1"/>
  <c r="F3857" i="1"/>
  <c r="I3857" i="1" s="1"/>
  <c r="F3858" i="1"/>
  <c r="I3858" i="1" s="1"/>
  <c r="F3859" i="1"/>
  <c r="F3860" i="1"/>
  <c r="I3860" i="1" s="1"/>
  <c r="F3861" i="1"/>
  <c r="I3861" i="1" s="1"/>
  <c r="F3862" i="1"/>
  <c r="I3862" i="1" s="1"/>
  <c r="F3863" i="1"/>
  <c r="I3863" i="1" s="1"/>
  <c r="F3864" i="1"/>
  <c r="I3864" i="1" s="1"/>
  <c r="F3865" i="1"/>
  <c r="I3865" i="1" s="1"/>
  <c r="F3866" i="1"/>
  <c r="I3866" i="1" s="1"/>
  <c r="F3867" i="1"/>
  <c r="I3867" i="1" s="1"/>
  <c r="F3868" i="1"/>
  <c r="I3868" i="1" s="1"/>
  <c r="F3869" i="1"/>
  <c r="I3869" i="1" s="1"/>
  <c r="F3870" i="1"/>
  <c r="I3870" i="1" s="1"/>
  <c r="F3871" i="1"/>
  <c r="F3872" i="1"/>
  <c r="F3873" i="1"/>
  <c r="I3873" i="1" s="1"/>
  <c r="F3874" i="1"/>
  <c r="I3874" i="1" s="1"/>
  <c r="F3875" i="1"/>
  <c r="I3875" i="1" s="1"/>
  <c r="F3876" i="1"/>
  <c r="I3876" i="1" s="1"/>
  <c r="F3877" i="1"/>
  <c r="I3877" i="1" s="1"/>
  <c r="F3878" i="1"/>
  <c r="I3878" i="1" s="1"/>
  <c r="F3879" i="1"/>
  <c r="I3879" i="1" s="1"/>
  <c r="F3880" i="1"/>
  <c r="I3880" i="1" s="1"/>
  <c r="F3881" i="1"/>
  <c r="I3881" i="1" s="1"/>
  <c r="F3882" i="1"/>
  <c r="I3882" i="1" s="1"/>
  <c r="F3883" i="1"/>
  <c r="F3884" i="1"/>
  <c r="F3885" i="1"/>
  <c r="I3885" i="1" s="1"/>
  <c r="F3886" i="1"/>
  <c r="I3886" i="1" s="1"/>
  <c r="F3887" i="1"/>
  <c r="I3887" i="1" s="1"/>
  <c r="F3888" i="1"/>
  <c r="I3888" i="1" s="1"/>
  <c r="F3889" i="1"/>
  <c r="I3889" i="1" s="1"/>
  <c r="F3890" i="1"/>
  <c r="I3890" i="1" s="1"/>
  <c r="F3891" i="1"/>
  <c r="I3891" i="1" s="1"/>
  <c r="F3892" i="1"/>
  <c r="I3892" i="1" s="1"/>
  <c r="F3893" i="1"/>
  <c r="I3893" i="1" s="1"/>
  <c r="F3894" i="1"/>
  <c r="I3894" i="1" s="1"/>
  <c r="F3895" i="1"/>
  <c r="F3896" i="1"/>
  <c r="F3897" i="1"/>
  <c r="I3897" i="1" s="1"/>
  <c r="F3898" i="1"/>
  <c r="I3898" i="1" s="1"/>
  <c r="F3899" i="1"/>
  <c r="I3899" i="1" s="1"/>
  <c r="F3900" i="1"/>
  <c r="I3900" i="1" s="1"/>
  <c r="F3901" i="1"/>
  <c r="I3901" i="1" s="1"/>
  <c r="F3902" i="1"/>
  <c r="I3902" i="1" s="1"/>
  <c r="F3903" i="1"/>
  <c r="I3903" i="1" s="1"/>
  <c r="F3904" i="1"/>
  <c r="I3904" i="1" s="1"/>
  <c r="F3905" i="1"/>
  <c r="I3905" i="1" s="1"/>
  <c r="F3906" i="1"/>
  <c r="I3906" i="1" s="1"/>
  <c r="F3907" i="1"/>
  <c r="F3908" i="1"/>
  <c r="F3909" i="1"/>
  <c r="I3909" i="1" s="1"/>
  <c r="F3910" i="1"/>
  <c r="I3910" i="1" s="1"/>
  <c r="F3911" i="1"/>
  <c r="I3911" i="1" s="1"/>
  <c r="F3912" i="1"/>
  <c r="I3912" i="1" s="1"/>
  <c r="F3913" i="1"/>
  <c r="I3913" i="1" s="1"/>
  <c r="F3914" i="1"/>
  <c r="I3914" i="1" s="1"/>
  <c r="F3915" i="1"/>
  <c r="I3915" i="1" s="1"/>
  <c r="F3916" i="1"/>
  <c r="I3916" i="1" s="1"/>
  <c r="F3917" i="1"/>
  <c r="I3917" i="1" s="1"/>
  <c r="F3918" i="1"/>
  <c r="I3918" i="1" s="1"/>
  <c r="F3919" i="1"/>
  <c r="F3920" i="1"/>
  <c r="F3921" i="1"/>
  <c r="I3921" i="1" s="1"/>
  <c r="F3922" i="1"/>
  <c r="I3922" i="1" s="1"/>
  <c r="F3923" i="1"/>
  <c r="I3923" i="1" s="1"/>
  <c r="F3924" i="1"/>
  <c r="I3924" i="1" s="1"/>
  <c r="F3925" i="1"/>
  <c r="I3925" i="1" s="1"/>
  <c r="F3926" i="1"/>
  <c r="I3926" i="1" s="1"/>
  <c r="F3927" i="1"/>
  <c r="I3927" i="1" s="1"/>
  <c r="F3928" i="1"/>
  <c r="I3928" i="1" s="1"/>
  <c r="F3929" i="1"/>
  <c r="I3929" i="1" s="1"/>
  <c r="F3930" i="1"/>
  <c r="I3930" i="1" s="1"/>
  <c r="F3931" i="1"/>
  <c r="F3932" i="1"/>
  <c r="F3933" i="1"/>
  <c r="I3933" i="1" s="1"/>
  <c r="F3934" i="1"/>
  <c r="I3934" i="1" s="1"/>
  <c r="F3935" i="1"/>
  <c r="I3935" i="1" s="1"/>
  <c r="F3936" i="1"/>
  <c r="I3936" i="1" s="1"/>
  <c r="F3937" i="1"/>
  <c r="I3937" i="1" s="1"/>
  <c r="F3938" i="1"/>
  <c r="I3938" i="1" s="1"/>
  <c r="F3939" i="1"/>
  <c r="I3939" i="1" s="1"/>
  <c r="F3940" i="1"/>
  <c r="I3940" i="1" s="1"/>
  <c r="F3941" i="1"/>
  <c r="I3941" i="1" s="1"/>
  <c r="F3942" i="1"/>
  <c r="I3942" i="1" s="1"/>
  <c r="F3943" i="1"/>
  <c r="F3944" i="1"/>
  <c r="F3945" i="1"/>
  <c r="I3945" i="1" s="1"/>
  <c r="F3946" i="1"/>
  <c r="I3946" i="1" s="1"/>
  <c r="F3947" i="1"/>
  <c r="I3947" i="1" s="1"/>
  <c r="F3948" i="1"/>
  <c r="I3948" i="1" s="1"/>
  <c r="F3949" i="1"/>
  <c r="I3949" i="1" s="1"/>
  <c r="F3950" i="1"/>
  <c r="I3950" i="1" s="1"/>
  <c r="F3951" i="1"/>
  <c r="I3951" i="1" s="1"/>
  <c r="F3952" i="1"/>
  <c r="I3952" i="1" s="1"/>
  <c r="F3953" i="1"/>
  <c r="I3953" i="1" s="1"/>
  <c r="F3954" i="1"/>
  <c r="I3954" i="1" s="1"/>
  <c r="F3955" i="1"/>
  <c r="F3956" i="1"/>
  <c r="F3957" i="1"/>
  <c r="I3957" i="1" s="1"/>
  <c r="F3958" i="1"/>
  <c r="I3958" i="1" s="1"/>
  <c r="F3959" i="1"/>
  <c r="I3959" i="1" s="1"/>
  <c r="F3960" i="1"/>
  <c r="I3960" i="1" s="1"/>
  <c r="F3961" i="1"/>
  <c r="I3961" i="1" s="1"/>
  <c r="F3962" i="1"/>
  <c r="I3962" i="1" s="1"/>
  <c r="F3963" i="1"/>
  <c r="I3963" i="1" s="1"/>
  <c r="F3964" i="1"/>
  <c r="I3964" i="1" s="1"/>
  <c r="F3965" i="1"/>
  <c r="I3965" i="1" s="1"/>
  <c r="F3966" i="1"/>
  <c r="I3966" i="1" s="1"/>
  <c r="F3967" i="1"/>
  <c r="F3968" i="1"/>
  <c r="F3969" i="1"/>
  <c r="I3969" i="1" s="1"/>
  <c r="F3970" i="1"/>
  <c r="I3970" i="1" s="1"/>
  <c r="F3971" i="1"/>
  <c r="I3971" i="1" s="1"/>
  <c r="F3972" i="1"/>
  <c r="I3972" i="1" s="1"/>
  <c r="F3973" i="1"/>
  <c r="I3973" i="1" s="1"/>
  <c r="F3974" i="1"/>
  <c r="I3974" i="1" s="1"/>
  <c r="F3975" i="1"/>
  <c r="I3975" i="1" s="1"/>
  <c r="F3976" i="1"/>
  <c r="I3976" i="1" s="1"/>
  <c r="F3977" i="1"/>
  <c r="I3977" i="1" s="1"/>
  <c r="F3978" i="1"/>
  <c r="F3979" i="1"/>
  <c r="F3980" i="1"/>
  <c r="F3981" i="1"/>
  <c r="I3981" i="1" s="1"/>
  <c r="F3982" i="1"/>
  <c r="I3982" i="1" s="1"/>
  <c r="F3983" i="1"/>
  <c r="I3983" i="1" s="1"/>
  <c r="F3984" i="1"/>
  <c r="I3984" i="1" s="1"/>
  <c r="F3985" i="1"/>
  <c r="I3985" i="1" s="1"/>
  <c r="F3986" i="1"/>
  <c r="I3986" i="1" s="1"/>
  <c r="F3987" i="1"/>
  <c r="I3987" i="1" s="1"/>
  <c r="F3988" i="1"/>
  <c r="I3988" i="1" s="1"/>
  <c r="F3989" i="1"/>
  <c r="I3989" i="1" s="1"/>
  <c r="F3990" i="1"/>
  <c r="I3990" i="1" s="1"/>
  <c r="F3991" i="1"/>
  <c r="F3992" i="1"/>
  <c r="F3993" i="1"/>
  <c r="I3993" i="1" s="1"/>
  <c r="F3994" i="1"/>
  <c r="I3994" i="1" s="1"/>
  <c r="F3995" i="1"/>
  <c r="I3995" i="1" s="1"/>
  <c r="F3996" i="1"/>
  <c r="I3996" i="1" s="1"/>
  <c r="F3997" i="1"/>
  <c r="I3997" i="1" s="1"/>
  <c r="F3998" i="1"/>
  <c r="I3998" i="1" s="1"/>
  <c r="F3999" i="1"/>
  <c r="I3999" i="1" s="1"/>
  <c r="F4000" i="1"/>
  <c r="I4000" i="1" s="1"/>
  <c r="F4001" i="1"/>
  <c r="I4001" i="1" s="1"/>
  <c r="F4002" i="1"/>
  <c r="I4002" i="1" s="1"/>
  <c r="F4003" i="1"/>
  <c r="F4004" i="1"/>
  <c r="F4005" i="1"/>
  <c r="I4005" i="1" s="1"/>
  <c r="F4006" i="1"/>
  <c r="I4006" i="1" s="1"/>
  <c r="F4007" i="1"/>
  <c r="I4007" i="1" s="1"/>
  <c r="F4008" i="1"/>
  <c r="I4008" i="1" s="1"/>
  <c r="F4009" i="1"/>
  <c r="I4009" i="1" s="1"/>
  <c r="F4010" i="1"/>
  <c r="I4010" i="1" s="1"/>
  <c r="F4011" i="1"/>
  <c r="I4011" i="1" s="1"/>
  <c r="F4012" i="1"/>
  <c r="I4012" i="1" s="1"/>
  <c r="F4013" i="1"/>
  <c r="I4013" i="1" s="1"/>
  <c r="F4014" i="1"/>
  <c r="I4014" i="1" s="1"/>
  <c r="F4015" i="1"/>
  <c r="F4016" i="1"/>
  <c r="F4017" i="1"/>
  <c r="I4017" i="1" s="1"/>
  <c r="F4018" i="1"/>
  <c r="I4018" i="1" s="1"/>
  <c r="F4019" i="1"/>
  <c r="I4019" i="1" s="1"/>
  <c r="F4020" i="1"/>
  <c r="I4020" i="1" s="1"/>
  <c r="F4021" i="1"/>
  <c r="I4021" i="1" s="1"/>
  <c r="F4022" i="1"/>
  <c r="I4022" i="1" s="1"/>
  <c r="F4023" i="1"/>
  <c r="I4023" i="1" s="1"/>
  <c r="F4024" i="1"/>
  <c r="I4024" i="1" s="1"/>
  <c r="F4025" i="1"/>
  <c r="I4025" i="1" s="1"/>
  <c r="F4026" i="1"/>
  <c r="I4026" i="1" s="1"/>
  <c r="F4027" i="1"/>
  <c r="F4028" i="1"/>
  <c r="F4029" i="1"/>
  <c r="I4029" i="1" s="1"/>
  <c r="F4030" i="1"/>
  <c r="I4030" i="1" s="1"/>
  <c r="F4031" i="1"/>
  <c r="I4031" i="1" s="1"/>
  <c r="F4032" i="1"/>
  <c r="I4032" i="1" s="1"/>
  <c r="F4033" i="1"/>
  <c r="I4033" i="1" s="1"/>
  <c r="F3530" i="1"/>
  <c r="I3530" i="1" s="1"/>
  <c r="F3027" i="1"/>
  <c r="I3027" i="1" s="1"/>
  <c r="F3028" i="1"/>
  <c r="I3028" i="1" s="1"/>
  <c r="F3029" i="1"/>
  <c r="I3029" i="1" s="1"/>
  <c r="F3030" i="1"/>
  <c r="I3030" i="1" s="1"/>
  <c r="F3031" i="1"/>
  <c r="F3032" i="1"/>
  <c r="F3033" i="1"/>
  <c r="F3034" i="1"/>
  <c r="F3035" i="1"/>
  <c r="F3036" i="1"/>
  <c r="F3037" i="1"/>
  <c r="F3038" i="1"/>
  <c r="F3039" i="1"/>
  <c r="I3039" i="1" s="1"/>
  <c r="F3040" i="1"/>
  <c r="I3040" i="1" s="1"/>
  <c r="F3041" i="1"/>
  <c r="I3041" i="1" s="1"/>
  <c r="F3042" i="1"/>
  <c r="I3042" i="1" s="1"/>
  <c r="F3043" i="1"/>
  <c r="F3044" i="1"/>
  <c r="F3045" i="1"/>
  <c r="F3046" i="1"/>
  <c r="F3047" i="1"/>
  <c r="F3048" i="1"/>
  <c r="F3049" i="1"/>
  <c r="F3050" i="1"/>
  <c r="I3050" i="1" s="1"/>
  <c r="F3051" i="1"/>
  <c r="I3051" i="1" s="1"/>
  <c r="F3052" i="1"/>
  <c r="I3052" i="1" s="1"/>
  <c r="F3053" i="1"/>
  <c r="I3053" i="1" s="1"/>
  <c r="F3054" i="1"/>
  <c r="I3054" i="1" s="1"/>
  <c r="F3055" i="1"/>
  <c r="F3056" i="1"/>
  <c r="F3057" i="1"/>
  <c r="F3058" i="1"/>
  <c r="F3059" i="1"/>
  <c r="F3060" i="1"/>
  <c r="F3061" i="1"/>
  <c r="F3062" i="1"/>
  <c r="F3063" i="1"/>
  <c r="I3063" i="1" s="1"/>
  <c r="F3064" i="1"/>
  <c r="I3064" i="1" s="1"/>
  <c r="F3065" i="1"/>
  <c r="I3065" i="1" s="1"/>
  <c r="F3066" i="1"/>
  <c r="I3066" i="1" s="1"/>
  <c r="F3067" i="1"/>
  <c r="F3068" i="1"/>
  <c r="F3069" i="1"/>
  <c r="F3070" i="1"/>
  <c r="F3071" i="1"/>
  <c r="F3072" i="1"/>
  <c r="F3073" i="1"/>
  <c r="F3074" i="1"/>
  <c r="F3075" i="1"/>
  <c r="I3075" i="1" s="1"/>
  <c r="F3076" i="1"/>
  <c r="I3076" i="1" s="1"/>
  <c r="F3077" i="1"/>
  <c r="I3077" i="1" s="1"/>
  <c r="F3078" i="1"/>
  <c r="I3078" i="1" s="1"/>
  <c r="F3079" i="1"/>
  <c r="F3080" i="1"/>
  <c r="F3081" i="1"/>
  <c r="F3082" i="1"/>
  <c r="F3083" i="1"/>
  <c r="F3084" i="1"/>
  <c r="F3085" i="1"/>
  <c r="F3086" i="1"/>
  <c r="F3087" i="1"/>
  <c r="I3087" i="1" s="1"/>
  <c r="F3088" i="1"/>
  <c r="I3088" i="1" s="1"/>
  <c r="F3089" i="1"/>
  <c r="I3089" i="1" s="1"/>
  <c r="F3090" i="1"/>
  <c r="I3090" i="1" s="1"/>
  <c r="F3091" i="1"/>
  <c r="F3092" i="1"/>
  <c r="F3093" i="1"/>
  <c r="F3094" i="1"/>
  <c r="F3095" i="1"/>
  <c r="F3096" i="1"/>
  <c r="F3097" i="1"/>
  <c r="F3098" i="1"/>
  <c r="F3099" i="1"/>
  <c r="I3099" i="1" s="1"/>
  <c r="F3100" i="1"/>
  <c r="I3100" i="1" s="1"/>
  <c r="F3101" i="1"/>
  <c r="I3101" i="1" s="1"/>
  <c r="F3102" i="1"/>
  <c r="I3102" i="1" s="1"/>
  <c r="F3103" i="1"/>
  <c r="F3104" i="1"/>
  <c r="F3105" i="1"/>
  <c r="F3106" i="1"/>
  <c r="F3107" i="1"/>
  <c r="F3108" i="1"/>
  <c r="I3108" i="1" s="1"/>
  <c r="F3109" i="1"/>
  <c r="F3110" i="1"/>
  <c r="F3111" i="1"/>
  <c r="I3111" i="1" s="1"/>
  <c r="F3112" i="1"/>
  <c r="I3112" i="1" s="1"/>
  <c r="F3113" i="1"/>
  <c r="I3113" i="1" s="1"/>
  <c r="F3114" i="1"/>
  <c r="I3114" i="1" s="1"/>
  <c r="F3115" i="1"/>
  <c r="F3116" i="1"/>
  <c r="F3117" i="1"/>
  <c r="F3118" i="1"/>
  <c r="F3119" i="1"/>
  <c r="F3120" i="1"/>
  <c r="F3121" i="1"/>
  <c r="F3122" i="1"/>
  <c r="F3123" i="1"/>
  <c r="I3123" i="1" s="1"/>
  <c r="F3124" i="1"/>
  <c r="I3124" i="1" s="1"/>
  <c r="F3125" i="1"/>
  <c r="I3125" i="1" s="1"/>
  <c r="F3126" i="1"/>
  <c r="I3126" i="1" s="1"/>
  <c r="F3127" i="1"/>
  <c r="F3128" i="1"/>
  <c r="F3129" i="1"/>
  <c r="F3130" i="1"/>
  <c r="F3131" i="1"/>
  <c r="F3132" i="1"/>
  <c r="F3133" i="1"/>
  <c r="F3134" i="1"/>
  <c r="F3135" i="1"/>
  <c r="I3135" i="1" s="1"/>
  <c r="F3136" i="1"/>
  <c r="I3136" i="1" s="1"/>
  <c r="F3137" i="1"/>
  <c r="I3137" i="1" s="1"/>
  <c r="F3138" i="1"/>
  <c r="I3138" i="1" s="1"/>
  <c r="F3139" i="1"/>
  <c r="F3140" i="1"/>
  <c r="F3141" i="1"/>
  <c r="F3142" i="1"/>
  <c r="F3143" i="1"/>
  <c r="F3144" i="1"/>
  <c r="F3145" i="1"/>
  <c r="F3146" i="1"/>
  <c r="F3147" i="1"/>
  <c r="I3147" i="1" s="1"/>
  <c r="F3148" i="1"/>
  <c r="I3148" i="1" s="1"/>
  <c r="F3149" i="1"/>
  <c r="I3149" i="1" s="1"/>
  <c r="F3150" i="1"/>
  <c r="I3150" i="1" s="1"/>
  <c r="F3151" i="1"/>
  <c r="F3152" i="1"/>
  <c r="F3153" i="1"/>
  <c r="F3154" i="1"/>
  <c r="F3155" i="1"/>
  <c r="F3156" i="1"/>
  <c r="F3157" i="1"/>
  <c r="F3158" i="1"/>
  <c r="F3159" i="1"/>
  <c r="I3159" i="1" s="1"/>
  <c r="F3160" i="1"/>
  <c r="I3160" i="1" s="1"/>
  <c r="F3161" i="1"/>
  <c r="I3161" i="1" s="1"/>
  <c r="F3162" i="1"/>
  <c r="I3162" i="1" s="1"/>
  <c r="F3163" i="1"/>
  <c r="F3164" i="1"/>
  <c r="F3165" i="1"/>
  <c r="F3166" i="1"/>
  <c r="F3167" i="1"/>
  <c r="F3168" i="1"/>
  <c r="F3169" i="1"/>
  <c r="F3170" i="1"/>
  <c r="F3171" i="1"/>
  <c r="I3171" i="1" s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I3488" i="1" s="1"/>
  <c r="F3489" i="1"/>
  <c r="F3490" i="1"/>
  <c r="F3491" i="1"/>
  <c r="F3492" i="1"/>
  <c r="F3493" i="1"/>
  <c r="F3494" i="1"/>
  <c r="F3495" i="1"/>
  <c r="I3495" i="1" s="1"/>
  <c r="F3496" i="1"/>
  <c r="I3496" i="1" s="1"/>
  <c r="F3497" i="1"/>
  <c r="I3497" i="1" s="1"/>
  <c r="F3498" i="1"/>
  <c r="I3498" i="1" s="1"/>
  <c r="F3499" i="1"/>
  <c r="F3500" i="1"/>
  <c r="F3501" i="1"/>
  <c r="F3502" i="1"/>
  <c r="F3503" i="1"/>
  <c r="F3504" i="1"/>
  <c r="F3505" i="1"/>
  <c r="F3506" i="1"/>
  <c r="F3507" i="1"/>
  <c r="I3507" i="1" s="1"/>
  <c r="F3508" i="1"/>
  <c r="I3508" i="1" s="1"/>
  <c r="F3509" i="1"/>
  <c r="I3509" i="1" s="1"/>
  <c r="F3510" i="1"/>
  <c r="I3510" i="1" s="1"/>
  <c r="F3511" i="1"/>
  <c r="I3511" i="1" s="1"/>
  <c r="F3512" i="1"/>
  <c r="I3512" i="1" s="1"/>
  <c r="F3513" i="1"/>
  <c r="I3513" i="1" s="1"/>
  <c r="F3514" i="1"/>
  <c r="F3515" i="1"/>
  <c r="F3516" i="1"/>
  <c r="I3516" i="1" s="1"/>
  <c r="F3517" i="1"/>
  <c r="F3518" i="1"/>
  <c r="F3519" i="1"/>
  <c r="I3519" i="1" s="1"/>
  <c r="F3520" i="1"/>
  <c r="I3520" i="1" s="1"/>
  <c r="F3521" i="1"/>
  <c r="I3521" i="1" s="1"/>
  <c r="F3522" i="1"/>
  <c r="I3522" i="1" s="1"/>
  <c r="F3523" i="1"/>
  <c r="I3523" i="1" s="1"/>
  <c r="F3524" i="1"/>
  <c r="F3525" i="1"/>
  <c r="F3526" i="1"/>
  <c r="I3526" i="1" s="1"/>
  <c r="F3527" i="1"/>
  <c r="F3528" i="1"/>
  <c r="F3529" i="1"/>
  <c r="I3529" i="1" s="1"/>
  <c r="F3026" i="1"/>
  <c r="F2523" i="1"/>
  <c r="I2523" i="1" s="1"/>
  <c r="F2524" i="1"/>
  <c r="I2524" i="1" s="1"/>
  <c r="F2525" i="1"/>
  <c r="I2525" i="1" s="1"/>
  <c r="F2526" i="1"/>
  <c r="I2526" i="1" s="1"/>
  <c r="F2527" i="1"/>
  <c r="F2528" i="1"/>
  <c r="F2529" i="1"/>
  <c r="I2529" i="1" s="1"/>
  <c r="F2530" i="1"/>
  <c r="I2530" i="1" s="1"/>
  <c r="F2531" i="1"/>
  <c r="I2531" i="1" s="1"/>
  <c r="F2532" i="1"/>
  <c r="I2532" i="1" s="1"/>
  <c r="F2533" i="1"/>
  <c r="I2533" i="1" s="1"/>
  <c r="F2534" i="1"/>
  <c r="I2534" i="1" s="1"/>
  <c r="F2535" i="1"/>
  <c r="I2535" i="1" s="1"/>
  <c r="F2536" i="1"/>
  <c r="I2536" i="1" s="1"/>
  <c r="F2537" i="1"/>
  <c r="I2537" i="1" s="1"/>
  <c r="F2538" i="1"/>
  <c r="I2538" i="1" s="1"/>
  <c r="F2539" i="1"/>
  <c r="I2539" i="1" s="1"/>
  <c r="F2540" i="1"/>
  <c r="I2540" i="1" s="1"/>
  <c r="F2541" i="1"/>
  <c r="I2541" i="1" s="1"/>
  <c r="F2542" i="1"/>
  <c r="I2542" i="1" s="1"/>
  <c r="F2543" i="1"/>
  <c r="I2543" i="1" s="1"/>
  <c r="F2544" i="1"/>
  <c r="I2544" i="1" s="1"/>
  <c r="F2545" i="1"/>
  <c r="I2545" i="1" s="1"/>
  <c r="F2546" i="1"/>
  <c r="I2546" i="1" s="1"/>
  <c r="F2547" i="1"/>
  <c r="I2547" i="1" s="1"/>
  <c r="F2548" i="1"/>
  <c r="I2548" i="1" s="1"/>
  <c r="F2549" i="1"/>
  <c r="I2549" i="1" s="1"/>
  <c r="F2550" i="1"/>
  <c r="I2550" i="1" s="1"/>
  <c r="F2551" i="1"/>
  <c r="F2552" i="1"/>
  <c r="F2553" i="1"/>
  <c r="I2553" i="1" s="1"/>
  <c r="F2554" i="1"/>
  <c r="I2554" i="1" s="1"/>
  <c r="F2555" i="1"/>
  <c r="I2555" i="1" s="1"/>
  <c r="F2556" i="1"/>
  <c r="I2556" i="1" s="1"/>
  <c r="F2557" i="1"/>
  <c r="I2557" i="1" s="1"/>
  <c r="F2558" i="1"/>
  <c r="I2558" i="1" s="1"/>
  <c r="F2559" i="1"/>
  <c r="I2559" i="1" s="1"/>
  <c r="F2560" i="1"/>
  <c r="I2560" i="1" s="1"/>
  <c r="F2561" i="1"/>
  <c r="I2561" i="1" s="1"/>
  <c r="F2562" i="1"/>
  <c r="I2562" i="1" s="1"/>
  <c r="F2563" i="1"/>
  <c r="F2564" i="1"/>
  <c r="F2565" i="1"/>
  <c r="I2565" i="1" s="1"/>
  <c r="F2566" i="1"/>
  <c r="I2566" i="1" s="1"/>
  <c r="F2567" i="1"/>
  <c r="I2567" i="1" s="1"/>
  <c r="F2568" i="1"/>
  <c r="I2568" i="1" s="1"/>
  <c r="F2569" i="1"/>
  <c r="I2569" i="1" s="1"/>
  <c r="F2570" i="1"/>
  <c r="I2570" i="1" s="1"/>
  <c r="F2571" i="1"/>
  <c r="I2571" i="1" s="1"/>
  <c r="F2572" i="1"/>
  <c r="I2572" i="1" s="1"/>
  <c r="F2573" i="1"/>
  <c r="I2573" i="1" s="1"/>
  <c r="F2574" i="1"/>
  <c r="I2574" i="1" s="1"/>
  <c r="F2575" i="1"/>
  <c r="I2575" i="1" s="1"/>
  <c r="F2576" i="1"/>
  <c r="F2577" i="1"/>
  <c r="I2577" i="1" s="1"/>
  <c r="F2578" i="1"/>
  <c r="I2578" i="1" s="1"/>
  <c r="F2579" i="1"/>
  <c r="I2579" i="1" s="1"/>
  <c r="F2580" i="1"/>
  <c r="I2580" i="1" s="1"/>
  <c r="F2581" i="1"/>
  <c r="I2581" i="1" s="1"/>
  <c r="F2582" i="1"/>
  <c r="I2582" i="1" s="1"/>
  <c r="F2583" i="1"/>
  <c r="I2583" i="1" s="1"/>
  <c r="F2584" i="1"/>
  <c r="I2584" i="1" s="1"/>
  <c r="F2585" i="1"/>
  <c r="I2585" i="1" s="1"/>
  <c r="F2586" i="1"/>
  <c r="I2586" i="1" s="1"/>
  <c r="F2587" i="1"/>
  <c r="I2587" i="1" s="1"/>
  <c r="F2588" i="1"/>
  <c r="F2589" i="1"/>
  <c r="I2589" i="1" s="1"/>
  <c r="F2590" i="1"/>
  <c r="I2590" i="1" s="1"/>
  <c r="F2591" i="1"/>
  <c r="I2591" i="1" s="1"/>
  <c r="F2592" i="1"/>
  <c r="I2592" i="1" s="1"/>
  <c r="F2593" i="1"/>
  <c r="I2593" i="1" s="1"/>
  <c r="F2594" i="1"/>
  <c r="I2594" i="1" s="1"/>
  <c r="F2595" i="1"/>
  <c r="I2595" i="1" s="1"/>
  <c r="F2596" i="1"/>
  <c r="I2596" i="1" s="1"/>
  <c r="F2597" i="1"/>
  <c r="I2597" i="1" s="1"/>
  <c r="F2598" i="1"/>
  <c r="I2598" i="1" s="1"/>
  <c r="F2599" i="1"/>
  <c r="I2599" i="1" s="1"/>
  <c r="F2600" i="1"/>
  <c r="F2601" i="1"/>
  <c r="I2601" i="1" s="1"/>
  <c r="F2602" i="1"/>
  <c r="I2602" i="1" s="1"/>
  <c r="F2603" i="1"/>
  <c r="I2603" i="1" s="1"/>
  <c r="F2604" i="1"/>
  <c r="I2604" i="1" s="1"/>
  <c r="F2605" i="1"/>
  <c r="I2605" i="1" s="1"/>
  <c r="F2606" i="1"/>
  <c r="I2606" i="1" s="1"/>
  <c r="F2607" i="1"/>
  <c r="I2607" i="1" s="1"/>
  <c r="F2608" i="1"/>
  <c r="I2608" i="1" s="1"/>
  <c r="F2609" i="1"/>
  <c r="I2609" i="1" s="1"/>
  <c r="F2610" i="1"/>
  <c r="I2610" i="1" s="1"/>
  <c r="F2611" i="1"/>
  <c r="I2611" i="1" s="1"/>
  <c r="F2612" i="1"/>
  <c r="F2613" i="1"/>
  <c r="I2613" i="1" s="1"/>
  <c r="F2614" i="1"/>
  <c r="I2614" i="1" s="1"/>
  <c r="F2615" i="1"/>
  <c r="I2615" i="1" s="1"/>
  <c r="F2616" i="1"/>
  <c r="I2616" i="1" s="1"/>
  <c r="F2617" i="1"/>
  <c r="I2617" i="1" s="1"/>
  <c r="F2618" i="1"/>
  <c r="I2618" i="1" s="1"/>
  <c r="F2619" i="1"/>
  <c r="I2619" i="1" s="1"/>
  <c r="F2620" i="1"/>
  <c r="I2620" i="1" s="1"/>
  <c r="F2621" i="1"/>
  <c r="I2621" i="1" s="1"/>
  <c r="F2622" i="1"/>
  <c r="I2622" i="1" s="1"/>
  <c r="F2623" i="1"/>
  <c r="I2623" i="1" s="1"/>
  <c r="F2624" i="1"/>
  <c r="F2625" i="1"/>
  <c r="I2625" i="1" s="1"/>
  <c r="F2626" i="1"/>
  <c r="I2626" i="1" s="1"/>
  <c r="F2627" i="1"/>
  <c r="I2627" i="1" s="1"/>
  <c r="F2628" i="1"/>
  <c r="I2628" i="1" s="1"/>
  <c r="F2629" i="1"/>
  <c r="I2629" i="1" s="1"/>
  <c r="F2630" i="1"/>
  <c r="I2630" i="1" s="1"/>
  <c r="F2631" i="1"/>
  <c r="I2631" i="1" s="1"/>
  <c r="F2632" i="1"/>
  <c r="I2632" i="1" s="1"/>
  <c r="F2633" i="1"/>
  <c r="I2633" i="1" s="1"/>
  <c r="F2634" i="1"/>
  <c r="I2634" i="1" s="1"/>
  <c r="F2635" i="1"/>
  <c r="I2635" i="1" s="1"/>
  <c r="F2636" i="1"/>
  <c r="F2637" i="1"/>
  <c r="I2637" i="1" s="1"/>
  <c r="F2638" i="1"/>
  <c r="I2638" i="1" s="1"/>
  <c r="F2639" i="1"/>
  <c r="I2639" i="1" s="1"/>
  <c r="F2640" i="1"/>
  <c r="I2640" i="1" s="1"/>
  <c r="F2641" i="1"/>
  <c r="I2641" i="1" s="1"/>
  <c r="F2642" i="1"/>
  <c r="I2642" i="1" s="1"/>
  <c r="F2643" i="1"/>
  <c r="I2643" i="1" s="1"/>
  <c r="F2644" i="1"/>
  <c r="I2644" i="1" s="1"/>
  <c r="F2645" i="1"/>
  <c r="I2645" i="1" s="1"/>
  <c r="F2646" i="1"/>
  <c r="I2646" i="1" s="1"/>
  <c r="F2647" i="1"/>
  <c r="I2647" i="1" s="1"/>
  <c r="F2648" i="1"/>
  <c r="F2649" i="1"/>
  <c r="I2649" i="1" s="1"/>
  <c r="F2650" i="1"/>
  <c r="I2650" i="1" s="1"/>
  <c r="F2651" i="1"/>
  <c r="I2651" i="1" s="1"/>
  <c r="F2652" i="1"/>
  <c r="I2652" i="1" s="1"/>
  <c r="F2653" i="1"/>
  <c r="I2653" i="1" s="1"/>
  <c r="F2654" i="1"/>
  <c r="I2654" i="1" s="1"/>
  <c r="F2655" i="1"/>
  <c r="I2655" i="1" s="1"/>
  <c r="F2656" i="1"/>
  <c r="I2656" i="1" s="1"/>
  <c r="F2657" i="1"/>
  <c r="I2657" i="1" s="1"/>
  <c r="F2658" i="1"/>
  <c r="I2658" i="1" s="1"/>
  <c r="F2659" i="1"/>
  <c r="I2659" i="1" s="1"/>
  <c r="F2660" i="1"/>
  <c r="F2661" i="1"/>
  <c r="I2661" i="1" s="1"/>
  <c r="F2662" i="1"/>
  <c r="I2662" i="1" s="1"/>
  <c r="F2663" i="1"/>
  <c r="I2663" i="1" s="1"/>
  <c r="F2664" i="1"/>
  <c r="I2664" i="1" s="1"/>
  <c r="F2665" i="1"/>
  <c r="I2665" i="1" s="1"/>
  <c r="F2666" i="1"/>
  <c r="I2666" i="1" s="1"/>
  <c r="F2667" i="1"/>
  <c r="I2667" i="1" s="1"/>
  <c r="F2668" i="1"/>
  <c r="I2668" i="1" s="1"/>
  <c r="F2669" i="1"/>
  <c r="I2669" i="1" s="1"/>
  <c r="F2670" i="1"/>
  <c r="I2670" i="1" s="1"/>
  <c r="F2671" i="1"/>
  <c r="I2671" i="1" s="1"/>
  <c r="F2672" i="1"/>
  <c r="F2673" i="1"/>
  <c r="I2673" i="1" s="1"/>
  <c r="F2674" i="1"/>
  <c r="I2674" i="1" s="1"/>
  <c r="F2675" i="1"/>
  <c r="I2675" i="1" s="1"/>
  <c r="F2676" i="1"/>
  <c r="I2676" i="1" s="1"/>
  <c r="F2677" i="1"/>
  <c r="I2677" i="1" s="1"/>
  <c r="F2678" i="1"/>
  <c r="I2678" i="1" s="1"/>
  <c r="F2679" i="1"/>
  <c r="I2679" i="1" s="1"/>
  <c r="F2680" i="1"/>
  <c r="I2680" i="1" s="1"/>
  <c r="F2681" i="1"/>
  <c r="I2681" i="1" s="1"/>
  <c r="F2682" i="1"/>
  <c r="I2682" i="1" s="1"/>
  <c r="F2683" i="1"/>
  <c r="I2683" i="1" s="1"/>
  <c r="F2684" i="1"/>
  <c r="F2685" i="1"/>
  <c r="I2685" i="1" s="1"/>
  <c r="F2686" i="1"/>
  <c r="I2686" i="1" s="1"/>
  <c r="F2687" i="1"/>
  <c r="I2687" i="1" s="1"/>
  <c r="F2688" i="1"/>
  <c r="I2688" i="1" s="1"/>
  <c r="F2689" i="1"/>
  <c r="I2689" i="1" s="1"/>
  <c r="F2690" i="1"/>
  <c r="I2690" i="1" s="1"/>
  <c r="F2691" i="1"/>
  <c r="I2691" i="1" s="1"/>
  <c r="F2692" i="1"/>
  <c r="I2692" i="1" s="1"/>
  <c r="F2693" i="1"/>
  <c r="I2693" i="1" s="1"/>
  <c r="F2694" i="1"/>
  <c r="I2694" i="1" s="1"/>
  <c r="F2695" i="1"/>
  <c r="I2695" i="1" s="1"/>
  <c r="F2696" i="1"/>
  <c r="F2697" i="1"/>
  <c r="I2697" i="1" s="1"/>
  <c r="F2698" i="1"/>
  <c r="I2698" i="1" s="1"/>
  <c r="F2699" i="1"/>
  <c r="I2699" i="1" s="1"/>
  <c r="F2700" i="1"/>
  <c r="I2700" i="1" s="1"/>
  <c r="F2701" i="1"/>
  <c r="I2701" i="1" s="1"/>
  <c r="F2702" i="1"/>
  <c r="I2702" i="1" s="1"/>
  <c r="F2703" i="1"/>
  <c r="I2703" i="1" s="1"/>
  <c r="F2704" i="1"/>
  <c r="I2704" i="1" s="1"/>
  <c r="F2705" i="1"/>
  <c r="I2705" i="1" s="1"/>
  <c r="F2706" i="1"/>
  <c r="I2706" i="1" s="1"/>
  <c r="F2707" i="1"/>
  <c r="I2707" i="1" s="1"/>
  <c r="F2708" i="1"/>
  <c r="F2709" i="1"/>
  <c r="I2709" i="1" s="1"/>
  <c r="F2710" i="1"/>
  <c r="I2710" i="1" s="1"/>
  <c r="F2711" i="1"/>
  <c r="I2711" i="1" s="1"/>
  <c r="F2712" i="1"/>
  <c r="I2712" i="1" s="1"/>
  <c r="F2713" i="1"/>
  <c r="I2713" i="1" s="1"/>
  <c r="F2714" i="1"/>
  <c r="I2714" i="1" s="1"/>
  <c r="F2715" i="1"/>
  <c r="I2715" i="1" s="1"/>
  <c r="F2716" i="1"/>
  <c r="I2716" i="1" s="1"/>
  <c r="F2717" i="1"/>
  <c r="I2717" i="1" s="1"/>
  <c r="F2718" i="1"/>
  <c r="I2718" i="1" s="1"/>
  <c r="F2719" i="1"/>
  <c r="I2719" i="1" s="1"/>
  <c r="F2720" i="1"/>
  <c r="F2721" i="1"/>
  <c r="I2721" i="1" s="1"/>
  <c r="F2722" i="1"/>
  <c r="I2722" i="1" s="1"/>
  <c r="F2723" i="1"/>
  <c r="I2723" i="1" s="1"/>
  <c r="F2724" i="1"/>
  <c r="I2724" i="1" s="1"/>
  <c r="F2725" i="1"/>
  <c r="I2725" i="1" s="1"/>
  <c r="F2726" i="1"/>
  <c r="I2726" i="1" s="1"/>
  <c r="F2727" i="1"/>
  <c r="I2727" i="1" s="1"/>
  <c r="F2728" i="1"/>
  <c r="I2728" i="1" s="1"/>
  <c r="F2729" i="1"/>
  <c r="I2729" i="1" s="1"/>
  <c r="F2730" i="1"/>
  <c r="I2730" i="1" s="1"/>
  <c r="F2731" i="1"/>
  <c r="I2731" i="1" s="1"/>
  <c r="F2732" i="1"/>
  <c r="F2733" i="1"/>
  <c r="I2733" i="1" s="1"/>
  <c r="F2734" i="1"/>
  <c r="I2734" i="1" s="1"/>
  <c r="F2735" i="1"/>
  <c r="I2735" i="1" s="1"/>
  <c r="F2736" i="1"/>
  <c r="I2736" i="1" s="1"/>
  <c r="F2737" i="1"/>
  <c r="I2737" i="1" s="1"/>
  <c r="F2738" i="1"/>
  <c r="I2738" i="1" s="1"/>
  <c r="F2739" i="1"/>
  <c r="I2739" i="1" s="1"/>
  <c r="F2740" i="1"/>
  <c r="I2740" i="1" s="1"/>
  <c r="F2741" i="1"/>
  <c r="I2741" i="1" s="1"/>
  <c r="F2742" i="1"/>
  <c r="I2742" i="1" s="1"/>
  <c r="F2743" i="1"/>
  <c r="I2743" i="1" s="1"/>
  <c r="F2744" i="1"/>
  <c r="F2745" i="1"/>
  <c r="I2745" i="1" s="1"/>
  <c r="F2746" i="1"/>
  <c r="I2746" i="1" s="1"/>
  <c r="F2747" i="1"/>
  <c r="I2747" i="1" s="1"/>
  <c r="F2748" i="1"/>
  <c r="I2748" i="1" s="1"/>
  <c r="F2749" i="1"/>
  <c r="I2749" i="1" s="1"/>
  <c r="F2750" i="1"/>
  <c r="I2750" i="1" s="1"/>
  <c r="F2751" i="1"/>
  <c r="I2751" i="1" s="1"/>
  <c r="F2752" i="1"/>
  <c r="I2752" i="1" s="1"/>
  <c r="F2753" i="1"/>
  <c r="I2753" i="1" s="1"/>
  <c r="F2754" i="1"/>
  <c r="I2754" i="1" s="1"/>
  <c r="F2755" i="1"/>
  <c r="I2755" i="1" s="1"/>
  <c r="F2756" i="1"/>
  <c r="F2757" i="1"/>
  <c r="I2757" i="1" s="1"/>
  <c r="F2758" i="1"/>
  <c r="I2758" i="1" s="1"/>
  <c r="F2759" i="1"/>
  <c r="I2759" i="1" s="1"/>
  <c r="F2760" i="1"/>
  <c r="I2760" i="1" s="1"/>
  <c r="F2761" i="1"/>
  <c r="I2761" i="1" s="1"/>
  <c r="F2762" i="1"/>
  <c r="I2762" i="1" s="1"/>
  <c r="F2763" i="1"/>
  <c r="I2763" i="1" s="1"/>
  <c r="F2764" i="1"/>
  <c r="I2764" i="1" s="1"/>
  <c r="F2765" i="1"/>
  <c r="I2765" i="1" s="1"/>
  <c r="F2766" i="1"/>
  <c r="I2766" i="1" s="1"/>
  <c r="F2767" i="1"/>
  <c r="I2767" i="1" s="1"/>
  <c r="F2768" i="1"/>
  <c r="F2769" i="1"/>
  <c r="I2769" i="1" s="1"/>
  <c r="F2770" i="1"/>
  <c r="I2770" i="1" s="1"/>
  <c r="F2771" i="1"/>
  <c r="I2771" i="1" s="1"/>
  <c r="F2772" i="1"/>
  <c r="I2772" i="1" s="1"/>
  <c r="F2773" i="1"/>
  <c r="I2773" i="1" s="1"/>
  <c r="F2774" i="1"/>
  <c r="I2774" i="1" s="1"/>
  <c r="F2775" i="1"/>
  <c r="I2775" i="1" s="1"/>
  <c r="F2776" i="1"/>
  <c r="I2776" i="1" s="1"/>
  <c r="F2777" i="1"/>
  <c r="I2777" i="1" s="1"/>
  <c r="F2778" i="1"/>
  <c r="I2778" i="1" s="1"/>
  <c r="F2779" i="1"/>
  <c r="I2779" i="1" s="1"/>
  <c r="F2780" i="1"/>
  <c r="F2781" i="1"/>
  <c r="I2781" i="1" s="1"/>
  <c r="F2782" i="1"/>
  <c r="I2782" i="1" s="1"/>
  <c r="F2783" i="1"/>
  <c r="I2783" i="1" s="1"/>
  <c r="F2784" i="1"/>
  <c r="I2784" i="1" s="1"/>
  <c r="F2785" i="1"/>
  <c r="I2785" i="1" s="1"/>
  <c r="F2786" i="1"/>
  <c r="I2786" i="1" s="1"/>
  <c r="F2787" i="1"/>
  <c r="I2787" i="1" s="1"/>
  <c r="F2788" i="1"/>
  <c r="I2788" i="1" s="1"/>
  <c r="F2789" i="1"/>
  <c r="I2789" i="1" s="1"/>
  <c r="F2790" i="1"/>
  <c r="I2790" i="1" s="1"/>
  <c r="F2791" i="1"/>
  <c r="I2791" i="1" s="1"/>
  <c r="F2792" i="1"/>
  <c r="F2793" i="1"/>
  <c r="I2793" i="1" s="1"/>
  <c r="F2794" i="1"/>
  <c r="I2794" i="1" s="1"/>
  <c r="F2795" i="1"/>
  <c r="I2795" i="1" s="1"/>
  <c r="F2796" i="1"/>
  <c r="I2796" i="1" s="1"/>
  <c r="F2797" i="1"/>
  <c r="I2797" i="1" s="1"/>
  <c r="F2798" i="1"/>
  <c r="I2798" i="1" s="1"/>
  <c r="F2799" i="1"/>
  <c r="I2799" i="1" s="1"/>
  <c r="F2800" i="1"/>
  <c r="I2800" i="1" s="1"/>
  <c r="F2801" i="1"/>
  <c r="I2801" i="1" s="1"/>
  <c r="F2802" i="1"/>
  <c r="I2802" i="1" s="1"/>
  <c r="F2803" i="1"/>
  <c r="I2803" i="1" s="1"/>
  <c r="F2804" i="1"/>
  <c r="F2805" i="1"/>
  <c r="I2805" i="1" s="1"/>
  <c r="F2806" i="1"/>
  <c r="I2806" i="1" s="1"/>
  <c r="F2807" i="1"/>
  <c r="I2807" i="1" s="1"/>
  <c r="F2808" i="1"/>
  <c r="I2808" i="1" s="1"/>
  <c r="F2809" i="1"/>
  <c r="I2809" i="1" s="1"/>
  <c r="F2810" i="1"/>
  <c r="I2810" i="1" s="1"/>
  <c r="F2811" i="1"/>
  <c r="I2811" i="1" s="1"/>
  <c r="F2812" i="1"/>
  <c r="I2812" i="1" s="1"/>
  <c r="F2813" i="1"/>
  <c r="I2813" i="1" s="1"/>
  <c r="F2814" i="1"/>
  <c r="I2814" i="1" s="1"/>
  <c r="F2815" i="1"/>
  <c r="I2815" i="1" s="1"/>
  <c r="F2816" i="1"/>
  <c r="F2817" i="1"/>
  <c r="I2817" i="1" s="1"/>
  <c r="F2818" i="1"/>
  <c r="I2818" i="1" s="1"/>
  <c r="F2819" i="1"/>
  <c r="I2819" i="1" s="1"/>
  <c r="F2820" i="1"/>
  <c r="I2820" i="1" s="1"/>
  <c r="F2821" i="1"/>
  <c r="I2821" i="1" s="1"/>
  <c r="F2822" i="1"/>
  <c r="I2822" i="1" s="1"/>
  <c r="F2823" i="1"/>
  <c r="I2823" i="1" s="1"/>
  <c r="F2824" i="1"/>
  <c r="I2824" i="1" s="1"/>
  <c r="F2825" i="1"/>
  <c r="I2825" i="1" s="1"/>
  <c r="F2826" i="1"/>
  <c r="I2826" i="1" s="1"/>
  <c r="F2827" i="1"/>
  <c r="I2827" i="1" s="1"/>
  <c r="F2828" i="1"/>
  <c r="F2829" i="1"/>
  <c r="I2829" i="1" s="1"/>
  <c r="F2830" i="1"/>
  <c r="I2830" i="1" s="1"/>
  <c r="F2831" i="1"/>
  <c r="I2831" i="1" s="1"/>
  <c r="F2832" i="1"/>
  <c r="I2832" i="1" s="1"/>
  <c r="F2833" i="1"/>
  <c r="I2833" i="1" s="1"/>
  <c r="F2834" i="1"/>
  <c r="I2834" i="1" s="1"/>
  <c r="F2835" i="1"/>
  <c r="I2835" i="1" s="1"/>
  <c r="F2836" i="1"/>
  <c r="I2836" i="1" s="1"/>
  <c r="F2837" i="1"/>
  <c r="I2837" i="1" s="1"/>
  <c r="F2838" i="1"/>
  <c r="I2838" i="1" s="1"/>
  <c r="F2839" i="1"/>
  <c r="I2839" i="1" s="1"/>
  <c r="F2840" i="1"/>
  <c r="F2841" i="1"/>
  <c r="I2841" i="1" s="1"/>
  <c r="F2842" i="1"/>
  <c r="I2842" i="1" s="1"/>
  <c r="F2843" i="1"/>
  <c r="I2843" i="1" s="1"/>
  <c r="F2844" i="1"/>
  <c r="I2844" i="1" s="1"/>
  <c r="F2845" i="1"/>
  <c r="I2845" i="1" s="1"/>
  <c r="F2846" i="1"/>
  <c r="I2846" i="1" s="1"/>
  <c r="F2847" i="1"/>
  <c r="I2847" i="1" s="1"/>
  <c r="F2848" i="1"/>
  <c r="I2848" i="1" s="1"/>
  <c r="F2849" i="1"/>
  <c r="I2849" i="1" s="1"/>
  <c r="F2850" i="1"/>
  <c r="I2850" i="1" s="1"/>
  <c r="F2851" i="1"/>
  <c r="I2851" i="1" s="1"/>
  <c r="F2852" i="1"/>
  <c r="F2853" i="1"/>
  <c r="I2853" i="1" s="1"/>
  <c r="F2854" i="1"/>
  <c r="I2854" i="1" s="1"/>
  <c r="F2855" i="1"/>
  <c r="I2855" i="1" s="1"/>
  <c r="F2856" i="1"/>
  <c r="I2856" i="1" s="1"/>
  <c r="F2857" i="1"/>
  <c r="I2857" i="1" s="1"/>
  <c r="F2858" i="1"/>
  <c r="I2858" i="1" s="1"/>
  <c r="F2859" i="1"/>
  <c r="I2859" i="1" s="1"/>
  <c r="F2860" i="1"/>
  <c r="I2860" i="1" s="1"/>
  <c r="F2861" i="1"/>
  <c r="I2861" i="1" s="1"/>
  <c r="F2862" i="1"/>
  <c r="I2862" i="1" s="1"/>
  <c r="F2863" i="1"/>
  <c r="I2863" i="1" s="1"/>
  <c r="F2864" i="1"/>
  <c r="F2865" i="1"/>
  <c r="I2865" i="1" s="1"/>
  <c r="F2866" i="1"/>
  <c r="I2866" i="1" s="1"/>
  <c r="F2867" i="1"/>
  <c r="I2867" i="1" s="1"/>
  <c r="F2868" i="1"/>
  <c r="I2868" i="1" s="1"/>
  <c r="F2869" i="1"/>
  <c r="I2869" i="1" s="1"/>
  <c r="F2870" i="1"/>
  <c r="I2870" i="1" s="1"/>
  <c r="F2871" i="1"/>
  <c r="I2871" i="1" s="1"/>
  <c r="F2872" i="1"/>
  <c r="I2872" i="1" s="1"/>
  <c r="F2873" i="1"/>
  <c r="I2873" i="1" s="1"/>
  <c r="F2874" i="1"/>
  <c r="I2874" i="1" s="1"/>
  <c r="F2875" i="1"/>
  <c r="I2875" i="1" s="1"/>
  <c r="F2876" i="1"/>
  <c r="F2877" i="1"/>
  <c r="I2877" i="1" s="1"/>
  <c r="F2878" i="1"/>
  <c r="I2878" i="1" s="1"/>
  <c r="F2879" i="1"/>
  <c r="I2879" i="1" s="1"/>
  <c r="F2880" i="1"/>
  <c r="I2880" i="1" s="1"/>
  <c r="F2881" i="1"/>
  <c r="I2881" i="1" s="1"/>
  <c r="F2882" i="1"/>
  <c r="I2882" i="1" s="1"/>
  <c r="F2883" i="1"/>
  <c r="I2883" i="1" s="1"/>
  <c r="F2884" i="1"/>
  <c r="I2884" i="1" s="1"/>
  <c r="F2885" i="1"/>
  <c r="I2885" i="1" s="1"/>
  <c r="F2886" i="1"/>
  <c r="I2886" i="1" s="1"/>
  <c r="F2887" i="1"/>
  <c r="I2887" i="1" s="1"/>
  <c r="F2888" i="1"/>
  <c r="F2889" i="1"/>
  <c r="I2889" i="1" s="1"/>
  <c r="F2890" i="1"/>
  <c r="I2890" i="1" s="1"/>
  <c r="F2891" i="1"/>
  <c r="I2891" i="1" s="1"/>
  <c r="F2892" i="1"/>
  <c r="I2892" i="1" s="1"/>
  <c r="F2893" i="1"/>
  <c r="I2893" i="1" s="1"/>
  <c r="F2894" i="1"/>
  <c r="I2894" i="1" s="1"/>
  <c r="F2895" i="1"/>
  <c r="I2895" i="1" s="1"/>
  <c r="F2896" i="1"/>
  <c r="I2896" i="1" s="1"/>
  <c r="F2897" i="1"/>
  <c r="I2897" i="1" s="1"/>
  <c r="F2898" i="1"/>
  <c r="I2898" i="1" s="1"/>
  <c r="F2899" i="1"/>
  <c r="I2899" i="1" s="1"/>
  <c r="F2900" i="1"/>
  <c r="F2901" i="1"/>
  <c r="I2901" i="1" s="1"/>
  <c r="F2902" i="1"/>
  <c r="I2902" i="1" s="1"/>
  <c r="F2903" i="1"/>
  <c r="I2903" i="1" s="1"/>
  <c r="F2904" i="1"/>
  <c r="I2904" i="1" s="1"/>
  <c r="F2905" i="1"/>
  <c r="I2905" i="1" s="1"/>
  <c r="F2906" i="1"/>
  <c r="I2906" i="1" s="1"/>
  <c r="F2907" i="1"/>
  <c r="I2907" i="1" s="1"/>
  <c r="F2908" i="1"/>
  <c r="I2908" i="1" s="1"/>
  <c r="F2909" i="1"/>
  <c r="I2909" i="1" s="1"/>
  <c r="F2910" i="1"/>
  <c r="I2910" i="1" s="1"/>
  <c r="F2911" i="1"/>
  <c r="I2911" i="1" s="1"/>
  <c r="F2912" i="1"/>
  <c r="F2913" i="1"/>
  <c r="I2913" i="1" s="1"/>
  <c r="F2914" i="1"/>
  <c r="I2914" i="1" s="1"/>
  <c r="F2915" i="1"/>
  <c r="I2915" i="1" s="1"/>
  <c r="F2916" i="1"/>
  <c r="I2916" i="1" s="1"/>
  <c r="F2917" i="1"/>
  <c r="I2917" i="1" s="1"/>
  <c r="F2918" i="1"/>
  <c r="I2918" i="1" s="1"/>
  <c r="F2919" i="1"/>
  <c r="I2919" i="1" s="1"/>
  <c r="F2920" i="1"/>
  <c r="I2920" i="1" s="1"/>
  <c r="F2921" i="1"/>
  <c r="I2921" i="1" s="1"/>
  <c r="F2922" i="1"/>
  <c r="I2922" i="1" s="1"/>
  <c r="F2923" i="1"/>
  <c r="I2923" i="1" s="1"/>
  <c r="F2924" i="1"/>
  <c r="F2925" i="1"/>
  <c r="I2925" i="1" s="1"/>
  <c r="F2926" i="1"/>
  <c r="I2926" i="1" s="1"/>
  <c r="F2927" i="1"/>
  <c r="I2927" i="1" s="1"/>
  <c r="F2928" i="1"/>
  <c r="I2928" i="1" s="1"/>
  <c r="F2929" i="1"/>
  <c r="I2929" i="1" s="1"/>
  <c r="F2930" i="1"/>
  <c r="I2930" i="1" s="1"/>
  <c r="F2931" i="1"/>
  <c r="I2931" i="1" s="1"/>
  <c r="F2932" i="1"/>
  <c r="I2932" i="1" s="1"/>
  <c r="F2933" i="1"/>
  <c r="I2933" i="1" s="1"/>
  <c r="F2934" i="1"/>
  <c r="I2934" i="1" s="1"/>
  <c r="F2935" i="1"/>
  <c r="I2935" i="1" s="1"/>
  <c r="F2936" i="1"/>
  <c r="F2937" i="1"/>
  <c r="I2937" i="1" s="1"/>
  <c r="F2938" i="1"/>
  <c r="I2938" i="1" s="1"/>
  <c r="F2939" i="1"/>
  <c r="I2939" i="1" s="1"/>
  <c r="F2940" i="1"/>
  <c r="I2940" i="1" s="1"/>
  <c r="F2941" i="1"/>
  <c r="I2941" i="1" s="1"/>
  <c r="F2942" i="1"/>
  <c r="I2942" i="1" s="1"/>
  <c r="F2943" i="1"/>
  <c r="I2943" i="1" s="1"/>
  <c r="F2944" i="1"/>
  <c r="I2944" i="1" s="1"/>
  <c r="F2945" i="1"/>
  <c r="I2945" i="1" s="1"/>
  <c r="F2946" i="1"/>
  <c r="I2946" i="1" s="1"/>
  <c r="F2947" i="1"/>
  <c r="I2947" i="1" s="1"/>
  <c r="F2948" i="1"/>
  <c r="F2949" i="1"/>
  <c r="I2949" i="1" s="1"/>
  <c r="F2950" i="1"/>
  <c r="I2950" i="1" s="1"/>
  <c r="F2951" i="1"/>
  <c r="I2951" i="1" s="1"/>
  <c r="F2952" i="1"/>
  <c r="I2952" i="1" s="1"/>
  <c r="F2953" i="1"/>
  <c r="I2953" i="1" s="1"/>
  <c r="F2954" i="1"/>
  <c r="I2954" i="1" s="1"/>
  <c r="F2955" i="1"/>
  <c r="I2955" i="1" s="1"/>
  <c r="F2956" i="1"/>
  <c r="I2956" i="1" s="1"/>
  <c r="F2957" i="1"/>
  <c r="I2957" i="1" s="1"/>
  <c r="F2958" i="1"/>
  <c r="I2958" i="1" s="1"/>
  <c r="F2959" i="1"/>
  <c r="I2959" i="1" s="1"/>
  <c r="F2960" i="1"/>
  <c r="F2961" i="1"/>
  <c r="I2961" i="1" s="1"/>
  <c r="F2962" i="1"/>
  <c r="I2962" i="1" s="1"/>
  <c r="F2963" i="1"/>
  <c r="I2963" i="1" s="1"/>
  <c r="F2964" i="1"/>
  <c r="I2964" i="1" s="1"/>
  <c r="F2965" i="1"/>
  <c r="I2965" i="1" s="1"/>
  <c r="F2966" i="1"/>
  <c r="I2966" i="1" s="1"/>
  <c r="F2967" i="1"/>
  <c r="I2967" i="1" s="1"/>
  <c r="F2968" i="1"/>
  <c r="I2968" i="1" s="1"/>
  <c r="F2969" i="1"/>
  <c r="I2969" i="1" s="1"/>
  <c r="F2970" i="1"/>
  <c r="F2971" i="1"/>
  <c r="I2971" i="1" s="1"/>
  <c r="F2972" i="1"/>
  <c r="F2973" i="1"/>
  <c r="I2973" i="1" s="1"/>
  <c r="F2974" i="1"/>
  <c r="I2974" i="1" s="1"/>
  <c r="F2975" i="1"/>
  <c r="I2975" i="1" s="1"/>
  <c r="F2976" i="1"/>
  <c r="I2976" i="1" s="1"/>
  <c r="F2977" i="1"/>
  <c r="I2977" i="1" s="1"/>
  <c r="F2978" i="1"/>
  <c r="I2978" i="1" s="1"/>
  <c r="F2979" i="1"/>
  <c r="I2979" i="1" s="1"/>
  <c r="F2980" i="1"/>
  <c r="I2980" i="1" s="1"/>
  <c r="F2981" i="1"/>
  <c r="I2981" i="1" s="1"/>
  <c r="F2982" i="1"/>
  <c r="I2982" i="1" s="1"/>
  <c r="F2983" i="1"/>
  <c r="I2983" i="1" s="1"/>
  <c r="F2984" i="1"/>
  <c r="F2985" i="1"/>
  <c r="I2985" i="1" s="1"/>
  <c r="F2986" i="1"/>
  <c r="I2986" i="1" s="1"/>
  <c r="F2987" i="1"/>
  <c r="I2987" i="1" s="1"/>
  <c r="F2988" i="1"/>
  <c r="I2988" i="1" s="1"/>
  <c r="F2989" i="1"/>
  <c r="I2989" i="1" s="1"/>
  <c r="F2990" i="1"/>
  <c r="I2990" i="1" s="1"/>
  <c r="F2991" i="1"/>
  <c r="I2991" i="1" s="1"/>
  <c r="F2992" i="1"/>
  <c r="I2992" i="1" s="1"/>
  <c r="F2993" i="1"/>
  <c r="I2993" i="1" s="1"/>
  <c r="F2994" i="1"/>
  <c r="I2994" i="1" s="1"/>
  <c r="F2995" i="1"/>
  <c r="I2995" i="1" s="1"/>
  <c r="F2996" i="1"/>
  <c r="F2997" i="1"/>
  <c r="I2997" i="1" s="1"/>
  <c r="F2998" i="1"/>
  <c r="I2998" i="1" s="1"/>
  <c r="F2999" i="1"/>
  <c r="I2999" i="1" s="1"/>
  <c r="F3000" i="1"/>
  <c r="I3000" i="1" s="1"/>
  <c r="F3001" i="1"/>
  <c r="I3001" i="1" s="1"/>
  <c r="F3002" i="1"/>
  <c r="I3002" i="1" s="1"/>
  <c r="F3003" i="1"/>
  <c r="I3003" i="1" s="1"/>
  <c r="F3004" i="1"/>
  <c r="I3004" i="1" s="1"/>
  <c r="F3005" i="1"/>
  <c r="I3005" i="1" s="1"/>
  <c r="F3006" i="1"/>
  <c r="I3006" i="1" s="1"/>
  <c r="F3007" i="1"/>
  <c r="I3007" i="1" s="1"/>
  <c r="F3008" i="1"/>
  <c r="F3009" i="1"/>
  <c r="I3009" i="1" s="1"/>
  <c r="F3010" i="1"/>
  <c r="I3010" i="1" s="1"/>
  <c r="F3011" i="1"/>
  <c r="I3011" i="1" s="1"/>
  <c r="F3012" i="1"/>
  <c r="I3012" i="1" s="1"/>
  <c r="F3013" i="1"/>
  <c r="I3013" i="1" s="1"/>
  <c r="F3014" i="1"/>
  <c r="I3014" i="1" s="1"/>
  <c r="F3015" i="1"/>
  <c r="I3015" i="1" s="1"/>
  <c r="F3016" i="1"/>
  <c r="I3016" i="1" s="1"/>
  <c r="F3017" i="1"/>
  <c r="I3017" i="1" s="1"/>
  <c r="F3018" i="1"/>
  <c r="I3018" i="1" s="1"/>
  <c r="F3019" i="1"/>
  <c r="I3019" i="1" s="1"/>
  <c r="F3020" i="1"/>
  <c r="F3021" i="1"/>
  <c r="I3021" i="1" s="1"/>
  <c r="F3022" i="1"/>
  <c r="I3022" i="1" s="1"/>
  <c r="F3023" i="1"/>
  <c r="I3023" i="1" s="1"/>
  <c r="F3024" i="1"/>
  <c r="I3024" i="1" s="1"/>
  <c r="F3025" i="1"/>
  <c r="I3025" i="1" s="1"/>
  <c r="F2522" i="1"/>
  <c r="I2522" i="1" s="1"/>
  <c r="F2019" i="1"/>
  <c r="I2019" i="1" s="1"/>
  <c r="F2020" i="1"/>
  <c r="I2020" i="1" s="1"/>
  <c r="F2021" i="1"/>
  <c r="I2021" i="1" s="1"/>
  <c r="F2022" i="1"/>
  <c r="F2023" i="1"/>
  <c r="F2024" i="1"/>
  <c r="I2024" i="1" s="1"/>
  <c r="F2025" i="1"/>
  <c r="I2025" i="1" s="1"/>
  <c r="F2026" i="1"/>
  <c r="I2026" i="1" s="1"/>
  <c r="F2027" i="1"/>
  <c r="I2027" i="1" s="1"/>
  <c r="F2028" i="1"/>
  <c r="I2028" i="1" s="1"/>
  <c r="F2029" i="1"/>
  <c r="I2029" i="1" s="1"/>
  <c r="F2030" i="1"/>
  <c r="I2030" i="1" s="1"/>
  <c r="F2031" i="1"/>
  <c r="I2031" i="1" s="1"/>
  <c r="F2032" i="1"/>
  <c r="I2032" i="1" s="1"/>
  <c r="F2033" i="1"/>
  <c r="I2033" i="1" s="1"/>
  <c r="F2034" i="1"/>
  <c r="F2035" i="1"/>
  <c r="F2036" i="1"/>
  <c r="I2036" i="1" s="1"/>
  <c r="F2037" i="1"/>
  <c r="I2037" i="1" s="1"/>
  <c r="F2038" i="1"/>
  <c r="I2038" i="1" s="1"/>
  <c r="F2039" i="1"/>
  <c r="I2039" i="1" s="1"/>
  <c r="F2040" i="1"/>
  <c r="I2040" i="1" s="1"/>
  <c r="F2041" i="1"/>
  <c r="I2041" i="1" s="1"/>
  <c r="F2042" i="1"/>
  <c r="I2042" i="1" s="1"/>
  <c r="F2043" i="1"/>
  <c r="I2043" i="1" s="1"/>
  <c r="F2044" i="1"/>
  <c r="I2044" i="1" s="1"/>
  <c r="F2045" i="1"/>
  <c r="I2045" i="1" s="1"/>
  <c r="F2046" i="1"/>
  <c r="F2047" i="1"/>
  <c r="F2048" i="1"/>
  <c r="I2048" i="1" s="1"/>
  <c r="F2049" i="1"/>
  <c r="I2049" i="1" s="1"/>
  <c r="F2050" i="1"/>
  <c r="I2050" i="1" s="1"/>
  <c r="F2051" i="1"/>
  <c r="I2051" i="1" s="1"/>
  <c r="F2052" i="1"/>
  <c r="I2052" i="1" s="1"/>
  <c r="F2053" i="1"/>
  <c r="I2053" i="1" s="1"/>
  <c r="F2054" i="1"/>
  <c r="I2054" i="1" s="1"/>
  <c r="F2055" i="1"/>
  <c r="I2055" i="1" s="1"/>
  <c r="F2056" i="1"/>
  <c r="I2056" i="1" s="1"/>
  <c r="F2057" i="1"/>
  <c r="I2057" i="1" s="1"/>
  <c r="F2058" i="1"/>
  <c r="F2059" i="1"/>
  <c r="F2060" i="1"/>
  <c r="I2060" i="1" s="1"/>
  <c r="F2061" i="1"/>
  <c r="I2061" i="1" s="1"/>
  <c r="F2062" i="1"/>
  <c r="I2062" i="1" s="1"/>
  <c r="F2063" i="1"/>
  <c r="I2063" i="1" s="1"/>
  <c r="F2064" i="1"/>
  <c r="I2064" i="1" s="1"/>
  <c r="F2065" i="1"/>
  <c r="I2065" i="1" s="1"/>
  <c r="F2066" i="1"/>
  <c r="I2066" i="1" s="1"/>
  <c r="F2067" i="1"/>
  <c r="I2067" i="1" s="1"/>
  <c r="F2068" i="1"/>
  <c r="I2068" i="1" s="1"/>
  <c r="F2069" i="1"/>
  <c r="I2069" i="1" s="1"/>
  <c r="F2070" i="1"/>
  <c r="F2071" i="1"/>
  <c r="F2072" i="1"/>
  <c r="I2072" i="1" s="1"/>
  <c r="F2073" i="1"/>
  <c r="I2073" i="1" s="1"/>
  <c r="F2074" i="1"/>
  <c r="I2074" i="1" s="1"/>
  <c r="F2075" i="1"/>
  <c r="I2075" i="1" s="1"/>
  <c r="F2076" i="1"/>
  <c r="I2076" i="1" s="1"/>
  <c r="F2077" i="1"/>
  <c r="I2077" i="1" s="1"/>
  <c r="F2078" i="1"/>
  <c r="I2078" i="1" s="1"/>
  <c r="F2079" i="1"/>
  <c r="I2079" i="1" s="1"/>
  <c r="F2080" i="1"/>
  <c r="I2080" i="1" s="1"/>
  <c r="F2081" i="1"/>
  <c r="I2081" i="1" s="1"/>
  <c r="F2082" i="1"/>
  <c r="F2083" i="1"/>
  <c r="F2084" i="1"/>
  <c r="I2084" i="1" s="1"/>
  <c r="F2085" i="1"/>
  <c r="I2085" i="1" s="1"/>
  <c r="F2086" i="1"/>
  <c r="I2086" i="1" s="1"/>
  <c r="F2087" i="1"/>
  <c r="I2087" i="1" s="1"/>
  <c r="F2088" i="1"/>
  <c r="I2088" i="1" s="1"/>
  <c r="F2089" i="1"/>
  <c r="I2089" i="1" s="1"/>
  <c r="F2090" i="1"/>
  <c r="I2090" i="1" s="1"/>
  <c r="F2091" i="1"/>
  <c r="I2091" i="1" s="1"/>
  <c r="F2092" i="1"/>
  <c r="I2092" i="1" s="1"/>
  <c r="F2093" i="1"/>
  <c r="I2093" i="1" s="1"/>
  <c r="F2094" i="1"/>
  <c r="F2095" i="1"/>
  <c r="F2096" i="1"/>
  <c r="I2096" i="1" s="1"/>
  <c r="F2097" i="1"/>
  <c r="I2097" i="1" s="1"/>
  <c r="F2098" i="1"/>
  <c r="I2098" i="1" s="1"/>
  <c r="F2099" i="1"/>
  <c r="I2099" i="1" s="1"/>
  <c r="F2100" i="1"/>
  <c r="I2100" i="1" s="1"/>
  <c r="F2101" i="1"/>
  <c r="I2101" i="1" s="1"/>
  <c r="F2102" i="1"/>
  <c r="I2102" i="1" s="1"/>
  <c r="F2103" i="1"/>
  <c r="I2103" i="1" s="1"/>
  <c r="F2104" i="1"/>
  <c r="I2104" i="1" s="1"/>
  <c r="F2105" i="1"/>
  <c r="I2105" i="1" s="1"/>
  <c r="F2106" i="1"/>
  <c r="F2107" i="1"/>
  <c r="F2108" i="1"/>
  <c r="I2108" i="1" s="1"/>
  <c r="F2109" i="1"/>
  <c r="I2109" i="1" s="1"/>
  <c r="F2110" i="1"/>
  <c r="I2110" i="1" s="1"/>
  <c r="F2111" i="1"/>
  <c r="I2111" i="1" s="1"/>
  <c r="F2112" i="1"/>
  <c r="I2112" i="1" s="1"/>
  <c r="F2113" i="1"/>
  <c r="I2113" i="1" s="1"/>
  <c r="F2114" i="1"/>
  <c r="I2114" i="1" s="1"/>
  <c r="F2115" i="1"/>
  <c r="I2115" i="1" s="1"/>
  <c r="F2116" i="1"/>
  <c r="I2116" i="1" s="1"/>
  <c r="F2117" i="1"/>
  <c r="I2117" i="1" s="1"/>
  <c r="F2118" i="1"/>
  <c r="F2119" i="1"/>
  <c r="F2120" i="1"/>
  <c r="I2120" i="1" s="1"/>
  <c r="F2121" i="1"/>
  <c r="I2121" i="1" s="1"/>
  <c r="F2122" i="1"/>
  <c r="I2122" i="1" s="1"/>
  <c r="F2123" i="1"/>
  <c r="I2123" i="1" s="1"/>
  <c r="F2124" i="1"/>
  <c r="I2124" i="1" s="1"/>
  <c r="F2125" i="1"/>
  <c r="I2125" i="1" s="1"/>
  <c r="F2126" i="1"/>
  <c r="I2126" i="1" s="1"/>
  <c r="F2127" i="1"/>
  <c r="I2127" i="1" s="1"/>
  <c r="F2128" i="1"/>
  <c r="I2128" i="1" s="1"/>
  <c r="F2129" i="1"/>
  <c r="I2129" i="1" s="1"/>
  <c r="F2130" i="1"/>
  <c r="F2131" i="1"/>
  <c r="F2132" i="1"/>
  <c r="I2132" i="1" s="1"/>
  <c r="F2133" i="1"/>
  <c r="I2133" i="1" s="1"/>
  <c r="F2134" i="1"/>
  <c r="I2134" i="1" s="1"/>
  <c r="F2135" i="1"/>
  <c r="I2135" i="1" s="1"/>
  <c r="F2136" i="1"/>
  <c r="I2136" i="1" s="1"/>
  <c r="F2137" i="1"/>
  <c r="I2137" i="1" s="1"/>
  <c r="F2138" i="1"/>
  <c r="I2138" i="1" s="1"/>
  <c r="F2139" i="1"/>
  <c r="I2139" i="1" s="1"/>
  <c r="F2140" i="1"/>
  <c r="I2140" i="1" s="1"/>
  <c r="F2141" i="1"/>
  <c r="I2141" i="1" s="1"/>
  <c r="F2142" i="1"/>
  <c r="F2143" i="1"/>
  <c r="F2144" i="1"/>
  <c r="I2144" i="1" s="1"/>
  <c r="F2145" i="1"/>
  <c r="I2145" i="1" s="1"/>
  <c r="F2146" i="1"/>
  <c r="I2146" i="1" s="1"/>
  <c r="F2147" i="1"/>
  <c r="I2147" i="1" s="1"/>
  <c r="F2148" i="1"/>
  <c r="I2148" i="1" s="1"/>
  <c r="F2149" i="1"/>
  <c r="I2149" i="1" s="1"/>
  <c r="F2150" i="1"/>
  <c r="I2150" i="1" s="1"/>
  <c r="F2151" i="1"/>
  <c r="I2151" i="1" s="1"/>
  <c r="F2152" i="1"/>
  <c r="I2152" i="1" s="1"/>
  <c r="F2153" i="1"/>
  <c r="I2153" i="1" s="1"/>
  <c r="F2154" i="1"/>
  <c r="F2155" i="1"/>
  <c r="F2156" i="1"/>
  <c r="I2156" i="1" s="1"/>
  <c r="F2157" i="1"/>
  <c r="I2157" i="1" s="1"/>
  <c r="F2158" i="1"/>
  <c r="I2158" i="1" s="1"/>
  <c r="F2159" i="1"/>
  <c r="I2159" i="1" s="1"/>
  <c r="F2160" i="1"/>
  <c r="I2160" i="1" s="1"/>
  <c r="F2161" i="1"/>
  <c r="I2161" i="1" s="1"/>
  <c r="F2162" i="1"/>
  <c r="I2162" i="1" s="1"/>
  <c r="F2163" i="1"/>
  <c r="I2163" i="1" s="1"/>
  <c r="F2164" i="1"/>
  <c r="I2164" i="1" s="1"/>
  <c r="F2165" i="1"/>
  <c r="I2165" i="1" s="1"/>
  <c r="F2166" i="1"/>
  <c r="F2167" i="1"/>
  <c r="F2168" i="1"/>
  <c r="I2168" i="1" s="1"/>
  <c r="F2169" i="1"/>
  <c r="I2169" i="1" s="1"/>
  <c r="F2170" i="1"/>
  <c r="I2170" i="1" s="1"/>
  <c r="F2171" i="1"/>
  <c r="I2171" i="1" s="1"/>
  <c r="F2172" i="1"/>
  <c r="I2172" i="1" s="1"/>
  <c r="F2173" i="1"/>
  <c r="I2173" i="1" s="1"/>
  <c r="F2174" i="1"/>
  <c r="I2174" i="1" s="1"/>
  <c r="F2175" i="1"/>
  <c r="I2175" i="1" s="1"/>
  <c r="F2176" i="1"/>
  <c r="I2176" i="1" s="1"/>
  <c r="F2177" i="1"/>
  <c r="I2177" i="1" s="1"/>
  <c r="F2178" i="1"/>
  <c r="F2179" i="1"/>
  <c r="F2180" i="1"/>
  <c r="I2180" i="1" s="1"/>
  <c r="F2181" i="1"/>
  <c r="I2181" i="1" s="1"/>
  <c r="F2182" i="1"/>
  <c r="I2182" i="1" s="1"/>
  <c r="F2183" i="1"/>
  <c r="I2183" i="1" s="1"/>
  <c r="F2184" i="1"/>
  <c r="I2184" i="1" s="1"/>
  <c r="F2185" i="1"/>
  <c r="I2185" i="1" s="1"/>
  <c r="F2186" i="1"/>
  <c r="I2186" i="1" s="1"/>
  <c r="F2187" i="1"/>
  <c r="I2187" i="1" s="1"/>
  <c r="F2188" i="1"/>
  <c r="I2188" i="1" s="1"/>
  <c r="F2189" i="1"/>
  <c r="I2189" i="1" s="1"/>
  <c r="F2190" i="1"/>
  <c r="F2191" i="1"/>
  <c r="F2192" i="1"/>
  <c r="I2192" i="1" s="1"/>
  <c r="F2193" i="1"/>
  <c r="I2193" i="1" s="1"/>
  <c r="F2194" i="1"/>
  <c r="I2194" i="1" s="1"/>
  <c r="F2195" i="1"/>
  <c r="I2195" i="1" s="1"/>
  <c r="F2196" i="1"/>
  <c r="I2196" i="1" s="1"/>
  <c r="F2197" i="1"/>
  <c r="I2197" i="1" s="1"/>
  <c r="F2198" i="1"/>
  <c r="I2198" i="1" s="1"/>
  <c r="F2199" i="1"/>
  <c r="I2199" i="1" s="1"/>
  <c r="F2200" i="1"/>
  <c r="I2200" i="1" s="1"/>
  <c r="F2201" i="1"/>
  <c r="I2201" i="1" s="1"/>
  <c r="F2202" i="1"/>
  <c r="F2203" i="1"/>
  <c r="F2204" i="1"/>
  <c r="I2204" i="1" s="1"/>
  <c r="F2205" i="1"/>
  <c r="I2205" i="1" s="1"/>
  <c r="F2206" i="1"/>
  <c r="I2206" i="1" s="1"/>
  <c r="F2207" i="1"/>
  <c r="I2207" i="1" s="1"/>
  <c r="F2208" i="1"/>
  <c r="I2208" i="1" s="1"/>
  <c r="F2209" i="1"/>
  <c r="I2209" i="1" s="1"/>
  <c r="F2210" i="1"/>
  <c r="I2210" i="1" s="1"/>
  <c r="F2211" i="1"/>
  <c r="I2211" i="1" s="1"/>
  <c r="F2212" i="1"/>
  <c r="I2212" i="1" s="1"/>
  <c r="F2213" i="1"/>
  <c r="I2213" i="1" s="1"/>
  <c r="F2214" i="1"/>
  <c r="F2215" i="1"/>
  <c r="F2216" i="1"/>
  <c r="I2216" i="1" s="1"/>
  <c r="F2217" i="1"/>
  <c r="I2217" i="1" s="1"/>
  <c r="F2218" i="1"/>
  <c r="I2218" i="1" s="1"/>
  <c r="F2219" i="1"/>
  <c r="I2219" i="1" s="1"/>
  <c r="F2220" i="1"/>
  <c r="I2220" i="1" s="1"/>
  <c r="F2221" i="1"/>
  <c r="I2221" i="1" s="1"/>
  <c r="F2222" i="1"/>
  <c r="I2222" i="1" s="1"/>
  <c r="F2223" i="1"/>
  <c r="I2223" i="1" s="1"/>
  <c r="F2224" i="1"/>
  <c r="I2224" i="1" s="1"/>
  <c r="F2225" i="1"/>
  <c r="I2225" i="1" s="1"/>
  <c r="F2226" i="1"/>
  <c r="F2227" i="1"/>
  <c r="F2228" i="1"/>
  <c r="I2228" i="1" s="1"/>
  <c r="F2229" i="1"/>
  <c r="I2229" i="1" s="1"/>
  <c r="F2230" i="1"/>
  <c r="I2230" i="1" s="1"/>
  <c r="F2231" i="1"/>
  <c r="I2231" i="1" s="1"/>
  <c r="F2232" i="1"/>
  <c r="I2232" i="1" s="1"/>
  <c r="F2233" i="1"/>
  <c r="I2233" i="1" s="1"/>
  <c r="F2234" i="1"/>
  <c r="I2234" i="1" s="1"/>
  <c r="F2235" i="1"/>
  <c r="I2235" i="1" s="1"/>
  <c r="F2236" i="1"/>
  <c r="I2236" i="1" s="1"/>
  <c r="F2237" i="1"/>
  <c r="I2237" i="1" s="1"/>
  <c r="F2238" i="1"/>
  <c r="F2239" i="1"/>
  <c r="F2240" i="1"/>
  <c r="I2240" i="1" s="1"/>
  <c r="F2241" i="1"/>
  <c r="I2241" i="1" s="1"/>
  <c r="F2242" i="1"/>
  <c r="I2242" i="1" s="1"/>
  <c r="F2243" i="1"/>
  <c r="I2243" i="1" s="1"/>
  <c r="F2244" i="1"/>
  <c r="I2244" i="1" s="1"/>
  <c r="F2245" i="1"/>
  <c r="I2245" i="1" s="1"/>
  <c r="F2246" i="1"/>
  <c r="I2246" i="1" s="1"/>
  <c r="F2247" i="1"/>
  <c r="I2247" i="1" s="1"/>
  <c r="F2248" i="1"/>
  <c r="I2248" i="1" s="1"/>
  <c r="F2249" i="1"/>
  <c r="I2249" i="1" s="1"/>
  <c r="F2250" i="1"/>
  <c r="F2251" i="1"/>
  <c r="F2252" i="1"/>
  <c r="I2252" i="1" s="1"/>
  <c r="F2253" i="1"/>
  <c r="I2253" i="1" s="1"/>
  <c r="F2254" i="1"/>
  <c r="I2254" i="1" s="1"/>
  <c r="F2255" i="1"/>
  <c r="I2255" i="1" s="1"/>
  <c r="F2256" i="1"/>
  <c r="I2256" i="1" s="1"/>
  <c r="F2257" i="1"/>
  <c r="I2257" i="1" s="1"/>
  <c r="F2258" i="1"/>
  <c r="I2258" i="1" s="1"/>
  <c r="F2259" i="1"/>
  <c r="I2259" i="1" s="1"/>
  <c r="F2260" i="1"/>
  <c r="I2260" i="1" s="1"/>
  <c r="F2261" i="1"/>
  <c r="I2261" i="1" s="1"/>
  <c r="F2262" i="1"/>
  <c r="F2263" i="1"/>
  <c r="F2264" i="1"/>
  <c r="I2264" i="1" s="1"/>
  <c r="F2265" i="1"/>
  <c r="I2265" i="1" s="1"/>
  <c r="F2266" i="1"/>
  <c r="I2266" i="1" s="1"/>
  <c r="F2267" i="1"/>
  <c r="I2267" i="1" s="1"/>
  <c r="F2268" i="1"/>
  <c r="I2268" i="1" s="1"/>
  <c r="F2269" i="1"/>
  <c r="I2269" i="1" s="1"/>
  <c r="F2270" i="1"/>
  <c r="I2270" i="1" s="1"/>
  <c r="F2271" i="1"/>
  <c r="I2271" i="1" s="1"/>
  <c r="F2272" i="1"/>
  <c r="I2272" i="1" s="1"/>
  <c r="F2273" i="1"/>
  <c r="I2273" i="1" s="1"/>
  <c r="F2274" i="1"/>
  <c r="F2275" i="1"/>
  <c r="F2276" i="1"/>
  <c r="I2276" i="1" s="1"/>
  <c r="F2277" i="1"/>
  <c r="I2277" i="1" s="1"/>
  <c r="F2278" i="1"/>
  <c r="I2278" i="1" s="1"/>
  <c r="F2279" i="1"/>
  <c r="I2279" i="1" s="1"/>
  <c r="F2280" i="1"/>
  <c r="I2280" i="1" s="1"/>
  <c r="F2281" i="1"/>
  <c r="I2281" i="1" s="1"/>
  <c r="F2282" i="1"/>
  <c r="I2282" i="1" s="1"/>
  <c r="F2283" i="1"/>
  <c r="I2283" i="1" s="1"/>
  <c r="F2284" i="1"/>
  <c r="I2284" i="1" s="1"/>
  <c r="F2285" i="1"/>
  <c r="I2285" i="1" s="1"/>
  <c r="F2286" i="1"/>
  <c r="F2287" i="1"/>
  <c r="F2288" i="1"/>
  <c r="I2288" i="1" s="1"/>
  <c r="F2289" i="1"/>
  <c r="I2289" i="1" s="1"/>
  <c r="F2290" i="1"/>
  <c r="I2290" i="1" s="1"/>
  <c r="F2291" i="1"/>
  <c r="I2291" i="1" s="1"/>
  <c r="F2292" i="1"/>
  <c r="I2292" i="1" s="1"/>
  <c r="F2293" i="1"/>
  <c r="I2293" i="1" s="1"/>
  <c r="F2294" i="1"/>
  <c r="I2294" i="1" s="1"/>
  <c r="F2295" i="1"/>
  <c r="I2295" i="1" s="1"/>
  <c r="F2296" i="1"/>
  <c r="I2296" i="1" s="1"/>
  <c r="F2297" i="1"/>
  <c r="I2297" i="1" s="1"/>
  <c r="F2298" i="1"/>
  <c r="F2299" i="1"/>
  <c r="F2300" i="1"/>
  <c r="I2300" i="1" s="1"/>
  <c r="F2301" i="1"/>
  <c r="I2301" i="1" s="1"/>
  <c r="F2302" i="1"/>
  <c r="I2302" i="1" s="1"/>
  <c r="F2303" i="1"/>
  <c r="I2303" i="1" s="1"/>
  <c r="F2304" i="1"/>
  <c r="I2304" i="1" s="1"/>
  <c r="F2305" i="1"/>
  <c r="I2305" i="1" s="1"/>
  <c r="F2306" i="1"/>
  <c r="I2306" i="1" s="1"/>
  <c r="F2307" i="1"/>
  <c r="I2307" i="1" s="1"/>
  <c r="F2308" i="1"/>
  <c r="I2308" i="1" s="1"/>
  <c r="F2309" i="1"/>
  <c r="I2309" i="1" s="1"/>
  <c r="F2310" i="1"/>
  <c r="F2311" i="1"/>
  <c r="F2312" i="1"/>
  <c r="I2312" i="1" s="1"/>
  <c r="F2313" i="1"/>
  <c r="I2313" i="1" s="1"/>
  <c r="F2314" i="1"/>
  <c r="I2314" i="1" s="1"/>
  <c r="F2315" i="1"/>
  <c r="I2315" i="1" s="1"/>
  <c r="F2316" i="1"/>
  <c r="I2316" i="1" s="1"/>
  <c r="F2317" i="1"/>
  <c r="I2317" i="1" s="1"/>
  <c r="F2318" i="1"/>
  <c r="I2318" i="1" s="1"/>
  <c r="F2319" i="1"/>
  <c r="I2319" i="1" s="1"/>
  <c r="F2320" i="1"/>
  <c r="I2320" i="1" s="1"/>
  <c r="F2321" i="1"/>
  <c r="I2321" i="1" s="1"/>
  <c r="F2322" i="1"/>
  <c r="F2323" i="1"/>
  <c r="F2324" i="1"/>
  <c r="I2324" i="1" s="1"/>
  <c r="F2325" i="1"/>
  <c r="I2325" i="1" s="1"/>
  <c r="F2326" i="1"/>
  <c r="I2326" i="1" s="1"/>
  <c r="F2327" i="1"/>
  <c r="I2327" i="1" s="1"/>
  <c r="F2328" i="1"/>
  <c r="I2328" i="1" s="1"/>
  <c r="F2329" i="1"/>
  <c r="I2329" i="1" s="1"/>
  <c r="F2330" i="1"/>
  <c r="I2330" i="1" s="1"/>
  <c r="F2331" i="1"/>
  <c r="I2331" i="1" s="1"/>
  <c r="F2332" i="1"/>
  <c r="I2332" i="1" s="1"/>
  <c r="F2333" i="1"/>
  <c r="I2333" i="1" s="1"/>
  <c r="F2334" i="1"/>
  <c r="F2335" i="1"/>
  <c r="F2336" i="1"/>
  <c r="I2336" i="1" s="1"/>
  <c r="F2337" i="1"/>
  <c r="I2337" i="1" s="1"/>
  <c r="F2338" i="1"/>
  <c r="I2338" i="1" s="1"/>
  <c r="F2339" i="1"/>
  <c r="I2339" i="1" s="1"/>
  <c r="F2340" i="1"/>
  <c r="I2340" i="1" s="1"/>
  <c r="F2341" i="1"/>
  <c r="I2341" i="1" s="1"/>
  <c r="F2342" i="1"/>
  <c r="I2342" i="1" s="1"/>
  <c r="F2343" i="1"/>
  <c r="I2343" i="1" s="1"/>
  <c r="F2344" i="1"/>
  <c r="I2344" i="1" s="1"/>
  <c r="F2345" i="1"/>
  <c r="I2345" i="1" s="1"/>
  <c r="F2346" i="1"/>
  <c r="F2347" i="1"/>
  <c r="F2348" i="1"/>
  <c r="I2348" i="1" s="1"/>
  <c r="F2349" i="1"/>
  <c r="I2349" i="1" s="1"/>
  <c r="F2350" i="1"/>
  <c r="I2350" i="1" s="1"/>
  <c r="F2351" i="1"/>
  <c r="I2351" i="1" s="1"/>
  <c r="F2352" i="1"/>
  <c r="I2352" i="1" s="1"/>
  <c r="F2353" i="1"/>
  <c r="I2353" i="1" s="1"/>
  <c r="F2354" i="1"/>
  <c r="I2354" i="1" s="1"/>
  <c r="F2355" i="1"/>
  <c r="I2355" i="1" s="1"/>
  <c r="F2356" i="1"/>
  <c r="I2356" i="1" s="1"/>
  <c r="F2357" i="1"/>
  <c r="I2357" i="1" s="1"/>
  <c r="F2358" i="1"/>
  <c r="F2359" i="1"/>
  <c r="F2360" i="1"/>
  <c r="I2360" i="1" s="1"/>
  <c r="F2361" i="1"/>
  <c r="I2361" i="1" s="1"/>
  <c r="F2362" i="1"/>
  <c r="I2362" i="1" s="1"/>
  <c r="F2363" i="1"/>
  <c r="I2363" i="1" s="1"/>
  <c r="F2364" i="1"/>
  <c r="I2364" i="1" s="1"/>
  <c r="F2365" i="1"/>
  <c r="I2365" i="1" s="1"/>
  <c r="F2366" i="1"/>
  <c r="I2366" i="1" s="1"/>
  <c r="F2367" i="1"/>
  <c r="I2367" i="1" s="1"/>
  <c r="F2368" i="1"/>
  <c r="I2368" i="1" s="1"/>
  <c r="F2369" i="1"/>
  <c r="I2369" i="1" s="1"/>
  <c r="F2370" i="1"/>
  <c r="I2370" i="1" s="1"/>
  <c r="F2371" i="1"/>
  <c r="F2372" i="1"/>
  <c r="I2372" i="1" s="1"/>
  <c r="F2373" i="1"/>
  <c r="I2373" i="1" s="1"/>
  <c r="F2374" i="1"/>
  <c r="I2374" i="1" s="1"/>
  <c r="F2375" i="1"/>
  <c r="I2375" i="1" s="1"/>
  <c r="F2376" i="1"/>
  <c r="I2376" i="1" s="1"/>
  <c r="F2377" i="1"/>
  <c r="I2377" i="1" s="1"/>
  <c r="F2378" i="1"/>
  <c r="I2378" i="1" s="1"/>
  <c r="F2379" i="1"/>
  <c r="I2379" i="1" s="1"/>
  <c r="F2380" i="1"/>
  <c r="I2380" i="1" s="1"/>
  <c r="F2381" i="1"/>
  <c r="I2381" i="1" s="1"/>
  <c r="F2382" i="1"/>
  <c r="F2383" i="1"/>
  <c r="F2384" i="1"/>
  <c r="I2384" i="1" s="1"/>
  <c r="F2385" i="1"/>
  <c r="I2385" i="1" s="1"/>
  <c r="F2386" i="1"/>
  <c r="I2386" i="1" s="1"/>
  <c r="F2387" i="1"/>
  <c r="I2387" i="1" s="1"/>
  <c r="F2388" i="1"/>
  <c r="I2388" i="1" s="1"/>
  <c r="F2389" i="1"/>
  <c r="I2389" i="1" s="1"/>
  <c r="F2390" i="1"/>
  <c r="I2390" i="1" s="1"/>
  <c r="F2391" i="1"/>
  <c r="I2391" i="1" s="1"/>
  <c r="F2392" i="1"/>
  <c r="I2392" i="1" s="1"/>
  <c r="F2393" i="1"/>
  <c r="I2393" i="1" s="1"/>
  <c r="F2394" i="1"/>
  <c r="F2395" i="1"/>
  <c r="F2396" i="1"/>
  <c r="I2396" i="1" s="1"/>
  <c r="F2397" i="1"/>
  <c r="I2397" i="1" s="1"/>
  <c r="F2398" i="1"/>
  <c r="I2398" i="1" s="1"/>
  <c r="F2399" i="1"/>
  <c r="I2399" i="1" s="1"/>
  <c r="F2400" i="1"/>
  <c r="I2400" i="1" s="1"/>
  <c r="F2401" i="1"/>
  <c r="I2401" i="1" s="1"/>
  <c r="F2402" i="1"/>
  <c r="I2402" i="1" s="1"/>
  <c r="F2403" i="1"/>
  <c r="I2403" i="1" s="1"/>
  <c r="F2404" i="1"/>
  <c r="I2404" i="1" s="1"/>
  <c r="F2405" i="1"/>
  <c r="I2405" i="1" s="1"/>
  <c r="F2406" i="1"/>
  <c r="F2407" i="1"/>
  <c r="F2408" i="1"/>
  <c r="I2408" i="1" s="1"/>
  <c r="F2409" i="1"/>
  <c r="I2409" i="1" s="1"/>
  <c r="F2410" i="1"/>
  <c r="I2410" i="1" s="1"/>
  <c r="F2411" i="1"/>
  <c r="I2411" i="1" s="1"/>
  <c r="F2412" i="1"/>
  <c r="I2412" i="1" s="1"/>
  <c r="F2413" i="1"/>
  <c r="I2413" i="1" s="1"/>
  <c r="F2414" i="1"/>
  <c r="I2414" i="1" s="1"/>
  <c r="F2415" i="1"/>
  <c r="I2415" i="1" s="1"/>
  <c r="F2416" i="1"/>
  <c r="I2416" i="1" s="1"/>
  <c r="F2417" i="1"/>
  <c r="I2417" i="1" s="1"/>
  <c r="F2418" i="1"/>
  <c r="F2419" i="1"/>
  <c r="F2420" i="1"/>
  <c r="I2420" i="1" s="1"/>
  <c r="F2421" i="1"/>
  <c r="I2421" i="1" s="1"/>
  <c r="F2422" i="1"/>
  <c r="I2422" i="1" s="1"/>
  <c r="F2423" i="1"/>
  <c r="I2423" i="1" s="1"/>
  <c r="F2424" i="1"/>
  <c r="I2424" i="1" s="1"/>
  <c r="F2425" i="1"/>
  <c r="I2425" i="1" s="1"/>
  <c r="F2426" i="1"/>
  <c r="I2426" i="1" s="1"/>
  <c r="F2427" i="1"/>
  <c r="I2427" i="1" s="1"/>
  <c r="F2428" i="1"/>
  <c r="I2428" i="1" s="1"/>
  <c r="F2429" i="1"/>
  <c r="I2429" i="1" s="1"/>
  <c r="F2430" i="1"/>
  <c r="F2431" i="1"/>
  <c r="F2432" i="1"/>
  <c r="I2432" i="1" s="1"/>
  <c r="F2433" i="1"/>
  <c r="I2433" i="1" s="1"/>
  <c r="F2434" i="1"/>
  <c r="I2434" i="1" s="1"/>
  <c r="F2435" i="1"/>
  <c r="I2435" i="1" s="1"/>
  <c r="F2436" i="1"/>
  <c r="I2436" i="1" s="1"/>
  <c r="F2437" i="1"/>
  <c r="I2437" i="1" s="1"/>
  <c r="F2438" i="1"/>
  <c r="I2438" i="1" s="1"/>
  <c r="F2439" i="1"/>
  <c r="I2439" i="1" s="1"/>
  <c r="F2440" i="1"/>
  <c r="I2440" i="1" s="1"/>
  <c r="F2441" i="1"/>
  <c r="I2441" i="1" s="1"/>
  <c r="F2442" i="1"/>
  <c r="F2443" i="1"/>
  <c r="F2444" i="1"/>
  <c r="I2444" i="1" s="1"/>
  <c r="F2445" i="1"/>
  <c r="I2445" i="1" s="1"/>
  <c r="F2446" i="1"/>
  <c r="I2446" i="1" s="1"/>
  <c r="F2447" i="1"/>
  <c r="I2447" i="1" s="1"/>
  <c r="F2448" i="1"/>
  <c r="I2448" i="1" s="1"/>
  <c r="F2449" i="1"/>
  <c r="I2449" i="1" s="1"/>
  <c r="F2450" i="1"/>
  <c r="I2450" i="1" s="1"/>
  <c r="F2451" i="1"/>
  <c r="I2451" i="1" s="1"/>
  <c r="F2452" i="1"/>
  <c r="I2452" i="1" s="1"/>
  <c r="F2453" i="1"/>
  <c r="I2453" i="1" s="1"/>
  <c r="F2454" i="1"/>
  <c r="F2455" i="1"/>
  <c r="F2456" i="1"/>
  <c r="I2456" i="1" s="1"/>
  <c r="F2457" i="1"/>
  <c r="I2457" i="1" s="1"/>
  <c r="F2458" i="1"/>
  <c r="I2458" i="1" s="1"/>
  <c r="F2459" i="1"/>
  <c r="I2459" i="1" s="1"/>
  <c r="F2460" i="1"/>
  <c r="I2460" i="1" s="1"/>
  <c r="F2461" i="1"/>
  <c r="I2461" i="1" s="1"/>
  <c r="F2462" i="1"/>
  <c r="I2462" i="1" s="1"/>
  <c r="F2463" i="1"/>
  <c r="I2463" i="1" s="1"/>
  <c r="F2464" i="1"/>
  <c r="I2464" i="1" s="1"/>
  <c r="F2465" i="1"/>
  <c r="I2465" i="1" s="1"/>
  <c r="F2466" i="1"/>
  <c r="F2467" i="1"/>
  <c r="F2468" i="1"/>
  <c r="I2468" i="1" s="1"/>
  <c r="F2469" i="1"/>
  <c r="I2469" i="1" s="1"/>
  <c r="F2470" i="1"/>
  <c r="I2470" i="1" s="1"/>
  <c r="F2471" i="1"/>
  <c r="I2471" i="1" s="1"/>
  <c r="F2472" i="1"/>
  <c r="I2472" i="1" s="1"/>
  <c r="F2473" i="1"/>
  <c r="I2473" i="1" s="1"/>
  <c r="F2474" i="1"/>
  <c r="I2474" i="1" s="1"/>
  <c r="F2475" i="1"/>
  <c r="I2475" i="1" s="1"/>
  <c r="F2476" i="1"/>
  <c r="I2476" i="1" s="1"/>
  <c r="F2477" i="1"/>
  <c r="I2477" i="1" s="1"/>
  <c r="F2478" i="1"/>
  <c r="F2479" i="1"/>
  <c r="F2480" i="1"/>
  <c r="I2480" i="1" s="1"/>
  <c r="F2481" i="1"/>
  <c r="I2481" i="1" s="1"/>
  <c r="F2482" i="1"/>
  <c r="I2482" i="1" s="1"/>
  <c r="F2483" i="1"/>
  <c r="I2483" i="1" s="1"/>
  <c r="F2484" i="1"/>
  <c r="I2484" i="1" s="1"/>
  <c r="F2485" i="1"/>
  <c r="I2485" i="1" s="1"/>
  <c r="F2486" i="1"/>
  <c r="I2486" i="1" s="1"/>
  <c r="F2487" i="1"/>
  <c r="I2487" i="1" s="1"/>
  <c r="F2488" i="1"/>
  <c r="I2488" i="1" s="1"/>
  <c r="F2489" i="1"/>
  <c r="I2489" i="1" s="1"/>
  <c r="F2490" i="1"/>
  <c r="F2491" i="1"/>
  <c r="F2492" i="1"/>
  <c r="I2492" i="1" s="1"/>
  <c r="F2493" i="1"/>
  <c r="I2493" i="1" s="1"/>
  <c r="F2494" i="1"/>
  <c r="I2494" i="1" s="1"/>
  <c r="F2495" i="1"/>
  <c r="I2495" i="1" s="1"/>
  <c r="F2496" i="1"/>
  <c r="I2496" i="1" s="1"/>
  <c r="F2497" i="1"/>
  <c r="I2497" i="1" s="1"/>
  <c r="F2498" i="1"/>
  <c r="I2498" i="1" s="1"/>
  <c r="F2499" i="1"/>
  <c r="I2499" i="1" s="1"/>
  <c r="F2500" i="1"/>
  <c r="I2500" i="1" s="1"/>
  <c r="F2501" i="1"/>
  <c r="I2501" i="1" s="1"/>
  <c r="F2502" i="1"/>
  <c r="I2502" i="1" s="1"/>
  <c r="F2503" i="1"/>
  <c r="I2503" i="1" s="1"/>
  <c r="F2504" i="1"/>
  <c r="I2504" i="1" s="1"/>
  <c r="F2505" i="1"/>
  <c r="I2505" i="1" s="1"/>
  <c r="F2506" i="1"/>
  <c r="I2506" i="1" s="1"/>
  <c r="F2507" i="1"/>
  <c r="I2507" i="1" s="1"/>
  <c r="F2508" i="1"/>
  <c r="I2508" i="1" s="1"/>
  <c r="F2509" i="1"/>
  <c r="I2509" i="1" s="1"/>
  <c r="F2510" i="1"/>
  <c r="I2510" i="1" s="1"/>
  <c r="F2511" i="1"/>
  <c r="I2511" i="1" s="1"/>
  <c r="F2512" i="1"/>
  <c r="I2512" i="1" s="1"/>
  <c r="F2513" i="1"/>
  <c r="I2513" i="1" s="1"/>
  <c r="F2514" i="1"/>
  <c r="I2514" i="1" s="1"/>
  <c r="F2515" i="1"/>
  <c r="I2515" i="1" s="1"/>
  <c r="F2516" i="1"/>
  <c r="I2516" i="1" s="1"/>
  <c r="F2517" i="1"/>
  <c r="I2517" i="1" s="1"/>
  <c r="F2518" i="1"/>
  <c r="I2518" i="1" s="1"/>
  <c r="F2519" i="1"/>
  <c r="I2519" i="1" s="1"/>
  <c r="F2520" i="1"/>
  <c r="I2520" i="1" s="1"/>
  <c r="F2521" i="1"/>
  <c r="I2521" i="1" s="1"/>
  <c r="F2018" i="1"/>
  <c r="I2018" i="1" s="1"/>
  <c r="F1515" i="1"/>
  <c r="I1515" i="1" s="1"/>
  <c r="F1516" i="1"/>
  <c r="I1516" i="1" s="1"/>
  <c r="F1517" i="1"/>
  <c r="I1517" i="1" s="1"/>
  <c r="F1518" i="1"/>
  <c r="I1518" i="1" s="1"/>
  <c r="F1519" i="1"/>
  <c r="I1519" i="1" s="1"/>
  <c r="F1520" i="1"/>
  <c r="I1520" i="1" s="1"/>
  <c r="F1521" i="1"/>
  <c r="I1521" i="1" s="1"/>
  <c r="F1522" i="1"/>
  <c r="I1522" i="1" s="1"/>
  <c r="F1523" i="1"/>
  <c r="I1523" i="1" s="1"/>
  <c r="F1524" i="1"/>
  <c r="I1524" i="1" s="1"/>
  <c r="F1525" i="1"/>
  <c r="I1525" i="1" s="1"/>
  <c r="F1526" i="1"/>
  <c r="I1526" i="1" s="1"/>
  <c r="F1527" i="1"/>
  <c r="I1527" i="1" s="1"/>
  <c r="F1528" i="1"/>
  <c r="I1528" i="1" s="1"/>
  <c r="F1529" i="1"/>
  <c r="I1529" i="1" s="1"/>
  <c r="F1530" i="1"/>
  <c r="I1530" i="1" s="1"/>
  <c r="F1531" i="1"/>
  <c r="I1531" i="1" s="1"/>
  <c r="F1532" i="1"/>
  <c r="F1533" i="1"/>
  <c r="I1533" i="1" s="1"/>
  <c r="F1534" i="1"/>
  <c r="I1534" i="1" s="1"/>
  <c r="F1535" i="1"/>
  <c r="I1535" i="1" s="1"/>
  <c r="F1536" i="1"/>
  <c r="I1536" i="1" s="1"/>
  <c r="F1537" i="1"/>
  <c r="I1537" i="1" s="1"/>
  <c r="F1538" i="1"/>
  <c r="I1538" i="1" s="1"/>
  <c r="F1539" i="1"/>
  <c r="I1539" i="1" s="1"/>
  <c r="F1540" i="1"/>
  <c r="I1540" i="1" s="1"/>
  <c r="F1541" i="1"/>
  <c r="I1541" i="1" s="1"/>
  <c r="F1542" i="1"/>
  <c r="I1542" i="1" s="1"/>
  <c r="F1543" i="1"/>
  <c r="I1543" i="1" s="1"/>
  <c r="F1544" i="1"/>
  <c r="F1545" i="1"/>
  <c r="I1545" i="1" s="1"/>
  <c r="F1546" i="1"/>
  <c r="I1546" i="1" s="1"/>
  <c r="F1547" i="1"/>
  <c r="I1547" i="1" s="1"/>
  <c r="F1548" i="1"/>
  <c r="I1548" i="1" s="1"/>
  <c r="F1549" i="1"/>
  <c r="I1549" i="1" s="1"/>
  <c r="F1550" i="1"/>
  <c r="I1550" i="1" s="1"/>
  <c r="F1551" i="1"/>
  <c r="I1551" i="1" s="1"/>
  <c r="F1552" i="1"/>
  <c r="I1552" i="1" s="1"/>
  <c r="F1553" i="1"/>
  <c r="I1553" i="1" s="1"/>
  <c r="F1554" i="1"/>
  <c r="I1554" i="1" s="1"/>
  <c r="F1555" i="1"/>
  <c r="I1555" i="1" s="1"/>
  <c r="F1556" i="1"/>
  <c r="F1557" i="1"/>
  <c r="I1557" i="1" s="1"/>
  <c r="F1558" i="1"/>
  <c r="I1558" i="1" s="1"/>
  <c r="F1559" i="1"/>
  <c r="I1559" i="1" s="1"/>
  <c r="F1560" i="1"/>
  <c r="I1560" i="1" s="1"/>
  <c r="F1561" i="1"/>
  <c r="I1561" i="1" s="1"/>
  <c r="F1562" i="1"/>
  <c r="I1562" i="1" s="1"/>
  <c r="F1563" i="1"/>
  <c r="I1563" i="1" s="1"/>
  <c r="F1564" i="1"/>
  <c r="I1564" i="1" s="1"/>
  <c r="F1565" i="1"/>
  <c r="I1565" i="1" s="1"/>
  <c r="F1566" i="1"/>
  <c r="I1566" i="1" s="1"/>
  <c r="F1567" i="1"/>
  <c r="I1567" i="1" s="1"/>
  <c r="F1568" i="1"/>
  <c r="F1569" i="1"/>
  <c r="I1569" i="1" s="1"/>
  <c r="F1570" i="1"/>
  <c r="I1570" i="1" s="1"/>
  <c r="F1571" i="1"/>
  <c r="I1571" i="1" s="1"/>
  <c r="F1572" i="1"/>
  <c r="I1572" i="1" s="1"/>
  <c r="F1573" i="1"/>
  <c r="I1573" i="1" s="1"/>
  <c r="F1574" i="1"/>
  <c r="I1574" i="1" s="1"/>
  <c r="F1575" i="1"/>
  <c r="I1575" i="1" s="1"/>
  <c r="F1576" i="1"/>
  <c r="I1576" i="1" s="1"/>
  <c r="F1577" i="1"/>
  <c r="I1577" i="1" s="1"/>
  <c r="F1578" i="1"/>
  <c r="I1578" i="1" s="1"/>
  <c r="F1579" i="1"/>
  <c r="I1579" i="1" s="1"/>
  <c r="F1580" i="1"/>
  <c r="F1581" i="1"/>
  <c r="I1581" i="1" s="1"/>
  <c r="F1582" i="1"/>
  <c r="I1582" i="1" s="1"/>
  <c r="F1583" i="1"/>
  <c r="I1583" i="1" s="1"/>
  <c r="F1584" i="1"/>
  <c r="I1584" i="1" s="1"/>
  <c r="F1585" i="1"/>
  <c r="I1585" i="1" s="1"/>
  <c r="F1586" i="1"/>
  <c r="I1586" i="1" s="1"/>
  <c r="F1587" i="1"/>
  <c r="I1587" i="1" s="1"/>
  <c r="F1588" i="1"/>
  <c r="I1588" i="1" s="1"/>
  <c r="F1589" i="1"/>
  <c r="I1589" i="1" s="1"/>
  <c r="F1590" i="1"/>
  <c r="I1590" i="1" s="1"/>
  <c r="F1591" i="1"/>
  <c r="I1591" i="1" s="1"/>
  <c r="F1592" i="1"/>
  <c r="F1593" i="1"/>
  <c r="I1593" i="1" s="1"/>
  <c r="F1594" i="1"/>
  <c r="I1594" i="1" s="1"/>
  <c r="F1595" i="1"/>
  <c r="I1595" i="1" s="1"/>
  <c r="F1596" i="1"/>
  <c r="I1596" i="1" s="1"/>
  <c r="F1597" i="1"/>
  <c r="I1597" i="1" s="1"/>
  <c r="F1598" i="1"/>
  <c r="I1598" i="1" s="1"/>
  <c r="F1599" i="1"/>
  <c r="I1599" i="1" s="1"/>
  <c r="F1600" i="1"/>
  <c r="I1600" i="1" s="1"/>
  <c r="F1601" i="1"/>
  <c r="I1601" i="1" s="1"/>
  <c r="F1602" i="1"/>
  <c r="I1602" i="1" s="1"/>
  <c r="F1603" i="1"/>
  <c r="I1603" i="1" s="1"/>
  <c r="F1604" i="1"/>
  <c r="I1604" i="1" s="1"/>
  <c r="F1605" i="1"/>
  <c r="I1605" i="1" s="1"/>
  <c r="F1606" i="1"/>
  <c r="I1606" i="1" s="1"/>
  <c r="F1607" i="1"/>
  <c r="I1607" i="1" s="1"/>
  <c r="F1608" i="1"/>
  <c r="I1608" i="1" s="1"/>
  <c r="F1609" i="1"/>
  <c r="I1609" i="1" s="1"/>
  <c r="F1610" i="1"/>
  <c r="I1610" i="1" s="1"/>
  <c r="F1611" i="1"/>
  <c r="I1611" i="1" s="1"/>
  <c r="F1612" i="1"/>
  <c r="I1612" i="1" s="1"/>
  <c r="F1613" i="1"/>
  <c r="I1613" i="1" s="1"/>
  <c r="F1614" i="1"/>
  <c r="I1614" i="1" s="1"/>
  <c r="F1615" i="1"/>
  <c r="I1615" i="1" s="1"/>
  <c r="F1616" i="1"/>
  <c r="F1617" i="1"/>
  <c r="I1617" i="1" s="1"/>
  <c r="F1618" i="1"/>
  <c r="I1618" i="1" s="1"/>
  <c r="F1619" i="1"/>
  <c r="I1619" i="1" s="1"/>
  <c r="F1620" i="1"/>
  <c r="I1620" i="1" s="1"/>
  <c r="F1621" i="1"/>
  <c r="I1621" i="1" s="1"/>
  <c r="F1622" i="1"/>
  <c r="I1622" i="1" s="1"/>
  <c r="F1623" i="1"/>
  <c r="I1623" i="1" s="1"/>
  <c r="F1624" i="1"/>
  <c r="I1624" i="1" s="1"/>
  <c r="F1625" i="1"/>
  <c r="I1625" i="1" s="1"/>
  <c r="F1626" i="1"/>
  <c r="I1626" i="1" s="1"/>
  <c r="F1627" i="1"/>
  <c r="I1627" i="1" s="1"/>
  <c r="F1628" i="1"/>
  <c r="F1629" i="1"/>
  <c r="I1629" i="1" s="1"/>
  <c r="F1630" i="1"/>
  <c r="I1630" i="1" s="1"/>
  <c r="F1631" i="1"/>
  <c r="I1631" i="1" s="1"/>
  <c r="F1632" i="1"/>
  <c r="I1632" i="1" s="1"/>
  <c r="F1633" i="1"/>
  <c r="I1633" i="1" s="1"/>
  <c r="F1634" i="1"/>
  <c r="I1634" i="1" s="1"/>
  <c r="F1635" i="1"/>
  <c r="I1635" i="1" s="1"/>
  <c r="F1636" i="1"/>
  <c r="I1636" i="1" s="1"/>
  <c r="F1637" i="1"/>
  <c r="I1637" i="1" s="1"/>
  <c r="F1638" i="1"/>
  <c r="I1638" i="1" s="1"/>
  <c r="F1639" i="1"/>
  <c r="I1639" i="1" s="1"/>
  <c r="F1640" i="1"/>
  <c r="F1641" i="1"/>
  <c r="I1641" i="1" s="1"/>
  <c r="F1642" i="1"/>
  <c r="I1642" i="1" s="1"/>
  <c r="F1643" i="1"/>
  <c r="I1643" i="1" s="1"/>
  <c r="F1644" i="1"/>
  <c r="I1644" i="1" s="1"/>
  <c r="F1645" i="1"/>
  <c r="I1645" i="1" s="1"/>
  <c r="F1646" i="1"/>
  <c r="I1646" i="1" s="1"/>
  <c r="F1647" i="1"/>
  <c r="I1647" i="1" s="1"/>
  <c r="F1648" i="1"/>
  <c r="I1648" i="1" s="1"/>
  <c r="F1649" i="1"/>
  <c r="I1649" i="1" s="1"/>
  <c r="F1650" i="1"/>
  <c r="I1650" i="1" s="1"/>
  <c r="F1651" i="1"/>
  <c r="I1651" i="1" s="1"/>
  <c r="F1652" i="1"/>
  <c r="F1653" i="1"/>
  <c r="I1653" i="1" s="1"/>
  <c r="F1654" i="1"/>
  <c r="I1654" i="1" s="1"/>
  <c r="F1655" i="1"/>
  <c r="I1655" i="1" s="1"/>
  <c r="F1656" i="1"/>
  <c r="I1656" i="1" s="1"/>
  <c r="F1657" i="1"/>
  <c r="I1657" i="1" s="1"/>
  <c r="F1658" i="1"/>
  <c r="I1658" i="1" s="1"/>
  <c r="F1659" i="1"/>
  <c r="I1659" i="1" s="1"/>
  <c r="F1660" i="1"/>
  <c r="I1660" i="1" s="1"/>
  <c r="F1661" i="1"/>
  <c r="I1661" i="1" s="1"/>
  <c r="F1662" i="1"/>
  <c r="I1662" i="1" s="1"/>
  <c r="F1663" i="1"/>
  <c r="I1663" i="1" s="1"/>
  <c r="F1664" i="1"/>
  <c r="F1665" i="1"/>
  <c r="I1665" i="1" s="1"/>
  <c r="F1666" i="1"/>
  <c r="I1666" i="1" s="1"/>
  <c r="F1667" i="1"/>
  <c r="I1667" i="1" s="1"/>
  <c r="F1668" i="1"/>
  <c r="I1668" i="1" s="1"/>
  <c r="F1669" i="1"/>
  <c r="I1669" i="1" s="1"/>
  <c r="F1670" i="1"/>
  <c r="I1670" i="1" s="1"/>
  <c r="F1671" i="1"/>
  <c r="I1671" i="1" s="1"/>
  <c r="F1672" i="1"/>
  <c r="I1672" i="1" s="1"/>
  <c r="F1673" i="1"/>
  <c r="I1673" i="1" s="1"/>
  <c r="F1674" i="1"/>
  <c r="I1674" i="1" s="1"/>
  <c r="F1675" i="1"/>
  <c r="I1675" i="1" s="1"/>
  <c r="F1676" i="1"/>
  <c r="F1677" i="1"/>
  <c r="I1677" i="1" s="1"/>
  <c r="F1678" i="1"/>
  <c r="I1678" i="1" s="1"/>
  <c r="F1679" i="1"/>
  <c r="I1679" i="1" s="1"/>
  <c r="F1680" i="1"/>
  <c r="I1680" i="1" s="1"/>
  <c r="F1681" i="1"/>
  <c r="I1681" i="1" s="1"/>
  <c r="F1682" i="1"/>
  <c r="I1682" i="1" s="1"/>
  <c r="F1683" i="1"/>
  <c r="I1683" i="1" s="1"/>
  <c r="F1684" i="1"/>
  <c r="I1684" i="1" s="1"/>
  <c r="F1685" i="1"/>
  <c r="I1685" i="1" s="1"/>
  <c r="F1686" i="1"/>
  <c r="I1686" i="1" s="1"/>
  <c r="F1687" i="1"/>
  <c r="I1687" i="1" s="1"/>
  <c r="F1688" i="1"/>
  <c r="I1688" i="1" s="1"/>
  <c r="F1689" i="1"/>
  <c r="I1689" i="1" s="1"/>
  <c r="F1690" i="1"/>
  <c r="I1690" i="1" s="1"/>
  <c r="F1691" i="1"/>
  <c r="I1691" i="1" s="1"/>
  <c r="F1692" i="1"/>
  <c r="I1692" i="1" s="1"/>
  <c r="F1693" i="1"/>
  <c r="I1693" i="1" s="1"/>
  <c r="F1694" i="1"/>
  <c r="I1694" i="1" s="1"/>
  <c r="F1695" i="1"/>
  <c r="I1695" i="1" s="1"/>
  <c r="F1696" i="1"/>
  <c r="I1696" i="1" s="1"/>
  <c r="F1697" i="1"/>
  <c r="I1697" i="1" s="1"/>
  <c r="F1698" i="1"/>
  <c r="I1698" i="1" s="1"/>
  <c r="F1699" i="1"/>
  <c r="I1699" i="1" s="1"/>
  <c r="F1700" i="1"/>
  <c r="I1700" i="1" s="1"/>
  <c r="F1701" i="1"/>
  <c r="I1701" i="1" s="1"/>
  <c r="F1702" i="1"/>
  <c r="I1702" i="1" s="1"/>
  <c r="F1703" i="1"/>
  <c r="I1703" i="1" s="1"/>
  <c r="F1704" i="1"/>
  <c r="I1704" i="1" s="1"/>
  <c r="F1705" i="1"/>
  <c r="I1705" i="1" s="1"/>
  <c r="F1706" i="1"/>
  <c r="I1706" i="1" s="1"/>
  <c r="F1707" i="1"/>
  <c r="I1707" i="1" s="1"/>
  <c r="F1708" i="1"/>
  <c r="I1708" i="1" s="1"/>
  <c r="F1709" i="1"/>
  <c r="I1709" i="1" s="1"/>
  <c r="F1710" i="1"/>
  <c r="I1710" i="1" s="1"/>
  <c r="F1711" i="1"/>
  <c r="I1711" i="1" s="1"/>
  <c r="F1712" i="1"/>
  <c r="F1713" i="1"/>
  <c r="I1713" i="1" s="1"/>
  <c r="F1714" i="1"/>
  <c r="I1714" i="1" s="1"/>
  <c r="F1715" i="1"/>
  <c r="I1715" i="1" s="1"/>
  <c r="F1716" i="1"/>
  <c r="I1716" i="1" s="1"/>
  <c r="F1717" i="1"/>
  <c r="I1717" i="1" s="1"/>
  <c r="F1718" i="1"/>
  <c r="I1718" i="1" s="1"/>
  <c r="F1719" i="1"/>
  <c r="I1719" i="1" s="1"/>
  <c r="F1720" i="1"/>
  <c r="I1720" i="1" s="1"/>
  <c r="F1721" i="1"/>
  <c r="I1721" i="1" s="1"/>
  <c r="F1722" i="1"/>
  <c r="I1722" i="1" s="1"/>
  <c r="F1723" i="1"/>
  <c r="I1723" i="1" s="1"/>
  <c r="F1724" i="1"/>
  <c r="I1724" i="1" s="1"/>
  <c r="F1725" i="1"/>
  <c r="I1725" i="1" s="1"/>
  <c r="F1726" i="1"/>
  <c r="I1726" i="1" s="1"/>
  <c r="F1727" i="1"/>
  <c r="I1727" i="1" s="1"/>
  <c r="F1728" i="1"/>
  <c r="I1728" i="1" s="1"/>
  <c r="F1729" i="1"/>
  <c r="I1729" i="1" s="1"/>
  <c r="F1730" i="1"/>
  <c r="I1730" i="1" s="1"/>
  <c r="F1731" i="1"/>
  <c r="I1731" i="1" s="1"/>
  <c r="F1732" i="1"/>
  <c r="I1732" i="1" s="1"/>
  <c r="F1733" i="1"/>
  <c r="I1733" i="1" s="1"/>
  <c r="F1734" i="1"/>
  <c r="I1734" i="1" s="1"/>
  <c r="F1735" i="1"/>
  <c r="I1735" i="1" s="1"/>
  <c r="F1736" i="1"/>
  <c r="I1736" i="1" s="1"/>
  <c r="F1737" i="1"/>
  <c r="I1737" i="1" s="1"/>
  <c r="F1738" i="1"/>
  <c r="I1738" i="1" s="1"/>
  <c r="F1739" i="1"/>
  <c r="I1739" i="1" s="1"/>
  <c r="F1740" i="1"/>
  <c r="I1740" i="1" s="1"/>
  <c r="F1741" i="1"/>
  <c r="I1741" i="1" s="1"/>
  <c r="F1742" i="1"/>
  <c r="I1742" i="1" s="1"/>
  <c r="F1743" i="1"/>
  <c r="I1743" i="1" s="1"/>
  <c r="F1744" i="1"/>
  <c r="I1744" i="1" s="1"/>
  <c r="F1745" i="1"/>
  <c r="I1745" i="1" s="1"/>
  <c r="F1746" i="1"/>
  <c r="I1746" i="1" s="1"/>
  <c r="F1747" i="1"/>
  <c r="I1747" i="1" s="1"/>
  <c r="F1748" i="1"/>
  <c r="F1749" i="1"/>
  <c r="I1749" i="1" s="1"/>
  <c r="F1750" i="1"/>
  <c r="I1750" i="1" s="1"/>
  <c r="F1751" i="1"/>
  <c r="I1751" i="1" s="1"/>
  <c r="F1752" i="1"/>
  <c r="I1752" i="1" s="1"/>
  <c r="F1753" i="1"/>
  <c r="I1753" i="1" s="1"/>
  <c r="F1754" i="1"/>
  <c r="I1754" i="1" s="1"/>
  <c r="F1755" i="1"/>
  <c r="I1755" i="1" s="1"/>
  <c r="F1756" i="1"/>
  <c r="I1756" i="1" s="1"/>
  <c r="F1757" i="1"/>
  <c r="I1757" i="1" s="1"/>
  <c r="F1758" i="1"/>
  <c r="I1758" i="1" s="1"/>
  <c r="F1759" i="1"/>
  <c r="I1759" i="1" s="1"/>
  <c r="F1760" i="1"/>
  <c r="I1760" i="1" s="1"/>
  <c r="F1761" i="1"/>
  <c r="I1761" i="1" s="1"/>
  <c r="F1762" i="1"/>
  <c r="I1762" i="1" s="1"/>
  <c r="F1763" i="1"/>
  <c r="I1763" i="1" s="1"/>
  <c r="F1764" i="1"/>
  <c r="I1764" i="1" s="1"/>
  <c r="F1765" i="1"/>
  <c r="I1765" i="1" s="1"/>
  <c r="F1766" i="1"/>
  <c r="I1766" i="1" s="1"/>
  <c r="F1767" i="1"/>
  <c r="I1767" i="1" s="1"/>
  <c r="F1768" i="1"/>
  <c r="I1768" i="1" s="1"/>
  <c r="F1769" i="1"/>
  <c r="I1769" i="1" s="1"/>
  <c r="F1770" i="1"/>
  <c r="I1770" i="1" s="1"/>
  <c r="F1771" i="1"/>
  <c r="I1771" i="1" s="1"/>
  <c r="F1772" i="1"/>
  <c r="F1773" i="1"/>
  <c r="I1773" i="1" s="1"/>
  <c r="F1774" i="1"/>
  <c r="I1774" i="1" s="1"/>
  <c r="F1775" i="1"/>
  <c r="I1775" i="1" s="1"/>
  <c r="F1776" i="1"/>
  <c r="I1776" i="1" s="1"/>
  <c r="F1777" i="1"/>
  <c r="I1777" i="1" s="1"/>
  <c r="F1778" i="1"/>
  <c r="I1778" i="1" s="1"/>
  <c r="F1779" i="1"/>
  <c r="I1779" i="1" s="1"/>
  <c r="F1780" i="1"/>
  <c r="I1780" i="1" s="1"/>
  <c r="F1781" i="1"/>
  <c r="I1781" i="1" s="1"/>
  <c r="F1782" i="1"/>
  <c r="I1782" i="1" s="1"/>
  <c r="F1783" i="1"/>
  <c r="I1783" i="1" s="1"/>
  <c r="F1784" i="1"/>
  <c r="F1785" i="1"/>
  <c r="I1785" i="1" s="1"/>
  <c r="F1786" i="1"/>
  <c r="I1786" i="1" s="1"/>
  <c r="F1787" i="1"/>
  <c r="I1787" i="1" s="1"/>
  <c r="F1788" i="1"/>
  <c r="I1788" i="1" s="1"/>
  <c r="F1789" i="1"/>
  <c r="I1789" i="1" s="1"/>
  <c r="F1790" i="1"/>
  <c r="I1790" i="1" s="1"/>
  <c r="F1791" i="1"/>
  <c r="I1791" i="1" s="1"/>
  <c r="F1792" i="1"/>
  <c r="I1792" i="1" s="1"/>
  <c r="F1793" i="1"/>
  <c r="I1793" i="1" s="1"/>
  <c r="F1794" i="1"/>
  <c r="I1794" i="1" s="1"/>
  <c r="F1795" i="1"/>
  <c r="I1795" i="1" s="1"/>
  <c r="F1796" i="1"/>
  <c r="I1796" i="1" s="1"/>
  <c r="F1797" i="1"/>
  <c r="I1797" i="1" s="1"/>
  <c r="F1798" i="1"/>
  <c r="I1798" i="1" s="1"/>
  <c r="F1799" i="1"/>
  <c r="I1799" i="1" s="1"/>
  <c r="F1800" i="1"/>
  <c r="I1800" i="1" s="1"/>
  <c r="F1801" i="1"/>
  <c r="I1801" i="1" s="1"/>
  <c r="F1802" i="1"/>
  <c r="I1802" i="1" s="1"/>
  <c r="F1803" i="1"/>
  <c r="I1803" i="1" s="1"/>
  <c r="F1804" i="1"/>
  <c r="I1804" i="1" s="1"/>
  <c r="F1805" i="1"/>
  <c r="I1805" i="1" s="1"/>
  <c r="F1806" i="1"/>
  <c r="I1806" i="1" s="1"/>
  <c r="F1807" i="1"/>
  <c r="I1807" i="1" s="1"/>
  <c r="F1808" i="1"/>
  <c r="I1808" i="1" s="1"/>
  <c r="F1809" i="1"/>
  <c r="I1809" i="1" s="1"/>
  <c r="F1810" i="1"/>
  <c r="I1810" i="1" s="1"/>
  <c r="F1811" i="1"/>
  <c r="I1811" i="1" s="1"/>
  <c r="F1812" i="1"/>
  <c r="I1812" i="1" s="1"/>
  <c r="F1813" i="1"/>
  <c r="I1813" i="1" s="1"/>
  <c r="F1814" i="1"/>
  <c r="I1814" i="1" s="1"/>
  <c r="F1815" i="1"/>
  <c r="I1815" i="1" s="1"/>
  <c r="F1816" i="1"/>
  <c r="I1816" i="1" s="1"/>
  <c r="F1817" i="1"/>
  <c r="I1817" i="1" s="1"/>
  <c r="F1818" i="1"/>
  <c r="I1818" i="1" s="1"/>
  <c r="F1819" i="1"/>
  <c r="I1819" i="1" s="1"/>
  <c r="F1820" i="1"/>
  <c r="F1821" i="1"/>
  <c r="I1821" i="1" s="1"/>
  <c r="F1822" i="1"/>
  <c r="I1822" i="1" s="1"/>
  <c r="F1823" i="1"/>
  <c r="I1823" i="1" s="1"/>
  <c r="F1824" i="1"/>
  <c r="I1824" i="1" s="1"/>
  <c r="F1825" i="1"/>
  <c r="I1825" i="1" s="1"/>
  <c r="F1826" i="1"/>
  <c r="I1826" i="1" s="1"/>
  <c r="F1827" i="1"/>
  <c r="I1827" i="1" s="1"/>
  <c r="F1828" i="1"/>
  <c r="I1828" i="1" s="1"/>
  <c r="F1829" i="1"/>
  <c r="I1829" i="1" s="1"/>
  <c r="F1830" i="1"/>
  <c r="I1830" i="1" s="1"/>
  <c r="F1831" i="1"/>
  <c r="I1831" i="1" s="1"/>
  <c r="F1832" i="1"/>
  <c r="I1832" i="1" s="1"/>
  <c r="F1833" i="1"/>
  <c r="I1833" i="1" s="1"/>
  <c r="F1834" i="1"/>
  <c r="I1834" i="1" s="1"/>
  <c r="F1835" i="1"/>
  <c r="I1835" i="1" s="1"/>
  <c r="F1836" i="1"/>
  <c r="I1836" i="1" s="1"/>
  <c r="F1837" i="1"/>
  <c r="I1837" i="1" s="1"/>
  <c r="F1838" i="1"/>
  <c r="I1838" i="1" s="1"/>
  <c r="F1839" i="1"/>
  <c r="I1839" i="1" s="1"/>
  <c r="F1840" i="1"/>
  <c r="I1840" i="1" s="1"/>
  <c r="F1841" i="1"/>
  <c r="I1841" i="1" s="1"/>
  <c r="F1842" i="1"/>
  <c r="I1842" i="1" s="1"/>
  <c r="F1843" i="1"/>
  <c r="I1843" i="1" s="1"/>
  <c r="F1844" i="1"/>
  <c r="I1844" i="1" s="1"/>
  <c r="F1845" i="1"/>
  <c r="I1845" i="1" s="1"/>
  <c r="F1846" i="1"/>
  <c r="I1846" i="1" s="1"/>
  <c r="F1847" i="1"/>
  <c r="I1847" i="1" s="1"/>
  <c r="F1848" i="1"/>
  <c r="I1848" i="1" s="1"/>
  <c r="F1849" i="1"/>
  <c r="I1849" i="1" s="1"/>
  <c r="F1850" i="1"/>
  <c r="I1850" i="1" s="1"/>
  <c r="F1851" i="1"/>
  <c r="I1851" i="1" s="1"/>
  <c r="F1852" i="1"/>
  <c r="I1852" i="1" s="1"/>
  <c r="F1853" i="1"/>
  <c r="I1853" i="1" s="1"/>
  <c r="F1854" i="1"/>
  <c r="I1854" i="1" s="1"/>
  <c r="F1855" i="1"/>
  <c r="I1855" i="1" s="1"/>
  <c r="F1856" i="1"/>
  <c r="I1856" i="1" s="1"/>
  <c r="F1857" i="1"/>
  <c r="I1857" i="1" s="1"/>
  <c r="F1858" i="1"/>
  <c r="I1858" i="1" s="1"/>
  <c r="F1859" i="1"/>
  <c r="I1859" i="1" s="1"/>
  <c r="F1860" i="1"/>
  <c r="I1860" i="1" s="1"/>
  <c r="F1861" i="1"/>
  <c r="I1861" i="1" s="1"/>
  <c r="F1862" i="1"/>
  <c r="I1862" i="1" s="1"/>
  <c r="F1863" i="1"/>
  <c r="I1863" i="1" s="1"/>
  <c r="F1864" i="1"/>
  <c r="I1864" i="1" s="1"/>
  <c r="F1865" i="1"/>
  <c r="I1865" i="1" s="1"/>
  <c r="F1866" i="1"/>
  <c r="I1866" i="1" s="1"/>
  <c r="F1867" i="1"/>
  <c r="I1867" i="1" s="1"/>
  <c r="F1868" i="1"/>
  <c r="I1868" i="1" s="1"/>
  <c r="F1869" i="1"/>
  <c r="I1869" i="1" s="1"/>
  <c r="F1870" i="1"/>
  <c r="I1870" i="1" s="1"/>
  <c r="F1871" i="1"/>
  <c r="I1871" i="1" s="1"/>
  <c r="F1872" i="1"/>
  <c r="I1872" i="1" s="1"/>
  <c r="F1873" i="1"/>
  <c r="I1873" i="1" s="1"/>
  <c r="F1874" i="1"/>
  <c r="I1874" i="1" s="1"/>
  <c r="F1875" i="1"/>
  <c r="I1875" i="1" s="1"/>
  <c r="F1876" i="1"/>
  <c r="I1876" i="1" s="1"/>
  <c r="F1877" i="1"/>
  <c r="I1877" i="1" s="1"/>
  <c r="F1878" i="1"/>
  <c r="I1878" i="1" s="1"/>
  <c r="F1879" i="1"/>
  <c r="I1879" i="1" s="1"/>
  <c r="F1880" i="1"/>
  <c r="I1880" i="1" s="1"/>
  <c r="F1881" i="1"/>
  <c r="I1881" i="1" s="1"/>
  <c r="F1882" i="1"/>
  <c r="I1882" i="1" s="1"/>
  <c r="F1883" i="1"/>
  <c r="I1883" i="1" s="1"/>
  <c r="F1884" i="1"/>
  <c r="I1884" i="1" s="1"/>
  <c r="F1885" i="1"/>
  <c r="I1885" i="1" s="1"/>
  <c r="F1886" i="1"/>
  <c r="I1886" i="1" s="1"/>
  <c r="F1887" i="1"/>
  <c r="I1887" i="1" s="1"/>
  <c r="F1888" i="1"/>
  <c r="I1888" i="1" s="1"/>
  <c r="F1889" i="1"/>
  <c r="I1889" i="1" s="1"/>
  <c r="F1890" i="1"/>
  <c r="I1890" i="1" s="1"/>
  <c r="F1891" i="1"/>
  <c r="I1891" i="1" s="1"/>
  <c r="F1892" i="1"/>
  <c r="I1892" i="1" s="1"/>
  <c r="F1893" i="1"/>
  <c r="I1893" i="1" s="1"/>
  <c r="F1894" i="1"/>
  <c r="I1894" i="1" s="1"/>
  <c r="F1895" i="1"/>
  <c r="I1895" i="1" s="1"/>
  <c r="F1896" i="1"/>
  <c r="I1896" i="1" s="1"/>
  <c r="F1897" i="1"/>
  <c r="I1897" i="1" s="1"/>
  <c r="F1898" i="1"/>
  <c r="I1898" i="1" s="1"/>
  <c r="F1899" i="1"/>
  <c r="I1899" i="1" s="1"/>
  <c r="F1900" i="1"/>
  <c r="I1900" i="1" s="1"/>
  <c r="F1901" i="1"/>
  <c r="I1901" i="1" s="1"/>
  <c r="F1902" i="1"/>
  <c r="I1902" i="1" s="1"/>
  <c r="F1903" i="1"/>
  <c r="I1903" i="1" s="1"/>
  <c r="F1904" i="1"/>
  <c r="I1904" i="1" s="1"/>
  <c r="F1905" i="1"/>
  <c r="I1905" i="1" s="1"/>
  <c r="F1906" i="1"/>
  <c r="I1906" i="1" s="1"/>
  <c r="F1907" i="1"/>
  <c r="I1907" i="1" s="1"/>
  <c r="F1908" i="1"/>
  <c r="I1908" i="1" s="1"/>
  <c r="F1909" i="1"/>
  <c r="I1909" i="1" s="1"/>
  <c r="F1910" i="1"/>
  <c r="I1910" i="1" s="1"/>
  <c r="F1911" i="1"/>
  <c r="I1911" i="1" s="1"/>
  <c r="F1912" i="1"/>
  <c r="I1912" i="1" s="1"/>
  <c r="F1913" i="1"/>
  <c r="I1913" i="1" s="1"/>
  <c r="F1914" i="1"/>
  <c r="I1914" i="1" s="1"/>
  <c r="F1915" i="1"/>
  <c r="I1915" i="1" s="1"/>
  <c r="F1916" i="1"/>
  <c r="I1916" i="1" s="1"/>
  <c r="F1917" i="1"/>
  <c r="I1917" i="1" s="1"/>
  <c r="F1918" i="1"/>
  <c r="I1918" i="1" s="1"/>
  <c r="F1919" i="1"/>
  <c r="I1919" i="1" s="1"/>
  <c r="F1920" i="1"/>
  <c r="I1920" i="1" s="1"/>
  <c r="F1921" i="1"/>
  <c r="I1921" i="1" s="1"/>
  <c r="F1922" i="1"/>
  <c r="I1922" i="1" s="1"/>
  <c r="F1923" i="1"/>
  <c r="I1923" i="1" s="1"/>
  <c r="F1924" i="1"/>
  <c r="I1924" i="1" s="1"/>
  <c r="F1925" i="1"/>
  <c r="I1925" i="1" s="1"/>
  <c r="F1926" i="1"/>
  <c r="I1926" i="1" s="1"/>
  <c r="F1927" i="1"/>
  <c r="I1927" i="1" s="1"/>
  <c r="F1928" i="1"/>
  <c r="I1928" i="1" s="1"/>
  <c r="F1929" i="1"/>
  <c r="I1929" i="1" s="1"/>
  <c r="F1930" i="1"/>
  <c r="I1930" i="1" s="1"/>
  <c r="F1931" i="1"/>
  <c r="I1931" i="1" s="1"/>
  <c r="F1932" i="1"/>
  <c r="I1932" i="1" s="1"/>
  <c r="F1933" i="1"/>
  <c r="I1933" i="1" s="1"/>
  <c r="F1934" i="1"/>
  <c r="I1934" i="1" s="1"/>
  <c r="F1935" i="1"/>
  <c r="I1935" i="1" s="1"/>
  <c r="F1936" i="1"/>
  <c r="I1936" i="1" s="1"/>
  <c r="F1937" i="1"/>
  <c r="I1937" i="1" s="1"/>
  <c r="F1938" i="1"/>
  <c r="I1938" i="1" s="1"/>
  <c r="F1939" i="1"/>
  <c r="I1939" i="1" s="1"/>
  <c r="F1940" i="1"/>
  <c r="I1940" i="1" s="1"/>
  <c r="F1941" i="1"/>
  <c r="I1941" i="1" s="1"/>
  <c r="F1942" i="1"/>
  <c r="I1942" i="1" s="1"/>
  <c r="F1943" i="1"/>
  <c r="I1943" i="1" s="1"/>
  <c r="F1944" i="1"/>
  <c r="I1944" i="1" s="1"/>
  <c r="F1945" i="1"/>
  <c r="I1945" i="1" s="1"/>
  <c r="F1946" i="1"/>
  <c r="I1946" i="1" s="1"/>
  <c r="F1947" i="1"/>
  <c r="I1947" i="1" s="1"/>
  <c r="F1948" i="1"/>
  <c r="I1948" i="1" s="1"/>
  <c r="F1949" i="1"/>
  <c r="I1949" i="1" s="1"/>
  <c r="F1950" i="1"/>
  <c r="I1950" i="1" s="1"/>
  <c r="F1951" i="1"/>
  <c r="I1951" i="1" s="1"/>
  <c r="F1952" i="1"/>
  <c r="I1952" i="1" s="1"/>
  <c r="F1953" i="1"/>
  <c r="I1953" i="1" s="1"/>
  <c r="F1954" i="1"/>
  <c r="I1954" i="1" s="1"/>
  <c r="F1955" i="1"/>
  <c r="I1955" i="1" s="1"/>
  <c r="F1956" i="1"/>
  <c r="I1956" i="1" s="1"/>
  <c r="F1957" i="1"/>
  <c r="I1957" i="1" s="1"/>
  <c r="F1958" i="1"/>
  <c r="I1958" i="1" s="1"/>
  <c r="F1959" i="1"/>
  <c r="I1959" i="1" s="1"/>
  <c r="F1960" i="1"/>
  <c r="I1960" i="1" s="1"/>
  <c r="F1961" i="1"/>
  <c r="I1961" i="1" s="1"/>
  <c r="F1962" i="1"/>
  <c r="I1962" i="1" s="1"/>
  <c r="F1963" i="1"/>
  <c r="I1963" i="1" s="1"/>
  <c r="F1964" i="1"/>
  <c r="I1964" i="1" s="1"/>
  <c r="F1965" i="1"/>
  <c r="I1965" i="1" s="1"/>
  <c r="F1966" i="1"/>
  <c r="I1966" i="1" s="1"/>
  <c r="F1967" i="1"/>
  <c r="I1967" i="1" s="1"/>
  <c r="F1968" i="1"/>
  <c r="I1968" i="1" s="1"/>
  <c r="F1969" i="1"/>
  <c r="I1969" i="1" s="1"/>
  <c r="F1970" i="1"/>
  <c r="I1970" i="1" s="1"/>
  <c r="F1971" i="1"/>
  <c r="I1971" i="1" s="1"/>
  <c r="F1972" i="1"/>
  <c r="I1972" i="1" s="1"/>
  <c r="F1973" i="1"/>
  <c r="I1973" i="1" s="1"/>
  <c r="F1974" i="1"/>
  <c r="I1974" i="1" s="1"/>
  <c r="F1975" i="1"/>
  <c r="I1975" i="1" s="1"/>
  <c r="F1976" i="1"/>
  <c r="I1976" i="1" s="1"/>
  <c r="F1977" i="1"/>
  <c r="I1977" i="1" s="1"/>
  <c r="F1978" i="1"/>
  <c r="I1978" i="1" s="1"/>
  <c r="F1979" i="1"/>
  <c r="I1979" i="1" s="1"/>
  <c r="F1980" i="1"/>
  <c r="I1980" i="1" s="1"/>
  <c r="F1981" i="1"/>
  <c r="I1981" i="1" s="1"/>
  <c r="F1982" i="1"/>
  <c r="I1982" i="1" s="1"/>
  <c r="F1983" i="1"/>
  <c r="I1983" i="1" s="1"/>
  <c r="F1984" i="1"/>
  <c r="I1984" i="1" s="1"/>
  <c r="F1985" i="1"/>
  <c r="I1985" i="1" s="1"/>
  <c r="F1986" i="1"/>
  <c r="I1986" i="1" s="1"/>
  <c r="F1987" i="1"/>
  <c r="I1987" i="1" s="1"/>
  <c r="F1988" i="1"/>
  <c r="I1988" i="1" s="1"/>
  <c r="F1989" i="1"/>
  <c r="I1989" i="1" s="1"/>
  <c r="F1990" i="1"/>
  <c r="I1990" i="1" s="1"/>
  <c r="F1991" i="1"/>
  <c r="I1991" i="1" s="1"/>
  <c r="F1992" i="1"/>
  <c r="I1992" i="1" s="1"/>
  <c r="F1993" i="1"/>
  <c r="I1993" i="1" s="1"/>
  <c r="F1994" i="1"/>
  <c r="I1994" i="1" s="1"/>
  <c r="F1995" i="1"/>
  <c r="I1995" i="1" s="1"/>
  <c r="F1996" i="1"/>
  <c r="I1996" i="1" s="1"/>
  <c r="F1997" i="1"/>
  <c r="I1997" i="1" s="1"/>
  <c r="F1998" i="1"/>
  <c r="I1998" i="1" s="1"/>
  <c r="F1999" i="1"/>
  <c r="I1999" i="1" s="1"/>
  <c r="F2000" i="1"/>
  <c r="I2000" i="1" s="1"/>
  <c r="F2001" i="1"/>
  <c r="I2001" i="1" s="1"/>
  <c r="F2002" i="1"/>
  <c r="I2002" i="1" s="1"/>
  <c r="F2003" i="1"/>
  <c r="I2003" i="1" s="1"/>
  <c r="F2004" i="1"/>
  <c r="I2004" i="1" s="1"/>
  <c r="F2005" i="1"/>
  <c r="I2005" i="1" s="1"/>
  <c r="F2006" i="1"/>
  <c r="I2006" i="1" s="1"/>
  <c r="F2007" i="1"/>
  <c r="I2007" i="1" s="1"/>
  <c r="F2008" i="1"/>
  <c r="I2008" i="1" s="1"/>
  <c r="F2009" i="1"/>
  <c r="I2009" i="1" s="1"/>
  <c r="F2010" i="1"/>
  <c r="I2010" i="1" s="1"/>
  <c r="F2011" i="1"/>
  <c r="I2011" i="1" s="1"/>
  <c r="F2012" i="1"/>
  <c r="I2012" i="1" s="1"/>
  <c r="F2013" i="1"/>
  <c r="I2013" i="1" s="1"/>
  <c r="F2014" i="1"/>
  <c r="I2014" i="1" s="1"/>
  <c r="F2015" i="1"/>
  <c r="I2015" i="1" s="1"/>
  <c r="F2016" i="1"/>
  <c r="I2016" i="1" s="1"/>
  <c r="F2017" i="1"/>
  <c r="I2017" i="1" s="1"/>
  <c r="F1514" i="1"/>
  <c r="I1514" i="1" s="1"/>
  <c r="F1493" i="1"/>
  <c r="I1493" i="1" s="1"/>
  <c r="F1494" i="1"/>
  <c r="I1494" i="1" s="1"/>
  <c r="F1495" i="1"/>
  <c r="I1495" i="1" s="1"/>
  <c r="F1496" i="1"/>
  <c r="F1497" i="1"/>
  <c r="I1497" i="1" s="1"/>
  <c r="F1498" i="1"/>
  <c r="I1498" i="1" s="1"/>
  <c r="F1499" i="1"/>
  <c r="I1499" i="1" s="1"/>
  <c r="F1500" i="1"/>
  <c r="I1500" i="1" s="1"/>
  <c r="F1501" i="1"/>
  <c r="I1501" i="1" s="1"/>
  <c r="F1502" i="1"/>
  <c r="I1502" i="1" s="1"/>
  <c r="F1503" i="1"/>
  <c r="I1503" i="1" s="1"/>
  <c r="F1504" i="1"/>
  <c r="I1504" i="1" s="1"/>
  <c r="F1505" i="1"/>
  <c r="I1505" i="1" s="1"/>
  <c r="F1506" i="1"/>
  <c r="I1506" i="1" s="1"/>
  <c r="F1507" i="1"/>
  <c r="I1507" i="1" s="1"/>
  <c r="F1508" i="1"/>
  <c r="F1509" i="1"/>
  <c r="I1509" i="1" s="1"/>
  <c r="F1510" i="1"/>
  <c r="I1510" i="1" s="1"/>
  <c r="F1511" i="1"/>
  <c r="I1511" i="1" s="1"/>
  <c r="F1512" i="1"/>
  <c r="I1512" i="1" s="1"/>
  <c r="F1513" i="1"/>
  <c r="I1513" i="1" s="1"/>
  <c r="F1011" i="1"/>
  <c r="I1011" i="1" s="1"/>
  <c r="F1012" i="1"/>
  <c r="I1012" i="1" s="1"/>
  <c r="F1013" i="1"/>
  <c r="I1013" i="1" s="1"/>
  <c r="F1014" i="1"/>
  <c r="I1014" i="1" s="1"/>
  <c r="F1015" i="1"/>
  <c r="I1015" i="1" s="1"/>
  <c r="F1016" i="1"/>
  <c r="I1016" i="1" s="1"/>
  <c r="F1017" i="1"/>
  <c r="I1017" i="1" s="1"/>
  <c r="F1018" i="1"/>
  <c r="I1018" i="1" s="1"/>
  <c r="F1019" i="1"/>
  <c r="I1019" i="1" s="1"/>
  <c r="F1020" i="1"/>
  <c r="I1020" i="1" s="1"/>
  <c r="F1021" i="1"/>
  <c r="I1021" i="1" s="1"/>
  <c r="F1022" i="1"/>
  <c r="I1022" i="1" s="1"/>
  <c r="F1023" i="1"/>
  <c r="I1023" i="1" s="1"/>
  <c r="F1024" i="1"/>
  <c r="I1024" i="1" s="1"/>
  <c r="F1025" i="1"/>
  <c r="I1025" i="1" s="1"/>
  <c r="F1026" i="1"/>
  <c r="I1026" i="1" s="1"/>
  <c r="F1027" i="1"/>
  <c r="I1027" i="1" s="1"/>
  <c r="F1028" i="1"/>
  <c r="I1028" i="1" s="1"/>
  <c r="F1029" i="1"/>
  <c r="I1029" i="1" s="1"/>
  <c r="F1030" i="1"/>
  <c r="I1030" i="1" s="1"/>
  <c r="F1031" i="1"/>
  <c r="I1031" i="1" s="1"/>
  <c r="F1032" i="1"/>
  <c r="I1032" i="1" s="1"/>
  <c r="F1033" i="1"/>
  <c r="I1033" i="1" s="1"/>
  <c r="F1034" i="1"/>
  <c r="I1034" i="1" s="1"/>
  <c r="F1035" i="1"/>
  <c r="I1035" i="1" s="1"/>
  <c r="F1036" i="1"/>
  <c r="I1036" i="1" s="1"/>
  <c r="F1037" i="1"/>
  <c r="I1037" i="1" s="1"/>
  <c r="F1038" i="1"/>
  <c r="I1038" i="1" s="1"/>
  <c r="F1039" i="1"/>
  <c r="I1039" i="1" s="1"/>
  <c r="F1040" i="1"/>
  <c r="I1040" i="1" s="1"/>
  <c r="F1041" i="1"/>
  <c r="I1041" i="1" s="1"/>
  <c r="F1042" i="1"/>
  <c r="I1042" i="1" s="1"/>
  <c r="F1043" i="1"/>
  <c r="I1043" i="1" s="1"/>
  <c r="F1044" i="1"/>
  <c r="I1044" i="1" s="1"/>
  <c r="F1045" i="1"/>
  <c r="I1045" i="1" s="1"/>
  <c r="F1046" i="1"/>
  <c r="I1046" i="1" s="1"/>
  <c r="F1047" i="1"/>
  <c r="I1047" i="1" s="1"/>
  <c r="F1048" i="1"/>
  <c r="I1048" i="1" s="1"/>
  <c r="F1049" i="1"/>
  <c r="I1049" i="1" s="1"/>
  <c r="F1050" i="1"/>
  <c r="I1050" i="1" s="1"/>
  <c r="F1051" i="1"/>
  <c r="I1051" i="1" s="1"/>
  <c r="F1052" i="1"/>
  <c r="I1052" i="1" s="1"/>
  <c r="F1053" i="1"/>
  <c r="I1053" i="1" s="1"/>
  <c r="F1054" i="1"/>
  <c r="I1054" i="1" s="1"/>
  <c r="F1055" i="1"/>
  <c r="I1055" i="1" s="1"/>
  <c r="F1056" i="1"/>
  <c r="I1056" i="1" s="1"/>
  <c r="F1057" i="1"/>
  <c r="I1057" i="1" s="1"/>
  <c r="F1058" i="1"/>
  <c r="I1058" i="1" s="1"/>
  <c r="F1059" i="1"/>
  <c r="I1059" i="1" s="1"/>
  <c r="F1060" i="1"/>
  <c r="I1060" i="1" s="1"/>
  <c r="F1061" i="1"/>
  <c r="I1061" i="1" s="1"/>
  <c r="F1062" i="1"/>
  <c r="I1062" i="1" s="1"/>
  <c r="F1063" i="1"/>
  <c r="I1063" i="1" s="1"/>
  <c r="F1064" i="1"/>
  <c r="I1064" i="1" s="1"/>
  <c r="F1065" i="1"/>
  <c r="I1065" i="1" s="1"/>
  <c r="F1066" i="1"/>
  <c r="I1066" i="1" s="1"/>
  <c r="F1067" i="1"/>
  <c r="I1067" i="1" s="1"/>
  <c r="F1068" i="1"/>
  <c r="I1068" i="1" s="1"/>
  <c r="F1069" i="1"/>
  <c r="I1069" i="1" s="1"/>
  <c r="F1070" i="1"/>
  <c r="I1070" i="1" s="1"/>
  <c r="F1071" i="1"/>
  <c r="I1071" i="1" s="1"/>
  <c r="F1072" i="1"/>
  <c r="I1072" i="1" s="1"/>
  <c r="F1073" i="1"/>
  <c r="I1073" i="1" s="1"/>
  <c r="F1074" i="1"/>
  <c r="I1074" i="1" s="1"/>
  <c r="F1075" i="1"/>
  <c r="I1075" i="1" s="1"/>
  <c r="F1076" i="1"/>
  <c r="I1076" i="1" s="1"/>
  <c r="F1077" i="1"/>
  <c r="I1077" i="1" s="1"/>
  <c r="F1078" i="1"/>
  <c r="I1078" i="1" s="1"/>
  <c r="F1079" i="1"/>
  <c r="I1079" i="1" s="1"/>
  <c r="F1080" i="1"/>
  <c r="I1080" i="1" s="1"/>
  <c r="F1081" i="1"/>
  <c r="I1081" i="1" s="1"/>
  <c r="F1082" i="1"/>
  <c r="I1082" i="1" s="1"/>
  <c r="F1083" i="1"/>
  <c r="I1083" i="1" s="1"/>
  <c r="F1084" i="1"/>
  <c r="I1084" i="1" s="1"/>
  <c r="F1085" i="1"/>
  <c r="I1085" i="1" s="1"/>
  <c r="F1086" i="1"/>
  <c r="I1086" i="1" s="1"/>
  <c r="F1087" i="1"/>
  <c r="I1087" i="1" s="1"/>
  <c r="F1088" i="1"/>
  <c r="I1088" i="1" s="1"/>
  <c r="F1089" i="1"/>
  <c r="I1089" i="1" s="1"/>
  <c r="F1090" i="1"/>
  <c r="I1090" i="1" s="1"/>
  <c r="F1091" i="1"/>
  <c r="I1091" i="1" s="1"/>
  <c r="F1092" i="1"/>
  <c r="I1092" i="1" s="1"/>
  <c r="F1093" i="1"/>
  <c r="I1093" i="1" s="1"/>
  <c r="F1094" i="1"/>
  <c r="I1094" i="1" s="1"/>
  <c r="F1095" i="1"/>
  <c r="I1095" i="1" s="1"/>
  <c r="F1096" i="1"/>
  <c r="I1096" i="1" s="1"/>
  <c r="F1097" i="1"/>
  <c r="I1097" i="1" s="1"/>
  <c r="F1098" i="1"/>
  <c r="I1098" i="1" s="1"/>
  <c r="F1099" i="1"/>
  <c r="I1099" i="1" s="1"/>
  <c r="F1100" i="1"/>
  <c r="I1100" i="1" s="1"/>
  <c r="F1101" i="1"/>
  <c r="I1101" i="1" s="1"/>
  <c r="F1102" i="1"/>
  <c r="I1102" i="1" s="1"/>
  <c r="F1103" i="1"/>
  <c r="I1103" i="1" s="1"/>
  <c r="F1104" i="1"/>
  <c r="I1104" i="1" s="1"/>
  <c r="F1105" i="1"/>
  <c r="I1105" i="1" s="1"/>
  <c r="F1106" i="1"/>
  <c r="I1106" i="1" s="1"/>
  <c r="F1107" i="1"/>
  <c r="I1107" i="1" s="1"/>
  <c r="F1108" i="1"/>
  <c r="I1108" i="1" s="1"/>
  <c r="F1109" i="1"/>
  <c r="I1109" i="1" s="1"/>
  <c r="F1110" i="1"/>
  <c r="I1110" i="1" s="1"/>
  <c r="F1111" i="1"/>
  <c r="I1111" i="1" s="1"/>
  <c r="F1112" i="1"/>
  <c r="I1112" i="1" s="1"/>
  <c r="F1113" i="1"/>
  <c r="I1113" i="1" s="1"/>
  <c r="F1114" i="1"/>
  <c r="I1114" i="1" s="1"/>
  <c r="F1115" i="1"/>
  <c r="I1115" i="1" s="1"/>
  <c r="F1116" i="1"/>
  <c r="I1116" i="1" s="1"/>
  <c r="F1117" i="1"/>
  <c r="I1117" i="1" s="1"/>
  <c r="F1118" i="1"/>
  <c r="I1118" i="1" s="1"/>
  <c r="F1119" i="1"/>
  <c r="I1119" i="1" s="1"/>
  <c r="F1120" i="1"/>
  <c r="I1120" i="1" s="1"/>
  <c r="F1121" i="1"/>
  <c r="I1121" i="1" s="1"/>
  <c r="F1122" i="1"/>
  <c r="I1122" i="1" s="1"/>
  <c r="F1123" i="1"/>
  <c r="I1123" i="1" s="1"/>
  <c r="F1124" i="1"/>
  <c r="I1124" i="1" s="1"/>
  <c r="F1125" i="1"/>
  <c r="I1125" i="1" s="1"/>
  <c r="F1126" i="1"/>
  <c r="I1126" i="1" s="1"/>
  <c r="F1127" i="1"/>
  <c r="I1127" i="1" s="1"/>
  <c r="F1128" i="1"/>
  <c r="I1128" i="1" s="1"/>
  <c r="F1129" i="1"/>
  <c r="I1129" i="1" s="1"/>
  <c r="F1130" i="1"/>
  <c r="I1130" i="1" s="1"/>
  <c r="F1131" i="1"/>
  <c r="I1131" i="1" s="1"/>
  <c r="F1132" i="1"/>
  <c r="I1132" i="1" s="1"/>
  <c r="F1133" i="1"/>
  <c r="I1133" i="1" s="1"/>
  <c r="F1134" i="1"/>
  <c r="I1134" i="1" s="1"/>
  <c r="F1135" i="1"/>
  <c r="I1135" i="1" s="1"/>
  <c r="F1136" i="1"/>
  <c r="I1136" i="1" s="1"/>
  <c r="F1137" i="1"/>
  <c r="I1137" i="1" s="1"/>
  <c r="F1138" i="1"/>
  <c r="I1138" i="1" s="1"/>
  <c r="F1139" i="1"/>
  <c r="I1139" i="1" s="1"/>
  <c r="F1140" i="1"/>
  <c r="I1140" i="1" s="1"/>
  <c r="F1141" i="1"/>
  <c r="I1141" i="1" s="1"/>
  <c r="F1142" i="1"/>
  <c r="I1142" i="1" s="1"/>
  <c r="F1143" i="1"/>
  <c r="I1143" i="1" s="1"/>
  <c r="F1144" i="1"/>
  <c r="I1144" i="1" s="1"/>
  <c r="F1145" i="1"/>
  <c r="I1145" i="1" s="1"/>
  <c r="F1146" i="1"/>
  <c r="I1146" i="1" s="1"/>
  <c r="F1147" i="1"/>
  <c r="I1147" i="1" s="1"/>
  <c r="F1148" i="1"/>
  <c r="I1148" i="1" s="1"/>
  <c r="F1149" i="1"/>
  <c r="I1149" i="1" s="1"/>
  <c r="F1150" i="1"/>
  <c r="I1150" i="1" s="1"/>
  <c r="F1151" i="1"/>
  <c r="I1151" i="1" s="1"/>
  <c r="F1152" i="1"/>
  <c r="I1152" i="1" s="1"/>
  <c r="F1153" i="1"/>
  <c r="I1153" i="1" s="1"/>
  <c r="F1154" i="1"/>
  <c r="I1154" i="1" s="1"/>
  <c r="F1155" i="1"/>
  <c r="I1155" i="1" s="1"/>
  <c r="F1156" i="1"/>
  <c r="I1156" i="1" s="1"/>
  <c r="F1157" i="1"/>
  <c r="I1157" i="1" s="1"/>
  <c r="F1158" i="1"/>
  <c r="I1158" i="1" s="1"/>
  <c r="F1159" i="1"/>
  <c r="I1159" i="1" s="1"/>
  <c r="F1160" i="1"/>
  <c r="I1160" i="1" s="1"/>
  <c r="F1161" i="1"/>
  <c r="I1161" i="1" s="1"/>
  <c r="F1162" i="1"/>
  <c r="I1162" i="1" s="1"/>
  <c r="F1163" i="1"/>
  <c r="I1163" i="1" s="1"/>
  <c r="F1164" i="1"/>
  <c r="I1164" i="1" s="1"/>
  <c r="F1165" i="1"/>
  <c r="I1165" i="1" s="1"/>
  <c r="F1166" i="1"/>
  <c r="I1166" i="1" s="1"/>
  <c r="F1167" i="1"/>
  <c r="I1167" i="1" s="1"/>
  <c r="F1168" i="1"/>
  <c r="I1168" i="1" s="1"/>
  <c r="F1169" i="1"/>
  <c r="I1169" i="1" s="1"/>
  <c r="F1170" i="1"/>
  <c r="I1170" i="1" s="1"/>
  <c r="F1171" i="1"/>
  <c r="I1171" i="1" s="1"/>
  <c r="F1172" i="1"/>
  <c r="I1172" i="1" s="1"/>
  <c r="F1173" i="1"/>
  <c r="I1173" i="1" s="1"/>
  <c r="F1174" i="1"/>
  <c r="I1174" i="1" s="1"/>
  <c r="F1175" i="1"/>
  <c r="I1175" i="1" s="1"/>
  <c r="F1176" i="1"/>
  <c r="I1176" i="1" s="1"/>
  <c r="F1177" i="1"/>
  <c r="I1177" i="1" s="1"/>
  <c r="F1178" i="1"/>
  <c r="I1178" i="1" s="1"/>
  <c r="F1179" i="1"/>
  <c r="I1179" i="1" s="1"/>
  <c r="F1180" i="1"/>
  <c r="I1180" i="1" s="1"/>
  <c r="F1181" i="1"/>
  <c r="I1181" i="1" s="1"/>
  <c r="F1182" i="1"/>
  <c r="I1182" i="1" s="1"/>
  <c r="F1183" i="1"/>
  <c r="I1183" i="1" s="1"/>
  <c r="F1184" i="1"/>
  <c r="I1184" i="1" s="1"/>
  <c r="F1185" i="1"/>
  <c r="I1185" i="1" s="1"/>
  <c r="F1186" i="1"/>
  <c r="I1186" i="1" s="1"/>
  <c r="F1187" i="1"/>
  <c r="I1187" i="1" s="1"/>
  <c r="F1188" i="1"/>
  <c r="I1188" i="1" s="1"/>
  <c r="F1189" i="1"/>
  <c r="I1189" i="1" s="1"/>
  <c r="F1190" i="1"/>
  <c r="I1190" i="1" s="1"/>
  <c r="F1191" i="1"/>
  <c r="I1191" i="1" s="1"/>
  <c r="F1192" i="1"/>
  <c r="I1192" i="1" s="1"/>
  <c r="F1193" i="1"/>
  <c r="I1193" i="1" s="1"/>
  <c r="F1194" i="1"/>
  <c r="I1194" i="1" s="1"/>
  <c r="F1195" i="1"/>
  <c r="I1195" i="1" s="1"/>
  <c r="F1196" i="1"/>
  <c r="I1196" i="1" s="1"/>
  <c r="F1197" i="1"/>
  <c r="I1197" i="1" s="1"/>
  <c r="F1198" i="1"/>
  <c r="I1198" i="1" s="1"/>
  <c r="F1199" i="1"/>
  <c r="I1199" i="1" s="1"/>
  <c r="F1200" i="1"/>
  <c r="I1200" i="1" s="1"/>
  <c r="F1201" i="1"/>
  <c r="I1201" i="1" s="1"/>
  <c r="F1202" i="1"/>
  <c r="I1202" i="1" s="1"/>
  <c r="F1203" i="1"/>
  <c r="I1203" i="1" s="1"/>
  <c r="F1204" i="1"/>
  <c r="I1204" i="1" s="1"/>
  <c r="F1205" i="1"/>
  <c r="I1205" i="1" s="1"/>
  <c r="F1206" i="1"/>
  <c r="I1206" i="1" s="1"/>
  <c r="F1207" i="1"/>
  <c r="I1207" i="1" s="1"/>
  <c r="F1208" i="1"/>
  <c r="I1208" i="1" s="1"/>
  <c r="F1209" i="1"/>
  <c r="I1209" i="1" s="1"/>
  <c r="F1210" i="1"/>
  <c r="I1210" i="1" s="1"/>
  <c r="F1211" i="1"/>
  <c r="I1211" i="1" s="1"/>
  <c r="F1212" i="1"/>
  <c r="I1212" i="1" s="1"/>
  <c r="F1213" i="1"/>
  <c r="I1213" i="1" s="1"/>
  <c r="F1214" i="1"/>
  <c r="I1214" i="1" s="1"/>
  <c r="F1215" i="1"/>
  <c r="I1215" i="1" s="1"/>
  <c r="F1216" i="1"/>
  <c r="I1216" i="1" s="1"/>
  <c r="F1217" i="1"/>
  <c r="I1217" i="1" s="1"/>
  <c r="F1218" i="1"/>
  <c r="I1218" i="1" s="1"/>
  <c r="F1219" i="1"/>
  <c r="I1219" i="1" s="1"/>
  <c r="F1220" i="1"/>
  <c r="I1220" i="1" s="1"/>
  <c r="F1221" i="1"/>
  <c r="I1221" i="1" s="1"/>
  <c r="F1222" i="1"/>
  <c r="I1222" i="1" s="1"/>
  <c r="F1223" i="1"/>
  <c r="I1223" i="1" s="1"/>
  <c r="F1224" i="1"/>
  <c r="I1224" i="1" s="1"/>
  <c r="F1225" i="1"/>
  <c r="I1225" i="1" s="1"/>
  <c r="F1226" i="1"/>
  <c r="I1226" i="1" s="1"/>
  <c r="F1227" i="1"/>
  <c r="I1227" i="1" s="1"/>
  <c r="F1228" i="1"/>
  <c r="I1228" i="1" s="1"/>
  <c r="F1229" i="1"/>
  <c r="I1229" i="1" s="1"/>
  <c r="F1230" i="1"/>
  <c r="I1230" i="1" s="1"/>
  <c r="F1231" i="1"/>
  <c r="I1231" i="1" s="1"/>
  <c r="F1232" i="1"/>
  <c r="I1232" i="1" s="1"/>
  <c r="F1233" i="1"/>
  <c r="I1233" i="1" s="1"/>
  <c r="F1234" i="1"/>
  <c r="I1234" i="1" s="1"/>
  <c r="F1235" i="1"/>
  <c r="I1235" i="1" s="1"/>
  <c r="F1236" i="1"/>
  <c r="I1236" i="1" s="1"/>
  <c r="F1237" i="1"/>
  <c r="I1237" i="1" s="1"/>
  <c r="F1238" i="1"/>
  <c r="I1238" i="1" s="1"/>
  <c r="F1239" i="1"/>
  <c r="I1239" i="1" s="1"/>
  <c r="F1240" i="1"/>
  <c r="I1240" i="1" s="1"/>
  <c r="F1241" i="1"/>
  <c r="I1241" i="1" s="1"/>
  <c r="F1242" i="1"/>
  <c r="I1242" i="1" s="1"/>
  <c r="F1243" i="1"/>
  <c r="I1243" i="1" s="1"/>
  <c r="F1244" i="1"/>
  <c r="I1244" i="1" s="1"/>
  <c r="F1245" i="1"/>
  <c r="I1245" i="1" s="1"/>
  <c r="F1246" i="1"/>
  <c r="I1246" i="1" s="1"/>
  <c r="F1247" i="1"/>
  <c r="I1247" i="1" s="1"/>
  <c r="F1248" i="1"/>
  <c r="I1248" i="1" s="1"/>
  <c r="F1249" i="1"/>
  <c r="I1249" i="1" s="1"/>
  <c r="F1250" i="1"/>
  <c r="I1250" i="1" s="1"/>
  <c r="F1251" i="1"/>
  <c r="I1251" i="1" s="1"/>
  <c r="F1252" i="1"/>
  <c r="I1252" i="1" s="1"/>
  <c r="F1253" i="1"/>
  <c r="I1253" i="1" s="1"/>
  <c r="F1254" i="1"/>
  <c r="I1254" i="1" s="1"/>
  <c r="F1255" i="1"/>
  <c r="I1255" i="1" s="1"/>
  <c r="F1256" i="1"/>
  <c r="I1256" i="1" s="1"/>
  <c r="F1257" i="1"/>
  <c r="I1257" i="1" s="1"/>
  <c r="F1258" i="1"/>
  <c r="I1258" i="1" s="1"/>
  <c r="F1259" i="1"/>
  <c r="I1259" i="1" s="1"/>
  <c r="F1260" i="1"/>
  <c r="I1260" i="1" s="1"/>
  <c r="F1261" i="1"/>
  <c r="I1261" i="1" s="1"/>
  <c r="F1262" i="1"/>
  <c r="I1262" i="1" s="1"/>
  <c r="F1263" i="1"/>
  <c r="I1263" i="1" s="1"/>
  <c r="F1264" i="1"/>
  <c r="I1264" i="1" s="1"/>
  <c r="F1265" i="1"/>
  <c r="I1265" i="1" s="1"/>
  <c r="F1266" i="1"/>
  <c r="I1266" i="1" s="1"/>
  <c r="F1267" i="1"/>
  <c r="I1267" i="1" s="1"/>
  <c r="F1268" i="1"/>
  <c r="I1268" i="1" s="1"/>
  <c r="F1269" i="1"/>
  <c r="I1269" i="1" s="1"/>
  <c r="F1270" i="1"/>
  <c r="I1270" i="1" s="1"/>
  <c r="F1271" i="1"/>
  <c r="I1271" i="1" s="1"/>
  <c r="F1272" i="1"/>
  <c r="I1272" i="1" s="1"/>
  <c r="F1273" i="1"/>
  <c r="I1273" i="1" s="1"/>
  <c r="F1274" i="1"/>
  <c r="I1274" i="1" s="1"/>
  <c r="F1275" i="1"/>
  <c r="I1275" i="1" s="1"/>
  <c r="F1276" i="1"/>
  <c r="I1276" i="1" s="1"/>
  <c r="F1277" i="1"/>
  <c r="I1277" i="1" s="1"/>
  <c r="F1278" i="1"/>
  <c r="I1278" i="1" s="1"/>
  <c r="F1279" i="1"/>
  <c r="I1279" i="1" s="1"/>
  <c r="F1280" i="1"/>
  <c r="I1280" i="1" s="1"/>
  <c r="F1281" i="1"/>
  <c r="I1281" i="1" s="1"/>
  <c r="F1282" i="1"/>
  <c r="I1282" i="1" s="1"/>
  <c r="F1283" i="1"/>
  <c r="I1283" i="1" s="1"/>
  <c r="F1284" i="1"/>
  <c r="I1284" i="1" s="1"/>
  <c r="F1285" i="1"/>
  <c r="I1285" i="1" s="1"/>
  <c r="F1286" i="1"/>
  <c r="I1286" i="1" s="1"/>
  <c r="F1287" i="1"/>
  <c r="I1287" i="1" s="1"/>
  <c r="F1288" i="1"/>
  <c r="I1288" i="1" s="1"/>
  <c r="F1289" i="1"/>
  <c r="I1289" i="1" s="1"/>
  <c r="F1290" i="1"/>
  <c r="I1290" i="1" s="1"/>
  <c r="F1291" i="1"/>
  <c r="I1291" i="1" s="1"/>
  <c r="F1292" i="1"/>
  <c r="I1292" i="1" s="1"/>
  <c r="F1293" i="1"/>
  <c r="I1293" i="1" s="1"/>
  <c r="F1294" i="1"/>
  <c r="I1294" i="1" s="1"/>
  <c r="F1295" i="1"/>
  <c r="I1295" i="1" s="1"/>
  <c r="F1296" i="1"/>
  <c r="I1296" i="1" s="1"/>
  <c r="F1297" i="1"/>
  <c r="I1297" i="1" s="1"/>
  <c r="F1298" i="1"/>
  <c r="I1298" i="1" s="1"/>
  <c r="F1299" i="1"/>
  <c r="I1299" i="1" s="1"/>
  <c r="F1300" i="1"/>
  <c r="I1300" i="1" s="1"/>
  <c r="F1301" i="1"/>
  <c r="I1301" i="1" s="1"/>
  <c r="F1302" i="1"/>
  <c r="I1302" i="1" s="1"/>
  <c r="F1303" i="1"/>
  <c r="I1303" i="1" s="1"/>
  <c r="F1304" i="1"/>
  <c r="I1304" i="1" s="1"/>
  <c r="F1305" i="1"/>
  <c r="I1305" i="1" s="1"/>
  <c r="F1306" i="1"/>
  <c r="I1306" i="1" s="1"/>
  <c r="F1307" i="1"/>
  <c r="I1307" i="1" s="1"/>
  <c r="F1308" i="1"/>
  <c r="I1308" i="1" s="1"/>
  <c r="F1309" i="1"/>
  <c r="I1309" i="1" s="1"/>
  <c r="F1310" i="1"/>
  <c r="I1310" i="1" s="1"/>
  <c r="F1311" i="1"/>
  <c r="I1311" i="1" s="1"/>
  <c r="F1312" i="1"/>
  <c r="I1312" i="1" s="1"/>
  <c r="F1313" i="1"/>
  <c r="I1313" i="1" s="1"/>
  <c r="F1314" i="1"/>
  <c r="I1314" i="1" s="1"/>
  <c r="F1315" i="1"/>
  <c r="I1315" i="1" s="1"/>
  <c r="F1316" i="1"/>
  <c r="I1316" i="1" s="1"/>
  <c r="F1317" i="1"/>
  <c r="I1317" i="1" s="1"/>
  <c r="F1318" i="1"/>
  <c r="I1318" i="1" s="1"/>
  <c r="F1319" i="1"/>
  <c r="I1319" i="1" s="1"/>
  <c r="F1320" i="1"/>
  <c r="I1320" i="1" s="1"/>
  <c r="F1321" i="1"/>
  <c r="I1321" i="1" s="1"/>
  <c r="F1322" i="1"/>
  <c r="I1322" i="1" s="1"/>
  <c r="F1323" i="1"/>
  <c r="I1323" i="1" s="1"/>
  <c r="F1324" i="1"/>
  <c r="I1324" i="1" s="1"/>
  <c r="F1325" i="1"/>
  <c r="I1325" i="1" s="1"/>
  <c r="F1326" i="1"/>
  <c r="I1326" i="1" s="1"/>
  <c r="F1327" i="1"/>
  <c r="I1327" i="1" s="1"/>
  <c r="F1328" i="1"/>
  <c r="I1328" i="1" s="1"/>
  <c r="F1329" i="1"/>
  <c r="I1329" i="1" s="1"/>
  <c r="F1330" i="1"/>
  <c r="I1330" i="1" s="1"/>
  <c r="F1331" i="1"/>
  <c r="I1331" i="1" s="1"/>
  <c r="F1332" i="1"/>
  <c r="I1332" i="1" s="1"/>
  <c r="F1333" i="1"/>
  <c r="I1333" i="1" s="1"/>
  <c r="F1334" i="1"/>
  <c r="I1334" i="1" s="1"/>
  <c r="F1335" i="1"/>
  <c r="I1335" i="1" s="1"/>
  <c r="F1336" i="1"/>
  <c r="I1336" i="1" s="1"/>
  <c r="F1337" i="1"/>
  <c r="I1337" i="1" s="1"/>
  <c r="F1338" i="1"/>
  <c r="I1338" i="1" s="1"/>
  <c r="F1339" i="1"/>
  <c r="I1339" i="1" s="1"/>
  <c r="F1340" i="1"/>
  <c r="I1340" i="1" s="1"/>
  <c r="F1341" i="1"/>
  <c r="I1341" i="1" s="1"/>
  <c r="F1342" i="1"/>
  <c r="I1342" i="1" s="1"/>
  <c r="F1343" i="1"/>
  <c r="I1343" i="1" s="1"/>
  <c r="F1344" i="1"/>
  <c r="I1344" i="1" s="1"/>
  <c r="F1345" i="1"/>
  <c r="I1345" i="1" s="1"/>
  <c r="F1346" i="1"/>
  <c r="I1346" i="1" s="1"/>
  <c r="F1347" i="1"/>
  <c r="I1347" i="1" s="1"/>
  <c r="F1348" i="1"/>
  <c r="I1348" i="1" s="1"/>
  <c r="F1349" i="1"/>
  <c r="I1349" i="1" s="1"/>
  <c r="F1350" i="1"/>
  <c r="I1350" i="1" s="1"/>
  <c r="F1351" i="1"/>
  <c r="I1351" i="1" s="1"/>
  <c r="F1352" i="1"/>
  <c r="I1352" i="1" s="1"/>
  <c r="F1353" i="1"/>
  <c r="I1353" i="1" s="1"/>
  <c r="F1354" i="1"/>
  <c r="I1354" i="1" s="1"/>
  <c r="F1355" i="1"/>
  <c r="I1355" i="1" s="1"/>
  <c r="F1356" i="1"/>
  <c r="I1356" i="1" s="1"/>
  <c r="F1357" i="1"/>
  <c r="I1357" i="1" s="1"/>
  <c r="F1358" i="1"/>
  <c r="I1358" i="1" s="1"/>
  <c r="F1359" i="1"/>
  <c r="I1359" i="1" s="1"/>
  <c r="F1360" i="1"/>
  <c r="I1360" i="1" s="1"/>
  <c r="F1361" i="1"/>
  <c r="I1361" i="1" s="1"/>
  <c r="F1362" i="1"/>
  <c r="I1362" i="1" s="1"/>
  <c r="F1363" i="1"/>
  <c r="I1363" i="1" s="1"/>
  <c r="F1364" i="1"/>
  <c r="I1364" i="1" s="1"/>
  <c r="F1365" i="1"/>
  <c r="I1365" i="1" s="1"/>
  <c r="F1366" i="1"/>
  <c r="I1366" i="1" s="1"/>
  <c r="F1367" i="1"/>
  <c r="I1367" i="1" s="1"/>
  <c r="F1368" i="1"/>
  <c r="I1368" i="1" s="1"/>
  <c r="F1369" i="1"/>
  <c r="I1369" i="1" s="1"/>
  <c r="F1370" i="1"/>
  <c r="I1370" i="1" s="1"/>
  <c r="F1371" i="1"/>
  <c r="I1371" i="1" s="1"/>
  <c r="F1372" i="1"/>
  <c r="I1372" i="1" s="1"/>
  <c r="F1373" i="1"/>
  <c r="I1373" i="1" s="1"/>
  <c r="F1374" i="1"/>
  <c r="I1374" i="1" s="1"/>
  <c r="F1375" i="1"/>
  <c r="I1375" i="1" s="1"/>
  <c r="F1376" i="1"/>
  <c r="I1376" i="1" s="1"/>
  <c r="F1377" i="1"/>
  <c r="I1377" i="1" s="1"/>
  <c r="F1378" i="1"/>
  <c r="I1378" i="1" s="1"/>
  <c r="F1379" i="1"/>
  <c r="I1379" i="1" s="1"/>
  <c r="F1380" i="1"/>
  <c r="I1380" i="1" s="1"/>
  <c r="F1381" i="1"/>
  <c r="I1381" i="1" s="1"/>
  <c r="F1382" i="1"/>
  <c r="I1382" i="1" s="1"/>
  <c r="F1383" i="1"/>
  <c r="I1383" i="1" s="1"/>
  <c r="F1384" i="1"/>
  <c r="I1384" i="1" s="1"/>
  <c r="F1385" i="1"/>
  <c r="I1385" i="1" s="1"/>
  <c r="F1386" i="1"/>
  <c r="I1386" i="1" s="1"/>
  <c r="F1387" i="1"/>
  <c r="I1387" i="1" s="1"/>
  <c r="F1388" i="1"/>
  <c r="I1388" i="1" s="1"/>
  <c r="F1389" i="1"/>
  <c r="I1389" i="1" s="1"/>
  <c r="F1390" i="1"/>
  <c r="I1390" i="1" s="1"/>
  <c r="F1391" i="1"/>
  <c r="I1391" i="1" s="1"/>
  <c r="F1392" i="1"/>
  <c r="I1392" i="1" s="1"/>
  <c r="F1393" i="1"/>
  <c r="I1393" i="1" s="1"/>
  <c r="F1394" i="1"/>
  <c r="I1394" i="1" s="1"/>
  <c r="F1395" i="1"/>
  <c r="I1395" i="1" s="1"/>
  <c r="F1396" i="1"/>
  <c r="I1396" i="1" s="1"/>
  <c r="F1397" i="1"/>
  <c r="I1397" i="1" s="1"/>
  <c r="F1398" i="1"/>
  <c r="I1398" i="1" s="1"/>
  <c r="F1399" i="1"/>
  <c r="I1399" i="1" s="1"/>
  <c r="F1400" i="1"/>
  <c r="I1400" i="1" s="1"/>
  <c r="F1401" i="1"/>
  <c r="I1401" i="1" s="1"/>
  <c r="F1402" i="1"/>
  <c r="I1402" i="1" s="1"/>
  <c r="F1403" i="1"/>
  <c r="I1403" i="1" s="1"/>
  <c r="F1404" i="1"/>
  <c r="I1404" i="1" s="1"/>
  <c r="F1405" i="1"/>
  <c r="I1405" i="1" s="1"/>
  <c r="F1406" i="1"/>
  <c r="I1406" i="1" s="1"/>
  <c r="F1407" i="1"/>
  <c r="I1407" i="1" s="1"/>
  <c r="F1408" i="1"/>
  <c r="I1408" i="1" s="1"/>
  <c r="F1409" i="1"/>
  <c r="I1409" i="1" s="1"/>
  <c r="F1410" i="1"/>
  <c r="I1410" i="1" s="1"/>
  <c r="F1411" i="1"/>
  <c r="I1411" i="1" s="1"/>
  <c r="F1412" i="1"/>
  <c r="I1412" i="1" s="1"/>
  <c r="F1413" i="1"/>
  <c r="I1413" i="1" s="1"/>
  <c r="F1414" i="1"/>
  <c r="I1414" i="1" s="1"/>
  <c r="F1415" i="1"/>
  <c r="I1415" i="1" s="1"/>
  <c r="F1416" i="1"/>
  <c r="I1416" i="1" s="1"/>
  <c r="F1417" i="1"/>
  <c r="I1417" i="1" s="1"/>
  <c r="F1418" i="1"/>
  <c r="I1418" i="1" s="1"/>
  <c r="F1419" i="1"/>
  <c r="I1419" i="1" s="1"/>
  <c r="F1420" i="1"/>
  <c r="I1420" i="1" s="1"/>
  <c r="F1421" i="1"/>
  <c r="I1421" i="1" s="1"/>
  <c r="F1422" i="1"/>
  <c r="I1422" i="1" s="1"/>
  <c r="F1423" i="1"/>
  <c r="I1423" i="1" s="1"/>
  <c r="F1424" i="1"/>
  <c r="I1424" i="1" s="1"/>
  <c r="F1425" i="1"/>
  <c r="I1425" i="1" s="1"/>
  <c r="F1426" i="1"/>
  <c r="I1426" i="1" s="1"/>
  <c r="F1427" i="1"/>
  <c r="I1427" i="1" s="1"/>
  <c r="F1428" i="1"/>
  <c r="I1428" i="1" s="1"/>
  <c r="F1429" i="1"/>
  <c r="I1429" i="1" s="1"/>
  <c r="F1430" i="1"/>
  <c r="I1430" i="1" s="1"/>
  <c r="F1431" i="1"/>
  <c r="I1431" i="1" s="1"/>
  <c r="F1432" i="1"/>
  <c r="I1432" i="1" s="1"/>
  <c r="F1433" i="1"/>
  <c r="I1433" i="1" s="1"/>
  <c r="F1434" i="1"/>
  <c r="I1434" i="1" s="1"/>
  <c r="F1435" i="1"/>
  <c r="I1435" i="1" s="1"/>
  <c r="F1436" i="1"/>
  <c r="I1436" i="1" s="1"/>
  <c r="F1437" i="1"/>
  <c r="I1437" i="1" s="1"/>
  <c r="F1438" i="1"/>
  <c r="I1438" i="1" s="1"/>
  <c r="F1439" i="1"/>
  <c r="I1439" i="1" s="1"/>
  <c r="F1440" i="1"/>
  <c r="I1440" i="1" s="1"/>
  <c r="F1441" i="1"/>
  <c r="I1441" i="1" s="1"/>
  <c r="F1442" i="1"/>
  <c r="I1442" i="1" s="1"/>
  <c r="F1443" i="1"/>
  <c r="I1443" i="1" s="1"/>
  <c r="F1444" i="1"/>
  <c r="I1444" i="1" s="1"/>
  <c r="F1445" i="1"/>
  <c r="I1445" i="1" s="1"/>
  <c r="F1446" i="1"/>
  <c r="I1446" i="1" s="1"/>
  <c r="F1447" i="1"/>
  <c r="I1447" i="1" s="1"/>
  <c r="F1448" i="1"/>
  <c r="I1448" i="1" s="1"/>
  <c r="F1449" i="1"/>
  <c r="I1449" i="1" s="1"/>
  <c r="F1450" i="1"/>
  <c r="I1450" i="1" s="1"/>
  <c r="F1451" i="1"/>
  <c r="I1451" i="1" s="1"/>
  <c r="F1452" i="1"/>
  <c r="I1452" i="1" s="1"/>
  <c r="F1453" i="1"/>
  <c r="I1453" i="1" s="1"/>
  <c r="F1454" i="1"/>
  <c r="I1454" i="1" s="1"/>
  <c r="F1455" i="1"/>
  <c r="I1455" i="1" s="1"/>
  <c r="F1456" i="1"/>
  <c r="I1456" i="1" s="1"/>
  <c r="F1457" i="1"/>
  <c r="I1457" i="1" s="1"/>
  <c r="F1458" i="1"/>
  <c r="I1458" i="1" s="1"/>
  <c r="F1459" i="1"/>
  <c r="I1459" i="1" s="1"/>
  <c r="F1460" i="1"/>
  <c r="I1460" i="1" s="1"/>
  <c r="F1461" i="1"/>
  <c r="I1461" i="1" s="1"/>
  <c r="F1462" i="1"/>
  <c r="I1462" i="1" s="1"/>
  <c r="F1463" i="1"/>
  <c r="I1463" i="1" s="1"/>
  <c r="F1464" i="1"/>
  <c r="I1464" i="1" s="1"/>
  <c r="F1465" i="1"/>
  <c r="I1465" i="1" s="1"/>
  <c r="F1466" i="1"/>
  <c r="I1466" i="1" s="1"/>
  <c r="F1467" i="1"/>
  <c r="I1467" i="1" s="1"/>
  <c r="F1468" i="1"/>
  <c r="I1468" i="1" s="1"/>
  <c r="F1469" i="1"/>
  <c r="I1469" i="1" s="1"/>
  <c r="F1470" i="1"/>
  <c r="I1470" i="1" s="1"/>
  <c r="F1471" i="1"/>
  <c r="I1471" i="1" s="1"/>
  <c r="F1472" i="1"/>
  <c r="I1472" i="1" s="1"/>
  <c r="F1473" i="1"/>
  <c r="I1473" i="1" s="1"/>
  <c r="F1474" i="1"/>
  <c r="I1474" i="1" s="1"/>
  <c r="F1475" i="1"/>
  <c r="I1475" i="1" s="1"/>
  <c r="F1476" i="1"/>
  <c r="I1476" i="1" s="1"/>
  <c r="F1477" i="1"/>
  <c r="I1477" i="1" s="1"/>
  <c r="F1478" i="1"/>
  <c r="I1478" i="1" s="1"/>
  <c r="F1479" i="1"/>
  <c r="I1479" i="1" s="1"/>
  <c r="F1480" i="1"/>
  <c r="I1480" i="1" s="1"/>
  <c r="F1481" i="1"/>
  <c r="I1481" i="1" s="1"/>
  <c r="F1482" i="1"/>
  <c r="I1482" i="1" s="1"/>
  <c r="F1483" i="1"/>
  <c r="I1483" i="1" s="1"/>
  <c r="F1484" i="1"/>
  <c r="I1484" i="1" s="1"/>
  <c r="F1485" i="1"/>
  <c r="I1485" i="1" s="1"/>
  <c r="F1486" i="1"/>
  <c r="I1486" i="1" s="1"/>
  <c r="F1487" i="1"/>
  <c r="I1487" i="1" s="1"/>
  <c r="F1488" i="1"/>
  <c r="I1488" i="1" s="1"/>
  <c r="F1489" i="1"/>
  <c r="I1489" i="1" s="1"/>
  <c r="F1490" i="1"/>
  <c r="I1490" i="1" s="1"/>
  <c r="F1491" i="1"/>
  <c r="I1491" i="1" s="1"/>
  <c r="F1492" i="1"/>
  <c r="I1492" i="1" s="1"/>
  <c r="F1010" i="1"/>
  <c r="I1010" i="1" s="1"/>
  <c r="F507" i="1"/>
  <c r="I507" i="1" s="1"/>
  <c r="F508" i="1"/>
  <c r="I508" i="1" s="1"/>
  <c r="F509" i="1"/>
  <c r="I509" i="1" s="1"/>
  <c r="F510" i="1"/>
  <c r="I510" i="1" s="1"/>
  <c r="F511" i="1"/>
  <c r="I511" i="1" s="1"/>
  <c r="F512" i="1"/>
  <c r="I512" i="1" s="1"/>
  <c r="F513" i="1"/>
  <c r="I513" i="1" s="1"/>
  <c r="F514" i="1"/>
  <c r="I514" i="1" s="1"/>
  <c r="F515" i="1"/>
  <c r="I515" i="1" s="1"/>
  <c r="F516" i="1"/>
  <c r="I516" i="1" s="1"/>
  <c r="F517" i="1"/>
  <c r="I517" i="1" s="1"/>
  <c r="F518" i="1"/>
  <c r="I518" i="1" s="1"/>
  <c r="F519" i="1"/>
  <c r="I519" i="1" s="1"/>
  <c r="F520" i="1"/>
  <c r="I520" i="1" s="1"/>
  <c r="F521" i="1"/>
  <c r="I521" i="1" s="1"/>
  <c r="F522" i="1"/>
  <c r="I522" i="1" s="1"/>
  <c r="F523" i="1"/>
  <c r="I523" i="1" s="1"/>
  <c r="F524" i="1"/>
  <c r="I524" i="1" s="1"/>
  <c r="F525" i="1"/>
  <c r="I525" i="1" s="1"/>
  <c r="F526" i="1"/>
  <c r="I526" i="1" s="1"/>
  <c r="F527" i="1"/>
  <c r="I527" i="1" s="1"/>
  <c r="F528" i="1"/>
  <c r="I528" i="1" s="1"/>
  <c r="F529" i="1"/>
  <c r="I529" i="1" s="1"/>
  <c r="F530" i="1"/>
  <c r="I530" i="1" s="1"/>
  <c r="F531" i="1"/>
  <c r="I531" i="1" s="1"/>
  <c r="F532" i="1"/>
  <c r="I532" i="1" s="1"/>
  <c r="F533" i="1"/>
  <c r="I533" i="1" s="1"/>
  <c r="F534" i="1"/>
  <c r="I534" i="1" s="1"/>
  <c r="F535" i="1"/>
  <c r="I535" i="1" s="1"/>
  <c r="F536" i="1"/>
  <c r="I536" i="1" s="1"/>
  <c r="F537" i="1"/>
  <c r="I537" i="1" s="1"/>
  <c r="F538" i="1"/>
  <c r="I538" i="1" s="1"/>
  <c r="F539" i="1"/>
  <c r="I539" i="1" s="1"/>
  <c r="F540" i="1"/>
  <c r="I540" i="1" s="1"/>
  <c r="F541" i="1"/>
  <c r="I541" i="1" s="1"/>
  <c r="F542" i="1"/>
  <c r="I542" i="1" s="1"/>
  <c r="F543" i="1"/>
  <c r="I543" i="1" s="1"/>
  <c r="F544" i="1"/>
  <c r="I544" i="1" s="1"/>
  <c r="F545" i="1"/>
  <c r="I545" i="1" s="1"/>
  <c r="F546" i="1"/>
  <c r="I546" i="1" s="1"/>
  <c r="F547" i="1"/>
  <c r="I547" i="1" s="1"/>
  <c r="F548" i="1"/>
  <c r="I548" i="1" s="1"/>
  <c r="F549" i="1"/>
  <c r="I549" i="1" s="1"/>
  <c r="F550" i="1"/>
  <c r="I550" i="1" s="1"/>
  <c r="F551" i="1"/>
  <c r="I551" i="1" s="1"/>
  <c r="F552" i="1"/>
  <c r="I552" i="1" s="1"/>
  <c r="F553" i="1"/>
  <c r="I553" i="1" s="1"/>
  <c r="F554" i="1"/>
  <c r="I554" i="1" s="1"/>
  <c r="F555" i="1"/>
  <c r="I555" i="1" s="1"/>
  <c r="F556" i="1"/>
  <c r="I556" i="1" s="1"/>
  <c r="F557" i="1"/>
  <c r="I557" i="1" s="1"/>
  <c r="F558" i="1"/>
  <c r="I558" i="1" s="1"/>
  <c r="F559" i="1"/>
  <c r="I559" i="1" s="1"/>
  <c r="F560" i="1"/>
  <c r="I560" i="1" s="1"/>
  <c r="F561" i="1"/>
  <c r="I561" i="1" s="1"/>
  <c r="F562" i="1"/>
  <c r="I562" i="1" s="1"/>
  <c r="F563" i="1"/>
  <c r="I563" i="1" s="1"/>
  <c r="F564" i="1"/>
  <c r="I564" i="1" s="1"/>
  <c r="F565" i="1"/>
  <c r="I565" i="1" s="1"/>
  <c r="F566" i="1"/>
  <c r="I566" i="1" s="1"/>
  <c r="F567" i="1"/>
  <c r="I567" i="1" s="1"/>
  <c r="F568" i="1"/>
  <c r="I568" i="1" s="1"/>
  <c r="F569" i="1"/>
  <c r="I569" i="1" s="1"/>
  <c r="F570" i="1"/>
  <c r="I570" i="1" s="1"/>
  <c r="F571" i="1"/>
  <c r="I571" i="1" s="1"/>
  <c r="F572" i="1"/>
  <c r="I572" i="1" s="1"/>
  <c r="F573" i="1"/>
  <c r="I573" i="1" s="1"/>
  <c r="F574" i="1"/>
  <c r="I574" i="1" s="1"/>
  <c r="F575" i="1"/>
  <c r="I575" i="1" s="1"/>
  <c r="F576" i="1"/>
  <c r="I576" i="1" s="1"/>
  <c r="F577" i="1"/>
  <c r="I577" i="1" s="1"/>
  <c r="F578" i="1"/>
  <c r="I578" i="1" s="1"/>
  <c r="F579" i="1"/>
  <c r="I579" i="1" s="1"/>
  <c r="F580" i="1"/>
  <c r="I580" i="1" s="1"/>
  <c r="F581" i="1"/>
  <c r="I581" i="1" s="1"/>
  <c r="F582" i="1"/>
  <c r="I582" i="1" s="1"/>
  <c r="F583" i="1"/>
  <c r="I583" i="1" s="1"/>
  <c r="F584" i="1"/>
  <c r="I584" i="1" s="1"/>
  <c r="F585" i="1"/>
  <c r="I585" i="1" s="1"/>
  <c r="F586" i="1"/>
  <c r="I586" i="1" s="1"/>
  <c r="F587" i="1"/>
  <c r="I587" i="1" s="1"/>
  <c r="F588" i="1"/>
  <c r="I588" i="1" s="1"/>
  <c r="F589" i="1"/>
  <c r="I589" i="1" s="1"/>
  <c r="F590" i="1"/>
  <c r="I590" i="1" s="1"/>
  <c r="F591" i="1"/>
  <c r="I591" i="1" s="1"/>
  <c r="F592" i="1"/>
  <c r="I592" i="1" s="1"/>
  <c r="F593" i="1"/>
  <c r="I593" i="1" s="1"/>
  <c r="F594" i="1"/>
  <c r="I594" i="1" s="1"/>
  <c r="F595" i="1"/>
  <c r="I595" i="1" s="1"/>
  <c r="F596" i="1"/>
  <c r="I596" i="1" s="1"/>
  <c r="F597" i="1"/>
  <c r="I597" i="1" s="1"/>
  <c r="F598" i="1"/>
  <c r="I598" i="1" s="1"/>
  <c r="F599" i="1"/>
  <c r="I599" i="1" s="1"/>
  <c r="F600" i="1"/>
  <c r="I600" i="1" s="1"/>
  <c r="F601" i="1"/>
  <c r="I601" i="1" s="1"/>
  <c r="F602" i="1"/>
  <c r="I602" i="1" s="1"/>
  <c r="F603" i="1"/>
  <c r="I603" i="1" s="1"/>
  <c r="F604" i="1"/>
  <c r="I604" i="1" s="1"/>
  <c r="F605" i="1"/>
  <c r="I605" i="1" s="1"/>
  <c r="F606" i="1"/>
  <c r="I606" i="1" s="1"/>
  <c r="F607" i="1"/>
  <c r="I607" i="1" s="1"/>
  <c r="F608" i="1"/>
  <c r="I608" i="1" s="1"/>
  <c r="F609" i="1"/>
  <c r="I609" i="1" s="1"/>
  <c r="F610" i="1"/>
  <c r="I610" i="1" s="1"/>
  <c r="F611" i="1"/>
  <c r="I611" i="1" s="1"/>
  <c r="F612" i="1"/>
  <c r="I612" i="1" s="1"/>
  <c r="F613" i="1"/>
  <c r="I613" i="1" s="1"/>
  <c r="F614" i="1"/>
  <c r="I614" i="1" s="1"/>
  <c r="F615" i="1"/>
  <c r="I615" i="1" s="1"/>
  <c r="F616" i="1"/>
  <c r="I616" i="1" s="1"/>
  <c r="F617" i="1"/>
  <c r="I617" i="1" s="1"/>
  <c r="F618" i="1"/>
  <c r="I618" i="1" s="1"/>
  <c r="F619" i="1"/>
  <c r="I619" i="1" s="1"/>
  <c r="F620" i="1"/>
  <c r="I620" i="1" s="1"/>
  <c r="F621" i="1"/>
  <c r="I621" i="1" s="1"/>
  <c r="F622" i="1"/>
  <c r="I622" i="1" s="1"/>
  <c r="F623" i="1"/>
  <c r="I623" i="1" s="1"/>
  <c r="F624" i="1"/>
  <c r="I624" i="1" s="1"/>
  <c r="F625" i="1"/>
  <c r="I625" i="1" s="1"/>
  <c r="F626" i="1"/>
  <c r="I626" i="1" s="1"/>
  <c r="F627" i="1"/>
  <c r="I627" i="1" s="1"/>
  <c r="F628" i="1"/>
  <c r="I628" i="1" s="1"/>
  <c r="F629" i="1"/>
  <c r="I629" i="1" s="1"/>
  <c r="F630" i="1"/>
  <c r="I630" i="1" s="1"/>
  <c r="F631" i="1"/>
  <c r="I631" i="1" s="1"/>
  <c r="F632" i="1"/>
  <c r="I632" i="1" s="1"/>
  <c r="F633" i="1"/>
  <c r="I633" i="1" s="1"/>
  <c r="F634" i="1"/>
  <c r="I634" i="1" s="1"/>
  <c r="F635" i="1"/>
  <c r="I635" i="1" s="1"/>
  <c r="F636" i="1"/>
  <c r="I636" i="1" s="1"/>
  <c r="F637" i="1"/>
  <c r="I637" i="1" s="1"/>
  <c r="F638" i="1"/>
  <c r="I638" i="1" s="1"/>
  <c r="F639" i="1"/>
  <c r="I639" i="1" s="1"/>
  <c r="F640" i="1"/>
  <c r="I640" i="1" s="1"/>
  <c r="F641" i="1"/>
  <c r="I641" i="1" s="1"/>
  <c r="F642" i="1"/>
  <c r="I642" i="1" s="1"/>
  <c r="F643" i="1"/>
  <c r="I643" i="1" s="1"/>
  <c r="F644" i="1"/>
  <c r="I644" i="1" s="1"/>
  <c r="F645" i="1"/>
  <c r="I645" i="1" s="1"/>
  <c r="F646" i="1"/>
  <c r="I646" i="1" s="1"/>
  <c r="F647" i="1"/>
  <c r="I647" i="1" s="1"/>
  <c r="F648" i="1"/>
  <c r="I648" i="1" s="1"/>
  <c r="F649" i="1"/>
  <c r="I649" i="1" s="1"/>
  <c r="F650" i="1"/>
  <c r="I650" i="1" s="1"/>
  <c r="F651" i="1"/>
  <c r="I651" i="1" s="1"/>
  <c r="F652" i="1"/>
  <c r="I652" i="1" s="1"/>
  <c r="F653" i="1"/>
  <c r="I653" i="1" s="1"/>
  <c r="F654" i="1"/>
  <c r="I654" i="1" s="1"/>
  <c r="F655" i="1"/>
  <c r="I655" i="1" s="1"/>
  <c r="F656" i="1"/>
  <c r="I656" i="1" s="1"/>
  <c r="F657" i="1"/>
  <c r="I657" i="1" s="1"/>
  <c r="F658" i="1"/>
  <c r="I658" i="1" s="1"/>
  <c r="F659" i="1"/>
  <c r="I659" i="1" s="1"/>
  <c r="F660" i="1"/>
  <c r="I660" i="1" s="1"/>
  <c r="F661" i="1"/>
  <c r="I661" i="1" s="1"/>
  <c r="F662" i="1"/>
  <c r="I662" i="1" s="1"/>
  <c r="F663" i="1"/>
  <c r="I663" i="1" s="1"/>
  <c r="F664" i="1"/>
  <c r="I664" i="1" s="1"/>
  <c r="F665" i="1"/>
  <c r="I665" i="1" s="1"/>
  <c r="F666" i="1"/>
  <c r="I666" i="1" s="1"/>
  <c r="F667" i="1"/>
  <c r="I667" i="1" s="1"/>
  <c r="F668" i="1"/>
  <c r="I668" i="1" s="1"/>
  <c r="F669" i="1"/>
  <c r="I669" i="1" s="1"/>
  <c r="F670" i="1"/>
  <c r="I670" i="1" s="1"/>
  <c r="F671" i="1"/>
  <c r="I671" i="1" s="1"/>
  <c r="F672" i="1"/>
  <c r="I672" i="1" s="1"/>
  <c r="F673" i="1"/>
  <c r="I673" i="1" s="1"/>
  <c r="F674" i="1"/>
  <c r="I674" i="1" s="1"/>
  <c r="F675" i="1"/>
  <c r="I675" i="1" s="1"/>
  <c r="F676" i="1"/>
  <c r="I676" i="1" s="1"/>
  <c r="F677" i="1"/>
  <c r="I677" i="1" s="1"/>
  <c r="F678" i="1"/>
  <c r="I678" i="1" s="1"/>
  <c r="F679" i="1"/>
  <c r="I679" i="1" s="1"/>
  <c r="F680" i="1"/>
  <c r="I680" i="1" s="1"/>
  <c r="F681" i="1"/>
  <c r="I681" i="1" s="1"/>
  <c r="F682" i="1"/>
  <c r="I682" i="1" s="1"/>
  <c r="F683" i="1"/>
  <c r="I683" i="1" s="1"/>
  <c r="F684" i="1"/>
  <c r="I684" i="1" s="1"/>
  <c r="F685" i="1"/>
  <c r="I685" i="1" s="1"/>
  <c r="F686" i="1"/>
  <c r="I686" i="1" s="1"/>
  <c r="F687" i="1"/>
  <c r="I687" i="1" s="1"/>
  <c r="F688" i="1"/>
  <c r="I688" i="1" s="1"/>
  <c r="F689" i="1"/>
  <c r="I689" i="1" s="1"/>
  <c r="F690" i="1"/>
  <c r="I690" i="1" s="1"/>
  <c r="F691" i="1"/>
  <c r="I691" i="1" s="1"/>
  <c r="F692" i="1"/>
  <c r="I692" i="1" s="1"/>
  <c r="F693" i="1"/>
  <c r="I693" i="1" s="1"/>
  <c r="F694" i="1"/>
  <c r="I694" i="1" s="1"/>
  <c r="F695" i="1"/>
  <c r="I695" i="1" s="1"/>
  <c r="F696" i="1"/>
  <c r="I696" i="1" s="1"/>
  <c r="F697" i="1"/>
  <c r="I697" i="1" s="1"/>
  <c r="F698" i="1"/>
  <c r="I698" i="1" s="1"/>
  <c r="F699" i="1"/>
  <c r="I699" i="1" s="1"/>
  <c r="F700" i="1"/>
  <c r="I700" i="1" s="1"/>
  <c r="F701" i="1"/>
  <c r="I701" i="1" s="1"/>
  <c r="F702" i="1"/>
  <c r="I702" i="1" s="1"/>
  <c r="F703" i="1"/>
  <c r="I703" i="1" s="1"/>
  <c r="F704" i="1"/>
  <c r="I704" i="1" s="1"/>
  <c r="F705" i="1"/>
  <c r="I705" i="1" s="1"/>
  <c r="F706" i="1"/>
  <c r="I706" i="1" s="1"/>
  <c r="F707" i="1"/>
  <c r="I707" i="1" s="1"/>
  <c r="F708" i="1"/>
  <c r="I708" i="1" s="1"/>
  <c r="F709" i="1"/>
  <c r="I709" i="1" s="1"/>
  <c r="F710" i="1"/>
  <c r="I710" i="1" s="1"/>
  <c r="F711" i="1"/>
  <c r="I711" i="1" s="1"/>
  <c r="F712" i="1"/>
  <c r="I712" i="1" s="1"/>
  <c r="F713" i="1"/>
  <c r="I713" i="1" s="1"/>
  <c r="F714" i="1"/>
  <c r="I714" i="1" s="1"/>
  <c r="F715" i="1"/>
  <c r="I715" i="1" s="1"/>
  <c r="F716" i="1"/>
  <c r="I716" i="1" s="1"/>
  <c r="F717" i="1"/>
  <c r="I717" i="1" s="1"/>
  <c r="F718" i="1"/>
  <c r="I718" i="1" s="1"/>
  <c r="F719" i="1"/>
  <c r="I719" i="1" s="1"/>
  <c r="F720" i="1"/>
  <c r="I720" i="1" s="1"/>
  <c r="F721" i="1"/>
  <c r="I721" i="1" s="1"/>
  <c r="F722" i="1"/>
  <c r="I722" i="1" s="1"/>
  <c r="F723" i="1"/>
  <c r="I723" i="1" s="1"/>
  <c r="F724" i="1"/>
  <c r="I724" i="1" s="1"/>
  <c r="F725" i="1"/>
  <c r="I725" i="1" s="1"/>
  <c r="F726" i="1"/>
  <c r="I726" i="1" s="1"/>
  <c r="F727" i="1"/>
  <c r="I727" i="1" s="1"/>
  <c r="F728" i="1"/>
  <c r="I728" i="1" s="1"/>
  <c r="F729" i="1"/>
  <c r="I729" i="1" s="1"/>
  <c r="F730" i="1"/>
  <c r="I730" i="1" s="1"/>
  <c r="F731" i="1"/>
  <c r="I731" i="1" s="1"/>
  <c r="F732" i="1"/>
  <c r="I732" i="1" s="1"/>
  <c r="F733" i="1"/>
  <c r="I733" i="1" s="1"/>
  <c r="F734" i="1"/>
  <c r="I734" i="1" s="1"/>
  <c r="F735" i="1"/>
  <c r="I735" i="1" s="1"/>
  <c r="F736" i="1"/>
  <c r="I736" i="1" s="1"/>
  <c r="F737" i="1"/>
  <c r="I737" i="1" s="1"/>
  <c r="F738" i="1"/>
  <c r="I738" i="1" s="1"/>
  <c r="F739" i="1"/>
  <c r="I739" i="1" s="1"/>
  <c r="F740" i="1"/>
  <c r="I740" i="1" s="1"/>
  <c r="F741" i="1"/>
  <c r="I741" i="1" s="1"/>
  <c r="F742" i="1"/>
  <c r="I742" i="1" s="1"/>
  <c r="F743" i="1"/>
  <c r="I743" i="1" s="1"/>
  <c r="F744" i="1"/>
  <c r="I744" i="1" s="1"/>
  <c r="F745" i="1"/>
  <c r="I745" i="1" s="1"/>
  <c r="F746" i="1"/>
  <c r="I746" i="1" s="1"/>
  <c r="F747" i="1"/>
  <c r="I747" i="1" s="1"/>
  <c r="F748" i="1"/>
  <c r="I748" i="1" s="1"/>
  <c r="F749" i="1"/>
  <c r="I749" i="1" s="1"/>
  <c r="F750" i="1"/>
  <c r="I750" i="1" s="1"/>
  <c r="F751" i="1"/>
  <c r="I751" i="1" s="1"/>
  <c r="F752" i="1"/>
  <c r="I752" i="1" s="1"/>
  <c r="F753" i="1"/>
  <c r="I753" i="1" s="1"/>
  <c r="F754" i="1"/>
  <c r="I754" i="1" s="1"/>
  <c r="F755" i="1"/>
  <c r="I755" i="1" s="1"/>
  <c r="F756" i="1"/>
  <c r="I756" i="1" s="1"/>
  <c r="F757" i="1"/>
  <c r="I757" i="1" s="1"/>
  <c r="F758" i="1"/>
  <c r="I758" i="1" s="1"/>
  <c r="F759" i="1"/>
  <c r="I759" i="1" s="1"/>
  <c r="F760" i="1"/>
  <c r="I760" i="1" s="1"/>
  <c r="F761" i="1"/>
  <c r="I761" i="1" s="1"/>
  <c r="F762" i="1"/>
  <c r="I762" i="1" s="1"/>
  <c r="F763" i="1"/>
  <c r="I763" i="1" s="1"/>
  <c r="F764" i="1"/>
  <c r="I764" i="1" s="1"/>
  <c r="F765" i="1"/>
  <c r="I765" i="1" s="1"/>
  <c r="F766" i="1"/>
  <c r="I766" i="1" s="1"/>
  <c r="F767" i="1"/>
  <c r="I767" i="1" s="1"/>
  <c r="F768" i="1"/>
  <c r="I768" i="1" s="1"/>
  <c r="F769" i="1"/>
  <c r="I769" i="1" s="1"/>
  <c r="F770" i="1"/>
  <c r="I770" i="1" s="1"/>
  <c r="F771" i="1"/>
  <c r="I771" i="1" s="1"/>
  <c r="F772" i="1"/>
  <c r="I772" i="1" s="1"/>
  <c r="F773" i="1"/>
  <c r="I773" i="1" s="1"/>
  <c r="F774" i="1"/>
  <c r="I774" i="1" s="1"/>
  <c r="F775" i="1"/>
  <c r="I775" i="1" s="1"/>
  <c r="F776" i="1"/>
  <c r="I776" i="1" s="1"/>
  <c r="F777" i="1"/>
  <c r="I777" i="1" s="1"/>
  <c r="F778" i="1"/>
  <c r="I778" i="1" s="1"/>
  <c r="F779" i="1"/>
  <c r="I779" i="1" s="1"/>
  <c r="F780" i="1"/>
  <c r="I780" i="1" s="1"/>
  <c r="F781" i="1"/>
  <c r="I781" i="1" s="1"/>
  <c r="F782" i="1"/>
  <c r="I782" i="1" s="1"/>
  <c r="F783" i="1"/>
  <c r="I783" i="1" s="1"/>
  <c r="F784" i="1"/>
  <c r="I784" i="1" s="1"/>
  <c r="F785" i="1"/>
  <c r="I785" i="1" s="1"/>
  <c r="F786" i="1"/>
  <c r="I786" i="1" s="1"/>
  <c r="F787" i="1"/>
  <c r="I787" i="1" s="1"/>
  <c r="F788" i="1"/>
  <c r="I788" i="1" s="1"/>
  <c r="F789" i="1"/>
  <c r="I789" i="1" s="1"/>
  <c r="F790" i="1"/>
  <c r="I790" i="1" s="1"/>
  <c r="F791" i="1"/>
  <c r="I791" i="1" s="1"/>
  <c r="F792" i="1"/>
  <c r="I792" i="1" s="1"/>
  <c r="F793" i="1"/>
  <c r="I793" i="1" s="1"/>
  <c r="F794" i="1"/>
  <c r="I794" i="1" s="1"/>
  <c r="F795" i="1"/>
  <c r="I795" i="1" s="1"/>
  <c r="F796" i="1"/>
  <c r="I796" i="1" s="1"/>
  <c r="F797" i="1"/>
  <c r="I797" i="1" s="1"/>
  <c r="F798" i="1"/>
  <c r="I798" i="1" s="1"/>
  <c r="F799" i="1"/>
  <c r="I799" i="1" s="1"/>
  <c r="F800" i="1"/>
  <c r="I800" i="1" s="1"/>
  <c r="F801" i="1"/>
  <c r="I801" i="1" s="1"/>
  <c r="F802" i="1"/>
  <c r="I802" i="1" s="1"/>
  <c r="F803" i="1"/>
  <c r="I803" i="1" s="1"/>
  <c r="F804" i="1"/>
  <c r="I804" i="1" s="1"/>
  <c r="F805" i="1"/>
  <c r="I805" i="1" s="1"/>
  <c r="F806" i="1"/>
  <c r="I806" i="1" s="1"/>
  <c r="F807" i="1"/>
  <c r="I807" i="1" s="1"/>
  <c r="F808" i="1"/>
  <c r="I808" i="1" s="1"/>
  <c r="F809" i="1"/>
  <c r="I809" i="1" s="1"/>
  <c r="F810" i="1"/>
  <c r="I810" i="1" s="1"/>
  <c r="F811" i="1"/>
  <c r="I811" i="1" s="1"/>
  <c r="F812" i="1"/>
  <c r="I812" i="1" s="1"/>
  <c r="F813" i="1"/>
  <c r="I813" i="1" s="1"/>
  <c r="F814" i="1"/>
  <c r="I814" i="1" s="1"/>
  <c r="F815" i="1"/>
  <c r="I815" i="1" s="1"/>
  <c r="F816" i="1"/>
  <c r="I816" i="1" s="1"/>
  <c r="F817" i="1"/>
  <c r="I817" i="1" s="1"/>
  <c r="F818" i="1"/>
  <c r="I818" i="1" s="1"/>
  <c r="F819" i="1"/>
  <c r="I819" i="1" s="1"/>
  <c r="F820" i="1"/>
  <c r="I820" i="1" s="1"/>
  <c r="F821" i="1"/>
  <c r="I821" i="1" s="1"/>
  <c r="F822" i="1"/>
  <c r="I822" i="1" s="1"/>
  <c r="F823" i="1"/>
  <c r="I823" i="1" s="1"/>
  <c r="F824" i="1"/>
  <c r="I824" i="1" s="1"/>
  <c r="F825" i="1"/>
  <c r="I825" i="1" s="1"/>
  <c r="F826" i="1"/>
  <c r="I826" i="1" s="1"/>
  <c r="F827" i="1"/>
  <c r="I827" i="1" s="1"/>
  <c r="F828" i="1"/>
  <c r="I828" i="1" s="1"/>
  <c r="F829" i="1"/>
  <c r="I829" i="1" s="1"/>
  <c r="F830" i="1"/>
  <c r="I830" i="1" s="1"/>
  <c r="F831" i="1"/>
  <c r="I831" i="1" s="1"/>
  <c r="F832" i="1"/>
  <c r="I832" i="1" s="1"/>
  <c r="F833" i="1"/>
  <c r="I833" i="1" s="1"/>
  <c r="F834" i="1"/>
  <c r="I834" i="1" s="1"/>
  <c r="F835" i="1"/>
  <c r="I835" i="1" s="1"/>
  <c r="F836" i="1"/>
  <c r="I836" i="1" s="1"/>
  <c r="F837" i="1"/>
  <c r="I837" i="1" s="1"/>
  <c r="F838" i="1"/>
  <c r="I838" i="1" s="1"/>
  <c r="F839" i="1"/>
  <c r="I839" i="1" s="1"/>
  <c r="F840" i="1"/>
  <c r="I840" i="1" s="1"/>
  <c r="F841" i="1"/>
  <c r="I841" i="1" s="1"/>
  <c r="F842" i="1"/>
  <c r="I842" i="1" s="1"/>
  <c r="F843" i="1"/>
  <c r="I843" i="1" s="1"/>
  <c r="F844" i="1"/>
  <c r="I844" i="1" s="1"/>
  <c r="F845" i="1"/>
  <c r="I845" i="1" s="1"/>
  <c r="F846" i="1"/>
  <c r="I846" i="1" s="1"/>
  <c r="F847" i="1"/>
  <c r="I847" i="1" s="1"/>
  <c r="F848" i="1"/>
  <c r="I848" i="1" s="1"/>
  <c r="F849" i="1"/>
  <c r="I849" i="1" s="1"/>
  <c r="F850" i="1"/>
  <c r="I850" i="1" s="1"/>
  <c r="F851" i="1"/>
  <c r="I851" i="1" s="1"/>
  <c r="F852" i="1"/>
  <c r="I852" i="1" s="1"/>
  <c r="F853" i="1"/>
  <c r="I853" i="1" s="1"/>
  <c r="F854" i="1"/>
  <c r="I854" i="1" s="1"/>
  <c r="F855" i="1"/>
  <c r="I855" i="1" s="1"/>
  <c r="F856" i="1"/>
  <c r="I856" i="1" s="1"/>
  <c r="F857" i="1"/>
  <c r="I857" i="1" s="1"/>
  <c r="F858" i="1"/>
  <c r="I858" i="1" s="1"/>
  <c r="F859" i="1"/>
  <c r="I859" i="1" s="1"/>
  <c r="F860" i="1"/>
  <c r="I860" i="1" s="1"/>
  <c r="F861" i="1"/>
  <c r="I861" i="1" s="1"/>
  <c r="F862" i="1"/>
  <c r="I862" i="1" s="1"/>
  <c r="F863" i="1"/>
  <c r="I863" i="1" s="1"/>
  <c r="F864" i="1"/>
  <c r="I864" i="1" s="1"/>
  <c r="F865" i="1"/>
  <c r="I865" i="1" s="1"/>
  <c r="F866" i="1"/>
  <c r="I866" i="1" s="1"/>
  <c r="F867" i="1"/>
  <c r="I867" i="1" s="1"/>
  <c r="F868" i="1"/>
  <c r="I868" i="1" s="1"/>
  <c r="F869" i="1"/>
  <c r="I869" i="1" s="1"/>
  <c r="F870" i="1"/>
  <c r="I870" i="1" s="1"/>
  <c r="F871" i="1"/>
  <c r="I871" i="1" s="1"/>
  <c r="F872" i="1"/>
  <c r="I872" i="1" s="1"/>
  <c r="F873" i="1"/>
  <c r="I873" i="1" s="1"/>
  <c r="F874" i="1"/>
  <c r="I874" i="1" s="1"/>
  <c r="F875" i="1"/>
  <c r="I875" i="1" s="1"/>
  <c r="F876" i="1"/>
  <c r="I876" i="1" s="1"/>
  <c r="F877" i="1"/>
  <c r="I877" i="1" s="1"/>
  <c r="F878" i="1"/>
  <c r="I878" i="1" s="1"/>
  <c r="F879" i="1"/>
  <c r="I879" i="1" s="1"/>
  <c r="F880" i="1"/>
  <c r="I880" i="1" s="1"/>
  <c r="F881" i="1"/>
  <c r="I881" i="1" s="1"/>
  <c r="F882" i="1"/>
  <c r="I882" i="1" s="1"/>
  <c r="F883" i="1"/>
  <c r="I883" i="1" s="1"/>
  <c r="F884" i="1"/>
  <c r="I884" i="1" s="1"/>
  <c r="F885" i="1"/>
  <c r="I885" i="1" s="1"/>
  <c r="F886" i="1"/>
  <c r="I886" i="1" s="1"/>
  <c r="F887" i="1"/>
  <c r="I887" i="1" s="1"/>
  <c r="F888" i="1"/>
  <c r="I888" i="1" s="1"/>
  <c r="F889" i="1"/>
  <c r="I889" i="1" s="1"/>
  <c r="F890" i="1"/>
  <c r="I890" i="1" s="1"/>
  <c r="F891" i="1"/>
  <c r="I891" i="1" s="1"/>
  <c r="F892" i="1"/>
  <c r="I892" i="1" s="1"/>
  <c r="F893" i="1"/>
  <c r="I893" i="1" s="1"/>
  <c r="F894" i="1"/>
  <c r="I894" i="1" s="1"/>
  <c r="F895" i="1"/>
  <c r="I895" i="1" s="1"/>
  <c r="F896" i="1"/>
  <c r="I896" i="1" s="1"/>
  <c r="F897" i="1"/>
  <c r="I897" i="1" s="1"/>
  <c r="F898" i="1"/>
  <c r="I898" i="1" s="1"/>
  <c r="F899" i="1"/>
  <c r="I899" i="1" s="1"/>
  <c r="F900" i="1"/>
  <c r="I900" i="1" s="1"/>
  <c r="F901" i="1"/>
  <c r="I901" i="1" s="1"/>
  <c r="F902" i="1"/>
  <c r="I902" i="1" s="1"/>
  <c r="F903" i="1"/>
  <c r="I903" i="1" s="1"/>
  <c r="F904" i="1"/>
  <c r="I904" i="1" s="1"/>
  <c r="F905" i="1"/>
  <c r="I905" i="1" s="1"/>
  <c r="F906" i="1"/>
  <c r="I906" i="1" s="1"/>
  <c r="F907" i="1"/>
  <c r="I907" i="1" s="1"/>
  <c r="F908" i="1"/>
  <c r="I908" i="1" s="1"/>
  <c r="F909" i="1"/>
  <c r="I909" i="1" s="1"/>
  <c r="F910" i="1"/>
  <c r="I910" i="1" s="1"/>
  <c r="F911" i="1"/>
  <c r="I911" i="1" s="1"/>
  <c r="F912" i="1"/>
  <c r="I912" i="1" s="1"/>
  <c r="F913" i="1"/>
  <c r="I913" i="1" s="1"/>
  <c r="F914" i="1"/>
  <c r="I914" i="1" s="1"/>
  <c r="F915" i="1"/>
  <c r="I915" i="1" s="1"/>
  <c r="F916" i="1"/>
  <c r="I916" i="1" s="1"/>
  <c r="F917" i="1"/>
  <c r="I917" i="1" s="1"/>
  <c r="F918" i="1"/>
  <c r="I918" i="1" s="1"/>
  <c r="F919" i="1"/>
  <c r="I919" i="1" s="1"/>
  <c r="F920" i="1"/>
  <c r="I920" i="1" s="1"/>
  <c r="F921" i="1"/>
  <c r="I921" i="1" s="1"/>
  <c r="F922" i="1"/>
  <c r="I922" i="1" s="1"/>
  <c r="F923" i="1"/>
  <c r="I923" i="1" s="1"/>
  <c r="F924" i="1"/>
  <c r="I924" i="1" s="1"/>
  <c r="F925" i="1"/>
  <c r="I925" i="1" s="1"/>
  <c r="F926" i="1"/>
  <c r="I926" i="1" s="1"/>
  <c r="F927" i="1"/>
  <c r="I927" i="1" s="1"/>
  <c r="F928" i="1"/>
  <c r="I928" i="1" s="1"/>
  <c r="F929" i="1"/>
  <c r="I929" i="1" s="1"/>
  <c r="F930" i="1"/>
  <c r="I930" i="1" s="1"/>
  <c r="F931" i="1"/>
  <c r="I931" i="1" s="1"/>
  <c r="F932" i="1"/>
  <c r="I932" i="1" s="1"/>
  <c r="F933" i="1"/>
  <c r="I933" i="1" s="1"/>
  <c r="F934" i="1"/>
  <c r="I934" i="1" s="1"/>
  <c r="F935" i="1"/>
  <c r="I935" i="1" s="1"/>
  <c r="F936" i="1"/>
  <c r="I936" i="1" s="1"/>
  <c r="F937" i="1"/>
  <c r="I937" i="1" s="1"/>
  <c r="F938" i="1"/>
  <c r="I938" i="1" s="1"/>
  <c r="F939" i="1"/>
  <c r="I939" i="1" s="1"/>
  <c r="F940" i="1"/>
  <c r="I940" i="1" s="1"/>
  <c r="F941" i="1"/>
  <c r="I941" i="1" s="1"/>
  <c r="F942" i="1"/>
  <c r="I942" i="1" s="1"/>
  <c r="F943" i="1"/>
  <c r="I943" i="1" s="1"/>
  <c r="F944" i="1"/>
  <c r="I944" i="1" s="1"/>
  <c r="F945" i="1"/>
  <c r="I945" i="1" s="1"/>
  <c r="F946" i="1"/>
  <c r="I946" i="1" s="1"/>
  <c r="F947" i="1"/>
  <c r="I947" i="1" s="1"/>
  <c r="F948" i="1"/>
  <c r="I948" i="1" s="1"/>
  <c r="F949" i="1"/>
  <c r="I949" i="1" s="1"/>
  <c r="F950" i="1"/>
  <c r="I950" i="1" s="1"/>
  <c r="F951" i="1"/>
  <c r="I951" i="1" s="1"/>
  <c r="F952" i="1"/>
  <c r="I952" i="1" s="1"/>
  <c r="F953" i="1"/>
  <c r="I953" i="1" s="1"/>
  <c r="F954" i="1"/>
  <c r="I954" i="1" s="1"/>
  <c r="F955" i="1"/>
  <c r="I955" i="1" s="1"/>
  <c r="F956" i="1"/>
  <c r="I956" i="1" s="1"/>
  <c r="F957" i="1"/>
  <c r="I957" i="1" s="1"/>
  <c r="F958" i="1"/>
  <c r="I958" i="1" s="1"/>
  <c r="F959" i="1"/>
  <c r="I959" i="1" s="1"/>
  <c r="F960" i="1"/>
  <c r="I960" i="1" s="1"/>
  <c r="F961" i="1"/>
  <c r="I961" i="1" s="1"/>
  <c r="F962" i="1"/>
  <c r="I962" i="1" s="1"/>
  <c r="F963" i="1"/>
  <c r="I963" i="1" s="1"/>
  <c r="F964" i="1"/>
  <c r="I964" i="1" s="1"/>
  <c r="F965" i="1"/>
  <c r="I965" i="1" s="1"/>
  <c r="F966" i="1"/>
  <c r="I966" i="1" s="1"/>
  <c r="F967" i="1"/>
  <c r="I967" i="1" s="1"/>
  <c r="F968" i="1"/>
  <c r="I968" i="1" s="1"/>
  <c r="F969" i="1"/>
  <c r="I969" i="1" s="1"/>
  <c r="F970" i="1"/>
  <c r="I970" i="1" s="1"/>
  <c r="F971" i="1"/>
  <c r="I971" i="1" s="1"/>
  <c r="F972" i="1"/>
  <c r="I972" i="1" s="1"/>
  <c r="F973" i="1"/>
  <c r="I973" i="1" s="1"/>
  <c r="F974" i="1"/>
  <c r="I974" i="1" s="1"/>
  <c r="F975" i="1"/>
  <c r="I975" i="1" s="1"/>
  <c r="F976" i="1"/>
  <c r="I976" i="1" s="1"/>
  <c r="F977" i="1"/>
  <c r="I977" i="1" s="1"/>
  <c r="F978" i="1"/>
  <c r="I978" i="1" s="1"/>
  <c r="F979" i="1"/>
  <c r="I979" i="1" s="1"/>
  <c r="F980" i="1"/>
  <c r="I980" i="1" s="1"/>
  <c r="F981" i="1"/>
  <c r="I981" i="1" s="1"/>
  <c r="F982" i="1"/>
  <c r="I982" i="1" s="1"/>
  <c r="F983" i="1"/>
  <c r="I983" i="1" s="1"/>
  <c r="F984" i="1"/>
  <c r="I984" i="1" s="1"/>
  <c r="F985" i="1"/>
  <c r="I985" i="1" s="1"/>
  <c r="F986" i="1"/>
  <c r="I986" i="1" s="1"/>
  <c r="F987" i="1"/>
  <c r="I987" i="1" s="1"/>
  <c r="F988" i="1"/>
  <c r="I988" i="1" s="1"/>
  <c r="F989" i="1"/>
  <c r="I989" i="1" s="1"/>
  <c r="F990" i="1"/>
  <c r="I990" i="1" s="1"/>
  <c r="F991" i="1"/>
  <c r="I991" i="1" s="1"/>
  <c r="F992" i="1"/>
  <c r="I992" i="1" s="1"/>
  <c r="F993" i="1"/>
  <c r="I993" i="1" s="1"/>
  <c r="F994" i="1"/>
  <c r="I994" i="1" s="1"/>
  <c r="F995" i="1"/>
  <c r="I995" i="1" s="1"/>
  <c r="F996" i="1"/>
  <c r="I996" i="1" s="1"/>
  <c r="F997" i="1"/>
  <c r="I997" i="1" s="1"/>
  <c r="F998" i="1"/>
  <c r="I998" i="1" s="1"/>
  <c r="F999" i="1"/>
  <c r="I999" i="1" s="1"/>
  <c r="F1000" i="1"/>
  <c r="I1000" i="1" s="1"/>
  <c r="F1001" i="1"/>
  <c r="I1001" i="1" s="1"/>
  <c r="F1002" i="1"/>
  <c r="I1002" i="1" s="1"/>
  <c r="F1003" i="1"/>
  <c r="I1003" i="1" s="1"/>
  <c r="F1004" i="1"/>
  <c r="I1004" i="1" s="1"/>
  <c r="F1005" i="1"/>
  <c r="I1005" i="1" s="1"/>
  <c r="F1006" i="1"/>
  <c r="I1006" i="1" s="1"/>
  <c r="F1007" i="1"/>
  <c r="I1007" i="1" s="1"/>
  <c r="F1008" i="1"/>
  <c r="I1008" i="1" s="1"/>
  <c r="F1009" i="1"/>
  <c r="I1009" i="1" s="1"/>
  <c r="F506" i="1"/>
  <c r="I506" i="1" s="1"/>
  <c r="F3" i="1"/>
  <c r="I3" i="1" s="1"/>
  <c r="F4" i="1"/>
  <c r="I4" i="1" s="1"/>
  <c r="F5" i="1"/>
  <c r="I5" i="1" s="1"/>
  <c r="F6" i="1"/>
  <c r="I6" i="1" s="1"/>
  <c r="F7" i="1"/>
  <c r="I7" i="1" s="1"/>
  <c r="F8" i="1"/>
  <c r="I8" i="1" s="1"/>
  <c r="F9" i="1"/>
  <c r="I9" i="1" s="1"/>
  <c r="F10" i="1"/>
  <c r="I10" i="1" s="1"/>
  <c r="F11" i="1"/>
  <c r="I11" i="1" s="1"/>
  <c r="F12" i="1"/>
  <c r="I12" i="1" s="1"/>
  <c r="F13" i="1"/>
  <c r="I13" i="1" s="1"/>
  <c r="F14" i="1"/>
  <c r="I14" i="1" s="1"/>
  <c r="F15" i="1"/>
  <c r="I15" i="1" s="1"/>
  <c r="F16" i="1"/>
  <c r="I16" i="1" s="1"/>
  <c r="F17" i="1"/>
  <c r="I17" i="1" s="1"/>
  <c r="F18" i="1"/>
  <c r="I18" i="1" s="1"/>
  <c r="F19" i="1"/>
  <c r="I19" i="1" s="1"/>
  <c r="F20" i="1"/>
  <c r="I20" i="1" s="1"/>
  <c r="F21" i="1"/>
  <c r="I21" i="1" s="1"/>
  <c r="F22" i="1"/>
  <c r="I22" i="1" s="1"/>
  <c r="F23" i="1"/>
  <c r="I23" i="1" s="1"/>
  <c r="F24" i="1"/>
  <c r="I24" i="1" s="1"/>
  <c r="F25" i="1"/>
  <c r="I25" i="1" s="1"/>
  <c r="F26" i="1"/>
  <c r="I26" i="1" s="1"/>
  <c r="F27" i="1"/>
  <c r="I27" i="1" s="1"/>
  <c r="F28" i="1"/>
  <c r="I28" i="1" s="1"/>
  <c r="F29" i="1"/>
  <c r="I29" i="1" s="1"/>
  <c r="F30" i="1"/>
  <c r="I30" i="1" s="1"/>
  <c r="F31" i="1"/>
  <c r="I31" i="1" s="1"/>
  <c r="F32" i="1"/>
  <c r="I32" i="1" s="1"/>
  <c r="F33" i="1"/>
  <c r="I33" i="1" s="1"/>
  <c r="F34" i="1"/>
  <c r="I34" i="1" s="1"/>
  <c r="F35" i="1"/>
  <c r="I35" i="1" s="1"/>
  <c r="F36" i="1"/>
  <c r="I36" i="1" s="1"/>
  <c r="F37" i="1"/>
  <c r="I37" i="1" s="1"/>
  <c r="F38" i="1"/>
  <c r="I38" i="1" s="1"/>
  <c r="F39" i="1"/>
  <c r="I39" i="1" s="1"/>
  <c r="F40" i="1"/>
  <c r="I40" i="1" s="1"/>
  <c r="F41" i="1"/>
  <c r="I41" i="1" s="1"/>
  <c r="F42" i="1"/>
  <c r="I42" i="1" s="1"/>
  <c r="F43" i="1"/>
  <c r="I43" i="1" s="1"/>
  <c r="F44" i="1"/>
  <c r="I44" i="1" s="1"/>
  <c r="F45" i="1"/>
  <c r="I45" i="1" s="1"/>
  <c r="F46" i="1"/>
  <c r="I46" i="1" s="1"/>
  <c r="F47" i="1"/>
  <c r="I47" i="1" s="1"/>
  <c r="F48" i="1"/>
  <c r="I48" i="1" s="1"/>
  <c r="F49" i="1"/>
  <c r="I49" i="1" s="1"/>
  <c r="F50" i="1"/>
  <c r="I50" i="1" s="1"/>
  <c r="F51" i="1"/>
  <c r="I51" i="1" s="1"/>
  <c r="F52" i="1"/>
  <c r="I52" i="1" s="1"/>
  <c r="F53" i="1"/>
  <c r="I53" i="1" s="1"/>
  <c r="F54" i="1"/>
  <c r="I54" i="1" s="1"/>
  <c r="F55" i="1"/>
  <c r="I55" i="1" s="1"/>
  <c r="F56" i="1"/>
  <c r="I56" i="1" s="1"/>
  <c r="F57" i="1"/>
  <c r="I57" i="1" s="1"/>
  <c r="F58" i="1"/>
  <c r="I58" i="1" s="1"/>
  <c r="F59" i="1"/>
  <c r="I59" i="1" s="1"/>
  <c r="F60" i="1"/>
  <c r="I60" i="1" s="1"/>
  <c r="F61" i="1"/>
  <c r="I61" i="1" s="1"/>
  <c r="F62" i="1"/>
  <c r="I62" i="1" s="1"/>
  <c r="F63" i="1"/>
  <c r="I63" i="1" s="1"/>
  <c r="F64" i="1"/>
  <c r="I64" i="1" s="1"/>
  <c r="F65" i="1"/>
  <c r="I65" i="1" s="1"/>
  <c r="F66" i="1"/>
  <c r="I66" i="1" s="1"/>
  <c r="F67" i="1"/>
  <c r="I67" i="1" s="1"/>
  <c r="F68" i="1"/>
  <c r="I68" i="1" s="1"/>
  <c r="F69" i="1"/>
  <c r="I69" i="1" s="1"/>
  <c r="F70" i="1"/>
  <c r="I70" i="1" s="1"/>
  <c r="F71" i="1"/>
  <c r="I71" i="1" s="1"/>
  <c r="F72" i="1"/>
  <c r="I72" i="1" s="1"/>
  <c r="F73" i="1"/>
  <c r="I73" i="1" s="1"/>
  <c r="F74" i="1"/>
  <c r="I74" i="1" s="1"/>
  <c r="F75" i="1"/>
  <c r="I75" i="1" s="1"/>
  <c r="F76" i="1"/>
  <c r="I76" i="1" s="1"/>
  <c r="F77" i="1"/>
  <c r="I77" i="1" s="1"/>
  <c r="F78" i="1"/>
  <c r="I78" i="1" s="1"/>
  <c r="F79" i="1"/>
  <c r="I79" i="1" s="1"/>
  <c r="F80" i="1"/>
  <c r="I80" i="1" s="1"/>
  <c r="F81" i="1"/>
  <c r="I81" i="1" s="1"/>
  <c r="F82" i="1"/>
  <c r="I82" i="1" s="1"/>
  <c r="F83" i="1"/>
  <c r="I83" i="1" s="1"/>
  <c r="F84" i="1"/>
  <c r="I84" i="1" s="1"/>
  <c r="F85" i="1"/>
  <c r="I85" i="1" s="1"/>
  <c r="F86" i="1"/>
  <c r="I86" i="1" s="1"/>
  <c r="F87" i="1"/>
  <c r="I87" i="1" s="1"/>
  <c r="F88" i="1"/>
  <c r="I88" i="1" s="1"/>
  <c r="F89" i="1"/>
  <c r="I89" i="1" s="1"/>
  <c r="F90" i="1"/>
  <c r="I90" i="1" s="1"/>
  <c r="F91" i="1"/>
  <c r="I91" i="1" s="1"/>
  <c r="F92" i="1"/>
  <c r="I92" i="1" s="1"/>
  <c r="F93" i="1"/>
  <c r="I93" i="1" s="1"/>
  <c r="F94" i="1"/>
  <c r="I94" i="1" s="1"/>
  <c r="F95" i="1"/>
  <c r="I95" i="1" s="1"/>
  <c r="F96" i="1"/>
  <c r="I96" i="1" s="1"/>
  <c r="F97" i="1"/>
  <c r="I97" i="1" s="1"/>
  <c r="F98" i="1"/>
  <c r="I98" i="1" s="1"/>
  <c r="F99" i="1"/>
  <c r="I99" i="1" s="1"/>
  <c r="F100" i="1"/>
  <c r="I100" i="1" s="1"/>
  <c r="F101" i="1"/>
  <c r="I101" i="1" s="1"/>
  <c r="F102" i="1"/>
  <c r="I102" i="1" s="1"/>
  <c r="F103" i="1"/>
  <c r="I103" i="1" s="1"/>
  <c r="F104" i="1"/>
  <c r="I104" i="1" s="1"/>
  <c r="F105" i="1"/>
  <c r="I105" i="1" s="1"/>
  <c r="F106" i="1"/>
  <c r="I106" i="1" s="1"/>
  <c r="F107" i="1"/>
  <c r="I107" i="1" s="1"/>
  <c r="F108" i="1"/>
  <c r="I108" i="1" s="1"/>
  <c r="F109" i="1"/>
  <c r="I109" i="1" s="1"/>
  <c r="F110" i="1"/>
  <c r="I110" i="1" s="1"/>
  <c r="F111" i="1"/>
  <c r="I111" i="1" s="1"/>
  <c r="F112" i="1"/>
  <c r="I112" i="1" s="1"/>
  <c r="F113" i="1"/>
  <c r="I113" i="1" s="1"/>
  <c r="F114" i="1"/>
  <c r="I114" i="1" s="1"/>
  <c r="F115" i="1"/>
  <c r="I115" i="1" s="1"/>
  <c r="F116" i="1"/>
  <c r="I116" i="1" s="1"/>
  <c r="F117" i="1"/>
  <c r="I117" i="1" s="1"/>
  <c r="F118" i="1"/>
  <c r="I118" i="1" s="1"/>
  <c r="F119" i="1"/>
  <c r="I119" i="1" s="1"/>
  <c r="F120" i="1"/>
  <c r="I120" i="1" s="1"/>
  <c r="F121" i="1"/>
  <c r="I121" i="1" s="1"/>
  <c r="F122" i="1"/>
  <c r="I122" i="1" s="1"/>
  <c r="F123" i="1"/>
  <c r="I123" i="1" s="1"/>
  <c r="F124" i="1"/>
  <c r="I124" i="1" s="1"/>
  <c r="F125" i="1"/>
  <c r="I125" i="1" s="1"/>
  <c r="F126" i="1"/>
  <c r="I126" i="1" s="1"/>
  <c r="F127" i="1"/>
  <c r="I127" i="1" s="1"/>
  <c r="F128" i="1"/>
  <c r="I128" i="1" s="1"/>
  <c r="F129" i="1"/>
  <c r="I129" i="1" s="1"/>
  <c r="F130" i="1"/>
  <c r="I130" i="1" s="1"/>
  <c r="F131" i="1"/>
  <c r="I131" i="1" s="1"/>
  <c r="F132" i="1"/>
  <c r="I132" i="1" s="1"/>
  <c r="F133" i="1"/>
  <c r="I133" i="1" s="1"/>
  <c r="F134" i="1"/>
  <c r="I134" i="1" s="1"/>
  <c r="F135" i="1"/>
  <c r="I135" i="1" s="1"/>
  <c r="F136" i="1"/>
  <c r="I136" i="1" s="1"/>
  <c r="F137" i="1"/>
  <c r="I137" i="1" s="1"/>
  <c r="F138" i="1"/>
  <c r="I138" i="1" s="1"/>
  <c r="F139" i="1"/>
  <c r="I139" i="1" s="1"/>
  <c r="F140" i="1"/>
  <c r="I140" i="1" s="1"/>
  <c r="F141" i="1"/>
  <c r="I141" i="1" s="1"/>
  <c r="F142" i="1"/>
  <c r="I142" i="1" s="1"/>
  <c r="F143" i="1"/>
  <c r="I143" i="1" s="1"/>
  <c r="F144" i="1"/>
  <c r="I144" i="1" s="1"/>
  <c r="F145" i="1"/>
  <c r="I145" i="1" s="1"/>
  <c r="F146" i="1"/>
  <c r="I146" i="1" s="1"/>
  <c r="F147" i="1"/>
  <c r="I147" i="1" s="1"/>
  <c r="F148" i="1"/>
  <c r="I148" i="1" s="1"/>
  <c r="F149" i="1"/>
  <c r="I149" i="1" s="1"/>
  <c r="F150" i="1"/>
  <c r="I150" i="1" s="1"/>
  <c r="F151" i="1"/>
  <c r="I151" i="1" s="1"/>
  <c r="F152" i="1"/>
  <c r="I152" i="1" s="1"/>
  <c r="F153" i="1"/>
  <c r="I153" i="1" s="1"/>
  <c r="F154" i="1"/>
  <c r="I154" i="1" s="1"/>
  <c r="F155" i="1"/>
  <c r="I155" i="1" s="1"/>
  <c r="F156" i="1"/>
  <c r="I156" i="1" s="1"/>
  <c r="F157" i="1"/>
  <c r="I157" i="1" s="1"/>
  <c r="F158" i="1"/>
  <c r="I158" i="1" s="1"/>
  <c r="F159" i="1"/>
  <c r="I159" i="1" s="1"/>
  <c r="F160" i="1"/>
  <c r="I160" i="1" s="1"/>
  <c r="F161" i="1"/>
  <c r="I161" i="1" s="1"/>
  <c r="F162" i="1"/>
  <c r="I162" i="1" s="1"/>
  <c r="F163" i="1"/>
  <c r="I163" i="1" s="1"/>
  <c r="F164" i="1"/>
  <c r="I164" i="1" s="1"/>
  <c r="F165" i="1"/>
  <c r="I165" i="1" s="1"/>
  <c r="F166" i="1"/>
  <c r="I166" i="1" s="1"/>
  <c r="F167" i="1"/>
  <c r="I167" i="1" s="1"/>
  <c r="F168" i="1"/>
  <c r="I168" i="1" s="1"/>
  <c r="F169" i="1"/>
  <c r="I169" i="1" s="1"/>
  <c r="F170" i="1"/>
  <c r="I170" i="1" s="1"/>
  <c r="F171" i="1"/>
  <c r="I171" i="1" s="1"/>
  <c r="F172" i="1"/>
  <c r="I172" i="1" s="1"/>
  <c r="F173" i="1"/>
  <c r="I173" i="1" s="1"/>
  <c r="F174" i="1"/>
  <c r="I174" i="1" s="1"/>
  <c r="F175" i="1"/>
  <c r="I175" i="1" s="1"/>
  <c r="F176" i="1"/>
  <c r="I176" i="1" s="1"/>
  <c r="F177" i="1"/>
  <c r="I177" i="1" s="1"/>
  <c r="F178" i="1"/>
  <c r="I178" i="1" s="1"/>
  <c r="F179" i="1"/>
  <c r="I179" i="1" s="1"/>
  <c r="F180" i="1"/>
  <c r="I180" i="1" s="1"/>
  <c r="F181" i="1"/>
  <c r="I181" i="1" s="1"/>
  <c r="F182" i="1"/>
  <c r="I182" i="1" s="1"/>
  <c r="F183" i="1"/>
  <c r="I183" i="1" s="1"/>
  <c r="F184" i="1"/>
  <c r="I184" i="1" s="1"/>
  <c r="F185" i="1"/>
  <c r="I185" i="1" s="1"/>
  <c r="F186" i="1"/>
  <c r="I186" i="1" s="1"/>
  <c r="F187" i="1"/>
  <c r="I187" i="1" s="1"/>
  <c r="F188" i="1"/>
  <c r="I188" i="1" s="1"/>
  <c r="F189" i="1"/>
  <c r="I189" i="1" s="1"/>
  <c r="F190" i="1"/>
  <c r="I190" i="1" s="1"/>
  <c r="F191" i="1"/>
  <c r="I191" i="1" s="1"/>
  <c r="F192" i="1"/>
  <c r="I192" i="1" s="1"/>
  <c r="F193" i="1"/>
  <c r="I193" i="1" s="1"/>
  <c r="F194" i="1"/>
  <c r="I194" i="1" s="1"/>
  <c r="F195" i="1"/>
  <c r="I195" i="1" s="1"/>
  <c r="F196" i="1"/>
  <c r="I196" i="1" s="1"/>
  <c r="F197" i="1"/>
  <c r="I197" i="1" s="1"/>
  <c r="F198" i="1"/>
  <c r="I198" i="1" s="1"/>
  <c r="F199" i="1"/>
  <c r="I199" i="1" s="1"/>
  <c r="F200" i="1"/>
  <c r="I200" i="1" s="1"/>
  <c r="F201" i="1"/>
  <c r="I201" i="1" s="1"/>
  <c r="F202" i="1"/>
  <c r="I202" i="1" s="1"/>
  <c r="F203" i="1"/>
  <c r="I203" i="1" s="1"/>
  <c r="F204" i="1"/>
  <c r="I204" i="1" s="1"/>
  <c r="F205" i="1"/>
  <c r="I205" i="1" s="1"/>
  <c r="F206" i="1"/>
  <c r="I206" i="1" s="1"/>
  <c r="F207" i="1"/>
  <c r="I207" i="1" s="1"/>
  <c r="F208" i="1"/>
  <c r="I208" i="1" s="1"/>
  <c r="F209" i="1"/>
  <c r="I209" i="1" s="1"/>
  <c r="F210" i="1"/>
  <c r="I210" i="1" s="1"/>
  <c r="F211" i="1"/>
  <c r="I211" i="1" s="1"/>
  <c r="F212" i="1"/>
  <c r="I212" i="1" s="1"/>
  <c r="F213" i="1"/>
  <c r="I213" i="1" s="1"/>
  <c r="F214" i="1"/>
  <c r="I214" i="1" s="1"/>
  <c r="F215" i="1"/>
  <c r="I215" i="1" s="1"/>
  <c r="F216" i="1"/>
  <c r="I216" i="1" s="1"/>
  <c r="F217" i="1"/>
  <c r="I217" i="1" s="1"/>
  <c r="F218" i="1"/>
  <c r="I218" i="1" s="1"/>
  <c r="F219" i="1"/>
  <c r="I219" i="1" s="1"/>
  <c r="F220" i="1"/>
  <c r="I220" i="1" s="1"/>
  <c r="F221" i="1"/>
  <c r="I221" i="1" s="1"/>
  <c r="F222" i="1"/>
  <c r="I222" i="1" s="1"/>
  <c r="F223" i="1"/>
  <c r="I223" i="1" s="1"/>
  <c r="F224" i="1"/>
  <c r="I224" i="1" s="1"/>
  <c r="F225" i="1"/>
  <c r="I225" i="1" s="1"/>
  <c r="F226" i="1"/>
  <c r="I226" i="1" s="1"/>
  <c r="F227" i="1"/>
  <c r="I227" i="1" s="1"/>
  <c r="F228" i="1"/>
  <c r="I228" i="1" s="1"/>
  <c r="F229" i="1"/>
  <c r="I229" i="1" s="1"/>
  <c r="F230" i="1"/>
  <c r="I230" i="1" s="1"/>
  <c r="F231" i="1"/>
  <c r="I231" i="1" s="1"/>
  <c r="F232" i="1"/>
  <c r="I232" i="1" s="1"/>
  <c r="F233" i="1"/>
  <c r="I233" i="1" s="1"/>
  <c r="F234" i="1"/>
  <c r="I234" i="1" s="1"/>
  <c r="F235" i="1"/>
  <c r="I235" i="1" s="1"/>
  <c r="F236" i="1"/>
  <c r="I236" i="1" s="1"/>
  <c r="F237" i="1"/>
  <c r="I237" i="1" s="1"/>
  <c r="F238" i="1"/>
  <c r="I238" i="1" s="1"/>
  <c r="F239" i="1"/>
  <c r="I239" i="1" s="1"/>
  <c r="F240" i="1"/>
  <c r="I240" i="1" s="1"/>
  <c r="F241" i="1"/>
  <c r="I241" i="1" s="1"/>
  <c r="F242" i="1"/>
  <c r="I242" i="1" s="1"/>
  <c r="F243" i="1"/>
  <c r="I243" i="1" s="1"/>
  <c r="F244" i="1"/>
  <c r="I244" i="1" s="1"/>
  <c r="F245" i="1"/>
  <c r="I245" i="1" s="1"/>
  <c r="F246" i="1"/>
  <c r="I246" i="1" s="1"/>
  <c r="F247" i="1"/>
  <c r="I247" i="1" s="1"/>
  <c r="F248" i="1"/>
  <c r="I248" i="1" s="1"/>
  <c r="F249" i="1"/>
  <c r="F250" i="1"/>
  <c r="I250" i="1" s="1"/>
  <c r="F251" i="1"/>
  <c r="I251" i="1" s="1"/>
  <c r="F252" i="1"/>
  <c r="I252" i="1" s="1"/>
  <c r="F253" i="1"/>
  <c r="I253" i="1" s="1"/>
  <c r="F254" i="1"/>
  <c r="I254" i="1" s="1"/>
  <c r="F255" i="1"/>
  <c r="I255" i="1" s="1"/>
  <c r="F256" i="1"/>
  <c r="I256" i="1" s="1"/>
  <c r="F257" i="1"/>
  <c r="I257" i="1" s="1"/>
  <c r="F258" i="1"/>
  <c r="I258" i="1" s="1"/>
  <c r="F259" i="1"/>
  <c r="I259" i="1" s="1"/>
  <c r="F260" i="1"/>
  <c r="I260" i="1" s="1"/>
  <c r="F261" i="1"/>
  <c r="I261" i="1" s="1"/>
  <c r="F262" i="1"/>
  <c r="I262" i="1" s="1"/>
  <c r="F263" i="1"/>
  <c r="I263" i="1" s="1"/>
  <c r="F264" i="1"/>
  <c r="I264" i="1" s="1"/>
  <c r="F265" i="1"/>
  <c r="I265" i="1" s="1"/>
  <c r="F266" i="1"/>
  <c r="I266" i="1" s="1"/>
  <c r="F267" i="1"/>
  <c r="I267" i="1" s="1"/>
  <c r="F268" i="1"/>
  <c r="I268" i="1" s="1"/>
  <c r="F269" i="1"/>
  <c r="I269" i="1" s="1"/>
  <c r="F270" i="1"/>
  <c r="I270" i="1" s="1"/>
  <c r="F271" i="1"/>
  <c r="I271" i="1" s="1"/>
  <c r="F272" i="1"/>
  <c r="I272" i="1" s="1"/>
  <c r="F273" i="1"/>
  <c r="I273" i="1" s="1"/>
  <c r="F274" i="1"/>
  <c r="I274" i="1" s="1"/>
  <c r="F275" i="1"/>
  <c r="I275" i="1" s="1"/>
  <c r="F276" i="1"/>
  <c r="I276" i="1" s="1"/>
  <c r="F277" i="1"/>
  <c r="I277" i="1" s="1"/>
  <c r="F278" i="1"/>
  <c r="I278" i="1" s="1"/>
  <c r="F279" i="1"/>
  <c r="I279" i="1" s="1"/>
  <c r="F280" i="1"/>
  <c r="I280" i="1" s="1"/>
  <c r="F281" i="1"/>
  <c r="I281" i="1" s="1"/>
  <c r="F282" i="1"/>
  <c r="I282" i="1" s="1"/>
  <c r="F283" i="1"/>
  <c r="I283" i="1" s="1"/>
  <c r="F284" i="1"/>
  <c r="I284" i="1" s="1"/>
  <c r="F285" i="1"/>
  <c r="I285" i="1" s="1"/>
  <c r="F286" i="1"/>
  <c r="I286" i="1" s="1"/>
  <c r="F287" i="1"/>
  <c r="I287" i="1" s="1"/>
  <c r="F288" i="1"/>
  <c r="I288" i="1" s="1"/>
  <c r="F289" i="1"/>
  <c r="I289" i="1" s="1"/>
  <c r="F290" i="1"/>
  <c r="I290" i="1" s="1"/>
  <c r="F291" i="1"/>
  <c r="I291" i="1" s="1"/>
  <c r="F292" i="1"/>
  <c r="I292" i="1" s="1"/>
  <c r="F293" i="1"/>
  <c r="I293" i="1" s="1"/>
  <c r="F294" i="1"/>
  <c r="I294" i="1" s="1"/>
  <c r="F295" i="1"/>
  <c r="I295" i="1" s="1"/>
  <c r="F296" i="1"/>
  <c r="I296" i="1" s="1"/>
  <c r="F297" i="1"/>
  <c r="I297" i="1" s="1"/>
  <c r="F298" i="1"/>
  <c r="I298" i="1" s="1"/>
  <c r="F299" i="1"/>
  <c r="I299" i="1" s="1"/>
  <c r="F300" i="1"/>
  <c r="I300" i="1" s="1"/>
  <c r="F301" i="1"/>
  <c r="I301" i="1" s="1"/>
  <c r="F302" i="1"/>
  <c r="I302" i="1" s="1"/>
  <c r="F303" i="1"/>
  <c r="I303" i="1" s="1"/>
  <c r="F304" i="1"/>
  <c r="I304" i="1" s="1"/>
  <c r="F305" i="1"/>
  <c r="I305" i="1" s="1"/>
  <c r="F306" i="1"/>
  <c r="I306" i="1" s="1"/>
  <c r="F307" i="1"/>
  <c r="I307" i="1" s="1"/>
  <c r="F308" i="1"/>
  <c r="I308" i="1" s="1"/>
  <c r="F309" i="1"/>
  <c r="I309" i="1" s="1"/>
  <c r="F310" i="1"/>
  <c r="I310" i="1" s="1"/>
  <c r="F311" i="1"/>
  <c r="I311" i="1" s="1"/>
  <c r="F312" i="1"/>
  <c r="I312" i="1" s="1"/>
  <c r="F313" i="1"/>
  <c r="I313" i="1" s="1"/>
  <c r="F314" i="1"/>
  <c r="I314" i="1" s="1"/>
  <c r="F315" i="1"/>
  <c r="I315" i="1" s="1"/>
  <c r="F316" i="1"/>
  <c r="I316" i="1" s="1"/>
  <c r="F317" i="1"/>
  <c r="I317" i="1" s="1"/>
  <c r="F318" i="1"/>
  <c r="I318" i="1" s="1"/>
  <c r="F319" i="1"/>
  <c r="I319" i="1" s="1"/>
  <c r="F320" i="1"/>
  <c r="I320" i="1" s="1"/>
  <c r="F321" i="1"/>
  <c r="I321" i="1" s="1"/>
  <c r="F322" i="1"/>
  <c r="I322" i="1" s="1"/>
  <c r="F323" i="1"/>
  <c r="I323" i="1" s="1"/>
  <c r="F324" i="1"/>
  <c r="I324" i="1" s="1"/>
  <c r="F325" i="1"/>
  <c r="I325" i="1" s="1"/>
  <c r="F326" i="1"/>
  <c r="I326" i="1" s="1"/>
  <c r="F327" i="1"/>
  <c r="I327" i="1" s="1"/>
  <c r="F328" i="1"/>
  <c r="I328" i="1" s="1"/>
  <c r="F329" i="1"/>
  <c r="I329" i="1" s="1"/>
  <c r="F330" i="1"/>
  <c r="I330" i="1" s="1"/>
  <c r="F331" i="1"/>
  <c r="I331" i="1" s="1"/>
  <c r="F332" i="1"/>
  <c r="I332" i="1" s="1"/>
  <c r="F333" i="1"/>
  <c r="I333" i="1" s="1"/>
  <c r="F334" i="1"/>
  <c r="I334" i="1" s="1"/>
  <c r="F335" i="1"/>
  <c r="I335" i="1" s="1"/>
  <c r="F336" i="1"/>
  <c r="I336" i="1" s="1"/>
  <c r="F337" i="1"/>
  <c r="I337" i="1" s="1"/>
  <c r="F338" i="1"/>
  <c r="I338" i="1" s="1"/>
  <c r="F339" i="1"/>
  <c r="I339" i="1" s="1"/>
  <c r="F340" i="1"/>
  <c r="I340" i="1" s="1"/>
  <c r="F341" i="1"/>
  <c r="I341" i="1" s="1"/>
  <c r="F342" i="1"/>
  <c r="I342" i="1" s="1"/>
  <c r="F343" i="1"/>
  <c r="I343" i="1" s="1"/>
  <c r="F344" i="1"/>
  <c r="I344" i="1" s="1"/>
  <c r="F345" i="1"/>
  <c r="I345" i="1" s="1"/>
  <c r="F346" i="1"/>
  <c r="I346" i="1" s="1"/>
  <c r="F347" i="1"/>
  <c r="I347" i="1" s="1"/>
  <c r="F348" i="1"/>
  <c r="I348" i="1" s="1"/>
  <c r="F349" i="1"/>
  <c r="I349" i="1" s="1"/>
  <c r="F350" i="1"/>
  <c r="I350" i="1" s="1"/>
  <c r="F351" i="1"/>
  <c r="I351" i="1" s="1"/>
  <c r="F352" i="1"/>
  <c r="I352" i="1" s="1"/>
  <c r="F353" i="1"/>
  <c r="I353" i="1" s="1"/>
  <c r="F354" i="1"/>
  <c r="I354" i="1" s="1"/>
  <c r="F355" i="1"/>
  <c r="I355" i="1" s="1"/>
  <c r="F356" i="1"/>
  <c r="I356" i="1" s="1"/>
  <c r="F357" i="1"/>
  <c r="I357" i="1" s="1"/>
  <c r="F358" i="1"/>
  <c r="I358" i="1" s="1"/>
  <c r="F359" i="1"/>
  <c r="I359" i="1" s="1"/>
  <c r="F360" i="1"/>
  <c r="I360" i="1" s="1"/>
  <c r="F361" i="1"/>
  <c r="I361" i="1" s="1"/>
  <c r="F362" i="1"/>
  <c r="I362" i="1" s="1"/>
  <c r="F363" i="1"/>
  <c r="I363" i="1" s="1"/>
  <c r="F364" i="1"/>
  <c r="I364" i="1" s="1"/>
  <c r="F365" i="1"/>
  <c r="I365" i="1" s="1"/>
  <c r="F366" i="1"/>
  <c r="I366" i="1" s="1"/>
  <c r="F367" i="1"/>
  <c r="I367" i="1" s="1"/>
  <c r="F368" i="1"/>
  <c r="I368" i="1" s="1"/>
  <c r="F369" i="1"/>
  <c r="I369" i="1" s="1"/>
  <c r="F370" i="1"/>
  <c r="I370" i="1" s="1"/>
  <c r="F371" i="1"/>
  <c r="I371" i="1" s="1"/>
  <c r="F372" i="1"/>
  <c r="I372" i="1" s="1"/>
  <c r="F373" i="1"/>
  <c r="I373" i="1" s="1"/>
  <c r="F374" i="1"/>
  <c r="I374" i="1" s="1"/>
  <c r="F375" i="1"/>
  <c r="I375" i="1" s="1"/>
  <c r="F376" i="1"/>
  <c r="I376" i="1" s="1"/>
  <c r="F377" i="1"/>
  <c r="I377" i="1" s="1"/>
  <c r="F378" i="1"/>
  <c r="I378" i="1" s="1"/>
  <c r="F379" i="1"/>
  <c r="I379" i="1" s="1"/>
  <c r="F380" i="1"/>
  <c r="I380" i="1" s="1"/>
  <c r="F381" i="1"/>
  <c r="I381" i="1" s="1"/>
  <c r="F382" i="1"/>
  <c r="I382" i="1" s="1"/>
  <c r="F383" i="1"/>
  <c r="I383" i="1" s="1"/>
  <c r="F384" i="1"/>
  <c r="I384" i="1" s="1"/>
  <c r="F385" i="1"/>
  <c r="I385" i="1" s="1"/>
  <c r="F386" i="1"/>
  <c r="I386" i="1" s="1"/>
  <c r="F387" i="1"/>
  <c r="I387" i="1" s="1"/>
  <c r="F388" i="1"/>
  <c r="I388" i="1" s="1"/>
  <c r="F389" i="1"/>
  <c r="I389" i="1" s="1"/>
  <c r="F390" i="1"/>
  <c r="I390" i="1" s="1"/>
  <c r="F391" i="1"/>
  <c r="I391" i="1" s="1"/>
  <c r="F392" i="1"/>
  <c r="I392" i="1" s="1"/>
  <c r="F393" i="1"/>
  <c r="I393" i="1" s="1"/>
  <c r="F394" i="1"/>
  <c r="I394" i="1" s="1"/>
  <c r="F395" i="1"/>
  <c r="I395" i="1" s="1"/>
  <c r="F396" i="1"/>
  <c r="I396" i="1" s="1"/>
  <c r="F397" i="1"/>
  <c r="I397" i="1" s="1"/>
  <c r="F398" i="1"/>
  <c r="I398" i="1" s="1"/>
  <c r="F399" i="1"/>
  <c r="I399" i="1" s="1"/>
  <c r="F400" i="1"/>
  <c r="I400" i="1" s="1"/>
  <c r="F401" i="1"/>
  <c r="I401" i="1" s="1"/>
  <c r="F402" i="1"/>
  <c r="I402" i="1" s="1"/>
  <c r="F403" i="1"/>
  <c r="I403" i="1" s="1"/>
  <c r="F404" i="1"/>
  <c r="I404" i="1" s="1"/>
  <c r="F405" i="1"/>
  <c r="I405" i="1" s="1"/>
  <c r="F406" i="1"/>
  <c r="I406" i="1" s="1"/>
  <c r="F407" i="1"/>
  <c r="I407" i="1" s="1"/>
  <c r="F408" i="1"/>
  <c r="I408" i="1" s="1"/>
  <c r="F409" i="1"/>
  <c r="I409" i="1" s="1"/>
  <c r="F410" i="1"/>
  <c r="I410" i="1" s="1"/>
  <c r="F411" i="1"/>
  <c r="I411" i="1" s="1"/>
  <c r="F412" i="1"/>
  <c r="I412" i="1" s="1"/>
  <c r="F413" i="1"/>
  <c r="I413" i="1" s="1"/>
  <c r="F414" i="1"/>
  <c r="I414" i="1" s="1"/>
  <c r="F415" i="1"/>
  <c r="I415" i="1" s="1"/>
  <c r="F416" i="1"/>
  <c r="I416" i="1" s="1"/>
  <c r="F417" i="1"/>
  <c r="I417" i="1" s="1"/>
  <c r="F418" i="1"/>
  <c r="I418" i="1" s="1"/>
  <c r="F419" i="1"/>
  <c r="I419" i="1" s="1"/>
  <c r="F420" i="1"/>
  <c r="I420" i="1" s="1"/>
  <c r="F421" i="1"/>
  <c r="I421" i="1" s="1"/>
  <c r="F422" i="1"/>
  <c r="I422" i="1" s="1"/>
  <c r="F423" i="1"/>
  <c r="I423" i="1" s="1"/>
  <c r="F424" i="1"/>
  <c r="I424" i="1" s="1"/>
  <c r="F425" i="1"/>
  <c r="I425" i="1" s="1"/>
  <c r="F426" i="1"/>
  <c r="I426" i="1" s="1"/>
  <c r="F427" i="1"/>
  <c r="I427" i="1" s="1"/>
  <c r="F428" i="1"/>
  <c r="I428" i="1" s="1"/>
  <c r="F429" i="1"/>
  <c r="I429" i="1" s="1"/>
  <c r="F430" i="1"/>
  <c r="I430" i="1" s="1"/>
  <c r="F431" i="1"/>
  <c r="I431" i="1" s="1"/>
  <c r="F432" i="1"/>
  <c r="I432" i="1" s="1"/>
  <c r="F433" i="1"/>
  <c r="I433" i="1" s="1"/>
  <c r="F434" i="1"/>
  <c r="I434" i="1" s="1"/>
  <c r="F435" i="1"/>
  <c r="I435" i="1" s="1"/>
  <c r="F436" i="1"/>
  <c r="I436" i="1" s="1"/>
  <c r="F437" i="1"/>
  <c r="I437" i="1" s="1"/>
  <c r="F438" i="1"/>
  <c r="I438" i="1" s="1"/>
  <c r="F439" i="1"/>
  <c r="I439" i="1" s="1"/>
  <c r="F440" i="1"/>
  <c r="I440" i="1" s="1"/>
  <c r="F441" i="1"/>
  <c r="I441" i="1" s="1"/>
  <c r="F442" i="1"/>
  <c r="I442" i="1" s="1"/>
  <c r="F443" i="1"/>
  <c r="I443" i="1" s="1"/>
  <c r="F444" i="1"/>
  <c r="I444" i="1" s="1"/>
  <c r="F445" i="1"/>
  <c r="I445" i="1" s="1"/>
  <c r="F446" i="1"/>
  <c r="I446" i="1" s="1"/>
  <c r="F447" i="1"/>
  <c r="I447" i="1" s="1"/>
  <c r="F448" i="1"/>
  <c r="I448" i="1" s="1"/>
  <c r="F449" i="1"/>
  <c r="I449" i="1" s="1"/>
  <c r="F450" i="1"/>
  <c r="I450" i="1" s="1"/>
  <c r="F451" i="1"/>
  <c r="I451" i="1" s="1"/>
  <c r="F452" i="1"/>
  <c r="I452" i="1" s="1"/>
  <c r="F453" i="1"/>
  <c r="I453" i="1" s="1"/>
  <c r="F454" i="1"/>
  <c r="I454" i="1" s="1"/>
  <c r="F455" i="1"/>
  <c r="I455" i="1" s="1"/>
  <c r="F456" i="1"/>
  <c r="I456" i="1" s="1"/>
  <c r="F457" i="1"/>
  <c r="I457" i="1" s="1"/>
  <c r="F458" i="1"/>
  <c r="I458" i="1" s="1"/>
  <c r="F459" i="1"/>
  <c r="I459" i="1" s="1"/>
  <c r="F460" i="1"/>
  <c r="I460" i="1" s="1"/>
  <c r="F461" i="1"/>
  <c r="I461" i="1" s="1"/>
  <c r="F462" i="1"/>
  <c r="I462" i="1" s="1"/>
  <c r="F463" i="1"/>
  <c r="I463" i="1" s="1"/>
  <c r="F464" i="1"/>
  <c r="I464" i="1" s="1"/>
  <c r="F465" i="1"/>
  <c r="I465" i="1" s="1"/>
  <c r="F466" i="1"/>
  <c r="I466" i="1" s="1"/>
  <c r="F467" i="1"/>
  <c r="I467" i="1" s="1"/>
  <c r="F468" i="1"/>
  <c r="I468" i="1" s="1"/>
  <c r="F469" i="1"/>
  <c r="I469" i="1" s="1"/>
  <c r="F470" i="1"/>
  <c r="I470" i="1" s="1"/>
  <c r="F471" i="1"/>
  <c r="I471" i="1" s="1"/>
  <c r="F472" i="1"/>
  <c r="I472" i="1" s="1"/>
  <c r="F473" i="1"/>
  <c r="I473" i="1" s="1"/>
  <c r="F474" i="1"/>
  <c r="I474" i="1" s="1"/>
  <c r="F475" i="1"/>
  <c r="I475" i="1" s="1"/>
  <c r="F476" i="1"/>
  <c r="I476" i="1" s="1"/>
  <c r="F477" i="1"/>
  <c r="I477" i="1" s="1"/>
  <c r="F478" i="1"/>
  <c r="I478" i="1" s="1"/>
  <c r="F479" i="1"/>
  <c r="I479" i="1" s="1"/>
  <c r="F480" i="1"/>
  <c r="I480" i="1" s="1"/>
  <c r="F481" i="1"/>
  <c r="I481" i="1" s="1"/>
  <c r="F482" i="1"/>
  <c r="I482" i="1" s="1"/>
  <c r="F483" i="1"/>
  <c r="I483" i="1" s="1"/>
  <c r="F484" i="1"/>
  <c r="I484" i="1" s="1"/>
  <c r="F485" i="1"/>
  <c r="I485" i="1" s="1"/>
  <c r="F486" i="1"/>
  <c r="I486" i="1" s="1"/>
  <c r="F487" i="1"/>
  <c r="I487" i="1" s="1"/>
  <c r="F488" i="1"/>
  <c r="I488" i="1" s="1"/>
  <c r="F489" i="1"/>
  <c r="I489" i="1" s="1"/>
  <c r="F490" i="1"/>
  <c r="I490" i="1" s="1"/>
  <c r="F491" i="1"/>
  <c r="I491" i="1" s="1"/>
  <c r="F492" i="1"/>
  <c r="I492" i="1" s="1"/>
  <c r="F493" i="1"/>
  <c r="I493" i="1" s="1"/>
  <c r="F494" i="1"/>
  <c r="I494" i="1" s="1"/>
  <c r="F495" i="1"/>
  <c r="I495" i="1" s="1"/>
  <c r="F496" i="1"/>
  <c r="I496" i="1" s="1"/>
  <c r="F497" i="1"/>
  <c r="I497" i="1" s="1"/>
  <c r="F498" i="1"/>
  <c r="I498" i="1" s="1"/>
  <c r="F499" i="1"/>
  <c r="I499" i="1" s="1"/>
  <c r="F500" i="1"/>
  <c r="I500" i="1" s="1"/>
  <c r="F501" i="1"/>
  <c r="I501" i="1" s="1"/>
  <c r="F502" i="1"/>
  <c r="I502" i="1" s="1"/>
  <c r="F503" i="1"/>
  <c r="I503" i="1" s="1"/>
  <c r="F504" i="1"/>
  <c r="I504" i="1" s="1"/>
  <c r="F505" i="1"/>
  <c r="I505" i="1" s="1"/>
  <c r="F2" i="1"/>
  <c r="I2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2" i="1"/>
  <c r="I3644" i="1" l="1"/>
  <c r="I3270" i="1"/>
  <c r="I3500" i="1"/>
  <c r="I3538" i="1"/>
  <c r="I3540" i="1"/>
  <c r="I3542" i="1"/>
  <c r="I3532" i="1"/>
  <c r="I3534" i="1"/>
  <c r="I3537" i="1"/>
  <c r="I3539" i="1"/>
  <c r="I3541" i="1"/>
  <c r="I3533" i="1"/>
  <c r="I3172" i="1"/>
  <c r="I3173" i="1"/>
  <c r="I3174" i="1"/>
  <c r="I3183" i="1"/>
  <c r="I3184" i="1"/>
  <c r="I3185" i="1"/>
  <c r="I3186" i="1"/>
  <c r="I3195" i="1"/>
  <c r="I3196" i="1"/>
  <c r="I3197" i="1"/>
  <c r="I3198" i="1"/>
  <c r="I3207" i="1"/>
  <c r="I3208" i="1"/>
  <c r="I3209" i="1"/>
  <c r="I3210" i="1"/>
  <c r="I3219" i="1"/>
  <c r="I3220" i="1"/>
  <c r="I3221" i="1"/>
  <c r="I3222" i="1"/>
  <c r="I3231" i="1"/>
  <c r="I3232" i="1"/>
  <c r="I3233" i="1"/>
  <c r="I3234" i="1"/>
  <c r="I3243" i="1"/>
  <c r="I3244" i="1"/>
  <c r="I3245" i="1"/>
  <c r="I3246" i="1"/>
  <c r="I3255" i="1"/>
  <c r="I3256" i="1"/>
  <c r="I3257" i="1"/>
  <c r="I3258" i="1"/>
  <c r="I3267" i="1"/>
  <c r="I3268" i="1"/>
  <c r="I3269" i="1"/>
  <c r="I3279" i="1"/>
  <c r="I3280" i="1"/>
  <c r="I3281" i="1"/>
  <c r="I3282" i="1"/>
  <c r="I3291" i="1"/>
  <c r="I3292" i="1"/>
  <c r="I3293" i="1"/>
  <c r="I3294" i="1"/>
  <c r="I3303" i="1"/>
  <c r="I3304" i="1"/>
  <c r="I3305" i="1"/>
  <c r="I3306" i="1"/>
  <c r="I3315" i="1"/>
  <c r="I3316" i="1"/>
  <c r="I3317" i="1"/>
  <c r="I3318" i="1"/>
  <c r="I3327" i="1"/>
  <c r="I3328" i="1"/>
  <c r="I3329" i="1"/>
  <c r="I3330" i="1"/>
  <c r="I3339" i="1"/>
  <c r="I3340" i="1"/>
  <c r="I3341" i="1"/>
  <c r="I3342" i="1"/>
  <c r="I3351" i="1"/>
  <c r="I3352" i="1"/>
  <c r="I3353" i="1"/>
  <c r="I3354" i="1"/>
  <c r="I3363" i="1"/>
  <c r="I3364" i="1"/>
  <c r="I3365" i="1"/>
  <c r="I3366" i="1"/>
  <c r="I3375" i="1"/>
  <c r="I3376" i="1"/>
  <c r="I3377" i="1"/>
  <c r="I3378" i="1"/>
  <c r="I3387" i="1"/>
  <c r="I3388" i="1"/>
  <c r="I3389" i="1"/>
  <c r="I3390" i="1"/>
  <c r="I3399" i="1"/>
  <c r="I3400" i="1"/>
  <c r="I3401" i="1"/>
  <c r="I3402" i="1"/>
  <c r="I3411" i="1"/>
  <c r="I3412" i="1"/>
  <c r="I3413" i="1"/>
  <c r="I3414" i="1"/>
  <c r="I3423" i="1"/>
  <c r="I3424" i="1"/>
  <c r="I3425" i="1"/>
  <c r="I3426" i="1"/>
  <c r="I3435" i="1"/>
  <c r="I3436" i="1"/>
  <c r="I3437" i="1"/>
  <c r="I3438" i="1"/>
  <c r="I3447" i="1"/>
  <c r="I3448" i="1"/>
  <c r="I3449" i="1"/>
  <c r="I3450" i="1"/>
  <c r="I3459" i="1"/>
  <c r="I3460" i="1"/>
  <c r="I3461" i="1"/>
  <c r="I3462" i="1"/>
  <c r="I3471" i="1"/>
  <c r="I3472" i="1"/>
  <c r="I3473" i="1"/>
  <c r="I3474" i="1"/>
  <c r="I3483" i="1"/>
  <c r="I3484" i="1"/>
  <c r="I3485" i="1"/>
  <c r="I3486" i="1"/>
  <c r="I3589" i="1"/>
  <c r="I3517" i="1"/>
  <c r="I3445" i="1"/>
  <c r="I3373" i="1"/>
  <c r="I3301" i="1"/>
  <c r="I3229" i="1"/>
  <c r="I3169" i="1"/>
  <c r="I3133" i="1"/>
  <c r="I3109" i="1"/>
  <c r="I3037" i="1"/>
  <c r="I3528" i="1"/>
  <c r="I3504" i="1"/>
  <c r="I3492" i="1"/>
  <c r="I3480" i="1"/>
  <c r="I3468" i="1"/>
  <c r="I3456" i="1"/>
  <c r="I3444" i="1"/>
  <c r="I3432" i="1"/>
  <c r="I3420" i="1"/>
  <c r="I3408" i="1"/>
  <c r="I3396" i="1"/>
  <c r="I3384" i="1"/>
  <c r="I3372" i="1"/>
  <c r="I3360" i="1"/>
  <c r="I3348" i="1"/>
  <c r="I3336" i="1"/>
  <c r="I3324" i="1"/>
  <c r="I3312" i="1"/>
  <c r="I3300" i="1"/>
  <c r="I3288" i="1"/>
  <c r="I3276" i="1"/>
  <c r="I3264" i="1"/>
  <c r="I3252" i="1"/>
  <c r="I3240" i="1"/>
  <c r="I3228" i="1"/>
  <c r="I3216" i="1"/>
  <c r="I3204" i="1"/>
  <c r="I3192" i="1"/>
  <c r="I3180" i="1"/>
  <c r="I3168" i="1"/>
  <c r="I3156" i="1"/>
  <c r="I3144" i="1"/>
  <c r="I3132" i="1"/>
  <c r="I3120" i="1"/>
  <c r="I3096" i="1"/>
  <c r="I3084" i="1"/>
  <c r="I3072" i="1"/>
  <c r="I3060" i="1"/>
  <c r="I3048" i="1"/>
  <c r="I3036" i="1"/>
  <c r="I3505" i="1"/>
  <c r="I3433" i="1"/>
  <c r="I3349" i="1"/>
  <c r="I3277" i="1"/>
  <c r="I3205" i="1"/>
  <c r="I3121" i="1"/>
  <c r="I3097" i="1"/>
  <c r="I3527" i="1"/>
  <c r="I3515" i="1"/>
  <c r="I3503" i="1"/>
  <c r="I3491" i="1"/>
  <c r="I3479" i="1"/>
  <c r="I3467" i="1"/>
  <c r="I3455" i="1"/>
  <c r="I3443" i="1"/>
  <c r="I3431" i="1"/>
  <c r="I3419" i="1"/>
  <c r="I3407" i="1"/>
  <c r="I3395" i="1"/>
  <c r="I3383" i="1"/>
  <c r="I3371" i="1"/>
  <c r="I3359" i="1"/>
  <c r="I3347" i="1"/>
  <c r="I3335" i="1"/>
  <c r="I3323" i="1"/>
  <c r="I3311" i="1"/>
  <c r="I3299" i="1"/>
  <c r="I3287" i="1"/>
  <c r="I3275" i="1"/>
  <c r="I3263" i="1"/>
  <c r="I3251" i="1"/>
  <c r="I3239" i="1"/>
  <c r="I3227" i="1"/>
  <c r="I3215" i="1"/>
  <c r="I3203" i="1"/>
  <c r="I3191" i="1"/>
  <c r="I3179" i="1"/>
  <c r="I3167" i="1"/>
  <c r="I3155" i="1"/>
  <c r="I3143" i="1"/>
  <c r="I3131" i="1"/>
  <c r="I3119" i="1"/>
  <c r="I3107" i="1"/>
  <c r="I3095" i="1"/>
  <c r="I3083" i="1"/>
  <c r="I3071" i="1"/>
  <c r="I3059" i="1"/>
  <c r="I3047" i="1"/>
  <c r="I3035" i="1"/>
  <c r="I3457" i="1"/>
  <c r="I3397" i="1"/>
  <c r="I3313" i="1"/>
  <c r="I3241" i="1"/>
  <c r="I3145" i="1"/>
  <c r="I3061" i="1"/>
  <c r="I3469" i="1"/>
  <c r="I3385" i="1"/>
  <c r="I3325" i="1"/>
  <c r="I3265" i="1"/>
  <c r="I3193" i="1"/>
  <c r="I3049" i="1"/>
  <c r="I3481" i="1"/>
  <c r="I3409" i="1"/>
  <c r="I3361" i="1"/>
  <c r="I3289" i="1"/>
  <c r="I3217" i="1"/>
  <c r="I3181" i="1"/>
  <c r="I3073" i="1"/>
  <c r="I3493" i="1"/>
  <c r="I3421" i="1"/>
  <c r="I3337" i="1"/>
  <c r="I3253" i="1"/>
  <c r="I3157" i="1"/>
  <c r="I3085" i="1"/>
  <c r="I3026" i="1"/>
  <c r="I3518" i="1"/>
  <c r="I3506" i="1"/>
  <c r="I3494" i="1"/>
  <c r="I3482" i="1"/>
  <c r="I3470" i="1"/>
  <c r="I3458" i="1"/>
  <c r="I3446" i="1"/>
  <c r="I3434" i="1"/>
  <c r="I3422" i="1"/>
  <c r="I3410" i="1"/>
  <c r="I3398" i="1"/>
  <c r="I3386" i="1"/>
  <c r="I3374" i="1"/>
  <c r="I3362" i="1"/>
  <c r="I3350" i="1"/>
  <c r="I3338" i="1"/>
  <c r="I3326" i="1"/>
  <c r="I3314" i="1"/>
  <c r="I3302" i="1"/>
  <c r="I3290" i="1"/>
  <c r="I3278" i="1"/>
  <c r="I3266" i="1"/>
  <c r="I3254" i="1"/>
  <c r="I3242" i="1"/>
  <c r="I3230" i="1"/>
  <c r="I3218" i="1"/>
  <c r="I3206" i="1"/>
  <c r="I3194" i="1"/>
  <c r="I3182" i="1"/>
  <c r="I3170" i="1"/>
  <c r="I3158" i="1"/>
  <c r="I3146" i="1"/>
  <c r="I3134" i="1"/>
  <c r="I3122" i="1"/>
  <c r="I3110" i="1"/>
  <c r="I3098" i="1"/>
  <c r="I3086" i="1"/>
  <c r="I3074" i="1"/>
  <c r="I3062" i="1"/>
  <c r="I3038" i="1"/>
  <c r="I3310" i="1"/>
  <c r="I3298" i="1"/>
  <c r="I3286" i="1"/>
  <c r="I3274" i="1"/>
  <c r="I3262" i="1"/>
  <c r="I3250" i="1"/>
  <c r="I3238" i="1"/>
  <c r="I3226" i="1"/>
  <c r="I3214" i="1"/>
  <c r="I3202" i="1"/>
  <c r="I3190" i="1"/>
  <c r="I3178" i="1"/>
  <c r="I3166" i="1"/>
  <c r="I3154" i="1"/>
  <c r="I3142" i="1"/>
  <c r="I3130" i="1"/>
  <c r="I3118" i="1"/>
  <c r="I3106" i="1"/>
  <c r="I3094" i="1"/>
  <c r="I3082" i="1"/>
  <c r="I3070" i="1"/>
  <c r="I3058" i="1"/>
  <c r="I3046" i="1"/>
  <c r="I3034" i="1"/>
  <c r="I3525" i="1"/>
  <c r="I3501" i="1"/>
  <c r="I3489" i="1"/>
  <c r="I3477" i="1"/>
  <c r="I3465" i="1"/>
  <c r="I3453" i="1"/>
  <c r="I3441" i="1"/>
  <c r="I3429" i="1"/>
  <c r="I3417" i="1"/>
  <c r="I3405" i="1"/>
  <c r="I3393" i="1"/>
  <c r="I3381" i="1"/>
  <c r="I3369" i="1"/>
  <c r="I3357" i="1"/>
  <c r="I3345" i="1"/>
  <c r="I3333" i="1"/>
  <c r="I3321" i="1"/>
  <c r="I3309" i="1"/>
  <c r="I3297" i="1"/>
  <c r="I3285" i="1"/>
  <c r="I3273" i="1"/>
  <c r="I3261" i="1"/>
  <c r="I3249" i="1"/>
  <c r="I3237" i="1"/>
  <c r="I3225" i="1"/>
  <c r="I3213" i="1"/>
  <c r="I3201" i="1"/>
  <c r="I3189" i="1"/>
  <c r="I3177" i="1"/>
  <c r="I3165" i="1"/>
  <c r="I3153" i="1"/>
  <c r="I3141" i="1"/>
  <c r="I3129" i="1"/>
  <c r="I3117" i="1"/>
  <c r="I3105" i="1"/>
  <c r="I3093" i="1"/>
  <c r="I3081" i="1"/>
  <c r="I3069" i="1"/>
  <c r="I3057" i="1"/>
  <c r="I3045" i="1"/>
  <c r="I3033" i="1"/>
  <c r="I3514" i="1"/>
  <c r="I3502" i="1"/>
  <c r="I3490" i="1"/>
  <c r="I3478" i="1"/>
  <c r="I3466" i="1"/>
  <c r="I3454" i="1"/>
  <c r="I3442" i="1"/>
  <c r="I3430" i="1"/>
  <c r="I3418" i="1"/>
  <c r="I3406" i="1"/>
  <c r="I3394" i="1"/>
  <c r="I3382" i="1"/>
  <c r="I3370" i="1"/>
  <c r="I3358" i="1"/>
  <c r="I3346" i="1"/>
  <c r="I3334" i="1"/>
  <c r="I3322" i="1"/>
  <c r="I249" i="1"/>
  <c r="I1820" i="1"/>
  <c r="I1784" i="1"/>
  <c r="I1772" i="1"/>
  <c r="I1748" i="1"/>
  <c r="I1712" i="1"/>
  <c r="I1676" i="1"/>
  <c r="I1664" i="1"/>
  <c r="I1652" i="1"/>
  <c r="I1640" i="1"/>
  <c r="I1628" i="1"/>
  <c r="I1616" i="1"/>
  <c r="I1592" i="1"/>
  <c r="I1580" i="1"/>
  <c r="I1568" i="1"/>
  <c r="I1556" i="1"/>
  <c r="I1544" i="1"/>
  <c r="I1532" i="1"/>
  <c r="I3020" i="1"/>
  <c r="I3008" i="1"/>
  <c r="I2996" i="1"/>
  <c r="I2984" i="1"/>
  <c r="I2972" i="1"/>
  <c r="I2960" i="1"/>
  <c r="I2948" i="1"/>
  <c r="I2936" i="1"/>
  <c r="I2924" i="1"/>
  <c r="I2912" i="1"/>
  <c r="I2900" i="1"/>
  <c r="I2888" i="1"/>
  <c r="I2876" i="1"/>
  <c r="I3524" i="1"/>
  <c r="I3392" i="1"/>
  <c r="I3224" i="1"/>
  <c r="I3176" i="1"/>
  <c r="I3128" i="1"/>
  <c r="I3080" i="1"/>
  <c r="I2491" i="1"/>
  <c r="I2479" i="1"/>
  <c r="I2467" i="1"/>
  <c r="I2455" i="1"/>
  <c r="I2443" i="1"/>
  <c r="I2431" i="1"/>
  <c r="I2419" i="1"/>
  <c r="I2407" i="1"/>
  <c r="I2395" i="1"/>
  <c r="I2383" i="1"/>
  <c r="I2371" i="1"/>
  <c r="I2359" i="1"/>
  <c r="I2347" i="1"/>
  <c r="I2335" i="1"/>
  <c r="I2323" i="1"/>
  <c r="I2311" i="1"/>
  <c r="I2299" i="1"/>
  <c r="I2287" i="1"/>
  <c r="I2275" i="1"/>
  <c r="I2263" i="1"/>
  <c r="I2251" i="1"/>
  <c r="I2239" i="1"/>
  <c r="I2227" i="1"/>
  <c r="I2215" i="1"/>
  <c r="I2203" i="1"/>
  <c r="I2191" i="1"/>
  <c r="I2179" i="1"/>
  <c r="I2167" i="1"/>
  <c r="I2155" i="1"/>
  <c r="I2143" i="1"/>
  <c r="I2131" i="1"/>
  <c r="I2119" i="1"/>
  <c r="I2107" i="1"/>
  <c r="I2095" i="1"/>
  <c r="I2083" i="1"/>
  <c r="I2071" i="1"/>
  <c r="I2059" i="1"/>
  <c r="I2047" i="1"/>
  <c r="I2035" i="1"/>
  <c r="I2023" i="1"/>
  <c r="I2864" i="1"/>
  <c r="I2852" i="1"/>
  <c r="I2840" i="1"/>
  <c r="I2828" i="1"/>
  <c r="I2816" i="1"/>
  <c r="I2804" i="1"/>
  <c r="I2792" i="1"/>
  <c r="I2780" i="1"/>
  <c r="I2768" i="1"/>
  <c r="I2756" i="1"/>
  <c r="I2744" i="1"/>
  <c r="I2732" i="1"/>
  <c r="I2720" i="1"/>
  <c r="I2708" i="1"/>
  <c r="I2696" i="1"/>
  <c r="I2684" i="1"/>
  <c r="I2672" i="1"/>
  <c r="I2660" i="1"/>
  <c r="I2648" i="1"/>
  <c r="I2636" i="1"/>
  <c r="I2624" i="1"/>
  <c r="I2612" i="1"/>
  <c r="I2600" i="1"/>
  <c r="I2588" i="1"/>
  <c r="I2576" i="1"/>
  <c r="I2564" i="1"/>
  <c r="I2552" i="1"/>
  <c r="I2528" i="1"/>
  <c r="I3476" i="1"/>
  <c r="I3464" i="1"/>
  <c r="I3452" i="1"/>
  <c r="I3440" i="1"/>
  <c r="I3428" i="1"/>
  <c r="I3416" i="1"/>
  <c r="I3404" i="1"/>
  <c r="I3380" i="1"/>
  <c r="I3368" i="1"/>
  <c r="I3356" i="1"/>
  <c r="I3344" i="1"/>
  <c r="I3332" i="1"/>
  <c r="I3320" i="1"/>
  <c r="I3308" i="1"/>
  <c r="I3296" i="1"/>
  <c r="I3284" i="1"/>
  <c r="I3272" i="1"/>
  <c r="I3260" i="1"/>
  <c r="I3248" i="1"/>
  <c r="I3236" i="1"/>
  <c r="I3212" i="1"/>
  <c r="I3200" i="1"/>
  <c r="I3188" i="1"/>
  <c r="I3164" i="1"/>
  <c r="I3152" i="1"/>
  <c r="I3140" i="1"/>
  <c r="I3116" i="1"/>
  <c r="I3104" i="1"/>
  <c r="I3092" i="1"/>
  <c r="I3068" i="1"/>
  <c r="I3056" i="1"/>
  <c r="I3044" i="1"/>
  <c r="I3032" i="1"/>
  <c r="I4028" i="1"/>
  <c r="I4016" i="1"/>
  <c r="I4004" i="1"/>
  <c r="I3992" i="1"/>
  <c r="I3980" i="1"/>
  <c r="I3968" i="1"/>
  <c r="I3956" i="1"/>
  <c r="I3944" i="1"/>
  <c r="I3932" i="1"/>
  <c r="I3908" i="1"/>
  <c r="I3896" i="1"/>
  <c r="I3884" i="1"/>
  <c r="I3872" i="1"/>
  <c r="I3848" i="1"/>
  <c r="I3824" i="1"/>
  <c r="I3800" i="1"/>
  <c r="I3776" i="1"/>
  <c r="I3752" i="1"/>
  <c r="I3728" i="1"/>
  <c r="I3704" i="1"/>
  <c r="I3680" i="1"/>
  <c r="I3656" i="1"/>
  <c r="I3632" i="1"/>
  <c r="I3608" i="1"/>
  <c r="I3584" i="1"/>
  <c r="I3560" i="1"/>
  <c r="I3536" i="1"/>
  <c r="I4532" i="1"/>
  <c r="I4496" i="1"/>
  <c r="I4484" i="1"/>
  <c r="I4472" i="1"/>
  <c r="I4412" i="1"/>
  <c r="I4388" i="1"/>
  <c r="I4376" i="1"/>
  <c r="I4364" i="1"/>
  <c r="I4352" i="1"/>
  <c r="I4340" i="1"/>
  <c r="I4328" i="1"/>
  <c r="I4316" i="1"/>
  <c r="I4304" i="1"/>
  <c r="I4292" i="1"/>
  <c r="I4280" i="1"/>
  <c r="I4268" i="1"/>
  <c r="I4256" i="1"/>
  <c r="I4244" i="1"/>
  <c r="I4232" i="1"/>
  <c r="I4220" i="1"/>
  <c r="I4196" i="1"/>
  <c r="I4184" i="1"/>
  <c r="I4160" i="1"/>
  <c r="I4148" i="1"/>
  <c r="I4124" i="1"/>
  <c r="I4112" i="1"/>
  <c r="I4088" i="1"/>
  <c r="I4076" i="1"/>
  <c r="I4052" i="1"/>
  <c r="I4040" i="1"/>
  <c r="I4847" i="1"/>
  <c r="I4835" i="1"/>
  <c r="I4811" i="1"/>
  <c r="I4799" i="1"/>
  <c r="I4787" i="1"/>
  <c r="I4763" i="1"/>
  <c r="I4751" i="1"/>
  <c r="I4727" i="1"/>
  <c r="I4703" i="1"/>
  <c r="I4679" i="1"/>
  <c r="I4667" i="1"/>
  <c r="I4655" i="1"/>
  <c r="I4643" i="1"/>
  <c r="I4631" i="1"/>
  <c r="I4619" i="1"/>
  <c r="I4607" i="1"/>
  <c r="I4595" i="1"/>
  <c r="I4571" i="1"/>
  <c r="I4559" i="1"/>
  <c r="I2563" i="1"/>
  <c r="I2551" i="1"/>
  <c r="I2527" i="1"/>
  <c r="I3499" i="1"/>
  <c r="I3487" i="1"/>
  <c r="I3475" i="1"/>
  <c r="I3463" i="1"/>
  <c r="I3451" i="1"/>
  <c r="I3439" i="1"/>
  <c r="I3427" i="1"/>
  <c r="I3415" i="1"/>
  <c r="I3403" i="1"/>
  <c r="I3391" i="1"/>
  <c r="I3379" i="1"/>
  <c r="I3367" i="1"/>
  <c r="I3355" i="1"/>
  <c r="I3343" i="1"/>
  <c r="I3331" i="1"/>
  <c r="I3319" i="1"/>
  <c r="I3307" i="1"/>
  <c r="I3295" i="1"/>
  <c r="I3283" i="1"/>
  <c r="I3271" i="1"/>
  <c r="I3259" i="1"/>
  <c r="I3247" i="1"/>
  <c r="I3235" i="1"/>
  <c r="I3223" i="1"/>
  <c r="I3211" i="1"/>
  <c r="I3199" i="1"/>
  <c r="I3187" i="1"/>
  <c r="I3175" i="1"/>
  <c r="I3163" i="1"/>
  <c r="I3151" i="1"/>
  <c r="I3139" i="1"/>
  <c r="I3127" i="1"/>
  <c r="I3115" i="1"/>
  <c r="I3103" i="1"/>
  <c r="I3091" i="1"/>
  <c r="I3079" i="1"/>
  <c r="I3067" i="1"/>
  <c r="I3055" i="1"/>
  <c r="I3043" i="1"/>
  <c r="I3031" i="1"/>
  <c r="I4027" i="1"/>
  <c r="I4015" i="1"/>
  <c r="I4003" i="1"/>
  <c r="I3991" i="1"/>
  <c r="I3979" i="1"/>
  <c r="I3967" i="1"/>
  <c r="I3955" i="1"/>
  <c r="I3943" i="1"/>
  <c r="I3931" i="1"/>
  <c r="I3919" i="1"/>
  <c r="I3907" i="1"/>
  <c r="I3895" i="1"/>
  <c r="I3883" i="1"/>
  <c r="I3871" i="1"/>
  <c r="I3859" i="1"/>
  <c r="I3847" i="1"/>
  <c r="I3835" i="1"/>
  <c r="I3823" i="1"/>
  <c r="I3811" i="1"/>
  <c r="I3799" i="1"/>
  <c r="I3787" i="1"/>
  <c r="I3775" i="1"/>
  <c r="I3763" i="1"/>
  <c r="I3751" i="1"/>
  <c r="I3739" i="1"/>
  <c r="I3727" i="1"/>
  <c r="I3715" i="1"/>
  <c r="I3703" i="1"/>
  <c r="I3691" i="1"/>
  <c r="I3679" i="1"/>
  <c r="I3667" i="1"/>
  <c r="I3655" i="1"/>
  <c r="I3643" i="1"/>
  <c r="I3631" i="1"/>
  <c r="I3619" i="1"/>
  <c r="I3607" i="1"/>
  <c r="I3595" i="1"/>
  <c r="I3583" i="1"/>
  <c r="I3571" i="1"/>
  <c r="I3547" i="1"/>
  <c r="I3535" i="1"/>
  <c r="I4519" i="1"/>
  <c r="I4507" i="1"/>
  <c r="I4495" i="1"/>
  <c r="I4483" i="1"/>
  <c r="I4471" i="1"/>
  <c r="I4459" i="1"/>
  <c r="I4423" i="1"/>
  <c r="I4411" i="1"/>
  <c r="I4399" i="1"/>
  <c r="I4387" i="1"/>
  <c r="I4375" i="1"/>
  <c r="I4363" i="1"/>
  <c r="I4351" i="1"/>
  <c r="I4339" i="1"/>
  <c r="I4327" i="1"/>
  <c r="I4315" i="1"/>
  <c r="I4303" i="1"/>
  <c r="I4291" i="1"/>
  <c r="I4279" i="1"/>
  <c r="I4267" i="1"/>
  <c r="I4255" i="1"/>
  <c r="I4243" i="1"/>
  <c r="I4231" i="1"/>
  <c r="I4219" i="1"/>
  <c r="I4207" i="1"/>
  <c r="I4195" i="1"/>
  <c r="I4183" i="1"/>
  <c r="I4171" i="1"/>
  <c r="I4159" i="1"/>
  <c r="I4147" i="1"/>
  <c r="I4135" i="1"/>
  <c r="I4123" i="1"/>
  <c r="I4111" i="1"/>
  <c r="I4099" i="1"/>
  <c r="I4087" i="1"/>
  <c r="I4075" i="1"/>
  <c r="I4063" i="1"/>
  <c r="I4051" i="1"/>
  <c r="I4039" i="1"/>
  <c r="I4846" i="1"/>
  <c r="I4834" i="1"/>
  <c r="I4810" i="1"/>
  <c r="I4798" i="1"/>
  <c r="I4762" i="1"/>
  <c r="I4714" i="1"/>
  <c r="I4702" i="1"/>
  <c r="I4690" i="1"/>
  <c r="I4678" i="1"/>
  <c r="I4666" i="1"/>
  <c r="I4654" i="1"/>
  <c r="I4642" i="1"/>
  <c r="I4606" i="1"/>
  <c r="I4582" i="1"/>
  <c r="I1508" i="1"/>
  <c r="I1496" i="1"/>
  <c r="I2490" i="1"/>
  <c r="I2478" i="1"/>
  <c r="I2466" i="1"/>
  <c r="I2454" i="1"/>
  <c r="I2442" i="1"/>
  <c r="I2430" i="1"/>
  <c r="I2418" i="1"/>
  <c r="I2406" i="1"/>
  <c r="I2394" i="1"/>
  <c r="I2382" i="1"/>
  <c r="I2358" i="1"/>
  <c r="I2346" i="1"/>
  <c r="I2334" i="1"/>
  <c r="I2322" i="1"/>
  <c r="I2310" i="1"/>
  <c r="I2298" i="1"/>
  <c r="I2286" i="1"/>
  <c r="I2274" i="1"/>
  <c r="I2262" i="1"/>
  <c r="I2250" i="1"/>
  <c r="I2238" i="1"/>
  <c r="I2226" i="1"/>
  <c r="I2214" i="1"/>
  <c r="I2202" i="1"/>
  <c r="I2190" i="1"/>
  <c r="I2178" i="1"/>
  <c r="I2166" i="1"/>
  <c r="I2154" i="1"/>
  <c r="I2142" i="1"/>
  <c r="I2130" i="1"/>
  <c r="I2118" i="1"/>
  <c r="I2106" i="1"/>
  <c r="I2094" i="1"/>
  <c r="I2082" i="1"/>
  <c r="I2070" i="1"/>
  <c r="I2058" i="1"/>
  <c r="I2046" i="1"/>
  <c r="I2034" i="1"/>
  <c r="I2022" i="1"/>
</calcChain>
</file>

<file path=xl/sharedStrings.xml><?xml version="1.0" encoding="utf-8"?>
<sst xmlns="http://schemas.openxmlformats.org/spreadsheetml/2006/main" count="4859" uniqueCount="29">
  <si>
    <t>Position</t>
  </si>
  <si>
    <t>AAMutation</t>
  </si>
  <si>
    <t>Input</t>
  </si>
  <si>
    <t>S1</t>
  </si>
  <si>
    <t>S2</t>
  </si>
  <si>
    <t>K</t>
  </si>
  <si>
    <t>R</t>
  </si>
  <si>
    <t>E</t>
  </si>
  <si>
    <t>D</t>
  </si>
  <si>
    <t>N</t>
  </si>
  <si>
    <t>H</t>
  </si>
  <si>
    <t>P</t>
  </si>
  <si>
    <t>Q</t>
  </si>
  <si>
    <t>T</t>
  </si>
  <si>
    <t>S</t>
  </si>
  <si>
    <t>A</t>
  </si>
  <si>
    <t>G</t>
  </si>
  <si>
    <t>M</t>
  </si>
  <si>
    <t>C</t>
  </si>
  <si>
    <t>V</t>
  </si>
  <si>
    <t>I</t>
  </si>
  <si>
    <t>L</t>
  </si>
  <si>
    <t>Y</t>
  </si>
  <si>
    <t>F</t>
  </si>
  <si>
    <t>W</t>
  </si>
  <si>
    <t>*</t>
  </si>
  <si>
    <t>S2_enrichment</t>
  </si>
  <si>
    <t>S1_enrichment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</si>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</sst>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4"/>
      <color theme="1"/>
      <name val="ArialMT"/>
      <family val="2"/>
    </font>
    <font>
      <sz val="12"/>
      <color theme="1"/>
      <name val="Arial"/>
      <family val="2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21777-5286-5940-9348-A16B02AC20B5}">
  <dimension ref="A1:N6046"/>
  <sheetViews>
    <sheetView tabSelected="1" topLeftCell="A2202" workbookViewId="0">
      <selection activeCell="M3026" sqref="M3026"/>
    </sheetView>
  </sheetViews>
  <sheetFormatPr baseColWidth="10" defaultRowHeight="18"/>
  <cols>
    <col min="6" max="7" width="12.875" bestFit="1" customWidth="1"/>
  </cols>
  <sheetData>
    <row r="1" spans="1:9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27</v>
      </c>
      <c r="G1" t="s">
        <v>26</v>
      </c>
      <c r="I1" t="s">
        <v>28</v>
      </c>
    </row>
    <row r="2" spans="1:9">
      <c r="A2" t="s">
        <v>7</v>
      </c>
      <c r="B2" s="2">
        <f>1+INT((ROW()-2)/21)+1</f>
        <v>2</v>
      </c>
      <c r="C2">
        <v>262</v>
      </c>
      <c r="D2">
        <v>16</v>
      </c>
      <c r="E2">
        <v>4</v>
      </c>
      <c r="F2">
        <f>LOG10(D2/C2)-LOG10(359588/81057)</f>
        <v>-1.8611959728641838</v>
      </c>
      <c r="G2">
        <f>LOG10(E2/C2)-LOG10(351874/81057)</f>
        <v>-2.4538379519226097</v>
      </c>
      <c r="I2">
        <f>AVERAGE(F2:G2)</f>
        <v>-2.1575169623933967</v>
      </c>
    </row>
    <row r="3" spans="1:9">
      <c r="A3" t="s">
        <v>8</v>
      </c>
      <c r="B3" s="2">
        <f t="shared" ref="B3:B66" si="0">1+INT((ROW()-2)/21)+1</f>
        <v>2</v>
      </c>
      <c r="C3">
        <v>683</v>
      </c>
      <c r="D3">
        <v>145</v>
      </c>
      <c r="E3">
        <v>85</v>
      </c>
      <c r="F3">
        <f t="shared" ref="F3:F66" si="1">LOG10(D3/C3)-LOG10(359588/81057)</f>
        <v>-1.3200673656469208</v>
      </c>
      <c r="G3">
        <f t="shared" ref="G3:G66" si="2">LOG10(E3/C3)-LOG10(351874/81057)</f>
        <v>-1.5425984298980664</v>
      </c>
      <c r="I3">
        <f t="shared" ref="I3:I66" si="3">AVERAGE(F3:G3)</f>
        <v>-1.4313328977724935</v>
      </c>
    </row>
    <row r="4" spans="1:9">
      <c r="A4" t="s">
        <v>5</v>
      </c>
      <c r="B4" s="2">
        <f t="shared" si="0"/>
        <v>2</v>
      </c>
      <c r="C4">
        <v>237</v>
      </c>
      <c r="D4">
        <v>5</v>
      </c>
      <c r="E4">
        <v>8</v>
      </c>
      <c r="F4">
        <f t="shared" si="1"/>
        <v>-2.3227930058744484</v>
      </c>
      <c r="G4">
        <f t="shared" si="2"/>
        <v>-2.1092550109489867</v>
      </c>
      <c r="I4">
        <f t="shared" si="3"/>
        <v>-2.2160240084117175</v>
      </c>
    </row>
    <row r="5" spans="1:9">
      <c r="A5" t="s">
        <v>6</v>
      </c>
      <c r="B5" s="2">
        <f t="shared" si="0"/>
        <v>2</v>
      </c>
      <c r="C5">
        <v>486</v>
      </c>
      <c r="D5">
        <v>11</v>
      </c>
      <c r="E5">
        <v>35</v>
      </c>
      <c r="F5">
        <f t="shared" si="1"/>
        <v>-2.2922582483044316</v>
      </c>
      <c r="G5">
        <f t="shared" si="2"/>
        <v>-1.7801648768428442</v>
      </c>
      <c r="I5">
        <f t="shared" si="3"/>
        <v>-2.0362115625736381</v>
      </c>
    </row>
    <row r="6" spans="1:9">
      <c r="A6" t="s">
        <v>10</v>
      </c>
      <c r="B6" s="2">
        <f t="shared" si="0"/>
        <v>2</v>
      </c>
      <c r="C6">
        <v>715</v>
      </c>
      <c r="D6">
        <v>37</v>
      </c>
      <c r="E6">
        <v>27</v>
      </c>
      <c r="F6">
        <f t="shared" si="1"/>
        <v>-1.9331189819344488</v>
      </c>
      <c r="G6">
        <f t="shared" si="2"/>
        <v>-2.0605389295729197</v>
      </c>
      <c r="I6">
        <f t="shared" si="3"/>
        <v>-1.9968289557536842</v>
      </c>
    </row>
    <row r="7" spans="1:9">
      <c r="A7" t="s">
        <v>11</v>
      </c>
      <c r="B7" s="2">
        <f t="shared" si="0"/>
        <v>2</v>
      </c>
      <c r="C7">
        <v>532</v>
      </c>
      <c r="D7">
        <v>11</v>
      </c>
      <c r="E7">
        <v>39</v>
      </c>
      <c r="F7">
        <f t="shared" si="1"/>
        <v>-2.3315336113371865</v>
      </c>
      <c r="G7">
        <f t="shared" si="2"/>
        <v>-1.7724436771993755</v>
      </c>
      <c r="I7">
        <f t="shared" si="3"/>
        <v>-2.0519886442682811</v>
      </c>
    </row>
    <row r="8" spans="1:9">
      <c r="A8" t="s">
        <v>12</v>
      </c>
      <c r="B8" s="2">
        <f t="shared" si="0"/>
        <v>2</v>
      </c>
      <c r="C8">
        <v>398</v>
      </c>
      <c r="D8">
        <v>14</v>
      </c>
      <c r="E8">
        <v>16</v>
      </c>
      <c r="F8">
        <f t="shared" si="1"/>
        <v>-2.100769700595813</v>
      </c>
      <c r="G8">
        <f t="shared" si="2"/>
        <v>-2.0333597413485895</v>
      </c>
      <c r="I8">
        <f t="shared" si="3"/>
        <v>-2.0670647209722013</v>
      </c>
    </row>
    <row r="9" spans="1:9">
      <c r="A9" t="s">
        <v>9</v>
      </c>
      <c r="B9" s="2">
        <f t="shared" si="0"/>
        <v>2</v>
      </c>
      <c r="C9">
        <v>594</v>
      </c>
      <c r="D9">
        <v>109</v>
      </c>
      <c r="E9">
        <v>79</v>
      </c>
      <c r="F9">
        <f t="shared" si="1"/>
        <v>-1.3833746112409331</v>
      </c>
      <c r="G9">
        <f t="shared" si="2"/>
        <v>-1.5137560056215786</v>
      </c>
      <c r="I9">
        <f t="shared" si="3"/>
        <v>-1.448565308431256</v>
      </c>
    </row>
    <row r="10" spans="1:9">
      <c r="A10" t="s">
        <v>13</v>
      </c>
      <c r="B10" s="2">
        <f t="shared" si="0"/>
        <v>2</v>
      </c>
      <c r="C10">
        <v>446</v>
      </c>
      <c r="D10">
        <v>23</v>
      </c>
      <c r="E10">
        <v>5</v>
      </c>
      <c r="F10">
        <f t="shared" si="1"/>
        <v>-1.934621686894912</v>
      </c>
      <c r="G10">
        <f t="shared" si="2"/>
        <v>-2.5879615063069497</v>
      </c>
      <c r="I10">
        <f t="shared" si="3"/>
        <v>-2.2612915966009308</v>
      </c>
    </row>
    <row r="11" spans="1:9">
      <c r="A11" t="s">
        <v>14</v>
      </c>
      <c r="B11" s="2">
        <f t="shared" si="0"/>
        <v>2</v>
      </c>
      <c r="C11">
        <v>467</v>
      </c>
      <c r="D11">
        <v>11</v>
      </c>
      <c r="E11">
        <v>12</v>
      </c>
      <c r="F11">
        <f t="shared" si="1"/>
        <v>-2.27493885960825</v>
      </c>
      <c r="G11">
        <f t="shared" si="2"/>
        <v>-2.2277322864493136</v>
      </c>
      <c r="I11">
        <f t="shared" si="3"/>
        <v>-2.2513355730287818</v>
      </c>
    </row>
    <row r="12" spans="1:9">
      <c r="A12" t="s">
        <v>15</v>
      </c>
      <c r="B12" s="2">
        <f t="shared" si="0"/>
        <v>2</v>
      </c>
      <c r="C12">
        <v>144</v>
      </c>
      <c r="D12">
        <v>3</v>
      </c>
      <c r="E12">
        <v>2</v>
      </c>
      <c r="F12">
        <f t="shared" si="1"/>
        <v>-2.3282559015759503</v>
      </c>
      <c r="G12">
        <f t="shared" si="2"/>
        <v>-2.494929148362095</v>
      </c>
      <c r="I12">
        <f t="shared" si="3"/>
        <v>-2.4115925249690227</v>
      </c>
    </row>
    <row r="13" spans="1:9">
      <c r="A13" t="s">
        <v>16</v>
      </c>
      <c r="B13" s="2">
        <f t="shared" si="0"/>
        <v>2</v>
      </c>
      <c r="C13">
        <v>851</v>
      </c>
      <c r="D13">
        <v>279</v>
      </c>
      <c r="E13">
        <v>114</v>
      </c>
      <c r="F13">
        <f t="shared" si="1"/>
        <v>-1.1313400210113533</v>
      </c>
      <c r="G13">
        <f t="shared" si="2"/>
        <v>-1.5106213606789418</v>
      </c>
      <c r="I13">
        <f t="shared" si="3"/>
        <v>-1.3209806908451476</v>
      </c>
    </row>
    <row r="14" spans="1:9">
      <c r="A14" t="s">
        <v>17</v>
      </c>
      <c r="B14" s="2">
        <f t="shared" si="0"/>
        <v>2</v>
      </c>
      <c r="C14">
        <v>290</v>
      </c>
      <c r="D14">
        <v>283</v>
      </c>
      <c r="E14">
        <v>244</v>
      </c>
      <c r="F14">
        <f t="shared" si="1"/>
        <v>-0.657626226575029</v>
      </c>
      <c r="G14">
        <f t="shared" si="2"/>
        <v>-0.71260482349105314</v>
      </c>
      <c r="I14">
        <f t="shared" si="3"/>
        <v>-0.68511552503304107</v>
      </c>
    </row>
    <row r="15" spans="1:9">
      <c r="A15" t="s">
        <v>18</v>
      </c>
      <c r="B15" s="2">
        <f t="shared" si="0"/>
        <v>2</v>
      </c>
      <c r="C15">
        <v>440</v>
      </c>
      <c r="D15">
        <v>7</v>
      </c>
      <c r="E15">
        <v>6</v>
      </c>
      <c r="F15">
        <f t="shared" si="1"/>
        <v>-2.4453693006722936</v>
      </c>
      <c r="G15">
        <f t="shared" si="2"/>
        <v>-2.5028980780333701</v>
      </c>
      <c r="I15">
        <f t="shared" si="3"/>
        <v>-2.4741336893528318</v>
      </c>
    </row>
    <row r="16" spans="1:9">
      <c r="A16" t="s">
        <v>19</v>
      </c>
      <c r="B16" s="2">
        <f t="shared" si="0"/>
        <v>2</v>
      </c>
      <c r="C16">
        <v>584</v>
      </c>
      <c r="D16">
        <v>33</v>
      </c>
      <c r="E16">
        <v>55</v>
      </c>
      <c r="F16">
        <f t="shared" si="1"/>
        <v>-1.8949135714348753</v>
      </c>
      <c r="G16">
        <f t="shared" si="2"/>
        <v>-1.663646809548982</v>
      </c>
      <c r="I16">
        <f t="shared" si="3"/>
        <v>-1.7792801904919286</v>
      </c>
    </row>
    <row r="17" spans="1:9">
      <c r="A17" t="s">
        <v>20</v>
      </c>
      <c r="B17" s="2">
        <f t="shared" si="0"/>
        <v>2</v>
      </c>
      <c r="C17">
        <v>392</v>
      </c>
      <c r="D17">
        <v>26</v>
      </c>
      <c r="E17">
        <v>36</v>
      </c>
      <c r="F17">
        <f t="shared" si="1"/>
        <v>-1.8253273832500023</v>
      </c>
      <c r="G17">
        <f t="shared" si="2"/>
        <v>-1.6745802181839964</v>
      </c>
      <c r="I17">
        <f t="shared" si="3"/>
        <v>-1.7499538007169995</v>
      </c>
    </row>
    <row r="18" spans="1:9">
      <c r="A18" t="s">
        <v>21</v>
      </c>
      <c r="B18" s="2">
        <f t="shared" si="0"/>
        <v>2</v>
      </c>
      <c r="C18">
        <v>81057</v>
      </c>
      <c r="D18">
        <v>359588</v>
      </c>
      <c r="E18">
        <v>351874</v>
      </c>
      <c r="F18">
        <f t="shared" si="1"/>
        <v>0</v>
      </c>
      <c r="G18">
        <f t="shared" si="2"/>
        <v>0</v>
      </c>
      <c r="I18">
        <f t="shared" si="3"/>
        <v>0</v>
      </c>
    </row>
    <row r="19" spans="1:9">
      <c r="A19" t="s">
        <v>22</v>
      </c>
      <c r="B19" s="2">
        <f t="shared" si="0"/>
        <v>2</v>
      </c>
      <c r="C19">
        <v>348</v>
      </c>
      <c r="D19">
        <v>8</v>
      </c>
      <c r="E19">
        <v>4</v>
      </c>
      <c r="F19">
        <f t="shared" si="1"/>
        <v>-2.2855039211550006</v>
      </c>
      <c r="G19">
        <f t="shared" si="2"/>
        <v>-2.5771159045494452</v>
      </c>
      <c r="I19">
        <f t="shared" si="3"/>
        <v>-2.4313099128522229</v>
      </c>
    </row>
    <row r="20" spans="1:9">
      <c r="A20" t="s">
        <v>23</v>
      </c>
      <c r="B20" s="2">
        <f t="shared" si="0"/>
        <v>2</v>
      </c>
      <c r="C20">
        <v>375</v>
      </c>
      <c r="D20">
        <v>12</v>
      </c>
      <c r="E20">
        <v>9</v>
      </c>
      <c r="F20">
        <f t="shared" si="1"/>
        <v>-2.1418646858804573</v>
      </c>
      <c r="G20">
        <f t="shared" si="2"/>
        <v>-2.2573854102192206</v>
      </c>
      <c r="I20">
        <f t="shared" si="3"/>
        <v>-2.1996250480498389</v>
      </c>
    </row>
    <row r="21" spans="1:9">
      <c r="A21" t="s">
        <v>24</v>
      </c>
      <c r="B21" s="2">
        <f t="shared" si="0"/>
        <v>2</v>
      </c>
      <c r="C21">
        <v>337</v>
      </c>
      <c r="D21">
        <v>14</v>
      </c>
      <c r="E21">
        <v>4</v>
      </c>
      <c r="F21">
        <f t="shared" si="1"/>
        <v>-2.0285165293934639</v>
      </c>
      <c r="G21">
        <f t="shared" si="2"/>
        <v>-2.563166561474203</v>
      </c>
      <c r="I21">
        <f t="shared" si="3"/>
        <v>-2.2958415454338335</v>
      </c>
    </row>
    <row r="22" spans="1:9">
      <c r="A22" t="s">
        <v>25</v>
      </c>
      <c r="B22" s="2">
        <f t="shared" si="0"/>
        <v>2</v>
      </c>
      <c r="C22">
        <v>622</v>
      </c>
      <c r="D22">
        <v>156</v>
      </c>
      <c r="E22">
        <v>92</v>
      </c>
      <c r="F22">
        <f t="shared" si="1"/>
        <v>-1.2476804505367203</v>
      </c>
      <c r="G22">
        <f t="shared" si="2"/>
        <v>-1.4675992092760899</v>
      </c>
      <c r="I22">
        <f t="shared" si="3"/>
        <v>-1.3576398299064052</v>
      </c>
    </row>
    <row r="23" spans="1:9">
      <c r="A23" t="s">
        <v>7</v>
      </c>
      <c r="B23" s="2">
        <f t="shared" si="0"/>
        <v>3</v>
      </c>
      <c r="C23">
        <v>502</v>
      </c>
      <c r="D23">
        <v>12</v>
      </c>
      <c r="E23">
        <v>42</v>
      </c>
      <c r="F23">
        <f t="shared" si="1"/>
        <v>-2.2685371352977577</v>
      </c>
      <c r="G23">
        <f t="shared" si="2"/>
        <v>-1.7150510786779454</v>
      </c>
      <c r="I23">
        <f t="shared" si="3"/>
        <v>-1.9917941069878515</v>
      </c>
    </row>
    <row r="24" spans="1:9">
      <c r="A24" t="s">
        <v>8</v>
      </c>
      <c r="B24" s="2">
        <f t="shared" si="0"/>
        <v>3</v>
      </c>
      <c r="C24">
        <v>402</v>
      </c>
      <c r="D24">
        <v>7</v>
      </c>
      <c r="E24">
        <v>6</v>
      </c>
      <c r="F24">
        <f t="shared" si="1"/>
        <v>-2.4061426772705765</v>
      </c>
      <c r="G24">
        <f t="shared" si="2"/>
        <v>-2.4636714546316529</v>
      </c>
      <c r="I24">
        <f t="shared" si="3"/>
        <v>-2.4349070659511147</v>
      </c>
    </row>
    <row r="25" spans="1:9">
      <c r="A25" t="s">
        <v>5</v>
      </c>
      <c r="B25" s="2">
        <f t="shared" si="0"/>
        <v>3</v>
      </c>
      <c r="C25">
        <v>301</v>
      </c>
      <c r="D25">
        <v>6</v>
      </c>
      <c r="E25">
        <v>16</v>
      </c>
      <c r="F25">
        <f t="shared" si="1"/>
        <v>-2.3474299094105628</v>
      </c>
      <c r="G25">
        <f t="shared" si="2"/>
        <v>-1.912043164868745</v>
      </c>
      <c r="I25">
        <f t="shared" si="3"/>
        <v>-2.1297365371396539</v>
      </c>
    </row>
    <row r="26" spans="1:9">
      <c r="A26" t="s">
        <v>6</v>
      </c>
      <c r="B26" s="2">
        <f t="shared" si="0"/>
        <v>3</v>
      </c>
      <c r="C26">
        <v>371</v>
      </c>
      <c r="D26">
        <v>21</v>
      </c>
      <c r="E26">
        <v>27</v>
      </c>
      <c r="F26">
        <f t="shared" si="1"/>
        <v>-1.8941692790814897</v>
      </c>
      <c r="G26">
        <f t="shared" si="2"/>
        <v>-1.775606797386885</v>
      </c>
      <c r="I26">
        <f t="shared" si="3"/>
        <v>-1.8348880382341872</v>
      </c>
    </row>
    <row r="27" spans="1:9">
      <c r="A27" t="s">
        <v>10</v>
      </c>
      <c r="B27" s="2">
        <f t="shared" si="0"/>
        <v>3</v>
      </c>
      <c r="C27">
        <v>352</v>
      </c>
      <c r="D27">
        <v>14</v>
      </c>
      <c r="E27">
        <v>20</v>
      </c>
      <c r="F27">
        <f t="shared" si="1"/>
        <v>-2.0474292920002561</v>
      </c>
      <c r="G27">
        <f t="shared" si="2"/>
        <v>-1.8831093197449764</v>
      </c>
      <c r="I27">
        <f t="shared" si="3"/>
        <v>-1.9652693058726163</v>
      </c>
    </row>
    <row r="28" spans="1:9">
      <c r="A28" t="s">
        <v>11</v>
      </c>
      <c r="B28" s="2">
        <f t="shared" si="0"/>
        <v>3</v>
      </c>
      <c r="C28">
        <v>417</v>
      </c>
      <c r="D28">
        <v>25</v>
      </c>
      <c r="E28">
        <v>23</v>
      </c>
      <c r="F28">
        <f t="shared" si="1"/>
        <v>-1.869210710502083</v>
      </c>
      <c r="G28">
        <f t="shared" si="2"/>
        <v>-1.8960048708869912</v>
      </c>
      <c r="I28">
        <f t="shared" si="3"/>
        <v>-1.8826077906945371</v>
      </c>
    </row>
    <row r="29" spans="1:9">
      <c r="A29" t="s">
        <v>12</v>
      </c>
      <c r="B29" s="2">
        <f t="shared" si="0"/>
        <v>3</v>
      </c>
      <c r="C29">
        <v>488</v>
      </c>
      <c r="D29">
        <v>20</v>
      </c>
      <c r="E29">
        <v>9</v>
      </c>
      <c r="F29">
        <f t="shared" si="1"/>
        <v>-2.0344044905390923</v>
      </c>
      <c r="G29">
        <f t="shared" si="2"/>
        <v>-2.3717739644942122</v>
      </c>
      <c r="I29">
        <f t="shared" si="3"/>
        <v>-2.203089227516652</v>
      </c>
    </row>
    <row r="30" spans="1:9">
      <c r="A30" t="s">
        <v>9</v>
      </c>
      <c r="B30" s="2">
        <f t="shared" si="0"/>
        <v>3</v>
      </c>
      <c r="C30">
        <v>369</v>
      </c>
      <c r="D30">
        <v>43</v>
      </c>
      <c r="E30">
        <v>28</v>
      </c>
      <c r="F30">
        <f t="shared" si="1"/>
        <v>-1.5805725747798371</v>
      </c>
      <c r="G30">
        <f t="shared" si="2"/>
        <v>-1.7574649867476677</v>
      </c>
      <c r="I30">
        <f t="shared" si="3"/>
        <v>-1.6690187807637524</v>
      </c>
    </row>
    <row r="31" spans="1:9">
      <c r="A31" t="s">
        <v>13</v>
      </c>
      <c r="B31" s="2">
        <f t="shared" si="0"/>
        <v>3</v>
      </c>
      <c r="C31">
        <v>81057</v>
      </c>
      <c r="D31">
        <v>359588</v>
      </c>
      <c r="E31">
        <v>351874</v>
      </c>
      <c r="F31">
        <f t="shared" si="1"/>
        <v>0</v>
      </c>
      <c r="G31">
        <f t="shared" si="2"/>
        <v>0</v>
      </c>
      <c r="I31">
        <f t="shared" si="3"/>
        <v>0</v>
      </c>
    </row>
    <row r="32" spans="1:9">
      <c r="A32" t="s">
        <v>14</v>
      </c>
      <c r="B32" s="2">
        <f t="shared" si="0"/>
        <v>3</v>
      </c>
      <c r="C32">
        <v>245</v>
      </c>
      <c r="D32">
        <v>54</v>
      </c>
      <c r="E32">
        <v>98</v>
      </c>
      <c r="F32">
        <f t="shared" si="1"/>
        <v>-1.3037869887419271</v>
      </c>
      <c r="G32">
        <f t="shared" si="2"/>
        <v>-1.035536660602864</v>
      </c>
      <c r="I32">
        <f t="shared" si="3"/>
        <v>-1.1696618246723955</v>
      </c>
    </row>
    <row r="33" spans="1:9">
      <c r="A33" t="s">
        <v>15</v>
      </c>
      <c r="B33" s="2">
        <f t="shared" si="0"/>
        <v>3</v>
      </c>
      <c r="C33">
        <v>383</v>
      </c>
      <c r="D33">
        <v>4</v>
      </c>
      <c r="E33">
        <v>6</v>
      </c>
      <c r="F33">
        <f t="shared" si="1"/>
        <v>-2.6281534468410235</v>
      </c>
      <c r="G33">
        <f t="shared" si="2"/>
        <v>-2.4426441755158059</v>
      </c>
      <c r="I33">
        <f t="shared" si="3"/>
        <v>-2.5353988111784149</v>
      </c>
    </row>
    <row r="34" spans="1:9">
      <c r="A34" t="s">
        <v>16</v>
      </c>
      <c r="B34" s="2">
        <f t="shared" si="0"/>
        <v>3</v>
      </c>
      <c r="C34">
        <v>593</v>
      </c>
      <c r="D34">
        <v>13</v>
      </c>
      <c r="E34">
        <v>20</v>
      </c>
      <c r="F34">
        <f t="shared" si="1"/>
        <v>-2.3061260052577888</v>
      </c>
      <c r="G34">
        <f t="shared" si="2"/>
        <v>-2.1096213496311078</v>
      </c>
      <c r="I34">
        <f t="shared" si="3"/>
        <v>-2.2078736774444483</v>
      </c>
    </row>
    <row r="35" spans="1:9">
      <c r="A35" t="s">
        <v>17</v>
      </c>
      <c r="B35" s="2">
        <f t="shared" si="0"/>
        <v>3</v>
      </c>
      <c r="C35">
        <v>454</v>
      </c>
      <c r="D35">
        <v>2</v>
      </c>
      <c r="E35">
        <v>7</v>
      </c>
      <c r="F35">
        <f t="shared" si="1"/>
        <v>-3.0030405213934857</v>
      </c>
      <c r="G35">
        <f t="shared" si="2"/>
        <v>-2.4495544647736738</v>
      </c>
      <c r="I35">
        <f t="shared" si="3"/>
        <v>-2.7262974930835799</v>
      </c>
    </row>
    <row r="36" spans="1:9">
      <c r="A36" t="s">
        <v>18</v>
      </c>
      <c r="B36" s="2">
        <f t="shared" si="0"/>
        <v>3</v>
      </c>
      <c r="C36">
        <v>616</v>
      </c>
      <c r="D36">
        <v>25</v>
      </c>
      <c r="E36">
        <v>9</v>
      </c>
      <c r="F36">
        <f t="shared" si="1"/>
        <v>-2.0386553676927512</v>
      </c>
      <c r="G36">
        <f t="shared" si="2"/>
        <v>-2.4729348546559269</v>
      </c>
      <c r="I36">
        <f t="shared" si="3"/>
        <v>-2.2557951111743391</v>
      </c>
    </row>
    <row r="37" spans="1:9">
      <c r="A37" t="s">
        <v>19</v>
      </c>
      <c r="B37" s="2">
        <f t="shared" si="0"/>
        <v>3</v>
      </c>
      <c r="C37">
        <v>416</v>
      </c>
      <c r="D37">
        <v>8</v>
      </c>
      <c r="E37">
        <v>17</v>
      </c>
      <c r="F37">
        <f t="shared" si="1"/>
        <v>-2.3630180078351621</v>
      </c>
      <c r="G37">
        <f t="shared" si="2"/>
        <v>-2.0262410611792951</v>
      </c>
      <c r="I37">
        <f t="shared" si="3"/>
        <v>-2.1946295345072286</v>
      </c>
    </row>
    <row r="38" spans="1:9">
      <c r="A38" t="s">
        <v>20</v>
      </c>
      <c r="B38" s="2">
        <f t="shared" si="0"/>
        <v>3</v>
      </c>
      <c r="C38">
        <v>201</v>
      </c>
      <c r="D38">
        <v>85</v>
      </c>
      <c r="E38">
        <v>101</v>
      </c>
      <c r="F38">
        <f t="shared" si="1"/>
        <v>-1.0207917959065593</v>
      </c>
      <c r="G38">
        <f t="shared" si="2"/>
        <v>-0.93647133556867268</v>
      </c>
      <c r="I38">
        <f t="shared" si="3"/>
        <v>-0.978631565737616</v>
      </c>
    </row>
    <row r="39" spans="1:9">
      <c r="A39" t="s">
        <v>21</v>
      </c>
      <c r="B39" s="2">
        <f t="shared" si="0"/>
        <v>3</v>
      </c>
      <c r="C39">
        <v>449</v>
      </c>
      <c r="D39">
        <v>14</v>
      </c>
      <c r="E39">
        <v>6</v>
      </c>
      <c r="F39">
        <f t="shared" si="1"/>
        <v>-2.1531329695254482</v>
      </c>
      <c r="G39">
        <f t="shared" si="2"/>
        <v>-2.5116917425505063</v>
      </c>
      <c r="I39">
        <f t="shared" si="3"/>
        <v>-2.3324123560379775</v>
      </c>
    </row>
    <row r="40" spans="1:9">
      <c r="A40" t="s">
        <v>22</v>
      </c>
      <c r="B40" s="2">
        <f t="shared" si="0"/>
        <v>3</v>
      </c>
      <c r="C40">
        <v>397</v>
      </c>
      <c r="D40">
        <v>9</v>
      </c>
      <c r="E40">
        <v>5</v>
      </c>
      <c r="F40">
        <f t="shared" si="1"/>
        <v>-2.2915626615241536</v>
      </c>
      <c r="G40">
        <f t="shared" si="2"/>
        <v>-2.5374171543579225</v>
      </c>
      <c r="I40">
        <f t="shared" si="3"/>
        <v>-2.414489907941038</v>
      </c>
    </row>
    <row r="41" spans="1:9">
      <c r="A41" t="s">
        <v>23</v>
      </c>
      <c r="B41" s="2">
        <f t="shared" si="0"/>
        <v>3</v>
      </c>
      <c r="C41">
        <v>235</v>
      </c>
      <c r="D41">
        <v>6</v>
      </c>
      <c r="E41">
        <v>6</v>
      </c>
      <c r="F41">
        <f t="shared" si="1"/>
        <v>-2.2399312760884555</v>
      </c>
      <c r="G41">
        <f t="shared" si="2"/>
        <v>-2.2305132638189189</v>
      </c>
      <c r="I41">
        <f t="shared" si="3"/>
        <v>-2.2352222699536872</v>
      </c>
    </row>
    <row r="42" spans="1:9">
      <c r="A42" t="s">
        <v>24</v>
      </c>
      <c r="B42" s="2">
        <f t="shared" si="0"/>
        <v>3</v>
      </c>
      <c r="C42">
        <v>531</v>
      </c>
      <c r="D42">
        <v>42</v>
      </c>
      <c r="E42">
        <v>19</v>
      </c>
      <c r="F42">
        <f t="shared" si="1"/>
        <v>-1.7488598948839318</v>
      </c>
      <c r="G42">
        <f t="shared" si="2"/>
        <v>-2.0839375720594666</v>
      </c>
      <c r="I42">
        <f t="shared" si="3"/>
        <v>-1.9163987334716992</v>
      </c>
    </row>
    <row r="43" spans="1:9">
      <c r="A43" t="s">
        <v>25</v>
      </c>
      <c r="B43" s="2">
        <f t="shared" si="0"/>
        <v>3</v>
      </c>
      <c r="C43">
        <v>719</v>
      </c>
      <c r="D43">
        <v>17</v>
      </c>
      <c r="E43">
        <v>11</v>
      </c>
      <c r="F43">
        <f t="shared" si="1"/>
        <v>-2.2732946332049719</v>
      </c>
      <c r="G43">
        <f t="shared" si="2"/>
        <v>-2.452932857155484</v>
      </c>
      <c r="I43">
        <f t="shared" si="3"/>
        <v>-2.363113745180228</v>
      </c>
    </row>
    <row r="44" spans="1:9">
      <c r="A44" t="s">
        <v>7</v>
      </c>
      <c r="B44" s="2">
        <f t="shared" si="0"/>
        <v>4</v>
      </c>
      <c r="C44">
        <v>589</v>
      </c>
      <c r="D44">
        <v>29</v>
      </c>
      <c r="E44">
        <v>30</v>
      </c>
      <c r="F44">
        <f t="shared" si="1"/>
        <v>-1.9547319610885088</v>
      </c>
      <c r="G44">
        <f t="shared" si="2"/>
        <v>-1.9305906919982656</v>
      </c>
      <c r="I44">
        <f t="shared" si="3"/>
        <v>-1.9426613265433872</v>
      </c>
    </row>
    <row r="45" spans="1:9">
      <c r="A45" t="s">
        <v>8</v>
      </c>
      <c r="B45" s="2">
        <f t="shared" si="0"/>
        <v>4</v>
      </c>
      <c r="C45">
        <v>330</v>
      </c>
      <c r="D45">
        <v>30</v>
      </c>
      <c r="E45">
        <v>31</v>
      </c>
      <c r="F45">
        <f t="shared" si="1"/>
        <v>-1.688407349358588</v>
      </c>
      <c r="G45">
        <f t="shared" si="2"/>
        <v>-1.6647488979744414</v>
      </c>
      <c r="I45">
        <f t="shared" si="3"/>
        <v>-1.6765781236665147</v>
      </c>
    </row>
    <row r="46" spans="1:9">
      <c r="A46" t="s">
        <v>5</v>
      </c>
      <c r="B46" s="2">
        <f t="shared" si="0"/>
        <v>4</v>
      </c>
      <c r="C46">
        <v>267</v>
      </c>
      <c r="D46">
        <v>53</v>
      </c>
      <c r="E46">
        <v>33</v>
      </c>
      <c r="F46">
        <f t="shared" si="1"/>
        <v>-1.3492500559641494</v>
      </c>
      <c r="G46">
        <f t="shared" si="2"/>
        <v>-1.5455939734175144</v>
      </c>
      <c r="I46">
        <f t="shared" si="3"/>
        <v>-1.4474220146908319</v>
      </c>
    </row>
    <row r="47" spans="1:9">
      <c r="A47" t="s">
        <v>6</v>
      </c>
      <c r="B47" s="2">
        <f t="shared" si="0"/>
        <v>4</v>
      </c>
      <c r="C47">
        <v>589</v>
      </c>
      <c r="D47">
        <v>34</v>
      </c>
      <c r="E47">
        <v>63</v>
      </c>
      <c r="F47">
        <f t="shared" si="1"/>
        <v>-1.8856510419452097</v>
      </c>
      <c r="G47">
        <f t="shared" si="2"/>
        <v>-1.6083713972643463</v>
      </c>
      <c r="I47">
        <f t="shared" si="3"/>
        <v>-1.747011219604778</v>
      </c>
    </row>
    <row r="48" spans="1:9">
      <c r="A48" t="s">
        <v>10</v>
      </c>
      <c r="B48" s="2">
        <f t="shared" si="0"/>
        <v>4</v>
      </c>
      <c r="C48">
        <v>390</v>
      </c>
      <c r="D48">
        <v>4</v>
      </c>
      <c r="E48">
        <v>1</v>
      </c>
      <c r="F48">
        <f t="shared" si="1"/>
        <v>-2.6360192798988997</v>
      </c>
      <c r="G48">
        <f t="shared" si="2"/>
        <v>-3.2286612589573256</v>
      </c>
      <c r="I48">
        <f t="shared" si="3"/>
        <v>-2.9323402694281127</v>
      </c>
    </row>
    <row r="49" spans="1:9">
      <c r="A49" t="s">
        <v>11</v>
      </c>
      <c r="B49" s="2">
        <f t="shared" si="0"/>
        <v>4</v>
      </c>
      <c r="C49">
        <v>393</v>
      </c>
      <c r="D49">
        <v>47</v>
      </c>
      <c r="E49">
        <v>5</v>
      </c>
      <c r="F49">
        <f t="shared" si="1"/>
        <v>-1.5693093566400722</v>
      </c>
      <c r="G49">
        <f t="shared" si="2"/>
        <v>-2.5330191979702343</v>
      </c>
      <c r="I49">
        <f t="shared" si="3"/>
        <v>-2.051164277305153</v>
      </c>
    </row>
    <row r="50" spans="1:9">
      <c r="A50" t="s">
        <v>12</v>
      </c>
      <c r="B50" s="2">
        <f t="shared" si="0"/>
        <v>4</v>
      </c>
      <c r="C50">
        <v>386</v>
      </c>
      <c r="D50">
        <v>6</v>
      </c>
      <c r="E50">
        <v>14</v>
      </c>
      <c r="F50">
        <f t="shared" si="1"/>
        <v>-2.4554507184884744</v>
      </c>
      <c r="G50">
        <f t="shared" si="2"/>
        <v>-2.0780559209243434</v>
      </c>
      <c r="I50">
        <f t="shared" si="3"/>
        <v>-2.2667533197064089</v>
      </c>
    </row>
    <row r="51" spans="1:9">
      <c r="A51" t="s">
        <v>9</v>
      </c>
      <c r="B51" s="2">
        <f t="shared" si="0"/>
        <v>4</v>
      </c>
      <c r="C51">
        <v>390</v>
      </c>
      <c r="D51">
        <v>130</v>
      </c>
      <c r="E51">
        <v>50</v>
      </c>
      <c r="F51">
        <f t="shared" si="1"/>
        <v>-1.1241359189200255</v>
      </c>
      <c r="G51">
        <f t="shared" si="2"/>
        <v>-1.5296912546213068</v>
      </c>
      <c r="I51">
        <f t="shared" si="3"/>
        <v>-1.3269135867706661</v>
      </c>
    </row>
    <row r="52" spans="1:9">
      <c r="A52" t="s">
        <v>13</v>
      </c>
      <c r="B52" s="2">
        <f t="shared" si="0"/>
        <v>4</v>
      </c>
      <c r="C52">
        <v>181</v>
      </c>
      <c r="D52">
        <v>31</v>
      </c>
      <c r="E52">
        <v>10</v>
      </c>
      <c r="F52">
        <f t="shared" si="1"/>
        <v>-1.413331545235275</v>
      </c>
      <c r="G52">
        <f t="shared" si="2"/>
        <v>-1.895275226800011</v>
      </c>
      <c r="I52">
        <f t="shared" si="3"/>
        <v>-1.654303386017643</v>
      </c>
    </row>
    <row r="53" spans="1:9">
      <c r="A53" t="s">
        <v>14</v>
      </c>
      <c r="B53" s="2">
        <f t="shared" si="0"/>
        <v>4</v>
      </c>
      <c r="C53">
        <v>572</v>
      </c>
      <c r="D53">
        <v>15</v>
      </c>
      <c r="E53">
        <v>6</v>
      </c>
      <c r="F53">
        <f t="shared" si="1"/>
        <v>-2.2283194339377062</v>
      </c>
      <c r="G53">
        <f t="shared" si="2"/>
        <v>-2.616841430340207</v>
      </c>
      <c r="I53">
        <f t="shared" si="3"/>
        <v>-2.4225804321389566</v>
      </c>
    </row>
    <row r="54" spans="1:9">
      <c r="A54" t="s">
        <v>15</v>
      </c>
      <c r="B54" s="2">
        <f t="shared" si="0"/>
        <v>4</v>
      </c>
      <c r="C54">
        <v>304</v>
      </c>
      <c r="D54">
        <v>23</v>
      </c>
      <c r="E54">
        <v>56</v>
      </c>
      <c r="F54">
        <f t="shared" si="1"/>
        <v>-1.7681604117915239</v>
      </c>
      <c r="G54">
        <f t="shared" si="2"/>
        <v>-1.3722822085333797</v>
      </c>
      <c r="I54">
        <f t="shared" si="3"/>
        <v>-1.5702213101624518</v>
      </c>
    </row>
    <row r="55" spans="1:9">
      <c r="A55" t="s">
        <v>16</v>
      </c>
      <c r="B55" s="2">
        <f t="shared" si="0"/>
        <v>4</v>
      </c>
      <c r="C55">
        <v>399</v>
      </c>
      <c r="D55">
        <v>65</v>
      </c>
      <c r="E55">
        <v>30</v>
      </c>
      <c r="F55">
        <f t="shared" si="1"/>
        <v>-1.4350742032442558</v>
      </c>
      <c r="G55">
        <f t="shared" si="2"/>
        <v>-1.7614482928979123</v>
      </c>
      <c r="I55">
        <f t="shared" si="3"/>
        <v>-1.5982612480710841</v>
      </c>
    </row>
    <row r="56" spans="1:9">
      <c r="A56" t="s">
        <v>17</v>
      </c>
      <c r="B56" s="2">
        <f t="shared" si="0"/>
        <v>4</v>
      </c>
      <c r="C56">
        <v>497</v>
      </c>
      <c r="D56">
        <v>54</v>
      </c>
      <c r="E56">
        <v>5</v>
      </c>
      <c r="F56">
        <f t="shared" si="1"/>
        <v>-1.6109772931107267</v>
      </c>
      <c r="G56">
        <f t="shared" si="2"/>
        <v>-2.6349830363281397</v>
      </c>
      <c r="I56">
        <f t="shared" si="3"/>
        <v>-2.1229801647194333</v>
      </c>
    </row>
    <row r="57" spans="1:9">
      <c r="A57" t="s">
        <v>18</v>
      </c>
      <c r="B57" s="2">
        <f t="shared" si="0"/>
        <v>4</v>
      </c>
      <c r="C57">
        <v>294</v>
      </c>
      <c r="D57">
        <v>8</v>
      </c>
      <c r="E57">
        <v>31</v>
      </c>
      <c r="F57">
        <f t="shared" si="1"/>
        <v>-2.2122720076205766</v>
      </c>
      <c r="G57">
        <f t="shared" si="2"/>
        <v>-1.6145822885087111</v>
      </c>
      <c r="I57">
        <f t="shared" si="3"/>
        <v>-1.9134271480646439</v>
      </c>
    </row>
    <row r="58" spans="1:9">
      <c r="A58" t="s">
        <v>19</v>
      </c>
      <c r="B58" s="2">
        <f t="shared" si="0"/>
        <v>4</v>
      </c>
      <c r="C58">
        <v>81057</v>
      </c>
      <c r="D58">
        <v>359588</v>
      </c>
      <c r="E58">
        <v>351874</v>
      </c>
      <c r="F58">
        <f t="shared" si="1"/>
        <v>0</v>
      </c>
      <c r="G58">
        <f t="shared" si="2"/>
        <v>0</v>
      </c>
      <c r="I58">
        <f t="shared" si="3"/>
        <v>0</v>
      </c>
    </row>
    <row r="59" spans="1:9">
      <c r="A59" t="s">
        <v>20</v>
      </c>
      <c r="B59" s="2">
        <f t="shared" si="0"/>
        <v>4</v>
      </c>
      <c r="C59">
        <v>213</v>
      </c>
      <c r="D59">
        <v>190</v>
      </c>
      <c r="E59">
        <v>5625</v>
      </c>
      <c r="F59">
        <f t="shared" si="1"/>
        <v>-0.69664066668627189</v>
      </c>
      <c r="G59">
        <f t="shared" si="2"/>
        <v>0.78414627141383586</v>
      </c>
      <c r="I59">
        <f t="shared" si="3"/>
        <v>4.3752802363781984E-2</v>
      </c>
    </row>
    <row r="60" spans="1:9">
      <c r="A60" t="s">
        <v>21</v>
      </c>
      <c r="B60" s="2">
        <f t="shared" si="0"/>
        <v>4</v>
      </c>
      <c r="C60">
        <v>455</v>
      </c>
      <c r="D60">
        <v>368</v>
      </c>
      <c r="E60">
        <v>311</v>
      </c>
      <c r="F60">
        <f t="shared" si="1"/>
        <v>-0.73917824218395789</v>
      </c>
      <c r="G60">
        <f t="shared" si="2"/>
        <v>-0.80284765956110138</v>
      </c>
      <c r="I60">
        <f t="shared" si="3"/>
        <v>-0.77101295087252963</v>
      </c>
    </row>
    <row r="61" spans="1:9">
      <c r="A61" t="s">
        <v>22</v>
      </c>
      <c r="B61" s="2">
        <f t="shared" si="0"/>
        <v>4</v>
      </c>
      <c r="C61">
        <v>313</v>
      </c>
      <c r="D61">
        <v>7</v>
      </c>
      <c r="E61">
        <v>4</v>
      </c>
      <c r="F61">
        <f t="shared" si="1"/>
        <v>-2.297460961732555</v>
      </c>
      <c r="G61">
        <f t="shared" si="2"/>
        <v>-2.5310809981493128</v>
      </c>
      <c r="I61">
        <f t="shared" si="3"/>
        <v>-2.4142709799409339</v>
      </c>
    </row>
    <row r="62" spans="1:9">
      <c r="A62" t="s">
        <v>23</v>
      </c>
      <c r="B62" s="2">
        <f t="shared" si="0"/>
        <v>4</v>
      </c>
      <c r="C62">
        <v>621</v>
      </c>
      <c r="D62">
        <v>82</v>
      </c>
      <c r="E62">
        <v>73</v>
      </c>
      <c r="F62">
        <f t="shared" si="1"/>
        <v>-1.5262924119932266</v>
      </c>
      <c r="G62">
        <f t="shared" si="2"/>
        <v>-1.5673653919869508</v>
      </c>
      <c r="I62">
        <f t="shared" si="3"/>
        <v>-1.5468289019900887</v>
      </c>
    </row>
    <row r="63" spans="1:9">
      <c r="A63" t="s">
        <v>24</v>
      </c>
      <c r="B63" s="2">
        <f t="shared" si="0"/>
        <v>4</v>
      </c>
      <c r="C63">
        <v>564</v>
      </c>
      <c r="D63">
        <v>81</v>
      </c>
      <c r="E63">
        <v>103</v>
      </c>
      <c r="F63">
        <f t="shared" si="1"/>
        <v>-1.4898087493050558</v>
      </c>
      <c r="G63">
        <f t="shared" si="2"/>
        <v>-1.3760385312089967</v>
      </c>
      <c r="I63">
        <f t="shared" si="3"/>
        <v>-1.4329236402570262</v>
      </c>
    </row>
    <row r="64" spans="1:9">
      <c r="A64" t="s">
        <v>25</v>
      </c>
      <c r="B64" s="2">
        <f t="shared" si="0"/>
        <v>4</v>
      </c>
      <c r="C64">
        <v>726</v>
      </c>
      <c r="D64">
        <v>50</v>
      </c>
      <c r="E64">
        <v>17</v>
      </c>
      <c r="F64">
        <f t="shared" si="1"/>
        <v>-1.8089812805644381</v>
      </c>
      <c r="G64">
        <f t="shared" si="2"/>
        <v>-2.2680843512526465</v>
      </c>
      <c r="I64">
        <f t="shared" si="3"/>
        <v>-2.0385328159085425</v>
      </c>
    </row>
    <row r="65" spans="1:9">
      <c r="A65" t="s">
        <v>7</v>
      </c>
      <c r="B65" s="2">
        <f t="shared" si="0"/>
        <v>5</v>
      </c>
      <c r="C65">
        <v>531</v>
      </c>
      <c r="D65">
        <v>85</v>
      </c>
      <c r="E65">
        <v>21</v>
      </c>
      <c r="F65">
        <f t="shared" si="1"/>
        <v>-1.4426902595675395</v>
      </c>
      <c r="G65">
        <f t="shared" si="2"/>
        <v>-2.0404718782783764</v>
      </c>
      <c r="I65">
        <f t="shared" si="3"/>
        <v>-1.7415810689229581</v>
      </c>
    </row>
    <row r="66" spans="1:9">
      <c r="A66" t="s">
        <v>8</v>
      </c>
      <c r="B66" s="2">
        <f t="shared" si="0"/>
        <v>5</v>
      </c>
      <c r="C66">
        <v>290</v>
      </c>
      <c r="D66">
        <v>90</v>
      </c>
      <c r="E66">
        <v>364</v>
      </c>
      <c r="F66">
        <f t="shared" si="1"/>
        <v>-1.1551701526599945</v>
      </c>
      <c r="G66">
        <f t="shared" si="2"/>
        <v>-0.53889326618072653</v>
      </c>
      <c r="I66">
        <f t="shared" si="3"/>
        <v>-0.84703170942036055</v>
      </c>
    </row>
    <row r="67" spans="1:9">
      <c r="A67" t="s">
        <v>5</v>
      </c>
      <c r="B67" s="2">
        <f t="shared" ref="B67:B130" si="4">1+INT((ROW()-2)/21)+1</f>
        <v>5</v>
      </c>
      <c r="C67">
        <v>510</v>
      </c>
      <c r="D67">
        <v>79</v>
      </c>
      <c r="E67">
        <v>117</v>
      </c>
      <c r="F67">
        <f t="shared" ref="F67:F130" si="5">LOG10(D67/C67)-LOG10(359588/81057)</f>
        <v>-1.456957749007858</v>
      </c>
      <c r="G67">
        <f t="shared" ref="G67:G130" si="6">LOG10(E67/C67)-LOG10(351874/81057)</f>
        <v>-1.2769809662826013</v>
      </c>
      <c r="I67">
        <f t="shared" ref="I67:I130" si="7">AVERAGE(F67:G67)</f>
        <v>-1.3669693576452295</v>
      </c>
    </row>
    <row r="68" spans="1:9">
      <c r="A68" t="s">
        <v>6</v>
      </c>
      <c r="B68" s="2">
        <f t="shared" si="4"/>
        <v>5</v>
      </c>
      <c r="C68">
        <v>343</v>
      </c>
      <c r="D68">
        <v>45</v>
      </c>
      <c r="E68">
        <v>110</v>
      </c>
      <c r="F68">
        <f t="shared" si="5"/>
        <v>-1.52909627046779</v>
      </c>
      <c r="G68">
        <f t="shared" si="6"/>
        <v>-1.1314980868153719</v>
      </c>
      <c r="I68">
        <f t="shared" si="7"/>
        <v>-1.3302971786415809</v>
      </c>
    </row>
    <row r="69" spans="1:9">
      <c r="A69" t="s">
        <v>10</v>
      </c>
      <c r="B69" s="2">
        <f t="shared" si="4"/>
        <v>5</v>
      </c>
      <c r="C69">
        <v>421</v>
      </c>
      <c r="D69">
        <v>323</v>
      </c>
      <c r="E69">
        <v>261</v>
      </c>
      <c r="F69">
        <f t="shared" si="5"/>
        <v>-0.76209423770492857</v>
      </c>
      <c r="G69">
        <f t="shared" si="6"/>
        <v>-0.84523824042821383</v>
      </c>
      <c r="I69">
        <f t="shared" si="7"/>
        <v>-0.8036662390665712</v>
      </c>
    </row>
    <row r="70" spans="1:9">
      <c r="A70" t="s">
        <v>11</v>
      </c>
      <c r="B70" s="2">
        <f t="shared" si="4"/>
        <v>5</v>
      </c>
      <c r="C70">
        <v>342</v>
      </c>
      <c r="D70">
        <v>10</v>
      </c>
      <c r="E70">
        <v>15</v>
      </c>
      <c r="F70">
        <f t="shared" si="5"/>
        <v>-2.181040770256498</v>
      </c>
      <c r="G70">
        <f t="shared" si="6"/>
        <v>-1.9955314989312802</v>
      </c>
      <c r="I70">
        <f t="shared" si="7"/>
        <v>-2.088286134593889</v>
      </c>
    </row>
    <row r="71" spans="1:9">
      <c r="A71" t="s">
        <v>12</v>
      </c>
      <c r="B71" s="2">
        <f t="shared" si="4"/>
        <v>5</v>
      </c>
      <c r="C71">
        <v>411</v>
      </c>
      <c r="D71">
        <v>4211</v>
      </c>
      <c r="E71">
        <v>4364</v>
      </c>
      <c r="F71">
        <f t="shared" si="5"/>
        <v>0.36352875534383267</v>
      </c>
      <c r="G71">
        <f t="shared" si="6"/>
        <v>0.38844626810940852</v>
      </c>
      <c r="I71">
        <f t="shared" si="7"/>
        <v>0.37598751172662059</v>
      </c>
    </row>
    <row r="72" spans="1:9">
      <c r="A72" t="s">
        <v>9</v>
      </c>
      <c r="B72" s="2">
        <f t="shared" si="4"/>
        <v>5</v>
      </c>
      <c r="C72">
        <v>81057</v>
      </c>
      <c r="D72">
        <v>359588</v>
      </c>
      <c r="E72">
        <v>351874</v>
      </c>
      <c r="F72">
        <f t="shared" si="5"/>
        <v>0</v>
      </c>
      <c r="G72">
        <f t="shared" si="6"/>
        <v>0</v>
      </c>
      <c r="I72">
        <f t="shared" si="7"/>
        <v>0</v>
      </c>
    </row>
    <row r="73" spans="1:9">
      <c r="A73" t="s">
        <v>13</v>
      </c>
      <c r="B73" s="2">
        <f t="shared" si="4"/>
        <v>5</v>
      </c>
      <c r="C73">
        <v>388</v>
      </c>
      <c r="D73">
        <v>125</v>
      </c>
      <c r="E73">
        <v>178</v>
      </c>
      <c r="F73">
        <f t="shared" si="5"/>
        <v>-1.1389363767865139</v>
      </c>
      <c r="G73">
        <f t="shared" si="6"/>
        <v>-0.9760083752161397</v>
      </c>
      <c r="I73">
        <f t="shared" si="7"/>
        <v>-1.0574723760013267</v>
      </c>
    </row>
    <row r="74" spans="1:9">
      <c r="A74" t="s">
        <v>14</v>
      </c>
      <c r="B74" s="2">
        <f t="shared" si="4"/>
        <v>5</v>
      </c>
      <c r="C74">
        <v>650</v>
      </c>
      <c r="D74">
        <v>107</v>
      </c>
      <c r="E74">
        <v>128</v>
      </c>
      <c r="F74">
        <f t="shared" si="5"/>
        <v>-1.4305442431580091</v>
      </c>
      <c r="G74">
        <f t="shared" si="6"/>
        <v>-1.3433000389258138</v>
      </c>
      <c r="I74">
        <f t="shared" si="7"/>
        <v>-1.3869221410419115</v>
      </c>
    </row>
    <row r="75" spans="1:9">
      <c r="A75" t="s">
        <v>15</v>
      </c>
      <c r="B75" s="2">
        <f t="shared" si="4"/>
        <v>5</v>
      </c>
      <c r="C75">
        <v>793</v>
      </c>
      <c r="D75">
        <v>57</v>
      </c>
      <c r="E75">
        <v>66</v>
      </c>
      <c r="F75">
        <f t="shared" si="5"/>
        <v>-1.7904129958454755</v>
      </c>
      <c r="G75">
        <f t="shared" si="6"/>
        <v>-1.7173259037065616</v>
      </c>
      <c r="I75">
        <f t="shared" si="7"/>
        <v>-1.7538694497760186</v>
      </c>
    </row>
    <row r="76" spans="1:9">
      <c r="A76" t="s">
        <v>16</v>
      </c>
      <c r="B76" s="2">
        <f t="shared" si="4"/>
        <v>5</v>
      </c>
      <c r="C76">
        <v>419</v>
      </c>
      <c r="D76">
        <v>12</v>
      </c>
      <c r="E76">
        <v>13</v>
      </c>
      <c r="F76">
        <f t="shared" si="5"/>
        <v>-2.1900474411190336</v>
      </c>
      <c r="G76">
        <f t="shared" si="6"/>
        <v>-2.1458673225902851</v>
      </c>
      <c r="I76">
        <f t="shared" si="7"/>
        <v>-2.1679573818546594</v>
      </c>
    </row>
    <row r="77" spans="1:9">
      <c r="A77" t="s">
        <v>17</v>
      </c>
      <c r="B77" s="2">
        <f t="shared" si="4"/>
        <v>5</v>
      </c>
      <c r="C77">
        <v>376</v>
      </c>
      <c r="D77">
        <v>34</v>
      </c>
      <c r="E77">
        <v>22</v>
      </c>
      <c r="F77">
        <f t="shared" si="5"/>
        <v>-1.6907235920857691</v>
      </c>
      <c r="G77">
        <f t="shared" si="6"/>
        <v>-1.8703618160362814</v>
      </c>
      <c r="I77">
        <f t="shared" si="7"/>
        <v>-1.7805427040610251</v>
      </c>
    </row>
    <row r="78" spans="1:9">
      <c r="A78" t="s">
        <v>18</v>
      </c>
      <c r="B78" s="2">
        <f t="shared" si="4"/>
        <v>5</v>
      </c>
      <c r="C78">
        <v>304</v>
      </c>
      <c r="D78">
        <v>137</v>
      </c>
      <c r="E78">
        <v>33</v>
      </c>
      <c r="F78">
        <f t="shared" si="5"/>
        <v>-0.99316768065271011</v>
      </c>
      <c r="G78">
        <f t="shared" si="6"/>
        <v>-1.6019562956616928</v>
      </c>
      <c r="I78">
        <f t="shared" si="7"/>
        <v>-1.2975619881572014</v>
      </c>
    </row>
    <row r="79" spans="1:9">
      <c r="A79" t="s">
        <v>19</v>
      </c>
      <c r="B79" s="2">
        <f t="shared" si="4"/>
        <v>5</v>
      </c>
      <c r="C79">
        <v>372</v>
      </c>
      <c r="D79">
        <v>360</v>
      </c>
      <c r="E79">
        <v>337</v>
      </c>
      <c r="F79">
        <f t="shared" si="5"/>
        <v>-0.66125510331497339</v>
      </c>
      <c r="G79">
        <f t="shared" si="6"/>
        <v>-0.68050969094138536</v>
      </c>
      <c r="I79">
        <f t="shared" si="7"/>
        <v>-0.67088239712817943</v>
      </c>
    </row>
    <row r="80" spans="1:9">
      <c r="A80" t="s">
        <v>20</v>
      </c>
      <c r="B80" s="2">
        <f t="shared" si="4"/>
        <v>5</v>
      </c>
      <c r="C80">
        <v>278</v>
      </c>
      <c r="D80">
        <v>37</v>
      </c>
      <c r="E80">
        <v>70</v>
      </c>
      <c r="F80">
        <f t="shared" si="5"/>
        <v>-1.5228577360514444</v>
      </c>
      <c r="G80">
        <f t="shared" si="6"/>
        <v>-1.236543407834646</v>
      </c>
      <c r="I80">
        <f t="shared" si="7"/>
        <v>-1.3797005719430451</v>
      </c>
    </row>
    <row r="81" spans="1:9">
      <c r="A81" t="s">
        <v>21</v>
      </c>
      <c r="B81" s="2">
        <f t="shared" si="4"/>
        <v>5</v>
      </c>
      <c r="C81">
        <v>762</v>
      </c>
      <c r="D81">
        <v>28</v>
      </c>
      <c r="E81">
        <v>44</v>
      </c>
      <c r="F81">
        <f t="shared" si="5"/>
        <v>-2.0818116041977444</v>
      </c>
      <c r="G81">
        <f t="shared" si="6"/>
        <v>-1.8760989467842395</v>
      </c>
      <c r="I81">
        <f t="shared" si="7"/>
        <v>-1.9789552754909918</v>
      </c>
    </row>
    <row r="82" spans="1:9">
      <c r="A82" t="s">
        <v>22</v>
      </c>
      <c r="B82" s="2">
        <f t="shared" si="4"/>
        <v>5</v>
      </c>
      <c r="C82">
        <v>479</v>
      </c>
      <c r="D82">
        <v>61</v>
      </c>
      <c r="E82">
        <v>48</v>
      </c>
      <c r="F82">
        <f t="shared" si="5"/>
        <v>-1.5420203426041592</v>
      </c>
      <c r="G82">
        <f t="shared" si="6"/>
        <v>-1.6366909279698025</v>
      </c>
      <c r="I82">
        <f t="shared" si="7"/>
        <v>-1.5893556352869809</v>
      </c>
    </row>
    <row r="83" spans="1:9">
      <c r="A83" t="s">
        <v>23</v>
      </c>
      <c r="B83" s="2">
        <f t="shared" si="4"/>
        <v>5</v>
      </c>
      <c r="C83">
        <v>520</v>
      </c>
      <c r="D83">
        <v>11</v>
      </c>
      <c r="E83">
        <v>10</v>
      </c>
      <c r="F83">
        <f t="shared" si="5"/>
        <v>-2.3216253226769372</v>
      </c>
      <c r="G83">
        <f t="shared" si="6"/>
        <v>-2.3535999955656255</v>
      </c>
      <c r="I83">
        <f t="shared" si="7"/>
        <v>-2.3376126591212811</v>
      </c>
    </row>
    <row r="84" spans="1:9">
      <c r="A84" t="s">
        <v>24</v>
      </c>
      <c r="B84" s="2">
        <f t="shared" si="4"/>
        <v>5</v>
      </c>
      <c r="C84">
        <v>504</v>
      </c>
      <c r="D84">
        <v>9</v>
      </c>
      <c r="E84">
        <v>6</v>
      </c>
      <c r="F84">
        <f t="shared" si="5"/>
        <v>-2.3952026912065634</v>
      </c>
      <c r="G84">
        <f t="shared" si="6"/>
        <v>-2.5618759379927081</v>
      </c>
      <c r="I84">
        <f t="shared" si="7"/>
        <v>-2.4785393145996357</v>
      </c>
    </row>
    <row r="85" spans="1:9">
      <c r="A85" t="s">
        <v>25</v>
      </c>
      <c r="B85" s="2">
        <f t="shared" si="4"/>
        <v>5</v>
      </c>
      <c r="C85">
        <v>521</v>
      </c>
      <c r="D85">
        <v>12</v>
      </c>
      <c r="E85">
        <v>30</v>
      </c>
      <c r="F85">
        <f t="shared" si="5"/>
        <v>-2.2846711414522627</v>
      </c>
      <c r="G85">
        <f t="shared" si="6"/>
        <v>-1.8773131205106885</v>
      </c>
      <c r="I85">
        <f t="shared" si="7"/>
        <v>-2.0809921309814756</v>
      </c>
    </row>
    <row r="86" spans="1:9">
      <c r="A86" t="s">
        <v>7</v>
      </c>
      <c r="B86" s="2">
        <f t="shared" si="4"/>
        <v>6</v>
      </c>
      <c r="C86">
        <v>1272</v>
      </c>
      <c r="D86">
        <v>2365</v>
      </c>
      <c r="E86">
        <v>3511</v>
      </c>
      <c r="F86">
        <f t="shared" si="5"/>
        <v>-0.37767063043892785</v>
      </c>
      <c r="G86">
        <f t="shared" si="6"/>
        <v>-0.19665293377787035</v>
      </c>
      <c r="I86">
        <f t="shared" si="7"/>
        <v>-0.2871617821083991</v>
      </c>
    </row>
    <row r="87" spans="1:9">
      <c r="A87" t="s">
        <v>8</v>
      </c>
      <c r="B87" s="2">
        <f t="shared" si="4"/>
        <v>6</v>
      </c>
      <c r="C87">
        <v>1115</v>
      </c>
      <c r="D87">
        <v>3182</v>
      </c>
      <c r="E87">
        <v>893</v>
      </c>
      <c r="F87">
        <f t="shared" si="5"/>
        <v>-0.19158935627397988</v>
      </c>
      <c r="G87">
        <f t="shared" si="6"/>
        <v>-0.73402006042645951</v>
      </c>
      <c r="I87">
        <f t="shared" si="7"/>
        <v>-0.4628047083502197</v>
      </c>
    </row>
    <row r="88" spans="1:9">
      <c r="A88" t="s">
        <v>5</v>
      </c>
      <c r="B88" s="2">
        <f t="shared" si="4"/>
        <v>6</v>
      </c>
      <c r="C88">
        <v>827</v>
      </c>
      <c r="D88">
        <v>36214</v>
      </c>
      <c r="E88">
        <v>1677</v>
      </c>
      <c r="F88">
        <f t="shared" si="5"/>
        <v>0.9943563235022268</v>
      </c>
      <c r="G88">
        <f t="shared" si="6"/>
        <v>-0.33056909887728742</v>
      </c>
      <c r="I88">
        <f t="shared" si="7"/>
        <v>0.33189361231246972</v>
      </c>
    </row>
    <row r="89" spans="1:9">
      <c r="A89" t="s">
        <v>6</v>
      </c>
      <c r="B89" s="2">
        <f t="shared" si="4"/>
        <v>6</v>
      </c>
      <c r="C89">
        <v>546</v>
      </c>
      <c r="D89">
        <v>46</v>
      </c>
      <c r="E89">
        <v>47</v>
      </c>
      <c r="F89">
        <f t="shared" si="5"/>
        <v>-1.7214494752235263</v>
      </c>
      <c r="G89">
        <f t="shared" si="6"/>
        <v>-1.7026914366998462</v>
      </c>
      <c r="I89">
        <f t="shared" si="7"/>
        <v>-1.7120704559616864</v>
      </c>
    </row>
    <row r="90" spans="1:9">
      <c r="A90" t="s">
        <v>10</v>
      </c>
      <c r="B90" s="2">
        <f t="shared" si="4"/>
        <v>6</v>
      </c>
      <c r="C90">
        <v>45</v>
      </c>
      <c r="D90">
        <v>247</v>
      </c>
      <c r="E90">
        <v>219</v>
      </c>
      <c r="F90">
        <f t="shared" si="5"/>
        <v>9.2469775283958944E-2</v>
      </c>
      <c r="G90">
        <f t="shared" si="6"/>
        <v>4.963494913394817E-2</v>
      </c>
      <c r="I90">
        <f t="shared" si="7"/>
        <v>7.1052362208953557E-2</v>
      </c>
    </row>
    <row r="91" spans="1:9">
      <c r="A91" t="s">
        <v>11</v>
      </c>
      <c r="B91" s="2">
        <f t="shared" si="4"/>
        <v>6</v>
      </c>
      <c r="C91">
        <v>424</v>
      </c>
      <c r="D91">
        <v>363</v>
      </c>
      <c r="E91">
        <v>127</v>
      </c>
      <c r="F91">
        <f t="shared" si="5"/>
        <v>-0.71447389575698328</v>
      </c>
      <c r="G91">
        <f t="shared" si="6"/>
        <v>-1.1611587875676022</v>
      </c>
      <c r="I91">
        <f t="shared" si="7"/>
        <v>-0.93781634166229266</v>
      </c>
    </row>
    <row r="92" spans="1:9">
      <c r="A92" t="s">
        <v>12</v>
      </c>
      <c r="B92" s="2">
        <f t="shared" si="4"/>
        <v>6</v>
      </c>
      <c r="C92">
        <v>651</v>
      </c>
      <c r="D92">
        <v>887</v>
      </c>
      <c r="E92">
        <v>1301</v>
      </c>
      <c r="F92">
        <f t="shared" si="5"/>
        <v>-0.51267203293682861</v>
      </c>
      <c r="G92">
        <f t="shared" si="6"/>
        <v>-0.33690034393743218</v>
      </c>
      <c r="I92">
        <f t="shared" si="7"/>
        <v>-0.4247861884371304</v>
      </c>
    </row>
    <row r="93" spans="1:9">
      <c r="A93" t="s">
        <v>9</v>
      </c>
      <c r="B93" s="2">
        <f t="shared" si="4"/>
        <v>6</v>
      </c>
      <c r="C93">
        <v>666</v>
      </c>
      <c r="D93">
        <v>196</v>
      </c>
      <c r="E93">
        <v>192</v>
      </c>
      <c r="F93">
        <f t="shared" si="5"/>
        <v>-1.1782328220141882</v>
      </c>
      <c r="G93">
        <f t="shared" si="6"/>
        <v>-1.1777696523975778</v>
      </c>
      <c r="I93">
        <f t="shared" si="7"/>
        <v>-1.178001237205883</v>
      </c>
    </row>
    <row r="94" spans="1:9">
      <c r="A94" t="s">
        <v>13</v>
      </c>
      <c r="B94" s="2">
        <f t="shared" si="4"/>
        <v>6</v>
      </c>
      <c r="C94">
        <v>768</v>
      </c>
      <c r="D94">
        <v>267</v>
      </c>
      <c r="E94">
        <v>417</v>
      </c>
      <c r="F94">
        <f t="shared" si="5"/>
        <v>-1.1058646228672999</v>
      </c>
      <c r="G94">
        <f t="shared" si="6"/>
        <v>-0.90282181698858099</v>
      </c>
      <c r="I94">
        <f t="shared" si="7"/>
        <v>-1.0043432199279405</v>
      </c>
    </row>
    <row r="95" spans="1:9">
      <c r="A95" t="s">
        <v>14</v>
      </c>
      <c r="B95" s="2">
        <f t="shared" si="4"/>
        <v>6</v>
      </c>
      <c r="C95">
        <v>728</v>
      </c>
      <c r="D95">
        <v>236</v>
      </c>
      <c r="E95">
        <v>100</v>
      </c>
      <c r="F95">
        <f t="shared" si="5"/>
        <v>-1.1362340405432938</v>
      </c>
      <c r="G95">
        <f t="shared" si="6"/>
        <v>-1.4997280312438637</v>
      </c>
      <c r="I95">
        <f t="shared" si="7"/>
        <v>-1.3179810358935788</v>
      </c>
    </row>
    <row r="96" spans="1:9">
      <c r="A96" t="s">
        <v>15</v>
      </c>
      <c r="B96" s="2">
        <f t="shared" si="4"/>
        <v>6</v>
      </c>
      <c r="C96">
        <v>1191</v>
      </c>
      <c r="D96">
        <v>539</v>
      </c>
      <c r="E96">
        <v>480</v>
      </c>
      <c r="F96">
        <f t="shared" si="5"/>
        <v>-0.99133766049640193</v>
      </c>
      <c r="G96">
        <f t="shared" si="6"/>
        <v>-1.0322671760380167</v>
      </c>
      <c r="I96">
        <f t="shared" si="7"/>
        <v>-1.0118024182672092</v>
      </c>
    </row>
    <row r="97" spans="1:9">
      <c r="A97" t="s">
        <v>16</v>
      </c>
      <c r="B97" s="2">
        <f t="shared" si="4"/>
        <v>6</v>
      </c>
      <c r="C97">
        <v>1273</v>
      </c>
      <c r="D97">
        <v>221</v>
      </c>
      <c r="E97">
        <v>222</v>
      </c>
      <c r="F97">
        <f t="shared" si="5"/>
        <v>-1.4074507941689078</v>
      </c>
      <c r="G97">
        <f t="shared" si="6"/>
        <v>-1.3960720811338434</v>
      </c>
      <c r="I97">
        <f t="shared" si="7"/>
        <v>-1.4017614376513756</v>
      </c>
    </row>
    <row r="98" spans="1:9">
      <c r="A98" t="s">
        <v>17</v>
      </c>
      <c r="B98" s="2">
        <f t="shared" si="4"/>
        <v>6</v>
      </c>
      <c r="C98">
        <v>856</v>
      </c>
      <c r="D98">
        <v>216</v>
      </c>
      <c r="E98">
        <v>115</v>
      </c>
      <c r="F98">
        <f t="shared" si="5"/>
        <v>-1.2450346777265855</v>
      </c>
      <c r="G98">
        <f t="shared" si="6"/>
        <v>-1.5093725762543682</v>
      </c>
      <c r="I98">
        <f t="shared" si="7"/>
        <v>-1.3772036269904768</v>
      </c>
    </row>
    <row r="99" spans="1:9">
      <c r="A99" t="s">
        <v>18</v>
      </c>
      <c r="B99" s="2">
        <f t="shared" si="4"/>
        <v>6</v>
      </c>
      <c r="C99">
        <v>1005</v>
      </c>
      <c r="D99">
        <v>169</v>
      </c>
      <c r="E99">
        <v>90</v>
      </c>
      <c r="F99">
        <f t="shared" si="5"/>
        <v>-1.4212940213431973</v>
      </c>
      <c r="G99">
        <f t="shared" si="6"/>
        <v>-1.6855202042480093</v>
      </c>
      <c r="I99">
        <f t="shared" si="7"/>
        <v>-1.5534071127956033</v>
      </c>
    </row>
    <row r="100" spans="1:9">
      <c r="A100" t="s">
        <v>19</v>
      </c>
      <c r="B100" s="2">
        <f t="shared" si="4"/>
        <v>6</v>
      </c>
      <c r="C100">
        <v>1388</v>
      </c>
      <c r="D100">
        <v>35</v>
      </c>
      <c r="E100">
        <v>59</v>
      </c>
      <c r="F100">
        <f t="shared" si="5"/>
        <v>-2.2453360859689235</v>
      </c>
      <c r="G100">
        <f t="shared" si="6"/>
        <v>-2.0091341064075183</v>
      </c>
      <c r="I100">
        <f t="shared" si="7"/>
        <v>-2.1272350961882207</v>
      </c>
    </row>
    <row r="101" spans="1:9">
      <c r="A101" t="s">
        <v>20</v>
      </c>
      <c r="B101" s="2">
        <f t="shared" si="4"/>
        <v>6</v>
      </c>
      <c r="C101">
        <v>796</v>
      </c>
      <c r="D101">
        <v>112</v>
      </c>
      <c r="E101">
        <v>73</v>
      </c>
      <c r="F101">
        <f t="shared" si="5"/>
        <v>-1.4987097092678505</v>
      </c>
      <c r="G101">
        <f t="shared" si="6"/>
        <v>-1.6751868595480397</v>
      </c>
      <c r="I101">
        <f t="shared" si="7"/>
        <v>-1.5869482844079452</v>
      </c>
    </row>
    <row r="102" spans="1:9">
      <c r="A102" t="s">
        <v>21</v>
      </c>
      <c r="B102" s="2">
        <f t="shared" si="4"/>
        <v>6</v>
      </c>
      <c r="C102">
        <v>456</v>
      </c>
      <c r="D102">
        <v>31</v>
      </c>
      <c r="E102">
        <v>28</v>
      </c>
      <c r="F102">
        <f t="shared" si="5"/>
        <v>-1.8146178130305255</v>
      </c>
      <c r="G102">
        <f t="shared" si="6"/>
        <v>-1.8494034632530423</v>
      </c>
      <c r="I102">
        <f t="shared" si="7"/>
        <v>-1.8320106381417838</v>
      </c>
    </row>
    <row r="103" spans="1:9">
      <c r="A103" t="s">
        <v>22</v>
      </c>
      <c r="B103" s="2">
        <f t="shared" si="4"/>
        <v>6</v>
      </c>
      <c r="C103">
        <v>658</v>
      </c>
      <c r="D103">
        <v>61</v>
      </c>
      <c r="E103">
        <v>294</v>
      </c>
      <c r="F103">
        <f t="shared" si="5"/>
        <v>-1.6799107228035517</v>
      </c>
      <c r="G103">
        <f t="shared" si="6"/>
        <v>-0.98747521513262471</v>
      </c>
      <c r="I103">
        <f t="shared" si="7"/>
        <v>-1.3336929689680881</v>
      </c>
    </row>
    <row r="104" spans="1:9">
      <c r="A104" t="s">
        <v>23</v>
      </c>
      <c r="B104" s="2">
        <f t="shared" si="4"/>
        <v>6</v>
      </c>
      <c r="C104">
        <v>981</v>
      </c>
      <c r="D104">
        <v>48</v>
      </c>
      <c r="E104">
        <v>29</v>
      </c>
      <c r="F104">
        <f t="shared" si="5"/>
        <v>-1.9574424342047245</v>
      </c>
      <c r="G104">
        <f t="shared" si="6"/>
        <v>-2.166867661411819</v>
      </c>
      <c r="I104">
        <f t="shared" si="7"/>
        <v>-2.0621550478082717</v>
      </c>
    </row>
    <row r="105" spans="1:9">
      <c r="A105" t="s">
        <v>24</v>
      </c>
      <c r="B105" s="2">
        <f t="shared" si="4"/>
        <v>6</v>
      </c>
      <c r="C105">
        <v>795</v>
      </c>
      <c r="D105">
        <v>71</v>
      </c>
      <c r="E105">
        <v>37</v>
      </c>
      <c r="F105">
        <f t="shared" si="5"/>
        <v>-1.6961234441377582</v>
      </c>
      <c r="G105">
        <f t="shared" si="6"/>
        <v>-1.9697620565203018</v>
      </c>
      <c r="I105">
        <f t="shared" si="7"/>
        <v>-1.8329427503290301</v>
      </c>
    </row>
    <row r="106" spans="1:9">
      <c r="A106" t="s">
        <v>25</v>
      </c>
      <c r="B106" s="2">
        <f t="shared" si="4"/>
        <v>6</v>
      </c>
      <c r="C106">
        <v>601</v>
      </c>
      <c r="D106">
        <v>10</v>
      </c>
      <c r="E106">
        <v>15</v>
      </c>
      <c r="F106">
        <f t="shared" si="5"/>
        <v>-2.4258891362031028</v>
      </c>
      <c r="G106">
        <f t="shared" si="6"/>
        <v>-2.2403798648778848</v>
      </c>
      <c r="I106">
        <f t="shared" si="7"/>
        <v>-2.3331345005404938</v>
      </c>
    </row>
    <row r="107" spans="1:9">
      <c r="A107" t="s">
        <v>7</v>
      </c>
      <c r="B107" s="2">
        <f t="shared" si="4"/>
        <v>7</v>
      </c>
      <c r="C107">
        <v>1131</v>
      </c>
      <c r="D107">
        <v>552</v>
      </c>
      <c r="E107">
        <v>207</v>
      </c>
      <c r="F107">
        <f t="shared" si="5"/>
        <v>-0.95853819139661955</v>
      </c>
      <c r="G107">
        <f t="shared" si="6"/>
        <v>-1.3750889113993638</v>
      </c>
      <c r="I107">
        <f t="shared" si="7"/>
        <v>-1.1668135513979916</v>
      </c>
    </row>
    <row r="108" spans="1:9">
      <c r="A108" t="s">
        <v>8</v>
      </c>
      <c r="B108" s="2">
        <f t="shared" si="4"/>
        <v>7</v>
      </c>
      <c r="C108">
        <v>1254</v>
      </c>
      <c r="D108">
        <v>318</v>
      </c>
      <c r="E108">
        <v>270</v>
      </c>
      <c r="F108">
        <f t="shared" si="5"/>
        <v>-1.2428850807106282</v>
      </c>
      <c r="G108">
        <f t="shared" si="6"/>
        <v>-1.3045304242665368</v>
      </c>
      <c r="I108">
        <f t="shared" si="7"/>
        <v>-1.2737077524885825</v>
      </c>
    </row>
    <row r="109" spans="1:9">
      <c r="A109" t="s">
        <v>5</v>
      </c>
      <c r="B109" s="2">
        <f t="shared" si="4"/>
        <v>7</v>
      </c>
      <c r="C109">
        <v>838</v>
      </c>
      <c r="D109">
        <v>24</v>
      </c>
      <c r="E109">
        <v>28</v>
      </c>
      <c r="F109">
        <f t="shared" si="5"/>
        <v>-2.1900474411190336</v>
      </c>
      <c r="G109">
        <f t="shared" si="6"/>
        <v>-2.1136826392188839</v>
      </c>
      <c r="I109">
        <f t="shared" si="7"/>
        <v>-2.1518650401689587</v>
      </c>
    </row>
    <row r="110" spans="1:9">
      <c r="A110" t="s">
        <v>6</v>
      </c>
      <c r="B110" s="2">
        <f t="shared" si="4"/>
        <v>7</v>
      </c>
      <c r="C110">
        <v>1109</v>
      </c>
      <c r="D110">
        <v>192</v>
      </c>
      <c r="E110">
        <v>128</v>
      </c>
      <c r="F110">
        <f t="shared" si="5"/>
        <v>-1.4086449816459736</v>
      </c>
      <c r="G110">
        <f t="shared" si="6"/>
        <v>-1.5753182284321183</v>
      </c>
      <c r="I110">
        <f t="shared" si="7"/>
        <v>-1.491981605039046</v>
      </c>
    </row>
    <row r="111" spans="1:9">
      <c r="A111" t="s">
        <v>10</v>
      </c>
      <c r="B111" s="2">
        <f t="shared" si="4"/>
        <v>7</v>
      </c>
      <c r="C111">
        <v>1181</v>
      </c>
      <c r="D111">
        <v>23</v>
      </c>
      <c r="E111">
        <v>140</v>
      </c>
      <c r="F111">
        <f t="shared" si="5"/>
        <v>-2.3575367257962849</v>
      </c>
      <c r="G111">
        <f t="shared" si="6"/>
        <v>-1.5637185138661032</v>
      </c>
      <c r="I111">
        <f t="shared" si="7"/>
        <v>-1.960627619831194</v>
      </c>
    </row>
    <row r="112" spans="1:9">
      <c r="A112" t="s">
        <v>11</v>
      </c>
      <c r="B112" s="2">
        <f t="shared" si="4"/>
        <v>7</v>
      </c>
      <c r="C112">
        <v>875</v>
      </c>
      <c r="D112">
        <v>17</v>
      </c>
      <c r="E112">
        <v>12</v>
      </c>
      <c r="F112">
        <f t="shared" si="5"/>
        <v>-2.3585737958444026</v>
      </c>
      <c r="G112">
        <f t="shared" si="6"/>
        <v>-2.500423458905515</v>
      </c>
      <c r="I112">
        <f t="shared" si="7"/>
        <v>-2.4294986273749588</v>
      </c>
    </row>
    <row r="113" spans="1:9">
      <c r="A113" t="s">
        <v>12</v>
      </c>
      <c r="B113" s="2">
        <f t="shared" si="4"/>
        <v>7</v>
      </c>
      <c r="C113">
        <v>951</v>
      </c>
      <c r="D113">
        <v>76</v>
      </c>
      <c r="E113">
        <v>80</v>
      </c>
      <c r="F113">
        <f t="shared" si="5"/>
        <v>-1.7443815888569858</v>
      </c>
      <c r="G113">
        <f t="shared" si="6"/>
        <v>-1.7126871818762968</v>
      </c>
      <c r="I113">
        <f t="shared" si="7"/>
        <v>-1.7285343853666413</v>
      </c>
    </row>
    <row r="114" spans="1:9">
      <c r="A114" t="s">
        <v>9</v>
      </c>
      <c r="B114" s="2">
        <f t="shared" si="4"/>
        <v>7</v>
      </c>
      <c r="C114">
        <v>1182</v>
      </c>
      <c r="D114">
        <v>124</v>
      </c>
      <c r="E114">
        <v>91</v>
      </c>
      <c r="F114">
        <f t="shared" si="5"/>
        <v>-1.6262104555833647</v>
      </c>
      <c r="G114">
        <f t="shared" si="6"/>
        <v>-1.7511727361549694</v>
      </c>
      <c r="I114">
        <f t="shared" si="7"/>
        <v>-1.6886915958691671</v>
      </c>
    </row>
    <row r="115" spans="1:9">
      <c r="A115" t="s">
        <v>13</v>
      </c>
      <c r="B115" s="2">
        <f t="shared" si="4"/>
        <v>7</v>
      </c>
      <c r="C115">
        <v>2488</v>
      </c>
      <c r="D115">
        <v>62</v>
      </c>
      <c r="E115">
        <v>22</v>
      </c>
      <c r="F115">
        <f t="shared" si="5"/>
        <v>-2.2504733507208901</v>
      </c>
      <c r="G115">
        <f t="shared" si="6"/>
        <v>-2.6910243471274011</v>
      </c>
      <c r="I115">
        <f t="shared" si="7"/>
        <v>-2.4707488489241456</v>
      </c>
    </row>
    <row r="116" spans="1:9">
      <c r="A116" t="s">
        <v>14</v>
      </c>
      <c r="B116" s="2">
        <f t="shared" si="4"/>
        <v>7</v>
      </c>
      <c r="C116">
        <v>1490</v>
      </c>
      <c r="D116">
        <v>86</v>
      </c>
      <c r="E116">
        <v>102</v>
      </c>
      <c r="F116">
        <f t="shared" si="5"/>
        <v>-1.8857024813690695</v>
      </c>
      <c r="G116">
        <f t="shared" si="6"/>
        <v>-1.802182748581183</v>
      </c>
      <c r="I116">
        <f t="shared" si="7"/>
        <v>-1.8439426149751261</v>
      </c>
    </row>
    <row r="117" spans="1:9">
      <c r="A117" t="s">
        <v>15</v>
      </c>
      <c r="B117" s="2">
        <f t="shared" si="4"/>
        <v>7</v>
      </c>
      <c r="C117">
        <v>836</v>
      </c>
      <c r="D117">
        <v>41</v>
      </c>
      <c r="E117">
        <v>55</v>
      </c>
      <c r="F117">
        <f t="shared" si="5"/>
        <v>-1.956437084919644</v>
      </c>
      <c r="G117">
        <f t="shared" si="6"/>
        <v>-1.8194402398755991</v>
      </c>
      <c r="I117">
        <f t="shared" si="7"/>
        <v>-1.8879386623976215</v>
      </c>
    </row>
    <row r="118" spans="1:9">
      <c r="A118" t="s">
        <v>16</v>
      </c>
      <c r="B118" s="2">
        <f t="shared" si="4"/>
        <v>7</v>
      </c>
      <c r="C118">
        <v>55</v>
      </c>
      <c r="D118">
        <v>153</v>
      </c>
      <c r="E118">
        <v>161</v>
      </c>
      <c r="F118">
        <f t="shared" si="5"/>
        <v>-0.20268592287700821</v>
      </c>
      <c r="G118">
        <f t="shared" si="6"/>
        <v>-0.17113346539322061</v>
      </c>
      <c r="I118">
        <f t="shared" si="7"/>
        <v>-0.18690969413511441</v>
      </c>
    </row>
    <row r="119" spans="1:9">
      <c r="A119" t="s">
        <v>17</v>
      </c>
      <c r="B119" s="2">
        <f t="shared" si="4"/>
        <v>7</v>
      </c>
      <c r="C119">
        <v>1008</v>
      </c>
      <c r="D119">
        <v>118</v>
      </c>
      <c r="E119">
        <v>91</v>
      </c>
      <c r="F119">
        <f t="shared" si="5"/>
        <v>-1.5785931890037443</v>
      </c>
      <c r="G119">
        <f t="shared" si="6"/>
        <v>-1.6820157917192393</v>
      </c>
      <c r="I119">
        <f t="shared" si="7"/>
        <v>-1.6303044903614918</v>
      </c>
    </row>
    <row r="120" spans="1:9">
      <c r="A120" t="s">
        <v>18</v>
      </c>
      <c r="B120" s="2">
        <f t="shared" si="4"/>
        <v>7</v>
      </c>
      <c r="C120">
        <v>1111</v>
      </c>
      <c r="D120">
        <v>66</v>
      </c>
      <c r="E120">
        <v>47</v>
      </c>
      <c r="F120">
        <f t="shared" si="5"/>
        <v>-1.8731847875993621</v>
      </c>
      <c r="G120">
        <f t="shared" si="6"/>
        <v>-2.0112128529359765</v>
      </c>
      <c r="I120">
        <f t="shared" si="7"/>
        <v>-1.9421988202676692</v>
      </c>
    </row>
    <row r="121" spans="1:9">
      <c r="A121" t="s">
        <v>19</v>
      </c>
      <c r="B121" s="2">
        <f t="shared" si="4"/>
        <v>7</v>
      </c>
      <c r="C121">
        <v>1267</v>
      </c>
      <c r="D121">
        <v>61</v>
      </c>
      <c r="E121">
        <v>14</v>
      </c>
      <c r="F121">
        <f t="shared" si="5"/>
        <v>-1.9644614440730375</v>
      </c>
      <c r="G121">
        <f t="shared" si="6"/>
        <v>-2.5942452311360298</v>
      </c>
      <c r="I121">
        <f t="shared" si="7"/>
        <v>-2.2793533376045336</v>
      </c>
    </row>
    <row r="122" spans="1:9">
      <c r="A122" t="s">
        <v>20</v>
      </c>
      <c r="B122" s="2">
        <f t="shared" si="4"/>
        <v>7</v>
      </c>
      <c r="C122">
        <v>907</v>
      </c>
      <c r="D122">
        <v>245</v>
      </c>
      <c r="E122">
        <v>175</v>
      </c>
      <c r="F122">
        <f t="shared" si="5"/>
        <v>-1.2154558668959259</v>
      </c>
      <c r="G122">
        <f t="shared" si="6"/>
        <v>-1.3521658903046272</v>
      </c>
      <c r="I122">
        <f t="shared" si="7"/>
        <v>-1.2838108786002764</v>
      </c>
    </row>
    <row r="123" spans="1:9">
      <c r="A123" t="s">
        <v>21</v>
      </c>
      <c r="B123" s="2">
        <f t="shared" si="4"/>
        <v>7</v>
      </c>
      <c r="C123">
        <v>1195</v>
      </c>
      <c r="D123">
        <v>273</v>
      </c>
      <c r="E123">
        <v>277</v>
      </c>
      <c r="F123">
        <f t="shared" si="5"/>
        <v>-1.2882199224437636</v>
      </c>
      <c r="G123">
        <f t="shared" si="6"/>
        <v>-1.2724847881505346</v>
      </c>
      <c r="I123">
        <f t="shared" si="7"/>
        <v>-1.2803523552971492</v>
      </c>
    </row>
    <row r="124" spans="1:9">
      <c r="A124" t="s">
        <v>22</v>
      </c>
      <c r="B124" s="2">
        <f t="shared" si="4"/>
        <v>7</v>
      </c>
      <c r="C124">
        <v>971</v>
      </c>
      <c r="D124">
        <v>32</v>
      </c>
      <c r="E124">
        <v>40</v>
      </c>
      <c r="F124">
        <f t="shared" si="5"/>
        <v>-2.129083915788462</v>
      </c>
      <c r="G124">
        <f t="shared" si="6"/>
        <v>-2.0227558905108687</v>
      </c>
      <c r="I124">
        <f t="shared" si="7"/>
        <v>-2.0759199031496651</v>
      </c>
    </row>
    <row r="125" spans="1:9">
      <c r="A125" t="s">
        <v>23</v>
      </c>
      <c r="B125" s="2">
        <f t="shared" si="4"/>
        <v>7</v>
      </c>
      <c r="C125">
        <v>1149</v>
      </c>
      <c r="D125">
        <v>43</v>
      </c>
      <c r="E125">
        <v>12</v>
      </c>
      <c r="F125">
        <f t="shared" si="5"/>
        <v>-2.0738662373090619</v>
      </c>
      <c r="G125">
        <f t="shared" si="6"/>
        <v>-2.6187354345714868</v>
      </c>
      <c r="I125">
        <f t="shared" si="7"/>
        <v>-2.3463008359402746</v>
      </c>
    </row>
    <row r="126" spans="1:9">
      <c r="A126" t="s">
        <v>24</v>
      </c>
      <c r="B126" s="2">
        <f t="shared" si="4"/>
        <v>7</v>
      </c>
      <c r="C126">
        <v>1685</v>
      </c>
      <c r="D126">
        <v>184</v>
      </c>
      <c r="E126">
        <v>175</v>
      </c>
      <c r="F126">
        <f t="shared" si="5"/>
        <v>-1.608796746398184</v>
      </c>
      <c r="G126">
        <f t="shared" si="6"/>
        <v>-1.6211585084518894</v>
      </c>
      <c r="I126">
        <f t="shared" si="7"/>
        <v>-1.6149776274250367</v>
      </c>
    </row>
    <row r="127" spans="1:9">
      <c r="A127" t="s">
        <v>25</v>
      </c>
      <c r="B127" s="2">
        <f t="shared" si="4"/>
        <v>7</v>
      </c>
      <c r="C127">
        <v>1176</v>
      </c>
      <c r="D127">
        <v>23</v>
      </c>
      <c r="E127">
        <v>19</v>
      </c>
      <c r="F127">
        <f t="shared" si="5"/>
        <v>-2.3556941499228898</v>
      </c>
      <c r="G127">
        <f t="shared" si="6"/>
        <v>-2.4292503727181174</v>
      </c>
      <c r="I127">
        <f t="shared" si="7"/>
        <v>-2.3924722613205036</v>
      </c>
    </row>
    <row r="128" spans="1:9">
      <c r="A128" t="s">
        <v>7</v>
      </c>
      <c r="B128" s="2">
        <f t="shared" si="4"/>
        <v>8</v>
      </c>
      <c r="C128">
        <v>81057</v>
      </c>
      <c r="D128">
        <v>359588</v>
      </c>
      <c r="E128">
        <v>351874</v>
      </c>
      <c r="F128">
        <f t="shared" si="5"/>
        <v>0</v>
      </c>
      <c r="G128">
        <f t="shared" si="6"/>
        <v>0</v>
      </c>
      <c r="I128">
        <f t="shared" si="7"/>
        <v>0</v>
      </c>
    </row>
    <row r="129" spans="1:9">
      <c r="A129" t="s">
        <v>8</v>
      </c>
      <c r="B129" s="2">
        <f t="shared" si="4"/>
        <v>8</v>
      </c>
      <c r="C129">
        <v>553</v>
      </c>
      <c r="D129">
        <v>69</v>
      </c>
      <c r="E129">
        <v>90</v>
      </c>
      <c r="F129">
        <f t="shared" si="5"/>
        <v>-1.5508907047678062</v>
      </c>
      <c r="G129">
        <f t="shared" si="6"/>
        <v>-1.4260792737961998</v>
      </c>
      <c r="I129">
        <f t="shared" si="7"/>
        <v>-1.4884849892820031</v>
      </c>
    </row>
    <row r="130" spans="1:9">
      <c r="A130" t="s">
        <v>5</v>
      </c>
      <c r="B130" s="2">
        <f t="shared" si="4"/>
        <v>8</v>
      </c>
      <c r="C130">
        <v>441</v>
      </c>
      <c r="D130">
        <v>128</v>
      </c>
      <c r="E130">
        <v>142</v>
      </c>
      <c r="F130">
        <f t="shared" si="5"/>
        <v>-1.1842432840203334</v>
      </c>
      <c r="G130">
        <f t="shared" si="6"/>
        <v>-1.1297468970156086</v>
      </c>
      <c r="I130">
        <f t="shared" si="7"/>
        <v>-1.1569950905179711</v>
      </c>
    </row>
    <row r="131" spans="1:9">
      <c r="A131" t="s">
        <v>6</v>
      </c>
      <c r="B131" s="2">
        <f t="shared" ref="B131:B194" si="8">1+INT((ROW()-2)/21)+1</f>
        <v>8</v>
      </c>
      <c r="C131">
        <v>566</v>
      </c>
      <c r="D131">
        <v>18</v>
      </c>
      <c r="E131">
        <v>16</v>
      </c>
      <c r="F131">
        <f t="shared" ref="F131:F194" si="9">LOG10(D131/C131)-LOG10(359588/81057)</f>
        <v>-2.1445585902853286</v>
      </c>
      <c r="G131">
        <f t="shared" ref="G131:G194" si="10">LOG10(E131/C131)-LOG10(351874/81057)</f>
        <v>-2.1862931004631729</v>
      </c>
      <c r="I131">
        <f t="shared" ref="I131:I194" si="11">AVERAGE(F131:G131)</f>
        <v>-2.1654258453742505</v>
      </c>
    </row>
    <row r="132" spans="1:9">
      <c r="A132" t="s">
        <v>10</v>
      </c>
      <c r="B132" s="2">
        <f t="shared" si="8"/>
        <v>8</v>
      </c>
      <c r="C132">
        <v>1374</v>
      </c>
      <c r="D132">
        <v>67</v>
      </c>
      <c r="E132">
        <v>77</v>
      </c>
      <c r="F132">
        <f t="shared" si="9"/>
        <v>-1.9589265942230683</v>
      </c>
      <c r="G132">
        <f t="shared" si="10"/>
        <v>-1.8890926594818762</v>
      </c>
      <c r="I132">
        <f t="shared" si="11"/>
        <v>-1.9240096268524722</v>
      </c>
    </row>
    <row r="133" spans="1:9">
      <c r="A133" t="s">
        <v>11</v>
      </c>
      <c r="B133" s="2">
        <f t="shared" si="8"/>
        <v>8</v>
      </c>
      <c r="C133">
        <v>936</v>
      </c>
      <c r="D133">
        <v>92</v>
      </c>
      <c r="E133">
        <v>81</v>
      </c>
      <c r="F133">
        <f t="shared" si="9"/>
        <v>-1.654502685592913</v>
      </c>
      <c r="G133">
        <f t="shared" si="10"/>
        <v>-1.700387481790282</v>
      </c>
      <c r="I133">
        <f t="shared" si="11"/>
        <v>-1.6774450836915975</v>
      </c>
    </row>
    <row r="134" spans="1:9">
      <c r="A134" t="s">
        <v>12</v>
      </c>
      <c r="B134" s="2">
        <f t="shared" si="8"/>
        <v>8</v>
      </c>
      <c r="C134">
        <v>735</v>
      </c>
      <c r="D134">
        <v>92</v>
      </c>
      <c r="E134">
        <v>39</v>
      </c>
      <c r="F134">
        <f t="shared" si="9"/>
        <v>-1.5495141759390028</v>
      </c>
      <c r="G134">
        <f t="shared" si="10"/>
        <v>-1.9128193839885221</v>
      </c>
      <c r="I134">
        <f t="shared" si="11"/>
        <v>-1.7311667799637624</v>
      </c>
    </row>
    <row r="135" spans="1:9">
      <c r="A135" t="s">
        <v>9</v>
      </c>
      <c r="B135" s="2">
        <f t="shared" si="8"/>
        <v>8</v>
      </c>
      <c r="C135">
        <v>474</v>
      </c>
      <c r="D135">
        <v>23</v>
      </c>
      <c r="E135">
        <v>49</v>
      </c>
      <c r="F135">
        <f t="shared" si="9"/>
        <v>-1.9610651698568553</v>
      </c>
      <c r="G135">
        <f t="shared" si="10"/>
        <v>-1.6231789135763979</v>
      </c>
      <c r="I135">
        <f t="shared" si="11"/>
        <v>-1.7921220417166266</v>
      </c>
    </row>
    <row r="136" spans="1:9">
      <c r="A136" t="s">
        <v>13</v>
      </c>
      <c r="B136" s="2">
        <f t="shared" si="8"/>
        <v>8</v>
      </c>
      <c r="C136">
        <v>950</v>
      </c>
      <c r="D136">
        <v>17</v>
      </c>
      <c r="E136">
        <v>9</v>
      </c>
      <c r="F136">
        <f t="shared" si="9"/>
        <v>-2.3942893481109371</v>
      </c>
      <c r="G136">
        <f t="shared" si="10"/>
        <v>-2.6610777477803493</v>
      </c>
      <c r="I136">
        <f t="shared" si="11"/>
        <v>-2.5276835479456432</v>
      </c>
    </row>
    <row r="137" spans="1:9">
      <c r="A137" t="s">
        <v>14</v>
      </c>
      <c r="B137" s="2">
        <f t="shared" si="8"/>
        <v>8</v>
      </c>
      <c r="C137">
        <v>867</v>
      </c>
      <c r="D137">
        <v>50</v>
      </c>
      <c r="E137">
        <v>10</v>
      </c>
      <c r="F137">
        <f t="shared" si="9"/>
        <v>-1.8860637573405545</v>
      </c>
      <c r="G137">
        <f t="shared" si="10"/>
        <v>-2.5756157494070369</v>
      </c>
      <c r="I137">
        <f t="shared" si="11"/>
        <v>-2.2308397533737958</v>
      </c>
    </row>
    <row r="138" spans="1:9">
      <c r="A138" t="s">
        <v>15</v>
      </c>
      <c r="B138" s="2">
        <f t="shared" si="8"/>
        <v>8</v>
      </c>
      <c r="C138">
        <v>551</v>
      </c>
      <c r="D138">
        <v>49</v>
      </c>
      <c r="E138">
        <v>28</v>
      </c>
      <c r="F138">
        <f t="shared" si="9"/>
        <v>-1.6979701830236344</v>
      </c>
      <c r="G138">
        <f t="shared" si="10"/>
        <v>-1.9315902194403922</v>
      </c>
      <c r="I138">
        <f t="shared" si="11"/>
        <v>-1.8147802012320133</v>
      </c>
    </row>
    <row r="139" spans="1:9">
      <c r="A139" t="s">
        <v>16</v>
      </c>
      <c r="B139" s="2">
        <f t="shared" si="8"/>
        <v>8</v>
      </c>
      <c r="C139">
        <v>444</v>
      </c>
      <c r="D139">
        <v>43</v>
      </c>
      <c r="E139">
        <v>8</v>
      </c>
      <c r="F139">
        <f t="shared" si="9"/>
        <v>-1.6609291787353964</v>
      </c>
      <c r="G139">
        <f t="shared" si="10"/>
        <v>-2.3818896350535028</v>
      </c>
      <c r="I139">
        <f t="shared" si="11"/>
        <v>-2.0214094068944495</v>
      </c>
    </row>
    <row r="140" spans="1:9">
      <c r="A140" t="s">
        <v>17</v>
      </c>
      <c r="B140" s="2">
        <f t="shared" si="8"/>
        <v>8</v>
      </c>
      <c r="C140">
        <v>991</v>
      </c>
      <c r="D140">
        <v>63</v>
      </c>
      <c r="E140">
        <v>19</v>
      </c>
      <c r="F140">
        <f t="shared" si="9"/>
        <v>-1.8437477692320567</v>
      </c>
      <c r="G140">
        <f t="shared" si="10"/>
        <v>-2.3549167054632729</v>
      </c>
      <c r="I140">
        <f t="shared" si="11"/>
        <v>-2.0993322373476646</v>
      </c>
    </row>
    <row r="141" spans="1:9">
      <c r="A141" t="s">
        <v>18</v>
      </c>
      <c r="B141" s="2">
        <f t="shared" si="8"/>
        <v>8</v>
      </c>
      <c r="C141">
        <v>1704</v>
      </c>
      <c r="D141">
        <v>33</v>
      </c>
      <c r="E141">
        <v>13</v>
      </c>
      <c r="F141">
        <f t="shared" si="9"/>
        <v>-2.359970314753157</v>
      </c>
      <c r="G141">
        <f t="shared" si="10"/>
        <v>-2.7551228900546709</v>
      </c>
      <c r="I141">
        <f t="shared" si="11"/>
        <v>-2.5575466024039137</v>
      </c>
    </row>
    <row r="142" spans="1:9">
      <c r="A142" t="s">
        <v>19</v>
      </c>
      <c r="B142" s="2">
        <f t="shared" si="8"/>
        <v>8</v>
      </c>
      <c r="C142">
        <v>607</v>
      </c>
      <c r="D142">
        <v>5</v>
      </c>
      <c r="E142">
        <v>30</v>
      </c>
      <c r="F142">
        <f t="shared" si="9"/>
        <v>-2.7312333509396018</v>
      </c>
      <c r="G142">
        <f t="shared" si="10"/>
        <v>-1.9436640882864216</v>
      </c>
      <c r="I142">
        <f t="shared" si="11"/>
        <v>-2.3374487196130116</v>
      </c>
    </row>
    <row r="143" spans="1:9">
      <c r="A143" t="s">
        <v>20</v>
      </c>
      <c r="B143" s="2">
        <f t="shared" si="8"/>
        <v>8</v>
      </c>
      <c r="C143">
        <v>1030</v>
      </c>
      <c r="D143">
        <v>60</v>
      </c>
      <c r="E143">
        <v>61</v>
      </c>
      <c r="F143">
        <f t="shared" si="9"/>
        <v>-1.8817006385218917</v>
      </c>
      <c r="G143">
        <f t="shared" si="10"/>
        <v>-1.8651040416252316</v>
      </c>
      <c r="I143">
        <f t="shared" si="11"/>
        <v>-1.8734023400735618</v>
      </c>
    </row>
    <row r="144" spans="1:9">
      <c r="A144" t="s">
        <v>21</v>
      </c>
      <c r="B144" s="2">
        <f t="shared" si="8"/>
        <v>8</v>
      </c>
      <c r="C144">
        <v>1239</v>
      </c>
      <c r="D144">
        <v>159</v>
      </c>
      <c r="E144">
        <v>65</v>
      </c>
      <c r="F144">
        <f t="shared" si="9"/>
        <v>-1.5386888462559751</v>
      </c>
      <c r="G144">
        <f t="shared" si="10"/>
        <v>-1.9177546016640343</v>
      </c>
      <c r="I144">
        <f t="shared" si="11"/>
        <v>-1.7282217239600048</v>
      </c>
    </row>
    <row r="145" spans="1:9">
      <c r="A145" t="s">
        <v>22</v>
      </c>
      <c r="B145" s="2">
        <f t="shared" si="8"/>
        <v>8</v>
      </c>
      <c r="C145">
        <v>578</v>
      </c>
      <c r="D145">
        <v>40</v>
      </c>
      <c r="E145">
        <v>6</v>
      </c>
      <c r="F145">
        <f t="shared" si="9"/>
        <v>-1.8068825112929296</v>
      </c>
      <c r="G145">
        <f t="shared" si="10"/>
        <v>-2.6213732399677117</v>
      </c>
      <c r="I145">
        <f t="shared" si="11"/>
        <v>-2.2141278756303207</v>
      </c>
    </row>
    <row r="146" spans="1:9">
      <c r="A146" t="s">
        <v>23</v>
      </c>
      <c r="B146" s="2">
        <f t="shared" si="8"/>
        <v>8</v>
      </c>
      <c r="C146">
        <v>841</v>
      </c>
      <c r="D146">
        <v>23</v>
      </c>
      <c r="E146">
        <v>30</v>
      </c>
      <c r="F146">
        <f t="shared" si="9"/>
        <v>-2.2100828239806827</v>
      </c>
      <c r="G146">
        <f t="shared" si="10"/>
        <v>-2.0852713930090765</v>
      </c>
      <c r="I146">
        <f t="shared" si="11"/>
        <v>-2.1476771084948796</v>
      </c>
    </row>
    <row r="147" spans="1:9">
      <c r="A147" t="s">
        <v>24</v>
      </c>
      <c r="B147" s="2">
        <f t="shared" si="8"/>
        <v>8</v>
      </c>
      <c r="C147">
        <v>1093</v>
      </c>
      <c r="D147">
        <v>28</v>
      </c>
      <c r="E147">
        <v>51</v>
      </c>
      <c r="F147">
        <f t="shared" si="9"/>
        <v>-2.2384767948078466</v>
      </c>
      <c r="G147">
        <f t="shared" si="10"/>
        <v>-1.9686466377825929</v>
      </c>
      <c r="I147">
        <f t="shared" si="11"/>
        <v>-2.1035617162952196</v>
      </c>
    </row>
    <row r="148" spans="1:9">
      <c r="A148" t="s">
        <v>25</v>
      </c>
      <c r="B148" s="2">
        <f t="shared" si="8"/>
        <v>8</v>
      </c>
      <c r="C148">
        <v>825</v>
      </c>
      <c r="D148">
        <v>23</v>
      </c>
      <c r="E148">
        <v>27</v>
      </c>
      <c r="F148">
        <f t="shared" si="9"/>
        <v>-2.2017407767326951</v>
      </c>
      <c r="G148">
        <f t="shared" si="10"/>
        <v>-2.1226868363217641</v>
      </c>
      <c r="I148">
        <f t="shared" si="11"/>
        <v>-2.1622138065272294</v>
      </c>
    </row>
    <row r="149" spans="1:9">
      <c r="A149" t="s">
        <v>7</v>
      </c>
      <c r="B149" s="2">
        <f t="shared" si="8"/>
        <v>9</v>
      </c>
      <c r="C149">
        <v>790</v>
      </c>
      <c r="D149">
        <v>22</v>
      </c>
      <c r="E149">
        <v>48</v>
      </c>
      <c r="F149">
        <f t="shared" si="9"/>
        <v>-2.2022190746685983</v>
      </c>
      <c r="G149">
        <f t="shared" si="10"/>
        <v>-1.8539825058456807</v>
      </c>
      <c r="I149">
        <f t="shared" si="11"/>
        <v>-2.0281007902571395</v>
      </c>
    </row>
    <row r="150" spans="1:9">
      <c r="A150" t="s">
        <v>8</v>
      </c>
      <c r="B150" s="2">
        <f t="shared" si="8"/>
        <v>9</v>
      </c>
      <c r="C150">
        <v>1034</v>
      </c>
      <c r="D150">
        <v>114</v>
      </c>
      <c r="E150">
        <v>112</v>
      </c>
      <c r="F150">
        <f t="shared" si="9"/>
        <v>-1.6046303516218141</v>
      </c>
      <c r="G150">
        <f t="shared" si="10"/>
        <v>-1.6028991680185687</v>
      </c>
      <c r="I150">
        <f t="shared" si="11"/>
        <v>-1.6037647598201914</v>
      </c>
    </row>
    <row r="151" spans="1:9">
      <c r="A151" t="s">
        <v>5</v>
      </c>
      <c r="B151" s="2">
        <f t="shared" si="8"/>
        <v>9</v>
      </c>
      <c r="C151">
        <v>697</v>
      </c>
      <c r="D151">
        <v>74</v>
      </c>
      <c r="E151">
        <v>85</v>
      </c>
      <c r="F151">
        <f t="shared" si="9"/>
        <v>-1.6210157225673965</v>
      </c>
      <c r="G151">
        <f t="shared" si="10"/>
        <v>-1.5514105043145432</v>
      </c>
      <c r="I151">
        <f t="shared" si="11"/>
        <v>-1.5862131134409698</v>
      </c>
    </row>
    <row r="152" spans="1:9">
      <c r="A152" t="s">
        <v>6</v>
      </c>
      <c r="B152" s="2">
        <f t="shared" si="8"/>
        <v>9</v>
      </c>
      <c r="C152">
        <v>682</v>
      </c>
      <c r="D152">
        <v>31</v>
      </c>
      <c r="E152">
        <v>34</v>
      </c>
      <c r="F152">
        <f t="shared" si="9"/>
        <v>-1.9894373450225693</v>
      </c>
      <c r="G152">
        <f t="shared" si="10"/>
        <v>-1.9399021095450504</v>
      </c>
      <c r="I152">
        <f t="shared" si="11"/>
        <v>-1.9646697272838098</v>
      </c>
    </row>
    <row r="153" spans="1:9">
      <c r="A153" t="s">
        <v>10</v>
      </c>
      <c r="B153" s="2">
        <f t="shared" si="8"/>
        <v>9</v>
      </c>
      <c r="C153">
        <v>900</v>
      </c>
      <c r="D153">
        <v>24</v>
      </c>
      <c r="E153">
        <v>9</v>
      </c>
      <c r="F153">
        <f t="shared" si="9"/>
        <v>-2.221045931928082</v>
      </c>
      <c r="G153">
        <f t="shared" si="10"/>
        <v>-2.6375966519308265</v>
      </c>
      <c r="I153">
        <f t="shared" si="11"/>
        <v>-2.4293212919294542</v>
      </c>
    </row>
    <row r="154" spans="1:9">
      <c r="A154" t="s">
        <v>11</v>
      </c>
      <c r="B154" s="2">
        <f t="shared" si="8"/>
        <v>9</v>
      </c>
      <c r="C154">
        <v>839</v>
      </c>
      <c r="D154">
        <v>30</v>
      </c>
      <c r="E154">
        <v>90</v>
      </c>
      <c r="F154">
        <f t="shared" si="9"/>
        <v>-2.093655370309401</v>
      </c>
      <c r="G154">
        <f t="shared" si="10"/>
        <v>-1.6071161033202019</v>
      </c>
      <c r="I154">
        <f t="shared" si="11"/>
        <v>-1.8503857368148013</v>
      </c>
    </row>
    <row r="155" spans="1:9">
      <c r="A155" t="s">
        <v>12</v>
      </c>
      <c r="B155" s="2">
        <f t="shared" si="8"/>
        <v>9</v>
      </c>
      <c r="C155">
        <v>486</v>
      </c>
      <c r="D155">
        <v>45</v>
      </c>
      <c r="E155">
        <v>12</v>
      </c>
      <c r="F155">
        <f t="shared" si="9"/>
        <v>-1.6804384196873128</v>
      </c>
      <c r="G155">
        <f t="shared" si="10"/>
        <v>-2.2450516751454952</v>
      </c>
      <c r="I155">
        <f t="shared" si="11"/>
        <v>-1.9627450474164041</v>
      </c>
    </row>
    <row r="156" spans="1:9">
      <c r="A156" t="s">
        <v>9</v>
      </c>
      <c r="B156" s="2">
        <f t="shared" si="8"/>
        <v>9</v>
      </c>
      <c r="C156">
        <v>553</v>
      </c>
      <c r="D156">
        <v>4</v>
      </c>
      <c r="E156">
        <v>8</v>
      </c>
      <c r="F156">
        <f t="shared" si="9"/>
        <v>-2.7876798041770989</v>
      </c>
      <c r="G156">
        <f t="shared" si="10"/>
        <v>-2.477231796243581</v>
      </c>
      <c r="I156">
        <f t="shared" si="11"/>
        <v>-2.63245580021034</v>
      </c>
    </row>
    <row r="157" spans="1:9">
      <c r="A157" t="s">
        <v>13</v>
      </c>
      <c r="B157" s="2">
        <f t="shared" si="8"/>
        <v>9</v>
      </c>
      <c r="C157">
        <v>1068</v>
      </c>
      <c r="D157">
        <v>29</v>
      </c>
      <c r="E157">
        <v>21</v>
      </c>
      <c r="F157">
        <f t="shared" si="9"/>
        <v>-2.2131879189939445</v>
      </c>
      <c r="G157">
        <f t="shared" si="10"/>
        <v>-2.3439486098894449</v>
      </c>
      <c r="I157">
        <f t="shared" si="11"/>
        <v>-2.2785682644416947</v>
      </c>
    </row>
    <row r="158" spans="1:9">
      <c r="A158" t="s">
        <v>14</v>
      </c>
      <c r="B158" s="2">
        <f t="shared" si="8"/>
        <v>9</v>
      </c>
      <c r="C158">
        <v>457</v>
      </c>
      <c r="D158">
        <v>26</v>
      </c>
      <c r="E158">
        <v>21</v>
      </c>
      <c r="F158">
        <f t="shared" si="9"/>
        <v>-1.8919575162993953</v>
      </c>
      <c r="G158">
        <f t="shared" si="10"/>
        <v>-1.9752935572667574</v>
      </c>
      <c r="I158">
        <f t="shared" si="11"/>
        <v>-1.9336255367830764</v>
      </c>
    </row>
    <row r="159" spans="1:9">
      <c r="A159" t="s">
        <v>15</v>
      </c>
      <c r="B159" s="2">
        <f t="shared" si="8"/>
        <v>9</v>
      </c>
      <c r="C159">
        <v>970</v>
      </c>
      <c r="D159">
        <v>42</v>
      </c>
      <c r="E159">
        <v>51</v>
      </c>
      <c r="F159">
        <f t="shared" si="9"/>
        <v>-2.0105371080687076</v>
      </c>
      <c r="G159">
        <f t="shared" si="10"/>
        <v>-1.916798210099135</v>
      </c>
      <c r="I159">
        <f t="shared" si="11"/>
        <v>-1.9636676590839213</v>
      </c>
    </row>
    <row r="160" spans="1:9">
      <c r="A160" t="s">
        <v>16</v>
      </c>
      <c r="B160" s="2">
        <f t="shared" si="8"/>
        <v>9</v>
      </c>
      <c r="C160">
        <v>551</v>
      </c>
      <c r="D160">
        <v>13</v>
      </c>
      <c r="E160">
        <v>44</v>
      </c>
      <c r="F160">
        <f t="shared" si="9"/>
        <v>-2.2742229107453111</v>
      </c>
      <c r="G160">
        <f t="shared" si="10"/>
        <v>-1.735295574296424</v>
      </c>
      <c r="I160">
        <f t="shared" si="11"/>
        <v>-2.0047592425208673</v>
      </c>
    </row>
    <row r="161" spans="1:9">
      <c r="A161" t="s">
        <v>17</v>
      </c>
      <c r="B161" s="2">
        <f t="shared" si="8"/>
        <v>9</v>
      </c>
      <c r="C161">
        <v>785</v>
      </c>
      <c r="D161">
        <v>34</v>
      </c>
      <c r="E161">
        <v>27</v>
      </c>
      <c r="F161">
        <f t="shared" si="9"/>
        <v>-2.0104054039033605</v>
      </c>
      <c r="G161">
        <f t="shared" si="10"/>
        <v>-2.1011025445170919</v>
      </c>
      <c r="I161">
        <f t="shared" si="11"/>
        <v>-2.0557539742102264</v>
      </c>
    </row>
    <row r="162" spans="1:9">
      <c r="A162" t="s">
        <v>18</v>
      </c>
      <c r="B162" s="2">
        <f t="shared" si="8"/>
        <v>9</v>
      </c>
      <c r="C162">
        <v>750</v>
      </c>
      <c r="D162">
        <v>12</v>
      </c>
      <c r="E162">
        <v>22</v>
      </c>
      <c r="F162">
        <f t="shared" si="9"/>
        <v>-2.4428946815444386</v>
      </c>
      <c r="G162">
        <f t="shared" si="10"/>
        <v>-2.1702352345003204</v>
      </c>
      <c r="I162">
        <f t="shared" si="11"/>
        <v>-2.3065649580223795</v>
      </c>
    </row>
    <row r="163" spans="1:9">
      <c r="A163" t="s">
        <v>19</v>
      </c>
      <c r="B163" s="2">
        <f t="shared" si="8"/>
        <v>9</v>
      </c>
      <c r="C163">
        <v>743</v>
      </c>
      <c r="D163">
        <v>10</v>
      </c>
      <c r="E163">
        <v>19</v>
      </c>
      <c r="F163">
        <f t="shared" si="9"/>
        <v>-2.5180034779609386</v>
      </c>
      <c r="G163">
        <f t="shared" si="10"/>
        <v>-2.2298318647385731</v>
      </c>
      <c r="I163">
        <f t="shared" si="11"/>
        <v>-2.3739176713497558</v>
      </c>
    </row>
    <row r="164" spans="1:9">
      <c r="A164" t="s">
        <v>20</v>
      </c>
      <c r="B164" s="2">
        <f t="shared" si="8"/>
        <v>9</v>
      </c>
      <c r="C164">
        <v>448</v>
      </c>
      <c r="D164">
        <v>10</v>
      </c>
      <c r="E164">
        <v>10</v>
      </c>
      <c r="F164">
        <f t="shared" si="9"/>
        <v>-2.2982926781985071</v>
      </c>
      <c r="G164">
        <f t="shared" si="10"/>
        <v>-2.2888746659289705</v>
      </c>
      <c r="I164">
        <f t="shared" si="11"/>
        <v>-2.2935836720637388</v>
      </c>
    </row>
    <row r="165" spans="1:9">
      <c r="A165" t="s">
        <v>21</v>
      </c>
      <c r="B165" s="2">
        <f t="shared" si="8"/>
        <v>9</v>
      </c>
      <c r="C165">
        <v>535</v>
      </c>
      <c r="D165">
        <v>15</v>
      </c>
      <c r="E165">
        <v>86</v>
      </c>
      <c r="F165">
        <f t="shared" si="9"/>
        <v>-2.1992771871659103</v>
      </c>
      <c r="G165">
        <f t="shared" si="10"/>
        <v>-1.4314519827084871</v>
      </c>
      <c r="I165">
        <f t="shared" si="11"/>
        <v>-1.8153645849371987</v>
      </c>
    </row>
    <row r="166" spans="1:9">
      <c r="A166" t="s">
        <v>22</v>
      </c>
      <c r="B166" s="2">
        <f t="shared" si="8"/>
        <v>9</v>
      </c>
      <c r="C166">
        <v>380</v>
      </c>
      <c r="D166">
        <v>28</v>
      </c>
      <c r="E166">
        <v>6</v>
      </c>
      <c r="F166">
        <f t="shared" si="9"/>
        <v>-1.779640229474954</v>
      </c>
      <c r="G166">
        <f t="shared" si="10"/>
        <v>-2.4392289981639932</v>
      </c>
      <c r="I166">
        <f t="shared" si="11"/>
        <v>-2.1094346138194737</v>
      </c>
    </row>
    <row r="167" spans="1:9">
      <c r="A167" t="s">
        <v>23</v>
      </c>
      <c r="B167" s="2">
        <f t="shared" si="8"/>
        <v>9</v>
      </c>
      <c r="C167">
        <v>26</v>
      </c>
      <c r="D167">
        <v>80</v>
      </c>
      <c r="E167">
        <v>81</v>
      </c>
      <c r="F167">
        <f t="shared" si="9"/>
        <v>-0.15889802517923751</v>
      </c>
      <c r="G167">
        <f t="shared" si="10"/>
        <v>-0.14408498102299472</v>
      </c>
      <c r="I167">
        <f t="shared" si="11"/>
        <v>-0.15149150310111612</v>
      </c>
    </row>
    <row r="168" spans="1:9">
      <c r="A168" t="s">
        <v>24</v>
      </c>
      <c r="B168" s="2">
        <f t="shared" si="8"/>
        <v>9</v>
      </c>
      <c r="C168">
        <v>1032</v>
      </c>
      <c r="D168">
        <v>280</v>
      </c>
      <c r="E168">
        <v>244</v>
      </c>
      <c r="F168">
        <f t="shared" si="9"/>
        <v>-1.2135363301493365</v>
      </c>
      <c r="G168">
        <f t="shared" si="10"/>
        <v>-1.2638865228832896</v>
      </c>
      <c r="I168">
        <f t="shared" si="11"/>
        <v>-1.2387114265163131</v>
      </c>
    </row>
    <row r="169" spans="1:9">
      <c r="A169" t="s">
        <v>25</v>
      </c>
      <c r="B169" s="2">
        <f t="shared" si="8"/>
        <v>9</v>
      </c>
      <c r="C169">
        <v>799</v>
      </c>
      <c r="D169">
        <v>32</v>
      </c>
      <c r="E169">
        <v>22</v>
      </c>
      <c r="F169">
        <f t="shared" si="9"/>
        <v>-2.0444114651944485</v>
      </c>
      <c r="G169">
        <f t="shared" si="10"/>
        <v>-2.1977207504226115</v>
      </c>
      <c r="I169">
        <f t="shared" si="11"/>
        <v>-2.12106610780853</v>
      </c>
    </row>
    <row r="170" spans="1:9">
      <c r="A170" t="s">
        <v>7</v>
      </c>
      <c r="B170" s="2">
        <f t="shared" si="8"/>
        <v>10</v>
      </c>
      <c r="C170">
        <v>933</v>
      </c>
      <c r="D170">
        <v>56</v>
      </c>
      <c r="E170">
        <v>64</v>
      </c>
      <c r="F170">
        <f t="shared" si="9"/>
        <v>-1.8687082809406628</v>
      </c>
      <c r="G170">
        <f t="shared" si="10"/>
        <v>-1.8012983216934393</v>
      </c>
      <c r="I170">
        <f t="shared" si="11"/>
        <v>-1.835003301317051</v>
      </c>
    </row>
    <row r="171" spans="1:9">
      <c r="A171" t="s">
        <v>8</v>
      </c>
      <c r="B171" s="2">
        <f t="shared" si="8"/>
        <v>10</v>
      </c>
      <c r="C171">
        <v>814</v>
      </c>
      <c r="D171">
        <v>14</v>
      </c>
      <c r="E171">
        <v>2</v>
      </c>
      <c r="F171">
        <f t="shared" si="9"/>
        <v>-2.4115110334113261</v>
      </c>
      <c r="G171">
        <f t="shared" si="10"/>
        <v>-3.2471910611560464</v>
      </c>
      <c r="I171">
        <f t="shared" si="11"/>
        <v>-2.8293510472836862</v>
      </c>
    </row>
    <row r="172" spans="1:9">
      <c r="A172" t="s">
        <v>5</v>
      </c>
      <c r="B172" s="2">
        <f t="shared" si="8"/>
        <v>10</v>
      </c>
      <c r="C172">
        <v>367</v>
      </c>
      <c r="D172">
        <v>39</v>
      </c>
      <c r="E172">
        <v>22</v>
      </c>
      <c r="F172">
        <f t="shared" si="9"/>
        <v>-1.6206161214259533</v>
      </c>
      <c r="G172">
        <f t="shared" si="10"/>
        <v>-1.8598400353607096</v>
      </c>
      <c r="I172">
        <f t="shared" si="11"/>
        <v>-1.7402280783933315</v>
      </c>
    </row>
    <row r="173" spans="1:9">
      <c r="A173" t="s">
        <v>6</v>
      </c>
      <c r="B173" s="2">
        <f t="shared" si="8"/>
        <v>10</v>
      </c>
      <c r="C173">
        <v>523</v>
      </c>
      <c r="D173">
        <v>34</v>
      </c>
      <c r="E173">
        <v>8</v>
      </c>
      <c r="F173">
        <f t="shared" si="9"/>
        <v>-1.8340374360253822</v>
      </c>
      <c r="G173">
        <f t="shared" si="10"/>
        <v>-2.4530083538061573</v>
      </c>
      <c r="I173">
        <f t="shared" si="11"/>
        <v>-2.1435228949157699</v>
      </c>
    </row>
    <row r="174" spans="1:9">
      <c r="A174" t="s">
        <v>10</v>
      </c>
      <c r="B174" s="2">
        <f t="shared" si="8"/>
        <v>10</v>
      </c>
      <c r="C174">
        <v>646</v>
      </c>
      <c r="D174">
        <v>134</v>
      </c>
      <c r="E174">
        <v>19</v>
      </c>
      <c r="F174">
        <f t="shared" si="9"/>
        <v>-1.3301423838306397</v>
      </c>
      <c r="G174">
        <f t="shared" si="10"/>
        <v>-2.1690755689730814</v>
      </c>
      <c r="I174">
        <f t="shared" si="11"/>
        <v>-1.7496089764018605</v>
      </c>
    </row>
    <row r="175" spans="1:9">
      <c r="A175" t="s">
        <v>11</v>
      </c>
      <c r="B175" s="2">
        <f t="shared" si="8"/>
        <v>10</v>
      </c>
      <c r="C175">
        <v>1057</v>
      </c>
      <c r="D175">
        <v>31</v>
      </c>
      <c r="E175">
        <v>67</v>
      </c>
      <c r="F175">
        <f t="shared" si="9"/>
        <v>-2.1797279576735167</v>
      </c>
      <c r="G175">
        <f t="shared" si="10"/>
        <v>-1.8355968365374262</v>
      </c>
      <c r="I175">
        <f t="shared" si="11"/>
        <v>-2.0076623971054715</v>
      </c>
    </row>
    <row r="176" spans="1:9">
      <c r="A176" t="s">
        <v>12</v>
      </c>
      <c r="B176" s="2">
        <f t="shared" si="8"/>
        <v>10</v>
      </c>
      <c r="C176">
        <v>481</v>
      </c>
      <c r="D176">
        <v>19</v>
      </c>
      <c r="E176">
        <v>22</v>
      </c>
      <c r="F176">
        <f t="shared" si="9"/>
        <v>-2.0504061396213658</v>
      </c>
      <c r="G176">
        <f t="shared" si="10"/>
        <v>-1.977319047482452</v>
      </c>
      <c r="I176">
        <f t="shared" si="11"/>
        <v>-2.013862593551909</v>
      </c>
    </row>
    <row r="177" spans="1:9">
      <c r="A177" t="s">
        <v>9</v>
      </c>
      <c r="B177" s="2">
        <f t="shared" si="8"/>
        <v>10</v>
      </c>
      <c r="C177">
        <v>281</v>
      </c>
      <c r="D177">
        <v>4</v>
      </c>
      <c r="E177">
        <v>6</v>
      </c>
      <c r="F177">
        <f t="shared" si="9"/>
        <v>-2.4936609927774809</v>
      </c>
      <c r="G177">
        <f t="shared" si="10"/>
        <v>-2.3081517214522629</v>
      </c>
      <c r="I177">
        <f t="shared" si="11"/>
        <v>-2.4009063571148719</v>
      </c>
    </row>
    <row r="178" spans="1:9">
      <c r="A178" t="s">
        <v>13</v>
      </c>
      <c r="B178" s="2">
        <f t="shared" si="8"/>
        <v>10</v>
      </c>
      <c r="C178">
        <v>691</v>
      </c>
      <c r="D178">
        <v>27</v>
      </c>
      <c r="E178">
        <v>18</v>
      </c>
      <c r="F178">
        <f t="shared" si="9"/>
        <v>-2.0551289474155743</v>
      </c>
      <c r="G178">
        <f t="shared" si="10"/>
        <v>-2.221802194201719</v>
      </c>
      <c r="I178">
        <f t="shared" si="11"/>
        <v>-2.1384655708086466</v>
      </c>
    </row>
    <row r="179" spans="1:9">
      <c r="A179" t="s">
        <v>14</v>
      </c>
      <c r="B179" s="2">
        <f t="shared" si="8"/>
        <v>10</v>
      </c>
      <c r="C179">
        <v>740</v>
      </c>
      <c r="D179">
        <v>31</v>
      </c>
      <c r="E179">
        <v>6</v>
      </c>
      <c r="F179">
        <f t="shared" si="9"/>
        <v>-2.0248846900970667</v>
      </c>
      <c r="G179">
        <f t="shared" si="10"/>
        <v>-2.7286771212781589</v>
      </c>
      <c r="I179">
        <f t="shared" si="11"/>
        <v>-2.376780905687613</v>
      </c>
    </row>
    <row r="180" spans="1:9">
      <c r="A180" t="s">
        <v>15</v>
      </c>
      <c r="B180" s="2">
        <f t="shared" si="8"/>
        <v>10</v>
      </c>
      <c r="C180">
        <v>1465</v>
      </c>
      <c r="D180">
        <v>55</v>
      </c>
      <c r="E180">
        <v>88</v>
      </c>
      <c r="F180">
        <f t="shared" si="9"/>
        <v>-2.0724895993962473</v>
      </c>
      <c r="G180">
        <f t="shared" si="10"/>
        <v>-1.8589516044707861</v>
      </c>
      <c r="I180">
        <f t="shared" si="11"/>
        <v>-1.9657206019335167</v>
      </c>
    </row>
    <row r="181" spans="1:9">
      <c r="A181" t="s">
        <v>16</v>
      </c>
      <c r="B181" s="2">
        <f t="shared" si="8"/>
        <v>10</v>
      </c>
      <c r="C181">
        <v>520</v>
      </c>
      <c r="D181">
        <v>19</v>
      </c>
      <c r="E181">
        <v>11</v>
      </c>
      <c r="F181">
        <f t="shared" si="9"/>
        <v>-2.0842644068823333</v>
      </c>
      <c r="G181">
        <f t="shared" si="10"/>
        <v>-2.3122073104074006</v>
      </c>
      <c r="I181">
        <f t="shared" si="11"/>
        <v>-2.1982358586448667</v>
      </c>
    </row>
    <row r="182" spans="1:9">
      <c r="A182" t="s">
        <v>17</v>
      </c>
      <c r="B182" s="2">
        <f t="shared" si="8"/>
        <v>10</v>
      </c>
      <c r="C182">
        <v>81057</v>
      </c>
      <c r="D182">
        <v>359588</v>
      </c>
      <c r="E182">
        <v>351874</v>
      </c>
      <c r="F182">
        <f t="shared" si="9"/>
        <v>0</v>
      </c>
      <c r="G182">
        <f t="shared" si="10"/>
        <v>0</v>
      </c>
      <c r="I182">
        <f t="shared" si="11"/>
        <v>0</v>
      </c>
    </row>
    <row r="183" spans="1:9">
      <c r="A183" t="s">
        <v>18</v>
      </c>
      <c r="B183" s="2">
        <f t="shared" si="8"/>
        <v>10</v>
      </c>
      <c r="C183">
        <v>227</v>
      </c>
      <c r="D183">
        <v>80</v>
      </c>
      <c r="E183">
        <v>21</v>
      </c>
      <c r="F183">
        <f t="shared" si="9"/>
        <v>-1.0999505344015423</v>
      </c>
      <c r="G183">
        <f t="shared" si="10"/>
        <v>-1.6714032143900299</v>
      </c>
      <c r="I183">
        <f t="shared" si="11"/>
        <v>-1.3856768743957861</v>
      </c>
    </row>
    <row r="184" spans="1:9">
      <c r="A184" t="s">
        <v>19</v>
      </c>
      <c r="B184" s="2">
        <f t="shared" si="8"/>
        <v>10</v>
      </c>
      <c r="C184">
        <v>526</v>
      </c>
      <c r="D184">
        <v>21</v>
      </c>
      <c r="E184">
        <v>40</v>
      </c>
      <c r="F184">
        <f t="shared" si="9"/>
        <v>-2.0457811136201829</v>
      </c>
      <c r="G184">
        <f t="shared" si="10"/>
        <v>-1.7565224047566033</v>
      </c>
      <c r="I184">
        <f t="shared" si="11"/>
        <v>-1.9011517591883931</v>
      </c>
    </row>
    <row r="185" spans="1:9">
      <c r="A185" t="s">
        <v>20</v>
      </c>
      <c r="B185" s="2">
        <f t="shared" si="8"/>
        <v>10</v>
      </c>
      <c r="C185">
        <v>919</v>
      </c>
      <c r="D185">
        <v>96</v>
      </c>
      <c r="E185">
        <v>74</v>
      </c>
      <c r="F185">
        <f t="shared" si="9"/>
        <v>-1.6280589425469061</v>
      </c>
      <c r="G185">
        <f t="shared" si="10"/>
        <v>-1.7316804435859616</v>
      </c>
      <c r="I185">
        <f t="shared" si="11"/>
        <v>-1.6798696930664339</v>
      </c>
    </row>
    <row r="186" spans="1:9">
      <c r="A186" t="s">
        <v>21</v>
      </c>
      <c r="B186" s="2">
        <f t="shared" si="8"/>
        <v>10</v>
      </c>
      <c r="C186">
        <v>752</v>
      </c>
      <c r="D186">
        <v>33</v>
      </c>
      <c r="E186">
        <v>32</v>
      </c>
      <c r="F186">
        <f t="shared" si="9"/>
        <v>-2.0047185649141177</v>
      </c>
      <c r="G186">
        <f t="shared" si="10"/>
        <v>-2.0086645142025628</v>
      </c>
      <c r="I186">
        <f t="shared" si="11"/>
        <v>-2.0066915395583402</v>
      </c>
    </row>
    <row r="187" spans="1:9">
      <c r="A187" t="s">
        <v>22</v>
      </c>
      <c r="B187" s="2">
        <f t="shared" si="8"/>
        <v>10</v>
      </c>
      <c r="C187">
        <v>394</v>
      </c>
      <c r="D187">
        <v>25</v>
      </c>
      <c r="E187">
        <v>9</v>
      </c>
      <c r="F187">
        <f t="shared" si="9"/>
        <v>-1.8445708773538996</v>
      </c>
      <c r="G187">
        <f t="shared" si="10"/>
        <v>-2.2788503643170754</v>
      </c>
      <c r="I187">
        <f t="shared" si="11"/>
        <v>-2.0617106208354876</v>
      </c>
    </row>
    <row r="188" spans="1:9">
      <c r="A188" t="s">
        <v>23</v>
      </c>
      <c r="B188" s="2">
        <f t="shared" si="8"/>
        <v>10</v>
      </c>
      <c r="C188">
        <v>393</v>
      </c>
      <c r="D188">
        <v>10</v>
      </c>
      <c r="E188">
        <v>4</v>
      </c>
      <c r="F188">
        <f t="shared" si="9"/>
        <v>-2.2414072145757897</v>
      </c>
      <c r="G188">
        <f t="shared" si="10"/>
        <v>-2.6299292109782906</v>
      </c>
      <c r="I188">
        <f t="shared" si="11"/>
        <v>-2.4356682127770402</v>
      </c>
    </row>
    <row r="189" spans="1:9">
      <c r="A189" t="s">
        <v>24</v>
      </c>
      <c r="B189" s="2">
        <f t="shared" si="8"/>
        <v>10</v>
      </c>
      <c r="C189">
        <v>1051</v>
      </c>
      <c r="D189">
        <v>35</v>
      </c>
      <c r="E189">
        <v>44</v>
      </c>
      <c r="F189">
        <f t="shared" si="9"/>
        <v>-2.1245493358783296</v>
      </c>
      <c r="G189">
        <f t="shared" si="10"/>
        <v>-2.0157466914728812</v>
      </c>
      <c r="I189">
        <f t="shared" si="11"/>
        <v>-2.0701480136756052</v>
      </c>
    </row>
    <row r="190" spans="1:9">
      <c r="A190" t="s">
        <v>25</v>
      </c>
      <c r="B190" s="2">
        <f t="shared" si="8"/>
        <v>10</v>
      </c>
      <c r="C190">
        <v>776</v>
      </c>
      <c r="D190">
        <v>225</v>
      </c>
      <c r="E190">
        <v>82</v>
      </c>
      <c r="F190">
        <f t="shared" si="9"/>
        <v>-1.184693867347189</v>
      </c>
      <c r="G190">
        <f t="shared" si="10"/>
        <v>-1.6136445208052983</v>
      </c>
      <c r="I190">
        <f t="shared" si="11"/>
        <v>-1.3991691940762436</v>
      </c>
    </row>
    <row r="191" spans="1:9">
      <c r="A191" t="s">
        <v>7</v>
      </c>
      <c r="B191" s="2">
        <f t="shared" si="8"/>
        <v>11</v>
      </c>
      <c r="C191">
        <v>1568</v>
      </c>
      <c r="D191">
        <v>38</v>
      </c>
      <c r="E191">
        <v>36</v>
      </c>
      <c r="F191">
        <f t="shared" si="9"/>
        <v>-2.2625771259319727</v>
      </c>
      <c r="G191">
        <f t="shared" si="10"/>
        <v>-2.2766402095119589</v>
      </c>
      <c r="I191">
        <f t="shared" si="11"/>
        <v>-2.2696086677219656</v>
      </c>
    </row>
    <row r="192" spans="1:9">
      <c r="A192" t="s">
        <v>8</v>
      </c>
      <c r="B192" s="2">
        <f t="shared" si="8"/>
        <v>11</v>
      </c>
      <c r="C192">
        <v>880</v>
      </c>
      <c r="D192">
        <v>41</v>
      </c>
      <c r="E192">
        <v>29</v>
      </c>
      <c r="F192">
        <f t="shared" si="9"/>
        <v>-1.9787134796307964</v>
      </c>
      <c r="G192">
        <f t="shared" si="10"/>
        <v>-2.1196813261820391</v>
      </c>
      <c r="I192">
        <f t="shared" si="11"/>
        <v>-2.0491974029064179</v>
      </c>
    </row>
    <row r="193" spans="1:9">
      <c r="A193" t="s">
        <v>5</v>
      </c>
      <c r="B193" s="2">
        <f t="shared" si="8"/>
        <v>11</v>
      </c>
      <c r="C193">
        <v>557</v>
      </c>
      <c r="D193">
        <v>27</v>
      </c>
      <c r="E193">
        <v>59</v>
      </c>
      <c r="F193">
        <f t="shared" si="9"/>
        <v>-1.9615060952151047</v>
      </c>
      <c r="G193">
        <f t="shared" si="10"/>
        <v>-1.6125998354624111</v>
      </c>
      <c r="I193">
        <f t="shared" si="11"/>
        <v>-1.7870529653387579</v>
      </c>
    </row>
    <row r="194" spans="1:9">
      <c r="A194" t="s">
        <v>6</v>
      </c>
      <c r="B194" s="2">
        <f t="shared" si="8"/>
        <v>11</v>
      </c>
      <c r="C194">
        <v>807</v>
      </c>
      <c r="D194">
        <v>17</v>
      </c>
      <c r="E194">
        <v>33</v>
      </c>
      <c r="F194">
        <f t="shared" si="9"/>
        <v>-2.3234392775441597</v>
      </c>
      <c r="G194">
        <f t="shared" si="10"/>
        <v>-2.0259562467750092</v>
      </c>
      <c r="I194">
        <f t="shared" si="11"/>
        <v>-2.1746977621595844</v>
      </c>
    </row>
    <row r="195" spans="1:9">
      <c r="A195" t="s">
        <v>10</v>
      </c>
      <c r="B195" s="2">
        <f t="shared" ref="B195:B258" si="12">1+INT((ROW()-2)/21)+1</f>
        <v>11</v>
      </c>
      <c r="C195">
        <v>949</v>
      </c>
      <c r="D195">
        <v>168</v>
      </c>
      <c r="E195">
        <v>307</v>
      </c>
      <c r="F195">
        <f t="shared" ref="F195:F258" si="13">LOG10(D195/C195)-LOG10(359588/81057)</f>
        <v>-1.3989715949017929</v>
      </c>
      <c r="G195">
        <f t="shared" ref="G195:G258" si="14">LOG10(E195/C195)-LOG10(351874/81057)</f>
        <v>-1.1277244888809328</v>
      </c>
      <c r="I195">
        <f t="shared" ref="I195:I258" si="15">AVERAGE(F195:G195)</f>
        <v>-1.263348041891363</v>
      </c>
    </row>
    <row r="196" spans="1:9">
      <c r="A196" t="s">
        <v>11</v>
      </c>
      <c r="B196" s="2">
        <f t="shared" si="12"/>
        <v>11</v>
      </c>
      <c r="C196">
        <v>497</v>
      </c>
      <c r="D196">
        <v>61</v>
      </c>
      <c r="E196">
        <v>62</v>
      </c>
      <c r="F196">
        <f t="shared" si="13"/>
        <v>-1.5580412179229284</v>
      </c>
      <c r="G196">
        <f t="shared" si="14"/>
        <v>-1.5415613511659048</v>
      </c>
      <c r="I196">
        <f t="shared" si="15"/>
        <v>-1.5498012845444165</v>
      </c>
    </row>
    <row r="197" spans="1:9">
      <c r="A197" t="s">
        <v>12</v>
      </c>
      <c r="B197" s="2">
        <f t="shared" si="12"/>
        <v>11</v>
      </c>
      <c r="C197">
        <v>571</v>
      </c>
      <c r="D197">
        <v>30</v>
      </c>
      <c r="E197">
        <v>8</v>
      </c>
      <c r="F197">
        <f t="shared" si="13"/>
        <v>-1.9265295177265487</v>
      </c>
      <c r="G197">
        <f t="shared" si="14"/>
        <v>-2.4911427731847309</v>
      </c>
      <c r="I197">
        <f t="shared" si="15"/>
        <v>-2.2088361454556398</v>
      </c>
    </row>
    <row r="198" spans="1:9">
      <c r="A198" t="s">
        <v>9</v>
      </c>
      <c r="B198" s="2">
        <f t="shared" si="12"/>
        <v>11</v>
      </c>
      <c r="C198">
        <v>572</v>
      </c>
      <c r="D198">
        <v>10</v>
      </c>
      <c r="E198">
        <v>111</v>
      </c>
      <c r="F198">
        <f t="shared" si="13"/>
        <v>-2.4044106929933875</v>
      </c>
      <c r="G198">
        <f t="shared" si="14"/>
        <v>-1.3496697019371933</v>
      </c>
      <c r="I198">
        <f t="shared" si="15"/>
        <v>-1.8770401974652904</v>
      </c>
    </row>
    <row r="199" spans="1:9">
      <c r="A199" t="s">
        <v>13</v>
      </c>
      <c r="B199" s="2">
        <f t="shared" si="12"/>
        <v>11</v>
      </c>
      <c r="C199">
        <v>541</v>
      </c>
      <c r="D199">
        <v>9</v>
      </c>
      <c r="E199">
        <v>3</v>
      </c>
      <c r="F199">
        <f t="shared" si="13"/>
        <v>-2.4259694198676076</v>
      </c>
      <c r="G199">
        <f t="shared" si="14"/>
        <v>-2.8936726623177336</v>
      </c>
      <c r="I199">
        <f t="shared" si="15"/>
        <v>-2.6598210410926706</v>
      </c>
    </row>
    <row r="200" spans="1:9">
      <c r="A200" t="s">
        <v>14</v>
      </c>
      <c r="B200" s="2">
        <f t="shared" si="12"/>
        <v>11</v>
      </c>
      <c r="C200">
        <v>477</v>
      </c>
      <c r="D200">
        <v>100</v>
      </c>
      <c r="E200">
        <v>70</v>
      </c>
      <c r="F200">
        <f t="shared" si="13"/>
        <v>-1.325533043240477</v>
      </c>
      <c r="G200">
        <f t="shared" si="14"/>
        <v>-1.4710169909566835</v>
      </c>
      <c r="I200">
        <f t="shared" si="15"/>
        <v>-1.3982750170985803</v>
      </c>
    </row>
    <row r="201" spans="1:9">
      <c r="A201" t="s">
        <v>15</v>
      </c>
      <c r="B201" s="2">
        <f t="shared" si="12"/>
        <v>11</v>
      </c>
      <c r="C201">
        <v>1068</v>
      </c>
      <c r="D201">
        <v>540</v>
      </c>
      <c r="E201">
        <v>443</v>
      </c>
      <c r="F201">
        <f t="shared" si="13"/>
        <v>-0.9431921570699322</v>
      </c>
      <c r="G201">
        <f t="shared" si="14"/>
        <v>-1.0197641784002944</v>
      </c>
      <c r="I201">
        <f t="shared" si="15"/>
        <v>-0.98147816773511332</v>
      </c>
    </row>
    <row r="202" spans="1:9">
      <c r="A202" t="s">
        <v>16</v>
      </c>
      <c r="B202" s="2">
        <f t="shared" si="12"/>
        <v>11</v>
      </c>
      <c r="C202">
        <v>852</v>
      </c>
      <c r="D202">
        <v>13</v>
      </c>
      <c r="E202">
        <v>15</v>
      </c>
      <c r="F202">
        <f t="shared" si="13"/>
        <v>-2.4635109066602263</v>
      </c>
      <c r="G202">
        <f t="shared" si="14"/>
        <v>-2.3919449876418453</v>
      </c>
      <c r="I202">
        <f t="shared" si="15"/>
        <v>-2.4277279471510358</v>
      </c>
    </row>
    <row r="203" spans="1:9">
      <c r="A203" t="s">
        <v>17</v>
      </c>
      <c r="B203" s="2">
        <f t="shared" si="12"/>
        <v>11</v>
      </c>
      <c r="C203">
        <v>662</v>
      </c>
      <c r="D203">
        <v>370</v>
      </c>
      <c r="E203">
        <v>490</v>
      </c>
      <c r="F203">
        <f t="shared" si="13"/>
        <v>-0.89967092957306805</v>
      </c>
      <c r="G203">
        <f t="shared" si="14"/>
        <v>-0.76825856134201276</v>
      </c>
      <c r="I203">
        <f t="shared" si="15"/>
        <v>-0.8339647454575404</v>
      </c>
    </row>
    <row r="204" spans="1:9">
      <c r="A204" t="s">
        <v>18</v>
      </c>
      <c r="B204" s="2">
        <f t="shared" si="12"/>
        <v>11</v>
      </c>
      <c r="C204">
        <v>893</v>
      </c>
      <c r="D204">
        <v>193</v>
      </c>
      <c r="E204">
        <v>244</v>
      </c>
      <c r="F204">
        <f t="shared" si="13"/>
        <v>-1.3123088140811356</v>
      </c>
      <c r="G204">
        <f t="shared" si="14"/>
        <v>-1.2010582844806437</v>
      </c>
      <c r="I204">
        <f t="shared" si="15"/>
        <v>-1.2566835492808897</v>
      </c>
    </row>
    <row r="205" spans="1:9">
      <c r="A205" t="s">
        <v>19</v>
      </c>
      <c r="B205" s="2">
        <f t="shared" si="12"/>
        <v>11</v>
      </c>
      <c r="C205">
        <v>660</v>
      </c>
      <c r="D205">
        <v>145</v>
      </c>
      <c r="E205">
        <v>77</v>
      </c>
      <c r="F205">
        <f t="shared" si="13"/>
        <v>-1.3051905975072571</v>
      </c>
      <c r="G205">
        <f t="shared" si="14"/>
        <v>-1.5706498623002134</v>
      </c>
      <c r="I205">
        <f t="shared" si="15"/>
        <v>-1.4379202299037352</v>
      </c>
    </row>
    <row r="206" spans="1:9">
      <c r="A206" t="s">
        <v>20</v>
      </c>
      <c r="B206" s="2">
        <f t="shared" si="12"/>
        <v>11</v>
      </c>
      <c r="C206">
        <v>478</v>
      </c>
      <c r="D206">
        <v>39</v>
      </c>
      <c r="E206">
        <v>35</v>
      </c>
      <c r="F206">
        <f t="shared" si="13"/>
        <v>-1.7353779537859828</v>
      </c>
      <c r="G206">
        <f t="shared" si="14"/>
        <v>-1.7729565041926698</v>
      </c>
      <c r="I206">
        <f t="shared" si="15"/>
        <v>-1.7541672289893264</v>
      </c>
    </row>
    <row r="207" spans="1:9">
      <c r="A207" t="s">
        <v>21</v>
      </c>
      <c r="B207" s="2">
        <f t="shared" si="12"/>
        <v>11</v>
      </c>
      <c r="C207">
        <v>806</v>
      </c>
      <c r="D207">
        <v>2393</v>
      </c>
      <c r="E207">
        <v>5912</v>
      </c>
      <c r="F207">
        <f t="shared" si="13"/>
        <v>-0.17440700739201642</v>
      </c>
      <c r="G207">
        <f t="shared" si="14"/>
        <v>0.22780273165085219</v>
      </c>
      <c r="I207">
        <f t="shared" si="15"/>
        <v>2.6697862129417882E-2</v>
      </c>
    </row>
    <row r="208" spans="1:9">
      <c r="A208" t="s">
        <v>22</v>
      </c>
      <c r="B208" s="2">
        <f t="shared" si="12"/>
        <v>11</v>
      </c>
      <c r="C208">
        <v>597</v>
      </c>
      <c r="D208">
        <v>140</v>
      </c>
      <c r="E208">
        <v>171</v>
      </c>
      <c r="F208">
        <f t="shared" si="13"/>
        <v>-1.2768609596514942</v>
      </c>
      <c r="G208">
        <f t="shared" si="14"/>
        <v>-1.1805748726680418</v>
      </c>
      <c r="I208">
        <f t="shared" si="15"/>
        <v>-1.2287179161597681</v>
      </c>
    </row>
    <row r="209" spans="1:9">
      <c r="A209" t="s">
        <v>23</v>
      </c>
      <c r="B209" s="2">
        <f t="shared" si="12"/>
        <v>11</v>
      </c>
      <c r="C209">
        <v>81057</v>
      </c>
      <c r="D209">
        <v>359588</v>
      </c>
      <c r="E209">
        <v>351874</v>
      </c>
      <c r="F209">
        <f t="shared" si="13"/>
        <v>0</v>
      </c>
      <c r="G209">
        <f t="shared" si="14"/>
        <v>0</v>
      </c>
      <c r="I209">
        <f t="shared" si="15"/>
        <v>0</v>
      </c>
    </row>
    <row r="210" spans="1:9">
      <c r="A210" t="s">
        <v>24</v>
      </c>
      <c r="B210" s="2">
        <f t="shared" si="12"/>
        <v>11</v>
      </c>
      <c r="C210">
        <v>1369</v>
      </c>
      <c r="D210">
        <v>26266</v>
      </c>
      <c r="E210">
        <v>39408</v>
      </c>
      <c r="F210">
        <f t="shared" si="13"/>
        <v>0.63597582759306892</v>
      </c>
      <c r="G210">
        <f t="shared" si="14"/>
        <v>0.82158429443021141</v>
      </c>
      <c r="I210">
        <f t="shared" si="15"/>
        <v>0.72878006101164017</v>
      </c>
    </row>
    <row r="211" spans="1:9">
      <c r="A211" t="s">
        <v>25</v>
      </c>
      <c r="B211" s="2">
        <f t="shared" si="12"/>
        <v>11</v>
      </c>
      <c r="C211">
        <v>1379</v>
      </c>
      <c r="D211">
        <v>48</v>
      </c>
      <c r="E211">
        <v>43</v>
      </c>
      <c r="F211">
        <f t="shared" si="13"/>
        <v>-2.1053376930006258</v>
      </c>
      <c r="G211">
        <f t="shared" si="14"/>
        <v>-2.1436924625270897</v>
      </c>
      <c r="I211">
        <f t="shared" si="15"/>
        <v>-2.1245150777638577</v>
      </c>
    </row>
    <row r="212" spans="1:9">
      <c r="A212" t="s">
        <v>7</v>
      </c>
      <c r="B212" s="2">
        <f t="shared" si="12"/>
        <v>12</v>
      </c>
      <c r="C212">
        <v>81057</v>
      </c>
      <c r="D212">
        <v>359588</v>
      </c>
      <c r="E212">
        <v>351874</v>
      </c>
      <c r="F212">
        <f t="shared" si="13"/>
        <v>0</v>
      </c>
      <c r="G212">
        <f t="shared" si="14"/>
        <v>0</v>
      </c>
      <c r="I212">
        <f t="shared" si="15"/>
        <v>0</v>
      </c>
    </row>
    <row r="213" spans="1:9">
      <c r="A213" t="s">
        <v>8</v>
      </c>
      <c r="B213" s="2">
        <f t="shared" si="12"/>
        <v>12</v>
      </c>
      <c r="C213">
        <v>529</v>
      </c>
      <c r="D213">
        <v>3055</v>
      </c>
      <c r="E213">
        <v>3092</v>
      </c>
      <c r="F213">
        <f t="shared" si="13"/>
        <v>0.11454087834302418</v>
      </c>
      <c r="G213">
        <f t="shared" si="14"/>
        <v>0.12918716128027508</v>
      </c>
      <c r="I213">
        <f t="shared" si="15"/>
        <v>0.12186401981164963</v>
      </c>
    </row>
    <row r="214" spans="1:9">
      <c r="A214" t="s">
        <v>5</v>
      </c>
      <c r="B214" s="2">
        <f t="shared" si="12"/>
        <v>12</v>
      </c>
      <c r="C214">
        <v>537</v>
      </c>
      <c r="D214">
        <v>87</v>
      </c>
      <c r="E214">
        <v>55</v>
      </c>
      <c r="F214">
        <f t="shared" si="13"/>
        <v>-1.4374696972813004</v>
      </c>
      <c r="G214">
        <f t="shared" si="14"/>
        <v>-1.6272082481361383</v>
      </c>
      <c r="I214">
        <f t="shared" si="15"/>
        <v>-1.5323389727087193</v>
      </c>
    </row>
    <row r="215" spans="1:9">
      <c r="A215" t="s">
        <v>6</v>
      </c>
      <c r="B215" s="2">
        <f t="shared" si="12"/>
        <v>12</v>
      </c>
      <c r="C215">
        <v>1055</v>
      </c>
      <c r="D215">
        <v>12</v>
      </c>
      <c r="E215">
        <v>14</v>
      </c>
      <c r="F215">
        <f t="shared" si="13"/>
        <v>-2.5910858777864498</v>
      </c>
      <c r="G215">
        <f t="shared" si="14"/>
        <v>-2.5147210758862997</v>
      </c>
      <c r="I215">
        <f t="shared" si="15"/>
        <v>-2.5529034768363745</v>
      </c>
    </row>
    <row r="216" spans="1:9">
      <c r="A216" t="s">
        <v>10</v>
      </c>
      <c r="B216" s="2">
        <f t="shared" si="12"/>
        <v>12</v>
      </c>
      <c r="C216">
        <v>868</v>
      </c>
      <c r="D216">
        <v>38</v>
      </c>
      <c r="E216">
        <v>31</v>
      </c>
      <c r="F216">
        <f t="shared" si="13"/>
        <v>-2.0057507927600451</v>
      </c>
      <c r="G216">
        <f t="shared" si="14"/>
        <v>-2.0847546832730455</v>
      </c>
      <c r="I216">
        <f t="shared" si="15"/>
        <v>-2.0452527380165453</v>
      </c>
    </row>
    <row r="217" spans="1:9">
      <c r="A217" t="s">
        <v>11</v>
      </c>
      <c r="B217" s="2">
        <f t="shared" si="12"/>
        <v>12</v>
      </c>
      <c r="C217">
        <v>1065</v>
      </c>
      <c r="D217">
        <v>292</v>
      </c>
      <c r="E217">
        <v>76</v>
      </c>
      <c r="F217">
        <f t="shared" si="13"/>
        <v>-1.2089814205267013</v>
      </c>
      <c r="G217">
        <f t="shared" si="14"/>
        <v>-1.7841326674247917</v>
      </c>
      <c r="I217">
        <f t="shared" si="15"/>
        <v>-1.4965570439757465</v>
      </c>
    </row>
    <row r="218" spans="1:9">
      <c r="A218" t="s">
        <v>12</v>
      </c>
      <c r="B218" s="2">
        <f t="shared" si="12"/>
        <v>12</v>
      </c>
      <c r="C218">
        <v>943</v>
      </c>
      <c r="D218">
        <v>100</v>
      </c>
      <c r="E218">
        <v>81</v>
      </c>
      <c r="F218">
        <f t="shared" si="13"/>
        <v>-1.6215263569376916</v>
      </c>
      <c r="G218">
        <f t="shared" si="14"/>
        <v>-1.703623325789505</v>
      </c>
      <c r="I218">
        <f t="shared" si="15"/>
        <v>-1.6625748413635983</v>
      </c>
    </row>
    <row r="219" spans="1:9">
      <c r="A219" t="s">
        <v>9</v>
      </c>
      <c r="B219" s="2">
        <f t="shared" si="12"/>
        <v>12</v>
      </c>
      <c r="C219">
        <v>482</v>
      </c>
      <c r="D219">
        <v>101</v>
      </c>
      <c r="E219">
        <v>175</v>
      </c>
      <c r="F219">
        <f t="shared" si="13"/>
        <v>-1.3257403286565701</v>
      </c>
      <c r="G219">
        <f t="shared" si="14"/>
        <v>-1.0776056414833817</v>
      </c>
      <c r="I219">
        <f t="shared" si="15"/>
        <v>-1.2016729850699759</v>
      </c>
    </row>
    <row r="220" spans="1:9">
      <c r="A220" t="s">
        <v>13</v>
      </c>
      <c r="B220" s="2">
        <f t="shared" si="12"/>
        <v>12</v>
      </c>
      <c r="C220">
        <v>1047</v>
      </c>
      <c r="D220">
        <v>25</v>
      </c>
      <c r="E220">
        <v>13</v>
      </c>
      <c r="F220">
        <f t="shared" si="13"/>
        <v>-2.2690213372071679</v>
      </c>
      <c r="G220">
        <f t="shared" si="14"/>
        <v>-2.5435999813028323</v>
      </c>
      <c r="I220">
        <f t="shared" si="15"/>
        <v>-2.4063106592550003</v>
      </c>
    </row>
    <row r="221" spans="1:9">
      <c r="A221" t="s">
        <v>14</v>
      </c>
      <c r="B221" s="2">
        <f t="shared" si="12"/>
        <v>12</v>
      </c>
      <c r="C221">
        <v>890</v>
      </c>
      <c r="D221">
        <v>10</v>
      </c>
      <c r="E221">
        <v>40</v>
      </c>
      <c r="F221">
        <f t="shared" si="13"/>
        <v>-2.5964046708452759</v>
      </c>
      <c r="G221">
        <f t="shared" si="14"/>
        <v>-1.984926667247777</v>
      </c>
      <c r="I221">
        <f t="shared" si="15"/>
        <v>-2.2906656690465264</v>
      </c>
    </row>
    <row r="222" spans="1:9">
      <c r="A222" t="s">
        <v>15</v>
      </c>
      <c r="B222" s="2">
        <f t="shared" si="12"/>
        <v>12</v>
      </c>
      <c r="C222">
        <v>454</v>
      </c>
      <c r="D222">
        <v>45</v>
      </c>
      <c r="E222">
        <v>34</v>
      </c>
      <c r="F222">
        <f t="shared" si="13"/>
        <v>-1.6508580032821234</v>
      </c>
      <c r="G222">
        <f t="shared" si="14"/>
        <v>-1.7631735877456753</v>
      </c>
      <c r="I222">
        <f t="shared" si="15"/>
        <v>-1.7070157955138994</v>
      </c>
    </row>
    <row r="223" spans="1:9">
      <c r="A223" t="s">
        <v>16</v>
      </c>
      <c r="B223" s="2">
        <f t="shared" si="12"/>
        <v>12</v>
      </c>
      <c r="C223">
        <v>1025</v>
      </c>
      <c r="D223">
        <v>26</v>
      </c>
      <c r="E223">
        <v>21</v>
      </c>
      <c r="F223">
        <f t="shared" si="13"/>
        <v>-2.2427651816213183</v>
      </c>
      <c r="G223">
        <f t="shared" si="14"/>
        <v>-2.3261012225886804</v>
      </c>
      <c r="I223">
        <f t="shared" si="15"/>
        <v>-2.2844332021049993</v>
      </c>
    </row>
    <row r="224" spans="1:9">
      <c r="A224" t="s">
        <v>17</v>
      </c>
      <c r="B224" s="2">
        <f t="shared" si="12"/>
        <v>12</v>
      </c>
      <c r="C224">
        <v>702</v>
      </c>
      <c r="D224">
        <v>33</v>
      </c>
      <c r="E224">
        <v>22</v>
      </c>
      <c r="F224">
        <f t="shared" si="13"/>
        <v>-1.9748378364522809</v>
      </c>
      <c r="G224">
        <f t="shared" si="14"/>
        <v>-2.1415110832384254</v>
      </c>
      <c r="I224">
        <f t="shared" si="15"/>
        <v>-2.0581744598453531</v>
      </c>
    </row>
    <row r="225" spans="1:9">
      <c r="A225" t="s">
        <v>18</v>
      </c>
      <c r="B225" s="2">
        <f t="shared" si="12"/>
        <v>12</v>
      </c>
      <c r="C225">
        <v>970</v>
      </c>
      <c r="D225">
        <v>32</v>
      </c>
      <c r="E225">
        <v>25</v>
      </c>
      <c r="F225">
        <f t="shared" si="13"/>
        <v>-2.1286364201467021</v>
      </c>
      <c r="G225">
        <f t="shared" si="14"/>
        <v>-2.2264283775250338</v>
      </c>
      <c r="I225">
        <f t="shared" si="15"/>
        <v>-2.1775323988358677</v>
      </c>
    </row>
    <row r="226" spans="1:9">
      <c r="A226" t="s">
        <v>19</v>
      </c>
      <c r="B226" s="2">
        <f t="shared" si="12"/>
        <v>12</v>
      </c>
      <c r="C226">
        <v>797</v>
      </c>
      <c r="D226">
        <v>11</v>
      </c>
      <c r="E226">
        <v>14</v>
      </c>
      <c r="F226">
        <f t="shared" si="13"/>
        <v>-2.5070803004382505</v>
      </c>
      <c r="G226">
        <f t="shared" si="14"/>
        <v>-2.392926937648701</v>
      </c>
      <c r="I226">
        <f t="shared" si="15"/>
        <v>-2.4500036190434757</v>
      </c>
    </row>
    <row r="227" spans="1:9">
      <c r="A227" t="s">
        <v>20</v>
      </c>
      <c r="B227" s="2">
        <f t="shared" si="12"/>
        <v>12</v>
      </c>
      <c r="C227">
        <v>564</v>
      </c>
      <c r="D227">
        <v>31</v>
      </c>
      <c r="E227">
        <v>31</v>
      </c>
      <c r="F227">
        <f t="shared" si="13"/>
        <v>-1.9069320743494327</v>
      </c>
      <c r="G227">
        <f t="shared" si="14"/>
        <v>-1.897514062079896</v>
      </c>
      <c r="I227">
        <f t="shared" si="15"/>
        <v>-1.9022230682146644</v>
      </c>
    </row>
    <row r="228" spans="1:9">
      <c r="A228" t="s">
        <v>21</v>
      </c>
      <c r="B228" s="2">
        <f t="shared" si="12"/>
        <v>12</v>
      </c>
      <c r="C228">
        <v>1258</v>
      </c>
      <c r="D228">
        <v>14</v>
      </c>
      <c r="E228">
        <v>18</v>
      </c>
      <c r="F228">
        <f t="shared" si="13"/>
        <v>-2.6005672696313753</v>
      </c>
      <c r="G228">
        <f t="shared" si="14"/>
        <v>-2.4820047879367708</v>
      </c>
      <c r="I228">
        <f t="shared" si="15"/>
        <v>-2.5412860287840733</v>
      </c>
    </row>
    <row r="229" spans="1:9">
      <c r="A229" t="s">
        <v>22</v>
      </c>
      <c r="B229" s="2">
        <f t="shared" si="12"/>
        <v>12</v>
      </c>
      <c r="C229">
        <v>559</v>
      </c>
      <c r="D229">
        <v>5</v>
      </c>
      <c r="E229">
        <v>8</v>
      </c>
      <c r="F229">
        <f t="shared" si="13"/>
        <v>-2.6954564677507675</v>
      </c>
      <c r="G229">
        <f t="shared" si="14"/>
        <v>-2.4819184728253063</v>
      </c>
      <c r="I229">
        <f t="shared" si="15"/>
        <v>-2.5886874702880371</v>
      </c>
    </row>
    <row r="230" spans="1:9">
      <c r="A230" t="s">
        <v>23</v>
      </c>
      <c r="B230" s="2">
        <f t="shared" si="12"/>
        <v>12</v>
      </c>
      <c r="C230">
        <v>931</v>
      </c>
      <c r="D230">
        <v>42</v>
      </c>
      <c r="E230">
        <v>21</v>
      </c>
      <c r="F230">
        <f t="shared" si="13"/>
        <v>-1.9927150547838053</v>
      </c>
      <c r="G230">
        <f t="shared" si="14"/>
        <v>-2.2843270381782501</v>
      </c>
      <c r="I230">
        <f t="shared" si="15"/>
        <v>-2.1385210464810278</v>
      </c>
    </row>
    <row r="231" spans="1:9">
      <c r="A231" t="s">
        <v>24</v>
      </c>
      <c r="B231" s="2">
        <f t="shared" si="12"/>
        <v>12</v>
      </c>
      <c r="C231">
        <v>952</v>
      </c>
      <c r="D231">
        <v>85</v>
      </c>
      <c r="E231">
        <v>63</v>
      </c>
      <c r="F231">
        <f t="shared" si="13"/>
        <v>-1.6962326868705446</v>
      </c>
      <c r="G231">
        <f t="shared" si="14"/>
        <v>-1.8168930508617191</v>
      </c>
      <c r="I231">
        <f t="shared" si="15"/>
        <v>-1.7565628688661319</v>
      </c>
    </row>
    <row r="232" spans="1:9">
      <c r="A232" t="s">
        <v>25</v>
      </c>
      <c r="B232" s="2">
        <f t="shared" si="12"/>
        <v>12</v>
      </c>
      <c r="C232">
        <v>965</v>
      </c>
      <c r="D232">
        <v>193</v>
      </c>
      <c r="E232">
        <v>148</v>
      </c>
      <c r="F232">
        <f t="shared" si="13"/>
        <v>-1.3459846685363819</v>
      </c>
      <c r="G232">
        <f t="shared" si="14"/>
        <v>-1.4518622498796616</v>
      </c>
      <c r="I232">
        <f t="shared" si="15"/>
        <v>-1.3989234592080217</v>
      </c>
    </row>
    <row r="233" spans="1:9">
      <c r="A233" t="s">
        <v>7</v>
      </c>
      <c r="B233" s="2">
        <f t="shared" si="12"/>
        <v>13</v>
      </c>
      <c r="C233">
        <v>397</v>
      </c>
      <c r="D233">
        <v>13</v>
      </c>
      <c r="E233">
        <v>13</v>
      </c>
      <c r="F233">
        <f t="shared" si="13"/>
        <v>-2.1318618186566414</v>
      </c>
      <c r="G233">
        <f t="shared" si="14"/>
        <v>-2.1224438063871047</v>
      </c>
      <c r="I233">
        <f t="shared" si="15"/>
        <v>-2.127152812521873</v>
      </c>
    </row>
    <row r="234" spans="1:9">
      <c r="A234" t="s">
        <v>8</v>
      </c>
      <c r="B234" s="2">
        <f t="shared" si="12"/>
        <v>13</v>
      </c>
      <c r="C234">
        <v>458</v>
      </c>
      <c r="D234">
        <v>78</v>
      </c>
      <c r="E234">
        <v>44</v>
      </c>
      <c r="F234">
        <f t="shared" si="13"/>
        <v>-1.415785539513752</v>
      </c>
      <c r="G234">
        <f t="shared" si="14"/>
        <v>-1.6550094534485082</v>
      </c>
      <c r="I234">
        <f t="shared" si="15"/>
        <v>-1.5353974964811301</v>
      </c>
    </row>
    <row r="235" spans="1:9">
      <c r="A235" t="s">
        <v>5</v>
      </c>
      <c r="B235" s="2">
        <f t="shared" si="12"/>
        <v>13</v>
      </c>
      <c r="C235">
        <v>485</v>
      </c>
      <c r="D235">
        <v>90</v>
      </c>
      <c r="E235">
        <v>118</v>
      </c>
      <c r="F235">
        <f t="shared" si="13"/>
        <v>-1.3785138933633019</v>
      </c>
      <c r="G235">
        <f t="shared" si="14"/>
        <v>-1.2514563832269647</v>
      </c>
      <c r="I235">
        <f t="shared" si="15"/>
        <v>-1.3149851382951332</v>
      </c>
    </row>
    <row r="236" spans="1:9">
      <c r="A236" t="s">
        <v>6</v>
      </c>
      <c r="B236" s="2">
        <f t="shared" si="12"/>
        <v>13</v>
      </c>
      <c r="C236">
        <v>965</v>
      </c>
      <c r="D236">
        <v>19</v>
      </c>
      <c r="E236">
        <v>14</v>
      </c>
      <c r="F236">
        <f t="shared" si="13"/>
        <v>-2.3527883765913264</v>
      </c>
      <c r="G236">
        <f t="shared" si="14"/>
        <v>-2.4759959295963809</v>
      </c>
      <c r="I236">
        <f t="shared" si="15"/>
        <v>-2.4143921530938535</v>
      </c>
    </row>
    <row r="237" spans="1:9">
      <c r="A237" t="s">
        <v>10</v>
      </c>
      <c r="B237" s="2">
        <f t="shared" si="12"/>
        <v>13</v>
      </c>
      <c r="C237">
        <v>548</v>
      </c>
      <c r="D237">
        <v>4453</v>
      </c>
      <c r="E237">
        <v>381</v>
      </c>
      <c r="F237">
        <f t="shared" si="13"/>
        <v>0.2628574724464906</v>
      </c>
      <c r="G237">
        <f t="shared" si="14"/>
        <v>-0.79545223473957627</v>
      </c>
      <c r="I237">
        <f t="shared" si="15"/>
        <v>-0.26629738114654283</v>
      </c>
    </row>
    <row r="238" spans="1:9">
      <c r="A238" t="s">
        <v>11</v>
      </c>
      <c r="B238" s="2">
        <f t="shared" si="12"/>
        <v>13</v>
      </c>
      <c r="C238">
        <v>602</v>
      </c>
      <c r="D238">
        <v>43</v>
      </c>
      <c r="E238">
        <v>23</v>
      </c>
      <c r="F238">
        <f t="shared" si="13"/>
        <v>-1.7931426998786011</v>
      </c>
      <c r="G238">
        <f t="shared" si="14"/>
        <v>-2.0554653071710582</v>
      </c>
      <c r="I238">
        <f t="shared" si="15"/>
        <v>-1.9243040035248296</v>
      </c>
    </row>
    <row r="239" spans="1:9">
      <c r="A239" t="s">
        <v>12</v>
      </c>
      <c r="B239" s="2">
        <f t="shared" si="12"/>
        <v>13</v>
      </c>
      <c r="C239">
        <v>889</v>
      </c>
      <c r="D239">
        <v>67518</v>
      </c>
      <c r="E239">
        <v>58868</v>
      </c>
      <c r="F239">
        <f t="shared" si="13"/>
        <v>1.2335031440834521</v>
      </c>
      <c r="G239">
        <f t="shared" si="14"/>
        <v>1.1833808683040539</v>
      </c>
      <c r="I239">
        <f t="shared" si="15"/>
        <v>1.2084420061937529</v>
      </c>
    </row>
    <row r="240" spans="1:9">
      <c r="A240" t="s">
        <v>9</v>
      </c>
      <c r="B240" s="2">
        <f t="shared" si="12"/>
        <v>13</v>
      </c>
      <c r="C240">
        <v>24</v>
      </c>
      <c r="D240">
        <v>69</v>
      </c>
      <c r="E240">
        <v>104</v>
      </c>
      <c r="F240">
        <f t="shared" si="13"/>
        <v>-0.18837681517471383</v>
      </c>
      <c r="G240">
        <f t="shared" si="14"/>
        <v>-7.7455434365214515E-4</v>
      </c>
      <c r="I240">
        <f t="shared" si="15"/>
        <v>-9.4575684759182987E-2</v>
      </c>
    </row>
    <row r="241" spans="1:9">
      <c r="A241" t="s">
        <v>13</v>
      </c>
      <c r="B241" s="2">
        <f t="shared" si="12"/>
        <v>13</v>
      </c>
      <c r="C241">
        <v>579</v>
      </c>
      <c r="D241">
        <v>3174</v>
      </c>
      <c r="E241">
        <v>7004</v>
      </c>
      <c r="F241">
        <f t="shared" si="13"/>
        <v>9.191369449103004E-2</v>
      </c>
      <c r="G241">
        <f t="shared" si="14"/>
        <v>0.44507092175314589</v>
      </c>
      <c r="I241">
        <f t="shared" si="15"/>
        <v>0.26849230812208796</v>
      </c>
    </row>
    <row r="242" spans="1:9">
      <c r="A242" t="s">
        <v>14</v>
      </c>
      <c r="B242" s="2">
        <f t="shared" si="12"/>
        <v>13</v>
      </c>
      <c r="C242">
        <v>727</v>
      </c>
      <c r="D242">
        <v>400</v>
      </c>
      <c r="E242">
        <v>570</v>
      </c>
      <c r="F242">
        <f t="shared" si="13"/>
        <v>-0.90648908373143855</v>
      </c>
      <c r="G242">
        <f t="shared" si="14"/>
        <v>-0.74325620711737295</v>
      </c>
      <c r="I242">
        <f t="shared" si="15"/>
        <v>-0.82487264542440575</v>
      </c>
    </row>
    <row r="243" spans="1:9">
      <c r="A243" t="s">
        <v>15</v>
      </c>
      <c r="B243" s="2">
        <f t="shared" si="12"/>
        <v>13</v>
      </c>
      <c r="C243">
        <v>731</v>
      </c>
      <c r="D243">
        <v>1088</v>
      </c>
      <c r="E243">
        <v>635</v>
      </c>
      <c r="F243">
        <f t="shared" si="13"/>
        <v>-0.47430314579606248</v>
      </c>
      <c r="G243">
        <f t="shared" si="14"/>
        <v>-0.69874030359671124</v>
      </c>
      <c r="I243">
        <f t="shared" si="15"/>
        <v>-0.58652172469638686</v>
      </c>
    </row>
    <row r="244" spans="1:9">
      <c r="A244" t="s">
        <v>16</v>
      </c>
      <c r="B244" s="2">
        <f t="shared" si="12"/>
        <v>13</v>
      </c>
      <c r="C244">
        <v>962</v>
      </c>
      <c r="D244">
        <v>89</v>
      </c>
      <c r="E244">
        <v>22</v>
      </c>
      <c r="F244">
        <f t="shared" si="13"/>
        <v>-1.6807997295932633</v>
      </c>
      <c r="G244">
        <f t="shared" si="14"/>
        <v>-2.2783490431464335</v>
      </c>
      <c r="I244">
        <f t="shared" si="15"/>
        <v>-1.9795743863698485</v>
      </c>
    </row>
    <row r="245" spans="1:9">
      <c r="A245" t="s">
        <v>17</v>
      </c>
      <c r="B245" s="2">
        <f t="shared" si="12"/>
        <v>13</v>
      </c>
      <c r="C245">
        <v>1188</v>
      </c>
      <c r="D245">
        <v>2963</v>
      </c>
      <c r="E245">
        <v>7534</v>
      </c>
      <c r="F245">
        <f t="shared" si="13"/>
        <v>-0.25009945336548683</v>
      </c>
      <c r="G245">
        <f t="shared" si="14"/>
        <v>0.16461252329124765</v>
      </c>
      <c r="I245">
        <f t="shared" si="15"/>
        <v>-4.2743465037119593E-2</v>
      </c>
    </row>
    <row r="246" spans="1:9">
      <c r="A246" t="s">
        <v>18</v>
      </c>
      <c r="B246" s="2">
        <f t="shared" si="12"/>
        <v>13</v>
      </c>
      <c r="C246">
        <v>829</v>
      </c>
      <c r="D246">
        <v>152</v>
      </c>
      <c r="E246">
        <v>127</v>
      </c>
      <c r="F246">
        <f t="shared" si="13"/>
        <v>-1.3837256068058643</v>
      </c>
      <c r="G246">
        <f t="shared" si="14"/>
        <v>-1.452347461525143</v>
      </c>
      <c r="I246">
        <f t="shared" si="15"/>
        <v>-1.4180365341655037</v>
      </c>
    </row>
    <row r="247" spans="1:9">
      <c r="A247" t="s">
        <v>19</v>
      </c>
      <c r="B247" s="2">
        <f t="shared" si="12"/>
        <v>13</v>
      </c>
      <c r="C247">
        <v>942</v>
      </c>
      <c r="D247">
        <v>201</v>
      </c>
      <c r="E247">
        <v>258</v>
      </c>
      <c r="F247">
        <f t="shared" si="13"/>
        <v>-1.3178695095727515</v>
      </c>
      <c r="G247">
        <f t="shared" si="14"/>
        <v>-1.2000278487604739</v>
      </c>
      <c r="I247">
        <f t="shared" si="15"/>
        <v>-1.2589486791666127</v>
      </c>
    </row>
    <row r="248" spans="1:9">
      <c r="A248" t="s">
        <v>20</v>
      </c>
      <c r="B248" s="2">
        <f t="shared" si="12"/>
        <v>13</v>
      </c>
      <c r="C248">
        <v>1002</v>
      </c>
      <c r="D248">
        <v>20</v>
      </c>
      <c r="E248">
        <v>16</v>
      </c>
      <c r="F248">
        <f t="shared" si="13"/>
        <v>-2.3468523900676086</v>
      </c>
      <c r="G248">
        <f t="shared" si="14"/>
        <v>-2.4343443908061286</v>
      </c>
      <c r="I248">
        <f t="shared" si="15"/>
        <v>-2.3905983904368684</v>
      </c>
    </row>
    <row r="249" spans="1:9">
      <c r="A249" t="s">
        <v>21</v>
      </c>
      <c r="B249" s="2">
        <f t="shared" si="12"/>
        <v>13</v>
      </c>
      <c r="C249">
        <v>1015</v>
      </c>
      <c r="D249">
        <v>23743</v>
      </c>
      <c r="E249">
        <v>33505</v>
      </c>
      <c r="F249">
        <f t="shared" si="13"/>
        <v>0.72205488605990453</v>
      </c>
      <c r="G249">
        <f t="shared" si="14"/>
        <v>0.88104692809187535</v>
      </c>
      <c r="I249">
        <f t="shared" si="15"/>
        <v>0.80155090707588994</v>
      </c>
    </row>
    <row r="250" spans="1:9">
      <c r="A250" t="s">
        <v>22</v>
      </c>
      <c r="B250" s="2">
        <f t="shared" si="12"/>
        <v>13</v>
      </c>
      <c r="C250">
        <v>672</v>
      </c>
      <c r="D250">
        <v>104</v>
      </c>
      <c r="E250">
        <v>70</v>
      </c>
      <c r="F250">
        <f t="shared" si="13"/>
        <v>-1.457350597955408</v>
      </c>
      <c r="G250">
        <f t="shared" si="14"/>
        <v>-1.6198678849703949</v>
      </c>
      <c r="I250">
        <f t="shared" si="15"/>
        <v>-1.5386092414629013</v>
      </c>
    </row>
    <row r="251" spans="1:9">
      <c r="A251" t="s">
        <v>23</v>
      </c>
      <c r="B251" s="2">
        <f t="shared" si="12"/>
        <v>13</v>
      </c>
      <c r="C251">
        <v>1029</v>
      </c>
      <c r="D251">
        <v>183</v>
      </c>
      <c r="E251">
        <v>225</v>
      </c>
      <c r="F251">
        <f t="shared" si="13"/>
        <v>-1.3969789492323665</v>
      </c>
      <c r="G251">
        <f t="shared" si="14"/>
        <v>-1.2978295085818969</v>
      </c>
      <c r="I251">
        <f t="shared" si="15"/>
        <v>-1.3474042289071317</v>
      </c>
    </row>
    <row r="252" spans="1:9">
      <c r="A252" t="s">
        <v>24</v>
      </c>
      <c r="B252" s="2">
        <f t="shared" si="12"/>
        <v>13</v>
      </c>
      <c r="C252">
        <v>1578</v>
      </c>
      <c r="D252">
        <v>65</v>
      </c>
      <c r="E252">
        <v>37</v>
      </c>
      <c r="F252">
        <f t="shared" si="13"/>
        <v>-2.0322083064309089</v>
      </c>
      <c r="G252">
        <f t="shared" si="14"/>
        <v>-2.2675019267372329</v>
      </c>
      <c r="I252">
        <f t="shared" si="15"/>
        <v>-2.1498551165840709</v>
      </c>
    </row>
    <row r="253" spans="1:9">
      <c r="A253" t="s">
        <v>25</v>
      </c>
      <c r="B253" s="2">
        <f t="shared" si="12"/>
        <v>13</v>
      </c>
      <c r="C253">
        <v>601</v>
      </c>
      <c r="D253">
        <v>38</v>
      </c>
      <c r="E253">
        <v>45</v>
      </c>
      <c r="F253">
        <f t="shared" si="13"/>
        <v>-1.8461055395862924</v>
      </c>
      <c r="G253">
        <f t="shared" si="14"/>
        <v>-1.7632586101582224</v>
      </c>
      <c r="I253">
        <f t="shared" si="15"/>
        <v>-1.8046820748722574</v>
      </c>
    </row>
    <row r="254" spans="1:9">
      <c r="A254" t="s">
        <v>7</v>
      </c>
      <c r="B254" s="2">
        <f t="shared" si="12"/>
        <v>14</v>
      </c>
      <c r="C254">
        <v>501</v>
      </c>
      <c r="D254">
        <v>51</v>
      </c>
      <c r="E254">
        <v>53</v>
      </c>
      <c r="F254">
        <f t="shared" si="13"/>
        <v>-1.6392822139696723</v>
      </c>
      <c r="G254">
        <f t="shared" si="14"/>
        <v>-1.6131585081972832</v>
      </c>
      <c r="I254">
        <f t="shared" si="15"/>
        <v>-1.6262203610834778</v>
      </c>
    </row>
    <row r="255" spans="1:9">
      <c r="A255" t="s">
        <v>8</v>
      </c>
      <c r="B255" s="2">
        <f t="shared" si="12"/>
        <v>14</v>
      </c>
      <c r="C255">
        <v>502</v>
      </c>
      <c r="D255">
        <v>32</v>
      </c>
      <c r="E255">
        <v>26</v>
      </c>
      <c r="F255">
        <f t="shared" si="13"/>
        <v>-1.8425684030254765</v>
      </c>
      <c r="G255">
        <f t="shared" si="14"/>
        <v>-1.9233270211050277</v>
      </c>
      <c r="I255">
        <f t="shared" si="15"/>
        <v>-1.8829477120652522</v>
      </c>
    </row>
    <row r="256" spans="1:9">
      <c r="A256" t="s">
        <v>5</v>
      </c>
      <c r="B256" s="2">
        <f t="shared" si="12"/>
        <v>14</v>
      </c>
      <c r="C256">
        <v>81057</v>
      </c>
      <c r="D256">
        <v>359588</v>
      </c>
      <c r="E256">
        <v>351874</v>
      </c>
      <c r="F256">
        <f t="shared" si="13"/>
        <v>0</v>
      </c>
      <c r="G256">
        <f t="shared" si="14"/>
        <v>0</v>
      </c>
      <c r="I256">
        <f t="shared" si="15"/>
        <v>0</v>
      </c>
    </row>
    <row r="257" spans="1:9">
      <c r="A257" t="s">
        <v>6</v>
      </c>
      <c r="B257" s="2">
        <f t="shared" si="12"/>
        <v>14</v>
      </c>
      <c r="C257">
        <v>1717</v>
      </c>
      <c r="D257">
        <v>126</v>
      </c>
      <c r="E257">
        <v>128</v>
      </c>
      <c r="F257">
        <f t="shared" si="13"/>
        <v>-1.7814144142437167</v>
      </c>
      <c r="G257">
        <f t="shared" si="14"/>
        <v>-1.7651569774438747</v>
      </c>
      <c r="I257">
        <f t="shared" si="15"/>
        <v>-1.7732856958437957</v>
      </c>
    </row>
    <row r="258" spans="1:9">
      <c r="A258" t="s">
        <v>10</v>
      </c>
      <c r="B258" s="2">
        <f t="shared" si="12"/>
        <v>14</v>
      </c>
      <c r="C258">
        <v>506</v>
      </c>
      <c r="D258">
        <v>9</v>
      </c>
      <c r="E258">
        <v>52</v>
      </c>
      <c r="F258">
        <f t="shared" si="13"/>
        <v>-2.3969226716008372</v>
      </c>
      <c r="G258">
        <f t="shared" si="14"/>
        <v>-1.6257438251358263</v>
      </c>
      <c r="I258">
        <f t="shared" si="15"/>
        <v>-2.0113332483683317</v>
      </c>
    </row>
    <row r="259" spans="1:9">
      <c r="A259" t="s">
        <v>11</v>
      </c>
      <c r="B259" s="2">
        <f t="shared" ref="B259:B322" si="16">1+INT((ROW()-2)/21)+1</f>
        <v>14</v>
      </c>
      <c r="C259">
        <v>1182</v>
      </c>
      <c r="D259">
        <v>37</v>
      </c>
      <c r="E259">
        <v>41</v>
      </c>
      <c r="F259">
        <f t="shared" ref="F259:F322" si="17">LOG10(D259/C259)-LOG10(359588/81057)</f>
        <v>-2.1514304166786049</v>
      </c>
      <c r="G259">
        <f t="shared" ref="G259:G322" si="18">LOG10(E259/C259)-LOG10(351874/81057)</f>
        <v>-2.0974302717563278</v>
      </c>
      <c r="I259">
        <f t="shared" ref="I259:I322" si="19">AVERAGE(F259:G259)</f>
        <v>-2.1244303442174663</v>
      </c>
    </row>
    <row r="260" spans="1:9">
      <c r="A260" t="s">
        <v>12</v>
      </c>
      <c r="B260" s="2">
        <f t="shared" si="16"/>
        <v>14</v>
      </c>
      <c r="C260">
        <v>1181</v>
      </c>
      <c r="D260">
        <v>103</v>
      </c>
      <c r="E260">
        <v>125</v>
      </c>
      <c r="F260">
        <f t="shared" si="17"/>
        <v>-1.7064273371087058</v>
      </c>
      <c r="G260">
        <f t="shared" si="18"/>
        <v>-1.6129365365362849</v>
      </c>
      <c r="I260">
        <f t="shared" si="19"/>
        <v>-1.6596819368224953</v>
      </c>
    </row>
    <row r="261" spans="1:9">
      <c r="A261" t="s">
        <v>9</v>
      </c>
      <c r="B261" s="2">
        <f t="shared" si="16"/>
        <v>14</v>
      </c>
      <c r="C261">
        <v>472</v>
      </c>
      <c r="D261">
        <v>38</v>
      </c>
      <c r="E261">
        <v>44</v>
      </c>
      <c r="F261">
        <f t="shared" si="17"/>
        <v>-1.7411730662176408</v>
      </c>
      <c r="G261">
        <f t="shared" si="18"/>
        <v>-1.6680859740787268</v>
      </c>
      <c r="I261">
        <f t="shared" si="19"/>
        <v>-1.7046295201481838</v>
      </c>
    </row>
    <row r="262" spans="1:9">
      <c r="A262" t="s">
        <v>13</v>
      </c>
      <c r="B262" s="2">
        <f t="shared" si="16"/>
        <v>14</v>
      </c>
      <c r="C262">
        <v>458</v>
      </c>
      <c r="D262">
        <v>23</v>
      </c>
      <c r="E262">
        <v>25</v>
      </c>
      <c r="F262">
        <f t="shared" si="17"/>
        <v>-1.9461523061866395</v>
      </c>
      <c r="G262">
        <f t="shared" si="18"/>
        <v>-1.900522121262658</v>
      </c>
      <c r="I262">
        <f t="shared" si="19"/>
        <v>-1.9233372137246487</v>
      </c>
    </row>
    <row r="263" spans="1:9">
      <c r="A263" t="s">
        <v>14</v>
      </c>
      <c r="B263" s="2">
        <f t="shared" si="16"/>
        <v>14</v>
      </c>
      <c r="C263">
        <v>783</v>
      </c>
      <c r="D263">
        <v>134</v>
      </c>
      <c r="E263">
        <v>54</v>
      </c>
      <c r="F263">
        <f t="shared" si="17"/>
        <v>-1.4136716278934989</v>
      </c>
      <c r="G263">
        <f t="shared" si="18"/>
        <v>-1.7989646541658013</v>
      </c>
      <c r="I263">
        <f t="shared" si="19"/>
        <v>-1.6063181410296501</v>
      </c>
    </row>
    <row r="264" spans="1:9">
      <c r="A264" t="s">
        <v>15</v>
      </c>
      <c r="B264" s="2">
        <f t="shared" si="16"/>
        <v>14</v>
      </c>
      <c r="C264">
        <v>1058</v>
      </c>
      <c r="D264">
        <v>30</v>
      </c>
      <c r="E264">
        <v>45</v>
      </c>
      <c r="F264">
        <f t="shared" si="17"/>
        <v>-2.1943790771798675</v>
      </c>
      <c r="G264">
        <f t="shared" si="18"/>
        <v>-2.0088698058546495</v>
      </c>
      <c r="I264">
        <f t="shared" si="19"/>
        <v>-2.1016244415172585</v>
      </c>
    </row>
    <row r="265" spans="1:9">
      <c r="A265" t="s">
        <v>16</v>
      </c>
      <c r="B265" s="2">
        <f t="shared" si="16"/>
        <v>14</v>
      </c>
      <c r="C265">
        <v>1197</v>
      </c>
      <c r="D265">
        <v>71</v>
      </c>
      <c r="E265">
        <v>89</v>
      </c>
      <c r="F265">
        <f t="shared" si="17"/>
        <v>-1.8738504658876984</v>
      </c>
      <c r="G265">
        <f t="shared" si="18"/>
        <v>-1.7663007956923245</v>
      </c>
      <c r="I265">
        <f t="shared" si="19"/>
        <v>-1.8200756307900114</v>
      </c>
    </row>
    <row r="266" spans="1:9">
      <c r="A266" t="s">
        <v>17</v>
      </c>
      <c r="B266" s="2">
        <f t="shared" si="16"/>
        <v>14</v>
      </c>
      <c r="C266">
        <v>1178</v>
      </c>
      <c r="D266">
        <v>63</v>
      </c>
      <c r="E266">
        <v>41</v>
      </c>
      <c r="F266">
        <f t="shared" si="17"/>
        <v>-1.9188194051978642</v>
      </c>
      <c r="G266">
        <f t="shared" si="18"/>
        <v>-2.0959580856621738</v>
      </c>
      <c r="I266">
        <f t="shared" si="19"/>
        <v>-2.0073887454300188</v>
      </c>
    </row>
    <row r="267" spans="1:9">
      <c r="A267" t="s">
        <v>18</v>
      </c>
      <c r="B267" s="2">
        <f t="shared" si="16"/>
        <v>14</v>
      </c>
      <c r="C267">
        <v>769</v>
      </c>
      <c r="D267">
        <v>33</v>
      </c>
      <c r="E267">
        <v>24</v>
      </c>
      <c r="F267">
        <f t="shared" si="17"/>
        <v>-2.0144270641239066</v>
      </c>
      <c r="G267">
        <f t="shared" si="18"/>
        <v>-2.1433117500206516</v>
      </c>
      <c r="I267">
        <f t="shared" si="19"/>
        <v>-2.0788694070722791</v>
      </c>
    </row>
    <row r="268" spans="1:9">
      <c r="A268" t="s">
        <v>19</v>
      </c>
      <c r="B268" s="2">
        <f t="shared" si="16"/>
        <v>14</v>
      </c>
      <c r="C268">
        <v>949</v>
      </c>
      <c r="D268">
        <v>14</v>
      </c>
      <c r="E268">
        <v>27</v>
      </c>
      <c r="F268">
        <f t="shared" si="17"/>
        <v>-2.4781528409494178</v>
      </c>
      <c r="G268">
        <f t="shared" si="18"/>
        <v>-2.183499100199132</v>
      </c>
      <c r="I268">
        <f t="shared" si="19"/>
        <v>-2.3308259705742751</v>
      </c>
    </row>
    <row r="269" spans="1:9">
      <c r="A269" t="s">
        <v>20</v>
      </c>
      <c r="B269" s="2">
        <f t="shared" si="16"/>
        <v>14</v>
      </c>
      <c r="C269">
        <v>607</v>
      </c>
      <c r="D269">
        <v>6</v>
      </c>
      <c r="E269">
        <v>11</v>
      </c>
      <c r="F269">
        <f t="shared" si="17"/>
        <v>-2.6520521048919772</v>
      </c>
      <c r="G269">
        <f t="shared" si="18"/>
        <v>-2.379392657847859</v>
      </c>
      <c r="I269">
        <f t="shared" si="19"/>
        <v>-2.5157223813699181</v>
      </c>
    </row>
    <row r="270" spans="1:9">
      <c r="A270" t="s">
        <v>21</v>
      </c>
      <c r="B270" s="2">
        <f t="shared" si="16"/>
        <v>14</v>
      </c>
      <c r="C270">
        <v>795</v>
      </c>
      <c r="D270">
        <v>133</v>
      </c>
      <c r="E270">
        <v>57</v>
      </c>
      <c r="F270">
        <f t="shared" si="17"/>
        <v>-1.4235301518897476</v>
      </c>
      <c r="G270">
        <f t="shared" si="18"/>
        <v>-1.7820889249148053</v>
      </c>
      <c r="I270">
        <f t="shared" si="19"/>
        <v>-1.6028095384022765</v>
      </c>
    </row>
    <row r="271" spans="1:9">
      <c r="A271" t="s">
        <v>22</v>
      </c>
      <c r="B271" s="2">
        <f t="shared" si="16"/>
        <v>14</v>
      </c>
      <c r="C271">
        <v>418</v>
      </c>
      <c r="D271">
        <v>22</v>
      </c>
      <c r="E271">
        <v>13</v>
      </c>
      <c r="F271">
        <f t="shared" si="17"/>
        <v>-1.9257682651531922</v>
      </c>
      <c r="G271">
        <f t="shared" si="18"/>
        <v>-2.144829581399025</v>
      </c>
      <c r="I271">
        <f t="shared" si="19"/>
        <v>-2.0352989232761085</v>
      </c>
    </row>
    <row r="272" spans="1:9">
      <c r="A272" t="s">
        <v>23</v>
      </c>
      <c r="B272" s="2">
        <f t="shared" si="16"/>
        <v>14</v>
      </c>
      <c r="C272">
        <v>309</v>
      </c>
      <c r="D272">
        <v>81</v>
      </c>
      <c r="E272">
        <v>20</v>
      </c>
      <c r="F272">
        <f t="shared" si="17"/>
        <v>-1.228488124746548</v>
      </c>
      <c r="G272">
        <f t="shared" si="18"/>
        <v>-1.8265251356916801</v>
      </c>
      <c r="I272">
        <f t="shared" si="19"/>
        <v>-1.527506630219114</v>
      </c>
    </row>
    <row r="273" spans="1:9">
      <c r="A273" t="s">
        <v>24</v>
      </c>
      <c r="B273" s="2">
        <f t="shared" si="16"/>
        <v>14</v>
      </c>
      <c r="C273">
        <v>875</v>
      </c>
      <c r="D273">
        <v>71</v>
      </c>
      <c r="E273">
        <v>67</v>
      </c>
      <c r="F273">
        <f t="shared" si="17"/>
        <v>-1.7377643685036011</v>
      </c>
      <c r="G273">
        <f t="shared" si="18"/>
        <v>-1.7535299022523134</v>
      </c>
      <c r="I273">
        <f t="shared" si="19"/>
        <v>-1.7456471353779572</v>
      </c>
    </row>
    <row r="274" spans="1:9">
      <c r="A274" t="s">
        <v>25</v>
      </c>
      <c r="B274" s="2">
        <f t="shared" si="16"/>
        <v>14</v>
      </c>
      <c r="C274">
        <v>706</v>
      </c>
      <c r="D274">
        <v>8</v>
      </c>
      <c r="E274">
        <v>13</v>
      </c>
      <c r="F274">
        <f t="shared" si="17"/>
        <v>-2.5927293782602234</v>
      </c>
      <c r="G274">
        <f t="shared" si="18"/>
        <v>-2.3724580006757936</v>
      </c>
      <c r="I274">
        <f t="shared" si="19"/>
        <v>-2.4825936894680085</v>
      </c>
    </row>
    <row r="275" spans="1:9">
      <c r="A275" t="s">
        <v>7</v>
      </c>
      <c r="B275" s="2">
        <f t="shared" si="16"/>
        <v>15</v>
      </c>
      <c r="C275">
        <v>589</v>
      </c>
      <c r="D275">
        <v>20</v>
      </c>
      <c r="E275">
        <v>52</v>
      </c>
      <c r="F275">
        <f t="shared" si="17"/>
        <v>-2.1160999633234834</v>
      </c>
      <c r="G275">
        <f t="shared" si="18"/>
        <v>-1.691708603083129</v>
      </c>
      <c r="I275">
        <f t="shared" si="19"/>
        <v>-1.9039042832033062</v>
      </c>
    </row>
    <row r="276" spans="1:9">
      <c r="A276" t="s">
        <v>8</v>
      </c>
      <c r="B276" s="2">
        <f t="shared" si="16"/>
        <v>15</v>
      </c>
      <c r="C276">
        <v>793</v>
      </c>
      <c r="D276">
        <v>9</v>
      </c>
      <c r="E276">
        <v>11</v>
      </c>
      <c r="F276">
        <f t="shared" si="17"/>
        <v>-2.592045342078642</v>
      </c>
      <c r="G276">
        <f t="shared" si="18"/>
        <v>-2.4954771540902052</v>
      </c>
      <c r="I276">
        <f t="shared" si="19"/>
        <v>-2.5437612480844236</v>
      </c>
    </row>
    <row r="277" spans="1:9">
      <c r="A277" t="s">
        <v>5</v>
      </c>
      <c r="B277" s="2">
        <f t="shared" si="16"/>
        <v>15</v>
      </c>
      <c r="C277">
        <v>340</v>
      </c>
      <c r="D277">
        <v>11</v>
      </c>
      <c r="E277">
        <v>42</v>
      </c>
      <c r="F277">
        <f t="shared" si="17"/>
        <v>-2.1371008960843931</v>
      </c>
      <c r="G277">
        <f t="shared" si="18"/>
        <v>-1.5458262785751811</v>
      </c>
      <c r="I277">
        <f t="shared" si="19"/>
        <v>-1.8414635873297871</v>
      </c>
    </row>
    <row r="278" spans="1:9">
      <c r="A278" t="s">
        <v>6</v>
      </c>
      <c r="B278" s="2">
        <f t="shared" si="16"/>
        <v>15</v>
      </c>
      <c r="C278">
        <v>619</v>
      </c>
      <c r="D278">
        <v>82</v>
      </c>
      <c r="E278">
        <v>10</v>
      </c>
      <c r="F278">
        <f t="shared" si="17"/>
        <v>-1.5248914608367645</v>
      </c>
      <c r="G278">
        <f t="shared" si="18"/>
        <v>-2.4292873009509446</v>
      </c>
      <c r="I278">
        <f t="shared" si="19"/>
        <v>-1.9770893808938546</v>
      </c>
    </row>
    <row r="279" spans="1:9">
      <c r="A279" t="s">
        <v>10</v>
      </c>
      <c r="B279" s="2">
        <f t="shared" si="16"/>
        <v>15</v>
      </c>
      <c r="C279">
        <v>480</v>
      </c>
      <c r="D279">
        <v>42</v>
      </c>
      <c r="E279">
        <v>37</v>
      </c>
      <c r="F279">
        <f t="shared" si="17"/>
        <v>-1.70500661117805</v>
      </c>
      <c r="G279">
        <f t="shared" si="18"/>
        <v>-1.7506361652394187</v>
      </c>
      <c r="I279">
        <f t="shared" si="19"/>
        <v>-1.7278213882087343</v>
      </c>
    </row>
    <row r="280" spans="1:9">
      <c r="A280" t="s">
        <v>11</v>
      </c>
      <c r="B280" s="2">
        <f t="shared" si="16"/>
        <v>15</v>
      </c>
      <c r="C280">
        <v>863</v>
      </c>
      <c r="D280">
        <v>36</v>
      </c>
      <c r="E280">
        <v>35</v>
      </c>
      <c r="F280">
        <f t="shared" si="17"/>
        <v>-2.0267229591482856</v>
      </c>
      <c r="G280">
        <f t="shared" si="18"/>
        <v>-2.0295394032957601</v>
      </c>
      <c r="I280">
        <f t="shared" si="19"/>
        <v>-2.0281311812220228</v>
      </c>
    </row>
    <row r="281" spans="1:9">
      <c r="A281" t="s">
        <v>12</v>
      </c>
      <c r="B281" s="2">
        <f t="shared" si="16"/>
        <v>15</v>
      </c>
      <c r="C281">
        <v>278</v>
      </c>
      <c r="D281">
        <v>26</v>
      </c>
      <c r="E281">
        <v>1</v>
      </c>
      <c r="F281">
        <f t="shared" si="17"/>
        <v>-1.6760861121476214</v>
      </c>
      <c r="G281">
        <f t="shared" si="18"/>
        <v>-3.0816414478489027</v>
      </c>
      <c r="I281">
        <f t="shared" si="19"/>
        <v>-2.3788637799982619</v>
      </c>
    </row>
    <row r="282" spans="1:9">
      <c r="A282" t="s">
        <v>9</v>
      </c>
      <c r="B282" s="2">
        <f t="shared" si="16"/>
        <v>15</v>
      </c>
      <c r="C282">
        <v>334</v>
      </c>
      <c r="D282">
        <v>55</v>
      </c>
      <c r="E282">
        <v>54</v>
      </c>
      <c r="F282">
        <f t="shared" si="17"/>
        <v>-1.4303984415176838</v>
      </c>
      <c r="G282">
        <f t="shared" si="18"/>
        <v>-1.4289493589194224</v>
      </c>
      <c r="I282">
        <f t="shared" si="19"/>
        <v>-1.4296739002185532</v>
      </c>
    </row>
    <row r="283" spans="1:9">
      <c r="A283" t="s">
        <v>13</v>
      </c>
      <c r="B283" s="2">
        <f t="shared" si="16"/>
        <v>15</v>
      </c>
      <c r="C283">
        <v>499</v>
      </c>
      <c r="D283">
        <v>62</v>
      </c>
      <c r="E283">
        <v>94</v>
      </c>
      <c r="F283">
        <f t="shared" si="17"/>
        <v>-1.5527235203254992</v>
      </c>
      <c r="G283">
        <f t="shared" si="18"/>
        <v>-1.3625693439545179</v>
      </c>
      <c r="I283">
        <f t="shared" si="19"/>
        <v>-1.4576464321400087</v>
      </c>
    </row>
    <row r="284" spans="1:9">
      <c r="A284" t="s">
        <v>14</v>
      </c>
      <c r="B284" s="2">
        <f t="shared" si="16"/>
        <v>15</v>
      </c>
      <c r="C284">
        <v>898</v>
      </c>
      <c r="D284">
        <v>91</v>
      </c>
      <c r="E284">
        <v>43</v>
      </c>
      <c r="F284">
        <f t="shared" si="17"/>
        <v>-1.6412496085465738</v>
      </c>
      <c r="G284">
        <f t="shared" si="18"/>
        <v>-1.9574045330185443</v>
      </c>
      <c r="I284">
        <f t="shared" si="19"/>
        <v>-1.799327070782559</v>
      </c>
    </row>
    <row r="285" spans="1:9">
      <c r="A285" t="s">
        <v>15</v>
      </c>
      <c r="B285" s="2">
        <f t="shared" si="16"/>
        <v>15</v>
      </c>
      <c r="C285">
        <v>508</v>
      </c>
      <c r="D285">
        <v>24</v>
      </c>
      <c r="E285">
        <v>16</v>
      </c>
      <c r="F285">
        <f t="shared" si="17"/>
        <v>-1.9726671347726763</v>
      </c>
      <c r="G285">
        <f t="shared" si="18"/>
        <v>-2.1393403815588208</v>
      </c>
      <c r="I285">
        <f t="shared" si="19"/>
        <v>-2.0560037581657484</v>
      </c>
    </row>
    <row r="286" spans="1:9">
      <c r="A286" t="s">
        <v>16</v>
      </c>
      <c r="B286" s="2">
        <f t="shared" si="16"/>
        <v>15</v>
      </c>
      <c r="C286">
        <v>789</v>
      </c>
      <c r="D286">
        <v>32</v>
      </c>
      <c r="E286">
        <v>13</v>
      </c>
      <c r="F286">
        <f t="shared" si="17"/>
        <v>-2.0389416890898775</v>
      </c>
      <c r="G286">
        <f t="shared" si="18"/>
        <v>-2.4207303028334097</v>
      </c>
      <c r="I286">
        <f t="shared" si="19"/>
        <v>-2.2298359959616434</v>
      </c>
    </row>
    <row r="287" spans="1:9">
      <c r="A287" t="s">
        <v>17</v>
      </c>
      <c r="B287" s="2">
        <f t="shared" si="16"/>
        <v>15</v>
      </c>
      <c r="C287">
        <v>735</v>
      </c>
      <c r="D287">
        <v>21</v>
      </c>
      <c r="E287">
        <v>18</v>
      </c>
      <c r="F287">
        <f t="shared" si="17"/>
        <v>-2.1910827085506388</v>
      </c>
      <c r="G287">
        <f t="shared" si="18"/>
        <v>-2.2486114859117157</v>
      </c>
      <c r="I287">
        <f t="shared" si="19"/>
        <v>-2.2198470972311775</v>
      </c>
    </row>
    <row r="288" spans="1:9">
      <c r="A288" t="s">
        <v>18</v>
      </c>
      <c r="B288" s="2">
        <f t="shared" si="16"/>
        <v>15</v>
      </c>
      <c r="C288">
        <v>713</v>
      </c>
      <c r="D288">
        <v>68</v>
      </c>
      <c r="E288">
        <v>44</v>
      </c>
      <c r="F288">
        <f t="shared" si="17"/>
        <v>-1.6675952813459924</v>
      </c>
      <c r="G288">
        <f t="shared" si="18"/>
        <v>-1.8472335052965045</v>
      </c>
      <c r="I288">
        <f t="shared" si="19"/>
        <v>-1.7574143933212485</v>
      </c>
    </row>
    <row r="289" spans="1:9">
      <c r="A289" t="s">
        <v>19</v>
      </c>
      <c r="B289" s="2">
        <f t="shared" si="16"/>
        <v>15</v>
      </c>
      <c r="C289">
        <v>459</v>
      </c>
      <c r="D289">
        <v>6</v>
      </c>
      <c r="E289">
        <v>16</v>
      </c>
      <c r="F289">
        <f t="shared" si="17"/>
        <v>-2.5306760993539807</v>
      </c>
      <c r="G289">
        <f t="shared" si="18"/>
        <v>-2.0952893548121629</v>
      </c>
      <c r="I289">
        <f t="shared" si="19"/>
        <v>-2.3129827270830718</v>
      </c>
    </row>
    <row r="290" spans="1:9">
      <c r="A290" t="s">
        <v>20</v>
      </c>
      <c r="B290" s="2">
        <f t="shared" si="16"/>
        <v>15</v>
      </c>
      <c r="C290">
        <v>579</v>
      </c>
      <c r="D290">
        <v>25</v>
      </c>
      <c r="E290">
        <v>48</v>
      </c>
      <c r="F290">
        <f t="shared" si="17"/>
        <v>-2.0117532192557617</v>
      </c>
      <c r="G290">
        <f t="shared" si="18"/>
        <v>-1.7190339782826753</v>
      </c>
      <c r="I290">
        <f t="shared" si="19"/>
        <v>-1.8653935987692185</v>
      </c>
    </row>
    <row r="291" spans="1:9">
      <c r="A291" t="s">
        <v>21</v>
      </c>
      <c r="B291" s="2">
        <f t="shared" si="16"/>
        <v>15</v>
      </c>
      <c r="C291">
        <v>590</v>
      </c>
      <c r="D291">
        <v>21</v>
      </c>
      <c r="E291">
        <v>21</v>
      </c>
      <c r="F291">
        <f t="shared" si="17"/>
        <v>-2.0956473811085878</v>
      </c>
      <c r="G291">
        <f t="shared" si="18"/>
        <v>-2.0862293688390512</v>
      </c>
      <c r="I291">
        <f t="shared" si="19"/>
        <v>-2.0909383749738195</v>
      </c>
    </row>
    <row r="292" spans="1:9">
      <c r="A292" t="s">
        <v>22</v>
      </c>
      <c r="B292" s="2">
        <f t="shared" si="16"/>
        <v>15</v>
      </c>
      <c r="C292">
        <v>81057</v>
      </c>
      <c r="D292">
        <v>359588</v>
      </c>
      <c r="E292">
        <v>351874</v>
      </c>
      <c r="F292">
        <f t="shared" si="17"/>
        <v>0</v>
      </c>
      <c r="G292">
        <f t="shared" si="18"/>
        <v>0</v>
      </c>
      <c r="I292">
        <f t="shared" si="19"/>
        <v>0</v>
      </c>
    </row>
    <row r="293" spans="1:9">
      <c r="A293" t="s">
        <v>23</v>
      </c>
      <c r="B293" s="2">
        <f t="shared" si="16"/>
        <v>15</v>
      </c>
      <c r="C293">
        <v>476</v>
      </c>
      <c r="D293">
        <v>44</v>
      </c>
      <c r="E293">
        <v>28</v>
      </c>
      <c r="F293">
        <f t="shared" si="17"/>
        <v>-1.6811689404346688</v>
      </c>
      <c r="G293">
        <f t="shared" si="18"/>
        <v>-1.8680455733091004</v>
      </c>
      <c r="I293">
        <f t="shared" si="19"/>
        <v>-1.7746072568718847</v>
      </c>
    </row>
    <row r="294" spans="1:9">
      <c r="A294" t="s">
        <v>24</v>
      </c>
      <c r="B294" s="2">
        <f t="shared" si="16"/>
        <v>15</v>
      </c>
      <c r="C294">
        <v>514</v>
      </c>
      <c r="D294">
        <v>9</v>
      </c>
      <c r="E294">
        <v>25</v>
      </c>
      <c r="F294">
        <f t="shared" si="17"/>
        <v>-2.4037352737563138</v>
      </c>
      <c r="G294">
        <f t="shared" si="18"/>
        <v>-1.9506197622540646</v>
      </c>
      <c r="I294">
        <f t="shared" si="19"/>
        <v>-2.1771775180051893</v>
      </c>
    </row>
    <row r="295" spans="1:9">
      <c r="A295" t="s">
        <v>25</v>
      </c>
      <c r="B295" s="2">
        <f t="shared" si="16"/>
        <v>15</v>
      </c>
      <c r="C295">
        <v>598</v>
      </c>
      <c r="D295">
        <v>60</v>
      </c>
      <c r="E295">
        <v>41</v>
      </c>
      <c r="F295">
        <f t="shared" si="17"/>
        <v>-1.6455645978051303</v>
      </c>
      <c r="G295">
        <f t="shared" si="18"/>
        <v>-1.8015139791995018</v>
      </c>
      <c r="I295">
        <f t="shared" si="19"/>
        <v>-1.723539288502316</v>
      </c>
    </row>
    <row r="296" spans="1:9">
      <c r="A296" t="s">
        <v>7</v>
      </c>
      <c r="B296" s="2">
        <f t="shared" si="16"/>
        <v>16</v>
      </c>
      <c r="C296">
        <v>511</v>
      </c>
      <c r="D296">
        <v>25</v>
      </c>
      <c r="E296">
        <v>46</v>
      </c>
      <c r="F296">
        <f t="shared" si="17"/>
        <v>-1.9574955556630382</v>
      </c>
      <c r="G296">
        <f t="shared" si="18"/>
        <v>-1.6832597203839652</v>
      </c>
      <c r="I296">
        <f t="shared" si="19"/>
        <v>-1.8203776380235017</v>
      </c>
    </row>
    <row r="297" spans="1:9">
      <c r="A297" t="s">
        <v>8</v>
      </c>
      <c r="B297" s="2">
        <f t="shared" si="16"/>
        <v>16</v>
      </c>
      <c r="C297">
        <v>425</v>
      </c>
      <c r="D297">
        <v>5</v>
      </c>
      <c r="E297">
        <v>7</v>
      </c>
      <c r="F297">
        <f t="shared" si="17"/>
        <v>-2.5764335899146555</v>
      </c>
      <c r="G297">
        <f t="shared" si="18"/>
        <v>-2.4208875419668812</v>
      </c>
      <c r="I297">
        <f t="shared" si="19"/>
        <v>-2.4986605659407681</v>
      </c>
    </row>
    <row r="298" spans="1:9">
      <c r="A298" t="s">
        <v>5</v>
      </c>
      <c r="B298" s="2">
        <f t="shared" si="16"/>
        <v>16</v>
      </c>
      <c r="C298">
        <v>488</v>
      </c>
      <c r="D298">
        <v>57</v>
      </c>
      <c r="E298">
        <v>49</v>
      </c>
      <c r="F298">
        <f t="shared" si="17"/>
        <v>-1.5795596305305823</v>
      </c>
      <c r="G298">
        <f t="shared" si="18"/>
        <v>-1.6358203939050235</v>
      </c>
      <c r="I298">
        <f t="shared" si="19"/>
        <v>-1.6076900122178031</v>
      </c>
    </row>
    <row r="299" spans="1:9">
      <c r="A299" t="s">
        <v>6</v>
      </c>
      <c r="B299" s="2">
        <f t="shared" si="16"/>
        <v>16</v>
      </c>
      <c r="C299">
        <v>81057</v>
      </c>
      <c r="D299">
        <v>359588</v>
      </c>
      <c r="E299">
        <v>351874</v>
      </c>
      <c r="F299">
        <f t="shared" si="17"/>
        <v>0</v>
      </c>
      <c r="G299">
        <f t="shared" si="18"/>
        <v>0</v>
      </c>
      <c r="I299">
        <f t="shared" si="19"/>
        <v>0</v>
      </c>
    </row>
    <row r="300" spans="1:9">
      <c r="A300" t="s">
        <v>10</v>
      </c>
      <c r="B300" s="2">
        <f t="shared" si="16"/>
        <v>16</v>
      </c>
      <c r="C300">
        <v>582</v>
      </c>
      <c r="D300">
        <v>181</v>
      </c>
      <c r="E300">
        <v>170</v>
      </c>
      <c r="F300">
        <f t="shared" si="17"/>
        <v>-1.1542590739810672</v>
      </c>
      <c r="G300">
        <f t="shared" si="18"/>
        <v>-1.172070715202441</v>
      </c>
      <c r="I300">
        <f t="shared" si="19"/>
        <v>-1.1631648945917541</v>
      </c>
    </row>
    <row r="301" spans="1:9">
      <c r="A301" t="s">
        <v>11</v>
      </c>
      <c r="B301" s="2">
        <f t="shared" si="16"/>
        <v>16</v>
      </c>
      <c r="C301">
        <v>1377</v>
      </c>
      <c r="D301">
        <v>16</v>
      </c>
      <c r="E301">
        <v>9</v>
      </c>
      <c r="F301">
        <f t="shared" si="17"/>
        <v>-2.5818286218013622</v>
      </c>
      <c r="G301">
        <f t="shared" si="18"/>
        <v>-2.8222880827484254</v>
      </c>
      <c r="I301">
        <f t="shared" si="19"/>
        <v>-2.7020583522748938</v>
      </c>
    </row>
    <row r="302" spans="1:9">
      <c r="A302" t="s">
        <v>12</v>
      </c>
      <c r="B302" s="2">
        <f t="shared" si="16"/>
        <v>16</v>
      </c>
      <c r="C302">
        <v>329</v>
      </c>
      <c r="D302">
        <v>30</v>
      </c>
      <c r="E302">
        <v>84</v>
      </c>
      <c r="F302">
        <f t="shared" si="17"/>
        <v>-1.687089307430675</v>
      </c>
      <c r="G302">
        <f t="shared" si="18"/>
        <v>-1.2305132638189191</v>
      </c>
      <c r="I302">
        <f t="shared" si="19"/>
        <v>-1.4588012856247969</v>
      </c>
    </row>
    <row r="303" spans="1:9">
      <c r="A303" t="s">
        <v>9</v>
      </c>
      <c r="B303" s="2">
        <f t="shared" si="16"/>
        <v>16</v>
      </c>
      <c r="C303">
        <v>397</v>
      </c>
      <c r="D303">
        <v>61</v>
      </c>
      <c r="E303">
        <v>10</v>
      </c>
      <c r="F303">
        <f t="shared" si="17"/>
        <v>-1.4604753359527112</v>
      </c>
      <c r="G303">
        <f t="shared" si="18"/>
        <v>-2.2363871586939412</v>
      </c>
      <c r="I303">
        <f t="shared" si="19"/>
        <v>-1.8484312473233262</v>
      </c>
    </row>
    <row r="304" spans="1:9">
      <c r="A304" t="s">
        <v>13</v>
      </c>
      <c r="B304" s="2">
        <f t="shared" si="16"/>
        <v>16</v>
      </c>
      <c r="C304">
        <v>487</v>
      </c>
      <c r="D304">
        <v>37</v>
      </c>
      <c r="E304">
        <v>14</v>
      </c>
      <c r="F304">
        <f t="shared" si="17"/>
        <v>-1.7663419013480024</v>
      </c>
      <c r="G304">
        <f t="shared" si="18"/>
        <v>-2.1789975774672228</v>
      </c>
      <c r="I304">
        <f t="shared" si="19"/>
        <v>-1.9726697394076127</v>
      </c>
    </row>
    <row r="305" spans="1:9">
      <c r="A305" t="s">
        <v>14</v>
      </c>
      <c r="B305" s="2">
        <f t="shared" si="16"/>
        <v>16</v>
      </c>
      <c r="C305">
        <v>482</v>
      </c>
      <c r="D305">
        <v>14</v>
      </c>
      <c r="E305">
        <v>18</v>
      </c>
      <c r="F305">
        <f t="shared" si="17"/>
        <v>-2.183933666760975</v>
      </c>
      <c r="G305">
        <f t="shared" si="18"/>
        <v>-2.0653711850663701</v>
      </c>
      <c r="I305">
        <f t="shared" si="19"/>
        <v>-2.1246524259136725</v>
      </c>
    </row>
    <row r="306" spans="1:9">
      <c r="A306" t="s">
        <v>15</v>
      </c>
      <c r="B306" s="2">
        <f t="shared" si="16"/>
        <v>16</v>
      </c>
      <c r="C306">
        <v>667</v>
      </c>
      <c r="D306">
        <v>15</v>
      </c>
      <c r="E306">
        <v>242</v>
      </c>
      <c r="F306">
        <f t="shared" si="17"/>
        <v>-2.2950492390612309</v>
      </c>
      <c r="G306">
        <f t="shared" si="18"/>
        <v>-1.0779071198669441</v>
      </c>
      <c r="I306">
        <f t="shared" si="19"/>
        <v>-1.6864781794640875</v>
      </c>
    </row>
    <row r="307" spans="1:9">
      <c r="A307" t="s">
        <v>16</v>
      </c>
      <c r="B307" s="2">
        <f t="shared" si="16"/>
        <v>16</v>
      </c>
      <c r="C307">
        <v>657</v>
      </c>
      <c r="D307">
        <v>34</v>
      </c>
      <c r="E307">
        <v>44</v>
      </c>
      <c r="F307">
        <f t="shared" si="17"/>
        <v>-1.9331011167178889</v>
      </c>
      <c r="G307">
        <f t="shared" si="18"/>
        <v>-1.8117093450044199</v>
      </c>
      <c r="I307">
        <f t="shared" si="19"/>
        <v>-1.8724052308611543</v>
      </c>
    </row>
    <row r="308" spans="1:9">
      <c r="A308" t="s">
        <v>17</v>
      </c>
      <c r="B308" s="2">
        <f t="shared" si="16"/>
        <v>16</v>
      </c>
      <c r="C308">
        <v>793</v>
      </c>
      <c r="D308">
        <v>31</v>
      </c>
      <c r="E308">
        <v>23</v>
      </c>
      <c r="F308">
        <f t="shared" si="17"/>
        <v>-2.0549261576836946</v>
      </c>
      <c r="G308">
        <f t="shared" si="18"/>
        <v>-2.1751420032308375</v>
      </c>
      <c r="I308">
        <f t="shared" si="19"/>
        <v>-2.1150340804572663</v>
      </c>
    </row>
    <row r="309" spans="1:9">
      <c r="A309" t="s">
        <v>18</v>
      </c>
      <c r="B309" s="2">
        <f t="shared" si="16"/>
        <v>16</v>
      </c>
      <c r="C309">
        <v>525</v>
      </c>
      <c r="D309">
        <v>84</v>
      </c>
      <c r="E309">
        <v>106</v>
      </c>
      <c r="F309">
        <f t="shared" si="17"/>
        <v>-1.4428946815444383</v>
      </c>
      <c r="G309">
        <f t="shared" si="18"/>
        <v>-1.3324500900720131</v>
      </c>
      <c r="I309">
        <f t="shared" si="19"/>
        <v>-1.3876723858082256</v>
      </c>
    </row>
    <row r="310" spans="1:9">
      <c r="A310" t="s">
        <v>19</v>
      </c>
      <c r="B310" s="2">
        <f t="shared" si="16"/>
        <v>16</v>
      </c>
      <c r="C310">
        <v>651</v>
      </c>
      <c r="D310">
        <v>32</v>
      </c>
      <c r="E310">
        <v>13</v>
      </c>
      <c r="F310">
        <f t="shared" si="17"/>
        <v>-1.955445674448649</v>
      </c>
      <c r="G310">
        <f t="shared" si="18"/>
        <v>-2.3372342881921817</v>
      </c>
      <c r="I310">
        <f t="shared" si="19"/>
        <v>-2.1463399813204154</v>
      </c>
    </row>
    <row r="311" spans="1:9">
      <c r="A311" t="s">
        <v>20</v>
      </c>
      <c r="B311" s="2">
        <f t="shared" si="16"/>
        <v>16</v>
      </c>
      <c r="C311">
        <v>841</v>
      </c>
      <c r="D311">
        <v>25</v>
      </c>
      <c r="E311">
        <v>34</v>
      </c>
      <c r="F311">
        <f t="shared" si="17"/>
        <v>-2.1738706513262378</v>
      </c>
      <c r="G311">
        <f t="shared" si="18"/>
        <v>-2.0309137306864837</v>
      </c>
      <c r="I311">
        <f t="shared" si="19"/>
        <v>-2.102392191006361</v>
      </c>
    </row>
    <row r="312" spans="1:9">
      <c r="A312" t="s">
        <v>21</v>
      </c>
      <c r="B312" s="2">
        <f t="shared" si="16"/>
        <v>16</v>
      </c>
      <c r="C312">
        <v>874</v>
      </c>
      <c r="D312">
        <v>17</v>
      </c>
      <c r="E312">
        <v>14</v>
      </c>
      <c r="F312">
        <f t="shared" si="17"/>
        <v>-2.3580771754564922</v>
      </c>
      <c r="G312">
        <f t="shared" si="18"/>
        <v>-2.4329800488869915</v>
      </c>
      <c r="I312">
        <f t="shared" si="19"/>
        <v>-2.3955286121717418</v>
      </c>
    </row>
    <row r="313" spans="1:9">
      <c r="A313" t="s">
        <v>22</v>
      </c>
      <c r="B313" s="2">
        <f t="shared" si="16"/>
        <v>16</v>
      </c>
      <c r="C313">
        <v>281</v>
      </c>
      <c r="D313">
        <v>12</v>
      </c>
      <c r="E313">
        <v>5</v>
      </c>
      <c r="F313">
        <f t="shared" si="17"/>
        <v>-2.0165397380578183</v>
      </c>
      <c r="G313">
        <f t="shared" si="18"/>
        <v>-2.3873329674998875</v>
      </c>
      <c r="I313">
        <f t="shared" si="19"/>
        <v>-2.2019363527788531</v>
      </c>
    </row>
    <row r="314" spans="1:9">
      <c r="A314" t="s">
        <v>23</v>
      </c>
      <c r="B314" s="2">
        <f t="shared" si="16"/>
        <v>16</v>
      </c>
      <c r="C314">
        <v>588</v>
      </c>
      <c r="D314">
        <v>14</v>
      </c>
      <c r="E314">
        <v>10</v>
      </c>
      <c r="F314">
        <f t="shared" si="17"/>
        <v>-2.2702639545982635</v>
      </c>
      <c r="G314">
        <f t="shared" si="18"/>
        <v>-2.406973978006965</v>
      </c>
      <c r="I314">
        <f t="shared" si="19"/>
        <v>-2.3386189663026142</v>
      </c>
    </row>
    <row r="315" spans="1:9">
      <c r="A315" t="s">
        <v>24</v>
      </c>
      <c r="B315" s="2">
        <f t="shared" si="16"/>
        <v>16</v>
      </c>
      <c r="C315">
        <v>546</v>
      </c>
      <c r="D315">
        <v>53</v>
      </c>
      <c r="E315">
        <v>30</v>
      </c>
      <c r="F315">
        <f t="shared" si="17"/>
        <v>-1.6599314373043113</v>
      </c>
      <c r="G315">
        <f t="shared" si="18"/>
        <v>-1.8976680399159014</v>
      </c>
      <c r="I315">
        <f t="shared" si="19"/>
        <v>-1.7787997386101062</v>
      </c>
    </row>
    <row r="316" spans="1:9">
      <c r="A316" t="s">
        <v>25</v>
      </c>
      <c r="B316" s="2">
        <f t="shared" si="16"/>
        <v>16</v>
      </c>
      <c r="C316">
        <v>607</v>
      </c>
      <c r="D316">
        <v>5</v>
      </c>
      <c r="E316">
        <v>3</v>
      </c>
      <c r="F316">
        <f t="shared" si="17"/>
        <v>-2.7312333509396018</v>
      </c>
      <c r="G316">
        <f t="shared" si="18"/>
        <v>-2.9436640882864218</v>
      </c>
      <c r="I316">
        <f t="shared" si="19"/>
        <v>-2.837448719613012</v>
      </c>
    </row>
    <row r="317" spans="1:9">
      <c r="A317" t="s">
        <v>7</v>
      </c>
      <c r="B317" s="2">
        <f t="shared" si="16"/>
        <v>17</v>
      </c>
      <c r="C317">
        <v>1516</v>
      </c>
      <c r="D317">
        <v>70</v>
      </c>
      <c r="E317">
        <v>127</v>
      </c>
      <c r="F317">
        <f t="shared" si="17"/>
        <v>-1.9826158254821411</v>
      </c>
      <c r="G317">
        <f t="shared" si="18"/>
        <v>-1.7144921322709044</v>
      </c>
      <c r="I317">
        <f t="shared" si="19"/>
        <v>-1.8485539788765228</v>
      </c>
    </row>
    <row r="318" spans="1:9">
      <c r="A318" t="s">
        <v>8</v>
      </c>
      <c r="B318" s="2">
        <f t="shared" si="16"/>
        <v>17</v>
      </c>
      <c r="C318">
        <v>1684</v>
      </c>
      <c r="D318">
        <v>71</v>
      </c>
      <c r="E318">
        <v>44</v>
      </c>
      <c r="F318">
        <f t="shared" si="17"/>
        <v>-2.0220984026449185</v>
      </c>
      <c r="G318">
        <f t="shared" si="18"/>
        <v>-2.2204860626082699</v>
      </c>
      <c r="I318">
        <f t="shared" si="19"/>
        <v>-2.1212922326265939</v>
      </c>
    </row>
    <row r="319" spans="1:9">
      <c r="A319" t="s">
        <v>5</v>
      </c>
      <c r="B319" s="2">
        <f t="shared" si="16"/>
        <v>17</v>
      </c>
      <c r="C319">
        <v>1403</v>
      </c>
      <c r="D319">
        <v>412</v>
      </c>
      <c r="E319">
        <v>146</v>
      </c>
      <c r="F319">
        <f t="shared" si="17"/>
        <v>-1.1791751191955884</v>
      </c>
      <c r="G319">
        <f t="shared" si="18"/>
        <v>-1.6203014671747493</v>
      </c>
      <c r="I319">
        <f t="shared" si="19"/>
        <v>-1.3997382931851687</v>
      </c>
    </row>
    <row r="320" spans="1:9">
      <c r="A320" t="s">
        <v>6</v>
      </c>
      <c r="B320" s="2">
        <f t="shared" si="16"/>
        <v>17</v>
      </c>
      <c r="C320">
        <v>988</v>
      </c>
      <c r="D320">
        <v>32</v>
      </c>
      <c r="E320">
        <v>33</v>
      </c>
      <c r="F320">
        <f t="shared" si="17"/>
        <v>-2.1366216304680852</v>
      </c>
      <c r="G320">
        <f t="shared" si="18"/>
        <v>-2.1138396566405673</v>
      </c>
      <c r="I320">
        <f t="shared" si="19"/>
        <v>-2.1252306435543264</v>
      </c>
    </row>
    <row r="321" spans="1:9">
      <c r="A321" t="s">
        <v>10</v>
      </c>
      <c r="B321" s="2">
        <f t="shared" si="16"/>
        <v>17</v>
      </c>
      <c r="C321">
        <v>966</v>
      </c>
      <c r="D321">
        <v>23</v>
      </c>
      <c r="E321">
        <v>18</v>
      </c>
      <c r="F321">
        <f t="shared" si="17"/>
        <v>-2.2702639545982635</v>
      </c>
      <c r="G321">
        <f t="shared" si="18"/>
        <v>-2.3673012732430134</v>
      </c>
      <c r="I321">
        <f t="shared" si="19"/>
        <v>-2.3187826139206384</v>
      </c>
    </row>
    <row r="322" spans="1:9">
      <c r="A322" t="s">
        <v>11</v>
      </c>
      <c r="B322" s="2">
        <f t="shared" si="16"/>
        <v>17</v>
      </c>
      <c r="C322">
        <v>37</v>
      </c>
      <c r="D322">
        <v>137</v>
      </c>
      <c r="E322">
        <v>136</v>
      </c>
      <c r="F322">
        <f t="shared" si="17"/>
        <v>-7.8495821110951325E-2</v>
      </c>
      <c r="G322">
        <f t="shared" si="18"/>
        <v>-7.2259467627603935E-2</v>
      </c>
      <c r="I322">
        <f t="shared" si="19"/>
        <v>-7.537764436927763E-2</v>
      </c>
    </row>
    <row r="323" spans="1:9">
      <c r="A323" t="s">
        <v>12</v>
      </c>
      <c r="B323" s="2">
        <f t="shared" ref="B323:B386" si="20">1+INT((ROW()-2)/21)+1</f>
        <v>17</v>
      </c>
      <c r="C323">
        <v>1266</v>
      </c>
      <c r="D323">
        <v>122</v>
      </c>
      <c r="E323">
        <v>107</v>
      </c>
      <c r="F323">
        <f t="shared" ref="F323:F386" si="21">LOG10(D323/C323)-LOG10(359588/81057)</f>
        <v>-1.6630885392069512</v>
      </c>
      <c r="G323">
        <f t="shared" ref="G323:G386" si="22">LOG10(E323/C323)-LOG10(351874/81057)</f>
        <v>-1.7106465799269532</v>
      </c>
      <c r="I323">
        <f t="shared" ref="I323:I386" si="23">AVERAGE(F323:G323)</f>
        <v>-1.6868675595669522</v>
      </c>
    </row>
    <row r="324" spans="1:9">
      <c r="A324" t="s">
        <v>9</v>
      </c>
      <c r="B324" s="2">
        <f t="shared" si="20"/>
        <v>17</v>
      </c>
      <c r="C324">
        <v>734</v>
      </c>
      <c r="D324">
        <v>25</v>
      </c>
      <c r="E324">
        <v>76</v>
      </c>
      <c r="F324">
        <f t="shared" si="21"/>
        <v>-2.1147707154443962</v>
      </c>
      <c r="G324">
        <f t="shared" si="22"/>
        <v>-1.6224791195661057</v>
      </c>
      <c r="I324">
        <f t="shared" si="23"/>
        <v>-1.8686249175052509</v>
      </c>
    </row>
    <row r="325" spans="1:9">
      <c r="A325" t="s">
        <v>13</v>
      </c>
      <c r="B325" s="2">
        <f t="shared" si="20"/>
        <v>17</v>
      </c>
      <c r="C325">
        <v>1129</v>
      </c>
      <c r="D325">
        <v>470</v>
      </c>
      <c r="E325">
        <v>553</v>
      </c>
      <c r="F325">
        <f t="shared" si="21"/>
        <v>-1.0276107481896135</v>
      </c>
      <c r="G325">
        <f t="shared" si="22"/>
        <v>-0.94756546255109608</v>
      </c>
      <c r="I325">
        <f t="shared" si="23"/>
        <v>-0.9875881053703548</v>
      </c>
    </row>
    <row r="326" spans="1:9">
      <c r="A326" t="s">
        <v>14</v>
      </c>
      <c r="B326" s="2">
        <f t="shared" si="20"/>
        <v>17</v>
      </c>
      <c r="C326">
        <v>795</v>
      </c>
      <c r="D326">
        <v>96</v>
      </c>
      <c r="E326">
        <v>18</v>
      </c>
      <c r="F326">
        <f t="shared" si="21"/>
        <v>-1.565110559817265</v>
      </c>
      <c r="G326">
        <f t="shared" si="22"/>
        <v>-2.282691275483991</v>
      </c>
      <c r="I326">
        <f t="shared" si="23"/>
        <v>-1.9239009176506281</v>
      </c>
    </row>
    <row r="327" spans="1:9">
      <c r="A327" t="s">
        <v>15</v>
      </c>
      <c r="B327" s="2">
        <f t="shared" si="20"/>
        <v>17</v>
      </c>
      <c r="C327">
        <v>1395</v>
      </c>
      <c r="D327">
        <v>397</v>
      </c>
      <c r="E327">
        <v>272</v>
      </c>
      <c r="F327">
        <f t="shared" si="21"/>
        <v>-1.1927983650468645</v>
      </c>
      <c r="G327">
        <f t="shared" si="22"/>
        <v>-1.347601955506244</v>
      </c>
      <c r="I327">
        <f t="shared" si="23"/>
        <v>-1.2702001602765542</v>
      </c>
    </row>
    <row r="328" spans="1:9">
      <c r="A328" t="s">
        <v>16</v>
      </c>
      <c r="B328" s="2">
        <f t="shared" si="20"/>
        <v>17</v>
      </c>
      <c r="C328">
        <v>1792</v>
      </c>
      <c r="D328">
        <v>171</v>
      </c>
      <c r="E328">
        <v>172</v>
      </c>
      <c r="F328">
        <f t="shared" si="21"/>
        <v>-1.6673565591343158</v>
      </c>
      <c r="G328">
        <f t="shared" si="22"/>
        <v>-1.6554062103493838</v>
      </c>
      <c r="I328">
        <f t="shared" si="23"/>
        <v>-1.6613813847418499</v>
      </c>
    </row>
    <row r="329" spans="1:9">
      <c r="A329" t="s">
        <v>17</v>
      </c>
      <c r="B329" s="2">
        <f t="shared" si="20"/>
        <v>17</v>
      </c>
      <c r="C329">
        <v>1193</v>
      </c>
      <c r="D329">
        <v>172</v>
      </c>
      <c r="E329">
        <v>183</v>
      </c>
      <c r="F329">
        <f t="shared" si="21"/>
        <v>-1.488126660963156</v>
      </c>
      <c r="G329">
        <f t="shared" si="22"/>
        <v>-1.4517860058707388</v>
      </c>
      <c r="I329">
        <f t="shared" si="23"/>
        <v>-1.4699563334169474</v>
      </c>
    </row>
    <row r="330" spans="1:9">
      <c r="A330" t="s">
        <v>18</v>
      </c>
      <c r="B330" s="2">
        <f t="shared" si="20"/>
        <v>17</v>
      </c>
      <c r="C330">
        <v>1712</v>
      </c>
      <c r="D330">
        <v>191</v>
      </c>
      <c r="E330">
        <v>188</v>
      </c>
      <c r="F330">
        <f t="shared" si="21"/>
        <v>-1.59948505729377</v>
      </c>
      <c r="G330">
        <f t="shared" si="22"/>
        <v>-1.5969425630082812</v>
      </c>
      <c r="I330">
        <f t="shared" si="23"/>
        <v>-1.5982138101510257</v>
      </c>
    </row>
    <row r="331" spans="1:9">
      <c r="A331" t="s">
        <v>19</v>
      </c>
      <c r="B331" s="2">
        <f t="shared" si="20"/>
        <v>17</v>
      </c>
      <c r="C331">
        <v>1339</v>
      </c>
      <c r="D331">
        <v>95</v>
      </c>
      <c r="E331">
        <v>65</v>
      </c>
      <c r="F331">
        <f t="shared" si="21"/>
        <v>-1.7960716359235245</v>
      </c>
      <c r="G331">
        <f t="shared" si="22"/>
        <v>-1.95146387229998</v>
      </c>
      <c r="I331">
        <f t="shared" si="23"/>
        <v>-1.8737677541117521</v>
      </c>
    </row>
    <row r="332" spans="1:9">
      <c r="A332" t="s">
        <v>20</v>
      </c>
      <c r="B332" s="2">
        <f t="shared" si="20"/>
        <v>17</v>
      </c>
      <c r="C332">
        <v>1160</v>
      </c>
      <c r="D332">
        <v>16</v>
      </c>
      <c r="E332">
        <v>17</v>
      </c>
      <c r="F332">
        <f t="shared" si="21"/>
        <v>-2.5073526707713567</v>
      </c>
      <c r="G332">
        <f t="shared" si="22"/>
        <v>-2.471605719779471</v>
      </c>
      <c r="I332">
        <f t="shared" si="23"/>
        <v>-2.4894791952754138</v>
      </c>
    </row>
    <row r="333" spans="1:9">
      <c r="A333" t="s">
        <v>21</v>
      </c>
      <c r="B333" s="2">
        <f t="shared" si="20"/>
        <v>17</v>
      </c>
      <c r="C333">
        <v>1430</v>
      </c>
      <c r="D333">
        <v>79</v>
      </c>
      <c r="E333">
        <v>106</v>
      </c>
      <c r="F333">
        <f t="shared" si="21"/>
        <v>-1.9047236103749836</v>
      </c>
      <c r="G333">
        <f t="shared" si="22"/>
        <v>-1.7676268241311182</v>
      </c>
      <c r="I333">
        <f t="shared" si="23"/>
        <v>-1.836175217253051</v>
      </c>
    </row>
    <row r="334" spans="1:9">
      <c r="A334" t="s">
        <v>22</v>
      </c>
      <c r="B334" s="2">
        <f t="shared" si="20"/>
        <v>17</v>
      </c>
      <c r="C334">
        <v>1074</v>
      </c>
      <c r="D334">
        <v>38</v>
      </c>
      <c r="E334">
        <v>14</v>
      </c>
      <c r="F334">
        <f t="shared" si="21"/>
        <v>-2.0982353489470897</v>
      </c>
      <c r="G334">
        <f t="shared" si="22"/>
        <v>-2.522472897616125</v>
      </c>
      <c r="I334">
        <f t="shared" si="23"/>
        <v>-2.3103541232816074</v>
      </c>
    </row>
    <row r="335" spans="1:9">
      <c r="A335" t="s">
        <v>23</v>
      </c>
      <c r="B335" s="2">
        <f t="shared" si="20"/>
        <v>17</v>
      </c>
      <c r="C335">
        <v>1208</v>
      </c>
      <c r="D335">
        <v>50</v>
      </c>
      <c r="E335">
        <v>136</v>
      </c>
      <c r="F335">
        <f t="shared" si="21"/>
        <v>-2.0301115941494574</v>
      </c>
      <c r="G335">
        <f t="shared" si="22"/>
        <v>-1.5861246778457221</v>
      </c>
      <c r="I335">
        <f t="shared" si="23"/>
        <v>-1.8081181359975897</v>
      </c>
    </row>
    <row r="336" spans="1:9">
      <c r="A336" t="s">
        <v>24</v>
      </c>
      <c r="B336" s="2">
        <f t="shared" si="20"/>
        <v>17</v>
      </c>
      <c r="C336">
        <v>1599</v>
      </c>
      <c r="D336">
        <v>32</v>
      </c>
      <c r="E336">
        <v>34</v>
      </c>
      <c r="F336">
        <f t="shared" si="21"/>
        <v>-2.3457131496266919</v>
      </c>
      <c r="G336">
        <f t="shared" si="22"/>
        <v>-2.3099661986348061</v>
      </c>
      <c r="I336">
        <f t="shared" si="23"/>
        <v>-2.327839674130749</v>
      </c>
    </row>
    <row r="337" spans="1:9">
      <c r="A337" t="s">
        <v>25</v>
      </c>
      <c r="B337" s="2">
        <f t="shared" si="20"/>
        <v>17</v>
      </c>
      <c r="C337">
        <v>1469</v>
      </c>
      <c r="D337">
        <v>349</v>
      </c>
      <c r="E337">
        <v>98</v>
      </c>
      <c r="F337">
        <f t="shared" si="21"/>
        <v>-1.2712110330314397</v>
      </c>
      <c r="G337">
        <f t="shared" si="22"/>
        <v>-1.8133923720285881</v>
      </c>
      <c r="I337">
        <f t="shared" si="23"/>
        <v>-1.5423017025300139</v>
      </c>
    </row>
    <row r="338" spans="1:9">
      <c r="A338" t="s">
        <v>7</v>
      </c>
      <c r="B338" s="2">
        <f t="shared" si="20"/>
        <v>18</v>
      </c>
      <c r="C338">
        <v>663</v>
      </c>
      <c r="D338">
        <v>25</v>
      </c>
      <c r="E338">
        <v>13</v>
      </c>
      <c r="F338">
        <f t="shared" si="21"/>
        <v>-2.0705881839330988</v>
      </c>
      <c r="G338">
        <f t="shared" si="22"/>
        <v>-2.3451668280287628</v>
      </c>
      <c r="I338">
        <f t="shared" si="23"/>
        <v>-2.2078775059809308</v>
      </c>
    </row>
    <row r="339" spans="1:9">
      <c r="A339" t="s">
        <v>8</v>
      </c>
      <c r="B339" s="2">
        <f t="shared" si="20"/>
        <v>18</v>
      </c>
      <c r="C339">
        <v>672</v>
      </c>
      <c r="D339">
        <v>307</v>
      </c>
      <c r="E339">
        <v>232</v>
      </c>
      <c r="F339">
        <f t="shared" si="21"/>
        <v>-0.98724556177700196</v>
      </c>
      <c r="G339">
        <f t="shared" si="22"/>
        <v>-1.099477940093752</v>
      </c>
      <c r="I339">
        <f t="shared" si="23"/>
        <v>-1.043361750935377</v>
      </c>
    </row>
    <row r="340" spans="1:9">
      <c r="A340" t="s">
        <v>5</v>
      </c>
      <c r="B340" s="2">
        <f t="shared" si="20"/>
        <v>18</v>
      </c>
      <c r="C340">
        <v>531</v>
      </c>
      <c r="D340">
        <v>28</v>
      </c>
      <c r="E340">
        <v>22</v>
      </c>
      <c r="F340">
        <f t="shared" si="21"/>
        <v>-1.9249511539396129</v>
      </c>
      <c r="G340">
        <f t="shared" si="22"/>
        <v>-2.0202684921900893</v>
      </c>
      <c r="I340">
        <f t="shared" si="23"/>
        <v>-1.9726098230648512</v>
      </c>
    </row>
    <row r="341" spans="1:9">
      <c r="A341" t="s">
        <v>6</v>
      </c>
      <c r="B341" s="2">
        <f t="shared" si="20"/>
        <v>18</v>
      </c>
      <c r="C341">
        <v>518</v>
      </c>
      <c r="D341">
        <v>27</v>
      </c>
      <c r="E341">
        <v>14</v>
      </c>
      <c r="F341">
        <f t="shared" si="21"/>
        <v>-1.9299806597866089</v>
      </c>
      <c r="G341">
        <f t="shared" si="22"/>
        <v>-2.2057983759978215</v>
      </c>
      <c r="I341">
        <f t="shared" si="23"/>
        <v>-2.0678895178922154</v>
      </c>
    </row>
    <row r="342" spans="1:9">
      <c r="A342" t="s">
        <v>10</v>
      </c>
      <c r="B342" s="2">
        <f t="shared" si="20"/>
        <v>18</v>
      </c>
      <c r="C342">
        <v>706</v>
      </c>
      <c r="D342">
        <v>10</v>
      </c>
      <c r="E342">
        <v>10</v>
      </c>
      <c r="F342">
        <f t="shared" si="21"/>
        <v>-2.4958193652521672</v>
      </c>
      <c r="G342">
        <f t="shared" si="22"/>
        <v>-2.4864013529826305</v>
      </c>
      <c r="I342">
        <f t="shared" si="23"/>
        <v>-2.4911103591173989</v>
      </c>
    </row>
    <row r="343" spans="1:9">
      <c r="A343" t="s">
        <v>11</v>
      </c>
      <c r="B343" s="2">
        <f t="shared" si="20"/>
        <v>18</v>
      </c>
      <c r="C343">
        <v>674</v>
      </c>
      <c r="D343">
        <v>27</v>
      </c>
      <c r="E343">
        <v>17</v>
      </c>
      <c r="F343">
        <f t="shared" si="21"/>
        <v>-2.0443107965766956</v>
      </c>
      <c r="G343">
        <f t="shared" si="22"/>
        <v>-2.2358076270878726</v>
      </c>
      <c r="I343">
        <f t="shared" si="23"/>
        <v>-2.1400592118322841</v>
      </c>
    </row>
    <row r="344" spans="1:9">
      <c r="A344" t="s">
        <v>12</v>
      </c>
      <c r="B344" s="2">
        <f t="shared" si="20"/>
        <v>18</v>
      </c>
      <c r="C344">
        <v>943</v>
      </c>
      <c r="D344">
        <v>37</v>
      </c>
      <c r="E344">
        <v>31</v>
      </c>
      <c r="F344">
        <f t="shared" si="21"/>
        <v>-2.0533246328706962</v>
      </c>
      <c r="G344">
        <f t="shared" si="22"/>
        <v>-2.1207466508338824</v>
      </c>
      <c r="I344">
        <f t="shared" si="23"/>
        <v>-2.0870356418522893</v>
      </c>
    </row>
    <row r="345" spans="1:9">
      <c r="A345" t="s">
        <v>9</v>
      </c>
      <c r="B345" s="2">
        <f t="shared" si="20"/>
        <v>18</v>
      </c>
      <c r="C345">
        <v>974</v>
      </c>
      <c r="D345">
        <v>573</v>
      </c>
      <c r="E345">
        <v>699</v>
      </c>
      <c r="F345">
        <f t="shared" si="21"/>
        <v>-0.8774189991115886</v>
      </c>
      <c r="G345">
        <f t="shared" si="22"/>
        <v>-0.78167843306376061</v>
      </c>
      <c r="I345">
        <f t="shared" si="23"/>
        <v>-0.82954871608767466</v>
      </c>
    </row>
    <row r="346" spans="1:9">
      <c r="A346" t="s">
        <v>13</v>
      </c>
      <c r="B346" s="2">
        <f t="shared" si="20"/>
        <v>18</v>
      </c>
      <c r="C346">
        <v>447</v>
      </c>
      <c r="D346">
        <v>10</v>
      </c>
      <c r="E346">
        <v>3</v>
      </c>
      <c r="F346">
        <f t="shared" si="21"/>
        <v>-2.2973221873322993</v>
      </c>
      <c r="G346">
        <f t="shared" si="22"/>
        <v>-2.8107829203431005</v>
      </c>
      <c r="I346">
        <f t="shared" si="23"/>
        <v>-2.5540525538376997</v>
      </c>
    </row>
    <row r="347" spans="1:9">
      <c r="A347" t="s">
        <v>14</v>
      </c>
      <c r="B347" s="2">
        <f t="shared" si="20"/>
        <v>18</v>
      </c>
      <c r="C347">
        <v>777</v>
      </c>
      <c r="D347">
        <v>122</v>
      </c>
      <c r="E347">
        <v>68</v>
      </c>
      <c r="F347">
        <f t="shared" si="21"/>
        <v>-1.4510758523265292</v>
      </c>
      <c r="G347">
        <f t="shared" si="22"/>
        <v>-1.6955087580255044</v>
      </c>
      <c r="I347">
        <f t="shared" si="23"/>
        <v>-1.5732923051760168</v>
      </c>
    </row>
    <row r="348" spans="1:9">
      <c r="A348" t="s">
        <v>15</v>
      </c>
      <c r="B348" s="2">
        <f t="shared" si="20"/>
        <v>18</v>
      </c>
      <c r="C348">
        <v>752</v>
      </c>
      <c r="D348">
        <v>301</v>
      </c>
      <c r="E348">
        <v>164</v>
      </c>
      <c r="F348">
        <f t="shared" si="21"/>
        <v>-1.0446660091981621</v>
      </c>
      <c r="G348">
        <f t="shared" si="22"/>
        <v>-1.2989706444747708</v>
      </c>
      <c r="I348">
        <f t="shared" si="23"/>
        <v>-1.1718183268364664</v>
      </c>
    </row>
    <row r="349" spans="1:9">
      <c r="A349" t="s">
        <v>16</v>
      </c>
      <c r="B349" s="2">
        <f t="shared" si="20"/>
        <v>18</v>
      </c>
      <c r="C349">
        <v>30</v>
      </c>
      <c r="D349">
        <v>96</v>
      </c>
      <c r="E349">
        <v>99</v>
      </c>
      <c r="F349">
        <f t="shared" si="21"/>
        <v>-0.14186468588045709</v>
      </c>
      <c r="G349">
        <f t="shared" si="22"/>
        <v>-0.11908271205293908</v>
      </c>
      <c r="I349">
        <f t="shared" si="23"/>
        <v>-0.13047369896669808</v>
      </c>
    </row>
    <row r="350" spans="1:9">
      <c r="A350" t="s">
        <v>17</v>
      </c>
      <c r="B350" s="2">
        <f t="shared" si="20"/>
        <v>18</v>
      </c>
      <c r="C350">
        <v>936</v>
      </c>
      <c r="D350">
        <v>75</v>
      </c>
      <c r="E350">
        <v>21</v>
      </c>
      <c r="F350">
        <f t="shared" si="21"/>
        <v>-1.7432292495467683</v>
      </c>
      <c r="G350">
        <f t="shared" si="22"/>
        <v>-2.2866532059350124</v>
      </c>
      <c r="I350">
        <f t="shared" si="23"/>
        <v>-2.0149412277408905</v>
      </c>
    </row>
    <row r="351" spans="1:9">
      <c r="A351" t="s">
        <v>18</v>
      </c>
      <c r="B351" s="2">
        <f t="shared" si="20"/>
        <v>18</v>
      </c>
      <c r="C351">
        <v>969</v>
      </c>
      <c r="D351">
        <v>24</v>
      </c>
      <c r="E351">
        <v>32</v>
      </c>
      <c r="F351">
        <f t="shared" si="21"/>
        <v>-2.2531271995395223</v>
      </c>
      <c r="G351">
        <f t="shared" si="22"/>
        <v>-2.1187704506616858</v>
      </c>
      <c r="I351">
        <f t="shared" si="23"/>
        <v>-2.1859488251006041</v>
      </c>
    </row>
    <row r="352" spans="1:9">
      <c r="A352" t="s">
        <v>19</v>
      </c>
      <c r="B352" s="2">
        <f t="shared" si="20"/>
        <v>18</v>
      </c>
      <c r="C352">
        <v>782</v>
      </c>
      <c r="D352">
        <v>42</v>
      </c>
      <c r="E352">
        <v>39</v>
      </c>
      <c r="F352">
        <f t="shared" si="21"/>
        <v>-1.9169721268623106</v>
      </c>
      <c r="G352">
        <f t="shared" si="22"/>
        <v>-1.9397387979641754</v>
      </c>
      <c r="I352">
        <f t="shared" si="23"/>
        <v>-1.9283554624132431</v>
      </c>
    </row>
    <row r="353" spans="1:9">
      <c r="A353" t="s">
        <v>20</v>
      </c>
      <c r="B353" s="2">
        <f t="shared" si="20"/>
        <v>18</v>
      </c>
      <c r="C353">
        <v>638</v>
      </c>
      <c r="D353">
        <v>90</v>
      </c>
      <c r="E353">
        <v>59</v>
      </c>
      <c r="F353">
        <f t="shared" si="21"/>
        <v>-1.4975928334822006</v>
      </c>
      <c r="G353">
        <f t="shared" si="22"/>
        <v>-1.6715653190098447</v>
      </c>
      <c r="I353">
        <f t="shared" si="23"/>
        <v>-1.5845790762460226</v>
      </c>
    </row>
    <row r="354" spans="1:9">
      <c r="A354" t="s">
        <v>21</v>
      </c>
      <c r="B354" s="2">
        <f t="shared" si="20"/>
        <v>18</v>
      </c>
      <c r="C354">
        <v>1177</v>
      </c>
      <c r="D354">
        <v>73</v>
      </c>
      <c r="E354">
        <v>36</v>
      </c>
      <c r="F354">
        <f t="shared" si="21"/>
        <v>-1.8544682669233419</v>
      </c>
      <c r="G354">
        <f t="shared" si="22"/>
        <v>-2.1520706140069739</v>
      </c>
      <c r="I354">
        <f t="shared" si="23"/>
        <v>-2.0032694404651581</v>
      </c>
    </row>
    <row r="355" spans="1:9">
      <c r="A355" t="s">
        <v>22</v>
      </c>
      <c r="B355" s="2">
        <f t="shared" si="20"/>
        <v>18</v>
      </c>
      <c r="C355">
        <v>491</v>
      </c>
      <c r="D355">
        <v>64</v>
      </c>
      <c r="E355">
        <v>29</v>
      </c>
      <c r="F355">
        <f t="shared" si="21"/>
        <v>-1.5319161823394445</v>
      </c>
      <c r="G355">
        <f t="shared" si="22"/>
        <v>-1.8662801461548388</v>
      </c>
      <c r="I355">
        <f t="shared" si="23"/>
        <v>-1.6990981642471417</v>
      </c>
    </row>
    <row r="356" spans="1:9">
      <c r="A356" t="s">
        <v>23</v>
      </c>
      <c r="B356" s="2">
        <f t="shared" si="20"/>
        <v>18</v>
      </c>
      <c r="C356">
        <v>614</v>
      </c>
      <c r="D356">
        <v>64</v>
      </c>
      <c r="E356">
        <v>51</v>
      </c>
      <c r="F356">
        <f t="shared" si="21"/>
        <v>-1.6290030613576436</v>
      </c>
      <c r="G356">
        <f t="shared" si="22"/>
        <v>-1.7181948469740578</v>
      </c>
      <c r="I356">
        <f t="shared" si="23"/>
        <v>-1.6735989541658507</v>
      </c>
    </row>
    <row r="357" spans="1:9">
      <c r="A357" t="s">
        <v>24</v>
      </c>
      <c r="B357" s="2">
        <f t="shared" si="20"/>
        <v>18</v>
      </c>
      <c r="C357">
        <v>773</v>
      </c>
      <c r="D357">
        <v>72</v>
      </c>
      <c r="E357">
        <v>36</v>
      </c>
      <c r="F357">
        <f t="shared" si="21"/>
        <v>-1.6778616616874196</v>
      </c>
      <c r="G357">
        <f t="shared" si="22"/>
        <v>-1.9694736450818642</v>
      </c>
      <c r="I357">
        <f t="shared" si="23"/>
        <v>-1.8236676533846419</v>
      </c>
    </row>
    <row r="358" spans="1:9">
      <c r="A358" t="s">
        <v>25</v>
      </c>
      <c r="B358" s="2">
        <f t="shared" si="20"/>
        <v>18</v>
      </c>
      <c r="C358">
        <v>1014</v>
      </c>
      <c r="D358">
        <v>61</v>
      </c>
      <c r="E358">
        <v>64</v>
      </c>
      <c r="F358">
        <f t="shared" si="21"/>
        <v>-1.8677227841869133</v>
      </c>
      <c r="G358">
        <f t="shared" si="22"/>
        <v>-1.8374546329442565</v>
      </c>
      <c r="I358">
        <f t="shared" si="23"/>
        <v>-1.8525887085655848</v>
      </c>
    </row>
    <row r="359" spans="1:9">
      <c r="A359" t="s">
        <v>7</v>
      </c>
      <c r="B359" s="2">
        <f t="shared" si="20"/>
        <v>19</v>
      </c>
      <c r="C359">
        <v>343</v>
      </c>
      <c r="D359">
        <v>7</v>
      </c>
      <c r="E359">
        <v>8</v>
      </c>
      <c r="F359">
        <f t="shared" si="21"/>
        <v>-2.3372107442288765</v>
      </c>
      <c r="G359">
        <f t="shared" si="22"/>
        <v>-2.2698007849816535</v>
      </c>
      <c r="I359">
        <f t="shared" si="23"/>
        <v>-2.3035057646052648</v>
      </c>
    </row>
    <row r="360" spans="1:9">
      <c r="A360" t="s">
        <v>8</v>
      </c>
      <c r="B360" s="2">
        <f t="shared" si="20"/>
        <v>19</v>
      </c>
      <c r="C360">
        <v>417</v>
      </c>
      <c r="D360">
        <v>47</v>
      </c>
      <c r="E360">
        <v>56</v>
      </c>
      <c r="F360">
        <f t="shared" si="21"/>
        <v>-1.5950528612384032</v>
      </c>
      <c r="G360">
        <f t="shared" si="22"/>
        <v>-1.5095446798983836</v>
      </c>
      <c r="I360">
        <f t="shared" si="23"/>
        <v>-1.5522987705683935</v>
      </c>
    </row>
    <row r="361" spans="1:9">
      <c r="A361" t="s">
        <v>5</v>
      </c>
      <c r="B361" s="2">
        <f t="shared" si="20"/>
        <v>19</v>
      </c>
      <c r="C361">
        <v>200</v>
      </c>
      <c r="D361">
        <v>231</v>
      </c>
      <c r="E361">
        <v>174</v>
      </c>
      <c r="F361">
        <f t="shared" si="21"/>
        <v>-0.58443267997220005</v>
      </c>
      <c r="G361">
        <f t="shared" si="22"/>
        <v>-0.69807739931220791</v>
      </c>
      <c r="I361">
        <f t="shared" si="23"/>
        <v>-0.64125503964220398</v>
      </c>
    </row>
    <row r="362" spans="1:9">
      <c r="A362" t="s">
        <v>6</v>
      </c>
      <c r="B362" s="2">
        <f t="shared" si="20"/>
        <v>19</v>
      </c>
      <c r="C362">
        <v>509</v>
      </c>
      <c r="D362">
        <v>448</v>
      </c>
      <c r="E362">
        <v>629</v>
      </c>
      <c r="F362">
        <f t="shared" si="21"/>
        <v>-0.70245443253897788</v>
      </c>
      <c r="G362">
        <f t="shared" si="22"/>
        <v>-0.54566378882231636</v>
      </c>
      <c r="I362">
        <f t="shared" si="23"/>
        <v>-0.62405911068064712</v>
      </c>
    </row>
    <row r="363" spans="1:9">
      <c r="A363" t="s">
        <v>10</v>
      </c>
      <c r="B363" s="2">
        <f t="shared" si="20"/>
        <v>19</v>
      </c>
      <c r="C363">
        <v>666</v>
      </c>
      <c r="D363">
        <v>173</v>
      </c>
      <c r="E363">
        <v>406</v>
      </c>
      <c r="F363">
        <f t="shared" si="21"/>
        <v>-1.2324427902418689</v>
      </c>
      <c r="G363">
        <f t="shared" si="22"/>
        <v>-0.85254484752393345</v>
      </c>
      <c r="I363">
        <f t="shared" si="23"/>
        <v>-1.0424938188829012</v>
      </c>
    </row>
    <row r="364" spans="1:9">
      <c r="A364" t="s">
        <v>11</v>
      </c>
      <c r="B364" s="2">
        <f t="shared" si="20"/>
        <v>19</v>
      </c>
      <c r="C364">
        <v>899</v>
      </c>
      <c r="D364">
        <v>18</v>
      </c>
      <c r="E364">
        <v>15</v>
      </c>
      <c r="F364">
        <f t="shared" si="21"/>
        <v>-2.3455018508302858</v>
      </c>
      <c r="G364">
        <f t="shared" si="22"/>
        <v>-2.4152650846083743</v>
      </c>
      <c r="I364">
        <f t="shared" si="23"/>
        <v>-2.3803834677193301</v>
      </c>
    </row>
    <row r="365" spans="1:9">
      <c r="A365" t="s">
        <v>12</v>
      </c>
      <c r="B365" s="2">
        <f t="shared" si="20"/>
        <v>19</v>
      </c>
      <c r="C365">
        <v>910</v>
      </c>
      <c r="D365">
        <v>64</v>
      </c>
      <c r="E365">
        <v>71</v>
      </c>
      <c r="F365">
        <f t="shared" si="21"/>
        <v>-1.7998760825375695</v>
      </c>
      <c r="G365">
        <f t="shared" si="22"/>
        <v>-1.7453796955328449</v>
      </c>
      <c r="I365">
        <f t="shared" si="23"/>
        <v>-1.7726278890352072</v>
      </c>
    </row>
    <row r="366" spans="1:9">
      <c r="A366" t="s">
        <v>9</v>
      </c>
      <c r="B366" s="2">
        <f t="shared" si="20"/>
        <v>19</v>
      </c>
      <c r="C366">
        <v>81057</v>
      </c>
      <c r="D366">
        <v>359588</v>
      </c>
      <c r="E366">
        <v>351874</v>
      </c>
      <c r="F366">
        <f t="shared" si="21"/>
        <v>0</v>
      </c>
      <c r="G366">
        <f t="shared" si="22"/>
        <v>0</v>
      </c>
      <c r="I366">
        <f t="shared" si="23"/>
        <v>0</v>
      </c>
    </row>
    <row r="367" spans="1:9">
      <c r="A367" t="s">
        <v>13</v>
      </c>
      <c r="B367" s="2">
        <f t="shared" si="20"/>
        <v>19</v>
      </c>
      <c r="C367">
        <v>379</v>
      </c>
      <c r="D367">
        <v>409</v>
      </c>
      <c r="E367">
        <v>949</v>
      </c>
      <c r="F367">
        <f t="shared" si="21"/>
        <v>-0.61393056616109365</v>
      </c>
      <c r="G367">
        <f t="shared" si="22"/>
        <v>-0.23896964947160615</v>
      </c>
      <c r="I367">
        <f t="shared" si="23"/>
        <v>-0.4264501078163499</v>
      </c>
    </row>
    <row r="368" spans="1:9">
      <c r="A368" t="s">
        <v>14</v>
      </c>
      <c r="B368" s="2">
        <f t="shared" si="20"/>
        <v>19</v>
      </c>
      <c r="C368">
        <v>376</v>
      </c>
      <c r="D368">
        <v>284</v>
      </c>
      <c r="E368">
        <v>208</v>
      </c>
      <c r="F368">
        <f t="shared" si="21"/>
        <v>-0.76888416908098645</v>
      </c>
      <c r="G368">
        <f t="shared" si="22"/>
        <v>-0.89472116189572604</v>
      </c>
      <c r="I368">
        <f t="shared" si="23"/>
        <v>-0.83180266548835624</v>
      </c>
    </row>
    <row r="369" spans="1:9">
      <c r="A369" t="s">
        <v>15</v>
      </c>
      <c r="B369" s="2">
        <f t="shared" si="20"/>
        <v>19</v>
      </c>
      <c r="C369">
        <v>524</v>
      </c>
      <c r="D369">
        <v>71</v>
      </c>
      <c r="E369">
        <v>67</v>
      </c>
      <c r="F369">
        <f t="shared" si="21"/>
        <v>-1.5150876024650146</v>
      </c>
      <c r="G369">
        <f t="shared" si="22"/>
        <v>-1.5308531362137268</v>
      </c>
      <c r="I369">
        <f t="shared" si="23"/>
        <v>-1.5229703693393706</v>
      </c>
    </row>
    <row r="370" spans="1:9">
      <c r="A370" t="s">
        <v>16</v>
      </c>
      <c r="B370" s="2">
        <f t="shared" si="20"/>
        <v>19</v>
      </c>
      <c r="C370">
        <v>634</v>
      </c>
      <c r="D370">
        <v>78</v>
      </c>
      <c r="E370">
        <v>108</v>
      </c>
      <c r="F370">
        <f t="shared" si="21"/>
        <v>-1.5570093193916155</v>
      </c>
      <c r="G370">
        <f t="shared" si="22"/>
        <v>-1.4062621543256095</v>
      </c>
      <c r="I370">
        <f t="shared" si="23"/>
        <v>-1.4816357368586126</v>
      </c>
    </row>
    <row r="371" spans="1:9">
      <c r="A371" t="s">
        <v>17</v>
      </c>
      <c r="B371" s="2">
        <f t="shared" si="20"/>
        <v>19</v>
      </c>
      <c r="C371">
        <v>767</v>
      </c>
      <c r="D371">
        <v>91</v>
      </c>
      <c r="E371">
        <v>112</v>
      </c>
      <c r="F371">
        <f t="shared" si="21"/>
        <v>-1.5727686358282504</v>
      </c>
      <c r="G371">
        <f t="shared" si="22"/>
        <v>-1.4731739932096257</v>
      </c>
      <c r="I371">
        <f t="shared" si="23"/>
        <v>-1.5229713145189381</v>
      </c>
    </row>
    <row r="372" spans="1:9">
      <c r="A372" t="s">
        <v>18</v>
      </c>
      <c r="B372" s="2">
        <f t="shared" si="20"/>
        <v>19</v>
      </c>
      <c r="C372">
        <v>554</v>
      </c>
      <c r="D372">
        <v>737</v>
      </c>
      <c r="E372">
        <v>352</v>
      </c>
      <c r="F372">
        <f t="shared" si="21"/>
        <v>-0.52305694106974143</v>
      </c>
      <c r="G372">
        <f t="shared" si="22"/>
        <v>-0.83456375318112519</v>
      </c>
      <c r="I372">
        <f t="shared" si="23"/>
        <v>-0.67881034712543331</v>
      </c>
    </row>
    <row r="373" spans="1:9">
      <c r="A373" t="s">
        <v>19</v>
      </c>
      <c r="B373" s="2">
        <f t="shared" si="20"/>
        <v>19</v>
      </c>
      <c r="C373">
        <v>336</v>
      </c>
      <c r="D373">
        <v>299</v>
      </c>
      <c r="E373">
        <v>108</v>
      </c>
      <c r="F373">
        <f t="shared" si="21"/>
        <v>-0.69768275326577756</v>
      </c>
      <c r="G373">
        <f t="shared" si="22"/>
        <v>-1.1305121738337207</v>
      </c>
      <c r="I373">
        <f t="shared" si="23"/>
        <v>-0.91409746354974919</v>
      </c>
    </row>
    <row r="374" spans="1:9">
      <c r="A374" t="s">
        <v>20</v>
      </c>
      <c r="B374" s="2">
        <f t="shared" si="20"/>
        <v>19</v>
      </c>
      <c r="C374">
        <v>186</v>
      </c>
      <c r="D374">
        <v>63</v>
      </c>
      <c r="E374">
        <v>70</v>
      </c>
      <c r="F374">
        <f t="shared" si="21"/>
        <v>-1.1171870589646977</v>
      </c>
      <c r="G374">
        <f t="shared" si="22"/>
        <v>-1.0620115561344861</v>
      </c>
      <c r="I374">
        <f t="shared" si="23"/>
        <v>-1.0895993075495918</v>
      </c>
    </row>
    <row r="375" spans="1:9">
      <c r="A375" t="s">
        <v>21</v>
      </c>
      <c r="B375" s="2">
        <f t="shared" si="20"/>
        <v>19</v>
      </c>
      <c r="C375">
        <v>1162</v>
      </c>
      <c r="D375">
        <v>347</v>
      </c>
      <c r="E375">
        <v>719</v>
      </c>
      <c r="F375">
        <f t="shared" si="21"/>
        <v>-1.1718913174638015</v>
      </c>
      <c r="G375">
        <f t="shared" si="22"/>
        <v>-0.84607388960225582</v>
      </c>
      <c r="I375">
        <f t="shared" si="23"/>
        <v>-1.0089826035330287</v>
      </c>
    </row>
    <row r="376" spans="1:9">
      <c r="A376" t="s">
        <v>22</v>
      </c>
      <c r="B376" s="2">
        <f t="shared" si="20"/>
        <v>19</v>
      </c>
      <c r="C376">
        <v>392</v>
      </c>
      <c r="D376">
        <v>128</v>
      </c>
      <c r="E376">
        <v>223</v>
      </c>
      <c r="F376">
        <f t="shared" si="21"/>
        <v>-1.133090761572952</v>
      </c>
      <c r="G376">
        <f t="shared" si="22"/>
        <v>-0.8825778559031231</v>
      </c>
      <c r="I376">
        <f t="shared" si="23"/>
        <v>-1.0078343087380375</v>
      </c>
    </row>
    <row r="377" spans="1:9">
      <c r="A377" t="s">
        <v>23</v>
      </c>
      <c r="B377" s="2">
        <f t="shared" si="20"/>
        <v>19</v>
      </c>
      <c r="C377">
        <v>243</v>
      </c>
      <c r="D377">
        <v>133</v>
      </c>
      <c r="E377">
        <v>48</v>
      </c>
      <c r="F377">
        <f t="shared" si="21"/>
        <v>-0.90876929683158958</v>
      </c>
      <c r="G377">
        <f t="shared" si="22"/>
        <v>-1.3419616881535514</v>
      </c>
      <c r="I377">
        <f t="shared" si="23"/>
        <v>-1.1253654924925705</v>
      </c>
    </row>
    <row r="378" spans="1:9">
      <c r="A378" t="s">
        <v>24</v>
      </c>
      <c r="B378" s="2">
        <f t="shared" si="20"/>
        <v>19</v>
      </c>
      <c r="C378">
        <v>875</v>
      </c>
      <c r="D378">
        <v>83</v>
      </c>
      <c r="E378">
        <v>36</v>
      </c>
      <c r="F378">
        <f t="shared" si="21"/>
        <v>-1.6699446248466026</v>
      </c>
      <c r="G378">
        <f t="shared" si="22"/>
        <v>-2.0233022041858524</v>
      </c>
      <c r="I378">
        <f t="shared" si="23"/>
        <v>-1.8466234145162275</v>
      </c>
    </row>
    <row r="379" spans="1:9">
      <c r="A379" t="s">
        <v>25</v>
      </c>
      <c r="B379" s="2">
        <f t="shared" si="20"/>
        <v>19</v>
      </c>
      <c r="C379">
        <v>927</v>
      </c>
      <c r="D379">
        <v>49</v>
      </c>
      <c r="E379">
        <v>14</v>
      </c>
      <c r="F379">
        <f t="shared" si="21"/>
        <v>-1.9238983183163465</v>
      </c>
      <c r="G379">
        <f t="shared" si="22"/>
        <v>-2.4585483503970855</v>
      </c>
      <c r="I379">
        <f t="shared" si="23"/>
        <v>-2.191223334356716</v>
      </c>
    </row>
    <row r="380" spans="1:9">
      <c r="A380" t="s">
        <v>7</v>
      </c>
      <c r="B380" s="2">
        <f t="shared" si="20"/>
        <v>20</v>
      </c>
      <c r="C380">
        <v>343</v>
      </c>
      <c r="D380">
        <v>2</v>
      </c>
      <c r="E380">
        <v>18</v>
      </c>
      <c r="F380">
        <f t="shared" si="21"/>
        <v>-2.8812787885791526</v>
      </c>
      <c r="G380">
        <f t="shared" si="22"/>
        <v>-1.9176182668702908</v>
      </c>
      <c r="I380">
        <f t="shared" si="23"/>
        <v>-2.3994485277247217</v>
      </c>
    </row>
    <row r="381" spans="1:9">
      <c r="A381" t="s">
        <v>8</v>
      </c>
      <c r="B381" s="2">
        <f t="shared" si="20"/>
        <v>20</v>
      </c>
      <c r="C381">
        <v>812</v>
      </c>
      <c r="D381">
        <v>22</v>
      </c>
      <c r="E381">
        <v>34</v>
      </c>
      <c r="F381">
        <f t="shared" si="21"/>
        <v>-2.214148012619332</v>
      </c>
      <c r="G381">
        <f t="shared" si="22"/>
        <v>-2.0156737641297466</v>
      </c>
      <c r="I381">
        <f t="shared" si="23"/>
        <v>-2.1149108883745393</v>
      </c>
    </row>
    <row r="382" spans="1:9">
      <c r="A382" t="s">
        <v>5</v>
      </c>
      <c r="B382" s="2">
        <f t="shared" si="20"/>
        <v>20</v>
      </c>
      <c r="C382">
        <v>352</v>
      </c>
      <c r="D382">
        <v>72</v>
      </c>
      <c r="E382">
        <v>121</v>
      </c>
      <c r="F382">
        <f t="shared" si="21"/>
        <v>-1.3362248312472258</v>
      </c>
      <c r="G382">
        <f t="shared" si="22"/>
        <v>-1.1013539450925074</v>
      </c>
      <c r="I382">
        <f t="shared" si="23"/>
        <v>-1.2187893881698666</v>
      </c>
    </row>
    <row r="383" spans="1:9">
      <c r="A383" t="s">
        <v>6</v>
      </c>
      <c r="B383" s="2">
        <f t="shared" si="20"/>
        <v>20</v>
      </c>
      <c r="C383">
        <v>793</v>
      </c>
      <c r="D383">
        <v>130</v>
      </c>
      <c r="E383">
        <v>48</v>
      </c>
      <c r="F383">
        <f t="shared" si="21"/>
        <v>-1.4323444992111303</v>
      </c>
      <c r="G383">
        <f t="shared" si="22"/>
        <v>-1.8556286018728432</v>
      </c>
      <c r="I383">
        <f t="shared" si="23"/>
        <v>-1.6439865505419866</v>
      </c>
    </row>
    <row r="384" spans="1:9">
      <c r="A384" t="s">
        <v>10</v>
      </c>
      <c r="B384" s="2">
        <f t="shared" si="20"/>
        <v>20</v>
      </c>
      <c r="C384">
        <v>824</v>
      </c>
      <c r="D384">
        <v>30</v>
      </c>
      <c r="E384">
        <v>43</v>
      </c>
      <c r="F384">
        <f t="shared" si="21"/>
        <v>-2.0858206211778167</v>
      </c>
      <c r="G384">
        <f t="shared" si="22"/>
        <v>-1.9200554080483558</v>
      </c>
      <c r="I384">
        <f t="shared" si="23"/>
        <v>-2.0029380146130862</v>
      </c>
    </row>
    <row r="385" spans="1:9">
      <c r="A385" t="s">
        <v>11</v>
      </c>
      <c r="B385" s="2">
        <f t="shared" si="20"/>
        <v>20</v>
      </c>
      <c r="C385">
        <v>502</v>
      </c>
      <c r="D385">
        <v>48</v>
      </c>
      <c r="E385">
        <v>44</v>
      </c>
      <c r="F385">
        <f t="shared" si="21"/>
        <v>-1.6664771439697952</v>
      </c>
      <c r="G385">
        <f t="shared" si="22"/>
        <v>-1.6948476925896583</v>
      </c>
      <c r="I385">
        <f t="shared" si="23"/>
        <v>-1.6806624182797267</v>
      </c>
    </row>
    <row r="386" spans="1:9">
      <c r="A386" t="s">
        <v>12</v>
      </c>
      <c r="B386" s="2">
        <f t="shared" si="20"/>
        <v>20</v>
      </c>
      <c r="C386">
        <v>809</v>
      </c>
      <c r="D386">
        <v>81</v>
      </c>
      <c r="E386">
        <v>45</v>
      </c>
      <c r="F386">
        <f t="shared" si="21"/>
        <v>-1.6464781669339856</v>
      </c>
      <c r="G386">
        <f t="shared" si="22"/>
        <v>-1.892332659767755</v>
      </c>
      <c r="I386">
        <f t="shared" si="23"/>
        <v>-1.7694054133508703</v>
      </c>
    </row>
    <row r="387" spans="1:9">
      <c r="A387" t="s">
        <v>9</v>
      </c>
      <c r="B387" s="2">
        <f t="shared" ref="B387:B450" si="24">1+INT((ROW()-2)/21)+1</f>
        <v>20</v>
      </c>
      <c r="C387">
        <v>377</v>
      </c>
      <c r="D387">
        <v>38</v>
      </c>
      <c r="E387">
        <v>42</v>
      </c>
      <c r="F387">
        <f t="shared" ref="F387:F450" si="25">LOG10(D387/C387)-LOG10(359588/81057)</f>
        <v>-1.6435724177893458</v>
      </c>
      <c r="G387">
        <f t="shared" ref="G387:G450" si="26">LOG10(E387/C387)-LOG10(351874/81057)</f>
        <v>-1.5906887117387187</v>
      </c>
      <c r="I387">
        <f t="shared" ref="I387:I450" si="27">AVERAGE(F387:G387)</f>
        <v>-1.6171305647640324</v>
      </c>
    </row>
    <row r="388" spans="1:9">
      <c r="A388" t="s">
        <v>13</v>
      </c>
      <c r="B388" s="2">
        <f t="shared" si="24"/>
        <v>20</v>
      </c>
      <c r="C388">
        <v>322</v>
      </c>
      <c r="D388">
        <v>33</v>
      </c>
      <c r="E388">
        <v>59</v>
      </c>
      <c r="F388">
        <f t="shared" si="25"/>
        <v>-1.6363565960183064</v>
      </c>
      <c r="G388">
        <f t="shared" si="26"/>
        <v>-1.3746005119845131</v>
      </c>
      <c r="I388">
        <f t="shared" si="27"/>
        <v>-1.5054785540014097</v>
      </c>
    </row>
    <row r="389" spans="1:9">
      <c r="A389" t="s">
        <v>14</v>
      </c>
      <c r="B389" s="2">
        <f t="shared" si="24"/>
        <v>20</v>
      </c>
      <c r="C389">
        <v>482</v>
      </c>
      <c r="D389">
        <v>9</v>
      </c>
      <c r="E389">
        <v>15</v>
      </c>
      <c r="F389">
        <f t="shared" si="25"/>
        <v>-2.375819192999888</v>
      </c>
      <c r="G389">
        <f t="shared" si="26"/>
        <v>-2.1445524311139947</v>
      </c>
      <c r="I389">
        <f t="shared" si="27"/>
        <v>-2.2601858120569416</v>
      </c>
    </row>
    <row r="390" spans="1:9">
      <c r="A390" t="s">
        <v>15</v>
      </c>
      <c r="B390" s="2">
        <f t="shared" si="24"/>
        <v>20</v>
      </c>
      <c r="C390">
        <v>1066</v>
      </c>
      <c r="D390">
        <v>90</v>
      </c>
      <c r="E390">
        <v>82</v>
      </c>
      <c r="F390">
        <f t="shared" si="25"/>
        <v>-1.7205293594515918</v>
      </c>
      <c r="G390">
        <f t="shared" si="26"/>
        <v>-1.7515400042376632</v>
      </c>
      <c r="I390">
        <f t="shared" si="27"/>
        <v>-1.7360346818446275</v>
      </c>
    </row>
    <row r="391" spans="1:9">
      <c r="A391" t="s">
        <v>16</v>
      </c>
      <c r="B391" s="2">
        <f t="shared" si="24"/>
        <v>20</v>
      </c>
      <c r="C391">
        <v>369</v>
      </c>
      <c r="D391">
        <v>29</v>
      </c>
      <c r="E391">
        <v>20</v>
      </c>
      <c r="F391">
        <f t="shared" si="25"/>
        <v>-1.7516430324604675</v>
      </c>
      <c r="G391">
        <f t="shared" si="26"/>
        <v>-1.9035930224259057</v>
      </c>
      <c r="I391">
        <f t="shared" si="27"/>
        <v>-1.8276180274431866</v>
      </c>
    </row>
    <row r="392" spans="1:9">
      <c r="A392" t="s">
        <v>17</v>
      </c>
      <c r="B392" s="2">
        <f t="shared" si="24"/>
        <v>20</v>
      </c>
      <c r="C392">
        <v>301</v>
      </c>
      <c r="D392">
        <v>35</v>
      </c>
      <c r="E392">
        <v>40</v>
      </c>
      <c r="F392">
        <f t="shared" si="25"/>
        <v>-1.5815131154439308</v>
      </c>
      <c r="G392">
        <f t="shared" si="26"/>
        <v>-1.5141031561967075</v>
      </c>
      <c r="I392">
        <f t="shared" si="27"/>
        <v>-1.5478081358203193</v>
      </c>
    </row>
    <row r="393" spans="1:9">
      <c r="A393" t="s">
        <v>18</v>
      </c>
      <c r="B393" s="2">
        <f t="shared" si="24"/>
        <v>20</v>
      </c>
      <c r="C393">
        <v>503</v>
      </c>
      <c r="D393">
        <v>16</v>
      </c>
      <c r="E393">
        <v>16</v>
      </c>
      <c r="F393">
        <f t="shared" si="25"/>
        <v>-2.1444626666003659</v>
      </c>
      <c r="G393">
        <f t="shared" si="26"/>
        <v>-2.1350446543308292</v>
      </c>
      <c r="I393">
        <f t="shared" si="27"/>
        <v>-2.1397536604655976</v>
      </c>
    </row>
    <row r="394" spans="1:9">
      <c r="A394" t="s">
        <v>19</v>
      </c>
      <c r="B394" s="2">
        <f t="shared" si="24"/>
        <v>20</v>
      </c>
      <c r="C394">
        <v>600</v>
      </c>
      <c r="D394">
        <v>51</v>
      </c>
      <c r="E394">
        <v>88</v>
      </c>
      <c r="F394">
        <f t="shared" si="25"/>
        <v>-1.7175957384860703</v>
      </c>
      <c r="G394">
        <f t="shared" si="26"/>
        <v>-1.4712652301643014</v>
      </c>
      <c r="I394">
        <f t="shared" si="27"/>
        <v>-1.5944304843251857</v>
      </c>
    </row>
    <row r="395" spans="1:9">
      <c r="A395" t="s">
        <v>20</v>
      </c>
      <c r="B395" s="2">
        <f t="shared" si="24"/>
        <v>20</v>
      </c>
      <c r="C395">
        <v>81057</v>
      </c>
      <c r="D395">
        <v>359588</v>
      </c>
      <c r="E395">
        <v>351874</v>
      </c>
      <c r="F395">
        <f t="shared" si="25"/>
        <v>0</v>
      </c>
      <c r="G395">
        <f t="shared" si="26"/>
        <v>0</v>
      </c>
      <c r="I395">
        <f t="shared" si="27"/>
        <v>0</v>
      </c>
    </row>
    <row r="396" spans="1:9">
      <c r="A396" t="s">
        <v>21</v>
      </c>
      <c r="B396" s="2">
        <f t="shared" si="24"/>
        <v>20</v>
      </c>
      <c r="C396">
        <v>957</v>
      </c>
      <c r="D396">
        <v>3273</v>
      </c>
      <c r="E396">
        <v>304</v>
      </c>
      <c r="F396">
        <f t="shared" si="25"/>
        <v>-0.11298059666920235</v>
      </c>
      <c r="G396">
        <f t="shared" si="26"/>
        <v>-1.1356350060989162</v>
      </c>
      <c r="I396">
        <f t="shared" si="27"/>
        <v>-0.62430780138405928</v>
      </c>
    </row>
    <row r="397" spans="1:9">
      <c r="A397" t="s">
        <v>22</v>
      </c>
      <c r="B397" s="2">
        <f t="shared" si="24"/>
        <v>20</v>
      </c>
      <c r="C397">
        <v>537</v>
      </c>
      <c r="D397">
        <v>11</v>
      </c>
      <c r="E397">
        <v>32</v>
      </c>
      <c r="F397">
        <f t="shared" si="25"/>
        <v>-2.3355962647416937</v>
      </c>
      <c r="G397">
        <f t="shared" si="26"/>
        <v>-1.8624209593104761</v>
      </c>
      <c r="I397">
        <f t="shared" si="27"/>
        <v>-2.0990086120260849</v>
      </c>
    </row>
    <row r="398" spans="1:9">
      <c r="A398" t="s">
        <v>23</v>
      </c>
      <c r="B398" s="2">
        <f t="shared" si="24"/>
        <v>20</v>
      </c>
      <c r="C398">
        <v>300</v>
      </c>
      <c r="D398">
        <v>28</v>
      </c>
      <c r="E398">
        <v>17</v>
      </c>
      <c r="F398">
        <f t="shared" si="25"/>
        <v>-1.6769778875778063</v>
      </c>
      <c r="G398">
        <f t="shared" si="26"/>
        <v>-1.884268985272215</v>
      </c>
      <c r="I398">
        <f t="shared" si="27"/>
        <v>-1.7806234364250106</v>
      </c>
    </row>
    <row r="399" spans="1:9">
      <c r="A399" t="s">
        <v>24</v>
      </c>
      <c r="B399" s="2">
        <f t="shared" si="24"/>
        <v>20</v>
      </c>
      <c r="C399">
        <v>642</v>
      </c>
      <c r="D399">
        <v>99</v>
      </c>
      <c r="E399">
        <v>11</v>
      </c>
      <c r="F399">
        <f t="shared" si="25"/>
        <v>-1.4589144976716666</v>
      </c>
      <c r="G399">
        <f t="shared" si="26"/>
        <v>-2.4037389948414547</v>
      </c>
      <c r="I399">
        <f t="shared" si="27"/>
        <v>-1.9313267462565606</v>
      </c>
    </row>
    <row r="400" spans="1:9">
      <c r="A400" t="s">
        <v>25</v>
      </c>
      <c r="B400" s="2">
        <f t="shared" si="24"/>
        <v>20</v>
      </c>
      <c r="C400">
        <v>1062</v>
      </c>
      <c r="D400">
        <v>143</v>
      </c>
      <c r="E400">
        <v>41</v>
      </c>
      <c r="F400">
        <f t="shared" si="25"/>
        <v>-1.5178031434807515</v>
      </c>
      <c r="G400">
        <f t="shared" si="26"/>
        <v>-2.0509373119565413</v>
      </c>
      <c r="I400">
        <f t="shared" si="27"/>
        <v>-1.7843702277186464</v>
      </c>
    </row>
    <row r="401" spans="1:9">
      <c r="A401" t="s">
        <v>7</v>
      </c>
      <c r="B401" s="2">
        <f t="shared" si="24"/>
        <v>21</v>
      </c>
      <c r="C401">
        <v>634</v>
      </c>
      <c r="D401">
        <v>1021</v>
      </c>
      <c r="E401">
        <v>964</v>
      </c>
      <c r="F401">
        <f t="shared" si="25"/>
        <v>-0.44007817999518561</v>
      </c>
      <c r="G401">
        <f t="shared" si="26"/>
        <v>-0.45560887590972837</v>
      </c>
      <c r="I401">
        <f t="shared" si="27"/>
        <v>-0.44784352795245697</v>
      </c>
    </row>
    <row r="402" spans="1:9">
      <c r="A402" t="s">
        <v>8</v>
      </c>
      <c r="B402" s="2">
        <f t="shared" si="24"/>
        <v>21</v>
      </c>
      <c r="C402">
        <v>81057</v>
      </c>
      <c r="D402">
        <v>359588</v>
      </c>
      <c r="E402">
        <v>351874</v>
      </c>
      <c r="F402">
        <f t="shared" si="25"/>
        <v>0</v>
      </c>
      <c r="G402">
        <f t="shared" si="26"/>
        <v>0</v>
      </c>
      <c r="I402">
        <f t="shared" si="27"/>
        <v>0</v>
      </c>
    </row>
    <row r="403" spans="1:9">
      <c r="A403" t="s">
        <v>5</v>
      </c>
      <c r="B403" s="2">
        <f t="shared" si="24"/>
        <v>21</v>
      </c>
      <c r="C403">
        <v>446</v>
      </c>
      <c r="D403">
        <v>36</v>
      </c>
      <c r="E403">
        <v>47</v>
      </c>
      <c r="F403">
        <f t="shared" si="25"/>
        <v>-1.7400470221452178</v>
      </c>
      <c r="G403">
        <f t="shared" si="26"/>
        <v>-1.6148336527072509</v>
      </c>
      <c r="I403">
        <f t="shared" si="27"/>
        <v>-1.6774403374262343</v>
      </c>
    </row>
    <row r="404" spans="1:9">
      <c r="A404" t="s">
        <v>6</v>
      </c>
      <c r="B404" s="2">
        <f t="shared" si="24"/>
        <v>21</v>
      </c>
      <c r="C404">
        <v>383</v>
      </c>
      <c r="D404">
        <v>55</v>
      </c>
      <c r="E404">
        <v>46</v>
      </c>
      <c r="F404">
        <f t="shared" si="25"/>
        <v>-1.4898507486747419</v>
      </c>
      <c r="G404">
        <f t="shared" si="26"/>
        <v>-1.558037594217875</v>
      </c>
      <c r="I404">
        <f t="shared" si="27"/>
        <v>-1.5239441714463084</v>
      </c>
    </row>
    <row r="405" spans="1:9">
      <c r="A405" t="s">
        <v>10</v>
      </c>
      <c r="B405" s="2">
        <f t="shared" si="24"/>
        <v>21</v>
      </c>
      <c r="C405">
        <v>675</v>
      </c>
      <c r="D405">
        <v>181</v>
      </c>
      <c r="E405">
        <v>102</v>
      </c>
      <c r="F405">
        <f t="shared" si="25"/>
        <v>-1.2186398621622034</v>
      </c>
      <c r="G405">
        <f t="shared" si="26"/>
        <v>-1.4583002529999338</v>
      </c>
      <c r="I405">
        <f t="shared" si="27"/>
        <v>-1.3384700575810686</v>
      </c>
    </row>
    <row r="406" spans="1:9">
      <c r="A406" t="s">
        <v>11</v>
      </c>
      <c r="B406" s="2">
        <f t="shared" si="24"/>
        <v>21</v>
      </c>
      <c r="C406">
        <v>576</v>
      </c>
      <c r="D406">
        <v>23</v>
      </c>
      <c r="E406">
        <v>38</v>
      </c>
      <c r="F406">
        <f t="shared" si="25"/>
        <v>-2.0457093116059824</v>
      </c>
      <c r="G406">
        <f t="shared" si="26"/>
        <v>-1.8182355387372284</v>
      </c>
      <c r="I406">
        <f t="shared" si="27"/>
        <v>-1.9319724251716055</v>
      </c>
    </row>
    <row r="407" spans="1:9">
      <c r="A407" t="s">
        <v>12</v>
      </c>
      <c r="B407" s="2">
        <f t="shared" si="24"/>
        <v>21</v>
      </c>
      <c r="C407">
        <v>566</v>
      </c>
      <c r="D407">
        <v>167</v>
      </c>
      <c r="E407">
        <v>114</v>
      </c>
      <c r="F407">
        <f t="shared" si="25"/>
        <v>-1.1771146242410513</v>
      </c>
      <c r="G407">
        <f t="shared" si="26"/>
        <v>-1.3335082317826252</v>
      </c>
      <c r="I407">
        <f t="shared" si="27"/>
        <v>-1.2553114280118383</v>
      </c>
    </row>
    <row r="408" spans="1:9">
      <c r="A408" t="s">
        <v>9</v>
      </c>
      <c r="B408" s="2">
        <f t="shared" si="24"/>
        <v>21</v>
      </c>
      <c r="C408">
        <v>349</v>
      </c>
      <c r="D408">
        <v>199</v>
      </c>
      <c r="E408">
        <v>165</v>
      </c>
      <c r="F408">
        <f t="shared" si="25"/>
        <v>-0.89098701474983644</v>
      </c>
      <c r="G408">
        <f t="shared" si="26"/>
        <v>-0.96293813467610012</v>
      </c>
      <c r="I408">
        <f t="shared" si="27"/>
        <v>-0.92696257471296828</v>
      </c>
    </row>
    <row r="409" spans="1:9">
      <c r="A409" t="s">
        <v>13</v>
      </c>
      <c r="B409" s="2">
        <f t="shared" si="24"/>
        <v>21</v>
      </c>
      <c r="C409">
        <v>534</v>
      </c>
      <c r="D409">
        <v>19</v>
      </c>
      <c r="E409">
        <v>102</v>
      </c>
      <c r="F409">
        <f t="shared" si="25"/>
        <v>-2.0958023202760909</v>
      </c>
      <c r="G409">
        <f t="shared" si="26"/>
        <v>-1.3565377371974654</v>
      </c>
      <c r="I409">
        <f t="shared" si="27"/>
        <v>-1.7261700287367781</v>
      </c>
    </row>
    <row r="410" spans="1:9">
      <c r="A410" t="s">
        <v>14</v>
      </c>
      <c r="B410" s="2">
        <f t="shared" si="24"/>
        <v>21</v>
      </c>
      <c r="C410">
        <v>812</v>
      </c>
      <c r="D410">
        <v>49</v>
      </c>
      <c r="E410">
        <v>92</v>
      </c>
      <c r="F410">
        <f t="shared" si="25"/>
        <v>-1.8663746134130248</v>
      </c>
      <c r="G410">
        <f t="shared" si="26"/>
        <v>-1.5833648538264464</v>
      </c>
      <c r="I410">
        <f t="shared" si="27"/>
        <v>-1.7248697336197356</v>
      </c>
    </row>
    <row r="411" spans="1:9">
      <c r="A411" t="s">
        <v>15</v>
      </c>
      <c r="B411" s="2">
        <f t="shared" si="24"/>
        <v>21</v>
      </c>
      <c r="C411">
        <v>518</v>
      </c>
      <c r="D411">
        <v>55</v>
      </c>
      <c r="E411">
        <v>92</v>
      </c>
      <c r="F411">
        <f t="shared" si="25"/>
        <v>-1.6209817344513522</v>
      </c>
      <c r="G411">
        <f t="shared" si="26"/>
        <v>-1.3881385843305041</v>
      </c>
      <c r="I411">
        <f t="shared" si="27"/>
        <v>-1.5045601593909281</v>
      </c>
    </row>
    <row r="412" spans="1:9">
      <c r="A412" t="s">
        <v>16</v>
      </c>
      <c r="B412" s="2">
        <f t="shared" si="24"/>
        <v>21</v>
      </c>
      <c r="C412">
        <v>322</v>
      </c>
      <c r="D412">
        <v>44</v>
      </c>
      <c r="E412">
        <v>72</v>
      </c>
      <c r="F412">
        <f t="shared" si="25"/>
        <v>-1.5114178594100065</v>
      </c>
      <c r="G412">
        <f t="shared" si="26"/>
        <v>-1.2881200271953888</v>
      </c>
      <c r="I412">
        <f t="shared" si="27"/>
        <v>-1.3997689433026976</v>
      </c>
    </row>
    <row r="413" spans="1:9">
      <c r="A413" t="s">
        <v>17</v>
      </c>
      <c r="B413" s="2">
        <f t="shared" si="24"/>
        <v>21</v>
      </c>
      <c r="C413">
        <v>462</v>
      </c>
      <c r="D413">
        <v>80</v>
      </c>
      <c r="E413">
        <v>101</v>
      </c>
      <c r="F413">
        <f t="shared" si="25"/>
        <v>-1.4085666527645451</v>
      </c>
      <c r="G413">
        <f t="shared" si="26"/>
        <v>-1.2979172537043095</v>
      </c>
      <c r="I413">
        <f t="shared" si="27"/>
        <v>-1.3532419532344273</v>
      </c>
    </row>
    <row r="414" spans="1:9">
      <c r="A414" t="s">
        <v>18</v>
      </c>
      <c r="B414" s="2">
        <f t="shared" si="24"/>
        <v>21</v>
      </c>
      <c r="C414">
        <v>362</v>
      </c>
      <c r="D414">
        <v>43</v>
      </c>
      <c r="E414">
        <v>35</v>
      </c>
      <c r="F414">
        <f t="shared" si="25"/>
        <v>-1.5722547791539423</v>
      </c>
      <c r="G414">
        <f t="shared" si="26"/>
        <v>-1.6522371781137166</v>
      </c>
      <c r="I414">
        <f t="shared" si="27"/>
        <v>-1.6122459786338295</v>
      </c>
    </row>
    <row r="415" spans="1:9">
      <c r="A415" t="s">
        <v>19</v>
      </c>
      <c r="B415" s="2">
        <f t="shared" si="24"/>
        <v>21</v>
      </c>
      <c r="C415">
        <v>483</v>
      </c>
      <c r="D415">
        <v>236</v>
      </c>
      <c r="E415">
        <v>263</v>
      </c>
      <c r="F415">
        <f t="shared" si="25"/>
        <v>-0.95804979198176876</v>
      </c>
      <c r="G415">
        <f t="shared" si="26"/>
        <v>-0.90158803419258082</v>
      </c>
      <c r="I415">
        <f t="shared" si="27"/>
        <v>-0.92981891308717479</v>
      </c>
    </row>
    <row r="416" spans="1:9">
      <c r="A416" t="s">
        <v>20</v>
      </c>
      <c r="B416" s="2">
        <f t="shared" si="24"/>
        <v>21</v>
      </c>
      <c r="C416">
        <v>263</v>
      </c>
      <c r="D416">
        <v>46</v>
      </c>
      <c r="E416">
        <v>24</v>
      </c>
      <c r="F416">
        <f t="shared" si="25"/>
        <v>-1.4042125810085468</v>
      </c>
      <c r="G416">
        <f t="shared" si="26"/>
        <v>-1.6773411587089784</v>
      </c>
      <c r="I416">
        <f t="shared" si="27"/>
        <v>-1.5407768698587625</v>
      </c>
    </row>
    <row r="417" spans="1:9">
      <c r="A417" t="s">
        <v>21</v>
      </c>
      <c r="B417" s="2">
        <f t="shared" si="24"/>
        <v>21</v>
      </c>
      <c r="C417">
        <v>877</v>
      </c>
      <c r="D417">
        <v>57</v>
      </c>
      <c r="E417">
        <v>52</v>
      </c>
      <c r="F417">
        <f t="shared" si="25"/>
        <v>-1.8341394018939123</v>
      </c>
      <c r="G417">
        <f t="shared" si="26"/>
        <v>-1.8645929016620679</v>
      </c>
      <c r="I417">
        <f t="shared" si="27"/>
        <v>-1.84936615177799</v>
      </c>
    </row>
    <row r="418" spans="1:9">
      <c r="A418" t="s">
        <v>22</v>
      </c>
      <c r="B418" s="2">
        <f t="shared" si="24"/>
        <v>21</v>
      </c>
      <c r="C418">
        <v>433</v>
      </c>
      <c r="D418">
        <v>133</v>
      </c>
      <c r="E418">
        <v>144</v>
      </c>
      <c r="F418">
        <f t="shared" si="25"/>
        <v>-1.1596509195866429</v>
      </c>
      <c r="G418">
        <f t="shared" si="26"/>
        <v>-1.1157220561889423</v>
      </c>
      <c r="I418">
        <f t="shared" si="27"/>
        <v>-1.1376864878877926</v>
      </c>
    </row>
    <row r="419" spans="1:9">
      <c r="A419" t="s">
        <v>23</v>
      </c>
      <c r="B419" s="2">
        <f t="shared" si="24"/>
        <v>21</v>
      </c>
      <c r="C419">
        <v>361</v>
      </c>
      <c r="D419">
        <v>27</v>
      </c>
      <c r="E419">
        <v>21</v>
      </c>
      <c r="F419">
        <f t="shared" si="25"/>
        <v>-1.7731581019470337</v>
      </c>
      <c r="G419">
        <f t="shared" si="26"/>
        <v>-1.8728845591025651</v>
      </c>
      <c r="I419">
        <f t="shared" si="27"/>
        <v>-1.8230213305247993</v>
      </c>
    </row>
    <row r="420" spans="1:9">
      <c r="A420" t="s">
        <v>24</v>
      </c>
      <c r="B420" s="2">
        <f t="shared" si="24"/>
        <v>21</v>
      </c>
      <c r="C420">
        <v>417</v>
      </c>
      <c r="D420">
        <v>24</v>
      </c>
      <c r="E420">
        <v>22</v>
      </c>
      <c r="F420">
        <f t="shared" si="25"/>
        <v>-1.8869394774625146</v>
      </c>
      <c r="G420">
        <f t="shared" si="26"/>
        <v>-1.9153100260823779</v>
      </c>
      <c r="I420">
        <f t="shared" si="27"/>
        <v>-1.9011247517724463</v>
      </c>
    </row>
    <row r="421" spans="1:9">
      <c r="A421" t="s">
        <v>25</v>
      </c>
      <c r="B421" s="2">
        <f t="shared" si="24"/>
        <v>21</v>
      </c>
      <c r="C421">
        <v>595</v>
      </c>
      <c r="D421">
        <v>91</v>
      </c>
      <c r="E421">
        <v>5</v>
      </c>
      <c r="F421">
        <f t="shared" si="25"/>
        <v>-1.462490237607819</v>
      </c>
      <c r="G421">
        <f t="shared" si="26"/>
        <v>-2.7131436133233571</v>
      </c>
      <c r="I421">
        <f t="shared" si="27"/>
        <v>-2.0878169254655878</v>
      </c>
    </row>
    <row r="422" spans="1:9">
      <c r="A422" t="s">
        <v>7</v>
      </c>
      <c r="B422" s="2">
        <f t="shared" si="24"/>
        <v>22</v>
      </c>
      <c r="C422">
        <v>24</v>
      </c>
      <c r="D422">
        <v>112</v>
      </c>
      <c r="E422">
        <v>118</v>
      </c>
      <c r="F422">
        <f t="shared" si="25"/>
        <v>2.1992116758212443E-2</v>
      </c>
      <c r="G422">
        <f t="shared" si="26"/>
        <v>5.4074113663692858E-2</v>
      </c>
      <c r="I422">
        <f t="shared" si="27"/>
        <v>3.803311521095265E-2</v>
      </c>
    </row>
    <row r="423" spans="1:9">
      <c r="A423" t="s">
        <v>8</v>
      </c>
      <c r="B423" s="2">
        <f t="shared" si="24"/>
        <v>22</v>
      </c>
      <c r="C423">
        <v>683</v>
      </c>
      <c r="D423">
        <v>42</v>
      </c>
      <c r="E423">
        <v>30</v>
      </c>
      <c r="F423">
        <f t="shared" si="25"/>
        <v>-1.8581860774839951</v>
      </c>
      <c r="G423">
        <f t="shared" si="26"/>
        <v>-1.9948961008926966</v>
      </c>
      <c r="I423">
        <f t="shared" si="27"/>
        <v>-1.9265410891883459</v>
      </c>
    </row>
    <row r="424" spans="1:9">
      <c r="A424" t="s">
        <v>5</v>
      </c>
      <c r="B424" s="2">
        <f t="shared" si="24"/>
        <v>22</v>
      </c>
      <c r="C424">
        <v>293</v>
      </c>
      <c r="D424">
        <v>28</v>
      </c>
      <c r="E424">
        <v>8</v>
      </c>
      <c r="F424">
        <f t="shared" si="25"/>
        <v>-1.6667242532122533</v>
      </c>
      <c r="G424">
        <f t="shared" si="26"/>
        <v>-2.2013742852929923</v>
      </c>
      <c r="I424">
        <f t="shared" si="27"/>
        <v>-1.9340492692526228</v>
      </c>
    </row>
    <row r="425" spans="1:9">
      <c r="A425" t="s">
        <v>6</v>
      </c>
      <c r="B425" s="2">
        <f t="shared" si="24"/>
        <v>22</v>
      </c>
      <c r="C425">
        <v>845</v>
      </c>
      <c r="D425">
        <v>35</v>
      </c>
      <c r="E425">
        <v>15</v>
      </c>
      <c r="F425">
        <f t="shared" si="25"/>
        <v>-2.0298033287997796</v>
      </c>
      <c r="G425">
        <f t="shared" si="26"/>
        <v>-2.3883621018248373</v>
      </c>
      <c r="I425">
        <f t="shared" si="27"/>
        <v>-2.2090827153123085</v>
      </c>
    </row>
    <row r="426" spans="1:9">
      <c r="A426" t="s">
        <v>10</v>
      </c>
      <c r="B426" s="2">
        <f t="shared" si="24"/>
        <v>22</v>
      </c>
      <c r="C426">
        <v>651</v>
      </c>
      <c r="D426">
        <v>9</v>
      </c>
      <c r="E426">
        <v>22</v>
      </c>
      <c r="F426">
        <f t="shared" si="25"/>
        <v>-2.5063531433292301</v>
      </c>
      <c r="G426">
        <f t="shared" si="26"/>
        <v>-2.108754959676812</v>
      </c>
      <c r="I426">
        <f t="shared" si="27"/>
        <v>-2.3075540515030211</v>
      </c>
    </row>
    <row r="427" spans="1:9">
      <c r="A427" t="s">
        <v>11</v>
      </c>
      <c r="B427" s="2">
        <f t="shared" si="24"/>
        <v>22</v>
      </c>
      <c r="C427">
        <v>432</v>
      </c>
      <c r="D427">
        <v>10</v>
      </c>
      <c r="E427">
        <v>7</v>
      </c>
      <c r="F427">
        <f t="shared" si="25"/>
        <v>-2.2824984110152755</v>
      </c>
      <c r="G427">
        <f t="shared" si="26"/>
        <v>-2.4279823587314819</v>
      </c>
      <c r="I427">
        <f t="shared" si="27"/>
        <v>-2.3552403848733787</v>
      </c>
    </row>
    <row r="428" spans="1:9">
      <c r="A428" t="s">
        <v>12</v>
      </c>
      <c r="B428" s="2">
        <f t="shared" si="24"/>
        <v>22</v>
      </c>
      <c r="C428">
        <v>424</v>
      </c>
      <c r="D428">
        <v>22</v>
      </c>
      <c r="E428">
        <v>18</v>
      </c>
      <c r="F428">
        <f t="shared" si="25"/>
        <v>-1.9319578399708894</v>
      </c>
      <c r="G428">
        <f t="shared" si="26"/>
        <v>-2.0096900034202534</v>
      </c>
      <c r="I428">
        <f t="shared" si="27"/>
        <v>-1.9708239216955714</v>
      </c>
    </row>
    <row r="429" spans="1:9">
      <c r="A429" t="s">
        <v>9</v>
      </c>
      <c r="B429" s="2">
        <f t="shared" si="24"/>
        <v>22</v>
      </c>
      <c r="C429">
        <v>299</v>
      </c>
      <c r="D429">
        <v>11</v>
      </c>
      <c r="E429">
        <v>11</v>
      </c>
      <c r="F429">
        <f t="shared" si="25"/>
        <v>-2.0812931673665678</v>
      </c>
      <c r="G429">
        <f t="shared" si="26"/>
        <v>-2.0718751550970311</v>
      </c>
      <c r="I429">
        <f t="shared" si="27"/>
        <v>-2.0765841612317995</v>
      </c>
    </row>
    <row r="430" spans="1:9">
      <c r="A430" t="s">
        <v>13</v>
      </c>
      <c r="B430" s="2">
        <f t="shared" si="24"/>
        <v>22</v>
      </c>
      <c r="C430">
        <v>344</v>
      </c>
      <c r="D430">
        <v>9</v>
      </c>
      <c r="E430">
        <v>11</v>
      </c>
      <c r="F430">
        <f t="shared" si="25"/>
        <v>-2.2293305973325683</v>
      </c>
      <c r="G430">
        <f t="shared" si="26"/>
        <v>-2.1327624093441315</v>
      </c>
      <c r="I430">
        <f t="shared" si="27"/>
        <v>-2.1810465033383499</v>
      </c>
    </row>
    <row r="431" spans="1:9">
      <c r="A431" t="s">
        <v>14</v>
      </c>
      <c r="B431" s="2">
        <f t="shared" si="24"/>
        <v>22</v>
      </c>
      <c r="C431">
        <v>547</v>
      </c>
      <c r="D431">
        <v>82</v>
      </c>
      <c r="E431">
        <v>16</v>
      </c>
      <c r="F431">
        <f t="shared" si="25"/>
        <v>-1.4711881381500773</v>
      </c>
      <c r="G431">
        <f t="shared" si="26"/>
        <v>-2.1714639956083328</v>
      </c>
      <c r="I431">
        <f t="shared" si="27"/>
        <v>-1.8213260668792051</v>
      </c>
    </row>
    <row r="432" spans="1:9">
      <c r="A432" t="s">
        <v>15</v>
      </c>
      <c r="B432" s="2">
        <f t="shared" si="24"/>
        <v>22</v>
      </c>
      <c r="C432">
        <v>341</v>
      </c>
      <c r="D432">
        <v>16</v>
      </c>
      <c r="E432">
        <v>50</v>
      </c>
      <c r="F432">
        <f t="shared" si="25"/>
        <v>-1.9756490605369361</v>
      </c>
      <c r="G432">
        <f t="shared" si="26"/>
        <v>-1.4713810265873053</v>
      </c>
      <c r="I432">
        <f t="shared" si="27"/>
        <v>-1.7235150435621207</v>
      </c>
    </row>
    <row r="433" spans="1:9">
      <c r="A433" t="s">
        <v>16</v>
      </c>
      <c r="B433" s="2">
        <f t="shared" si="24"/>
        <v>22</v>
      </c>
      <c r="C433">
        <v>410</v>
      </c>
      <c r="D433">
        <v>5</v>
      </c>
      <c r="E433">
        <v>15</v>
      </c>
      <c r="F433">
        <f t="shared" si="25"/>
        <v>-2.5608285165840798</v>
      </c>
      <c r="G433">
        <f t="shared" si="26"/>
        <v>-2.074289249594881</v>
      </c>
      <c r="I433">
        <f t="shared" si="27"/>
        <v>-2.3175588830894807</v>
      </c>
    </row>
    <row r="434" spans="1:9">
      <c r="A434" t="s">
        <v>17</v>
      </c>
      <c r="B434" s="2">
        <f t="shared" si="24"/>
        <v>22</v>
      </c>
      <c r="C434">
        <v>260</v>
      </c>
      <c r="D434">
        <v>3</v>
      </c>
      <c r="E434">
        <v>7</v>
      </c>
      <c r="F434">
        <f t="shared" si="25"/>
        <v>-2.5848667574515187</v>
      </c>
      <c r="G434">
        <f t="shared" si="26"/>
        <v>-2.2074719598873873</v>
      </c>
      <c r="I434">
        <f t="shared" si="27"/>
        <v>-2.3961693586694528</v>
      </c>
    </row>
    <row r="435" spans="1:9">
      <c r="A435" t="s">
        <v>18</v>
      </c>
      <c r="B435" s="2">
        <f t="shared" si="24"/>
        <v>22</v>
      </c>
      <c r="C435">
        <v>365</v>
      </c>
      <c r="D435">
        <v>6</v>
      </c>
      <c r="E435">
        <v>7</v>
      </c>
      <c r="F435">
        <f t="shared" si="25"/>
        <v>-2.4311562782731944</v>
      </c>
      <c r="G435">
        <f t="shared" si="26"/>
        <v>-2.3547914763730446</v>
      </c>
      <c r="I435">
        <f t="shared" si="27"/>
        <v>-2.3929738773231195</v>
      </c>
    </row>
    <row r="436" spans="1:9">
      <c r="A436" t="s">
        <v>19</v>
      </c>
      <c r="B436" s="2">
        <f t="shared" si="24"/>
        <v>22</v>
      </c>
      <c r="C436">
        <v>325</v>
      </c>
      <c r="D436">
        <v>4</v>
      </c>
      <c r="E436">
        <v>4</v>
      </c>
      <c r="F436">
        <f t="shared" si="25"/>
        <v>-2.5568380338512751</v>
      </c>
      <c r="G436">
        <f t="shared" si="26"/>
        <v>-2.5474200215817384</v>
      </c>
      <c r="I436">
        <f t="shared" si="27"/>
        <v>-2.5521290277165067</v>
      </c>
    </row>
    <row r="437" spans="1:9">
      <c r="A437" t="s">
        <v>20</v>
      </c>
      <c r="B437" s="2">
        <f t="shared" si="24"/>
        <v>22</v>
      </c>
      <c r="C437">
        <v>263</v>
      </c>
      <c r="D437">
        <v>6</v>
      </c>
      <c r="E437">
        <v>5</v>
      </c>
      <c r="F437">
        <f t="shared" si="25"/>
        <v>-2.2888191623064773</v>
      </c>
      <c r="G437">
        <f t="shared" si="26"/>
        <v>-2.3585823960845653</v>
      </c>
      <c r="I437">
        <f t="shared" si="27"/>
        <v>-2.3237007791955211</v>
      </c>
    </row>
    <row r="438" spans="1:9">
      <c r="A438" t="s">
        <v>21</v>
      </c>
      <c r="B438" s="2">
        <f t="shared" si="24"/>
        <v>22</v>
      </c>
      <c r="C438">
        <v>610</v>
      </c>
      <c r="D438">
        <v>28</v>
      </c>
      <c r="E438">
        <v>23</v>
      </c>
      <c r="F438">
        <f t="shared" si="25"/>
        <v>-1.9851864678689111</v>
      </c>
      <c r="G438">
        <f t="shared" si="26"/>
        <v>-2.0611986509240006</v>
      </c>
      <c r="I438">
        <f t="shared" si="27"/>
        <v>-2.0231925593964557</v>
      </c>
    </row>
    <row r="439" spans="1:9">
      <c r="A439" t="s">
        <v>22</v>
      </c>
      <c r="B439" s="2">
        <f t="shared" si="24"/>
        <v>22</v>
      </c>
      <c r="C439">
        <v>327</v>
      </c>
      <c r="D439">
        <v>59</v>
      </c>
      <c r="E439">
        <v>47</v>
      </c>
      <c r="F439">
        <f t="shared" si="25"/>
        <v>-1.3907104052185051</v>
      </c>
      <c r="G439">
        <f t="shared" si="26"/>
        <v>-1.4800465466553951</v>
      </c>
      <c r="I439">
        <f t="shared" si="27"/>
        <v>-1.4353784759369501</v>
      </c>
    </row>
    <row r="440" spans="1:9">
      <c r="A440" t="s">
        <v>23</v>
      </c>
      <c r="B440" s="2">
        <f t="shared" si="24"/>
        <v>22</v>
      </c>
      <c r="C440">
        <v>540</v>
      </c>
      <c r="D440">
        <v>28</v>
      </c>
      <c r="E440">
        <v>9</v>
      </c>
      <c r="F440">
        <f t="shared" si="25"/>
        <v>-1.9322503926811125</v>
      </c>
      <c r="G440">
        <f t="shared" si="26"/>
        <v>-2.4157479023144699</v>
      </c>
      <c r="I440">
        <f t="shared" si="27"/>
        <v>-2.1739991474977911</v>
      </c>
    </row>
    <row r="441" spans="1:9">
      <c r="A441" t="s">
        <v>24</v>
      </c>
      <c r="B441" s="2">
        <f t="shared" si="24"/>
        <v>22</v>
      </c>
      <c r="C441">
        <v>481</v>
      </c>
      <c r="D441">
        <v>39</v>
      </c>
      <c r="E441">
        <v>53</v>
      </c>
      <c r="F441">
        <f t="shared" si="25"/>
        <v>-1.7380951335476957</v>
      </c>
      <c r="G441">
        <f t="shared" si="26"/>
        <v>-1.5954658587038693</v>
      </c>
      <c r="I441">
        <f t="shared" si="27"/>
        <v>-1.6667804961257824</v>
      </c>
    </row>
    <row r="442" spans="1:9">
      <c r="A442" t="s">
        <v>25</v>
      </c>
      <c r="B442" s="2">
        <f t="shared" si="24"/>
        <v>22</v>
      </c>
      <c r="C442">
        <v>694</v>
      </c>
      <c r="D442">
        <v>126</v>
      </c>
      <c r="E442">
        <v>88</v>
      </c>
      <c r="F442">
        <f t="shared" si="25"/>
        <v>-1.388003589537655</v>
      </c>
      <c r="G442">
        <f t="shared" si="26"/>
        <v>-1.5344734502355126</v>
      </c>
      <c r="I442">
        <f t="shared" si="27"/>
        <v>-1.4612385198865838</v>
      </c>
    </row>
    <row r="443" spans="1:9">
      <c r="A443" t="s">
        <v>7</v>
      </c>
      <c r="B443" s="2">
        <f t="shared" si="24"/>
        <v>23</v>
      </c>
      <c r="C443">
        <v>137</v>
      </c>
      <c r="D443">
        <v>53</v>
      </c>
      <c r="E443">
        <v>14</v>
      </c>
      <c r="F443">
        <f t="shared" si="25"/>
        <v>-1.0594593617559809</v>
      </c>
      <c r="G443">
        <f t="shared" si="26"/>
        <v>-1.6281891834089952</v>
      </c>
      <c r="I443">
        <f t="shared" si="27"/>
        <v>-1.343824272582488</v>
      </c>
    </row>
    <row r="444" spans="1:9">
      <c r="A444" t="s">
        <v>8</v>
      </c>
      <c r="B444" s="2">
        <f t="shared" si="24"/>
        <v>23</v>
      </c>
      <c r="C444">
        <v>302</v>
      </c>
      <c r="D444">
        <v>16</v>
      </c>
      <c r="E444">
        <v>11</v>
      </c>
      <c r="F444">
        <f t="shared" si="25"/>
        <v>-1.9229016245015891</v>
      </c>
      <c r="G444">
        <f t="shared" si="26"/>
        <v>-2.0762109097297521</v>
      </c>
      <c r="I444">
        <f t="shared" si="27"/>
        <v>-1.9995562671156706</v>
      </c>
    </row>
    <row r="445" spans="1:9">
      <c r="A445" t="s">
        <v>5</v>
      </c>
      <c r="B445" s="2">
        <f t="shared" si="24"/>
        <v>23</v>
      </c>
      <c r="C445">
        <v>543</v>
      </c>
      <c r="D445">
        <v>13</v>
      </c>
      <c r="E445">
        <v>13</v>
      </c>
      <c r="F445">
        <f t="shared" si="25"/>
        <v>-2.2678711414823733</v>
      </c>
      <c r="G445">
        <f t="shared" si="26"/>
        <v>-2.2584531292128367</v>
      </c>
      <c r="I445">
        <f t="shared" si="27"/>
        <v>-2.263162135347605</v>
      </c>
    </row>
    <row r="446" spans="1:9">
      <c r="A446" t="s">
        <v>6</v>
      </c>
      <c r="B446" s="2">
        <f t="shared" si="24"/>
        <v>23</v>
      </c>
      <c r="C446">
        <v>267</v>
      </c>
      <c r="D446">
        <v>1</v>
      </c>
      <c r="E446">
        <v>1</v>
      </c>
      <c r="F446">
        <f t="shared" si="25"/>
        <v>-3.0735259255649385</v>
      </c>
      <c r="G446">
        <f t="shared" si="26"/>
        <v>-3.0641079132954019</v>
      </c>
      <c r="I446">
        <f t="shared" si="27"/>
        <v>-3.0688169194301702</v>
      </c>
    </row>
    <row r="447" spans="1:9">
      <c r="A447" t="s">
        <v>10</v>
      </c>
      <c r="B447" s="2">
        <f t="shared" si="24"/>
        <v>23</v>
      </c>
      <c r="C447">
        <v>512</v>
      </c>
      <c r="D447">
        <v>29</v>
      </c>
      <c r="E447">
        <v>82</v>
      </c>
      <c r="F447">
        <f t="shared" si="25"/>
        <v>-1.8938866272772379</v>
      </c>
      <c r="G447">
        <f t="shared" si="26"/>
        <v>-1.4330527605229406</v>
      </c>
      <c r="I447">
        <f t="shared" si="27"/>
        <v>-1.6634696939000893</v>
      </c>
    </row>
    <row r="448" spans="1:9">
      <c r="A448" t="s">
        <v>11</v>
      </c>
      <c r="B448" s="2">
        <f t="shared" si="24"/>
        <v>23</v>
      </c>
      <c r="C448">
        <v>479</v>
      </c>
      <c r="D448">
        <v>16</v>
      </c>
      <c r="E448">
        <v>81</v>
      </c>
      <c r="F448">
        <f t="shared" si="25"/>
        <v>-2.1232301949590013</v>
      </c>
      <c r="G448">
        <f t="shared" si="26"/>
        <v>-1.40944714646674</v>
      </c>
      <c r="I448">
        <f t="shared" si="27"/>
        <v>-1.7663386707128708</v>
      </c>
    </row>
    <row r="449" spans="1:9">
      <c r="A449" t="s">
        <v>12</v>
      </c>
      <c r="B449" s="2">
        <f t="shared" si="24"/>
        <v>23</v>
      </c>
      <c r="C449">
        <v>288</v>
      </c>
      <c r="D449">
        <v>6</v>
      </c>
      <c r="E449">
        <v>13</v>
      </c>
      <c r="F449">
        <f t="shared" si="25"/>
        <v>-2.3282559015759503</v>
      </c>
      <c r="G449">
        <f t="shared" si="26"/>
        <v>-1.9830457873832206</v>
      </c>
      <c r="I449">
        <f t="shared" si="27"/>
        <v>-2.1556508444795854</v>
      </c>
    </row>
    <row r="450" spans="1:9">
      <c r="A450" t="s">
        <v>9</v>
      </c>
      <c r="B450" s="2">
        <f t="shared" si="24"/>
        <v>23</v>
      </c>
      <c r="C450">
        <v>228</v>
      </c>
      <c r="D450">
        <v>39</v>
      </c>
      <c r="E450">
        <v>14</v>
      </c>
      <c r="F450">
        <f t="shared" si="25"/>
        <v>-1.4138849041743176</v>
      </c>
      <c r="G450">
        <f t="shared" si="26"/>
        <v>-1.8494034632530423</v>
      </c>
      <c r="I450">
        <f t="shared" si="27"/>
        <v>-1.6316441837136799</v>
      </c>
    </row>
    <row r="451" spans="1:9">
      <c r="A451" t="s">
        <v>13</v>
      </c>
      <c r="B451" s="2">
        <f t="shared" ref="B451:B514" si="28">1+INT((ROW()-2)/21)+1</f>
        <v>23</v>
      </c>
      <c r="C451">
        <v>362</v>
      </c>
      <c r="D451">
        <v>137</v>
      </c>
      <c r="E451">
        <v>162</v>
      </c>
      <c r="F451">
        <f t="shared" ref="F451:F505" si="29">LOG10(D451/C451)-LOG10(359588/81057)</f>
        <v>-1.069002667577122</v>
      </c>
      <c r="G451">
        <f t="shared" ref="G451:G505" si="30">LOG10(E451/C451)-LOG10(351874/81057)</f>
        <v>-0.9867902079213613</v>
      </c>
      <c r="I451">
        <f t="shared" ref="I451:I514" si="31">AVERAGE(F451:G451)</f>
        <v>-1.0278964377492417</v>
      </c>
    </row>
    <row r="452" spans="1:9">
      <c r="A452" t="s">
        <v>14</v>
      </c>
      <c r="B452" s="2">
        <f t="shared" si="28"/>
        <v>23</v>
      </c>
      <c r="C452">
        <v>336</v>
      </c>
      <c r="D452">
        <v>10</v>
      </c>
      <c r="E452">
        <v>19</v>
      </c>
      <c r="F452">
        <f t="shared" si="29"/>
        <v>-2.1733539415902072</v>
      </c>
      <c r="G452">
        <f t="shared" si="30"/>
        <v>-1.8851823283678415</v>
      </c>
      <c r="I452">
        <f t="shared" si="31"/>
        <v>-2.0292681349790245</v>
      </c>
    </row>
    <row r="453" spans="1:9">
      <c r="A453" t="s">
        <v>15</v>
      </c>
      <c r="B453" s="2">
        <f t="shared" si="28"/>
        <v>23</v>
      </c>
      <c r="C453">
        <v>339</v>
      </c>
      <c r="D453">
        <v>83</v>
      </c>
      <c r="E453">
        <v>96</v>
      </c>
      <c r="F453">
        <f t="shared" si="29"/>
        <v>-1.2581362700273715</v>
      </c>
      <c r="G453">
        <f t="shared" si="30"/>
        <v>-1.1855251170943402</v>
      </c>
      <c r="I453">
        <f t="shared" si="31"/>
        <v>-1.2218306935608558</v>
      </c>
    </row>
    <row r="454" spans="1:9">
      <c r="A454" t="s">
        <v>16</v>
      </c>
      <c r="B454" s="2">
        <f t="shared" si="28"/>
        <v>23</v>
      </c>
      <c r="C454">
        <v>292</v>
      </c>
      <c r="D454">
        <v>12</v>
      </c>
      <c r="E454">
        <v>7</v>
      </c>
      <c r="F454">
        <f t="shared" si="29"/>
        <v>-2.0332162696011569</v>
      </c>
      <c r="G454">
        <f t="shared" si="30"/>
        <v>-2.257881463364988</v>
      </c>
      <c r="I454">
        <f t="shared" si="31"/>
        <v>-2.1455488664830726</v>
      </c>
    </row>
    <row r="455" spans="1:9">
      <c r="A455" t="s">
        <v>17</v>
      </c>
      <c r="B455" s="2">
        <f t="shared" si="28"/>
        <v>23</v>
      </c>
      <c r="C455">
        <v>840</v>
      </c>
      <c r="D455">
        <v>163</v>
      </c>
      <c r="E455">
        <v>20</v>
      </c>
      <c r="F455">
        <f t="shared" si="29"/>
        <v>-1.359106345858287</v>
      </c>
      <c r="G455">
        <f t="shared" si="30"/>
        <v>-2.2608459423287268</v>
      </c>
      <c r="I455">
        <f t="shared" si="31"/>
        <v>-1.8099761440935069</v>
      </c>
    </row>
    <row r="456" spans="1:9">
      <c r="A456" t="s">
        <v>18</v>
      </c>
      <c r="B456" s="2">
        <f t="shared" si="28"/>
        <v>23</v>
      </c>
      <c r="C456">
        <v>28</v>
      </c>
      <c r="D456">
        <v>114</v>
      </c>
      <c r="E456">
        <v>103</v>
      </c>
      <c r="F456">
        <f t="shared" si="29"/>
        <v>-3.7267844206109735E-2</v>
      </c>
      <c r="G456">
        <f t="shared" si="30"/>
        <v>-7.1917458567873571E-2</v>
      </c>
      <c r="I456">
        <f t="shared" si="31"/>
        <v>-5.4592651386991653E-2</v>
      </c>
    </row>
    <row r="457" spans="1:9">
      <c r="A457" t="s">
        <v>19</v>
      </c>
      <c r="B457" s="2">
        <f t="shared" si="28"/>
        <v>23</v>
      </c>
      <c r="C457">
        <v>477</v>
      </c>
      <c r="D457">
        <v>458</v>
      </c>
      <c r="E457">
        <v>713</v>
      </c>
      <c r="F457">
        <f t="shared" si="29"/>
        <v>-0.66466756523660786</v>
      </c>
      <c r="G457">
        <f t="shared" si="30"/>
        <v>-0.46302550111907487</v>
      </c>
      <c r="I457">
        <f t="shared" si="31"/>
        <v>-0.56384653317784139</v>
      </c>
    </row>
    <row r="458" spans="1:9">
      <c r="A458" t="s">
        <v>20</v>
      </c>
      <c r="B458" s="2">
        <f t="shared" si="28"/>
        <v>23</v>
      </c>
      <c r="C458">
        <v>586</v>
      </c>
      <c r="D458">
        <v>542</v>
      </c>
      <c r="E458">
        <v>223</v>
      </c>
      <c r="F458">
        <f t="shared" si="29"/>
        <v>-0.68091299368006686</v>
      </c>
      <c r="G458">
        <f t="shared" si="30"/>
        <v>-1.0571894049007564</v>
      </c>
      <c r="I458">
        <f t="shared" si="31"/>
        <v>-0.86905119929041164</v>
      </c>
    </row>
    <row r="459" spans="1:9">
      <c r="A459" t="s">
        <v>21</v>
      </c>
      <c r="B459" s="2">
        <f t="shared" si="28"/>
        <v>23</v>
      </c>
      <c r="C459">
        <v>532</v>
      </c>
      <c r="D459">
        <v>21</v>
      </c>
      <c r="E459">
        <v>15</v>
      </c>
      <c r="F459">
        <f t="shared" si="29"/>
        <v>-2.0507070017614923</v>
      </c>
      <c r="G459">
        <f t="shared" si="30"/>
        <v>-2.1874170251701934</v>
      </c>
      <c r="I459">
        <f t="shared" si="31"/>
        <v>-2.1190620134658431</v>
      </c>
    </row>
    <row r="460" spans="1:9">
      <c r="A460" t="s">
        <v>22</v>
      </c>
      <c r="B460" s="2">
        <f t="shared" si="28"/>
        <v>23</v>
      </c>
      <c r="C460">
        <v>340</v>
      </c>
      <c r="D460">
        <v>23</v>
      </c>
      <c r="E460">
        <v>22</v>
      </c>
      <c r="F460">
        <f t="shared" si="29"/>
        <v>-1.8167657452250254</v>
      </c>
      <c r="G460">
        <f t="shared" si="30"/>
        <v>-1.8266528881508752</v>
      </c>
      <c r="I460">
        <f t="shared" si="31"/>
        <v>-1.8217093166879503</v>
      </c>
    </row>
    <row r="461" spans="1:9">
      <c r="A461" t="s">
        <v>23</v>
      </c>
      <c r="B461" s="2">
        <f t="shared" si="28"/>
        <v>23</v>
      </c>
      <c r="C461">
        <v>265</v>
      </c>
      <c r="D461">
        <v>3</v>
      </c>
      <c r="E461">
        <v>1</v>
      </c>
      <c r="F461">
        <f t="shared" si="29"/>
        <v>-2.5931392834175089</v>
      </c>
      <c r="G461">
        <f t="shared" si="30"/>
        <v>-3.0608425258676344</v>
      </c>
      <c r="I461">
        <f t="shared" si="31"/>
        <v>-2.8269909046425719</v>
      </c>
    </row>
    <row r="462" spans="1:9">
      <c r="A462" t="s">
        <v>24</v>
      </c>
      <c r="B462" s="2">
        <f t="shared" si="28"/>
        <v>23</v>
      </c>
      <c r="C462">
        <v>357</v>
      </c>
      <c r="D462">
        <v>16</v>
      </c>
      <c r="E462">
        <v>8</v>
      </c>
      <c r="F462">
        <f t="shared" si="29"/>
        <v>-1.9955628976566315</v>
      </c>
      <c r="G462">
        <f t="shared" si="30"/>
        <v>-2.2871748810510759</v>
      </c>
      <c r="I462">
        <f t="shared" si="31"/>
        <v>-2.1413688893538536</v>
      </c>
    </row>
    <row r="463" spans="1:9">
      <c r="A463" t="s">
        <v>25</v>
      </c>
      <c r="B463" s="2">
        <f t="shared" si="28"/>
        <v>23</v>
      </c>
      <c r="C463">
        <v>379</v>
      </c>
      <c r="D463">
        <v>25</v>
      </c>
      <c r="E463">
        <v>36</v>
      </c>
      <c r="F463">
        <f t="shared" si="29"/>
        <v>-1.8277138654963978</v>
      </c>
      <c r="G463">
        <f t="shared" si="30"/>
        <v>-1.6599333611316116</v>
      </c>
      <c r="I463">
        <f t="shared" si="31"/>
        <v>-1.7438236133140048</v>
      </c>
    </row>
    <row r="464" spans="1:9">
      <c r="A464" t="s">
        <v>7</v>
      </c>
      <c r="B464" s="2">
        <f t="shared" si="28"/>
        <v>24</v>
      </c>
      <c r="C464">
        <v>509</v>
      </c>
      <c r="D464">
        <v>13</v>
      </c>
      <c r="E464">
        <v>35</v>
      </c>
      <c r="F464">
        <f t="shared" si="29"/>
        <v>-2.2397890942302849</v>
      </c>
      <c r="G464">
        <f t="shared" si="30"/>
        <v>-1.8002463899173096</v>
      </c>
      <c r="I464">
        <f t="shared" si="31"/>
        <v>-2.0200177420737973</v>
      </c>
    </row>
    <row r="465" spans="1:9">
      <c r="A465" t="s">
        <v>8</v>
      </c>
      <c r="B465" s="2">
        <f t="shared" si="28"/>
        <v>24</v>
      </c>
      <c r="C465">
        <v>886</v>
      </c>
      <c r="D465">
        <v>53</v>
      </c>
      <c r="E465">
        <v>70</v>
      </c>
      <c r="F465">
        <f t="shared" si="29"/>
        <v>-1.8701725164866247</v>
      </c>
      <c r="G465">
        <f t="shared" si="30"/>
        <v>-1.7399323338036203</v>
      </c>
      <c r="I465">
        <f t="shared" si="31"/>
        <v>-1.8050524251451225</v>
      </c>
    </row>
    <row r="466" spans="1:9">
      <c r="A466" t="s">
        <v>5</v>
      </c>
      <c r="B466" s="2">
        <f t="shared" si="28"/>
        <v>24</v>
      </c>
      <c r="C466">
        <v>346</v>
      </c>
      <c r="D466">
        <v>9</v>
      </c>
      <c r="E466">
        <v>6</v>
      </c>
      <c r="F466">
        <f t="shared" si="29"/>
        <v>-2.2318482535538147</v>
      </c>
      <c r="G466">
        <f t="shared" si="30"/>
        <v>-2.3985215003399594</v>
      </c>
      <c r="I466">
        <f t="shared" si="31"/>
        <v>-2.315184876946887</v>
      </c>
    </row>
    <row r="467" spans="1:9">
      <c r="A467" t="s">
        <v>6</v>
      </c>
      <c r="B467" s="2">
        <f t="shared" si="28"/>
        <v>24</v>
      </c>
      <c r="C467">
        <v>979</v>
      </c>
      <c r="D467">
        <v>38</v>
      </c>
      <c r="E467">
        <v>48</v>
      </c>
      <c r="F467">
        <f t="shared" si="29"/>
        <v>-2.0580137593866907</v>
      </c>
      <c r="G467">
        <f t="shared" si="30"/>
        <v>-1.947138106358377</v>
      </c>
      <c r="I467">
        <f t="shared" si="31"/>
        <v>-2.0025759328725341</v>
      </c>
    </row>
    <row r="468" spans="1:9">
      <c r="A468" t="s">
        <v>10</v>
      </c>
      <c r="B468" s="2">
        <f t="shared" si="28"/>
        <v>24</v>
      </c>
      <c r="C468">
        <v>584</v>
      </c>
      <c r="D468">
        <v>29</v>
      </c>
      <c r="E468">
        <v>25</v>
      </c>
      <c r="F468">
        <f t="shared" si="29"/>
        <v>-1.9510295134138065</v>
      </c>
      <c r="G468">
        <f t="shared" si="30"/>
        <v>-2.0060694903711882</v>
      </c>
      <c r="I468">
        <f t="shared" si="31"/>
        <v>-1.9785495018924975</v>
      </c>
    </row>
    <row r="469" spans="1:9">
      <c r="A469" t="s">
        <v>11</v>
      </c>
      <c r="B469" s="2">
        <f t="shared" si="28"/>
        <v>24</v>
      </c>
      <c r="C469">
        <v>524</v>
      </c>
      <c r="D469">
        <v>31</v>
      </c>
      <c r="E469">
        <v>12</v>
      </c>
      <c r="F469">
        <f t="shared" si="29"/>
        <v>-1.874984257349817</v>
      </c>
      <c r="G469">
        <f t="shared" si="30"/>
        <v>-2.2777466928669283</v>
      </c>
      <c r="I469">
        <f t="shared" si="31"/>
        <v>-2.0763654751083727</v>
      </c>
    </row>
    <row r="470" spans="1:9">
      <c r="A470" t="s">
        <v>12</v>
      </c>
      <c r="B470" s="2">
        <f t="shared" si="28"/>
        <v>24</v>
      </c>
      <c r="C470">
        <v>743</v>
      </c>
      <c r="D470">
        <v>39</v>
      </c>
      <c r="E470">
        <v>55</v>
      </c>
      <c r="F470">
        <f t="shared" si="29"/>
        <v>-1.9269388709344393</v>
      </c>
      <c r="G470">
        <f t="shared" si="30"/>
        <v>-1.7682227761971578</v>
      </c>
      <c r="I470">
        <f t="shared" si="31"/>
        <v>-1.8475808235657984</v>
      </c>
    </row>
    <row r="471" spans="1:9">
      <c r="A471" t="s">
        <v>9</v>
      </c>
      <c r="B471" s="2">
        <f t="shared" si="28"/>
        <v>24</v>
      </c>
      <c r="C471">
        <v>319</v>
      </c>
      <c r="D471">
        <v>18</v>
      </c>
      <c r="E471">
        <v>15</v>
      </c>
      <c r="F471">
        <f t="shared" si="29"/>
        <v>-1.8955328421542381</v>
      </c>
      <c r="G471">
        <f t="shared" si="30"/>
        <v>-1.9652960759323264</v>
      </c>
      <c r="I471">
        <f t="shared" si="31"/>
        <v>-1.9304144590432823</v>
      </c>
    </row>
    <row r="472" spans="1:9">
      <c r="A472" t="s">
        <v>13</v>
      </c>
      <c r="B472" s="2">
        <f t="shared" si="28"/>
        <v>24</v>
      </c>
      <c r="C472">
        <v>494</v>
      </c>
      <c r="D472">
        <v>22</v>
      </c>
      <c r="E472">
        <v>26</v>
      </c>
      <c r="F472">
        <f t="shared" si="29"/>
        <v>-1.9983189323018038</v>
      </c>
      <c r="G472">
        <f t="shared" si="30"/>
        <v>-1.9163502528836556</v>
      </c>
      <c r="I472">
        <f t="shared" si="31"/>
        <v>-1.9573345925927297</v>
      </c>
    </row>
    <row r="473" spans="1:9">
      <c r="A473" t="s">
        <v>14</v>
      </c>
      <c r="B473" s="2">
        <f t="shared" si="28"/>
        <v>24</v>
      </c>
      <c r="C473">
        <v>736</v>
      </c>
      <c r="D473">
        <v>106</v>
      </c>
      <c r="E473">
        <v>87</v>
      </c>
      <c r="F473">
        <f t="shared" si="29"/>
        <v>-1.4885866132730916</v>
      </c>
      <c r="G473">
        <f t="shared" si="30"/>
        <v>-1.5649552136497067</v>
      </c>
      <c r="I473">
        <f t="shared" si="31"/>
        <v>-1.5267709134613991</v>
      </c>
    </row>
    <row r="474" spans="1:9">
      <c r="A474" t="s">
        <v>15</v>
      </c>
      <c r="B474" s="2">
        <f t="shared" si="28"/>
        <v>24</v>
      </c>
      <c r="C474">
        <v>658</v>
      </c>
      <c r="D474">
        <v>32</v>
      </c>
      <c r="E474">
        <v>23</v>
      </c>
      <c r="F474">
        <f t="shared" si="29"/>
        <v>-1.9600905794944126</v>
      </c>
      <c r="G474">
        <f t="shared" si="30"/>
        <v>-2.0940947095271891</v>
      </c>
      <c r="I474">
        <f t="shared" si="31"/>
        <v>-2.0270926445108008</v>
      </c>
    </row>
    <row r="475" spans="1:9">
      <c r="A475" t="s">
        <v>16</v>
      </c>
      <c r="B475" s="2">
        <f t="shared" si="28"/>
        <v>24</v>
      </c>
      <c r="C475">
        <v>1050</v>
      </c>
      <c r="D475">
        <v>68</v>
      </c>
      <c r="E475">
        <v>58</v>
      </c>
      <c r="F475">
        <f t="shared" si="29"/>
        <v>-1.835695050564065</v>
      </c>
      <c r="G475">
        <f t="shared" si="30"/>
        <v>-1.8953579574378272</v>
      </c>
      <c r="I475">
        <f t="shared" si="31"/>
        <v>-1.8655265040009461</v>
      </c>
    </row>
    <row r="476" spans="1:9">
      <c r="A476" t="s">
        <v>17</v>
      </c>
      <c r="B476" s="2">
        <f t="shared" si="28"/>
        <v>24</v>
      </c>
      <c r="C476">
        <v>660</v>
      </c>
      <c r="D476">
        <v>59</v>
      </c>
      <c r="E476">
        <v>59</v>
      </c>
      <c r="F476">
        <f t="shared" si="29"/>
        <v>-1.6957065881000877</v>
      </c>
      <c r="G476">
        <f t="shared" si="30"/>
        <v>-1.686288575830551</v>
      </c>
      <c r="I476">
        <f t="shared" si="31"/>
        <v>-1.6909975819653194</v>
      </c>
    </row>
    <row r="477" spans="1:9">
      <c r="A477" t="s">
        <v>18</v>
      </c>
      <c r="B477" s="2">
        <f t="shared" si="28"/>
        <v>24</v>
      </c>
      <c r="C477">
        <v>1302</v>
      </c>
      <c r="D477">
        <v>127</v>
      </c>
      <c r="E477">
        <v>142</v>
      </c>
      <c r="F477">
        <f t="shared" si="29"/>
        <v>-1.6578219274765795</v>
      </c>
      <c r="G477">
        <f t="shared" si="30"/>
        <v>-1.5999192917799432</v>
      </c>
      <c r="I477">
        <f t="shared" si="31"/>
        <v>-1.6288706096282612</v>
      </c>
    </row>
    <row r="478" spans="1:9">
      <c r="A478" t="s">
        <v>19</v>
      </c>
      <c r="B478" s="2">
        <f t="shared" si="28"/>
        <v>24</v>
      </c>
      <c r="C478">
        <v>637</v>
      </c>
      <c r="D478">
        <v>188</v>
      </c>
      <c r="E478">
        <v>217</v>
      </c>
      <c r="F478">
        <f t="shared" si="29"/>
        <v>-1.1769962472720337</v>
      </c>
      <c r="G478">
        <f t="shared" si="30"/>
        <v>-1.1052763504176473</v>
      </c>
      <c r="I478">
        <f t="shared" si="31"/>
        <v>-1.1411362988448404</v>
      </c>
    </row>
    <row r="479" spans="1:9">
      <c r="A479" t="s">
        <v>20</v>
      </c>
      <c r="B479" s="2">
        <f t="shared" si="28"/>
        <v>24</v>
      </c>
      <c r="C479">
        <v>22</v>
      </c>
      <c r="D479">
        <v>102</v>
      </c>
      <c r="E479">
        <v>79</v>
      </c>
      <c r="F479">
        <f t="shared" si="29"/>
        <v>1.9162826739348215E-2</v>
      </c>
      <c r="G479">
        <f t="shared" si="30"/>
        <v>-8.2392241462591276E-2</v>
      </c>
      <c r="I479">
        <f t="shared" si="31"/>
        <v>-3.161470736162153E-2</v>
      </c>
    </row>
    <row r="480" spans="1:9">
      <c r="A480" t="s">
        <v>21</v>
      </c>
      <c r="B480" s="2">
        <f t="shared" si="28"/>
        <v>24</v>
      </c>
      <c r="C480">
        <v>600</v>
      </c>
      <c r="D480">
        <v>25</v>
      </c>
      <c r="E480">
        <v>23</v>
      </c>
      <c r="F480">
        <f t="shared" si="29"/>
        <v>-2.0272259059119691</v>
      </c>
      <c r="G480">
        <f t="shared" si="30"/>
        <v>-2.0540200662968773</v>
      </c>
      <c r="I480">
        <f t="shared" si="31"/>
        <v>-2.0406229861044229</v>
      </c>
    </row>
    <row r="481" spans="1:9">
      <c r="A481" t="s">
        <v>22</v>
      </c>
      <c r="B481" s="2">
        <f t="shared" si="28"/>
        <v>24</v>
      </c>
      <c r="C481">
        <v>706</v>
      </c>
      <c r="D481">
        <v>126</v>
      </c>
      <c r="E481">
        <v>95</v>
      </c>
      <c r="F481">
        <f t="shared" si="29"/>
        <v>-1.395448820134604</v>
      </c>
      <c r="G481">
        <f t="shared" si="30"/>
        <v>-1.5086777476937825</v>
      </c>
      <c r="I481">
        <f t="shared" si="31"/>
        <v>-1.4520632839141934</v>
      </c>
    </row>
    <row r="482" spans="1:9">
      <c r="A482" t="s">
        <v>23</v>
      </c>
      <c r="B482" s="2">
        <f t="shared" si="28"/>
        <v>24</v>
      </c>
      <c r="C482">
        <v>505</v>
      </c>
      <c r="D482">
        <v>28</v>
      </c>
      <c r="E482">
        <v>13</v>
      </c>
      <c r="F482">
        <f t="shared" si="29"/>
        <v>-1.9031480109768053</v>
      </c>
      <c r="G482">
        <f t="shared" si="30"/>
        <v>-2.2269446777426509</v>
      </c>
      <c r="I482">
        <f t="shared" si="31"/>
        <v>-2.065046344359728</v>
      </c>
    </row>
    <row r="483" spans="1:9">
      <c r="A483" t="s">
        <v>24</v>
      </c>
      <c r="B483" s="2">
        <f t="shared" si="28"/>
        <v>24</v>
      </c>
      <c r="C483">
        <v>670</v>
      </c>
      <c r="D483">
        <v>21</v>
      </c>
      <c r="E483">
        <v>9</v>
      </c>
      <c r="F483">
        <f t="shared" si="29"/>
        <v>-2.1508701721672701</v>
      </c>
      <c r="G483">
        <f t="shared" si="30"/>
        <v>-2.5094289451923277</v>
      </c>
      <c r="I483">
        <f t="shared" si="31"/>
        <v>-2.3301495586797989</v>
      </c>
    </row>
    <row r="484" spans="1:9">
      <c r="A484" t="s">
        <v>25</v>
      </c>
      <c r="B484" s="2">
        <f t="shared" si="28"/>
        <v>24</v>
      </c>
      <c r="C484">
        <v>697</v>
      </c>
      <c r="D484">
        <v>23</v>
      </c>
      <c r="E484">
        <v>19</v>
      </c>
      <c r="F484">
        <f t="shared" si="29"/>
        <v>-2.1285196062807796</v>
      </c>
      <c r="G484">
        <f t="shared" si="30"/>
        <v>-2.2020758290760067</v>
      </c>
      <c r="I484">
        <f t="shared" si="31"/>
        <v>-2.165297717678393</v>
      </c>
    </row>
    <row r="485" spans="1:9">
      <c r="A485" t="s">
        <v>7</v>
      </c>
      <c r="B485" s="2">
        <f t="shared" si="28"/>
        <v>25</v>
      </c>
      <c r="C485">
        <v>151</v>
      </c>
      <c r="D485">
        <v>1</v>
      </c>
      <c r="E485">
        <v>5</v>
      </c>
      <c r="F485">
        <f t="shared" si="29"/>
        <v>-2.8259916114935324</v>
      </c>
      <c r="G485">
        <f t="shared" si="30"/>
        <v>-2.117603594887977</v>
      </c>
      <c r="I485">
        <f t="shared" si="31"/>
        <v>-2.4717976031907547</v>
      </c>
    </row>
    <row r="486" spans="1:9">
      <c r="A486" t="s">
        <v>8</v>
      </c>
      <c r="B486" s="2">
        <f t="shared" si="28"/>
        <v>25</v>
      </c>
      <c r="C486">
        <v>354</v>
      </c>
      <c r="D486">
        <v>9</v>
      </c>
      <c r="E486">
        <v>18</v>
      </c>
      <c r="F486">
        <f t="shared" si="29"/>
        <v>-2.241775416786826</v>
      </c>
      <c r="G486">
        <f t="shared" si="30"/>
        <v>-1.9313274088533081</v>
      </c>
      <c r="I486">
        <f t="shared" si="31"/>
        <v>-2.0865514128200671</v>
      </c>
    </row>
    <row r="487" spans="1:9">
      <c r="A487" t="s">
        <v>5</v>
      </c>
      <c r="B487" s="2">
        <f t="shared" si="28"/>
        <v>25</v>
      </c>
      <c r="C487">
        <v>146</v>
      </c>
      <c r="D487">
        <v>271</v>
      </c>
      <c r="E487">
        <v>2</v>
      </c>
      <c r="F487">
        <f t="shared" si="29"/>
        <v>-0.3783982291103945</v>
      </c>
      <c r="G487">
        <f t="shared" si="30"/>
        <v>-2.5009195120512824</v>
      </c>
      <c r="I487">
        <f t="shared" si="31"/>
        <v>-1.4396588705808384</v>
      </c>
    </row>
    <row r="488" spans="1:9">
      <c r="A488" t="s">
        <v>6</v>
      </c>
      <c r="B488" s="2">
        <f t="shared" si="28"/>
        <v>25</v>
      </c>
      <c r="C488">
        <v>132</v>
      </c>
      <c r="D488">
        <v>1</v>
      </c>
      <c r="E488">
        <v>5</v>
      </c>
      <c r="F488">
        <f t="shared" si="29"/>
        <v>-2.7675885954062132</v>
      </c>
      <c r="G488">
        <f t="shared" si="30"/>
        <v>-2.0592005788006578</v>
      </c>
      <c r="I488">
        <f t="shared" si="31"/>
        <v>-2.4133945871034355</v>
      </c>
    </row>
    <row r="489" spans="1:9">
      <c r="A489" t="s">
        <v>10</v>
      </c>
      <c r="B489" s="2">
        <f t="shared" si="28"/>
        <v>25</v>
      </c>
      <c r="C489">
        <v>663</v>
      </c>
      <c r="D489">
        <v>44</v>
      </c>
      <c r="E489">
        <v>50</v>
      </c>
      <c r="F489">
        <f t="shared" si="29"/>
        <v>-1.8250755161189489</v>
      </c>
      <c r="G489">
        <f t="shared" si="30"/>
        <v>-1.7601401759995809</v>
      </c>
      <c r="I489">
        <f t="shared" si="31"/>
        <v>-1.7926078460592649</v>
      </c>
    </row>
    <row r="490" spans="1:9">
      <c r="A490" t="s">
        <v>11</v>
      </c>
      <c r="B490" s="2">
        <f t="shared" si="28"/>
        <v>25</v>
      </c>
      <c r="C490">
        <v>337</v>
      </c>
      <c r="D490">
        <v>6</v>
      </c>
      <c r="E490">
        <v>10</v>
      </c>
      <c r="F490">
        <f t="shared" si="29"/>
        <v>-2.3964933146880583</v>
      </c>
      <c r="G490">
        <f t="shared" si="30"/>
        <v>-2.165226552802165</v>
      </c>
      <c r="I490">
        <f t="shared" si="31"/>
        <v>-2.2808599337451119</v>
      </c>
    </row>
    <row r="491" spans="1:9">
      <c r="A491" t="s">
        <v>12</v>
      </c>
      <c r="B491" s="2">
        <f t="shared" si="28"/>
        <v>25</v>
      </c>
      <c r="C491">
        <v>215</v>
      </c>
      <c r="D491">
        <v>41</v>
      </c>
      <c r="E491">
        <v>62</v>
      </c>
      <c r="F491">
        <f t="shared" si="29"/>
        <v>-1.3666692673962331</v>
      </c>
      <c r="G491">
        <f t="shared" si="30"/>
        <v>-1.177643422348178</v>
      </c>
      <c r="I491">
        <f t="shared" si="31"/>
        <v>-1.2721563448722055</v>
      </c>
    </row>
    <row r="492" spans="1:9">
      <c r="A492" t="s">
        <v>9</v>
      </c>
      <c r="B492" s="2">
        <f t="shared" si="28"/>
        <v>25</v>
      </c>
      <c r="C492">
        <v>338</v>
      </c>
      <c r="D492">
        <v>8</v>
      </c>
      <c r="E492">
        <v>8</v>
      </c>
      <c r="F492">
        <f t="shared" si="29"/>
        <v>-2.2728413774860741</v>
      </c>
      <c r="G492">
        <f t="shared" si="30"/>
        <v>-2.2634233652165374</v>
      </c>
      <c r="I492">
        <f t="shared" si="31"/>
        <v>-2.2681323713513057</v>
      </c>
    </row>
    <row r="493" spans="1:9">
      <c r="A493" t="s">
        <v>13</v>
      </c>
      <c r="B493" s="2">
        <f t="shared" si="28"/>
        <v>25</v>
      </c>
      <c r="C493">
        <v>201</v>
      </c>
      <c r="D493">
        <v>4</v>
      </c>
      <c r="E493">
        <v>3</v>
      </c>
      <c r="F493">
        <f t="shared" si="29"/>
        <v>-2.3481507302928897</v>
      </c>
      <c r="G493">
        <f t="shared" si="30"/>
        <v>-2.4636714546316529</v>
      </c>
      <c r="I493">
        <f t="shared" si="31"/>
        <v>-2.4059110924622713</v>
      </c>
    </row>
    <row r="494" spans="1:9">
      <c r="A494" t="s">
        <v>14</v>
      </c>
      <c r="B494" s="2">
        <f t="shared" si="28"/>
        <v>25</v>
      </c>
      <c r="C494">
        <v>476</v>
      </c>
      <c r="D494">
        <v>10</v>
      </c>
      <c r="E494">
        <v>4</v>
      </c>
      <c r="F494">
        <f t="shared" si="29"/>
        <v>-2.3246216169208562</v>
      </c>
      <c r="G494">
        <f t="shared" si="30"/>
        <v>-2.7131436133233571</v>
      </c>
      <c r="I494">
        <f t="shared" si="31"/>
        <v>-2.5188826151221066</v>
      </c>
    </row>
    <row r="495" spans="1:9">
      <c r="A495" t="s">
        <v>15</v>
      </c>
      <c r="B495" s="2">
        <f t="shared" si="28"/>
        <v>25</v>
      </c>
      <c r="C495">
        <v>183</v>
      </c>
      <c r="D495">
        <v>3</v>
      </c>
      <c r="E495">
        <v>0</v>
      </c>
      <c r="F495">
        <f t="shared" si="29"/>
        <v>-2.4323444992111298</v>
      </c>
      <c r="G495" t="e">
        <f t="shared" si="30"/>
        <v>#NUM!</v>
      </c>
      <c r="I495" t="e">
        <f t="shared" si="31"/>
        <v>#NUM!</v>
      </c>
    </row>
    <row r="496" spans="1:9">
      <c r="A496" t="s">
        <v>16</v>
      </c>
      <c r="B496" s="2">
        <f t="shared" si="28"/>
        <v>25</v>
      </c>
      <c r="C496">
        <v>96</v>
      </c>
      <c r="D496">
        <v>5</v>
      </c>
      <c r="E496">
        <v>0</v>
      </c>
      <c r="F496">
        <f t="shared" si="29"/>
        <v>-1.9303158929039128</v>
      </c>
      <c r="G496" t="e">
        <f t="shared" si="30"/>
        <v>#NUM!</v>
      </c>
      <c r="I496" t="e">
        <f t="shared" si="31"/>
        <v>#NUM!</v>
      </c>
    </row>
    <row r="497" spans="1:9">
      <c r="A497" t="s">
        <v>17</v>
      </c>
      <c r="B497" s="2">
        <f t="shared" si="28"/>
        <v>25</v>
      </c>
      <c r="C497">
        <v>535</v>
      </c>
      <c r="D497">
        <v>153</v>
      </c>
      <c r="E497">
        <v>153</v>
      </c>
      <c r="F497">
        <f t="shared" si="29"/>
        <v>-1.1906770154039927</v>
      </c>
      <c r="G497">
        <f t="shared" si="30"/>
        <v>-1.1812590031344561</v>
      </c>
      <c r="I497">
        <f t="shared" si="31"/>
        <v>-1.1859680092692244</v>
      </c>
    </row>
    <row r="498" spans="1:9">
      <c r="A498" t="s">
        <v>18</v>
      </c>
      <c r="B498" s="2">
        <f t="shared" si="28"/>
        <v>25</v>
      </c>
      <c r="C498">
        <v>559</v>
      </c>
      <c r="D498">
        <v>7</v>
      </c>
      <c r="E498">
        <v>46</v>
      </c>
      <c r="F498">
        <f t="shared" si="29"/>
        <v>-2.5493284320725298</v>
      </c>
      <c r="G498">
        <f t="shared" si="30"/>
        <v>-1.7222506281356758</v>
      </c>
      <c r="I498">
        <f t="shared" si="31"/>
        <v>-2.1357895301041028</v>
      </c>
    </row>
    <row r="499" spans="1:9">
      <c r="A499" t="s">
        <v>19</v>
      </c>
      <c r="B499" s="2">
        <f t="shared" si="28"/>
        <v>25</v>
      </c>
      <c r="C499">
        <v>356</v>
      </c>
      <c r="D499">
        <v>9</v>
      </c>
      <c r="E499">
        <v>10</v>
      </c>
      <c r="F499">
        <f t="shared" si="29"/>
        <v>-2.2442221527339132</v>
      </c>
      <c r="G499">
        <f t="shared" si="30"/>
        <v>-2.1890466499037018</v>
      </c>
      <c r="I499">
        <f t="shared" si="31"/>
        <v>-2.2166344013188075</v>
      </c>
    </row>
    <row r="500" spans="1:9">
      <c r="A500" t="s">
        <v>20</v>
      </c>
      <c r="B500" s="2">
        <f t="shared" si="28"/>
        <v>25</v>
      </c>
      <c r="C500">
        <v>1043</v>
      </c>
      <c r="D500">
        <v>72</v>
      </c>
      <c r="E500">
        <v>27</v>
      </c>
      <c r="F500">
        <f t="shared" si="29"/>
        <v>-1.8079664761956256</v>
      </c>
      <c r="G500">
        <f t="shared" si="30"/>
        <v>-2.2245171961983701</v>
      </c>
      <c r="I500">
        <f t="shared" si="31"/>
        <v>-2.0162418361969978</v>
      </c>
    </row>
    <row r="501" spans="1:9">
      <c r="A501" t="s">
        <v>21</v>
      </c>
      <c r="B501" s="2">
        <f t="shared" si="28"/>
        <v>25</v>
      </c>
      <c r="C501">
        <v>81057</v>
      </c>
      <c r="D501">
        <v>359588</v>
      </c>
      <c r="E501">
        <v>351874</v>
      </c>
      <c r="F501">
        <f t="shared" si="29"/>
        <v>0</v>
      </c>
      <c r="G501">
        <f t="shared" si="30"/>
        <v>0</v>
      </c>
      <c r="I501">
        <f t="shared" si="31"/>
        <v>0</v>
      </c>
    </row>
    <row r="502" spans="1:9">
      <c r="A502" t="s">
        <v>22</v>
      </c>
      <c r="B502" s="2">
        <f t="shared" si="28"/>
        <v>25</v>
      </c>
      <c r="C502">
        <v>362</v>
      </c>
      <c r="D502">
        <v>14</v>
      </c>
      <c r="E502">
        <v>14</v>
      </c>
      <c r="F502">
        <f t="shared" si="29"/>
        <v>-2.0595951990552908</v>
      </c>
      <c r="G502">
        <f t="shared" si="30"/>
        <v>-2.0501771867857541</v>
      </c>
      <c r="I502">
        <f t="shared" si="31"/>
        <v>-2.0548861929205224</v>
      </c>
    </row>
    <row r="503" spans="1:9">
      <c r="A503" t="s">
        <v>23</v>
      </c>
      <c r="B503" s="2">
        <f t="shared" si="28"/>
        <v>25</v>
      </c>
      <c r="C503">
        <v>331</v>
      </c>
      <c r="D503">
        <v>40</v>
      </c>
      <c r="E503">
        <v>11</v>
      </c>
      <c r="F503">
        <f t="shared" si="29"/>
        <v>-1.5647826666481195</v>
      </c>
      <c r="G503">
        <f t="shared" si="30"/>
        <v>-2.1160319605483204</v>
      </c>
      <c r="I503">
        <f t="shared" si="31"/>
        <v>-1.84040731359822</v>
      </c>
    </row>
    <row r="504" spans="1:9">
      <c r="A504" t="s">
        <v>24</v>
      </c>
      <c r="B504" s="2">
        <f t="shared" si="28"/>
        <v>25</v>
      </c>
      <c r="C504">
        <v>511</v>
      </c>
      <c r="D504">
        <v>69</v>
      </c>
      <c r="E504">
        <v>25</v>
      </c>
      <c r="F504">
        <f t="shared" si="29"/>
        <v>-1.5165864735978207</v>
      </c>
      <c r="G504">
        <f t="shared" si="30"/>
        <v>-1.9480775433935016</v>
      </c>
      <c r="I504">
        <f t="shared" si="31"/>
        <v>-1.732332008495661</v>
      </c>
    </row>
    <row r="505" spans="1:9">
      <c r="A505" t="s">
        <v>25</v>
      </c>
      <c r="B505" s="2">
        <f t="shared" si="28"/>
        <v>25</v>
      </c>
      <c r="C505">
        <v>701</v>
      </c>
      <c r="D505">
        <v>68</v>
      </c>
      <c r="E505">
        <v>13</v>
      </c>
      <c r="F505">
        <f t="shared" si="29"/>
        <v>-1.6602237694607855</v>
      </c>
      <c r="G505">
        <f t="shared" si="30"/>
        <v>-2.3693713175906481</v>
      </c>
      <c r="I505">
        <f t="shared" si="31"/>
        <v>-2.0147975435257166</v>
      </c>
    </row>
    <row r="506" spans="1:9">
      <c r="A506" t="s">
        <v>7</v>
      </c>
      <c r="B506" s="2">
        <f t="shared" si="28"/>
        <v>26</v>
      </c>
      <c r="C506">
        <v>101</v>
      </c>
      <c r="D506">
        <v>17</v>
      </c>
      <c r="E506">
        <v>7</v>
      </c>
      <c r="F506">
        <f>LOG10(D506/C506)-LOG10(257761/57671)</f>
        <v>-1.4241321783270275</v>
      </c>
      <c r="G506">
        <f>LOG10(E506/C506)-LOG10(280611/57671)</f>
        <v>-1.846370543185142</v>
      </c>
      <c r="I506">
        <f t="shared" si="31"/>
        <v>-1.6352513607560848</v>
      </c>
    </row>
    <row r="507" spans="1:9">
      <c r="A507" t="s">
        <v>8</v>
      </c>
      <c r="B507" s="2">
        <f t="shared" si="28"/>
        <v>26</v>
      </c>
      <c r="C507">
        <v>146</v>
      </c>
      <c r="D507">
        <v>8</v>
      </c>
      <c r="E507">
        <v>7</v>
      </c>
      <c r="F507">
        <f t="shared" ref="F507:F570" si="32">LOG10(D507/C507)-LOG10(257761/57671)</f>
        <v>-1.9115225947151524</v>
      </c>
      <c r="G507">
        <f t="shared" ref="G507:G570" si="33">LOG10(E507/C507)-LOG10(280611/57671)</f>
        <v>-2.0064020251869366</v>
      </c>
      <c r="I507">
        <f t="shared" si="31"/>
        <v>-1.9589623099510445</v>
      </c>
    </row>
    <row r="508" spans="1:9">
      <c r="A508" t="s">
        <v>5</v>
      </c>
      <c r="B508" s="2">
        <f t="shared" si="28"/>
        <v>26</v>
      </c>
      <c r="C508">
        <v>30</v>
      </c>
      <c r="D508">
        <v>1</v>
      </c>
      <c r="E508">
        <v>6</v>
      </c>
      <c r="F508">
        <f t="shared" si="32"/>
        <v>-2.1273809806423212</v>
      </c>
      <c r="G508">
        <f t="shared" si="33"/>
        <v>-1.3861172137527751</v>
      </c>
      <c r="I508">
        <f t="shared" si="31"/>
        <v>-1.7567490971975481</v>
      </c>
    </row>
    <row r="509" spans="1:9">
      <c r="A509" t="s">
        <v>6</v>
      </c>
      <c r="B509" s="2">
        <f t="shared" si="28"/>
        <v>26</v>
      </c>
      <c r="C509">
        <v>283</v>
      </c>
      <c r="D509">
        <v>24</v>
      </c>
      <c r="E509">
        <v>93</v>
      </c>
      <c r="F509">
        <f t="shared" si="32"/>
        <v>-1.7218349197353431</v>
      </c>
      <c r="G509">
        <f t="shared" si="33"/>
        <v>-1.1704506963871115</v>
      </c>
      <c r="I509">
        <f t="shared" si="31"/>
        <v>-1.4461428080612273</v>
      </c>
    </row>
    <row r="510" spans="1:9">
      <c r="A510" t="s">
        <v>10</v>
      </c>
      <c r="B510" s="2">
        <f t="shared" si="28"/>
        <v>26</v>
      </c>
      <c r="C510">
        <v>267</v>
      </c>
      <c r="D510">
        <v>59</v>
      </c>
      <c r="E510">
        <v>14</v>
      </c>
      <c r="F510">
        <f t="shared" si="32"/>
        <v>-1.3059189756450897</v>
      </c>
      <c r="G510">
        <f t="shared" si="33"/>
        <v>-1.9675304351030936</v>
      </c>
      <c r="I510">
        <f t="shared" si="31"/>
        <v>-1.6367247053740916</v>
      </c>
    </row>
    <row r="511" spans="1:9">
      <c r="A511" t="s">
        <v>11</v>
      </c>
      <c r="B511" s="2">
        <f t="shared" si="28"/>
        <v>26</v>
      </c>
      <c r="C511">
        <v>18</v>
      </c>
      <c r="D511">
        <v>140</v>
      </c>
      <c r="E511">
        <v>132</v>
      </c>
      <c r="F511">
        <f t="shared" si="32"/>
        <v>0.24059580465227315</v>
      </c>
      <c r="G511">
        <f t="shared" si="33"/>
        <v>0.17815421668578735</v>
      </c>
      <c r="I511">
        <f t="shared" si="31"/>
        <v>0.20937501066903025</v>
      </c>
    </row>
    <row r="512" spans="1:9">
      <c r="A512" t="s">
        <v>12</v>
      </c>
      <c r="B512" s="2">
        <f t="shared" si="28"/>
        <v>26</v>
      </c>
      <c r="C512">
        <v>285</v>
      </c>
      <c r="D512">
        <v>15</v>
      </c>
      <c r="E512">
        <v>44</v>
      </c>
      <c r="F512">
        <f t="shared" si="32"/>
        <v>-1.9290133268754879</v>
      </c>
      <c r="G512">
        <f t="shared" si="33"/>
        <v>-1.4985393929390791</v>
      </c>
      <c r="I512">
        <f t="shared" si="31"/>
        <v>-1.7137763599072835</v>
      </c>
    </row>
    <row r="513" spans="1:9">
      <c r="A513" t="s">
        <v>9</v>
      </c>
      <c r="B513" s="2">
        <f t="shared" si="28"/>
        <v>26</v>
      </c>
      <c r="C513">
        <v>190</v>
      </c>
      <c r="D513">
        <v>4</v>
      </c>
      <c r="E513">
        <v>26</v>
      </c>
      <c r="F513">
        <f t="shared" si="32"/>
        <v>-2.3269533355475254</v>
      </c>
      <c r="G513">
        <f t="shared" si="33"/>
        <v>-1.5509274623987674</v>
      </c>
      <c r="I513">
        <f t="shared" si="31"/>
        <v>-1.9389403989731464</v>
      </c>
    </row>
    <row r="514" spans="1:9">
      <c r="A514" t="s">
        <v>13</v>
      </c>
      <c r="B514" s="2">
        <f t="shared" si="28"/>
        <v>26</v>
      </c>
      <c r="C514">
        <v>300</v>
      </c>
      <c r="D514">
        <v>11</v>
      </c>
      <c r="E514">
        <v>137</v>
      </c>
      <c r="F514">
        <f t="shared" si="32"/>
        <v>-2.0859882954840963</v>
      </c>
      <c r="G514">
        <f t="shared" si="33"/>
        <v>-1.027547896980012</v>
      </c>
      <c r="I514">
        <f t="shared" si="31"/>
        <v>-1.5567680962320543</v>
      </c>
    </row>
    <row r="515" spans="1:9">
      <c r="A515" t="s">
        <v>14</v>
      </c>
      <c r="B515" s="2">
        <f t="shared" ref="B515:B578" si="34">1+INT((ROW()-2)/21)+1</f>
        <v>26</v>
      </c>
      <c r="C515">
        <v>276</v>
      </c>
      <c r="D515">
        <v>22</v>
      </c>
      <c r="E515">
        <v>19</v>
      </c>
      <c r="F515">
        <f t="shared" si="32"/>
        <v>-1.7487461271656703</v>
      </c>
      <c r="G515">
        <f t="shared" si="33"/>
        <v>-1.8493026905291452</v>
      </c>
      <c r="I515">
        <f t="shared" ref="I515:I578" si="35">AVERAGE(F515:G515)</f>
        <v>-1.7990244088474077</v>
      </c>
    </row>
    <row r="516" spans="1:9">
      <c r="A516" t="s">
        <v>15</v>
      </c>
      <c r="B516" s="2">
        <f t="shared" si="34"/>
        <v>26</v>
      </c>
      <c r="C516">
        <v>186</v>
      </c>
      <c r="D516">
        <v>37</v>
      </c>
      <c r="E516">
        <v>122</v>
      </c>
      <c r="F516">
        <f t="shared" si="32"/>
        <v>-1.3515709460735801</v>
      </c>
      <c r="G516">
        <f t="shared" si="33"/>
        <v>-0.87030032295992454</v>
      </c>
      <c r="I516">
        <f t="shared" si="35"/>
        <v>-1.1109356345167523</v>
      </c>
    </row>
    <row r="517" spans="1:9">
      <c r="A517" t="s">
        <v>16</v>
      </c>
      <c r="B517" s="2">
        <f t="shared" si="34"/>
        <v>26</v>
      </c>
      <c r="C517">
        <v>107</v>
      </c>
      <c r="D517">
        <v>1</v>
      </c>
      <c r="E517">
        <v>32</v>
      </c>
      <c r="F517">
        <f t="shared" si="32"/>
        <v>-2.6796435036078687</v>
      </c>
      <c r="G517">
        <f t="shared" si="33"/>
        <v>-1.2113810087820602</v>
      </c>
      <c r="I517">
        <f t="shared" si="35"/>
        <v>-1.9455122561949645</v>
      </c>
    </row>
    <row r="518" spans="1:9">
      <c r="A518" t="s">
        <v>17</v>
      </c>
      <c r="B518" s="2">
        <f t="shared" si="34"/>
        <v>26</v>
      </c>
      <c r="C518">
        <v>197</v>
      </c>
      <c r="D518">
        <v>6</v>
      </c>
      <c r="E518">
        <v>16</v>
      </c>
      <c r="F518">
        <f t="shared" si="32"/>
        <v>-2.1665747017006081</v>
      </c>
      <c r="G518">
        <f t="shared" si="33"/>
        <v>-1.7774934529224247</v>
      </c>
      <c r="I518">
        <f t="shared" si="35"/>
        <v>-1.9720340773115164</v>
      </c>
    </row>
    <row r="519" spans="1:9">
      <c r="A519" t="s">
        <v>18</v>
      </c>
      <c r="B519" s="2">
        <f t="shared" si="34"/>
        <v>26</v>
      </c>
      <c r="C519">
        <v>205</v>
      </c>
      <c r="D519">
        <v>16</v>
      </c>
      <c r="E519">
        <v>33</v>
      </c>
      <c r="F519">
        <f t="shared" si="32"/>
        <v>-1.7578936043224882</v>
      </c>
      <c r="G519">
        <f t="shared" si="33"/>
        <v>-1.4803871305946232</v>
      </c>
      <c r="I519">
        <f t="shared" si="35"/>
        <v>-1.6191403674585558</v>
      </c>
    </row>
    <row r="520" spans="1:9">
      <c r="A520" t="s">
        <v>19</v>
      </c>
      <c r="B520" s="2">
        <f t="shared" si="34"/>
        <v>26</v>
      </c>
      <c r="C520">
        <v>113</v>
      </c>
      <c r="D520">
        <v>3</v>
      </c>
      <c r="E520">
        <v>26</v>
      </c>
      <c r="F520">
        <f t="shared" si="32"/>
        <v>-2.2262169146864164</v>
      </c>
      <c r="G520">
        <f t="shared" si="33"/>
        <v>-1.3252523049293581</v>
      </c>
      <c r="I520">
        <f t="shared" si="35"/>
        <v>-1.7757346098078872</v>
      </c>
    </row>
    <row r="521" spans="1:9">
      <c r="A521" t="s">
        <v>20</v>
      </c>
      <c r="B521" s="2">
        <f t="shared" si="34"/>
        <v>26</v>
      </c>
      <c r="C521">
        <v>102</v>
      </c>
      <c r="D521">
        <v>2</v>
      </c>
      <c r="E521">
        <v>10</v>
      </c>
      <c r="F521">
        <f t="shared" si="32"/>
        <v>-2.3578299020205948</v>
      </c>
      <c r="G521">
        <f t="shared" si="33"/>
        <v>-1.6957473811786739</v>
      </c>
      <c r="I521">
        <f t="shared" si="35"/>
        <v>-2.0267886415996346</v>
      </c>
    </row>
    <row r="522" spans="1:9">
      <c r="A522" t="s">
        <v>21</v>
      </c>
      <c r="B522" s="2">
        <f t="shared" si="34"/>
        <v>26</v>
      </c>
      <c r="C522">
        <v>279</v>
      </c>
      <c r="D522">
        <v>137</v>
      </c>
      <c r="E522">
        <v>136</v>
      </c>
      <c r="F522">
        <f t="shared" si="32"/>
        <v>-0.95914336203984951</v>
      </c>
      <c r="G522">
        <f t="shared" si="33"/>
        <v>-0.99921250432013653</v>
      </c>
      <c r="I522">
        <f t="shared" si="35"/>
        <v>-0.97917793317999302</v>
      </c>
    </row>
    <row r="523" spans="1:9">
      <c r="A523" t="s">
        <v>22</v>
      </c>
      <c r="B523" s="2">
        <f t="shared" si="34"/>
        <v>26</v>
      </c>
      <c r="C523">
        <v>67</v>
      </c>
      <c r="D523">
        <v>8</v>
      </c>
      <c r="E523">
        <v>24</v>
      </c>
      <c r="F523">
        <f t="shared" si="32"/>
        <v>-1.5732445416315417</v>
      </c>
      <c r="G523">
        <f t="shared" si="33"/>
        <v>-1.1330107704059769</v>
      </c>
      <c r="I523">
        <f t="shared" si="35"/>
        <v>-1.3531276560187593</v>
      </c>
    </row>
    <row r="524" spans="1:9">
      <c r="A524" t="s">
        <v>23</v>
      </c>
      <c r="B524" s="2">
        <f t="shared" si="34"/>
        <v>26</v>
      </c>
      <c r="C524">
        <v>57</v>
      </c>
      <c r="D524">
        <v>0</v>
      </c>
      <c r="E524">
        <v>5</v>
      </c>
      <c r="F524" t="e">
        <f t="shared" si="32"/>
        <v>#NUM!</v>
      </c>
      <c r="G524">
        <f t="shared" si="33"/>
        <v>-1.744052060753229</v>
      </c>
      <c r="I524" t="e">
        <f t="shared" si="35"/>
        <v>#NUM!</v>
      </c>
    </row>
    <row r="525" spans="1:9">
      <c r="A525" t="s">
        <v>24</v>
      </c>
      <c r="B525" s="2">
        <f t="shared" si="34"/>
        <v>26</v>
      </c>
      <c r="C525">
        <v>131</v>
      </c>
      <c r="D525">
        <v>5</v>
      </c>
      <c r="E525">
        <v>18</v>
      </c>
      <c r="F525">
        <f t="shared" si="32"/>
        <v>-2.0685610172424043</v>
      </c>
      <c r="G525">
        <f t="shared" si="33"/>
        <v>-1.5491459999692148</v>
      </c>
      <c r="I525">
        <f t="shared" si="35"/>
        <v>-1.8088535086058095</v>
      </c>
    </row>
    <row r="526" spans="1:9">
      <c r="A526" t="s">
        <v>25</v>
      </c>
      <c r="B526" s="2">
        <f t="shared" si="34"/>
        <v>26</v>
      </c>
      <c r="C526">
        <v>138</v>
      </c>
      <c r="D526">
        <v>3</v>
      </c>
      <c r="E526">
        <v>25</v>
      </c>
      <c r="F526">
        <f t="shared" si="32"/>
        <v>-2.3130175576042329</v>
      </c>
      <c r="G526">
        <f t="shared" si="33"/>
        <v>-1.4290862871459553</v>
      </c>
      <c r="I526">
        <f t="shared" si="35"/>
        <v>-1.8710519223750941</v>
      </c>
    </row>
    <row r="527" spans="1:9">
      <c r="A527" t="s">
        <v>7</v>
      </c>
      <c r="B527" s="2">
        <f t="shared" si="34"/>
        <v>27</v>
      </c>
      <c r="C527">
        <v>13</v>
      </c>
      <c r="D527">
        <v>71</v>
      </c>
      <c r="E527">
        <v>79</v>
      </c>
      <c r="F527">
        <f t="shared" si="32"/>
        <v>8.7055270489579728E-2</v>
      </c>
      <c r="G527">
        <f t="shared" si="33"/>
        <v>9.6536529566848217E-2</v>
      </c>
      <c r="I527">
        <f t="shared" si="35"/>
        <v>9.1795900028213973E-2</v>
      </c>
    </row>
    <row r="528" spans="1:9">
      <c r="A528" t="s">
        <v>8</v>
      </c>
      <c r="B528" s="2">
        <f t="shared" si="34"/>
        <v>27</v>
      </c>
      <c r="C528">
        <v>526</v>
      </c>
      <c r="D528">
        <v>192</v>
      </c>
      <c r="E528">
        <v>1184</v>
      </c>
      <c r="F528">
        <f t="shared" si="32"/>
        <v>-1.0879442413728482</v>
      </c>
      <c r="G528">
        <f t="shared" si="33"/>
        <v>-0.33478125118359453</v>
      </c>
      <c r="I528">
        <f t="shared" si="35"/>
        <v>-0.71136274627822138</v>
      </c>
    </row>
    <row r="529" spans="1:9">
      <c r="A529" t="s">
        <v>5</v>
      </c>
      <c r="B529" s="2">
        <f t="shared" si="34"/>
        <v>27</v>
      </c>
      <c r="C529">
        <v>186</v>
      </c>
      <c r="D529">
        <v>43</v>
      </c>
      <c r="E529">
        <v>869</v>
      </c>
      <c r="F529">
        <f t="shared" si="32"/>
        <v>-1.2863042145609886</v>
      </c>
      <c r="G529">
        <f t="shared" si="33"/>
        <v>-1.7640377186006306E-2</v>
      </c>
      <c r="I529">
        <f t="shared" si="35"/>
        <v>-0.65197229587349748</v>
      </c>
    </row>
    <row r="530" spans="1:9">
      <c r="A530" t="s">
        <v>6</v>
      </c>
      <c r="B530" s="2">
        <f t="shared" si="34"/>
        <v>27</v>
      </c>
      <c r="C530">
        <v>260</v>
      </c>
      <c r="D530">
        <v>368</v>
      </c>
      <c r="E530">
        <v>171</v>
      </c>
      <c r="F530">
        <f t="shared" si="32"/>
        <v>-0.49938525521995908</v>
      </c>
      <c r="G530">
        <f t="shared" si="33"/>
        <v>-0.86912444699542057</v>
      </c>
      <c r="I530">
        <f t="shared" si="35"/>
        <v>-0.6842548511076898</v>
      </c>
    </row>
    <row r="531" spans="1:9">
      <c r="A531" t="s">
        <v>10</v>
      </c>
      <c r="B531" s="2">
        <f t="shared" si="34"/>
        <v>27</v>
      </c>
      <c r="C531">
        <v>1409</v>
      </c>
      <c r="D531">
        <v>193</v>
      </c>
      <c r="E531">
        <v>567</v>
      </c>
      <c r="F531">
        <f t="shared" si="32"/>
        <v>-1.5136134100242415</v>
      </c>
      <c r="G531">
        <f t="shared" si="33"/>
        <v>-1.0824751436332063</v>
      </c>
      <c r="I531">
        <f t="shared" si="35"/>
        <v>-1.2980442768287239</v>
      </c>
    </row>
    <row r="532" spans="1:9">
      <c r="A532" t="s">
        <v>11</v>
      </c>
      <c r="B532" s="2">
        <f t="shared" si="34"/>
        <v>27</v>
      </c>
      <c r="C532">
        <v>326</v>
      </c>
      <c r="D532">
        <v>569</v>
      </c>
      <c r="E532">
        <v>394</v>
      </c>
      <c r="F532">
        <f t="shared" si="32"/>
        <v>-0.40836505959552666</v>
      </c>
      <c r="G532">
        <f t="shared" si="33"/>
        <v>-0.60486858765912133</v>
      </c>
      <c r="I532">
        <f t="shared" si="35"/>
        <v>-0.50661682362732396</v>
      </c>
    </row>
    <row r="533" spans="1:9">
      <c r="A533" t="s">
        <v>12</v>
      </c>
      <c r="B533" s="2">
        <f t="shared" si="34"/>
        <v>27</v>
      </c>
      <c r="C533">
        <v>279</v>
      </c>
      <c r="D533">
        <v>329</v>
      </c>
      <c r="E533">
        <v>1009</v>
      </c>
      <c r="F533">
        <f t="shared" si="32"/>
        <v>-0.57866803124628208</v>
      </c>
      <c r="G533">
        <f t="shared" si="33"/>
        <v>-0.12886024645344352</v>
      </c>
      <c r="I533">
        <f t="shared" si="35"/>
        <v>-0.3537641388498628</v>
      </c>
    </row>
    <row r="534" spans="1:9">
      <c r="A534" t="s">
        <v>9</v>
      </c>
      <c r="B534" s="2">
        <f t="shared" si="34"/>
        <v>27</v>
      </c>
      <c r="C534">
        <v>327</v>
      </c>
      <c r="D534">
        <v>150</v>
      </c>
      <c r="E534">
        <v>353</v>
      </c>
      <c r="F534">
        <f t="shared" si="32"/>
        <v>-0.98871621952726363</v>
      </c>
      <c r="G534">
        <f t="shared" si="33"/>
        <v>-0.65392025668921994</v>
      </c>
      <c r="I534">
        <f t="shared" si="35"/>
        <v>-0.82131823810824178</v>
      </c>
    </row>
    <row r="535" spans="1:9">
      <c r="A535" t="s">
        <v>13</v>
      </c>
      <c r="B535" s="2">
        <f t="shared" si="34"/>
        <v>27</v>
      </c>
      <c r="C535">
        <v>273</v>
      </c>
      <c r="D535">
        <v>135</v>
      </c>
      <c r="E535">
        <v>5426</v>
      </c>
      <c r="F535">
        <f t="shared" si="32"/>
        <v>-0.95608860446840871</v>
      </c>
      <c r="G535">
        <f t="shared" si="33"/>
        <v>0.61116993296806477</v>
      </c>
      <c r="I535">
        <f t="shared" si="35"/>
        <v>-0.17245933575017197</v>
      </c>
    </row>
    <row r="536" spans="1:9">
      <c r="A536" t="s">
        <v>14</v>
      </c>
      <c r="B536" s="2">
        <f t="shared" si="34"/>
        <v>27</v>
      </c>
      <c r="C536">
        <v>281</v>
      </c>
      <c r="D536">
        <v>405</v>
      </c>
      <c r="E536">
        <v>50</v>
      </c>
      <c r="F536">
        <f t="shared" si="32"/>
        <v>-0.49151102261307017</v>
      </c>
      <c r="G536">
        <f t="shared" si="33"/>
        <v>-1.4368835249858174</v>
      </c>
      <c r="I536">
        <f t="shared" si="35"/>
        <v>-0.96419727379944375</v>
      </c>
    </row>
    <row r="537" spans="1:9">
      <c r="A537" t="s">
        <v>15</v>
      </c>
      <c r="B537" s="2">
        <f t="shared" si="34"/>
        <v>27</v>
      </c>
      <c r="C537">
        <v>192</v>
      </c>
      <c r="D537">
        <v>111</v>
      </c>
      <c r="E537">
        <v>1385</v>
      </c>
      <c r="F537">
        <f t="shared" si="32"/>
        <v>-0.888237975839551</v>
      </c>
      <c r="G537">
        <f t="shared" si="33"/>
        <v>0.17100133528016137</v>
      </c>
      <c r="I537">
        <f t="shared" si="35"/>
        <v>-0.35861832027969481</v>
      </c>
    </row>
    <row r="538" spans="1:9">
      <c r="A538" t="s">
        <v>16</v>
      </c>
      <c r="B538" s="2">
        <f t="shared" si="34"/>
        <v>27</v>
      </c>
      <c r="C538">
        <v>234</v>
      </c>
      <c r="D538">
        <v>13</v>
      </c>
      <c r="E538">
        <v>175</v>
      </c>
      <c r="F538">
        <f t="shared" si="32"/>
        <v>-1.9055322310259648</v>
      </c>
      <c r="G538">
        <f t="shared" si="33"/>
        <v>-0.81332501814060487</v>
      </c>
      <c r="I538">
        <f t="shared" si="35"/>
        <v>-1.359428624583285</v>
      </c>
    </row>
    <row r="539" spans="1:9">
      <c r="A539" t="s">
        <v>17</v>
      </c>
      <c r="B539" s="2">
        <f t="shared" si="34"/>
        <v>27</v>
      </c>
      <c r="C539">
        <v>158</v>
      </c>
      <c r="D539">
        <v>26</v>
      </c>
      <c r="E539">
        <v>212</v>
      </c>
      <c r="F539">
        <f t="shared" si="32"/>
        <v>-1.4339434649062635</v>
      </c>
      <c r="G539">
        <f t="shared" si="33"/>
        <v>-0.55946843544242764</v>
      </c>
      <c r="I539">
        <f t="shared" si="35"/>
        <v>-0.9967059501743456</v>
      </c>
    </row>
    <row r="540" spans="1:9">
      <c r="A540" t="s">
        <v>18</v>
      </c>
      <c r="B540" s="2">
        <f t="shared" si="34"/>
        <v>27</v>
      </c>
      <c r="C540">
        <v>622</v>
      </c>
      <c r="D540">
        <v>210</v>
      </c>
      <c r="E540">
        <v>708</v>
      </c>
      <c r="F540">
        <f t="shared" si="32"/>
        <v>-1.1218308158795582</v>
      </c>
      <c r="G540">
        <f t="shared" si="33"/>
        <v>-0.63090433641780619</v>
      </c>
      <c r="I540">
        <f t="shared" si="35"/>
        <v>-0.87636757614868221</v>
      </c>
    </row>
    <row r="541" spans="1:9">
      <c r="A541" t="s">
        <v>19</v>
      </c>
      <c r="B541" s="2">
        <f t="shared" si="34"/>
        <v>27</v>
      </c>
      <c r="C541">
        <v>303</v>
      </c>
      <c r="D541">
        <v>183</v>
      </c>
      <c r="E541">
        <v>1156</v>
      </c>
      <c r="F541">
        <f t="shared" si="32"/>
        <v>-0.86925126469453429</v>
      </c>
      <c r="G541">
        <f t="shared" si="33"/>
        <v>-0.10563200383455118</v>
      </c>
      <c r="I541">
        <f t="shared" si="35"/>
        <v>-0.48744163426454273</v>
      </c>
    </row>
    <row r="542" spans="1:9">
      <c r="A542" t="s">
        <v>20</v>
      </c>
      <c r="B542" s="2">
        <f t="shared" si="34"/>
        <v>27</v>
      </c>
      <c r="C542">
        <v>1225</v>
      </c>
      <c r="D542">
        <v>288</v>
      </c>
      <c r="E542">
        <v>407</v>
      </c>
      <c r="F542">
        <f t="shared" si="32"/>
        <v>-1.2790033268639793</v>
      </c>
      <c r="G542">
        <f t="shared" si="33"/>
        <v>-1.1656888888920878</v>
      </c>
      <c r="I542">
        <f t="shared" si="35"/>
        <v>-1.2223461078780335</v>
      </c>
    </row>
    <row r="543" spans="1:9">
      <c r="A543" t="s">
        <v>21</v>
      </c>
      <c r="B543" s="2">
        <f t="shared" si="34"/>
        <v>27</v>
      </c>
      <c r="C543">
        <v>319</v>
      </c>
      <c r="D543">
        <v>170</v>
      </c>
      <c r="E543">
        <v>545</v>
      </c>
      <c r="F543">
        <f t="shared" si="32"/>
        <v>-0.92360148760156591</v>
      </c>
      <c r="G543">
        <f t="shared" si="33"/>
        <v>-0.45454139019729511</v>
      </c>
      <c r="I543">
        <f t="shared" si="35"/>
        <v>-0.68907143889943057</v>
      </c>
    </row>
    <row r="544" spans="1:9">
      <c r="A544" t="s">
        <v>22</v>
      </c>
      <c r="B544" s="2">
        <f t="shared" si="34"/>
        <v>27</v>
      </c>
      <c r="C544">
        <v>228</v>
      </c>
      <c r="D544">
        <v>512</v>
      </c>
      <c r="E544">
        <v>11974</v>
      </c>
      <c r="F544">
        <f t="shared" si="32"/>
        <v>-0.29892461194728187</v>
      </c>
      <c r="G544">
        <f t="shared" si="33"/>
        <v>1.0331571973924558</v>
      </c>
      <c r="I544">
        <f t="shared" si="35"/>
        <v>0.36711629272258695</v>
      </c>
    </row>
    <row r="545" spans="1:9">
      <c r="A545" t="s">
        <v>23</v>
      </c>
      <c r="B545" s="2">
        <f t="shared" si="34"/>
        <v>27</v>
      </c>
      <c r="C545">
        <v>328</v>
      </c>
      <c r="D545">
        <v>162</v>
      </c>
      <c r="E545">
        <v>75</v>
      </c>
      <c r="F545">
        <f t="shared" si="32"/>
        <v>-0.95661855509170701</v>
      </c>
      <c r="G545">
        <f t="shared" si="33"/>
        <v>-1.3279597897367355</v>
      </c>
      <c r="I545">
        <f t="shared" si="35"/>
        <v>-1.1422891724142212</v>
      </c>
    </row>
    <row r="546" spans="1:9">
      <c r="A546" t="s">
        <v>24</v>
      </c>
      <c r="B546" s="2">
        <f t="shared" si="34"/>
        <v>27</v>
      </c>
      <c r="C546">
        <v>390</v>
      </c>
      <c r="D546">
        <v>113</v>
      </c>
      <c r="E546">
        <v>646</v>
      </c>
      <c r="F546">
        <f t="shared" si="32"/>
        <v>-1.1882458894657382</v>
      </c>
      <c r="G546">
        <f t="shared" si="33"/>
        <v>-0.46797929844817154</v>
      </c>
      <c r="I546">
        <f t="shared" si="35"/>
        <v>-0.82811259395695491</v>
      </c>
    </row>
    <row r="547" spans="1:9">
      <c r="A547" t="s">
        <v>25</v>
      </c>
      <c r="B547" s="2">
        <f t="shared" si="34"/>
        <v>27</v>
      </c>
      <c r="C547">
        <v>416</v>
      </c>
      <c r="D547">
        <v>84</v>
      </c>
      <c r="E547">
        <v>116</v>
      </c>
      <c r="F547">
        <f t="shared" si="32"/>
        <v>-1.3450737704875197</v>
      </c>
      <c r="G547">
        <f t="shared" si="33"/>
        <v>-1.2417825508165807</v>
      </c>
      <c r="I547">
        <f t="shared" si="35"/>
        <v>-1.2934281606520504</v>
      </c>
    </row>
    <row r="548" spans="1:9">
      <c r="A548" t="s">
        <v>7</v>
      </c>
      <c r="B548" s="2">
        <f t="shared" si="34"/>
        <v>28</v>
      </c>
      <c r="C548">
        <v>351</v>
      </c>
      <c r="D548">
        <v>30</v>
      </c>
      <c r="E548">
        <v>87</v>
      </c>
      <c r="F548">
        <f t="shared" si="32"/>
        <v>-1.7184455876688205</v>
      </c>
      <c r="G548">
        <f t="shared" si="33"/>
        <v>-1.292935073263962</v>
      </c>
      <c r="I548">
        <f t="shared" si="35"/>
        <v>-1.5056903304663911</v>
      </c>
    </row>
    <row r="549" spans="1:9">
      <c r="A549" t="s">
        <v>8</v>
      </c>
      <c r="B549" s="2">
        <f t="shared" si="34"/>
        <v>28</v>
      </c>
      <c r="C549">
        <v>451</v>
      </c>
      <c r="D549">
        <v>227</v>
      </c>
      <c r="E549">
        <v>109</v>
      </c>
      <c r="F549">
        <f t="shared" si="32"/>
        <v>-0.94841041060749665</v>
      </c>
      <c r="G549">
        <f t="shared" si="33"/>
        <v>-1.3038972533540933</v>
      </c>
      <c r="I549">
        <f t="shared" si="35"/>
        <v>-1.1261538319807949</v>
      </c>
    </row>
    <row r="550" spans="1:9">
      <c r="A550" t="s">
        <v>5</v>
      </c>
      <c r="B550" s="2">
        <f t="shared" si="34"/>
        <v>28</v>
      </c>
      <c r="C550">
        <v>308</v>
      </c>
      <c r="D550">
        <v>191</v>
      </c>
      <c r="E550">
        <v>1681</v>
      </c>
      <c r="F550">
        <f t="shared" si="32"/>
        <v>-0.85777707517537549</v>
      </c>
      <c r="G550">
        <f t="shared" si="33"/>
        <v>4.9869787522270337E-2</v>
      </c>
      <c r="I550">
        <f t="shared" si="35"/>
        <v>-0.40395364382655258</v>
      </c>
    </row>
    <row r="551" spans="1:9">
      <c r="A551" t="s">
        <v>6</v>
      </c>
      <c r="B551" s="2">
        <f t="shared" si="34"/>
        <v>28</v>
      </c>
      <c r="C551">
        <v>680</v>
      </c>
      <c r="D551">
        <v>740</v>
      </c>
      <c r="E551">
        <v>1094</v>
      </c>
      <c r="F551">
        <f t="shared" si="32"/>
        <v>-0.61353691889791895</v>
      </c>
      <c r="G551">
        <f t="shared" si="33"/>
        <v>-0.4806388001255808</v>
      </c>
      <c r="I551">
        <f t="shared" si="35"/>
        <v>-0.54708785951174987</v>
      </c>
    </row>
    <row r="552" spans="1:9">
      <c r="A552" t="s">
        <v>10</v>
      </c>
      <c r="B552" s="2">
        <f t="shared" si="34"/>
        <v>28</v>
      </c>
      <c r="C552">
        <v>27</v>
      </c>
      <c r="D552">
        <v>105</v>
      </c>
      <c r="E552">
        <v>127</v>
      </c>
      <c r="F552">
        <f t="shared" si="32"/>
        <v>-6.0434191011707994E-2</v>
      </c>
      <c r="G552">
        <f t="shared" si="33"/>
        <v>-1.4707252619786892E-2</v>
      </c>
      <c r="I552">
        <f t="shared" si="35"/>
        <v>-3.7570721815747443E-2</v>
      </c>
    </row>
    <row r="553" spans="1:9">
      <c r="A553" t="s">
        <v>11</v>
      </c>
      <c r="B553" s="2">
        <f t="shared" si="34"/>
        <v>28</v>
      </c>
      <c r="C553">
        <v>133</v>
      </c>
      <c r="D553">
        <v>16</v>
      </c>
      <c r="E553">
        <v>48</v>
      </c>
      <c r="F553">
        <f t="shared" si="32"/>
        <v>-1.5699913842338198</v>
      </c>
      <c r="G553">
        <f t="shared" si="33"/>
        <v>-1.1297576130082549</v>
      </c>
      <c r="I553">
        <f t="shared" si="35"/>
        <v>-1.3498744986210374</v>
      </c>
    </row>
    <row r="554" spans="1:9">
      <c r="A554" t="s">
        <v>12</v>
      </c>
      <c r="B554" s="2">
        <f t="shared" si="34"/>
        <v>28</v>
      </c>
      <c r="C554">
        <v>224</v>
      </c>
      <c r="D554">
        <v>587</v>
      </c>
      <c r="E554">
        <v>1148</v>
      </c>
      <c r="F554">
        <f t="shared" si="32"/>
        <v>-0.23186964300920709</v>
      </c>
      <c r="G554">
        <f t="shared" si="33"/>
        <v>2.2546660311035471E-2</v>
      </c>
      <c r="I554">
        <f t="shared" si="35"/>
        <v>-0.10466149134908581</v>
      </c>
    </row>
    <row r="555" spans="1:9">
      <c r="A555" t="s">
        <v>9</v>
      </c>
      <c r="B555" s="2">
        <f t="shared" si="34"/>
        <v>28</v>
      </c>
      <c r="C555">
        <v>321</v>
      </c>
      <c r="D555">
        <v>449</v>
      </c>
      <c r="E555">
        <v>258</v>
      </c>
      <c r="F555">
        <f t="shared" si="32"/>
        <v>-0.50451841732420766</v>
      </c>
      <c r="G555">
        <f t="shared" si="33"/>
        <v>-0.78203253585839838</v>
      </c>
      <c r="I555">
        <f t="shared" si="35"/>
        <v>-0.64327547659130302</v>
      </c>
    </row>
    <row r="556" spans="1:9">
      <c r="A556" t="s">
        <v>13</v>
      </c>
      <c r="B556" s="2">
        <f t="shared" si="34"/>
        <v>28</v>
      </c>
      <c r="C556">
        <v>228</v>
      </c>
      <c r="D556">
        <v>173</v>
      </c>
      <c r="E556">
        <v>98</v>
      </c>
      <c r="F556">
        <f t="shared" si="32"/>
        <v>-0.77014846979431717</v>
      </c>
      <c r="G556">
        <f t="shared" si="33"/>
        <v>-1.0538559807247154</v>
      </c>
      <c r="I556">
        <f t="shared" si="35"/>
        <v>-0.91200222525951635</v>
      </c>
    </row>
    <row r="557" spans="1:9">
      <c r="A557" t="s">
        <v>14</v>
      </c>
      <c r="B557" s="2">
        <f t="shared" si="34"/>
        <v>28</v>
      </c>
      <c r="C557">
        <v>222</v>
      </c>
      <c r="D557">
        <v>58</v>
      </c>
      <c r="E557">
        <v>217</v>
      </c>
      <c r="F557">
        <f t="shared" si="32"/>
        <v>-1.2331847068103601</v>
      </c>
      <c r="G557">
        <f t="shared" si="33"/>
        <v>-0.69704045001886561</v>
      </c>
      <c r="I557">
        <f t="shared" si="35"/>
        <v>-0.96511257841461284</v>
      </c>
    </row>
    <row r="558" spans="1:9">
      <c r="A558" t="s">
        <v>15</v>
      </c>
      <c r="B558" s="2">
        <f t="shared" si="34"/>
        <v>28</v>
      </c>
      <c r="C558">
        <v>341</v>
      </c>
      <c r="D558">
        <v>173</v>
      </c>
      <c r="E558">
        <v>253</v>
      </c>
      <c r="F558">
        <f t="shared" si="32"/>
        <v>-0.94496800178636109</v>
      </c>
      <c r="G558">
        <f t="shared" si="33"/>
        <v>-0.81678106723343624</v>
      </c>
      <c r="I558">
        <f t="shared" si="35"/>
        <v>-0.88087453450989872</v>
      </c>
    </row>
    <row r="559" spans="1:9">
      <c r="A559" t="s">
        <v>16</v>
      </c>
      <c r="B559" s="2">
        <f t="shared" si="34"/>
        <v>28</v>
      </c>
      <c r="C559">
        <v>340</v>
      </c>
      <c r="D559">
        <v>25</v>
      </c>
      <c r="E559">
        <v>199</v>
      </c>
      <c r="F559">
        <f t="shared" si="32"/>
        <v>-1.7837986342928762</v>
      </c>
      <c r="G559">
        <f t="shared" si="33"/>
        <v>-0.91977305004930487</v>
      </c>
      <c r="I559">
        <f t="shared" si="35"/>
        <v>-1.3517858421710907</v>
      </c>
    </row>
    <row r="560" spans="1:9">
      <c r="A560" t="s">
        <v>17</v>
      </c>
      <c r="B560" s="2">
        <f t="shared" si="34"/>
        <v>28</v>
      </c>
      <c r="C560">
        <v>982</v>
      </c>
      <c r="D560">
        <v>1621</v>
      </c>
      <c r="E560">
        <v>1091</v>
      </c>
      <c r="F560">
        <f t="shared" si="32"/>
        <v>-0.43258819886109356</v>
      </c>
      <c r="G560">
        <f t="shared" si="33"/>
        <v>-0.64143394661536424</v>
      </c>
      <c r="I560">
        <f t="shared" si="35"/>
        <v>-0.5370110727382289</v>
      </c>
    </row>
    <row r="561" spans="1:9">
      <c r="A561" t="s">
        <v>18</v>
      </c>
      <c r="B561" s="2">
        <f t="shared" si="34"/>
        <v>28</v>
      </c>
      <c r="C561">
        <v>479</v>
      </c>
      <c r="D561">
        <v>32</v>
      </c>
      <c r="E561">
        <v>800</v>
      </c>
      <c r="F561">
        <f t="shared" si="32"/>
        <v>-1.8254452610173162</v>
      </c>
      <c r="G561">
        <f t="shared" si="33"/>
        <v>-0.46439273583937613</v>
      </c>
      <c r="I561">
        <f t="shared" si="35"/>
        <v>-1.1449189984283461</v>
      </c>
    </row>
    <row r="562" spans="1:9">
      <c r="A562" t="s">
        <v>19</v>
      </c>
      <c r="B562" s="2">
        <f t="shared" si="34"/>
        <v>28</v>
      </c>
      <c r="C562">
        <v>301</v>
      </c>
      <c r="D562">
        <v>118</v>
      </c>
      <c r="E562">
        <v>250</v>
      </c>
      <c r="F562">
        <f t="shared" si="32"/>
        <v>-1.0569442142103767</v>
      </c>
      <c r="G562">
        <f t="shared" si="33"/>
        <v>-0.76777369633856218</v>
      </c>
      <c r="I562">
        <f t="shared" si="35"/>
        <v>-0.91235895527446942</v>
      </c>
    </row>
    <row r="563" spans="1:9">
      <c r="A563" t="s">
        <v>20</v>
      </c>
      <c r="B563" s="2">
        <f t="shared" si="34"/>
        <v>28</v>
      </c>
      <c r="C563">
        <v>276</v>
      </c>
      <c r="D563">
        <v>42</v>
      </c>
      <c r="E563">
        <v>207</v>
      </c>
      <c r="F563">
        <f t="shared" si="32"/>
        <v>-1.467919517589976</v>
      </c>
      <c r="G563">
        <f t="shared" si="33"/>
        <v>-0.81208594602505635</v>
      </c>
      <c r="I563">
        <f t="shared" si="35"/>
        <v>-1.1400027318075161</v>
      </c>
    </row>
    <row r="564" spans="1:9">
      <c r="A564" t="s">
        <v>21</v>
      </c>
      <c r="B564" s="2">
        <f t="shared" si="34"/>
        <v>28</v>
      </c>
      <c r="C564">
        <v>269</v>
      </c>
      <c r="D564">
        <v>151</v>
      </c>
      <c r="E564">
        <v>776</v>
      </c>
      <c r="F564">
        <f t="shared" si="32"/>
        <v>-0.90103505863189737</v>
      </c>
      <c r="G564">
        <f t="shared" si="33"/>
        <v>-0.22703776816097598</v>
      </c>
      <c r="I564">
        <f t="shared" si="35"/>
        <v>-0.56403641339643662</v>
      </c>
    </row>
    <row r="565" spans="1:9">
      <c r="A565" t="s">
        <v>22</v>
      </c>
      <c r="B565" s="2">
        <f t="shared" si="34"/>
        <v>28</v>
      </c>
      <c r="C565">
        <v>295</v>
      </c>
      <c r="D565">
        <v>122</v>
      </c>
      <c r="E565">
        <v>139</v>
      </c>
      <c r="F565">
        <f t="shared" si="32"/>
        <v>-1.0337219112260736</v>
      </c>
      <c r="G565">
        <f t="shared" si="33"/>
        <v>-1.0139544251408243</v>
      </c>
      <c r="I565">
        <f t="shared" si="35"/>
        <v>-1.023838168183449</v>
      </c>
    </row>
    <row r="566" spans="1:9">
      <c r="A566" t="s">
        <v>23</v>
      </c>
      <c r="B566" s="2">
        <f t="shared" si="34"/>
        <v>28</v>
      </c>
      <c r="C566">
        <v>237</v>
      </c>
      <c r="D566">
        <v>172</v>
      </c>
      <c r="E566">
        <v>1547</v>
      </c>
      <c r="F566">
        <f t="shared" si="32"/>
        <v>-0.78947962502521374</v>
      </c>
      <c r="G566">
        <f t="shared" si="33"/>
        <v>0.12759475827250721</v>
      </c>
      <c r="I566">
        <f t="shared" si="35"/>
        <v>-0.33094243337635326</v>
      </c>
    </row>
    <row r="567" spans="1:9">
      <c r="A567" t="s">
        <v>24</v>
      </c>
      <c r="B567" s="2">
        <f t="shared" si="34"/>
        <v>28</v>
      </c>
      <c r="C567">
        <v>418</v>
      </c>
      <c r="D567">
        <v>1151</v>
      </c>
      <c r="E567">
        <v>1495</v>
      </c>
      <c r="F567">
        <f t="shared" si="32"/>
        <v>-0.21036068406790215</v>
      </c>
      <c r="G567">
        <f t="shared" si="33"/>
        <v>-0.13368229853134317</v>
      </c>
      <c r="I567">
        <f t="shared" si="35"/>
        <v>-0.17202149129962266</v>
      </c>
    </row>
    <row r="568" spans="1:9">
      <c r="A568" t="s">
        <v>25</v>
      </c>
      <c r="B568" s="2">
        <f t="shared" si="34"/>
        <v>28</v>
      </c>
      <c r="C568">
        <v>306</v>
      </c>
      <c r="D568">
        <v>3</v>
      </c>
      <c r="E568">
        <v>42</v>
      </c>
      <c r="F568">
        <f t="shared" si="32"/>
        <v>-2.6588598976845761</v>
      </c>
      <c r="G568">
        <f t="shared" si="33"/>
        <v>-1.5496193455004359</v>
      </c>
      <c r="I568">
        <f t="shared" si="35"/>
        <v>-2.1042396215925061</v>
      </c>
    </row>
    <row r="569" spans="1:9">
      <c r="A569" t="s">
        <v>7</v>
      </c>
      <c r="B569" s="2">
        <f t="shared" si="34"/>
        <v>29</v>
      </c>
      <c r="C569">
        <v>244</v>
      </c>
      <c r="D569">
        <v>486</v>
      </c>
      <c r="E569">
        <v>423</v>
      </c>
      <c r="F569">
        <f t="shared" si="32"/>
        <v>-0.35101328299909479</v>
      </c>
      <c r="G569">
        <f t="shared" si="33"/>
        <v>-0.44819666838044353</v>
      </c>
      <c r="I569">
        <f t="shared" si="35"/>
        <v>-0.39960497568976916</v>
      </c>
    </row>
    <row r="570" spans="1:9">
      <c r="A570" t="s">
        <v>8</v>
      </c>
      <c r="B570" s="2">
        <f t="shared" si="34"/>
        <v>29</v>
      </c>
      <c r="C570">
        <v>57671</v>
      </c>
      <c r="D570">
        <v>257761</v>
      </c>
      <c r="E570">
        <v>280611</v>
      </c>
      <c r="F570">
        <f t="shared" si="32"/>
        <v>0</v>
      </c>
      <c r="G570">
        <f t="shared" si="33"/>
        <v>0</v>
      </c>
      <c r="I570">
        <f t="shared" si="35"/>
        <v>0</v>
      </c>
    </row>
    <row r="571" spans="1:9">
      <c r="A571" t="s">
        <v>5</v>
      </c>
      <c r="B571" s="2">
        <f t="shared" si="34"/>
        <v>29</v>
      </c>
      <c r="C571">
        <v>168</v>
      </c>
      <c r="D571">
        <v>6</v>
      </c>
      <c r="E571">
        <v>10</v>
      </c>
      <c r="F571">
        <f t="shared" ref="F571:F634" si="36">LOG10(D571/C571)-LOG10(257761/57671)</f>
        <v>-2.097417757264878</v>
      </c>
      <c r="G571">
        <f t="shared" ref="G571:G634" si="37">LOG10(E571/C571)-LOG10(280611/57671)</f>
        <v>-1.9124564911426192</v>
      </c>
      <c r="I571">
        <f t="shared" si="35"/>
        <v>-2.0049371242037486</v>
      </c>
    </row>
    <row r="572" spans="1:9">
      <c r="A572" t="s">
        <v>6</v>
      </c>
      <c r="B572" s="2">
        <f t="shared" si="34"/>
        <v>29</v>
      </c>
      <c r="C572">
        <v>134</v>
      </c>
      <c r="D572">
        <v>1</v>
      </c>
      <c r="E572">
        <v>2</v>
      </c>
      <c r="F572">
        <f t="shared" si="36"/>
        <v>-2.7773645242874663</v>
      </c>
      <c r="G572">
        <f t="shared" si="37"/>
        <v>-2.5132220121175828</v>
      </c>
      <c r="I572">
        <f t="shared" si="35"/>
        <v>-2.6452932682025248</v>
      </c>
    </row>
    <row r="573" spans="1:9">
      <c r="A573" t="s">
        <v>10</v>
      </c>
      <c r="B573" s="2">
        <f t="shared" si="34"/>
        <v>29</v>
      </c>
      <c r="C573">
        <v>114</v>
      </c>
      <c r="D573">
        <v>84</v>
      </c>
      <c r="E573">
        <v>168</v>
      </c>
      <c r="F573">
        <f t="shared" si="36"/>
        <v>-0.7828852911972497</v>
      </c>
      <c r="G573">
        <f t="shared" si="37"/>
        <v>-0.51874277902736621</v>
      </c>
      <c r="I573">
        <f t="shared" si="35"/>
        <v>-0.65081403511230795</v>
      </c>
    </row>
    <row r="574" spans="1:9">
      <c r="A574" t="s">
        <v>11</v>
      </c>
      <c r="B574" s="2">
        <f t="shared" si="34"/>
        <v>29</v>
      </c>
      <c r="C574">
        <v>187</v>
      </c>
      <c r="D574">
        <v>13</v>
      </c>
      <c r="E574">
        <v>22</v>
      </c>
      <c r="F574">
        <f t="shared" si="36"/>
        <v>-1.8081579801523211</v>
      </c>
      <c r="G574">
        <f t="shared" si="37"/>
        <v>-1.6165661351310492</v>
      </c>
      <c r="I574">
        <f t="shared" si="35"/>
        <v>-1.7123620576416851</v>
      </c>
    </row>
    <row r="575" spans="1:9">
      <c r="A575" t="s">
        <v>12</v>
      </c>
      <c r="B575" s="2">
        <f t="shared" si="34"/>
        <v>29</v>
      </c>
      <c r="C575">
        <v>127</v>
      </c>
      <c r="D575">
        <v>336</v>
      </c>
      <c r="E575">
        <v>439</v>
      </c>
      <c r="F575">
        <f t="shared" si="36"/>
        <v>-0.22772416948877156</v>
      </c>
      <c r="G575">
        <f t="shared" si="37"/>
        <v>-0.14848641013059194</v>
      </c>
      <c r="I575">
        <f t="shared" si="35"/>
        <v>-0.18810528980968175</v>
      </c>
    </row>
    <row r="576" spans="1:9">
      <c r="A576" t="s">
        <v>9</v>
      </c>
      <c r="B576" s="2">
        <f t="shared" si="34"/>
        <v>29</v>
      </c>
      <c r="C576">
        <v>128</v>
      </c>
      <c r="D576">
        <v>199</v>
      </c>
      <c r="E576">
        <v>129</v>
      </c>
      <c r="F576">
        <f t="shared" si="36"/>
        <v>-0.45861661916082053</v>
      </c>
      <c r="G576">
        <f t="shared" si="37"/>
        <v>-0.68376746876537586</v>
      </c>
      <c r="I576">
        <f t="shared" si="35"/>
        <v>-0.57119204396309819</v>
      </c>
    </row>
    <row r="577" spans="1:9">
      <c r="A577" t="s">
        <v>13</v>
      </c>
      <c r="B577" s="2">
        <f t="shared" si="34"/>
        <v>29</v>
      </c>
      <c r="C577">
        <v>161</v>
      </c>
      <c r="D577">
        <v>98</v>
      </c>
      <c r="E577">
        <v>541</v>
      </c>
      <c r="F577">
        <f t="shared" si="36"/>
        <v>-0.86585952626201368</v>
      </c>
      <c r="G577">
        <f t="shared" si="37"/>
        <v>-0.16077582034203675</v>
      </c>
      <c r="I577">
        <f t="shared" si="35"/>
        <v>-0.51331767330202527</v>
      </c>
    </row>
    <row r="578" spans="1:9">
      <c r="A578" t="s">
        <v>14</v>
      </c>
      <c r="B578" s="2">
        <f t="shared" si="34"/>
        <v>29</v>
      </c>
      <c r="C578">
        <v>155</v>
      </c>
      <c r="D578">
        <v>30</v>
      </c>
      <c r="E578">
        <v>183</v>
      </c>
      <c r="F578">
        <f t="shared" si="36"/>
        <v>-1.3634701693732878</v>
      </c>
      <c r="G578">
        <f t="shared" si="37"/>
        <v>-0.61502781785661842</v>
      </c>
      <c r="I578">
        <f t="shared" si="35"/>
        <v>-0.98924899361495311</v>
      </c>
    </row>
    <row r="579" spans="1:9">
      <c r="A579" t="s">
        <v>15</v>
      </c>
      <c r="B579" s="2">
        <f t="shared" ref="B579:B642" si="38">1+INT((ROW()-2)/21)+1</f>
        <v>29</v>
      </c>
      <c r="C579">
        <v>366</v>
      </c>
      <c r="D579">
        <v>53</v>
      </c>
      <c r="E579">
        <v>422</v>
      </c>
      <c r="F579">
        <f t="shared" si="36"/>
        <v>-1.4894649417162804</v>
      </c>
      <c r="G579">
        <f t="shared" si="37"/>
        <v>-0.62531584384949324</v>
      </c>
      <c r="I579">
        <f t="shared" ref="I579:I642" si="39">AVERAGE(F579:G579)</f>
        <v>-1.0573903927828869</v>
      </c>
    </row>
    <row r="580" spans="1:9">
      <c r="A580" t="s">
        <v>16</v>
      </c>
      <c r="B580" s="2">
        <f t="shared" si="38"/>
        <v>29</v>
      </c>
      <c r="C580">
        <v>202</v>
      </c>
      <c r="D580">
        <v>33</v>
      </c>
      <c r="E580">
        <v>51</v>
      </c>
      <c r="F580">
        <f t="shared" si="36"/>
        <v>-1.4370971554913949</v>
      </c>
      <c r="G580">
        <f t="shared" si="37"/>
        <v>-1.284928402765444</v>
      </c>
      <c r="I580">
        <f t="shared" si="39"/>
        <v>-1.3610127791284194</v>
      </c>
    </row>
    <row r="581" spans="1:9">
      <c r="A581" t="s">
        <v>17</v>
      </c>
      <c r="B581" s="2">
        <f t="shared" si="38"/>
        <v>29</v>
      </c>
      <c r="C581">
        <v>237</v>
      </c>
      <c r="D581">
        <v>158</v>
      </c>
      <c r="E581">
        <v>762</v>
      </c>
      <c r="F581">
        <f t="shared" si="36"/>
        <v>-0.82635098497834003</v>
      </c>
      <c r="G581">
        <f t="shared" si="37"/>
        <v>-0.17994058408725988</v>
      </c>
      <c r="I581">
        <f t="shared" si="39"/>
        <v>-0.50314578453280001</v>
      </c>
    </row>
    <row r="582" spans="1:9">
      <c r="A582" t="s">
        <v>18</v>
      </c>
      <c r="B582" s="2">
        <f t="shared" si="38"/>
        <v>29</v>
      </c>
      <c r="C582">
        <v>148</v>
      </c>
      <c r="D582">
        <v>104</v>
      </c>
      <c r="E582">
        <v>343</v>
      </c>
      <c r="F582">
        <f t="shared" si="36"/>
        <v>-0.8034881020188358</v>
      </c>
      <c r="G582">
        <f t="shared" si="37"/>
        <v>-0.32211480476894333</v>
      </c>
      <c r="I582">
        <f t="shared" si="39"/>
        <v>-0.56280145339388954</v>
      </c>
    </row>
    <row r="583" spans="1:9">
      <c r="A583" t="s">
        <v>19</v>
      </c>
      <c r="B583" s="2">
        <f t="shared" si="38"/>
        <v>29</v>
      </c>
      <c r="C583">
        <v>220</v>
      </c>
      <c r="D583">
        <v>129</v>
      </c>
      <c r="E583">
        <v>1458</v>
      </c>
      <c r="F583">
        <f t="shared" si="36"/>
        <v>-0.88209269644561616</v>
      </c>
      <c r="G583">
        <f t="shared" si="37"/>
        <v>0.13418763374299314</v>
      </c>
      <c r="I583">
        <f t="shared" si="39"/>
        <v>-0.37395253135131151</v>
      </c>
    </row>
    <row r="584" spans="1:9">
      <c r="A584" t="s">
        <v>20</v>
      </c>
      <c r="B584" s="2">
        <f t="shared" si="38"/>
        <v>29</v>
      </c>
      <c r="C584">
        <v>101</v>
      </c>
      <c r="D584">
        <v>241</v>
      </c>
      <c r="E584">
        <v>106</v>
      </c>
      <c r="F584">
        <f t="shared" si="36"/>
        <v>-0.27256405713043302</v>
      </c>
      <c r="G584">
        <f t="shared" si="37"/>
        <v>-0.66616271793462878</v>
      </c>
      <c r="I584">
        <f t="shared" si="39"/>
        <v>-0.46936338753253093</v>
      </c>
    </row>
    <row r="585" spans="1:9">
      <c r="A585" t="s">
        <v>21</v>
      </c>
      <c r="B585" s="2">
        <f t="shared" si="38"/>
        <v>29</v>
      </c>
      <c r="C585">
        <v>179</v>
      </c>
      <c r="D585">
        <v>1784</v>
      </c>
      <c r="E585">
        <v>842</v>
      </c>
      <c r="F585">
        <f t="shared" si="36"/>
        <v>0.34828209313755232</v>
      </c>
      <c r="G585">
        <f t="shared" si="37"/>
        <v>-1.4688148897000097E-2</v>
      </c>
      <c r="I585">
        <f t="shared" si="39"/>
        <v>0.16679697212027611</v>
      </c>
    </row>
    <row r="586" spans="1:9">
      <c r="A586" t="s">
        <v>22</v>
      </c>
      <c r="B586" s="2">
        <f t="shared" si="38"/>
        <v>29</v>
      </c>
      <c r="C586">
        <v>125</v>
      </c>
      <c r="D586">
        <v>75</v>
      </c>
      <c r="E586">
        <v>107</v>
      </c>
      <c r="F586">
        <f t="shared" si="36"/>
        <v>-0.87210847553901516</v>
      </c>
      <c r="G586">
        <f t="shared" si="37"/>
        <v>-0.75467344473960318</v>
      </c>
      <c r="I586">
        <f t="shared" si="39"/>
        <v>-0.81339096013930923</v>
      </c>
    </row>
    <row r="587" spans="1:9">
      <c r="A587" t="s">
        <v>23</v>
      </c>
      <c r="B587" s="2">
        <f t="shared" si="38"/>
        <v>29</v>
      </c>
      <c r="C587">
        <v>126</v>
      </c>
      <c r="D587">
        <v>4</v>
      </c>
      <c r="E587">
        <v>31</v>
      </c>
      <c r="F587">
        <f t="shared" si="36"/>
        <v>-2.148570279712259</v>
      </c>
      <c r="G587">
        <f t="shared" si="37"/>
        <v>-1.2961560607000466</v>
      </c>
      <c r="I587">
        <f t="shared" si="39"/>
        <v>-1.7223631702061528</v>
      </c>
    </row>
    <row r="588" spans="1:9">
      <c r="A588" t="s">
        <v>24</v>
      </c>
      <c r="B588" s="2">
        <f t="shared" si="38"/>
        <v>29</v>
      </c>
      <c r="C588">
        <v>189</v>
      </c>
      <c r="D588">
        <v>22</v>
      </c>
      <c r="E588">
        <v>24</v>
      </c>
      <c r="F588">
        <f t="shared" si="36"/>
        <v>-1.5842988492736967</v>
      </c>
      <c r="G588">
        <f t="shared" si="37"/>
        <v>-1.5833977718783947</v>
      </c>
      <c r="I588">
        <f t="shared" si="39"/>
        <v>-1.5838483105760457</v>
      </c>
    </row>
    <row r="589" spans="1:9">
      <c r="A589" t="s">
        <v>25</v>
      </c>
      <c r="B589" s="2">
        <f t="shared" si="38"/>
        <v>29</v>
      </c>
      <c r="C589">
        <v>359</v>
      </c>
      <c r="D589">
        <v>22</v>
      </c>
      <c r="E589">
        <v>19</v>
      </c>
      <c r="F589">
        <f t="shared" si="36"/>
        <v>-1.8629314936787718</v>
      </c>
      <c r="G589">
        <f t="shared" si="37"/>
        <v>-1.9634880570422468</v>
      </c>
      <c r="I589">
        <f t="shared" si="39"/>
        <v>-1.9132097753605093</v>
      </c>
    </row>
    <row r="590" spans="1:9">
      <c r="A590" t="s">
        <v>7</v>
      </c>
      <c r="B590" s="2">
        <f t="shared" si="38"/>
        <v>30</v>
      </c>
      <c r="C590">
        <v>235</v>
      </c>
      <c r="D590">
        <v>16</v>
      </c>
      <c r="E590">
        <v>39</v>
      </c>
      <c r="F590">
        <f t="shared" si="36"/>
        <v>-1.8172076055384703</v>
      </c>
      <c r="G590">
        <f t="shared" si="37"/>
        <v>-1.4671504646619935</v>
      </c>
      <c r="I590">
        <f t="shared" si="39"/>
        <v>-1.6421790351002319</v>
      </c>
    </row>
    <row r="591" spans="1:9">
      <c r="A591" t="s">
        <v>8</v>
      </c>
      <c r="B591" s="2">
        <f t="shared" si="38"/>
        <v>30</v>
      </c>
      <c r="C591">
        <v>405</v>
      </c>
      <c r="D591">
        <v>15</v>
      </c>
      <c r="E591">
        <v>61</v>
      </c>
      <c r="F591">
        <f t="shared" si="36"/>
        <v>-2.0816234900816459</v>
      </c>
      <c r="G591">
        <f t="shared" si="37"/>
        <v>-1.5092723976206579</v>
      </c>
      <c r="I591">
        <f t="shared" si="39"/>
        <v>-1.7954479438511519</v>
      </c>
    </row>
    <row r="592" spans="1:9">
      <c r="A592" t="s">
        <v>5</v>
      </c>
      <c r="B592" s="2">
        <f t="shared" si="38"/>
        <v>30</v>
      </c>
      <c r="C592">
        <v>57671</v>
      </c>
      <c r="D592">
        <v>257761</v>
      </c>
      <c r="E592">
        <v>280611</v>
      </c>
      <c r="F592">
        <f t="shared" si="36"/>
        <v>0</v>
      </c>
      <c r="G592">
        <f t="shared" si="37"/>
        <v>0</v>
      </c>
      <c r="I592">
        <f t="shared" si="39"/>
        <v>0</v>
      </c>
    </row>
    <row r="593" spans="1:9">
      <c r="A593" t="s">
        <v>6</v>
      </c>
      <c r="B593" s="2">
        <f t="shared" si="38"/>
        <v>30</v>
      </c>
      <c r="C593">
        <v>363</v>
      </c>
      <c r="D593">
        <v>44</v>
      </c>
      <c r="E593">
        <v>54</v>
      </c>
      <c r="F593">
        <f t="shared" si="36"/>
        <v>-1.566713674472584</v>
      </c>
      <c r="G593">
        <f t="shared" si="37"/>
        <v>-1.5146600746299006</v>
      </c>
      <c r="I593">
        <f t="shared" si="39"/>
        <v>-1.5406868745512423</v>
      </c>
    </row>
    <row r="594" spans="1:9">
      <c r="A594" t="s">
        <v>10</v>
      </c>
      <c r="B594" s="2">
        <f t="shared" si="38"/>
        <v>30</v>
      </c>
      <c r="C594">
        <v>183</v>
      </c>
      <c r="D594">
        <v>5</v>
      </c>
      <c r="E594">
        <v>14</v>
      </c>
      <c r="F594">
        <f t="shared" si="36"/>
        <v>-2.2137408113170696</v>
      </c>
      <c r="G594">
        <f t="shared" si="37"/>
        <v>-1.8034702634689479</v>
      </c>
      <c r="I594">
        <f t="shared" si="39"/>
        <v>-2.0086055373930085</v>
      </c>
    </row>
    <row r="595" spans="1:9">
      <c r="A595" t="s">
        <v>11</v>
      </c>
      <c r="B595" s="2">
        <f t="shared" si="38"/>
        <v>30</v>
      </c>
      <c r="C595">
        <v>790</v>
      </c>
      <c r="D595">
        <v>14</v>
      </c>
      <c r="E595">
        <v>18</v>
      </c>
      <c r="F595">
        <f t="shared" si="36"/>
        <v>-2.4017587815348622</v>
      </c>
      <c r="G595">
        <f t="shared" si="37"/>
        <v>-2.3295017956038917</v>
      </c>
      <c r="I595">
        <f t="shared" si="39"/>
        <v>-2.3656302885693767</v>
      </c>
    </row>
    <row r="596" spans="1:9">
      <c r="A596" t="s">
        <v>12</v>
      </c>
      <c r="B596" s="2">
        <f t="shared" si="38"/>
        <v>30</v>
      </c>
      <c r="C596">
        <v>241</v>
      </c>
      <c r="D596">
        <v>4</v>
      </c>
      <c r="E596">
        <v>15</v>
      </c>
      <c r="F596">
        <f t="shared" si="36"/>
        <v>-2.4302167771695649</v>
      </c>
      <c r="G596">
        <f t="shared" si="37"/>
        <v>-1.8930729929359438</v>
      </c>
      <c r="I596">
        <f t="shared" si="39"/>
        <v>-2.1616448850527545</v>
      </c>
    </row>
    <row r="597" spans="1:9">
      <c r="A597" t="s">
        <v>9</v>
      </c>
      <c r="B597" s="2">
        <f t="shared" si="38"/>
        <v>30</v>
      </c>
      <c r="C597">
        <v>358</v>
      </c>
      <c r="D597">
        <v>24</v>
      </c>
      <c r="E597">
        <v>32</v>
      </c>
      <c r="F597">
        <f t="shared" si="36"/>
        <v>-1.8239315108549272</v>
      </c>
      <c r="G597">
        <f t="shared" si="37"/>
        <v>-1.7358802577407246</v>
      </c>
      <c r="I597">
        <f t="shared" si="39"/>
        <v>-1.7799058842978259</v>
      </c>
    </row>
    <row r="598" spans="1:9">
      <c r="A598" t="s">
        <v>13</v>
      </c>
      <c r="B598" s="2">
        <f t="shared" si="38"/>
        <v>30</v>
      </c>
      <c r="C598">
        <v>437</v>
      </c>
      <c r="D598">
        <v>14</v>
      </c>
      <c r="E598">
        <v>517</v>
      </c>
      <c r="F598">
        <f t="shared" si="36"/>
        <v>-2.1446131272148428</v>
      </c>
      <c r="G598">
        <f t="shared" si="37"/>
        <v>-0.6141381032932357</v>
      </c>
      <c r="I598">
        <f t="shared" si="39"/>
        <v>-1.3793756152540393</v>
      </c>
    </row>
    <row r="599" spans="1:9">
      <c r="A599" t="s">
        <v>14</v>
      </c>
      <c r="B599" s="2">
        <f t="shared" si="38"/>
        <v>30</v>
      </c>
      <c r="C599">
        <v>391</v>
      </c>
      <c r="D599">
        <v>2</v>
      </c>
      <c r="E599">
        <v>31</v>
      </c>
      <c r="F599">
        <f t="shared" si="36"/>
        <v>-2.941406487654544</v>
      </c>
      <c r="G599">
        <f t="shared" si="37"/>
        <v>-1.7879622729783504</v>
      </c>
      <c r="I599">
        <f t="shared" si="39"/>
        <v>-2.3646843803164472</v>
      </c>
    </row>
    <row r="600" spans="1:9">
      <c r="A600" t="s">
        <v>15</v>
      </c>
      <c r="B600" s="2">
        <f t="shared" si="38"/>
        <v>30</v>
      </c>
      <c r="C600">
        <v>342</v>
      </c>
      <c r="D600">
        <v>40</v>
      </c>
      <c r="E600">
        <v>17</v>
      </c>
      <c r="F600">
        <f t="shared" si="36"/>
        <v>-1.5822258406508314</v>
      </c>
      <c r="G600">
        <f t="shared" si="37"/>
        <v>-1.9907243940946175</v>
      </c>
      <c r="I600">
        <f t="shared" si="39"/>
        <v>-1.7864751173727245</v>
      </c>
    </row>
    <row r="601" spans="1:9">
      <c r="A601" t="s">
        <v>16</v>
      </c>
      <c r="B601" s="2">
        <f t="shared" si="38"/>
        <v>30</v>
      </c>
      <c r="C601">
        <v>469</v>
      </c>
      <c r="D601">
        <v>8</v>
      </c>
      <c r="E601">
        <v>37</v>
      </c>
      <c r="F601">
        <f t="shared" si="36"/>
        <v>-2.4183425816457982</v>
      </c>
      <c r="G601">
        <f t="shared" si="37"/>
        <v>-1.7901183280648447</v>
      </c>
      <c r="I601">
        <f t="shared" si="39"/>
        <v>-2.1042304548553217</v>
      </c>
    </row>
    <row r="602" spans="1:9">
      <c r="A602" t="s">
        <v>17</v>
      </c>
      <c r="B602" s="2">
        <f t="shared" si="38"/>
        <v>30</v>
      </c>
      <c r="C602">
        <v>385</v>
      </c>
      <c r="D602">
        <v>11</v>
      </c>
      <c r="E602">
        <v>31</v>
      </c>
      <c r="F602">
        <f t="shared" si="36"/>
        <v>-2.1943277702729347</v>
      </c>
      <c r="G602">
        <f t="shared" si="37"/>
        <v>-1.7812462450909843</v>
      </c>
      <c r="I602">
        <f t="shared" si="39"/>
        <v>-1.9877870076819595</v>
      </c>
    </row>
    <row r="603" spans="1:9">
      <c r="A603" t="s">
        <v>18</v>
      </c>
      <c r="B603" s="2">
        <f t="shared" si="38"/>
        <v>30</v>
      </c>
      <c r="C603">
        <v>400</v>
      </c>
      <c r="D603">
        <v>8</v>
      </c>
      <c r="E603">
        <v>48</v>
      </c>
      <c r="F603">
        <f t="shared" si="36"/>
        <v>-2.3492297302586778</v>
      </c>
      <c r="G603">
        <f t="shared" si="37"/>
        <v>-1.6079659633691317</v>
      </c>
      <c r="I603">
        <f t="shared" si="39"/>
        <v>-1.9785978468139047</v>
      </c>
    </row>
    <row r="604" spans="1:9">
      <c r="A604" t="s">
        <v>19</v>
      </c>
      <c r="B604" s="2">
        <f t="shared" si="38"/>
        <v>30</v>
      </c>
      <c r="C604">
        <v>471</v>
      </c>
      <c r="D604">
        <v>40</v>
      </c>
      <c r="E604">
        <v>37</v>
      </c>
      <c r="F604">
        <f t="shared" si="36"/>
        <v>-1.7212206417235927</v>
      </c>
      <c r="G604">
        <f t="shared" si="37"/>
        <v>-1.7919663924786575</v>
      </c>
      <c r="I604">
        <f t="shared" si="39"/>
        <v>-1.7565935171011251</v>
      </c>
    </row>
    <row r="605" spans="1:9">
      <c r="A605" t="s">
        <v>20</v>
      </c>
      <c r="B605" s="2">
        <f t="shared" si="38"/>
        <v>30</v>
      </c>
      <c r="C605">
        <v>286</v>
      </c>
      <c r="D605">
        <v>2</v>
      </c>
      <c r="E605">
        <v>17</v>
      </c>
      <c r="F605">
        <f t="shared" si="36"/>
        <v>-2.8055957633877204</v>
      </c>
      <c r="G605">
        <f t="shared" si="37"/>
        <v>-1.9130643211675253</v>
      </c>
      <c r="I605">
        <f t="shared" si="39"/>
        <v>-2.3593300422776231</v>
      </c>
    </row>
    <row r="606" spans="1:9">
      <c r="A606" t="s">
        <v>21</v>
      </c>
      <c r="B606" s="2">
        <f t="shared" si="38"/>
        <v>30</v>
      </c>
      <c r="C606">
        <v>359</v>
      </c>
      <c r="D606">
        <v>37</v>
      </c>
      <c r="E606">
        <v>41</v>
      </c>
      <c r="F606">
        <f t="shared" si="36"/>
        <v>-1.6371524504339829</v>
      </c>
      <c r="G606">
        <f t="shared" si="37"/>
        <v>-1.6294578012753402</v>
      </c>
      <c r="I606">
        <f t="shared" si="39"/>
        <v>-1.6333051258546616</v>
      </c>
    </row>
    <row r="607" spans="1:9">
      <c r="A607" t="s">
        <v>22</v>
      </c>
      <c r="B607" s="2">
        <f t="shared" si="38"/>
        <v>30</v>
      </c>
      <c r="C607">
        <v>263</v>
      </c>
      <c r="D607">
        <v>5</v>
      </c>
      <c r="E607">
        <v>13</v>
      </c>
      <c r="F607">
        <f t="shared" si="36"/>
        <v>-2.3712454700763979</v>
      </c>
      <c r="G607">
        <f t="shared" si="37"/>
        <v>-1.9931596055996774</v>
      </c>
      <c r="I607">
        <f t="shared" si="39"/>
        <v>-2.1822025378380374</v>
      </c>
    </row>
    <row r="608" spans="1:9">
      <c r="A608" t="s">
        <v>23</v>
      </c>
      <c r="B608" s="2">
        <f t="shared" si="38"/>
        <v>30</v>
      </c>
      <c r="C608">
        <v>337</v>
      </c>
      <c r="D608">
        <v>2</v>
      </c>
      <c r="E608">
        <v>14</v>
      </c>
      <c r="F608">
        <f t="shared" si="36"/>
        <v>-2.8768596311300163</v>
      </c>
      <c r="G608">
        <f t="shared" si="37"/>
        <v>-2.0686490746098571</v>
      </c>
      <c r="I608">
        <f t="shared" si="39"/>
        <v>-2.4727543528699369</v>
      </c>
    </row>
    <row r="609" spans="1:9">
      <c r="A609" t="s">
        <v>24</v>
      </c>
      <c r="B609" s="2">
        <f t="shared" si="38"/>
        <v>30</v>
      </c>
      <c r="C609">
        <v>449</v>
      </c>
      <c r="D609">
        <v>48</v>
      </c>
      <c r="E609">
        <v>21</v>
      </c>
      <c r="F609">
        <f t="shared" si="36"/>
        <v>-1.6212648295503946</v>
      </c>
      <c r="G609">
        <f t="shared" si="37"/>
        <v>-2.0171742556861605</v>
      </c>
      <c r="I609">
        <f t="shared" si="39"/>
        <v>-1.8192195426182776</v>
      </c>
    </row>
    <row r="610" spans="1:9">
      <c r="A610" t="s">
        <v>25</v>
      </c>
      <c r="B610" s="2">
        <f t="shared" si="38"/>
        <v>30</v>
      </c>
      <c r="C610">
        <v>402</v>
      </c>
      <c r="D610">
        <v>5</v>
      </c>
      <c r="E610">
        <v>31</v>
      </c>
      <c r="F610">
        <f t="shared" si="36"/>
        <v>-2.5555157746711101</v>
      </c>
      <c r="G610">
        <f t="shared" si="37"/>
        <v>-1.800011568666954</v>
      </c>
      <c r="I610">
        <f t="shared" si="39"/>
        <v>-2.1777636716690321</v>
      </c>
    </row>
    <row r="611" spans="1:9">
      <c r="A611" t="s">
        <v>7</v>
      </c>
      <c r="B611" s="2">
        <f t="shared" si="38"/>
        <v>31</v>
      </c>
      <c r="C611">
        <v>281</v>
      </c>
      <c r="D611">
        <v>183</v>
      </c>
      <c r="E611">
        <v>158</v>
      </c>
      <c r="F611">
        <f t="shared" si="36"/>
        <v>-0.83651495609730919</v>
      </c>
      <c r="G611">
        <f t="shared" si="37"/>
        <v>-0.93719644236741373</v>
      </c>
      <c r="I611">
        <f t="shared" si="39"/>
        <v>-0.88685569923236152</v>
      </c>
    </row>
    <row r="612" spans="1:9">
      <c r="A612" t="s">
        <v>8</v>
      </c>
      <c r="B612" s="2">
        <f t="shared" si="38"/>
        <v>31</v>
      </c>
      <c r="C612">
        <v>350</v>
      </c>
      <c r="D612">
        <v>12</v>
      </c>
      <c r="E612">
        <v>37</v>
      </c>
      <c r="F612">
        <f t="shared" si="36"/>
        <v>-2.1151465242253096</v>
      </c>
      <c r="G612">
        <f t="shared" si="37"/>
        <v>-1.663013529700037</v>
      </c>
      <c r="I612">
        <f t="shared" si="39"/>
        <v>-1.8890800269626733</v>
      </c>
    </row>
    <row r="613" spans="1:9">
      <c r="A613" t="s">
        <v>5</v>
      </c>
      <c r="B613" s="2">
        <f t="shared" si="38"/>
        <v>31</v>
      </c>
      <c r="C613">
        <v>11</v>
      </c>
      <c r="D613">
        <v>45</v>
      </c>
      <c r="E613">
        <v>51</v>
      </c>
      <c r="F613">
        <f t="shared" si="36"/>
        <v>-3.8439897305540205E-2</v>
      </c>
      <c r="G613">
        <f t="shared" si="37"/>
        <v>-2.0969718477045096E-2</v>
      </c>
      <c r="I613">
        <f t="shared" si="39"/>
        <v>-2.9704807891292651E-2</v>
      </c>
    </row>
    <row r="614" spans="1:9">
      <c r="A614" t="s">
        <v>6</v>
      </c>
      <c r="B614" s="2">
        <f t="shared" si="38"/>
        <v>31</v>
      </c>
      <c r="C614">
        <v>495</v>
      </c>
      <c r="D614">
        <v>1242</v>
      </c>
      <c r="E614">
        <v>3281</v>
      </c>
      <c r="F614">
        <f t="shared" si="36"/>
        <v>-0.25074332901566609</v>
      </c>
      <c r="G614">
        <f t="shared" si="37"/>
        <v>0.13425382203572256</v>
      </c>
      <c r="I614">
        <f t="shared" si="39"/>
        <v>-5.8244753489971768E-2</v>
      </c>
    </row>
    <row r="615" spans="1:9">
      <c r="A615" t="s">
        <v>10</v>
      </c>
      <c r="B615" s="2">
        <f t="shared" si="38"/>
        <v>31</v>
      </c>
      <c r="C615">
        <v>470</v>
      </c>
      <c r="D615">
        <v>24</v>
      </c>
      <c r="E615">
        <v>26</v>
      </c>
      <c r="F615">
        <f t="shared" si="36"/>
        <v>-1.9421463421467702</v>
      </c>
      <c r="G615">
        <f t="shared" si="37"/>
        <v>-1.9442717193816561</v>
      </c>
      <c r="I615">
        <f t="shared" si="39"/>
        <v>-1.9432090307642131</v>
      </c>
    </row>
    <row r="616" spans="1:9">
      <c r="A616" t="s">
        <v>11</v>
      </c>
      <c r="B616" s="2">
        <f t="shared" si="38"/>
        <v>31</v>
      </c>
      <c r="C616">
        <v>640</v>
      </c>
      <c r="D616">
        <v>19</v>
      </c>
      <c r="E616">
        <v>32</v>
      </c>
      <c r="F616">
        <f t="shared" si="36"/>
        <v>-2.1776860989537168</v>
      </c>
      <c r="G616">
        <f t="shared" si="37"/>
        <v>-1.9881772050807376</v>
      </c>
      <c r="I616">
        <f t="shared" si="39"/>
        <v>-2.0829316520172272</v>
      </c>
    </row>
    <row r="617" spans="1:9">
      <c r="A617" t="s">
        <v>12</v>
      </c>
      <c r="B617" s="2">
        <f t="shared" si="38"/>
        <v>31</v>
      </c>
      <c r="C617">
        <v>320</v>
      </c>
      <c r="D617">
        <v>58</v>
      </c>
      <c r="E617">
        <v>239</v>
      </c>
      <c r="F617">
        <f t="shared" si="36"/>
        <v>-1.3919817106796275</v>
      </c>
      <c r="G617">
        <f t="shared" si="37"/>
        <v>-0.81389928678852475</v>
      </c>
      <c r="I617">
        <f t="shared" si="39"/>
        <v>-1.1029404987340761</v>
      </c>
    </row>
    <row r="618" spans="1:9">
      <c r="A618" t="s">
        <v>9</v>
      </c>
      <c r="B618" s="2">
        <f t="shared" si="38"/>
        <v>31</v>
      </c>
      <c r="C618">
        <v>461</v>
      </c>
      <c r="D618">
        <v>56</v>
      </c>
      <c r="E618">
        <v>188</v>
      </c>
      <c r="F618">
        <f t="shared" si="36"/>
        <v>-1.5657726243061065</v>
      </c>
      <c r="G618">
        <f t="shared" si="37"/>
        <v>-1.0766902855427247</v>
      </c>
      <c r="I618">
        <f t="shared" si="39"/>
        <v>-1.3212314549244155</v>
      </c>
    </row>
    <row r="619" spans="1:9">
      <c r="A619" t="s">
        <v>13</v>
      </c>
      <c r="B619" s="2">
        <f t="shared" si="38"/>
        <v>31</v>
      </c>
      <c r="C619">
        <v>457</v>
      </c>
      <c r="D619">
        <v>20</v>
      </c>
      <c r="E619">
        <v>159</v>
      </c>
      <c r="F619">
        <f t="shared" si="36"/>
        <v>-2.0091459303285277</v>
      </c>
      <c r="G619">
        <f t="shared" si="37"/>
        <v>-1.1456662851661552</v>
      </c>
      <c r="I619">
        <f t="shared" si="39"/>
        <v>-1.5774061077473416</v>
      </c>
    </row>
    <row r="620" spans="1:9">
      <c r="A620" t="s">
        <v>14</v>
      </c>
      <c r="B620" s="2">
        <f t="shared" si="38"/>
        <v>31</v>
      </c>
      <c r="C620">
        <v>655</v>
      </c>
      <c r="D620">
        <v>70</v>
      </c>
      <c r="E620">
        <v>135</v>
      </c>
      <c r="F620">
        <f t="shared" si="36"/>
        <v>-1.6214029859001851</v>
      </c>
      <c r="G620">
        <f t="shared" si="37"/>
        <v>-1.3730547409135334</v>
      </c>
      <c r="I620">
        <f t="shared" si="39"/>
        <v>-1.4972288634068591</v>
      </c>
    </row>
    <row r="621" spans="1:9">
      <c r="A621" t="s">
        <v>15</v>
      </c>
      <c r="B621" s="2">
        <f t="shared" si="38"/>
        <v>31</v>
      </c>
      <c r="C621">
        <v>729</v>
      </c>
      <c r="D621">
        <v>92</v>
      </c>
      <c r="E621">
        <v>475</v>
      </c>
      <c r="F621">
        <f t="shared" si="36"/>
        <v>-1.5491994268950782</v>
      </c>
      <c r="G621">
        <f t="shared" si="37"/>
        <v>-0.87318112810986448</v>
      </c>
      <c r="I621">
        <f t="shared" si="39"/>
        <v>-1.2111902775024714</v>
      </c>
    </row>
    <row r="622" spans="1:9">
      <c r="A622" t="s">
        <v>16</v>
      </c>
      <c r="B622" s="2">
        <f t="shared" si="38"/>
        <v>31</v>
      </c>
      <c r="C622">
        <v>528</v>
      </c>
      <c r="D622">
        <v>75</v>
      </c>
      <c r="E622">
        <v>93</v>
      </c>
      <c r="F622">
        <f t="shared" si="36"/>
        <v>-1.497832385064771</v>
      </c>
      <c r="G622">
        <f t="shared" si="37"/>
        <v>-1.4412981833966336</v>
      </c>
      <c r="I622">
        <f t="shared" si="39"/>
        <v>-1.4695652842307023</v>
      </c>
    </row>
    <row r="623" spans="1:9">
      <c r="A623" t="s">
        <v>17</v>
      </c>
      <c r="B623" s="2">
        <f t="shared" si="38"/>
        <v>31</v>
      </c>
      <c r="C623">
        <v>341</v>
      </c>
      <c r="D623">
        <v>32</v>
      </c>
      <c r="E623">
        <v>49</v>
      </c>
      <c r="F623">
        <f t="shared" si="36"/>
        <v>-1.6778641265952505</v>
      </c>
      <c r="G623">
        <f t="shared" si="37"/>
        <v>-1.5297055083807405</v>
      </c>
      <c r="I623">
        <f t="shared" si="39"/>
        <v>-1.6037848174879956</v>
      </c>
    </row>
    <row r="624" spans="1:9">
      <c r="A624" t="s">
        <v>18</v>
      </c>
      <c r="B624" s="2">
        <f t="shared" si="38"/>
        <v>31</v>
      </c>
      <c r="C624">
        <v>520</v>
      </c>
      <c r="D624">
        <v>86</v>
      </c>
      <c r="E624">
        <v>75</v>
      </c>
      <c r="F624">
        <f t="shared" si="36"/>
        <v>-1.4317646183138901</v>
      </c>
      <c r="G624">
        <f t="shared" si="37"/>
        <v>-1.5280892896598557</v>
      </c>
      <c r="I624">
        <f t="shared" si="39"/>
        <v>-1.4799269539868729</v>
      </c>
    </row>
    <row r="625" spans="1:9">
      <c r="A625" t="s">
        <v>19</v>
      </c>
      <c r="B625" s="2">
        <f t="shared" si="38"/>
        <v>31</v>
      </c>
      <c r="C625">
        <v>432</v>
      </c>
      <c r="D625">
        <v>25</v>
      </c>
      <c r="E625">
        <v>46</v>
      </c>
      <c r="F625">
        <f t="shared" si="36"/>
        <v>-1.8878034640655332</v>
      </c>
      <c r="G625">
        <f t="shared" si="37"/>
        <v>-1.6598731245500944</v>
      </c>
      <c r="I625">
        <f t="shared" si="39"/>
        <v>-1.7738382943078137</v>
      </c>
    </row>
    <row r="626" spans="1:9">
      <c r="A626" t="s">
        <v>20</v>
      </c>
      <c r="B626" s="2">
        <f t="shared" si="38"/>
        <v>31</v>
      </c>
      <c r="C626">
        <v>287</v>
      </c>
      <c r="D626">
        <v>2</v>
      </c>
      <c r="E626">
        <v>16</v>
      </c>
      <c r="F626">
        <f t="shared" si="36"/>
        <v>-2.8071116269926701</v>
      </c>
      <c r="G626">
        <f t="shared" si="37"/>
        <v>-1.9409091234948241</v>
      </c>
      <c r="I626">
        <f t="shared" si="39"/>
        <v>-2.3740103752437474</v>
      </c>
    </row>
    <row r="627" spans="1:9">
      <c r="A627" t="s">
        <v>21</v>
      </c>
      <c r="B627" s="2">
        <f t="shared" si="38"/>
        <v>31</v>
      </c>
      <c r="C627">
        <v>436</v>
      </c>
      <c r="D627">
        <v>17</v>
      </c>
      <c r="E627">
        <v>19</v>
      </c>
      <c r="F627">
        <f t="shared" si="36"/>
        <v>-2.0592972938129708</v>
      </c>
      <c r="G627">
        <f t="shared" si="37"/>
        <v>-2.0478800977325133</v>
      </c>
      <c r="I627">
        <f t="shared" si="39"/>
        <v>-2.0535886957727421</v>
      </c>
    </row>
    <row r="628" spans="1:9">
      <c r="A628" t="s">
        <v>22</v>
      </c>
      <c r="B628" s="2">
        <f t="shared" si="38"/>
        <v>31</v>
      </c>
      <c r="C628">
        <v>328</v>
      </c>
      <c r="D628">
        <v>19</v>
      </c>
      <c r="E628">
        <v>54</v>
      </c>
      <c r="F628">
        <f t="shared" si="36"/>
        <v>-1.8873799686815089</v>
      </c>
      <c r="G628">
        <f t="shared" si="37"/>
        <v>-1.4706272933054669</v>
      </c>
      <c r="I628">
        <f t="shared" si="39"/>
        <v>-1.6790036309934879</v>
      </c>
    </row>
    <row r="629" spans="1:9">
      <c r="A629" t="s">
        <v>23</v>
      </c>
      <c r="B629" s="2">
        <f t="shared" si="38"/>
        <v>31</v>
      </c>
      <c r="C629">
        <v>413</v>
      </c>
      <c r="D629">
        <v>7</v>
      </c>
      <c r="E629">
        <v>32</v>
      </c>
      <c r="F629">
        <f t="shared" si="36"/>
        <v>-2.4211117375648028</v>
      </c>
      <c r="G629">
        <f t="shared" si="37"/>
        <v>-1.7979472827532517</v>
      </c>
      <c r="I629">
        <f t="shared" si="39"/>
        <v>-2.1095295101590272</v>
      </c>
    </row>
    <row r="630" spans="1:9">
      <c r="A630" t="s">
        <v>24</v>
      </c>
      <c r="B630" s="2">
        <f t="shared" si="38"/>
        <v>31</v>
      </c>
      <c r="C630">
        <v>714</v>
      </c>
      <c r="D630">
        <v>10</v>
      </c>
      <c r="E630">
        <v>35</v>
      </c>
      <c r="F630">
        <f t="shared" si="36"/>
        <v>-2.503957937698833</v>
      </c>
      <c r="G630">
        <f t="shared" si="37"/>
        <v>-1.9967773768426551</v>
      </c>
      <c r="I630">
        <f t="shared" si="39"/>
        <v>-2.2503676572707443</v>
      </c>
    </row>
    <row r="631" spans="1:9">
      <c r="A631" t="s">
        <v>25</v>
      </c>
      <c r="B631" s="2">
        <f t="shared" si="38"/>
        <v>31</v>
      </c>
      <c r="C631">
        <v>407</v>
      </c>
      <c r="D631">
        <v>22</v>
      </c>
      <c r="E631">
        <v>68</v>
      </c>
      <c r="F631">
        <f t="shared" si="36"/>
        <v>-1.9174314543256725</v>
      </c>
      <c r="G631">
        <f t="shared" si="37"/>
        <v>-1.4642327059357401</v>
      </c>
      <c r="I631">
        <f t="shared" si="39"/>
        <v>-1.6908320801307064</v>
      </c>
    </row>
    <row r="632" spans="1:9">
      <c r="A632" t="s">
        <v>7</v>
      </c>
      <c r="B632" s="2">
        <f t="shared" si="38"/>
        <v>32</v>
      </c>
      <c r="C632">
        <v>736</v>
      </c>
      <c r="D632">
        <v>29</v>
      </c>
      <c r="E632">
        <v>74</v>
      </c>
      <c r="F632">
        <f t="shared" si="36"/>
        <v>-2.0547395423612018</v>
      </c>
      <c r="G632">
        <f t="shared" si="37"/>
        <v>-1.684793304023279</v>
      </c>
      <c r="I632">
        <f t="shared" si="39"/>
        <v>-1.8697664231922404</v>
      </c>
    </row>
    <row r="633" spans="1:9">
      <c r="A633" t="s">
        <v>8</v>
      </c>
      <c r="B633" s="2">
        <f t="shared" si="38"/>
        <v>32</v>
      </c>
      <c r="C633">
        <v>440</v>
      </c>
      <c r="D633">
        <v>9</v>
      </c>
      <c r="E633">
        <v>32</v>
      </c>
      <c r="F633">
        <f t="shared" si="36"/>
        <v>-2.3394698929695217</v>
      </c>
      <c r="G633">
        <f t="shared" si="37"/>
        <v>-1.8254499075830379</v>
      </c>
      <c r="I633">
        <f t="shared" si="39"/>
        <v>-2.0824599002762798</v>
      </c>
    </row>
    <row r="634" spans="1:9">
      <c r="A634" t="s">
        <v>5</v>
      </c>
      <c r="B634" s="2">
        <f t="shared" si="38"/>
        <v>32</v>
      </c>
      <c r="C634">
        <v>362</v>
      </c>
      <c r="D634">
        <v>173</v>
      </c>
      <c r="E634">
        <v>297</v>
      </c>
      <c r="F634">
        <f t="shared" si="36"/>
        <v>-0.97092219332702911</v>
      </c>
      <c r="G634">
        <f t="shared" si="37"/>
        <v>-0.77309933063270986</v>
      </c>
      <c r="I634">
        <f t="shared" si="39"/>
        <v>-0.87201076197986949</v>
      </c>
    </row>
    <row r="635" spans="1:9">
      <c r="A635" t="s">
        <v>6</v>
      </c>
      <c r="B635" s="2">
        <f t="shared" si="38"/>
        <v>32</v>
      </c>
      <c r="C635">
        <v>535</v>
      </c>
      <c r="D635">
        <v>277</v>
      </c>
      <c r="E635">
        <v>107</v>
      </c>
      <c r="F635">
        <f t="shared" ref="F635:F698" si="40">LOG10(D635/C635)-LOG10(257761/57671)</f>
        <v>-0.93613373887943863</v>
      </c>
      <c r="G635">
        <f t="shared" ref="G635:G698" si="41">LOG10(E635/C635)-LOG10(280611/57671)</f>
        <v>-1.3861172137527751</v>
      </c>
      <c r="I635">
        <f t="shared" si="39"/>
        <v>-1.1611254763161067</v>
      </c>
    </row>
    <row r="636" spans="1:9">
      <c r="A636" t="s">
        <v>10</v>
      </c>
      <c r="B636" s="2">
        <f t="shared" si="38"/>
        <v>32</v>
      </c>
      <c r="C636">
        <v>400</v>
      </c>
      <c r="D636">
        <v>20</v>
      </c>
      <c r="E636">
        <v>30</v>
      </c>
      <c r="F636">
        <f t="shared" si="40"/>
        <v>-1.95128972158664</v>
      </c>
      <c r="G636">
        <f t="shared" si="41"/>
        <v>-1.8120859460250562</v>
      </c>
      <c r="I636">
        <f t="shared" si="39"/>
        <v>-1.8816878338058483</v>
      </c>
    </row>
    <row r="637" spans="1:9">
      <c r="A637" t="s">
        <v>11</v>
      </c>
      <c r="B637" s="2">
        <f t="shared" si="38"/>
        <v>32</v>
      </c>
      <c r="C637">
        <v>406</v>
      </c>
      <c r="D637">
        <v>4</v>
      </c>
      <c r="E637">
        <v>69</v>
      </c>
      <c r="F637">
        <f t="shared" si="40"/>
        <v>-2.6567257681718903</v>
      </c>
      <c r="G637">
        <f t="shared" si="41"/>
        <v>-1.4568241522566954</v>
      </c>
      <c r="I637">
        <f t="shared" si="39"/>
        <v>-2.0567749602142928</v>
      </c>
    </row>
    <row r="638" spans="1:9">
      <c r="A638" t="s">
        <v>12</v>
      </c>
      <c r="B638" s="2">
        <f t="shared" si="38"/>
        <v>32</v>
      </c>
      <c r="C638">
        <v>434</v>
      </c>
      <c r="D638">
        <v>45</v>
      </c>
      <c r="E638">
        <v>39</v>
      </c>
      <c r="F638">
        <f t="shared" si="40"/>
        <v>-1.6345369416598259</v>
      </c>
      <c r="G638">
        <f t="shared" si="41"/>
        <v>-1.733572331902768</v>
      </c>
      <c r="I638">
        <f t="shared" si="39"/>
        <v>-1.684054636781297</v>
      </c>
    </row>
    <row r="639" spans="1:9">
      <c r="A639" t="s">
        <v>9</v>
      </c>
      <c r="B639" s="2">
        <f t="shared" si="38"/>
        <v>32</v>
      </c>
      <c r="C639">
        <v>404</v>
      </c>
      <c r="D639">
        <v>157</v>
      </c>
      <c r="E639">
        <v>122</v>
      </c>
      <c r="F639">
        <f t="shared" si="40"/>
        <v>-1.0607414386240301</v>
      </c>
      <c r="G639">
        <f t="shared" si="41"/>
        <v>-1.2071687438526131</v>
      </c>
      <c r="I639">
        <f t="shared" si="39"/>
        <v>-1.1339550912383216</v>
      </c>
    </row>
    <row r="640" spans="1:9">
      <c r="A640" t="s">
        <v>13</v>
      </c>
      <c r="B640" s="2">
        <f t="shared" si="38"/>
        <v>32</v>
      </c>
      <c r="C640">
        <v>277</v>
      </c>
      <c r="D640">
        <v>52</v>
      </c>
      <c r="E640">
        <v>128</v>
      </c>
      <c r="F640">
        <f t="shared" si="40"/>
        <v>-1.3767361513523082</v>
      </c>
      <c r="G640">
        <f t="shared" si="41"/>
        <v>-1.0224170088333366</v>
      </c>
      <c r="I640">
        <f t="shared" si="39"/>
        <v>-1.1995765800928224</v>
      </c>
    </row>
    <row r="641" spans="1:9">
      <c r="A641" t="s">
        <v>14</v>
      </c>
      <c r="B641" s="2">
        <f t="shared" si="38"/>
        <v>32</v>
      </c>
      <c r="C641">
        <v>376</v>
      </c>
      <c r="D641">
        <v>203</v>
      </c>
      <c r="E641">
        <v>196</v>
      </c>
      <c r="F641">
        <f t="shared" si="40"/>
        <v>-0.91795153293710696</v>
      </c>
      <c r="G641">
        <f t="shared" si="41"/>
        <v>-0.97007898298794148</v>
      </c>
      <c r="I641">
        <f t="shared" si="39"/>
        <v>-0.94401525796252428</v>
      </c>
    </row>
    <row r="642" spans="1:9">
      <c r="A642" t="s">
        <v>15</v>
      </c>
      <c r="B642" s="2">
        <f t="shared" si="38"/>
        <v>32</v>
      </c>
      <c r="C642">
        <v>658</v>
      </c>
      <c r="D642">
        <v>87</v>
      </c>
      <c r="E642">
        <v>342</v>
      </c>
      <c r="F642">
        <f t="shared" si="40"/>
        <v>-1.5289663669179956</v>
      </c>
      <c r="G642">
        <f t="shared" si="41"/>
        <v>-0.97134699697457694</v>
      </c>
      <c r="I642">
        <f t="shared" si="39"/>
        <v>-1.2501566819462862</v>
      </c>
    </row>
    <row r="643" spans="1:9">
      <c r="A643" t="s">
        <v>16</v>
      </c>
      <c r="B643" s="2">
        <f t="shared" ref="B643:B706" si="42">1+INT((ROW()-2)/21)+1</f>
        <v>32</v>
      </c>
      <c r="C643">
        <v>415</v>
      </c>
      <c r="D643">
        <v>108</v>
      </c>
      <c r="E643">
        <v>79</v>
      </c>
      <c r="F643">
        <f t="shared" si="40"/>
        <v>-1.2348840671478019</v>
      </c>
      <c r="G643">
        <f t="shared" si="41"/>
        <v>-1.4075682148384079</v>
      </c>
      <c r="I643">
        <f t="shared" ref="I643:I706" si="43">AVERAGE(F643:G643)</f>
        <v>-1.321226140993105</v>
      </c>
    </row>
    <row r="644" spans="1:9">
      <c r="A644" t="s">
        <v>17</v>
      </c>
      <c r="B644" s="2">
        <f t="shared" si="42"/>
        <v>32</v>
      </c>
      <c r="C644">
        <v>527</v>
      </c>
      <c r="D644">
        <v>3939</v>
      </c>
      <c r="E644">
        <v>1059</v>
      </c>
      <c r="F644">
        <f t="shared" si="40"/>
        <v>0.22331563967393642</v>
      </c>
      <c r="G644">
        <f t="shared" si="41"/>
        <v>-0.38406186452181806</v>
      </c>
      <c r="I644">
        <f t="shared" si="43"/>
        <v>-8.0373112423940823E-2</v>
      </c>
    </row>
    <row r="645" spans="1:9">
      <c r="A645" t="s">
        <v>18</v>
      </c>
      <c r="B645" s="2">
        <f t="shared" si="42"/>
        <v>32</v>
      </c>
      <c r="C645">
        <v>388</v>
      </c>
      <c r="D645">
        <v>25</v>
      </c>
      <c r="E645">
        <v>144</v>
      </c>
      <c r="F645">
        <f t="shared" si="40"/>
        <v>-1.8411514428448286</v>
      </c>
      <c r="G645">
        <f t="shared" si="41"/>
        <v>-1.117616442915714</v>
      </c>
      <c r="I645">
        <f t="shared" si="43"/>
        <v>-1.4793839428802713</v>
      </c>
    </row>
    <row r="646" spans="1:9">
      <c r="A646" t="s">
        <v>19</v>
      </c>
      <c r="B646" s="2">
        <f t="shared" si="42"/>
        <v>32</v>
      </c>
      <c r="C646">
        <v>394</v>
      </c>
      <c r="D646">
        <v>222</v>
      </c>
      <c r="E646">
        <v>230</v>
      </c>
      <c r="F646">
        <f t="shared" si="40"/>
        <v>-0.89940297329759433</v>
      </c>
      <c r="G646">
        <f t="shared" si="41"/>
        <v>-0.92091559522473765</v>
      </c>
      <c r="I646">
        <f t="shared" si="43"/>
        <v>-0.91015928426116599</v>
      </c>
    </row>
    <row r="647" spans="1:9">
      <c r="A647" t="s">
        <v>20</v>
      </c>
      <c r="B647" s="2">
        <f t="shared" si="42"/>
        <v>32</v>
      </c>
      <c r="C647">
        <v>57671</v>
      </c>
      <c r="D647">
        <v>257761</v>
      </c>
      <c r="E647">
        <v>280611</v>
      </c>
      <c r="F647">
        <f t="shared" si="40"/>
        <v>0</v>
      </c>
      <c r="G647">
        <f t="shared" si="41"/>
        <v>0</v>
      </c>
      <c r="I647">
        <f t="shared" si="43"/>
        <v>0</v>
      </c>
    </row>
    <row r="648" spans="1:9">
      <c r="A648" t="s">
        <v>21</v>
      </c>
      <c r="B648" s="2">
        <f t="shared" si="42"/>
        <v>32</v>
      </c>
      <c r="C648">
        <v>572</v>
      </c>
      <c r="D648">
        <v>17211</v>
      </c>
      <c r="E648">
        <v>13861</v>
      </c>
      <c r="F648">
        <f t="shared" si="40"/>
        <v>0.82815034988642044</v>
      </c>
      <c r="G648">
        <f t="shared" si="41"/>
        <v>0.69725132531387646</v>
      </c>
      <c r="I648">
        <f t="shared" si="43"/>
        <v>0.76270083760014851</v>
      </c>
    </row>
    <row r="649" spans="1:9">
      <c r="A649" t="s">
        <v>22</v>
      </c>
      <c r="B649" s="2">
        <f t="shared" si="42"/>
        <v>32</v>
      </c>
      <c r="C649">
        <v>312</v>
      </c>
      <c r="D649">
        <v>38117</v>
      </c>
      <c r="E649">
        <v>15702</v>
      </c>
      <c r="F649">
        <f t="shared" si="40"/>
        <v>1.4367043922057718</v>
      </c>
      <c r="G649">
        <f t="shared" si="41"/>
        <v>1.0146531695883252</v>
      </c>
      <c r="I649">
        <f t="shared" si="43"/>
        <v>1.2256787808970486</v>
      </c>
    </row>
    <row r="650" spans="1:9">
      <c r="A650" t="s">
        <v>23</v>
      </c>
      <c r="B650" s="2">
        <f t="shared" si="42"/>
        <v>32</v>
      </c>
      <c r="C650">
        <v>362</v>
      </c>
      <c r="D650">
        <v>916</v>
      </c>
      <c r="E650">
        <v>3215</v>
      </c>
      <c r="F650">
        <f t="shared" si="40"/>
        <v>-0.2470728227879741</v>
      </c>
      <c r="G650">
        <f t="shared" si="41"/>
        <v>0.26132519731031867</v>
      </c>
      <c r="I650">
        <f t="shared" si="43"/>
        <v>7.1261872611722843E-3</v>
      </c>
    </row>
    <row r="651" spans="1:9">
      <c r="A651" t="s">
        <v>24</v>
      </c>
      <c r="B651" s="2">
        <f t="shared" si="42"/>
        <v>32</v>
      </c>
      <c r="C651">
        <v>1399</v>
      </c>
      <c r="D651">
        <v>7469</v>
      </c>
      <c r="E651">
        <v>8881</v>
      </c>
      <c r="F651">
        <f t="shared" si="40"/>
        <v>7.7185019024240353E-2</v>
      </c>
      <c r="G651">
        <f t="shared" si="41"/>
        <v>0.11549694615269945</v>
      </c>
      <c r="I651">
        <f t="shared" si="43"/>
        <v>9.6340982588469903E-2</v>
      </c>
    </row>
    <row r="652" spans="1:9">
      <c r="A652" t="s">
        <v>25</v>
      </c>
      <c r="B652" s="2">
        <f t="shared" si="42"/>
        <v>32</v>
      </c>
      <c r="C652">
        <v>590</v>
      </c>
      <c r="D652">
        <v>8</v>
      </c>
      <c r="E652">
        <v>39</v>
      </c>
      <c r="F652">
        <f t="shared" si="40"/>
        <v>-2.5180217505728595</v>
      </c>
      <c r="G652">
        <f t="shared" si="41"/>
        <v>-1.8669346140324015</v>
      </c>
      <c r="I652">
        <f t="shared" si="43"/>
        <v>-2.1924781823026303</v>
      </c>
    </row>
    <row r="653" spans="1:9">
      <c r="A653" t="s">
        <v>7</v>
      </c>
      <c r="B653" s="2">
        <f t="shared" si="42"/>
        <v>33</v>
      </c>
      <c r="C653">
        <v>340</v>
      </c>
      <c r="D653">
        <v>5</v>
      </c>
      <c r="E653">
        <v>32</v>
      </c>
      <c r="F653">
        <f t="shared" si="40"/>
        <v>-2.4827686386288952</v>
      </c>
      <c r="G653">
        <f t="shared" si="41"/>
        <v>-1.7134761481391054</v>
      </c>
      <c r="I653">
        <f t="shared" si="43"/>
        <v>-2.0981223933840001</v>
      </c>
    </row>
    <row r="654" spans="1:9">
      <c r="A654" t="s">
        <v>8</v>
      </c>
      <c r="B654" s="2">
        <f t="shared" si="42"/>
        <v>33</v>
      </c>
      <c r="C654">
        <v>533</v>
      </c>
      <c r="D654">
        <v>26</v>
      </c>
      <c r="E654">
        <v>20</v>
      </c>
      <c r="F654">
        <f t="shared" si="40"/>
        <v>-1.962013586978413</v>
      </c>
      <c r="G654">
        <f t="shared" si="41"/>
        <v>-2.1128444227793475</v>
      </c>
      <c r="I654">
        <f t="shared" si="43"/>
        <v>-2.0374290048788803</v>
      </c>
    </row>
    <row r="655" spans="1:9">
      <c r="A655" t="s">
        <v>5</v>
      </c>
      <c r="B655" s="2">
        <f t="shared" si="42"/>
        <v>33</v>
      </c>
      <c r="C655">
        <v>184</v>
      </c>
      <c r="D655">
        <v>1</v>
      </c>
      <c r="E655">
        <v>9</v>
      </c>
      <c r="F655">
        <f t="shared" si="40"/>
        <v>-2.915077548932195</v>
      </c>
      <c r="G655">
        <f t="shared" si="41"/>
        <v>-1.997722522986968</v>
      </c>
      <c r="I655">
        <f t="shared" si="43"/>
        <v>-2.4564000359595815</v>
      </c>
    </row>
    <row r="656" spans="1:9">
      <c r="A656" t="s">
        <v>6</v>
      </c>
      <c r="B656" s="2">
        <f t="shared" si="42"/>
        <v>33</v>
      </c>
      <c r="C656">
        <v>461</v>
      </c>
      <c r="D656">
        <v>10</v>
      </c>
      <c r="E656">
        <v>37</v>
      </c>
      <c r="F656">
        <f t="shared" si="40"/>
        <v>-2.313960651312307</v>
      </c>
      <c r="G656">
        <f t="shared" si="41"/>
        <v>-1.7826464107394098</v>
      </c>
      <c r="I656">
        <f t="shared" si="43"/>
        <v>-2.0483035310258586</v>
      </c>
    </row>
    <row r="657" spans="1:9">
      <c r="A657" t="s">
        <v>10</v>
      </c>
      <c r="B657" s="2">
        <f t="shared" si="42"/>
        <v>33</v>
      </c>
      <c r="C657">
        <v>221</v>
      </c>
      <c r="D657">
        <v>7</v>
      </c>
      <c r="E657">
        <v>13</v>
      </c>
      <c r="F657">
        <f t="shared" si="40"/>
        <v>-2.1495539595935127</v>
      </c>
      <c r="G657">
        <f t="shared" si="41"/>
        <v>-1.9175961307950304</v>
      </c>
      <c r="I657">
        <f t="shared" si="43"/>
        <v>-2.0335750451942713</v>
      </c>
    </row>
    <row r="658" spans="1:9">
      <c r="A658" t="s">
        <v>11</v>
      </c>
      <c r="B658" s="2">
        <f t="shared" si="42"/>
        <v>33</v>
      </c>
      <c r="C658">
        <v>300</v>
      </c>
      <c r="D658">
        <v>5</v>
      </c>
      <c r="E658">
        <v>15</v>
      </c>
      <c r="F658">
        <f t="shared" si="40"/>
        <v>-2.4284109763063024</v>
      </c>
      <c r="G658">
        <f t="shared" si="41"/>
        <v>-1.9881772050807376</v>
      </c>
      <c r="I658">
        <f t="shared" si="43"/>
        <v>-2.2082940906935198</v>
      </c>
    </row>
    <row r="659" spans="1:9">
      <c r="A659" t="s">
        <v>12</v>
      </c>
      <c r="B659" s="2">
        <f t="shared" si="42"/>
        <v>33</v>
      </c>
      <c r="C659">
        <v>249</v>
      </c>
      <c r="D659">
        <v>8</v>
      </c>
      <c r="E659">
        <v>14</v>
      </c>
      <c r="F659">
        <f t="shared" si="40"/>
        <v>-2.1433690860264516</v>
      </c>
      <c r="G659">
        <f t="shared" si="41"/>
        <v>-1.9372185208342549</v>
      </c>
      <c r="I659">
        <f t="shared" si="43"/>
        <v>-2.0402938034303535</v>
      </c>
    </row>
    <row r="660" spans="1:9">
      <c r="A660" t="s">
        <v>9</v>
      </c>
      <c r="B660" s="2">
        <f t="shared" si="42"/>
        <v>33</v>
      </c>
      <c r="C660">
        <v>162</v>
      </c>
      <c r="D660">
        <v>0</v>
      </c>
      <c r="E660">
        <v>5</v>
      </c>
      <c r="F660" t="e">
        <f t="shared" si="40"/>
        <v>#NUM!</v>
      </c>
      <c r="G660">
        <f t="shared" si="41"/>
        <v>-2.1976922196233688</v>
      </c>
      <c r="I660" t="e">
        <f t="shared" si="43"/>
        <v>#NUM!</v>
      </c>
    </row>
    <row r="661" spans="1:9">
      <c r="A661" t="s">
        <v>13</v>
      </c>
      <c r="B661" s="2">
        <f t="shared" si="42"/>
        <v>33</v>
      </c>
      <c r="C661">
        <v>308</v>
      </c>
      <c r="D661">
        <v>1</v>
      </c>
      <c r="E661">
        <v>13</v>
      </c>
      <c r="F661">
        <f t="shared" si="40"/>
        <v>-3.1388104424231029</v>
      </c>
      <c r="G661">
        <f t="shared" si="41"/>
        <v>-2.0617545736103637</v>
      </c>
      <c r="I661">
        <f t="shared" si="43"/>
        <v>-2.6002825080167336</v>
      </c>
    </row>
    <row r="662" spans="1:9">
      <c r="A662" t="s">
        <v>14</v>
      </c>
      <c r="B662" s="2">
        <f t="shared" si="42"/>
        <v>33</v>
      </c>
      <c r="C662">
        <v>231</v>
      </c>
      <c r="D662">
        <v>21</v>
      </c>
      <c r="E662">
        <v>34</v>
      </c>
      <c r="F662">
        <f t="shared" si="40"/>
        <v>-1.6916524110808837</v>
      </c>
      <c r="G662">
        <f t="shared" si="41"/>
        <v>-1.5192802722666456</v>
      </c>
      <c r="I662">
        <f t="shared" si="43"/>
        <v>-1.6054663416737647</v>
      </c>
    </row>
    <row r="663" spans="1:9">
      <c r="A663" t="s">
        <v>15</v>
      </c>
      <c r="B663" s="2">
        <f t="shared" si="42"/>
        <v>33</v>
      </c>
      <c r="C663">
        <v>369</v>
      </c>
      <c r="D663">
        <v>4</v>
      </c>
      <c r="E663">
        <v>26</v>
      </c>
      <c r="F663">
        <f t="shared" si="40"/>
        <v>-2.6152261007537567</v>
      </c>
      <c r="G663">
        <f t="shared" si="41"/>
        <v>-1.8392002276049988</v>
      </c>
      <c r="I663">
        <f t="shared" si="43"/>
        <v>-2.2272131641793775</v>
      </c>
    </row>
    <row r="664" spans="1:9">
      <c r="A664" t="s">
        <v>16</v>
      </c>
      <c r="B664" s="2">
        <f t="shared" si="42"/>
        <v>33</v>
      </c>
      <c r="C664">
        <v>392</v>
      </c>
      <c r="D664">
        <v>19</v>
      </c>
      <c r="E664">
        <v>24</v>
      </c>
      <c r="F664">
        <f t="shared" si="40"/>
        <v>-1.9647921919902871</v>
      </c>
      <c r="G664">
        <f t="shared" si="41"/>
        <v>-1.9002220347256076</v>
      </c>
      <c r="I664">
        <f t="shared" si="43"/>
        <v>-1.9325071133579472</v>
      </c>
    </row>
    <row r="665" spans="1:9">
      <c r="A665" t="s">
        <v>17</v>
      </c>
      <c r="B665" s="2">
        <f t="shared" si="42"/>
        <v>33</v>
      </c>
      <c r="C665">
        <v>493</v>
      </c>
      <c r="D665">
        <v>111</v>
      </c>
      <c r="E665">
        <v>750</v>
      </c>
      <c r="F665">
        <f t="shared" si="40"/>
        <v>-1.2977836664132314</v>
      </c>
      <c r="G665">
        <f t="shared" si="41"/>
        <v>-0.50493286530228643</v>
      </c>
      <c r="I665">
        <f t="shared" si="43"/>
        <v>-0.90135826585775891</v>
      </c>
    </row>
    <row r="666" spans="1:9">
      <c r="A666" t="s">
        <v>18</v>
      </c>
      <c r="B666" s="2">
        <f t="shared" si="42"/>
        <v>33</v>
      </c>
      <c r="C666">
        <v>302</v>
      </c>
      <c r="D666">
        <v>4</v>
      </c>
      <c r="E666">
        <v>8</v>
      </c>
      <c r="F666">
        <f t="shared" si="40"/>
        <v>-2.528206677551847</v>
      </c>
      <c r="G666">
        <f t="shared" si="41"/>
        <v>-2.2640641653819635</v>
      </c>
      <c r="I666">
        <f t="shared" si="43"/>
        <v>-2.3961354214669051</v>
      </c>
    </row>
    <row r="667" spans="1:9">
      <c r="A667" t="s">
        <v>19</v>
      </c>
      <c r="B667" s="2">
        <f t="shared" si="42"/>
        <v>33</v>
      </c>
      <c r="C667">
        <v>323</v>
      </c>
      <c r="D667">
        <v>4</v>
      </c>
      <c r="E667">
        <v>15</v>
      </c>
      <c r="F667">
        <f t="shared" si="40"/>
        <v>-2.5574022569257995</v>
      </c>
      <c r="G667">
        <f t="shared" si="41"/>
        <v>-2.020258472692178</v>
      </c>
      <c r="I667">
        <f t="shared" si="43"/>
        <v>-2.2888303648089887</v>
      </c>
    </row>
    <row r="668" spans="1:9">
      <c r="A668" t="s">
        <v>20</v>
      </c>
      <c r="B668" s="2">
        <f t="shared" si="42"/>
        <v>33</v>
      </c>
      <c r="C668">
        <v>154</v>
      </c>
      <c r="D668">
        <v>2</v>
      </c>
      <c r="E668">
        <v>8</v>
      </c>
      <c r="F668">
        <f t="shared" si="40"/>
        <v>-2.5367504510951404</v>
      </c>
      <c r="G668">
        <f t="shared" si="41"/>
        <v>-1.9715779432612761</v>
      </c>
      <c r="I668">
        <f t="shared" si="43"/>
        <v>-2.2541641971782083</v>
      </c>
    </row>
    <row r="669" spans="1:9">
      <c r="A669" t="s">
        <v>21</v>
      </c>
      <c r="B669" s="2">
        <f t="shared" si="42"/>
        <v>33</v>
      </c>
      <c r="C669">
        <v>279</v>
      </c>
      <c r="D669">
        <v>1061</v>
      </c>
      <c r="E669">
        <v>445</v>
      </c>
      <c r="F669">
        <f t="shared" si="40"/>
        <v>-7.0148545294915654E-2</v>
      </c>
      <c r="G669">
        <f t="shared" si="41"/>
        <v>-0.48439140170942241</v>
      </c>
      <c r="I669">
        <f t="shared" si="43"/>
        <v>-0.27726997350216903</v>
      </c>
    </row>
    <row r="670" spans="1:9">
      <c r="A670" t="s">
        <v>22</v>
      </c>
      <c r="B670" s="2">
        <f t="shared" si="42"/>
        <v>33</v>
      </c>
      <c r="C670">
        <v>182</v>
      </c>
      <c r="D670">
        <v>0</v>
      </c>
      <c r="E670">
        <v>21</v>
      </c>
      <c r="F670" t="e">
        <f t="shared" si="40"/>
        <v>#NUM!</v>
      </c>
      <c r="G670">
        <f t="shared" si="41"/>
        <v>-1.6249993026679119</v>
      </c>
      <c r="I670" t="e">
        <f t="shared" si="43"/>
        <v>#NUM!</v>
      </c>
    </row>
    <row r="671" spans="1:9">
      <c r="A671" t="s">
        <v>23</v>
      </c>
      <c r="B671" s="2">
        <f t="shared" si="42"/>
        <v>33</v>
      </c>
      <c r="C671">
        <v>16</v>
      </c>
      <c r="D671">
        <v>55</v>
      </c>
      <c r="E671">
        <v>59</v>
      </c>
      <c r="F671">
        <f t="shared" si="40"/>
        <v>-0.1140170190843397</v>
      </c>
      <c r="G671">
        <f t="shared" si="41"/>
        <v>-0.12041518043053701</v>
      </c>
      <c r="I671">
        <f t="shared" si="43"/>
        <v>-0.11721609975743835</v>
      </c>
    </row>
    <row r="672" spans="1:9">
      <c r="A672" t="s">
        <v>24</v>
      </c>
      <c r="B672" s="2">
        <f t="shared" si="42"/>
        <v>33</v>
      </c>
      <c r="C672">
        <v>314</v>
      </c>
      <c r="D672">
        <v>25</v>
      </c>
      <c r="E672">
        <v>57</v>
      </c>
      <c r="F672">
        <f t="shared" si="40"/>
        <v>-1.7492493653238361</v>
      </c>
      <c r="G672">
        <f t="shared" si="41"/>
        <v>-1.4282020018174801</v>
      </c>
      <c r="I672">
        <f t="shared" si="43"/>
        <v>-1.588725683570658</v>
      </c>
    </row>
    <row r="673" spans="1:9">
      <c r="A673" t="s">
        <v>25</v>
      </c>
      <c r="B673" s="2">
        <f t="shared" si="42"/>
        <v>33</v>
      </c>
      <c r="C673">
        <v>417</v>
      </c>
      <c r="D673">
        <v>7</v>
      </c>
      <c r="E673">
        <v>24</v>
      </c>
      <c r="F673">
        <f t="shared" si="40"/>
        <v>-2.4252977408821597</v>
      </c>
      <c r="G673">
        <f t="shared" si="41"/>
        <v>-1.927072022678908</v>
      </c>
      <c r="I673">
        <f t="shared" si="43"/>
        <v>-2.176184881780534</v>
      </c>
    </row>
    <row r="674" spans="1:9">
      <c r="A674" t="s">
        <v>7</v>
      </c>
      <c r="B674" s="2">
        <f t="shared" si="42"/>
        <v>34</v>
      </c>
      <c r="C674">
        <v>1058</v>
      </c>
      <c r="D674">
        <v>93</v>
      </c>
      <c r="E674">
        <v>133</v>
      </c>
      <c r="F674">
        <f t="shared" si="40"/>
        <v>-1.7062624450678905</v>
      </c>
      <c r="G674">
        <f t="shared" si="41"/>
        <v>-1.5877812361488375</v>
      </c>
      <c r="I674">
        <f t="shared" si="43"/>
        <v>-1.6470218406083639</v>
      </c>
    </row>
    <row r="675" spans="1:9">
      <c r="A675" t="s">
        <v>8</v>
      </c>
      <c r="B675" s="2">
        <f t="shared" si="42"/>
        <v>34</v>
      </c>
      <c r="C675">
        <v>924</v>
      </c>
      <c r="D675">
        <v>17</v>
      </c>
      <c r="E675">
        <v>53</v>
      </c>
      <c r="F675">
        <f t="shared" si="40"/>
        <v>-2.3854827757644914</v>
      </c>
      <c r="G675">
        <f t="shared" si="41"/>
        <v>-1.9285433110360741</v>
      </c>
      <c r="I675">
        <f t="shared" si="43"/>
        <v>-2.1570130434002825</v>
      </c>
    </row>
    <row r="676" spans="1:9">
      <c r="A676" t="s">
        <v>5</v>
      </c>
      <c r="B676" s="2">
        <f t="shared" si="42"/>
        <v>34</v>
      </c>
      <c r="C676">
        <v>57671</v>
      </c>
      <c r="D676">
        <v>257761</v>
      </c>
      <c r="E676">
        <v>280611</v>
      </c>
      <c r="F676">
        <f t="shared" si="40"/>
        <v>0</v>
      </c>
      <c r="G676">
        <f t="shared" si="41"/>
        <v>0</v>
      </c>
      <c r="I676">
        <f t="shared" si="43"/>
        <v>0</v>
      </c>
    </row>
    <row r="677" spans="1:9">
      <c r="A677" t="s">
        <v>6</v>
      </c>
      <c r="B677" s="2">
        <f t="shared" si="42"/>
        <v>34</v>
      </c>
      <c r="C677">
        <v>559</v>
      </c>
      <c r="D677">
        <v>95</v>
      </c>
      <c r="E677">
        <v>612</v>
      </c>
      <c r="F677">
        <f t="shared" si="40"/>
        <v>-1.4199479285202343</v>
      </c>
      <c r="G677">
        <f t="shared" si="41"/>
        <v>-0.64780759515761854</v>
      </c>
      <c r="I677">
        <f t="shared" si="43"/>
        <v>-1.0338777618389265</v>
      </c>
    </row>
    <row r="678" spans="1:9">
      <c r="A678" t="s">
        <v>10</v>
      </c>
      <c r="B678" s="2">
        <f t="shared" si="42"/>
        <v>34</v>
      </c>
      <c r="C678">
        <v>442</v>
      </c>
      <c r="D678">
        <v>15</v>
      </c>
      <c r="E678">
        <v>65</v>
      </c>
      <c r="F678">
        <f t="shared" si="40"/>
        <v>-2.1195907362160695</v>
      </c>
      <c r="G678">
        <f t="shared" si="41"/>
        <v>-1.5196561221229927</v>
      </c>
      <c r="I678">
        <f t="shared" si="43"/>
        <v>-1.819623429169531</v>
      </c>
    </row>
    <row r="679" spans="1:9">
      <c r="A679" t="s">
        <v>11</v>
      </c>
      <c r="B679" s="2">
        <f t="shared" si="42"/>
        <v>34</v>
      </c>
      <c r="C679">
        <v>319</v>
      </c>
      <c r="D679">
        <v>8</v>
      </c>
      <c r="E679">
        <v>12</v>
      </c>
      <c r="F679">
        <f t="shared" si="40"/>
        <v>-2.2509604219878963</v>
      </c>
      <c r="G679">
        <f t="shared" si="41"/>
        <v>-2.1117566464263127</v>
      </c>
      <c r="I679">
        <f t="shared" si="43"/>
        <v>-2.1813585342071047</v>
      </c>
    </row>
    <row r="680" spans="1:9">
      <c r="A680" t="s">
        <v>12</v>
      </c>
      <c r="B680" s="2">
        <f t="shared" si="42"/>
        <v>34</v>
      </c>
      <c r="C680">
        <v>169</v>
      </c>
      <c r="D680">
        <v>22</v>
      </c>
      <c r="E680">
        <v>108</v>
      </c>
      <c r="F680">
        <f t="shared" si="40"/>
        <v>-1.5357237497141261</v>
      </c>
      <c r="G680">
        <f t="shared" si="41"/>
        <v>-0.88161015854348024</v>
      </c>
      <c r="I680">
        <f t="shared" si="43"/>
        <v>-1.2086669541288031</v>
      </c>
    </row>
    <row r="681" spans="1:9">
      <c r="A681" t="s">
        <v>9</v>
      </c>
      <c r="B681" s="2">
        <f t="shared" si="42"/>
        <v>34</v>
      </c>
      <c r="C681">
        <v>286</v>
      </c>
      <c r="D681">
        <v>40</v>
      </c>
      <c r="E681">
        <v>73</v>
      </c>
      <c r="F681">
        <f t="shared" si="40"/>
        <v>-1.5045657677237394</v>
      </c>
      <c r="G681">
        <f t="shared" si="41"/>
        <v>-1.2801903824253436</v>
      </c>
      <c r="I681">
        <f t="shared" si="43"/>
        <v>-1.3923780750745416</v>
      </c>
    </row>
    <row r="682" spans="1:9">
      <c r="A682" t="s">
        <v>13</v>
      </c>
      <c r="B682" s="2">
        <f t="shared" si="42"/>
        <v>34</v>
      </c>
      <c r="C682">
        <v>466</v>
      </c>
      <c r="D682">
        <v>8</v>
      </c>
      <c r="E682">
        <v>43</v>
      </c>
      <c r="F682">
        <f t="shared" si="40"/>
        <v>-2.4155556556207154</v>
      </c>
      <c r="G682">
        <f t="shared" si="41"/>
        <v>-1.7220646705271703</v>
      </c>
      <c r="I682">
        <f t="shared" si="43"/>
        <v>-2.0688101630739428</v>
      </c>
    </row>
    <row r="683" spans="1:9">
      <c r="A683" t="s">
        <v>14</v>
      </c>
      <c r="B683" s="2">
        <f t="shared" si="42"/>
        <v>34</v>
      </c>
      <c r="C683">
        <v>443</v>
      </c>
      <c r="D683">
        <v>36</v>
      </c>
      <c r="E683">
        <v>45</v>
      </c>
      <c r="F683">
        <f t="shared" si="40"/>
        <v>-1.740360951378441</v>
      </c>
      <c r="G683">
        <f t="shared" si="41"/>
        <v>-1.6803384218644823</v>
      </c>
      <c r="I683">
        <f t="shared" si="43"/>
        <v>-1.7103496866214618</v>
      </c>
    </row>
    <row r="684" spans="1:9">
      <c r="A684" t="s">
        <v>15</v>
      </c>
      <c r="B684" s="2">
        <f t="shared" si="42"/>
        <v>34</v>
      </c>
      <c r="C684">
        <v>450</v>
      </c>
      <c r="D684">
        <v>11</v>
      </c>
      <c r="E684">
        <v>56</v>
      </c>
      <c r="F684">
        <f t="shared" si="40"/>
        <v>-2.2620795545397776</v>
      </c>
      <c r="G684">
        <f t="shared" si="41"/>
        <v>-1.5921716961858996</v>
      </c>
      <c r="I684">
        <f t="shared" si="43"/>
        <v>-1.9271256253628386</v>
      </c>
    </row>
    <row r="685" spans="1:9">
      <c r="A685" t="s">
        <v>16</v>
      </c>
      <c r="B685" s="2">
        <f t="shared" si="42"/>
        <v>34</v>
      </c>
      <c r="C685">
        <v>949</v>
      </c>
      <c r="D685">
        <v>6</v>
      </c>
      <c r="E685">
        <v>60</v>
      </c>
      <c r="F685">
        <f t="shared" si="40"/>
        <v>-2.849374687966308</v>
      </c>
      <c r="G685">
        <f t="shared" si="41"/>
        <v>-1.8862621714604053</v>
      </c>
      <c r="I685">
        <f t="shared" si="43"/>
        <v>-2.3678184297133567</v>
      </c>
    </row>
    <row r="686" spans="1:9">
      <c r="A686" t="s">
        <v>17</v>
      </c>
      <c r="B686" s="2">
        <f t="shared" si="42"/>
        <v>34</v>
      </c>
      <c r="C686">
        <v>492</v>
      </c>
      <c r="D686">
        <v>8</v>
      </c>
      <c r="E686">
        <v>32</v>
      </c>
      <c r="F686">
        <f t="shared" si="40"/>
        <v>-2.4391348416980754</v>
      </c>
      <c r="G686">
        <f t="shared" si="41"/>
        <v>-1.8739623338642106</v>
      </c>
      <c r="I686">
        <f t="shared" si="43"/>
        <v>-2.1565485877811428</v>
      </c>
    </row>
    <row r="687" spans="1:9">
      <c r="A687" t="s">
        <v>18</v>
      </c>
      <c r="B687" s="2">
        <f t="shared" si="42"/>
        <v>34</v>
      </c>
      <c r="C687">
        <v>509</v>
      </c>
      <c r="D687">
        <v>4</v>
      </c>
      <c r="E687">
        <v>19</v>
      </c>
      <c r="F687">
        <f t="shared" si="40"/>
        <v>-2.7549175169314548</v>
      </c>
      <c r="G687">
        <f t="shared" si="41"/>
        <v>-2.1151113908006862</v>
      </c>
      <c r="I687">
        <f t="shared" si="43"/>
        <v>-2.4350144538660707</v>
      </c>
    </row>
    <row r="688" spans="1:9">
      <c r="A688" t="s">
        <v>19</v>
      </c>
      <c r="B688" s="2">
        <f t="shared" si="42"/>
        <v>34</v>
      </c>
      <c r="C688">
        <v>468</v>
      </c>
      <c r="D688">
        <v>15</v>
      </c>
      <c r="E688">
        <v>31</v>
      </c>
      <c r="F688">
        <f t="shared" si="40"/>
        <v>-2.1444143199411014</v>
      </c>
      <c r="G688">
        <f t="shared" si="41"/>
        <v>-1.8660313686566079</v>
      </c>
      <c r="I688">
        <f t="shared" si="43"/>
        <v>-2.0052228442988547</v>
      </c>
    </row>
    <row r="689" spans="1:9">
      <c r="A689" t="s">
        <v>20</v>
      </c>
      <c r="B689" s="2">
        <f t="shared" si="42"/>
        <v>34</v>
      </c>
      <c r="C689">
        <v>513</v>
      </c>
      <c r="D689">
        <v>9</v>
      </c>
      <c r="E689">
        <v>50</v>
      </c>
      <c r="F689">
        <f t="shared" si="40"/>
        <v>-2.4061345815951505</v>
      </c>
      <c r="G689">
        <f t="shared" si="41"/>
        <v>-1.6982945701925538</v>
      </c>
      <c r="I689">
        <f t="shared" si="43"/>
        <v>-2.0522145758938519</v>
      </c>
    </row>
    <row r="690" spans="1:9">
      <c r="A690" t="s">
        <v>21</v>
      </c>
      <c r="B690" s="2">
        <f t="shared" si="42"/>
        <v>34</v>
      </c>
      <c r="C690">
        <v>722</v>
      </c>
      <c r="D690">
        <v>146</v>
      </c>
      <c r="E690">
        <v>68</v>
      </c>
      <c r="F690">
        <f t="shared" si="40"/>
        <v>-1.3444440677078608</v>
      </c>
      <c r="G690">
        <f t="shared" si="41"/>
        <v>-1.7131754942801591</v>
      </c>
      <c r="I690">
        <f t="shared" si="43"/>
        <v>-1.52880978099401</v>
      </c>
    </row>
    <row r="691" spans="1:9">
      <c r="A691" t="s">
        <v>22</v>
      </c>
      <c r="B691" s="2">
        <f t="shared" si="42"/>
        <v>34</v>
      </c>
      <c r="C691">
        <v>284</v>
      </c>
      <c r="D691">
        <v>5</v>
      </c>
      <c r="E691">
        <v>15</v>
      </c>
      <c r="F691">
        <f t="shared" si="40"/>
        <v>-2.4046080616336774</v>
      </c>
      <c r="G691">
        <f t="shared" si="41"/>
        <v>-1.964374290408113</v>
      </c>
      <c r="I691">
        <f t="shared" si="43"/>
        <v>-2.1844911760208952</v>
      </c>
    </row>
    <row r="692" spans="1:9">
      <c r="A692" t="s">
        <v>23</v>
      </c>
      <c r="B692" s="2">
        <f t="shared" si="42"/>
        <v>34</v>
      </c>
      <c r="C692">
        <v>598</v>
      </c>
      <c r="D692">
        <v>8</v>
      </c>
      <c r="E692">
        <v>27</v>
      </c>
      <c r="F692">
        <f t="shared" si="40"/>
        <v>-2.5238709229191261</v>
      </c>
      <c r="G692">
        <f t="shared" si="41"/>
        <v>-2.0324846292461798</v>
      </c>
      <c r="I692">
        <f t="shared" si="43"/>
        <v>-2.2781777760826527</v>
      </c>
    </row>
    <row r="693" spans="1:9">
      <c r="A693" t="s">
        <v>24</v>
      </c>
      <c r="B693" s="2">
        <f t="shared" si="42"/>
        <v>34</v>
      </c>
      <c r="C693">
        <v>631</v>
      </c>
      <c r="D693">
        <v>12</v>
      </c>
      <c r="E693">
        <v>30</v>
      </c>
      <c r="F693">
        <f t="shared" si="40"/>
        <v>-2.3711078391191682</v>
      </c>
      <c r="G693">
        <f t="shared" si="41"/>
        <v>-2.0100553139412285</v>
      </c>
      <c r="I693">
        <f t="shared" si="43"/>
        <v>-2.1905815765301986</v>
      </c>
    </row>
    <row r="694" spans="1:9">
      <c r="A694" t="s">
        <v>25</v>
      </c>
      <c r="B694" s="2">
        <f t="shared" si="42"/>
        <v>34</v>
      </c>
      <c r="C694">
        <v>377</v>
      </c>
      <c r="D694">
        <v>46</v>
      </c>
      <c r="E694">
        <v>28</v>
      </c>
      <c r="F694">
        <f t="shared" si="40"/>
        <v>-1.5638432444468777</v>
      </c>
      <c r="G694">
        <f t="shared" si="41"/>
        <v>-1.8163305282803299</v>
      </c>
      <c r="I694">
        <f t="shared" si="43"/>
        <v>-1.6900868863636038</v>
      </c>
    </row>
    <row r="695" spans="1:9">
      <c r="A695" t="s">
        <v>7</v>
      </c>
      <c r="B695" s="2">
        <f t="shared" si="42"/>
        <v>35</v>
      </c>
      <c r="C695">
        <v>350</v>
      </c>
      <c r="D695">
        <v>7</v>
      </c>
      <c r="E695">
        <v>51</v>
      </c>
      <c r="F695">
        <f t="shared" si="40"/>
        <v>-2.3492297302586778</v>
      </c>
      <c r="G695">
        <f t="shared" si="41"/>
        <v>-1.5236450776690957</v>
      </c>
      <c r="I695">
        <f t="shared" si="43"/>
        <v>-1.9364374039638867</v>
      </c>
    </row>
    <row r="696" spans="1:9">
      <c r="A696" t="s">
        <v>8</v>
      </c>
      <c r="B696" s="2">
        <f t="shared" si="42"/>
        <v>35</v>
      </c>
      <c r="C696">
        <v>661</v>
      </c>
      <c r="D696">
        <v>10</v>
      </c>
      <c r="E696">
        <v>39</v>
      </c>
      <c r="F696">
        <f t="shared" si="40"/>
        <v>-2.4704611854082987</v>
      </c>
      <c r="G696">
        <f t="shared" si="41"/>
        <v>-1.9162840618758974</v>
      </c>
      <c r="I696">
        <f t="shared" si="43"/>
        <v>-2.1933726236420981</v>
      </c>
    </row>
    <row r="697" spans="1:9">
      <c r="A697" t="s">
        <v>5</v>
      </c>
      <c r="B697" s="2">
        <f t="shared" si="42"/>
        <v>35</v>
      </c>
      <c r="C697">
        <v>211</v>
      </c>
      <c r="D697">
        <v>43</v>
      </c>
      <c r="E697">
        <v>636</v>
      </c>
      <c r="F697">
        <f t="shared" si="40"/>
        <v>-1.341073725640765</v>
      </c>
      <c r="G697">
        <f t="shared" si="41"/>
        <v>-0.20797254906603524</v>
      </c>
      <c r="I697">
        <f t="shared" si="43"/>
        <v>-0.77452313735340006</v>
      </c>
    </row>
    <row r="698" spans="1:9">
      <c r="A698" t="s">
        <v>6</v>
      </c>
      <c r="B698" s="2">
        <f t="shared" si="42"/>
        <v>35</v>
      </c>
      <c r="C698">
        <v>632</v>
      </c>
      <c r="D698">
        <v>606</v>
      </c>
      <c r="E698">
        <v>1387</v>
      </c>
      <c r="F698">
        <f t="shared" si="40"/>
        <v>-0.66850418003875756</v>
      </c>
      <c r="G698">
        <f t="shared" si="41"/>
        <v>-0.34578782662585661</v>
      </c>
      <c r="I698">
        <f t="shared" si="43"/>
        <v>-0.50714600333230708</v>
      </c>
    </row>
    <row r="699" spans="1:9">
      <c r="A699" t="s">
        <v>10</v>
      </c>
      <c r="B699" s="2">
        <f t="shared" si="42"/>
        <v>35</v>
      </c>
      <c r="C699">
        <v>707</v>
      </c>
      <c r="D699">
        <v>706</v>
      </c>
      <c r="E699">
        <v>1046</v>
      </c>
      <c r="F699">
        <f t="shared" ref="F699:F762" si="44">LOG10(D699/C699)-LOG10(257761/57671)</f>
        <v>-0.65087443866775441</v>
      </c>
      <c r="G699">
        <f t="shared" ref="G699:G762" si="45">LOG10(E699/C699)-LOG10(280611/57671)</f>
        <v>-0.51703493868240047</v>
      </c>
      <c r="I699">
        <f t="shared" si="43"/>
        <v>-0.58395468867507749</v>
      </c>
    </row>
    <row r="700" spans="1:9">
      <c r="A700" t="s">
        <v>11</v>
      </c>
      <c r="B700" s="2">
        <f t="shared" si="42"/>
        <v>35</v>
      </c>
      <c r="C700">
        <v>621</v>
      </c>
      <c r="D700">
        <v>10</v>
      </c>
      <c r="E700">
        <v>27</v>
      </c>
      <c r="F700">
        <f t="shared" si="44"/>
        <v>-2.443351326099239</v>
      </c>
      <c r="G700">
        <f t="shared" si="45"/>
        <v>-2.0488750454343494</v>
      </c>
      <c r="I700">
        <f t="shared" si="43"/>
        <v>-2.2461131857667942</v>
      </c>
    </row>
    <row r="701" spans="1:9">
      <c r="A701" t="s">
        <v>12</v>
      </c>
      <c r="B701" s="2">
        <f t="shared" si="42"/>
        <v>35</v>
      </c>
      <c r="C701">
        <v>428</v>
      </c>
      <c r="D701">
        <v>132</v>
      </c>
      <c r="E701">
        <v>935</v>
      </c>
      <c r="F701">
        <f t="shared" si="44"/>
        <v>-1.161129563729981</v>
      </c>
      <c r="G701">
        <f t="shared" si="45"/>
        <v>-0.34777936755741068</v>
      </c>
      <c r="I701">
        <f t="shared" si="43"/>
        <v>-0.75445446564369578</v>
      </c>
    </row>
    <row r="702" spans="1:9">
      <c r="A702" t="s">
        <v>9</v>
      </c>
      <c r="B702" s="2">
        <f t="shared" si="42"/>
        <v>35</v>
      </c>
      <c r="C702">
        <v>401</v>
      </c>
      <c r="D702">
        <v>1211</v>
      </c>
      <c r="E702">
        <v>1860</v>
      </c>
      <c r="F702">
        <f t="shared" si="44"/>
        <v>-0.17025995539978883</v>
      </c>
      <c r="G702">
        <f t="shared" si="45"/>
        <v>-2.077863781902245E-2</v>
      </c>
      <c r="I702">
        <f t="shared" si="43"/>
        <v>-9.5519296609405641E-2</v>
      </c>
    </row>
    <row r="703" spans="1:9">
      <c r="A703" t="s">
        <v>13</v>
      </c>
      <c r="B703" s="2">
        <f t="shared" si="42"/>
        <v>35</v>
      </c>
      <c r="C703">
        <v>295</v>
      </c>
      <c r="D703">
        <v>47</v>
      </c>
      <c r="E703">
        <v>103</v>
      </c>
      <c r="F703">
        <f t="shared" si="44"/>
        <v>-1.4479838839651045</v>
      </c>
      <c r="G703">
        <f t="shared" si="45"/>
        <v>-1.1441320006897473</v>
      </c>
      <c r="I703">
        <f t="shared" si="43"/>
        <v>-1.2960579423274259</v>
      </c>
    </row>
    <row r="704" spans="1:9">
      <c r="A704" t="s">
        <v>14</v>
      </c>
      <c r="B704" s="2">
        <f t="shared" si="42"/>
        <v>35</v>
      </c>
      <c r="C704">
        <v>381</v>
      </c>
      <c r="D704">
        <v>121</v>
      </c>
      <c r="E704">
        <v>694</v>
      </c>
      <c r="F704">
        <f t="shared" si="44"/>
        <v>-1.1483993312818279</v>
      </c>
      <c r="G704">
        <f t="shared" si="45"/>
        <v>-0.42671271463752086</v>
      </c>
      <c r="I704">
        <f t="shared" si="43"/>
        <v>-0.78755602295967442</v>
      </c>
    </row>
    <row r="705" spans="1:9">
      <c r="A705" t="s">
        <v>15</v>
      </c>
      <c r="B705" s="2">
        <f t="shared" si="42"/>
        <v>35</v>
      </c>
      <c r="C705">
        <v>22</v>
      </c>
      <c r="D705">
        <v>71</v>
      </c>
      <c r="E705">
        <v>79</v>
      </c>
      <c r="F705">
        <f t="shared" si="44"/>
        <v>-0.14142405802578972</v>
      </c>
      <c r="G705">
        <f t="shared" si="45"/>
        <v>-0.13194279894852123</v>
      </c>
      <c r="I705">
        <f t="shared" si="43"/>
        <v>-0.13668342848715548</v>
      </c>
    </row>
    <row r="706" spans="1:9">
      <c r="A706" t="s">
        <v>16</v>
      </c>
      <c r="B706" s="2">
        <f t="shared" si="42"/>
        <v>35</v>
      </c>
      <c r="C706">
        <v>530</v>
      </c>
      <c r="D706">
        <v>13</v>
      </c>
      <c r="E706">
        <v>46</v>
      </c>
      <c r="F706">
        <f t="shared" si="44"/>
        <v>-2.2605922432166112</v>
      </c>
      <c r="G706">
        <f t="shared" si="45"/>
        <v>-1.7486652473359716</v>
      </c>
      <c r="I706">
        <f t="shared" si="43"/>
        <v>-2.0046287452762916</v>
      </c>
    </row>
    <row r="707" spans="1:9">
      <c r="A707" t="s">
        <v>17</v>
      </c>
      <c r="B707" s="2">
        <f t="shared" ref="B707:B770" si="46">1+INT((ROW()-2)/21)+1</f>
        <v>35</v>
      </c>
      <c r="C707">
        <v>338</v>
      </c>
      <c r="D707">
        <v>36</v>
      </c>
      <c r="E707">
        <v>278</v>
      </c>
      <c r="F707">
        <f t="shared" si="44"/>
        <v>-1.6228739254330262</v>
      </c>
      <c r="G707">
        <f t="shared" si="45"/>
        <v>-0.77201911377633492</v>
      </c>
      <c r="I707">
        <f t="shared" ref="I707:I770" si="47">AVERAGE(F707:G707)</f>
        <v>-1.1974465196046806</v>
      </c>
    </row>
    <row r="708" spans="1:9">
      <c r="A708" t="s">
        <v>18</v>
      </c>
      <c r="B708" s="2">
        <f t="shared" si="46"/>
        <v>35</v>
      </c>
      <c r="C708">
        <v>435</v>
      </c>
      <c r="D708">
        <v>165</v>
      </c>
      <c r="E708">
        <v>631</v>
      </c>
      <c r="F708">
        <f t="shared" si="44"/>
        <v>-1.0712650386633897</v>
      </c>
      <c r="G708">
        <f t="shared" si="45"/>
        <v>-0.52560710712725944</v>
      </c>
      <c r="I708">
        <f t="shared" si="47"/>
        <v>-0.79843607289532459</v>
      </c>
    </row>
    <row r="709" spans="1:9">
      <c r="A709" t="s">
        <v>19</v>
      </c>
      <c r="B709" s="2">
        <f t="shared" si="46"/>
        <v>35</v>
      </c>
      <c r="C709">
        <v>327</v>
      </c>
      <c r="D709">
        <v>4</v>
      </c>
      <c r="E709">
        <v>35</v>
      </c>
      <c r="F709">
        <f t="shared" si="44"/>
        <v>-2.5627474872549825</v>
      </c>
      <c r="G709">
        <f t="shared" si="45"/>
        <v>-1.6576269177267668</v>
      </c>
      <c r="I709">
        <f t="shared" si="47"/>
        <v>-2.1101872024908745</v>
      </c>
    </row>
    <row r="710" spans="1:9">
      <c r="A710" t="s">
        <v>20</v>
      </c>
      <c r="B710" s="2">
        <f t="shared" si="46"/>
        <v>35</v>
      </c>
      <c r="C710">
        <v>219</v>
      </c>
      <c r="D710">
        <v>4</v>
      </c>
      <c r="E710">
        <v>11</v>
      </c>
      <c r="F710">
        <f t="shared" si="44"/>
        <v>-2.388643849434815</v>
      </c>
      <c r="G710">
        <f t="shared" si="45"/>
        <v>-1.9861986390986499</v>
      </c>
      <c r="I710">
        <f t="shared" si="47"/>
        <v>-2.1874212442667327</v>
      </c>
    </row>
    <row r="711" spans="1:9">
      <c r="A711" t="s">
        <v>21</v>
      </c>
      <c r="B711" s="2">
        <f t="shared" si="46"/>
        <v>35</v>
      </c>
      <c r="C711">
        <v>531</v>
      </c>
      <c r="D711">
        <v>128</v>
      </c>
      <c r="E711">
        <v>303</v>
      </c>
      <c r="F711">
        <f t="shared" si="44"/>
        <v>-1.2681442773562597</v>
      </c>
      <c r="G711">
        <f t="shared" si="45"/>
        <v>-0.93079910199592053</v>
      </c>
      <c r="I711">
        <f t="shared" si="47"/>
        <v>-1.0994716896760901</v>
      </c>
    </row>
    <row r="712" spans="1:9">
      <c r="A712" t="s">
        <v>22</v>
      </c>
      <c r="B712" s="2">
        <f t="shared" si="46"/>
        <v>35</v>
      </c>
      <c r="C712">
        <v>396</v>
      </c>
      <c r="D712">
        <v>42</v>
      </c>
      <c r="E712">
        <v>27</v>
      </c>
      <c r="F712">
        <f t="shared" si="44"/>
        <v>-1.6247056214502706</v>
      </c>
      <c r="G712">
        <f t="shared" si="45"/>
        <v>-1.8534786311832816</v>
      </c>
      <c r="I712">
        <f t="shared" si="47"/>
        <v>-1.739092126316776</v>
      </c>
    </row>
    <row r="713" spans="1:9">
      <c r="A713" t="s">
        <v>23</v>
      </c>
      <c r="B713" s="2">
        <f t="shared" si="46"/>
        <v>35</v>
      </c>
      <c r="C713">
        <v>392</v>
      </c>
      <c r="D713">
        <v>46</v>
      </c>
      <c r="E713">
        <v>74</v>
      </c>
      <c r="F713">
        <f t="shared" si="44"/>
        <v>-1.5807879612615419</v>
      </c>
      <c r="G713">
        <f t="shared" si="45"/>
        <v>-1.4112015567062375</v>
      </c>
      <c r="I713">
        <f t="shared" si="47"/>
        <v>-1.4959947589838896</v>
      </c>
    </row>
    <row r="714" spans="1:9">
      <c r="A714" t="s">
        <v>24</v>
      </c>
      <c r="B714" s="2">
        <f t="shared" si="46"/>
        <v>35</v>
      </c>
      <c r="C714">
        <v>534</v>
      </c>
      <c r="D714">
        <v>111</v>
      </c>
      <c r="E714">
        <v>171</v>
      </c>
      <c r="F714">
        <f t="shared" si="44"/>
        <v>-1.3324780041645576</v>
      </c>
      <c r="G714">
        <f t="shared" si="45"/>
        <v>-1.1816923560531589</v>
      </c>
      <c r="I714">
        <f t="shared" si="47"/>
        <v>-1.2570851801088583</v>
      </c>
    </row>
    <row r="715" spans="1:9">
      <c r="A715" t="s">
        <v>25</v>
      </c>
      <c r="B715" s="2">
        <f t="shared" si="46"/>
        <v>35</v>
      </c>
      <c r="C715">
        <v>347</v>
      </c>
      <c r="D715">
        <v>4</v>
      </c>
      <c r="E715">
        <v>17</v>
      </c>
      <c r="F715">
        <f t="shared" si="44"/>
        <v>-2.5885292093855701</v>
      </c>
      <c r="G715">
        <f t="shared" si="45"/>
        <v>-1.9970277628293562</v>
      </c>
      <c r="I715">
        <f t="shared" si="47"/>
        <v>-2.2927784861074629</v>
      </c>
    </row>
    <row r="716" spans="1:9">
      <c r="A716" t="s">
        <v>7</v>
      </c>
      <c r="B716" s="2">
        <f t="shared" si="46"/>
        <v>36</v>
      </c>
      <c r="C716">
        <v>311</v>
      </c>
      <c r="D716">
        <v>7</v>
      </c>
      <c r="E716">
        <v>14</v>
      </c>
      <c r="F716">
        <f t="shared" si="44"/>
        <v>-2.2979220749352391</v>
      </c>
      <c r="G716">
        <f t="shared" si="45"/>
        <v>-2.0337795627653561</v>
      </c>
      <c r="I716">
        <f t="shared" si="47"/>
        <v>-2.1658508188502976</v>
      </c>
    </row>
    <row r="717" spans="1:9">
      <c r="A717" t="s">
        <v>8</v>
      </c>
      <c r="B717" s="2">
        <f t="shared" si="46"/>
        <v>36</v>
      </c>
      <c r="C717">
        <v>306</v>
      </c>
      <c r="D717">
        <v>5</v>
      </c>
      <c r="E717">
        <v>21</v>
      </c>
      <c r="F717">
        <f t="shared" si="44"/>
        <v>-2.4370111480682199</v>
      </c>
      <c r="G717">
        <f t="shared" si="45"/>
        <v>-1.8506493411644169</v>
      </c>
      <c r="I717">
        <f t="shared" si="47"/>
        <v>-2.1438302446163187</v>
      </c>
    </row>
    <row r="718" spans="1:9">
      <c r="A718" t="s">
        <v>5</v>
      </c>
      <c r="B718" s="2">
        <f t="shared" si="46"/>
        <v>36</v>
      </c>
      <c r="C718">
        <v>441</v>
      </c>
      <c r="D718">
        <v>11</v>
      </c>
      <c r="E718">
        <v>22</v>
      </c>
      <c r="F718">
        <f t="shared" si="44"/>
        <v>-2.2533056302322723</v>
      </c>
      <c r="G718">
        <f t="shared" si="45"/>
        <v>-1.9891631180623888</v>
      </c>
      <c r="I718">
        <f t="shared" si="47"/>
        <v>-2.1212343741473303</v>
      </c>
    </row>
    <row r="719" spans="1:9">
      <c r="A719" t="s">
        <v>6</v>
      </c>
      <c r="B719" s="2">
        <f t="shared" si="46"/>
        <v>36</v>
      </c>
      <c r="C719">
        <v>437</v>
      </c>
      <c r="D719">
        <v>24</v>
      </c>
      <c r="E719">
        <v>28</v>
      </c>
      <c r="F719">
        <f t="shared" si="44"/>
        <v>-1.9105299211814746</v>
      </c>
      <c r="G719">
        <f t="shared" si="45"/>
        <v>-1.8804706150449593</v>
      </c>
      <c r="I719">
        <f t="shared" si="47"/>
        <v>-1.8955002681132169</v>
      </c>
    </row>
    <row r="720" spans="1:9">
      <c r="A720" t="s">
        <v>10</v>
      </c>
      <c r="B720" s="2">
        <f t="shared" si="46"/>
        <v>36</v>
      </c>
      <c r="C720">
        <v>394</v>
      </c>
      <c r="D720">
        <v>83</v>
      </c>
      <c r="E720">
        <v>31</v>
      </c>
      <c r="F720">
        <f t="shared" si="44"/>
        <v>-1.326677855372159</v>
      </c>
      <c r="G720">
        <f t="shared" si="45"/>
        <v>-1.7912817374080579</v>
      </c>
      <c r="I720">
        <f t="shared" si="47"/>
        <v>-1.5589797963901084</v>
      </c>
    </row>
    <row r="721" spans="1:9">
      <c r="A721" t="s">
        <v>11</v>
      </c>
      <c r="B721" s="2">
        <f t="shared" si="46"/>
        <v>36</v>
      </c>
      <c r="C721">
        <v>258</v>
      </c>
      <c r="D721">
        <v>5</v>
      </c>
      <c r="E721">
        <v>7</v>
      </c>
      <c r="F721">
        <f t="shared" si="44"/>
        <v>-2.3629094275498703</v>
      </c>
      <c r="G721">
        <f t="shared" si="45"/>
        <v>-2.2536688753657299</v>
      </c>
      <c r="I721">
        <f t="shared" si="47"/>
        <v>-2.3082891514578003</v>
      </c>
    </row>
    <row r="722" spans="1:9">
      <c r="A722" t="s">
        <v>12</v>
      </c>
      <c r="B722" s="2">
        <f t="shared" si="46"/>
        <v>36</v>
      </c>
      <c r="C722">
        <v>574</v>
      </c>
      <c r="D722">
        <v>1115</v>
      </c>
      <c r="E722">
        <v>37</v>
      </c>
      <c r="F722">
        <f t="shared" si="44"/>
        <v>-0.36189675093645285</v>
      </c>
      <c r="G722">
        <f t="shared" si="45"/>
        <v>-1.877857377747735</v>
      </c>
      <c r="I722">
        <f t="shared" si="47"/>
        <v>-1.1198770643420939</v>
      </c>
    </row>
    <row r="723" spans="1:9">
      <c r="A723" t="s">
        <v>9</v>
      </c>
      <c r="B723" s="2">
        <f t="shared" si="46"/>
        <v>36</v>
      </c>
      <c r="C723">
        <v>329</v>
      </c>
      <c r="D723">
        <v>108</v>
      </c>
      <c r="E723">
        <v>71</v>
      </c>
      <c r="F723">
        <f t="shared" si="44"/>
        <v>-1.1340318683856834</v>
      </c>
      <c r="G723">
        <f t="shared" si="45"/>
        <v>-1.3530847586476553</v>
      </c>
      <c r="I723">
        <f t="shared" si="47"/>
        <v>-1.2435583135166692</v>
      </c>
    </row>
    <row r="724" spans="1:9">
      <c r="A724" t="s">
        <v>13</v>
      </c>
      <c r="B724" s="2">
        <f t="shared" si="46"/>
        <v>36</v>
      </c>
      <c r="C724">
        <v>248</v>
      </c>
      <c r="D724">
        <v>5</v>
      </c>
      <c r="E724">
        <v>24</v>
      </c>
      <c r="F724">
        <f t="shared" si="44"/>
        <v>-2.3457414024128562</v>
      </c>
      <c r="G724">
        <f t="shared" si="45"/>
        <v>-1.7013876485313668</v>
      </c>
      <c r="I724">
        <f t="shared" si="47"/>
        <v>-2.0235645254721115</v>
      </c>
    </row>
    <row r="725" spans="1:9">
      <c r="A725" t="s">
        <v>14</v>
      </c>
      <c r="B725" s="2">
        <f t="shared" si="46"/>
        <v>36</v>
      </c>
      <c r="C725">
        <v>242</v>
      </c>
      <c r="D725">
        <v>0</v>
      </c>
      <c r="E725">
        <v>10</v>
      </c>
      <c r="F725" t="e">
        <f t="shared" si="44"/>
        <v>#NUM!</v>
      </c>
      <c r="G725">
        <f t="shared" si="45"/>
        <v>-2.0709625753971879</v>
      </c>
      <c r="I725" t="e">
        <f t="shared" si="47"/>
        <v>#NUM!</v>
      </c>
    </row>
    <row r="726" spans="1:9">
      <c r="A726" t="s">
        <v>15</v>
      </c>
      <c r="B726" s="2">
        <f t="shared" si="46"/>
        <v>36</v>
      </c>
      <c r="C726">
        <v>290</v>
      </c>
      <c r="D726">
        <v>3</v>
      </c>
      <c r="E726">
        <v>10</v>
      </c>
      <c r="F726">
        <f t="shared" si="44"/>
        <v>-2.6355364691019525</v>
      </c>
      <c r="G726">
        <f t="shared" si="45"/>
        <v>-2.1495452073157124</v>
      </c>
      <c r="I726">
        <f t="shared" si="47"/>
        <v>-2.3925408382088325</v>
      </c>
    </row>
    <row r="727" spans="1:9">
      <c r="A727" t="s">
        <v>16</v>
      </c>
      <c r="B727" s="2">
        <f t="shared" si="46"/>
        <v>36</v>
      </c>
      <c r="C727">
        <v>229</v>
      </c>
      <c r="D727">
        <v>1</v>
      </c>
      <c r="E727">
        <v>12</v>
      </c>
      <c r="F727">
        <f t="shared" si="44"/>
        <v>-3.0100952082625465</v>
      </c>
      <c r="G727">
        <f t="shared" si="45"/>
        <v>-1.9678014457090196</v>
      </c>
      <c r="I727">
        <f t="shared" si="47"/>
        <v>-2.4889483269857831</v>
      </c>
    </row>
    <row r="728" spans="1:9">
      <c r="A728" t="s">
        <v>17</v>
      </c>
      <c r="B728" s="2">
        <f t="shared" si="46"/>
        <v>36</v>
      </c>
      <c r="C728">
        <v>565</v>
      </c>
      <c r="D728">
        <v>39128</v>
      </c>
      <c r="E728">
        <v>1590</v>
      </c>
      <c r="F728">
        <f t="shared" si="44"/>
        <v>1.1901794760711286</v>
      </c>
      <c r="G728">
        <f t="shared" si="45"/>
        <v>-0.23779853291574349</v>
      </c>
      <c r="I728">
        <f t="shared" si="47"/>
        <v>0.47619047157769256</v>
      </c>
    </row>
    <row r="729" spans="1:9">
      <c r="A729" t="s">
        <v>18</v>
      </c>
      <c r="B729" s="2">
        <f t="shared" si="46"/>
        <v>36</v>
      </c>
      <c r="C729">
        <v>460</v>
      </c>
      <c r="D729">
        <v>25</v>
      </c>
      <c r="E729">
        <v>30</v>
      </c>
      <c r="F729">
        <f t="shared" si="44"/>
        <v>-1.9150775489321952</v>
      </c>
      <c r="G729">
        <f t="shared" si="45"/>
        <v>-1.872783786378668</v>
      </c>
      <c r="I729">
        <f t="shared" si="47"/>
        <v>-1.8939306676554315</v>
      </c>
    </row>
    <row r="730" spans="1:9">
      <c r="A730" t="s">
        <v>19</v>
      </c>
      <c r="B730" s="2">
        <f t="shared" si="46"/>
        <v>36</v>
      </c>
      <c r="C730">
        <v>294</v>
      </c>
      <c r="D730">
        <v>7</v>
      </c>
      <c r="E730">
        <v>20</v>
      </c>
      <c r="F730">
        <f t="shared" si="44"/>
        <v>-2.2735090163205594</v>
      </c>
      <c r="G730">
        <f t="shared" si="45"/>
        <v>-1.8544645441649323</v>
      </c>
      <c r="I730">
        <f t="shared" si="47"/>
        <v>-2.0639867802427458</v>
      </c>
    </row>
    <row r="731" spans="1:9">
      <c r="A731" t="s">
        <v>20</v>
      </c>
      <c r="B731" s="2">
        <f t="shared" si="46"/>
        <v>36</v>
      </c>
      <c r="C731">
        <v>17</v>
      </c>
      <c r="D731">
        <v>86</v>
      </c>
      <c r="E731">
        <v>88</v>
      </c>
      <c r="F731">
        <f t="shared" si="44"/>
        <v>5.3789803942634995E-2</v>
      </c>
      <c r="G731">
        <f t="shared" si="45"/>
        <v>2.6886541355138238E-2</v>
      </c>
      <c r="I731">
        <f t="shared" si="47"/>
        <v>4.0338172648886617E-2</v>
      </c>
    </row>
    <row r="732" spans="1:9">
      <c r="A732" t="s">
        <v>21</v>
      </c>
      <c r="B732" s="2">
        <f t="shared" si="46"/>
        <v>36</v>
      </c>
      <c r="C732">
        <v>384</v>
      </c>
      <c r="D732">
        <v>32</v>
      </c>
      <c r="E732">
        <v>48</v>
      </c>
      <c r="F732">
        <f t="shared" si="44"/>
        <v>-1.7294409719702837</v>
      </c>
      <c r="G732">
        <f t="shared" si="45"/>
        <v>-1.5902371964087001</v>
      </c>
      <c r="I732">
        <f t="shared" si="47"/>
        <v>-1.6598390841894919</v>
      </c>
    </row>
    <row r="733" spans="1:9">
      <c r="A733" t="s">
        <v>22</v>
      </c>
      <c r="B733" s="2">
        <f t="shared" si="46"/>
        <v>36</v>
      </c>
      <c r="C733">
        <v>309</v>
      </c>
      <c r="D733">
        <v>72</v>
      </c>
      <c r="E733">
        <v>232</v>
      </c>
      <c r="F733">
        <f t="shared" si="44"/>
        <v>-1.2828857089162251</v>
      </c>
      <c r="G733">
        <f t="shared" si="45"/>
        <v>-0.81161770395069144</v>
      </c>
      <c r="I733">
        <f t="shared" si="47"/>
        <v>-1.0472517064334583</v>
      </c>
    </row>
    <row r="734" spans="1:9">
      <c r="A734" t="s">
        <v>23</v>
      </c>
      <c r="B734" s="2">
        <f t="shared" si="46"/>
        <v>36</v>
      </c>
      <c r="C734">
        <v>276</v>
      </c>
      <c r="D734">
        <v>2777</v>
      </c>
      <c r="E734">
        <v>815</v>
      </c>
      <c r="F734">
        <f t="shared" si="44"/>
        <v>0.35240707176238106</v>
      </c>
      <c r="G734">
        <f t="shared" si="45"/>
        <v>-0.21689868274199753</v>
      </c>
      <c r="I734">
        <f t="shared" si="47"/>
        <v>6.7754194510191768E-2</v>
      </c>
    </row>
    <row r="735" spans="1:9">
      <c r="A735" t="s">
        <v>24</v>
      </c>
      <c r="B735" s="2">
        <f t="shared" si="46"/>
        <v>36</v>
      </c>
      <c r="C735">
        <v>553</v>
      </c>
      <c r="D735">
        <v>717</v>
      </c>
      <c r="E735">
        <v>2807</v>
      </c>
      <c r="F735">
        <f t="shared" si="44"/>
        <v>-0.53746570155955697</v>
      </c>
      <c r="G735">
        <f t="shared" si="45"/>
        <v>1.8370071912984454E-2</v>
      </c>
      <c r="I735">
        <f t="shared" si="47"/>
        <v>-0.25954781482328626</v>
      </c>
    </row>
    <row r="736" spans="1:9">
      <c r="A736" t="s">
        <v>25</v>
      </c>
      <c r="B736" s="2">
        <f t="shared" si="46"/>
        <v>36</v>
      </c>
      <c r="C736">
        <v>598</v>
      </c>
      <c r="D736">
        <v>35</v>
      </c>
      <c r="E736">
        <v>73</v>
      </c>
      <c r="F736">
        <f t="shared" si="44"/>
        <v>-1.8828928655607939</v>
      </c>
      <c r="G736">
        <f t="shared" si="45"/>
        <v>-1.6005255332847113</v>
      </c>
      <c r="I736">
        <f t="shared" si="47"/>
        <v>-1.7417091994227527</v>
      </c>
    </row>
    <row r="737" spans="1:9">
      <c r="A737" t="s">
        <v>7</v>
      </c>
      <c r="B737" s="2">
        <f t="shared" si="46"/>
        <v>37</v>
      </c>
      <c r="C737">
        <v>310</v>
      </c>
      <c r="D737">
        <v>19</v>
      </c>
      <c r="E737">
        <v>21</v>
      </c>
      <c r="F737">
        <f t="shared" si="44"/>
        <v>-1.8628678188041026</v>
      </c>
      <c r="G737">
        <f t="shared" si="45"/>
        <v>-1.8562896085171099</v>
      </c>
      <c r="I737">
        <f t="shared" si="47"/>
        <v>-1.8595787136606061</v>
      </c>
    </row>
    <row r="738" spans="1:9">
      <c r="A738" t="s">
        <v>8</v>
      </c>
      <c r="B738" s="2">
        <f t="shared" si="46"/>
        <v>37</v>
      </c>
      <c r="C738">
        <v>411</v>
      </c>
      <c r="D738">
        <v>6</v>
      </c>
      <c r="E738">
        <v>20</v>
      </c>
      <c r="F738">
        <f t="shared" si="44"/>
        <v>-2.4859502974150844</v>
      </c>
      <c r="G738">
        <f t="shared" si="45"/>
        <v>-1.9999590356288444</v>
      </c>
      <c r="I738">
        <f t="shared" si="47"/>
        <v>-2.2429546665219644</v>
      </c>
    </row>
    <row r="739" spans="1:9">
      <c r="A739" t="s">
        <v>5</v>
      </c>
      <c r="B739" s="2">
        <f t="shared" si="46"/>
        <v>37</v>
      </c>
      <c r="C739">
        <v>215</v>
      </c>
      <c r="D739">
        <v>2</v>
      </c>
      <c r="E739">
        <v>5</v>
      </c>
      <c r="F739">
        <f t="shared" si="44"/>
        <v>-2.6816681901742827</v>
      </c>
      <c r="G739">
        <f t="shared" si="45"/>
        <v>-2.320615664996343</v>
      </c>
      <c r="I739">
        <f t="shared" si="47"/>
        <v>-2.5011419275853131</v>
      </c>
    </row>
    <row r="740" spans="1:9">
      <c r="A740" t="s">
        <v>6</v>
      </c>
      <c r="B740" s="2">
        <f t="shared" si="46"/>
        <v>37</v>
      </c>
      <c r="C740">
        <v>416</v>
      </c>
      <c r="D740">
        <v>10</v>
      </c>
      <c r="E740">
        <v>25</v>
      </c>
      <c r="F740">
        <f t="shared" si="44"/>
        <v>-2.2693530565494013</v>
      </c>
      <c r="G740">
        <f t="shared" si="45"/>
        <v>-1.9083005313714616</v>
      </c>
      <c r="I740">
        <f t="shared" si="47"/>
        <v>-2.0888267939604317</v>
      </c>
    </row>
    <row r="741" spans="1:9">
      <c r="A741" t="s">
        <v>10</v>
      </c>
      <c r="B741" s="2">
        <f t="shared" si="46"/>
        <v>37</v>
      </c>
      <c r="C741">
        <v>411</v>
      </c>
      <c r="D741">
        <v>31</v>
      </c>
      <c r="E741">
        <v>21</v>
      </c>
      <c r="F741">
        <f t="shared" si="44"/>
        <v>-1.7727398539644552</v>
      </c>
      <c r="G741">
        <f t="shared" si="45"/>
        <v>-1.9787697365589065</v>
      </c>
      <c r="I741">
        <f t="shared" si="47"/>
        <v>-1.8757547952616809</v>
      </c>
    </row>
    <row r="742" spans="1:9">
      <c r="A742" t="s">
        <v>11</v>
      </c>
      <c r="B742" s="2">
        <f t="shared" si="46"/>
        <v>37</v>
      </c>
      <c r="C742">
        <v>506</v>
      </c>
      <c r="D742">
        <v>3</v>
      </c>
      <c r="E742">
        <v>20</v>
      </c>
      <c r="F742">
        <f t="shared" si="44"/>
        <v>-2.8772889880427952</v>
      </c>
      <c r="G742">
        <f t="shared" si="45"/>
        <v>-2.0902677305925743</v>
      </c>
      <c r="I742">
        <f t="shared" si="47"/>
        <v>-2.483778359317685</v>
      </c>
    </row>
    <row r="743" spans="1:9">
      <c r="A743" t="s">
        <v>12</v>
      </c>
      <c r="B743" s="2">
        <f t="shared" si="46"/>
        <v>37</v>
      </c>
      <c r="C743">
        <v>335</v>
      </c>
      <c r="D743">
        <v>14</v>
      </c>
      <c r="E743">
        <v>9</v>
      </c>
      <c r="F743">
        <f t="shared" si="44"/>
        <v>-2.029176497281266</v>
      </c>
      <c r="G743">
        <f t="shared" si="45"/>
        <v>-2.2579495070142768</v>
      </c>
      <c r="I743">
        <f t="shared" si="47"/>
        <v>-2.1435630021477712</v>
      </c>
    </row>
    <row r="744" spans="1:9">
      <c r="A744" t="s">
        <v>9</v>
      </c>
      <c r="B744" s="2">
        <f t="shared" si="46"/>
        <v>37</v>
      </c>
      <c r="C744">
        <v>338</v>
      </c>
      <c r="D744">
        <v>13</v>
      </c>
      <c r="E744">
        <v>21</v>
      </c>
      <c r="F744">
        <f t="shared" si="44"/>
        <v>-2.0652330738934768</v>
      </c>
      <c r="G744">
        <f t="shared" si="45"/>
        <v>-1.8938446149604919</v>
      </c>
      <c r="I744">
        <f t="shared" si="47"/>
        <v>-1.9795388444269844</v>
      </c>
    </row>
    <row r="745" spans="1:9">
      <c r="A745" t="s">
        <v>13</v>
      </c>
      <c r="B745" s="2">
        <f t="shared" si="46"/>
        <v>37</v>
      </c>
      <c r="C745">
        <v>565</v>
      </c>
      <c r="D745">
        <v>12</v>
      </c>
      <c r="E745">
        <v>138</v>
      </c>
      <c r="F745">
        <f t="shared" si="44"/>
        <v>-2.3231269276944726</v>
      </c>
      <c r="G745">
        <f t="shared" si="45"/>
        <v>-1.2993165708349586</v>
      </c>
      <c r="I745">
        <f t="shared" si="47"/>
        <v>-1.8112217492647156</v>
      </c>
    </row>
    <row r="746" spans="1:9">
      <c r="A746" t="s">
        <v>14</v>
      </c>
      <c r="B746" s="2">
        <f t="shared" si="46"/>
        <v>37</v>
      </c>
      <c r="C746">
        <v>732</v>
      </c>
      <c r="D746">
        <v>6</v>
      </c>
      <c r="E746">
        <v>38</v>
      </c>
      <c r="F746">
        <f t="shared" si="44"/>
        <v>-2.7366195565974074</v>
      </c>
      <c r="G746">
        <f t="shared" si="45"/>
        <v>-1.971874693858338</v>
      </c>
      <c r="I746">
        <f t="shared" si="47"/>
        <v>-2.3542471252278725</v>
      </c>
    </row>
    <row r="747" spans="1:9">
      <c r="A747" t="s">
        <v>15</v>
      </c>
      <c r="B747" s="2">
        <f t="shared" si="46"/>
        <v>37</v>
      </c>
      <c r="C747">
        <v>366</v>
      </c>
      <c r="D747">
        <v>123</v>
      </c>
      <c r="E747">
        <v>185</v>
      </c>
      <c r="F747">
        <f t="shared" si="44"/>
        <v>-1.1238356998776715</v>
      </c>
      <c r="G747">
        <f t="shared" si="45"/>
        <v>-0.98345656640815338</v>
      </c>
      <c r="I747">
        <f t="shared" si="47"/>
        <v>-1.0536461331429123</v>
      </c>
    </row>
    <row r="748" spans="1:9">
      <c r="A748" t="s">
        <v>16</v>
      </c>
      <c r="B748" s="2">
        <f t="shared" si="46"/>
        <v>37</v>
      </c>
      <c r="C748">
        <v>307</v>
      </c>
      <c r="D748">
        <v>6</v>
      </c>
      <c r="E748">
        <v>13</v>
      </c>
      <c r="F748">
        <f t="shared" si="44"/>
        <v>-2.3592468510162017</v>
      </c>
      <c r="G748">
        <f t="shared" si="45"/>
        <v>-2.0603422325871064</v>
      </c>
      <c r="I748">
        <f t="shared" si="47"/>
        <v>-2.2097945418016538</v>
      </c>
    </row>
    <row r="749" spans="1:9">
      <c r="A749" t="s">
        <v>17</v>
      </c>
      <c r="B749" s="2">
        <f t="shared" si="46"/>
        <v>37</v>
      </c>
      <c r="C749">
        <v>364</v>
      </c>
      <c r="D749">
        <v>4</v>
      </c>
      <c r="E749">
        <v>14</v>
      </c>
      <c r="F749">
        <f t="shared" si="44"/>
        <v>-2.6093011182437524</v>
      </c>
      <c r="G749">
        <f t="shared" si="45"/>
        <v>-2.1021205573875745</v>
      </c>
      <c r="I749">
        <f t="shared" si="47"/>
        <v>-2.3557108378156633</v>
      </c>
    </row>
    <row r="750" spans="1:9">
      <c r="A750" t="s">
        <v>18</v>
      </c>
      <c r="B750" s="2">
        <f t="shared" si="46"/>
        <v>37</v>
      </c>
      <c r="C750">
        <v>365</v>
      </c>
      <c r="D750">
        <v>222</v>
      </c>
      <c r="E750">
        <v>492</v>
      </c>
      <c r="F750">
        <f t="shared" si="44"/>
        <v>-0.86619961592849481</v>
      </c>
      <c r="G750">
        <f t="shared" si="45"/>
        <v>-0.55747497110587085</v>
      </c>
      <c r="I750">
        <f t="shared" si="47"/>
        <v>-0.71183729351718283</v>
      </c>
    </row>
    <row r="751" spans="1:9">
      <c r="A751" t="s">
        <v>19</v>
      </c>
      <c r="B751" s="2">
        <f t="shared" si="46"/>
        <v>37</v>
      </c>
      <c r="C751">
        <v>9</v>
      </c>
      <c r="D751">
        <v>9</v>
      </c>
      <c r="E751">
        <v>24</v>
      </c>
      <c r="F751">
        <f t="shared" si="44"/>
        <v>-0.65025972592265879</v>
      </c>
      <c r="G751">
        <f t="shared" si="45"/>
        <v>-0.26117847714447534</v>
      </c>
      <c r="I751">
        <f t="shared" si="47"/>
        <v>-0.45571910153356709</v>
      </c>
    </row>
    <row r="752" spans="1:9">
      <c r="A752" t="s">
        <v>20</v>
      </c>
      <c r="B752" s="2">
        <f t="shared" si="46"/>
        <v>37</v>
      </c>
      <c r="C752">
        <v>345</v>
      </c>
      <c r="D752">
        <v>1193</v>
      </c>
      <c r="E752">
        <v>4140</v>
      </c>
      <c r="F752">
        <f t="shared" si="44"/>
        <v>-0.11143837732559103</v>
      </c>
      <c r="G752">
        <f t="shared" si="45"/>
        <v>0.39203403663086844</v>
      </c>
      <c r="I752">
        <f t="shared" si="47"/>
        <v>0.14029782965263871</v>
      </c>
    </row>
    <row r="753" spans="1:9">
      <c r="A753" t="s">
        <v>21</v>
      </c>
      <c r="B753" s="2">
        <f t="shared" si="46"/>
        <v>37</v>
      </c>
      <c r="C753">
        <v>473</v>
      </c>
      <c r="D753">
        <v>65</v>
      </c>
      <c r="E753">
        <v>188</v>
      </c>
      <c r="F753">
        <f t="shared" si="44"/>
        <v>-1.5122075100176149</v>
      </c>
      <c r="G753">
        <f t="shared" si="45"/>
        <v>-1.0878505008908881</v>
      </c>
      <c r="I753">
        <f t="shared" si="47"/>
        <v>-1.3000290054542516</v>
      </c>
    </row>
    <row r="754" spans="1:9">
      <c r="A754" t="s">
        <v>22</v>
      </c>
      <c r="B754" s="2">
        <f t="shared" si="46"/>
        <v>37</v>
      </c>
      <c r="C754">
        <v>244</v>
      </c>
      <c r="D754">
        <v>2</v>
      </c>
      <c r="E754">
        <v>13</v>
      </c>
      <c r="F754">
        <f t="shared" si="44"/>
        <v>-2.7366195565974074</v>
      </c>
      <c r="G754">
        <f t="shared" si="45"/>
        <v>-1.960593683448649</v>
      </c>
      <c r="I754">
        <f t="shared" si="47"/>
        <v>-2.3486066200230282</v>
      </c>
    </row>
    <row r="755" spans="1:9">
      <c r="A755" t="s">
        <v>23</v>
      </c>
      <c r="B755" s="2">
        <f t="shared" si="46"/>
        <v>37</v>
      </c>
      <c r="C755">
        <v>359</v>
      </c>
      <c r="D755">
        <v>141</v>
      </c>
      <c r="E755">
        <v>123</v>
      </c>
      <c r="F755">
        <f t="shared" si="44"/>
        <v>-1.056135061845598</v>
      </c>
      <c r="G755">
        <f t="shared" si="45"/>
        <v>-1.1523365465556776</v>
      </c>
      <c r="I755">
        <f t="shared" si="47"/>
        <v>-1.1042358042006377</v>
      </c>
    </row>
    <row r="756" spans="1:9">
      <c r="A756" t="s">
        <v>24</v>
      </c>
      <c r="B756" s="2">
        <f t="shared" si="46"/>
        <v>37</v>
      </c>
      <c r="C756">
        <v>455</v>
      </c>
      <c r="D756">
        <v>11</v>
      </c>
      <c r="E756">
        <v>23</v>
      </c>
      <c r="F756">
        <f t="shared" si="44"/>
        <v>-2.2668784374215463</v>
      </c>
      <c r="G756">
        <f t="shared" si="45"/>
        <v>-1.9834307700562759</v>
      </c>
      <c r="I756">
        <f t="shared" si="47"/>
        <v>-2.1251546037389111</v>
      </c>
    </row>
    <row r="757" spans="1:9">
      <c r="A757" t="s">
        <v>25</v>
      </c>
      <c r="B757" s="2">
        <f t="shared" si="46"/>
        <v>37</v>
      </c>
      <c r="C757">
        <v>360</v>
      </c>
      <c r="D757">
        <v>0</v>
      </c>
      <c r="E757">
        <v>10</v>
      </c>
      <c r="F757" t="e">
        <f t="shared" si="44"/>
        <v>#NUM!</v>
      </c>
      <c r="G757">
        <f t="shared" si="45"/>
        <v>-2.2434497101840436</v>
      </c>
      <c r="I757" t="e">
        <f t="shared" si="47"/>
        <v>#NUM!</v>
      </c>
    </row>
    <row r="758" spans="1:9">
      <c r="A758" t="s">
        <v>7</v>
      </c>
      <c r="B758" s="2">
        <f t="shared" si="46"/>
        <v>38</v>
      </c>
      <c r="C758">
        <v>473</v>
      </c>
      <c r="D758">
        <v>34</v>
      </c>
      <c r="E758">
        <v>68</v>
      </c>
      <c r="F758">
        <f t="shared" si="44"/>
        <v>-1.7936419496182152</v>
      </c>
      <c r="G758">
        <f t="shared" si="45"/>
        <v>-1.5294994374483317</v>
      </c>
      <c r="I758">
        <f t="shared" si="47"/>
        <v>-1.6615706935332735</v>
      </c>
    </row>
    <row r="759" spans="1:9">
      <c r="A759" t="s">
        <v>8</v>
      </c>
      <c r="B759" s="2">
        <f t="shared" si="46"/>
        <v>38</v>
      </c>
      <c r="C759">
        <v>457</v>
      </c>
      <c r="D759">
        <v>12</v>
      </c>
      <c r="E759">
        <v>48</v>
      </c>
      <c r="F759">
        <f t="shared" si="44"/>
        <v>-2.2309946799448843</v>
      </c>
      <c r="G759">
        <f t="shared" si="45"/>
        <v>-1.6658221721110196</v>
      </c>
      <c r="I759">
        <f t="shared" si="47"/>
        <v>-1.9484084260279519</v>
      </c>
    </row>
    <row r="760" spans="1:9">
      <c r="A760" t="s">
        <v>5</v>
      </c>
      <c r="B760" s="2">
        <f t="shared" si="46"/>
        <v>38</v>
      </c>
      <c r="C760">
        <v>57671</v>
      </c>
      <c r="D760">
        <v>257761</v>
      </c>
      <c r="E760">
        <v>280611</v>
      </c>
      <c r="F760">
        <f t="shared" si="44"/>
        <v>0</v>
      </c>
      <c r="G760">
        <f t="shared" si="45"/>
        <v>0</v>
      </c>
      <c r="I760">
        <f t="shared" si="47"/>
        <v>0</v>
      </c>
    </row>
    <row r="761" spans="1:9">
      <c r="A761" t="s">
        <v>6</v>
      </c>
      <c r="B761" s="2">
        <f t="shared" si="46"/>
        <v>38</v>
      </c>
      <c r="C761">
        <v>1039</v>
      </c>
      <c r="D761">
        <v>1086</v>
      </c>
      <c r="E761">
        <v>6250</v>
      </c>
      <c r="F761">
        <f t="shared" si="44"/>
        <v>-0.63104544822700803</v>
      </c>
      <c r="G761">
        <f t="shared" si="45"/>
        <v>9.2117260370141341E-2</v>
      </c>
      <c r="I761">
        <f t="shared" si="47"/>
        <v>-0.26946409392843335</v>
      </c>
    </row>
    <row r="762" spans="1:9">
      <c r="A762" t="s">
        <v>10</v>
      </c>
      <c r="B762" s="2">
        <f t="shared" si="46"/>
        <v>38</v>
      </c>
      <c r="C762">
        <v>688</v>
      </c>
      <c r="D762">
        <v>1172</v>
      </c>
      <c r="E762">
        <v>278</v>
      </c>
      <c r="F762">
        <f t="shared" si="44"/>
        <v>-0.41892055247609827</v>
      </c>
      <c r="G762">
        <f t="shared" si="45"/>
        <v>-1.0806908517341915</v>
      </c>
      <c r="I762">
        <f t="shared" si="47"/>
        <v>-0.74980570210514497</v>
      </c>
    </row>
    <row r="763" spans="1:9">
      <c r="A763" t="s">
        <v>11</v>
      </c>
      <c r="B763" s="2">
        <f t="shared" si="46"/>
        <v>38</v>
      </c>
      <c r="C763">
        <v>953</v>
      </c>
      <c r="D763">
        <v>15</v>
      </c>
      <c r="E763">
        <v>63</v>
      </c>
      <c r="F763">
        <f t="shared" ref="F763:F826" si="48">LOG10(D763/C763)-LOG10(257761/57671)</f>
        <v>-2.4532613675053039</v>
      </c>
      <c r="G763">
        <f t="shared" ref="G763:G826" si="49">LOG10(E763/C763)-LOG10(280611/57671)</f>
        <v>-1.8668995606015013</v>
      </c>
      <c r="I763">
        <f t="shared" si="47"/>
        <v>-2.1600804640534026</v>
      </c>
    </row>
    <row r="764" spans="1:9">
      <c r="A764" t="s">
        <v>12</v>
      </c>
      <c r="B764" s="2">
        <f t="shared" si="46"/>
        <v>38</v>
      </c>
      <c r="C764">
        <v>552</v>
      </c>
      <c r="D764">
        <v>32</v>
      </c>
      <c r="E764">
        <v>184</v>
      </c>
      <c r="F764">
        <f t="shared" si="48"/>
        <v>-1.8870488253319517</v>
      </c>
      <c r="G764">
        <f t="shared" si="49"/>
        <v>-1.1642684641364189</v>
      </c>
      <c r="I764">
        <f t="shared" si="47"/>
        <v>-1.5256586447341853</v>
      </c>
    </row>
    <row r="765" spans="1:9">
      <c r="A765" t="s">
        <v>9</v>
      </c>
      <c r="B765" s="2">
        <f t="shared" si="46"/>
        <v>38</v>
      </c>
      <c r="C765">
        <v>335</v>
      </c>
      <c r="D765">
        <v>48</v>
      </c>
      <c r="E765">
        <v>64</v>
      </c>
      <c r="F765">
        <f t="shared" si="48"/>
        <v>-1.4940632955839168</v>
      </c>
      <c r="G765">
        <f t="shared" si="49"/>
        <v>-1.4060120424697145</v>
      </c>
      <c r="I765">
        <f t="shared" si="47"/>
        <v>-1.4500376690268157</v>
      </c>
    </row>
    <row r="766" spans="1:9">
      <c r="A766" t="s">
        <v>13</v>
      </c>
      <c r="B766" s="2">
        <f t="shared" si="46"/>
        <v>38</v>
      </c>
      <c r="C766">
        <v>452</v>
      </c>
      <c r="D766">
        <v>8</v>
      </c>
      <c r="E766">
        <v>58</v>
      </c>
      <c r="F766">
        <f t="shared" si="48"/>
        <v>-2.4023081737420973</v>
      </c>
      <c r="G766">
        <f t="shared" si="49"/>
        <v>-1.5788576506652012</v>
      </c>
      <c r="I766">
        <f t="shared" si="47"/>
        <v>-1.9905829122036494</v>
      </c>
    </row>
    <row r="767" spans="1:9">
      <c r="A767" t="s">
        <v>14</v>
      </c>
      <c r="B767" s="2">
        <f t="shared" si="46"/>
        <v>38</v>
      </c>
      <c r="C767">
        <v>539</v>
      </c>
      <c r="D767">
        <v>29</v>
      </c>
      <c r="E767">
        <v>93</v>
      </c>
      <c r="F767">
        <f t="shared" si="48"/>
        <v>-1.9194504932104415</v>
      </c>
      <c r="G767">
        <f t="shared" si="49"/>
        <v>-1.4502530260495599</v>
      </c>
      <c r="I767">
        <f t="shared" si="47"/>
        <v>-1.6848517596300008</v>
      </c>
    </row>
    <row r="768" spans="1:9">
      <c r="A768" t="s">
        <v>15</v>
      </c>
      <c r="B768" s="2">
        <f t="shared" si="46"/>
        <v>38</v>
      </c>
      <c r="C768">
        <v>765</v>
      </c>
      <c r="D768">
        <v>45</v>
      </c>
      <c r="E768">
        <v>312</v>
      </c>
      <c r="F768">
        <f t="shared" si="48"/>
        <v>-1.8807086473009327</v>
      </c>
      <c r="G768">
        <f t="shared" si="49"/>
        <v>-1.0766540505519313</v>
      </c>
      <c r="I768">
        <f t="shared" si="47"/>
        <v>-1.4786813489264321</v>
      </c>
    </row>
    <row r="769" spans="1:9">
      <c r="A769" t="s">
        <v>16</v>
      </c>
      <c r="B769" s="2">
        <f t="shared" si="46"/>
        <v>38</v>
      </c>
      <c r="C769">
        <v>715</v>
      </c>
      <c r="D769">
        <v>15</v>
      </c>
      <c r="E769">
        <v>61</v>
      </c>
      <c r="F769">
        <f t="shared" si="48"/>
        <v>-2.3284745086680578</v>
      </c>
      <c r="G769">
        <f t="shared" si="49"/>
        <v>-1.7561234162070698</v>
      </c>
      <c r="I769">
        <f t="shared" si="47"/>
        <v>-2.042298962437564</v>
      </c>
    </row>
    <row r="770" spans="1:9">
      <c r="A770" t="s">
        <v>17</v>
      </c>
      <c r="B770" s="2">
        <f t="shared" si="46"/>
        <v>38</v>
      </c>
      <c r="C770">
        <v>657</v>
      </c>
      <c r="D770">
        <v>46</v>
      </c>
      <c r="E770">
        <v>93</v>
      </c>
      <c r="F770">
        <f t="shared" si="48"/>
        <v>-1.8050672638008656</v>
      </c>
      <c r="G770">
        <f t="shared" si="49"/>
        <v>-1.5362296304226022</v>
      </c>
      <c r="I770">
        <f t="shared" si="47"/>
        <v>-1.6706484471117338</v>
      </c>
    </row>
    <row r="771" spans="1:9">
      <c r="A771" t="s">
        <v>18</v>
      </c>
      <c r="B771" s="2">
        <f t="shared" ref="B771:B834" si="50">1+INT((ROW()-2)/21)+1</f>
        <v>38</v>
      </c>
      <c r="C771">
        <v>697</v>
      </c>
      <c r="D771">
        <v>10</v>
      </c>
      <c r="E771">
        <v>55</v>
      </c>
      <c r="F771">
        <f t="shared" si="48"/>
        <v>-2.4934925040206681</v>
      </c>
      <c r="G771">
        <f t="shared" si="49"/>
        <v>-1.7900172980205222</v>
      </c>
      <c r="I771">
        <f t="shared" ref="I771:I834" si="51">AVERAGE(F771:G771)</f>
        <v>-2.1417549010205952</v>
      </c>
    </row>
    <row r="772" spans="1:9">
      <c r="A772" t="s">
        <v>19</v>
      </c>
      <c r="B772" s="2">
        <f t="shared" si="50"/>
        <v>38</v>
      </c>
      <c r="C772">
        <v>752</v>
      </c>
      <c r="D772">
        <v>42</v>
      </c>
      <c r="E772">
        <v>51</v>
      </c>
      <c r="F772">
        <f t="shared" si="48"/>
        <v>-1.9032282761164006</v>
      </c>
      <c r="G772">
        <f t="shared" si="49"/>
        <v>-1.8557948739104622</v>
      </c>
      <c r="I772">
        <f t="shared" si="51"/>
        <v>-1.8795115750134315</v>
      </c>
    </row>
    <row r="773" spans="1:9">
      <c r="A773" t="s">
        <v>20</v>
      </c>
      <c r="B773" s="2">
        <f t="shared" si="50"/>
        <v>38</v>
      </c>
      <c r="C773">
        <v>505</v>
      </c>
      <c r="D773">
        <v>68</v>
      </c>
      <c r="E773">
        <v>40</v>
      </c>
      <c r="F773">
        <f t="shared" si="48"/>
        <v>-1.5210421913350838</v>
      </c>
      <c r="G773">
        <f t="shared" si="49"/>
        <v>-1.7883785962074552</v>
      </c>
      <c r="I773">
        <f t="shared" si="51"/>
        <v>-1.6547103937712695</v>
      </c>
    </row>
    <row r="774" spans="1:9">
      <c r="A774" t="s">
        <v>21</v>
      </c>
      <c r="B774" s="2">
        <f t="shared" si="50"/>
        <v>38</v>
      </c>
      <c r="C774">
        <v>1213</v>
      </c>
      <c r="D774">
        <v>654</v>
      </c>
      <c r="E774">
        <v>187</v>
      </c>
      <c r="F774">
        <f t="shared" si="48"/>
        <v>-0.91854277846496446</v>
      </c>
      <c r="G774">
        <f t="shared" si="49"/>
        <v>-1.4991664037468304</v>
      </c>
      <c r="I774">
        <f t="shared" si="51"/>
        <v>-1.2088545911058974</v>
      </c>
    </row>
    <row r="775" spans="1:9">
      <c r="A775" t="s">
        <v>22</v>
      </c>
      <c r="B775" s="2">
        <f t="shared" si="50"/>
        <v>38</v>
      </c>
      <c r="C775">
        <v>202</v>
      </c>
      <c r="D775">
        <v>3</v>
      </c>
      <c r="E775">
        <v>7</v>
      </c>
      <c r="F775">
        <f t="shared" si="48"/>
        <v>-2.4784898406496199</v>
      </c>
      <c r="G775">
        <f t="shared" si="49"/>
        <v>-2.1474005388491233</v>
      </c>
      <c r="I775">
        <f t="shared" si="51"/>
        <v>-2.3129451897493718</v>
      </c>
    </row>
    <row r="776" spans="1:9">
      <c r="A776" t="s">
        <v>23</v>
      </c>
      <c r="B776" s="2">
        <f t="shared" si="50"/>
        <v>38</v>
      </c>
      <c r="C776">
        <v>449</v>
      </c>
      <c r="D776">
        <v>16</v>
      </c>
      <c r="E776">
        <v>32</v>
      </c>
      <c r="F776">
        <f t="shared" si="48"/>
        <v>-2.0983860842700572</v>
      </c>
      <c r="G776">
        <f t="shared" si="49"/>
        <v>-1.8342435721001737</v>
      </c>
      <c r="I776">
        <f t="shared" si="51"/>
        <v>-1.9663148281851155</v>
      </c>
    </row>
    <row r="777" spans="1:9">
      <c r="A777" t="s">
        <v>24</v>
      </c>
      <c r="B777" s="2">
        <f t="shared" si="50"/>
        <v>38</v>
      </c>
      <c r="C777">
        <v>897</v>
      </c>
      <c r="D777">
        <v>51</v>
      </c>
      <c r="E777">
        <v>110</v>
      </c>
      <c r="F777">
        <f t="shared" si="48"/>
        <v>-1.8954819928688145</v>
      </c>
      <c r="G777">
        <f t="shared" si="49"/>
        <v>-1.5985469673026236</v>
      </c>
      <c r="I777">
        <f t="shared" si="51"/>
        <v>-1.747014480085719</v>
      </c>
    </row>
    <row r="778" spans="1:9">
      <c r="A778" t="s">
        <v>25</v>
      </c>
      <c r="B778" s="2">
        <f t="shared" si="50"/>
        <v>38</v>
      </c>
      <c r="C778">
        <v>621</v>
      </c>
      <c r="D778">
        <v>47</v>
      </c>
      <c r="E778">
        <v>108</v>
      </c>
      <c r="F778">
        <f t="shared" si="48"/>
        <v>-1.7712534681635215</v>
      </c>
      <c r="G778">
        <f t="shared" si="49"/>
        <v>-1.4468150541063869</v>
      </c>
      <c r="I778">
        <f t="shared" si="51"/>
        <v>-1.6090342611349542</v>
      </c>
    </row>
    <row r="779" spans="1:9">
      <c r="A779" t="s">
        <v>7</v>
      </c>
      <c r="B779" s="2">
        <f t="shared" si="50"/>
        <v>39</v>
      </c>
      <c r="C779">
        <v>666</v>
      </c>
      <c r="D779">
        <v>16</v>
      </c>
      <c r="E779">
        <v>66</v>
      </c>
      <c r="F779">
        <f t="shared" si="48"/>
        <v>-2.269613972437035</v>
      </c>
      <c r="G779">
        <f t="shared" si="49"/>
        <v>-1.691077503045189</v>
      </c>
      <c r="I779">
        <f t="shared" si="51"/>
        <v>-1.980345737741112</v>
      </c>
    </row>
    <row r="780" spans="1:9">
      <c r="A780" t="s">
        <v>8</v>
      </c>
      <c r="B780" s="2">
        <f t="shared" si="50"/>
        <v>39</v>
      </c>
      <c r="C780">
        <v>831</v>
      </c>
      <c r="D780">
        <v>23</v>
      </c>
      <c r="E780">
        <v>44</v>
      </c>
      <c r="F780">
        <f t="shared" si="48"/>
        <v>-2.2081329136891767</v>
      </c>
      <c r="G780">
        <f t="shared" si="49"/>
        <v>-1.9632955567146801</v>
      </c>
      <c r="I780">
        <f t="shared" si="51"/>
        <v>-2.0857142352019284</v>
      </c>
    </row>
    <row r="781" spans="1:9">
      <c r="A781" t="s">
        <v>5</v>
      </c>
      <c r="B781" s="2">
        <f t="shared" si="50"/>
        <v>39</v>
      </c>
      <c r="C781">
        <v>398</v>
      </c>
      <c r="D781">
        <v>1125</v>
      </c>
      <c r="E781">
        <v>2539</v>
      </c>
      <c r="F781">
        <f t="shared" si="48"/>
        <v>-0.19899027554896537</v>
      </c>
      <c r="G781">
        <f t="shared" si="49"/>
        <v>0.11763241938327795</v>
      </c>
      <c r="I781">
        <f t="shared" si="51"/>
        <v>-4.0678928082843707E-2</v>
      </c>
    </row>
    <row r="782" spans="1:9">
      <c r="A782" t="s">
        <v>6</v>
      </c>
      <c r="B782" s="2">
        <f t="shared" si="50"/>
        <v>39</v>
      </c>
      <c r="C782">
        <v>549</v>
      </c>
      <c r="D782">
        <v>1586</v>
      </c>
      <c r="E782">
        <v>1753</v>
      </c>
      <c r="F782">
        <f t="shared" si="48"/>
        <v>-0.18952888739116569</v>
      </c>
      <c r="G782">
        <f t="shared" si="49"/>
        <v>-0.18293763777305339</v>
      </c>
      <c r="I782">
        <f t="shared" si="51"/>
        <v>-0.18623326258210954</v>
      </c>
    </row>
    <row r="783" spans="1:9">
      <c r="A783" t="s">
        <v>10</v>
      </c>
      <c r="B783" s="2">
        <f t="shared" si="50"/>
        <v>39</v>
      </c>
      <c r="C783">
        <v>434</v>
      </c>
      <c r="D783">
        <v>75</v>
      </c>
      <c r="E783">
        <v>225</v>
      </c>
      <c r="F783">
        <f t="shared" si="48"/>
        <v>-1.4126881920434693</v>
      </c>
      <c r="G783">
        <f t="shared" si="49"/>
        <v>-0.97245442081790467</v>
      </c>
      <c r="I783">
        <f t="shared" si="51"/>
        <v>-1.1925713064306871</v>
      </c>
    </row>
    <row r="784" spans="1:9">
      <c r="A784" t="s">
        <v>11</v>
      </c>
      <c r="B784" s="2">
        <f t="shared" si="50"/>
        <v>39</v>
      </c>
      <c r="C784">
        <v>524</v>
      </c>
      <c r="D784">
        <v>253</v>
      </c>
      <c r="E784">
        <v>83</v>
      </c>
      <c r="F784">
        <f t="shared" si="48"/>
        <v>-0.96647049173056754</v>
      </c>
      <c r="G784">
        <f t="shared" si="49"/>
        <v>-1.4874004040244091</v>
      </c>
      <c r="I784">
        <f t="shared" si="51"/>
        <v>-1.2269354478774883</v>
      </c>
    </row>
    <row r="785" spans="1:9">
      <c r="A785" t="s">
        <v>12</v>
      </c>
      <c r="B785" s="2">
        <f t="shared" si="50"/>
        <v>39</v>
      </c>
      <c r="C785">
        <v>651</v>
      </c>
      <c r="D785">
        <v>4161</v>
      </c>
      <c r="E785">
        <v>1146</v>
      </c>
      <c r="F785">
        <f t="shared" si="48"/>
        <v>0.15535700130209662</v>
      </c>
      <c r="G785">
        <f t="shared" si="49"/>
        <v>-0.44154358035357721</v>
      </c>
      <c r="I785">
        <f t="shared" si="51"/>
        <v>-0.1430932895257403</v>
      </c>
    </row>
    <row r="786" spans="1:9">
      <c r="A786" t="s">
        <v>9</v>
      </c>
      <c r="B786" s="2">
        <f t="shared" si="50"/>
        <v>39</v>
      </c>
      <c r="C786">
        <v>322</v>
      </c>
      <c r="D786">
        <v>283</v>
      </c>
      <c r="E786">
        <v>917</v>
      </c>
      <c r="F786">
        <f t="shared" si="48"/>
        <v>-0.70632916209419938</v>
      </c>
      <c r="G786">
        <f t="shared" si="49"/>
        <v>-0.23263374544256621</v>
      </c>
      <c r="I786">
        <f t="shared" si="51"/>
        <v>-0.46948145376838279</v>
      </c>
    </row>
    <row r="787" spans="1:9">
      <c r="A787" t="s">
        <v>13</v>
      </c>
      <c r="B787" s="2">
        <f t="shared" si="50"/>
        <v>39</v>
      </c>
      <c r="C787">
        <v>404</v>
      </c>
      <c r="D787">
        <v>19</v>
      </c>
      <c r="E787">
        <v>49</v>
      </c>
      <c r="F787">
        <f t="shared" si="48"/>
        <v>-1.9778874900804349</v>
      </c>
      <c r="G787">
        <f t="shared" si="49"/>
        <v>-1.6033324944988476</v>
      </c>
      <c r="I787">
        <f t="shared" si="51"/>
        <v>-1.7906099922896412</v>
      </c>
    </row>
    <row r="788" spans="1:9">
      <c r="A788" t="s">
        <v>14</v>
      </c>
      <c r="B788" s="2">
        <f t="shared" si="50"/>
        <v>39</v>
      </c>
      <c r="C788">
        <v>57671</v>
      </c>
      <c r="D788">
        <v>257761</v>
      </c>
      <c r="E788">
        <v>280611</v>
      </c>
      <c r="F788">
        <f t="shared" si="48"/>
        <v>0</v>
      </c>
      <c r="G788">
        <f t="shared" si="49"/>
        <v>0</v>
      </c>
      <c r="I788">
        <f t="shared" si="51"/>
        <v>0</v>
      </c>
    </row>
    <row r="789" spans="1:9">
      <c r="A789" t="s">
        <v>15</v>
      </c>
      <c r="B789" s="2">
        <f t="shared" si="50"/>
        <v>39</v>
      </c>
      <c r="C789">
        <v>762</v>
      </c>
      <c r="D789">
        <v>4329</v>
      </c>
      <c r="E789">
        <v>1564</v>
      </c>
      <c r="F789">
        <f t="shared" si="48"/>
        <v>0.10417288855089735</v>
      </c>
      <c r="G789">
        <f t="shared" si="49"/>
        <v>-0.37486543203252776</v>
      </c>
      <c r="I789">
        <f t="shared" si="51"/>
        <v>-0.1353462717408152</v>
      </c>
    </row>
    <row r="790" spans="1:9">
      <c r="A790" t="s">
        <v>16</v>
      </c>
      <c r="B790" s="2">
        <f t="shared" si="50"/>
        <v>39</v>
      </c>
      <c r="C790">
        <v>527</v>
      </c>
      <c r="D790">
        <v>18</v>
      </c>
      <c r="E790">
        <v>59</v>
      </c>
      <c r="F790">
        <f t="shared" si="48"/>
        <v>-2.1167978360318993</v>
      </c>
      <c r="G790">
        <f t="shared" si="49"/>
        <v>-1.6381058129871588</v>
      </c>
      <c r="I790">
        <f t="shared" si="51"/>
        <v>-1.8774518245095291</v>
      </c>
    </row>
    <row r="791" spans="1:9">
      <c r="A791" t="s">
        <v>17</v>
      </c>
      <c r="B791" s="2">
        <f t="shared" si="50"/>
        <v>39</v>
      </c>
      <c r="C791">
        <v>679</v>
      </c>
      <c r="D791">
        <v>45</v>
      </c>
      <c r="E791">
        <v>204</v>
      </c>
      <c r="F791">
        <f t="shared" si="48"/>
        <v>-1.8289169864278167</v>
      </c>
      <c r="G791">
        <f t="shared" si="49"/>
        <v>-1.2093868162713592</v>
      </c>
      <c r="I791">
        <f t="shared" si="51"/>
        <v>-1.519151901349588</v>
      </c>
    </row>
    <row r="792" spans="1:9">
      <c r="A792" t="s">
        <v>18</v>
      </c>
      <c r="B792" s="2">
        <f t="shared" si="50"/>
        <v>39</v>
      </c>
      <c r="C792">
        <v>721</v>
      </c>
      <c r="D792">
        <v>49</v>
      </c>
      <c r="E792">
        <v>284</v>
      </c>
      <c r="F792">
        <f t="shared" si="48"/>
        <v>-1.8179989106135741</v>
      </c>
      <c r="G792">
        <f t="shared" si="49"/>
        <v>-1.0917641340891477</v>
      </c>
      <c r="I792">
        <f t="shared" si="51"/>
        <v>-1.4548815223513609</v>
      </c>
    </row>
    <row r="793" spans="1:9">
      <c r="A793" t="s">
        <v>19</v>
      </c>
      <c r="B793" s="2">
        <f t="shared" si="50"/>
        <v>39</v>
      </c>
      <c r="C793">
        <v>648</v>
      </c>
      <c r="D793">
        <v>40</v>
      </c>
      <c r="E793">
        <v>37</v>
      </c>
      <c r="F793">
        <f t="shared" si="48"/>
        <v>-1.8597747404652898</v>
      </c>
      <c r="G793">
        <f t="shared" si="49"/>
        <v>-1.9305204912203546</v>
      </c>
      <c r="I793">
        <f t="shared" si="51"/>
        <v>-1.8951476158428222</v>
      </c>
    </row>
    <row r="794" spans="1:9">
      <c r="A794" t="s">
        <v>20</v>
      </c>
      <c r="B794" s="2">
        <f t="shared" si="50"/>
        <v>39</v>
      </c>
      <c r="C794">
        <v>296</v>
      </c>
      <c r="D794">
        <v>4</v>
      </c>
      <c r="E794">
        <v>11</v>
      </c>
      <c r="F794">
        <f t="shared" si="48"/>
        <v>-2.5194914456536353</v>
      </c>
      <c r="G794">
        <f t="shared" si="49"/>
        <v>-2.1170462353174702</v>
      </c>
      <c r="I794">
        <f t="shared" si="51"/>
        <v>-2.3182688404855529</v>
      </c>
    </row>
    <row r="795" spans="1:9">
      <c r="A795" t="s">
        <v>21</v>
      </c>
      <c r="B795" s="2">
        <f t="shared" si="50"/>
        <v>39</v>
      </c>
      <c r="C795">
        <v>560</v>
      </c>
      <c r="D795">
        <v>20</v>
      </c>
      <c r="E795">
        <v>78</v>
      </c>
      <c r="F795">
        <f t="shared" si="48"/>
        <v>-2.097417757264878</v>
      </c>
      <c r="G795">
        <f t="shared" si="49"/>
        <v>-1.5432406337324764</v>
      </c>
      <c r="I795">
        <f t="shared" si="51"/>
        <v>-1.8203291954986773</v>
      </c>
    </row>
    <row r="796" spans="1:9">
      <c r="A796" t="s">
        <v>22</v>
      </c>
      <c r="B796" s="2">
        <f t="shared" si="50"/>
        <v>39</v>
      </c>
      <c r="C796">
        <v>418</v>
      </c>
      <c r="D796">
        <v>49</v>
      </c>
      <c r="E796">
        <v>46</v>
      </c>
      <c r="F796">
        <f t="shared" si="48"/>
        <v>-1.5812399276691802</v>
      </c>
      <c r="G796">
        <f t="shared" si="49"/>
        <v>-1.6455656595102175</v>
      </c>
      <c r="I796">
        <f t="shared" si="51"/>
        <v>-1.6134027935896988</v>
      </c>
    </row>
    <row r="797" spans="1:9">
      <c r="A797" t="s">
        <v>23</v>
      </c>
      <c r="B797" s="2">
        <f t="shared" si="50"/>
        <v>39</v>
      </c>
      <c r="C797">
        <v>286</v>
      </c>
      <c r="D797">
        <v>82</v>
      </c>
      <c r="E797">
        <v>158</v>
      </c>
      <c r="F797">
        <f t="shared" si="48"/>
        <v>-1.192811906667985</v>
      </c>
      <c r="G797">
        <f t="shared" si="49"/>
        <v>-0.94485615559137681</v>
      </c>
      <c r="I797">
        <f t="shared" si="51"/>
        <v>-1.0688340311296809</v>
      </c>
    </row>
    <row r="798" spans="1:9">
      <c r="A798" t="s">
        <v>24</v>
      </c>
      <c r="B798" s="2">
        <f t="shared" si="50"/>
        <v>39</v>
      </c>
      <c r="C798">
        <v>417</v>
      </c>
      <c r="D798">
        <v>24</v>
      </c>
      <c r="E798">
        <v>84</v>
      </c>
      <c r="F798">
        <f t="shared" si="48"/>
        <v>-1.8901845391848102</v>
      </c>
      <c r="G798">
        <f t="shared" si="49"/>
        <v>-1.3830039783286323</v>
      </c>
      <c r="I798">
        <f t="shared" si="51"/>
        <v>-1.6365942587567213</v>
      </c>
    </row>
    <row r="799" spans="1:9">
      <c r="A799" t="s">
        <v>25</v>
      </c>
      <c r="B799" s="2">
        <f t="shared" si="50"/>
        <v>39</v>
      </c>
      <c r="C799">
        <v>856</v>
      </c>
      <c r="D799">
        <v>40</v>
      </c>
      <c r="E799">
        <v>182</v>
      </c>
      <c r="F799">
        <f t="shared" si="48"/>
        <v>-1.9806734992718495</v>
      </c>
      <c r="G799">
        <f t="shared" si="49"/>
        <v>-1.3595495861088349</v>
      </c>
      <c r="I799">
        <f t="shared" si="51"/>
        <v>-1.6701115426903423</v>
      </c>
    </row>
    <row r="800" spans="1:9">
      <c r="A800" t="s">
        <v>7</v>
      </c>
      <c r="B800" s="2">
        <f t="shared" si="50"/>
        <v>40</v>
      </c>
      <c r="C800">
        <v>245</v>
      </c>
      <c r="D800">
        <v>57</v>
      </c>
      <c r="E800">
        <v>84</v>
      </c>
      <c r="F800">
        <f t="shared" si="48"/>
        <v>-1.2835509546146999</v>
      </c>
      <c r="G800">
        <f t="shared" si="49"/>
        <v>-1.1520340077194073</v>
      </c>
      <c r="I800">
        <f t="shared" si="51"/>
        <v>-1.2177924811670535</v>
      </c>
    </row>
    <row r="801" spans="1:9">
      <c r="A801" t="s">
        <v>8</v>
      </c>
      <c r="B801" s="2">
        <f t="shared" si="50"/>
        <v>40</v>
      </c>
      <c r="C801">
        <v>227</v>
      </c>
      <c r="D801">
        <v>12</v>
      </c>
      <c r="E801">
        <v>17</v>
      </c>
      <c r="F801">
        <f t="shared" si="48"/>
        <v>-1.9271043370681566</v>
      </c>
      <c r="G801">
        <f t="shared" si="49"/>
        <v>-1.8127241452316052</v>
      </c>
      <c r="I801">
        <f t="shared" si="51"/>
        <v>-1.869914241149881</v>
      </c>
    </row>
    <row r="802" spans="1:9">
      <c r="A802" t="s">
        <v>5</v>
      </c>
      <c r="B802" s="2">
        <f t="shared" si="50"/>
        <v>40</v>
      </c>
      <c r="C802">
        <v>473</v>
      </c>
      <c r="D802">
        <v>36</v>
      </c>
      <c r="E802">
        <v>44</v>
      </c>
      <c r="F802">
        <f t="shared" si="48"/>
        <v>-1.7688183658931831</v>
      </c>
      <c r="G802">
        <f t="shared" si="49"/>
        <v>-1.7185556736683805</v>
      </c>
      <c r="I802">
        <f t="shared" si="51"/>
        <v>-1.7436870197807819</v>
      </c>
    </row>
    <row r="803" spans="1:9">
      <c r="A803" t="s">
        <v>6</v>
      </c>
      <c r="B803" s="2">
        <f t="shared" si="50"/>
        <v>40</v>
      </c>
      <c r="C803">
        <v>425</v>
      </c>
      <c r="D803">
        <v>39</v>
      </c>
      <c r="E803">
        <v>61</v>
      </c>
      <c r="F803">
        <f t="shared" si="48"/>
        <v>-1.6875840489464711</v>
      </c>
      <c r="G803">
        <f t="shared" si="49"/>
        <v>-1.530206304456301</v>
      </c>
      <c r="I803">
        <f t="shared" si="51"/>
        <v>-1.6088951767013859</v>
      </c>
    </row>
    <row r="804" spans="1:9">
      <c r="A804" t="s">
        <v>10</v>
      </c>
      <c r="B804" s="2">
        <f t="shared" si="50"/>
        <v>40</v>
      </c>
      <c r="C804">
        <v>500</v>
      </c>
      <c r="D804">
        <v>11</v>
      </c>
      <c r="E804">
        <v>40</v>
      </c>
      <c r="F804">
        <f t="shared" si="48"/>
        <v>-2.3078370451004524</v>
      </c>
      <c r="G804">
        <f t="shared" si="49"/>
        <v>-1.784057222424813</v>
      </c>
      <c r="I804">
        <f t="shared" si="51"/>
        <v>-2.0459471337626329</v>
      </c>
    </row>
    <row r="805" spans="1:9">
      <c r="A805" t="s">
        <v>11</v>
      </c>
      <c r="B805" s="2">
        <f t="shared" si="50"/>
        <v>40</v>
      </c>
      <c r="C805">
        <v>499</v>
      </c>
      <c r="D805">
        <v>30</v>
      </c>
      <c r="E805">
        <v>32</v>
      </c>
      <c r="F805">
        <f t="shared" si="48"/>
        <v>-1.8712390168263864</v>
      </c>
      <c r="G805">
        <f t="shared" si="49"/>
        <v>-1.8800977767202403</v>
      </c>
      <c r="I805">
        <f t="shared" si="51"/>
        <v>-1.8756683967733134</v>
      </c>
    </row>
    <row r="806" spans="1:9">
      <c r="A806" t="s">
        <v>12</v>
      </c>
      <c r="B806" s="2">
        <f t="shared" si="50"/>
        <v>40</v>
      </c>
      <c r="C806">
        <v>416</v>
      </c>
      <c r="D806">
        <v>36</v>
      </c>
      <c r="E806">
        <v>43</v>
      </c>
      <c r="F806">
        <f t="shared" si="48"/>
        <v>-1.7130505557821143</v>
      </c>
      <c r="G806">
        <f t="shared" si="49"/>
        <v>-1.6727720844639127</v>
      </c>
      <c r="I806">
        <f t="shared" si="51"/>
        <v>-1.6929113201230135</v>
      </c>
    </row>
    <row r="807" spans="1:9">
      <c r="A807" t="s">
        <v>9</v>
      </c>
      <c r="B807" s="2">
        <f t="shared" si="50"/>
        <v>40</v>
      </c>
      <c r="C807">
        <v>339</v>
      </c>
      <c r="D807">
        <v>4</v>
      </c>
      <c r="E807">
        <v>35</v>
      </c>
      <c r="F807">
        <f t="shared" si="48"/>
        <v>-2.5783994327977786</v>
      </c>
      <c r="G807">
        <f t="shared" si="49"/>
        <v>-1.673278863269563</v>
      </c>
      <c r="I807">
        <f t="shared" si="51"/>
        <v>-2.1258391480336707</v>
      </c>
    </row>
    <row r="808" spans="1:9">
      <c r="A808" t="s">
        <v>13</v>
      </c>
      <c r="B808" s="2">
        <f t="shared" si="50"/>
        <v>40</v>
      </c>
      <c r="C808">
        <v>372</v>
      </c>
      <c r="D808">
        <v>11</v>
      </c>
      <c r="E808">
        <v>24</v>
      </c>
      <c r="F808">
        <f t="shared" si="48"/>
        <v>-2.179409980646331</v>
      </c>
      <c r="G808">
        <f t="shared" si="49"/>
        <v>-1.8774789075870477</v>
      </c>
      <c r="I808">
        <f t="shared" si="51"/>
        <v>-2.0284444441166896</v>
      </c>
    </row>
    <row r="809" spans="1:9">
      <c r="A809" t="s">
        <v>14</v>
      </c>
      <c r="B809" s="2">
        <f t="shared" si="50"/>
        <v>40</v>
      </c>
      <c r="C809">
        <v>550</v>
      </c>
      <c r="D809">
        <v>140</v>
      </c>
      <c r="E809">
        <v>647</v>
      </c>
      <c r="F809">
        <f t="shared" si="48"/>
        <v>-1.2444943797386645</v>
      </c>
      <c r="G809">
        <f t="shared" si="49"/>
        <v>-0.61660561824229998</v>
      </c>
      <c r="I809">
        <f t="shared" si="51"/>
        <v>-0.93054999899048219</v>
      </c>
    </row>
    <row r="810" spans="1:9">
      <c r="A810" t="s">
        <v>15</v>
      </c>
      <c r="B810" s="2">
        <f t="shared" si="50"/>
        <v>40</v>
      </c>
      <c r="C810">
        <v>479</v>
      </c>
      <c r="D810">
        <v>14</v>
      </c>
      <c r="E810">
        <v>60</v>
      </c>
      <c r="F810">
        <f t="shared" si="48"/>
        <v>-2.1844672036589841</v>
      </c>
      <c r="G810">
        <f t="shared" si="49"/>
        <v>-1.5893314724476761</v>
      </c>
      <c r="I810">
        <f t="shared" si="51"/>
        <v>-1.8868993380533301</v>
      </c>
    </row>
    <row r="811" spans="1:9">
      <c r="A811" t="s">
        <v>16</v>
      </c>
      <c r="B811" s="2">
        <f t="shared" si="50"/>
        <v>40</v>
      </c>
      <c r="C811">
        <v>13</v>
      </c>
      <c r="D811">
        <v>42</v>
      </c>
      <c r="E811">
        <v>65</v>
      </c>
      <c r="F811">
        <f t="shared" si="48"/>
        <v>-0.14095378783159507</v>
      </c>
      <c r="G811">
        <f t="shared" si="49"/>
        <v>1.1822794919262414E-2</v>
      </c>
      <c r="I811">
        <f t="shared" si="51"/>
        <v>-6.4565496456166327E-2</v>
      </c>
    </row>
    <row r="812" spans="1:9">
      <c r="A812" t="s">
        <v>17</v>
      </c>
      <c r="B812" s="2">
        <f t="shared" si="50"/>
        <v>40</v>
      </c>
      <c r="C812">
        <v>381</v>
      </c>
      <c r="D812">
        <v>10</v>
      </c>
      <c r="E812">
        <v>10</v>
      </c>
      <c r="F812">
        <f t="shared" si="48"/>
        <v>-2.231184701598278</v>
      </c>
      <c r="G812">
        <f t="shared" si="49"/>
        <v>-2.2680721850923757</v>
      </c>
      <c r="I812">
        <f t="shared" si="51"/>
        <v>-2.2496284433453271</v>
      </c>
    </row>
    <row r="813" spans="1:9">
      <c r="A813" t="s">
        <v>18</v>
      </c>
      <c r="B813" s="2">
        <f t="shared" si="50"/>
        <v>40</v>
      </c>
      <c r="C813">
        <v>424</v>
      </c>
      <c r="D813">
        <v>8</v>
      </c>
      <c r="E813">
        <v>22</v>
      </c>
      <c r="F813">
        <f t="shared" si="48"/>
        <v>-2.3745355955234482</v>
      </c>
      <c r="G813">
        <f t="shared" si="49"/>
        <v>-1.9720903851872826</v>
      </c>
      <c r="I813">
        <f t="shared" si="51"/>
        <v>-2.1733129903553654</v>
      </c>
    </row>
    <row r="814" spans="1:9">
      <c r="A814" t="s">
        <v>19</v>
      </c>
      <c r="B814" s="2">
        <f t="shared" si="50"/>
        <v>40</v>
      </c>
      <c r="C814">
        <v>285</v>
      </c>
      <c r="D814">
        <v>6</v>
      </c>
      <c r="E814">
        <v>19</v>
      </c>
      <c r="F814">
        <f t="shared" si="48"/>
        <v>-2.3269533355475254</v>
      </c>
      <c r="G814">
        <f t="shared" si="49"/>
        <v>-1.8632384684724377</v>
      </c>
      <c r="I814">
        <f t="shared" si="51"/>
        <v>-2.0950959020099815</v>
      </c>
    </row>
    <row r="815" spans="1:9">
      <c r="A815" t="s">
        <v>20</v>
      </c>
      <c r="B815" s="2">
        <f t="shared" si="50"/>
        <v>40</v>
      </c>
      <c r="C815">
        <v>299</v>
      </c>
      <c r="D815">
        <v>9</v>
      </c>
      <c r="E815">
        <v>17</v>
      </c>
      <c r="F815">
        <f t="shared" si="48"/>
        <v>-2.1716884048077638</v>
      </c>
      <c r="G815">
        <f t="shared" si="49"/>
        <v>-1.9323694763629122</v>
      </c>
      <c r="I815">
        <f t="shared" si="51"/>
        <v>-2.052028940585338</v>
      </c>
    </row>
    <row r="816" spans="1:9">
      <c r="A816" t="s">
        <v>21</v>
      </c>
      <c r="B816" s="2">
        <f t="shared" si="50"/>
        <v>40</v>
      </c>
      <c r="C816">
        <v>465</v>
      </c>
      <c r="D816">
        <v>4</v>
      </c>
      <c r="E816">
        <v>26</v>
      </c>
      <c r="F816">
        <f t="shared" si="48"/>
        <v>-2.7156526874846501</v>
      </c>
      <c r="G816">
        <f t="shared" si="49"/>
        <v>-1.9396268143358926</v>
      </c>
      <c r="I816">
        <f t="shared" si="51"/>
        <v>-2.3276397509102713</v>
      </c>
    </row>
    <row r="817" spans="1:9">
      <c r="A817" t="s">
        <v>22</v>
      </c>
      <c r="B817" s="2">
        <f t="shared" si="50"/>
        <v>40</v>
      </c>
      <c r="C817">
        <v>375</v>
      </c>
      <c r="D817">
        <v>5</v>
      </c>
      <c r="E817">
        <v>32</v>
      </c>
      <c r="F817">
        <f t="shared" si="48"/>
        <v>-2.5253209893143591</v>
      </c>
      <c r="G817">
        <f t="shared" si="49"/>
        <v>-1.7560284988245694</v>
      </c>
      <c r="I817">
        <f t="shared" si="51"/>
        <v>-2.1406747440694645</v>
      </c>
    </row>
    <row r="818" spans="1:9">
      <c r="A818" t="s">
        <v>23</v>
      </c>
      <c r="B818" s="2">
        <f t="shared" si="50"/>
        <v>40</v>
      </c>
      <c r="C818">
        <v>342</v>
      </c>
      <c r="D818">
        <v>22</v>
      </c>
      <c r="E818">
        <v>24</v>
      </c>
      <c r="F818">
        <f t="shared" si="48"/>
        <v>-1.8418631511565877</v>
      </c>
      <c r="G818">
        <f t="shared" si="49"/>
        <v>-1.8409620737612853</v>
      </c>
      <c r="I818">
        <f t="shared" si="51"/>
        <v>-1.8414126124589365</v>
      </c>
    </row>
    <row r="819" spans="1:9">
      <c r="A819" t="s">
        <v>24</v>
      </c>
      <c r="B819" s="2">
        <f t="shared" si="50"/>
        <v>40</v>
      </c>
      <c r="C819">
        <v>343</v>
      </c>
      <c r="D819">
        <v>42</v>
      </c>
      <c r="E819">
        <v>15</v>
      </c>
      <c r="F819">
        <f t="shared" si="48"/>
        <v>-1.5623045555675288</v>
      </c>
      <c r="G819">
        <f t="shared" si="49"/>
        <v>-2.0463500704038458</v>
      </c>
      <c r="I819">
        <f t="shared" si="51"/>
        <v>-1.8043273129856874</v>
      </c>
    </row>
    <row r="820" spans="1:9">
      <c r="A820" t="s">
        <v>25</v>
      </c>
      <c r="B820" s="2">
        <f t="shared" si="50"/>
        <v>40</v>
      </c>
      <c r="C820">
        <v>436</v>
      </c>
      <c r="D820">
        <v>3</v>
      </c>
      <c r="E820">
        <v>39</v>
      </c>
      <c r="F820">
        <f t="shared" si="48"/>
        <v>-2.8126249604715827</v>
      </c>
      <c r="G820">
        <f t="shared" si="49"/>
        <v>-1.7355690916588431</v>
      </c>
      <c r="I820">
        <f t="shared" si="51"/>
        <v>-2.2740970260652129</v>
      </c>
    </row>
    <row r="821" spans="1:9">
      <c r="A821" t="s">
        <v>7</v>
      </c>
      <c r="B821" s="2">
        <f t="shared" si="50"/>
        <v>41</v>
      </c>
      <c r="C821">
        <v>397</v>
      </c>
      <c r="D821">
        <v>7</v>
      </c>
      <c r="E821">
        <v>16</v>
      </c>
      <c r="F821">
        <f t="shared" si="48"/>
        <v>-2.4039521926715173</v>
      </c>
      <c r="G821">
        <f t="shared" si="49"/>
        <v>-2.0818177335239469</v>
      </c>
      <c r="I821">
        <f t="shared" si="51"/>
        <v>-2.2428849630977323</v>
      </c>
    </row>
    <row r="822" spans="1:9">
      <c r="A822" t="s">
        <v>8</v>
      </c>
      <c r="B822" s="2">
        <f t="shared" si="50"/>
        <v>41</v>
      </c>
      <c r="C822">
        <v>307</v>
      </c>
      <c r="D822">
        <v>2</v>
      </c>
      <c r="E822">
        <v>18</v>
      </c>
      <c r="F822">
        <f t="shared" si="48"/>
        <v>-2.8363681057358638</v>
      </c>
      <c r="G822">
        <f t="shared" si="49"/>
        <v>-1.9190130797906368</v>
      </c>
      <c r="I822">
        <f t="shared" si="51"/>
        <v>-2.3776905927632503</v>
      </c>
    </row>
    <row r="823" spans="1:9">
      <c r="A823" t="s">
        <v>5</v>
      </c>
      <c r="B823" s="2">
        <f t="shared" si="50"/>
        <v>41</v>
      </c>
      <c r="C823">
        <v>382</v>
      </c>
      <c r="D823">
        <v>121</v>
      </c>
      <c r="E823">
        <v>53</v>
      </c>
      <c r="F823">
        <f t="shared" si="48"/>
        <v>-1.1495377185179174</v>
      </c>
      <c r="G823">
        <f t="shared" si="49"/>
        <v>-1.5449347027276761</v>
      </c>
      <c r="I823">
        <f t="shared" si="51"/>
        <v>-1.3472362106227966</v>
      </c>
    </row>
    <row r="824" spans="1:9">
      <c r="A824" t="s">
        <v>6</v>
      </c>
      <c r="B824" s="2">
        <f t="shared" si="50"/>
        <v>41</v>
      </c>
      <c r="C824">
        <v>57671</v>
      </c>
      <c r="D824">
        <v>257761</v>
      </c>
      <c r="E824">
        <v>280611</v>
      </c>
      <c r="F824">
        <f t="shared" si="48"/>
        <v>0</v>
      </c>
      <c r="G824">
        <f t="shared" si="49"/>
        <v>0</v>
      </c>
      <c r="I824">
        <f t="shared" si="51"/>
        <v>0</v>
      </c>
    </row>
    <row r="825" spans="1:9">
      <c r="A825" t="s">
        <v>10</v>
      </c>
      <c r="B825" s="2">
        <f t="shared" si="50"/>
        <v>41</v>
      </c>
      <c r="C825">
        <v>213</v>
      </c>
      <c r="D825">
        <v>100</v>
      </c>
      <c r="E825">
        <v>122</v>
      </c>
      <c r="F825">
        <f t="shared" si="48"/>
        <v>-0.97863932936139653</v>
      </c>
      <c r="G825">
        <f t="shared" si="49"/>
        <v>-0.92916698218074589</v>
      </c>
      <c r="I825">
        <f t="shared" si="51"/>
        <v>-0.95390315577107121</v>
      </c>
    </row>
    <row r="826" spans="1:9">
      <c r="A826" t="s">
        <v>11</v>
      </c>
      <c r="B826" s="2">
        <f t="shared" si="50"/>
        <v>41</v>
      </c>
      <c r="C826">
        <v>558</v>
      </c>
      <c r="D826">
        <v>43</v>
      </c>
      <c r="E826">
        <v>43</v>
      </c>
      <c r="F826">
        <f t="shared" si="48"/>
        <v>-1.763425469280651</v>
      </c>
      <c r="G826">
        <f t="shared" si="49"/>
        <v>-1.8003129527747488</v>
      </c>
      <c r="I826">
        <f t="shared" si="51"/>
        <v>-1.7818692110276999</v>
      </c>
    </row>
    <row r="827" spans="1:9">
      <c r="A827" t="s">
        <v>12</v>
      </c>
      <c r="B827" s="2">
        <f t="shared" si="50"/>
        <v>41</v>
      </c>
      <c r="C827">
        <v>422</v>
      </c>
      <c r="D827">
        <v>56</v>
      </c>
      <c r="E827">
        <v>50</v>
      </c>
      <c r="F827">
        <f t="shared" ref="F827:F890" si="52">LOG10(D827/C827)-LOG10(257761/57671)</f>
        <v>-1.5273841498781322</v>
      </c>
      <c r="G827">
        <f t="shared" ref="G827:G890" si="53">LOG10(E827/C827)-LOG10(280611/57671)</f>
        <v>-1.6134896560424115</v>
      </c>
      <c r="I827">
        <f t="shared" si="51"/>
        <v>-1.5704369029602718</v>
      </c>
    </row>
    <row r="828" spans="1:9">
      <c r="A828" t="s">
        <v>9</v>
      </c>
      <c r="B828" s="2">
        <f t="shared" si="50"/>
        <v>41</v>
      </c>
      <c r="C828">
        <v>271</v>
      </c>
      <c r="D828">
        <v>5</v>
      </c>
      <c r="E828">
        <v>24</v>
      </c>
      <c r="F828">
        <f t="shared" si="52"/>
        <v>-2.3842590124610457</v>
      </c>
      <c r="G828">
        <f t="shared" si="53"/>
        <v>-1.7399052585795562</v>
      </c>
      <c r="I828">
        <f t="shared" si="51"/>
        <v>-2.062082135520301</v>
      </c>
    </row>
    <row r="829" spans="1:9">
      <c r="A829" t="s">
        <v>13</v>
      </c>
      <c r="B829" s="2">
        <f t="shared" si="50"/>
        <v>41</v>
      </c>
      <c r="C829">
        <v>758</v>
      </c>
      <c r="D829">
        <v>31</v>
      </c>
      <c r="E829">
        <v>40</v>
      </c>
      <c r="F829">
        <f t="shared" si="52"/>
        <v>-2.0385672377204394</v>
      </c>
      <c r="G829">
        <f t="shared" si="53"/>
        <v>-1.9647564237208477</v>
      </c>
      <c r="I829">
        <f t="shared" si="51"/>
        <v>-2.0016618307206437</v>
      </c>
    </row>
    <row r="830" spans="1:9">
      <c r="A830" t="s">
        <v>14</v>
      </c>
      <c r="B830" s="2">
        <f t="shared" si="50"/>
        <v>41</v>
      </c>
      <c r="C830">
        <v>385</v>
      </c>
      <c r="D830">
        <v>13</v>
      </c>
      <c r="E830">
        <v>20</v>
      </c>
      <c r="F830">
        <f t="shared" si="52"/>
        <v>-2.1217771031243227</v>
      </c>
      <c r="G830">
        <f t="shared" si="53"/>
        <v>-1.9715779432612761</v>
      </c>
      <c r="I830">
        <f t="shared" si="51"/>
        <v>-2.0466775231927992</v>
      </c>
    </row>
    <row r="831" spans="1:9">
      <c r="A831" t="s">
        <v>15</v>
      </c>
      <c r="B831" s="2">
        <f t="shared" si="50"/>
        <v>41</v>
      </c>
      <c r="C831">
        <v>671</v>
      </c>
      <c r="D831">
        <v>5</v>
      </c>
      <c r="E831">
        <v>47</v>
      </c>
      <c r="F831">
        <f t="shared" si="52"/>
        <v>-2.7780122417556319</v>
      </c>
      <c r="G831">
        <f t="shared" si="53"/>
        <v>-1.8417718716500309</v>
      </c>
      <c r="I831">
        <f t="shared" si="51"/>
        <v>-2.3098920567028314</v>
      </c>
    </row>
    <row r="832" spans="1:9">
      <c r="A832" t="s">
        <v>16</v>
      </c>
      <c r="B832" s="2">
        <f t="shared" si="50"/>
        <v>41</v>
      </c>
      <c r="C832">
        <v>405</v>
      </c>
      <c r="D832">
        <v>49</v>
      </c>
      <c r="E832">
        <v>44</v>
      </c>
      <c r="F832">
        <f t="shared" si="52"/>
        <v>-1.5675186691088137</v>
      </c>
      <c r="G832">
        <f t="shared" si="53"/>
        <v>-1.6511495561452376</v>
      </c>
      <c r="I832">
        <f t="shared" si="51"/>
        <v>-1.6093341126270255</v>
      </c>
    </row>
    <row r="833" spans="1:9">
      <c r="A833" t="s">
        <v>17</v>
      </c>
      <c r="B833" s="2">
        <f t="shared" si="50"/>
        <v>41</v>
      </c>
      <c r="C833">
        <v>412</v>
      </c>
      <c r="D833">
        <v>27</v>
      </c>
      <c r="E833">
        <v>44</v>
      </c>
      <c r="F833">
        <f t="shared" si="52"/>
        <v>-1.8337931777968062</v>
      </c>
      <c r="G833">
        <f t="shared" si="53"/>
        <v>-1.6585917489637036</v>
      </c>
      <c r="I833">
        <f t="shared" si="51"/>
        <v>-1.7461924633802548</v>
      </c>
    </row>
    <row r="834" spans="1:9">
      <c r="A834" t="s">
        <v>18</v>
      </c>
      <c r="B834" s="2">
        <f t="shared" si="50"/>
        <v>41</v>
      </c>
      <c r="C834">
        <v>717</v>
      </c>
      <c r="D834">
        <v>125</v>
      </c>
      <c r="E834">
        <v>214</v>
      </c>
      <c r="F834">
        <f t="shared" si="52"/>
        <v>-1.4088688685824025</v>
      </c>
      <c r="G834">
        <f t="shared" si="53"/>
        <v>-1.2122525917353657</v>
      </c>
      <c r="I834">
        <f t="shared" si="51"/>
        <v>-1.3105607301588842</v>
      </c>
    </row>
    <row r="835" spans="1:9">
      <c r="A835" t="s">
        <v>19</v>
      </c>
      <c r="B835" s="2">
        <f t="shared" ref="B835:B898" si="54">1+INT((ROW()-2)/21)+1</f>
        <v>41</v>
      </c>
      <c r="C835">
        <v>534</v>
      </c>
      <c r="D835">
        <v>19</v>
      </c>
      <c r="E835">
        <v>51</v>
      </c>
      <c r="F835">
        <f t="shared" si="52"/>
        <v>-2.0990473819983864</v>
      </c>
      <c r="G835">
        <f t="shared" si="53"/>
        <v>-1.7071182903473767</v>
      </c>
      <c r="I835">
        <f t="shared" ref="I835:I898" si="55">AVERAGE(F835:G835)</f>
        <v>-1.9030828361728815</v>
      </c>
    </row>
    <row r="836" spans="1:9">
      <c r="A836" t="s">
        <v>20</v>
      </c>
      <c r="B836" s="2">
        <f t="shared" si="54"/>
        <v>41</v>
      </c>
      <c r="C836">
        <v>296</v>
      </c>
      <c r="D836">
        <v>4</v>
      </c>
      <c r="E836">
        <v>17</v>
      </c>
      <c r="F836">
        <f t="shared" si="52"/>
        <v>-2.5194914456536353</v>
      </c>
      <c r="G836">
        <f t="shared" si="53"/>
        <v>-1.927989999097421</v>
      </c>
      <c r="I836">
        <f t="shared" si="55"/>
        <v>-2.2237407223755281</v>
      </c>
    </row>
    <row r="837" spans="1:9">
      <c r="A837" t="s">
        <v>21</v>
      </c>
      <c r="B837" s="2">
        <f t="shared" si="54"/>
        <v>41</v>
      </c>
      <c r="C837">
        <v>536</v>
      </c>
      <c r="D837">
        <v>34</v>
      </c>
      <c r="E837">
        <v>44</v>
      </c>
      <c r="F837">
        <f t="shared" si="52"/>
        <v>-1.8479455985731736</v>
      </c>
      <c r="G837">
        <f t="shared" si="53"/>
        <v>-1.7728593226233391</v>
      </c>
      <c r="I837">
        <f t="shared" si="55"/>
        <v>-1.8104024605982563</v>
      </c>
    </row>
    <row r="838" spans="1:9">
      <c r="A838" t="s">
        <v>22</v>
      </c>
      <c r="B838" s="2">
        <f t="shared" si="54"/>
        <v>41</v>
      </c>
      <c r="C838">
        <v>273</v>
      </c>
      <c r="D838">
        <v>5</v>
      </c>
      <c r="E838">
        <v>24</v>
      </c>
      <c r="F838">
        <f t="shared" si="52"/>
        <v>-2.3874523686273958</v>
      </c>
      <c r="G838">
        <f t="shared" si="53"/>
        <v>-1.7430986147459064</v>
      </c>
      <c r="I838">
        <f t="shared" si="55"/>
        <v>-2.0652754916866511</v>
      </c>
    </row>
    <row r="839" spans="1:9">
      <c r="A839" t="s">
        <v>23</v>
      </c>
      <c r="B839" s="2">
        <f t="shared" si="54"/>
        <v>41</v>
      </c>
      <c r="C839">
        <v>435</v>
      </c>
      <c r="D839">
        <v>3</v>
      </c>
      <c r="E839">
        <v>9</v>
      </c>
      <c r="F839">
        <f t="shared" si="52"/>
        <v>-2.8116277281576334</v>
      </c>
      <c r="G839">
        <f t="shared" si="53"/>
        <v>-2.371393956932069</v>
      </c>
      <c r="I839">
        <f t="shared" si="55"/>
        <v>-2.5915108425448512</v>
      </c>
    </row>
    <row r="840" spans="1:9">
      <c r="A840" t="s">
        <v>24</v>
      </c>
      <c r="B840" s="2">
        <f t="shared" si="54"/>
        <v>41</v>
      </c>
      <c r="C840">
        <v>386</v>
      </c>
      <c r="D840">
        <v>36</v>
      </c>
      <c r="E840">
        <v>41</v>
      </c>
      <c r="F840">
        <f t="shared" si="52"/>
        <v>-1.6805445298271264</v>
      </c>
      <c r="G840">
        <f t="shared" si="53"/>
        <v>-1.660950657368776</v>
      </c>
      <c r="I840">
        <f t="shared" si="55"/>
        <v>-1.6707475935979512</v>
      </c>
    </row>
    <row r="841" spans="1:9">
      <c r="A841" t="s">
        <v>25</v>
      </c>
      <c r="B841" s="2">
        <f t="shared" si="54"/>
        <v>41</v>
      </c>
      <c r="C841">
        <v>625</v>
      </c>
      <c r="D841">
        <v>10</v>
      </c>
      <c r="E841">
        <v>41</v>
      </c>
      <c r="F841">
        <f t="shared" si="52"/>
        <v>-2.446139743266734</v>
      </c>
      <c r="G841">
        <f t="shared" si="53"/>
        <v>-1.8702433700410963</v>
      </c>
      <c r="I841">
        <f t="shared" si="55"/>
        <v>-2.1581915566539154</v>
      </c>
    </row>
    <row r="842" spans="1:9">
      <c r="A842" t="s">
        <v>7</v>
      </c>
      <c r="B842" s="2">
        <f t="shared" si="54"/>
        <v>42</v>
      </c>
      <c r="C842">
        <v>455</v>
      </c>
      <c r="D842">
        <v>18</v>
      </c>
      <c r="E842">
        <v>26</v>
      </c>
      <c r="F842">
        <f t="shared" si="52"/>
        <v>-2.0529986174764652</v>
      </c>
      <c r="G842">
        <f t="shared" si="53"/>
        <v>-1.9301852581030507</v>
      </c>
      <c r="I842">
        <f t="shared" si="55"/>
        <v>-1.991591937789758</v>
      </c>
    </row>
    <row r="843" spans="1:9">
      <c r="A843" t="s">
        <v>8</v>
      </c>
      <c r="B843" s="2">
        <f t="shared" si="54"/>
        <v>42</v>
      </c>
      <c r="C843">
        <v>312</v>
      </c>
      <c r="D843">
        <v>1</v>
      </c>
      <c r="E843">
        <v>15</v>
      </c>
      <c r="F843">
        <f t="shared" si="52"/>
        <v>-3.1444143199411014</v>
      </c>
      <c r="G843">
        <f t="shared" si="53"/>
        <v>-2.0052105443795178</v>
      </c>
      <c r="I843">
        <f t="shared" si="55"/>
        <v>-2.5748124321603099</v>
      </c>
    </row>
    <row r="844" spans="1:9">
      <c r="A844" t="s">
        <v>5</v>
      </c>
      <c r="B844" s="2">
        <f t="shared" si="54"/>
        <v>42</v>
      </c>
      <c r="C844">
        <v>296</v>
      </c>
      <c r="D844">
        <v>12</v>
      </c>
      <c r="E844">
        <v>20</v>
      </c>
      <c r="F844">
        <f t="shared" si="52"/>
        <v>-2.0423701909339727</v>
      </c>
      <c r="G844">
        <f t="shared" si="53"/>
        <v>-1.8574089248117138</v>
      </c>
      <c r="I844">
        <f t="shared" si="55"/>
        <v>-1.9498895578728432</v>
      </c>
    </row>
    <row r="845" spans="1:9">
      <c r="A845" t="s">
        <v>6</v>
      </c>
      <c r="B845" s="2">
        <f t="shared" si="54"/>
        <v>42</v>
      </c>
      <c r="C845">
        <v>346</v>
      </c>
      <c r="D845">
        <v>14</v>
      </c>
      <c r="E845">
        <v>25</v>
      </c>
      <c r="F845">
        <f t="shared" si="52"/>
        <v>-2.0432077890371971</v>
      </c>
      <c r="G845">
        <f t="shared" si="53"/>
        <v>-1.8282832995374956</v>
      </c>
      <c r="I845">
        <f t="shared" si="55"/>
        <v>-1.9357455442873464</v>
      </c>
    </row>
    <row r="846" spans="1:9">
      <c r="A846" t="s">
        <v>10</v>
      </c>
      <c r="B846" s="2">
        <f t="shared" si="54"/>
        <v>42</v>
      </c>
      <c r="C846">
        <v>306</v>
      </c>
      <c r="D846">
        <v>15</v>
      </c>
      <c r="E846">
        <v>12</v>
      </c>
      <c r="F846">
        <f t="shared" si="52"/>
        <v>-1.9598898933485576</v>
      </c>
      <c r="G846">
        <f t="shared" si="53"/>
        <v>-2.0936873898507118</v>
      </c>
      <c r="I846">
        <f t="shared" si="55"/>
        <v>-2.0267886415996346</v>
      </c>
    </row>
    <row r="847" spans="1:9">
      <c r="A847" t="s">
        <v>11</v>
      </c>
      <c r="B847" s="2">
        <f t="shared" si="54"/>
        <v>42</v>
      </c>
      <c r="C847">
        <v>309</v>
      </c>
      <c r="D847">
        <v>47</v>
      </c>
      <c r="E847">
        <v>56</v>
      </c>
      <c r="F847">
        <f t="shared" si="52"/>
        <v>-1.4681203474117761</v>
      </c>
      <c r="G847">
        <f t="shared" si="53"/>
        <v>-1.4289176618353907</v>
      </c>
      <c r="I847">
        <f t="shared" si="55"/>
        <v>-1.4485190046235834</v>
      </c>
    </row>
    <row r="848" spans="1:9">
      <c r="A848" t="s">
        <v>12</v>
      </c>
      <c r="B848" s="2">
        <f t="shared" si="54"/>
        <v>42</v>
      </c>
      <c r="C848">
        <v>487</v>
      </c>
      <c r="D848">
        <v>5</v>
      </c>
      <c r="E848">
        <v>27</v>
      </c>
      <c r="F848">
        <f t="shared" si="52"/>
        <v>-2.6388186828012743</v>
      </c>
      <c r="G848">
        <f t="shared" si="53"/>
        <v>-1.9433124064724034</v>
      </c>
      <c r="I848">
        <f t="shared" si="55"/>
        <v>-2.2910655446368389</v>
      </c>
    </row>
    <row r="849" spans="1:9">
      <c r="A849" t="s">
        <v>9</v>
      </c>
      <c r="B849" s="2">
        <f t="shared" si="54"/>
        <v>42</v>
      </c>
      <c r="C849">
        <v>239</v>
      </c>
      <c r="D849">
        <v>10</v>
      </c>
      <c r="E849">
        <v>22</v>
      </c>
      <c r="F849">
        <f t="shared" si="52"/>
        <v>-2.0286576268707965</v>
      </c>
      <c r="G849">
        <f t="shared" si="53"/>
        <v>-1.7231224295426877</v>
      </c>
      <c r="I849">
        <f t="shared" si="55"/>
        <v>-1.8758900282067421</v>
      </c>
    </row>
    <row r="850" spans="1:9">
      <c r="A850" t="s">
        <v>13</v>
      </c>
      <c r="B850" s="2">
        <f t="shared" si="54"/>
        <v>42</v>
      </c>
      <c r="C850">
        <v>202</v>
      </c>
      <c r="D850">
        <v>37</v>
      </c>
      <c r="E850">
        <v>47</v>
      </c>
      <c r="F850">
        <f t="shared" si="52"/>
        <v>-1.3874093713022875</v>
      </c>
      <c r="G850">
        <f t="shared" si="53"/>
        <v>-1.3204007209276627</v>
      </c>
      <c r="I850">
        <f t="shared" si="55"/>
        <v>-1.3539050461149751</v>
      </c>
    </row>
    <row r="851" spans="1:9">
      <c r="A851" t="s">
        <v>14</v>
      </c>
      <c r="B851" s="2">
        <f t="shared" si="54"/>
        <v>42</v>
      </c>
      <c r="C851">
        <v>242</v>
      </c>
      <c r="D851">
        <v>7</v>
      </c>
      <c r="E851">
        <v>26</v>
      </c>
      <c r="F851">
        <f t="shared" si="52"/>
        <v>-2.1889770518888332</v>
      </c>
      <c r="G851">
        <f t="shared" si="53"/>
        <v>-1.6559892274263697</v>
      </c>
      <c r="I851">
        <f t="shared" si="55"/>
        <v>-1.9224831396576014</v>
      </c>
    </row>
    <row r="852" spans="1:9">
      <c r="A852" t="s">
        <v>15</v>
      </c>
      <c r="B852" s="2">
        <f t="shared" si="54"/>
        <v>42</v>
      </c>
      <c r="C852">
        <v>498</v>
      </c>
      <c r="D852">
        <v>28</v>
      </c>
      <c r="E852">
        <v>20</v>
      </c>
      <c r="F852">
        <f t="shared" si="52"/>
        <v>-1.9003310373401572</v>
      </c>
      <c r="G852">
        <f t="shared" si="53"/>
        <v>-2.0833465565124927</v>
      </c>
      <c r="I852">
        <f t="shared" si="55"/>
        <v>-1.9918387969263249</v>
      </c>
    </row>
    <row r="853" spans="1:9">
      <c r="A853" t="s">
        <v>16</v>
      </c>
      <c r="B853" s="2">
        <f t="shared" si="54"/>
        <v>42</v>
      </c>
      <c r="C853">
        <v>309</v>
      </c>
      <c r="D853">
        <v>5</v>
      </c>
      <c r="E853">
        <v>18</v>
      </c>
      <c r="F853">
        <f t="shared" si="52"/>
        <v>-2.4412482010114749</v>
      </c>
      <c r="G853">
        <f t="shared" si="53"/>
        <v>-1.9218331837382849</v>
      </c>
      <c r="I853">
        <f t="shared" si="55"/>
        <v>-2.1815406923748801</v>
      </c>
    </row>
    <row r="854" spans="1:9">
      <c r="A854" t="s">
        <v>17</v>
      </c>
      <c r="B854" s="2">
        <f t="shared" si="54"/>
        <v>42</v>
      </c>
      <c r="C854">
        <v>410</v>
      </c>
      <c r="D854">
        <v>5</v>
      </c>
      <c r="E854">
        <v>22</v>
      </c>
      <c r="F854">
        <f t="shared" si="52"/>
        <v>-2.5640735783063757</v>
      </c>
      <c r="G854">
        <f t="shared" si="53"/>
        <v>-1.9575083853142856</v>
      </c>
      <c r="I854">
        <f t="shared" si="55"/>
        <v>-2.2607909818103309</v>
      </c>
    </row>
    <row r="855" spans="1:9">
      <c r="A855" t="s">
        <v>18</v>
      </c>
      <c r="B855" s="2">
        <f t="shared" si="54"/>
        <v>42</v>
      </c>
      <c r="C855">
        <v>645</v>
      </c>
      <c r="D855">
        <v>503</v>
      </c>
      <c r="E855">
        <v>1414</v>
      </c>
      <c r="F855">
        <f t="shared" si="52"/>
        <v>-0.75825145550199913</v>
      </c>
      <c r="G855">
        <f t="shared" si="53"/>
        <v>-0.34625751459114357</v>
      </c>
      <c r="I855">
        <f t="shared" si="55"/>
        <v>-0.55225448504657138</v>
      </c>
    </row>
    <row r="856" spans="1:9">
      <c r="A856" t="s">
        <v>19</v>
      </c>
      <c r="B856" s="2">
        <f t="shared" si="54"/>
        <v>42</v>
      </c>
      <c r="C856">
        <v>262</v>
      </c>
      <c r="D856">
        <v>52</v>
      </c>
      <c r="E856">
        <v>433</v>
      </c>
      <c r="F856">
        <f t="shared" si="52"/>
        <v>-1.3525576736076053</v>
      </c>
      <c r="G856">
        <f t="shared" si="53"/>
        <v>-0.46896060438313647</v>
      </c>
      <c r="I856">
        <f t="shared" si="55"/>
        <v>-0.91075913899537086</v>
      </c>
    </row>
    <row r="857" spans="1:9">
      <c r="A857" t="s">
        <v>20</v>
      </c>
      <c r="B857" s="2">
        <f t="shared" si="54"/>
        <v>42</v>
      </c>
      <c r="C857">
        <v>57671</v>
      </c>
      <c r="D857">
        <v>257761</v>
      </c>
      <c r="E857">
        <v>280611</v>
      </c>
      <c r="F857">
        <f t="shared" si="52"/>
        <v>0</v>
      </c>
      <c r="G857">
        <f t="shared" si="53"/>
        <v>0</v>
      </c>
      <c r="I857">
        <f t="shared" si="55"/>
        <v>0</v>
      </c>
    </row>
    <row r="858" spans="1:9">
      <c r="A858" t="s">
        <v>21</v>
      </c>
      <c r="B858" s="2">
        <f t="shared" si="54"/>
        <v>42</v>
      </c>
      <c r="C858">
        <v>291</v>
      </c>
      <c r="D858">
        <v>19</v>
      </c>
      <c r="E858">
        <v>20</v>
      </c>
      <c r="F858">
        <f t="shared" si="52"/>
        <v>-1.8353991139557371</v>
      </c>
      <c r="G858">
        <f t="shared" si="53"/>
        <v>-1.8500102027386824</v>
      </c>
      <c r="I858">
        <f t="shared" si="55"/>
        <v>-1.8427046583472098</v>
      </c>
    </row>
    <row r="859" spans="1:9">
      <c r="A859" t="s">
        <v>22</v>
      </c>
      <c r="B859" s="2">
        <f t="shared" si="54"/>
        <v>42</v>
      </c>
      <c r="C859">
        <v>304</v>
      </c>
      <c r="D859">
        <v>5</v>
      </c>
      <c r="E859">
        <v>26</v>
      </c>
      <c r="F859">
        <f t="shared" si="52"/>
        <v>-2.4341633051953937</v>
      </c>
      <c r="G859">
        <f t="shared" si="53"/>
        <v>-1.755047445054692</v>
      </c>
      <c r="I859">
        <f t="shared" si="55"/>
        <v>-2.0946053751250426</v>
      </c>
    </row>
    <row r="860" spans="1:9">
      <c r="A860" t="s">
        <v>23</v>
      </c>
      <c r="B860" s="2">
        <f t="shared" si="54"/>
        <v>42</v>
      </c>
      <c r="C860">
        <v>206</v>
      </c>
      <c r="D860">
        <v>37</v>
      </c>
      <c r="E860">
        <v>38</v>
      </c>
      <c r="F860">
        <f t="shared" si="52"/>
        <v>-1.3959252222248173</v>
      </c>
      <c r="G860">
        <f t="shared" si="53"/>
        <v>-1.4212308331690997</v>
      </c>
      <c r="I860">
        <f t="shared" si="55"/>
        <v>-1.4085780276969584</v>
      </c>
    </row>
    <row r="861" spans="1:9">
      <c r="A861" t="s">
        <v>24</v>
      </c>
      <c r="B861" s="2">
        <f t="shared" si="54"/>
        <v>42</v>
      </c>
      <c r="C861">
        <v>500</v>
      </c>
      <c r="D861">
        <v>42</v>
      </c>
      <c r="E861">
        <v>22</v>
      </c>
      <c r="F861">
        <f t="shared" si="52"/>
        <v>-1.7259804398607772</v>
      </c>
      <c r="G861">
        <f t="shared" si="53"/>
        <v>-2.0436945329305689</v>
      </c>
      <c r="I861">
        <f t="shared" si="55"/>
        <v>-1.8848374863956732</v>
      </c>
    </row>
    <row r="862" spans="1:9">
      <c r="A862" t="s">
        <v>25</v>
      </c>
      <c r="B862" s="2">
        <f t="shared" si="54"/>
        <v>42</v>
      </c>
      <c r="C862">
        <v>503</v>
      </c>
      <c r="D862">
        <v>12</v>
      </c>
      <c r="E862">
        <v>49</v>
      </c>
      <c r="F862">
        <f t="shared" si="52"/>
        <v>-2.2726464649309612</v>
      </c>
      <c r="G862">
        <f t="shared" si="53"/>
        <v>-1.6985191144441703</v>
      </c>
      <c r="I862">
        <f t="shared" si="55"/>
        <v>-1.9855827896875657</v>
      </c>
    </row>
    <row r="863" spans="1:9">
      <c r="A863" t="s">
        <v>7</v>
      </c>
      <c r="B863" s="2">
        <f t="shared" si="54"/>
        <v>43</v>
      </c>
      <c r="C863">
        <v>246</v>
      </c>
      <c r="D863">
        <v>12</v>
      </c>
      <c r="E863">
        <v>15</v>
      </c>
      <c r="F863">
        <f t="shared" si="52"/>
        <v>-1.962013586978413</v>
      </c>
      <c r="G863">
        <f t="shared" si="53"/>
        <v>-1.9019910574644543</v>
      </c>
      <c r="I863">
        <f t="shared" si="55"/>
        <v>-1.9320023222214338</v>
      </c>
    </row>
    <row r="864" spans="1:9">
      <c r="A864" t="s">
        <v>8</v>
      </c>
      <c r="B864" s="2">
        <f t="shared" si="54"/>
        <v>43</v>
      </c>
      <c r="C864">
        <v>327</v>
      </c>
      <c r="D864">
        <v>17</v>
      </c>
      <c r="E864">
        <v>23</v>
      </c>
      <c r="F864">
        <f t="shared" si="52"/>
        <v>-1.9343585572046709</v>
      </c>
      <c r="G864">
        <f t="shared" si="53"/>
        <v>-1.8399671260594497</v>
      </c>
      <c r="I864">
        <f t="shared" si="55"/>
        <v>-1.8871628416320603</v>
      </c>
    </row>
    <row r="865" spans="1:9">
      <c r="A865" t="s">
        <v>5</v>
      </c>
      <c r="B865" s="2">
        <f t="shared" si="54"/>
        <v>43</v>
      </c>
      <c r="C865">
        <v>235</v>
      </c>
      <c r="D865">
        <v>4</v>
      </c>
      <c r="E865">
        <v>13</v>
      </c>
      <c r="F865">
        <f t="shared" si="52"/>
        <v>-2.4192675968664323</v>
      </c>
      <c r="G865">
        <f t="shared" si="53"/>
        <v>-1.9442717193816561</v>
      </c>
      <c r="I865">
        <f t="shared" si="55"/>
        <v>-2.1817696581240442</v>
      </c>
    </row>
    <row r="866" spans="1:9">
      <c r="A866" t="s">
        <v>6</v>
      </c>
      <c r="B866" s="2">
        <f t="shared" si="54"/>
        <v>43</v>
      </c>
      <c r="C866">
        <v>320</v>
      </c>
      <c r="D866">
        <v>3</v>
      </c>
      <c r="E866">
        <v>8</v>
      </c>
      <c r="F866">
        <f t="shared" si="52"/>
        <v>-2.6782884495229027</v>
      </c>
      <c r="G866">
        <f t="shared" si="53"/>
        <v>-2.2892072007447188</v>
      </c>
      <c r="I866">
        <f t="shared" si="55"/>
        <v>-2.4837478251338108</v>
      </c>
    </row>
    <row r="867" spans="1:9">
      <c r="A867" t="s">
        <v>10</v>
      </c>
      <c r="B867" s="2">
        <f t="shared" si="54"/>
        <v>43</v>
      </c>
      <c r="C867">
        <v>592</v>
      </c>
      <c r="D867">
        <v>8</v>
      </c>
      <c r="E867">
        <v>35</v>
      </c>
      <c r="F867">
        <f t="shared" si="52"/>
        <v>-2.5194914456536353</v>
      </c>
      <c r="G867">
        <f t="shared" si="53"/>
        <v>-1.9154008717894007</v>
      </c>
      <c r="I867">
        <f t="shared" si="55"/>
        <v>-2.217446158721518</v>
      </c>
    </row>
    <row r="868" spans="1:9">
      <c r="A868" t="s">
        <v>11</v>
      </c>
      <c r="B868" s="2">
        <f t="shared" si="54"/>
        <v>43</v>
      </c>
      <c r="C868">
        <v>24</v>
      </c>
      <c r="D868">
        <v>127</v>
      </c>
      <c r="E868">
        <v>144</v>
      </c>
      <c r="F868">
        <f t="shared" si="52"/>
        <v>7.333275332169209E-2</v>
      </c>
      <c r="G868">
        <f t="shared" si="53"/>
        <v>9.100404096688719E-2</v>
      </c>
      <c r="I868">
        <f t="shared" si="55"/>
        <v>8.216839714428964E-2</v>
      </c>
    </row>
    <row r="869" spans="1:9">
      <c r="A869" t="s">
        <v>12</v>
      </c>
      <c r="B869" s="2">
        <f t="shared" si="54"/>
        <v>43</v>
      </c>
      <c r="C869">
        <v>238</v>
      </c>
      <c r="D869">
        <v>5</v>
      </c>
      <c r="E869">
        <v>21</v>
      </c>
      <c r="F869">
        <f t="shared" si="52"/>
        <v>-2.3278666786431517</v>
      </c>
      <c r="G869">
        <f t="shared" si="53"/>
        <v>-1.7415048717393491</v>
      </c>
      <c r="I869">
        <f t="shared" si="55"/>
        <v>-2.0346857751912504</v>
      </c>
    </row>
    <row r="870" spans="1:9">
      <c r="A870" t="s">
        <v>9</v>
      </c>
      <c r="B870" s="2">
        <f t="shared" si="54"/>
        <v>43</v>
      </c>
      <c r="C870">
        <v>226</v>
      </c>
      <c r="D870">
        <v>89</v>
      </c>
      <c r="E870">
        <v>15</v>
      </c>
      <c r="F870">
        <f t="shared" si="52"/>
        <v>-1.054978158425147</v>
      </c>
      <c r="G870">
        <f t="shared" si="53"/>
        <v>-1.8651643895084762</v>
      </c>
      <c r="I870">
        <f t="shared" si="55"/>
        <v>-1.4600712739668116</v>
      </c>
    </row>
    <row r="871" spans="1:9">
      <c r="A871" t="s">
        <v>13</v>
      </c>
      <c r="B871" s="2">
        <f t="shared" si="54"/>
        <v>43</v>
      </c>
      <c r="C871">
        <v>320</v>
      </c>
      <c r="D871">
        <v>2</v>
      </c>
      <c r="E871">
        <v>17</v>
      </c>
      <c r="F871">
        <f t="shared" si="52"/>
        <v>-2.8543797085785831</v>
      </c>
      <c r="G871">
        <f t="shared" si="53"/>
        <v>-1.9618482663583885</v>
      </c>
      <c r="I871">
        <f t="shared" si="55"/>
        <v>-2.4081139874684858</v>
      </c>
    </row>
    <row r="872" spans="1:9">
      <c r="A872" t="s">
        <v>14</v>
      </c>
      <c r="B872" s="2">
        <f t="shared" si="54"/>
        <v>43</v>
      </c>
      <c r="C872">
        <v>215</v>
      </c>
      <c r="D872">
        <v>4</v>
      </c>
      <c r="E872">
        <v>7</v>
      </c>
      <c r="F872">
        <f t="shared" si="52"/>
        <v>-2.3806381945103015</v>
      </c>
      <c r="G872">
        <f t="shared" si="53"/>
        <v>-2.1744876293181048</v>
      </c>
      <c r="I872">
        <f t="shared" si="55"/>
        <v>-2.2775629119142033</v>
      </c>
    </row>
    <row r="873" spans="1:9">
      <c r="A873" t="s">
        <v>15</v>
      </c>
      <c r="B873" s="2">
        <f t="shared" si="54"/>
        <v>43</v>
      </c>
      <c r="C873">
        <v>165</v>
      </c>
      <c r="D873">
        <v>4</v>
      </c>
      <c r="E873">
        <v>20</v>
      </c>
      <c r="F873">
        <f t="shared" si="52"/>
        <v>-2.2656836788086028</v>
      </c>
      <c r="G873">
        <f t="shared" si="53"/>
        <v>-1.6036011579666816</v>
      </c>
      <c r="I873">
        <f t="shared" si="55"/>
        <v>-1.9346424183876421</v>
      </c>
    </row>
    <row r="874" spans="1:9">
      <c r="A874" t="s">
        <v>16</v>
      </c>
      <c r="B874" s="2">
        <f t="shared" si="54"/>
        <v>43</v>
      </c>
      <c r="C874">
        <v>586</v>
      </c>
      <c r="D874">
        <v>10</v>
      </c>
      <c r="E874">
        <v>36</v>
      </c>
      <c r="F874">
        <f t="shared" si="52"/>
        <v>-2.4181573419407494</v>
      </c>
      <c r="G874">
        <f t="shared" si="53"/>
        <v>-1.8987423246675599</v>
      </c>
      <c r="I874">
        <f t="shared" si="55"/>
        <v>-2.1584498333041546</v>
      </c>
    </row>
    <row r="875" spans="1:9">
      <c r="A875" t="s">
        <v>17</v>
      </c>
      <c r="B875" s="2">
        <f t="shared" si="54"/>
        <v>43</v>
      </c>
      <c r="C875">
        <v>315</v>
      </c>
      <c r="D875">
        <v>38</v>
      </c>
      <c r="E875">
        <v>28</v>
      </c>
      <c r="F875">
        <f t="shared" si="52"/>
        <v>-1.5687866830954491</v>
      </c>
      <c r="G875">
        <f t="shared" si="53"/>
        <v>-1.7382997318641378</v>
      </c>
      <c r="I875">
        <f t="shared" si="55"/>
        <v>-1.6535432074797933</v>
      </c>
    </row>
    <row r="876" spans="1:9">
      <c r="A876" t="s">
        <v>18</v>
      </c>
      <c r="B876" s="2">
        <f t="shared" si="54"/>
        <v>43</v>
      </c>
      <c r="C876">
        <v>369</v>
      </c>
      <c r="D876">
        <v>24</v>
      </c>
      <c r="E876">
        <v>14</v>
      </c>
      <c r="F876">
        <f t="shared" si="52"/>
        <v>-1.8370748503701131</v>
      </c>
      <c r="G876">
        <f t="shared" si="53"/>
        <v>-2.1080455398975788</v>
      </c>
      <c r="I876">
        <f t="shared" si="55"/>
        <v>-1.9725601951338461</v>
      </c>
    </row>
    <row r="877" spans="1:9">
      <c r="A877" t="s">
        <v>19</v>
      </c>
      <c r="B877" s="2">
        <f t="shared" si="54"/>
        <v>43</v>
      </c>
      <c r="C877">
        <v>330</v>
      </c>
      <c r="D877">
        <v>11</v>
      </c>
      <c r="E877">
        <v>13</v>
      </c>
      <c r="F877">
        <f t="shared" si="52"/>
        <v>-2.1273809806423212</v>
      </c>
      <c r="G877">
        <f t="shared" si="53"/>
        <v>-2.0917177969878074</v>
      </c>
      <c r="I877">
        <f t="shared" si="55"/>
        <v>-2.109549388815064</v>
      </c>
    </row>
    <row r="878" spans="1:9">
      <c r="A878" t="s">
        <v>20</v>
      </c>
      <c r="B878" s="2">
        <f t="shared" si="54"/>
        <v>43</v>
      </c>
      <c r="C878">
        <v>171</v>
      </c>
      <c r="D878">
        <v>1</v>
      </c>
      <c r="E878">
        <v>4</v>
      </c>
      <c r="F878">
        <f t="shared" si="52"/>
        <v>-2.8832558363148131</v>
      </c>
      <c r="G878">
        <f t="shared" si="53"/>
        <v>-2.3180833284809479</v>
      </c>
      <c r="I878">
        <f t="shared" si="55"/>
        <v>-2.6006695823978805</v>
      </c>
    </row>
    <row r="879" spans="1:9">
      <c r="A879" t="s">
        <v>21</v>
      </c>
      <c r="B879" s="2">
        <f t="shared" si="54"/>
        <v>43</v>
      </c>
      <c r="C879">
        <v>365</v>
      </c>
      <c r="D879">
        <v>152</v>
      </c>
      <c r="E879">
        <v>148</v>
      </c>
      <c r="F879">
        <f t="shared" si="52"/>
        <v>-1.030709002434361</v>
      </c>
      <c r="G879">
        <f t="shared" si="53"/>
        <v>-1.0791783584782737</v>
      </c>
      <c r="I879">
        <f t="shared" si="55"/>
        <v>-1.0549436804563173</v>
      </c>
    </row>
    <row r="880" spans="1:9">
      <c r="A880" t="s">
        <v>22</v>
      </c>
      <c r="B880" s="2">
        <f t="shared" si="54"/>
        <v>43</v>
      </c>
      <c r="C880">
        <v>269</v>
      </c>
      <c r="D880">
        <v>5</v>
      </c>
      <c r="E880">
        <v>25</v>
      </c>
      <c r="F880">
        <f t="shared" si="52"/>
        <v>-2.3810420015890479</v>
      </c>
      <c r="G880">
        <f t="shared" si="53"/>
        <v>-1.7189594807471269</v>
      </c>
      <c r="I880">
        <f t="shared" si="55"/>
        <v>-2.0500007411680876</v>
      </c>
    </row>
    <row r="881" spans="1:9">
      <c r="A881" t="s">
        <v>23</v>
      </c>
      <c r="B881" s="2">
        <f t="shared" si="54"/>
        <v>43</v>
      </c>
      <c r="C881">
        <v>244</v>
      </c>
      <c r="D881">
        <v>2</v>
      </c>
      <c r="E881">
        <v>8</v>
      </c>
      <c r="F881">
        <f t="shared" si="52"/>
        <v>-2.7366195565974074</v>
      </c>
      <c r="G881">
        <f t="shared" si="53"/>
        <v>-2.1714470487635422</v>
      </c>
      <c r="I881">
        <f t="shared" si="55"/>
        <v>-2.4540333026804748</v>
      </c>
    </row>
    <row r="882" spans="1:9">
      <c r="A882" t="s">
        <v>24</v>
      </c>
      <c r="B882" s="2">
        <f t="shared" si="54"/>
        <v>43</v>
      </c>
      <c r="C882">
        <v>483</v>
      </c>
      <c r="D882">
        <v>14</v>
      </c>
      <c r="E882">
        <v>35</v>
      </c>
      <c r="F882">
        <f t="shared" si="52"/>
        <v>-2.188078820995933</v>
      </c>
      <c r="G882">
        <f t="shared" si="53"/>
        <v>-1.8270262958179928</v>
      </c>
      <c r="I882">
        <f t="shared" si="55"/>
        <v>-2.0075525584069629</v>
      </c>
    </row>
    <row r="883" spans="1:9">
      <c r="A883" t="s">
        <v>25</v>
      </c>
      <c r="B883" s="2">
        <f t="shared" si="54"/>
        <v>43</v>
      </c>
      <c r="C883">
        <v>399</v>
      </c>
      <c r="D883">
        <v>2</v>
      </c>
      <c r="E883">
        <v>34</v>
      </c>
      <c r="F883">
        <f t="shared" si="52"/>
        <v>-2.9502026259454261</v>
      </c>
      <c r="G883">
        <f t="shared" si="53"/>
        <v>-1.7566411880612494</v>
      </c>
      <c r="I883">
        <f t="shared" si="55"/>
        <v>-2.3534219070033378</v>
      </c>
    </row>
    <row r="884" spans="1:9">
      <c r="A884" t="s">
        <v>7</v>
      </c>
      <c r="B884" s="2">
        <f t="shared" si="54"/>
        <v>44</v>
      </c>
      <c r="C884">
        <v>205</v>
      </c>
      <c r="D884">
        <v>3</v>
      </c>
      <c r="E884">
        <v>9</v>
      </c>
      <c r="F884">
        <f t="shared" si="52"/>
        <v>-2.4848923322587506</v>
      </c>
      <c r="G884">
        <f t="shared" si="53"/>
        <v>-2.0446585610331858</v>
      </c>
      <c r="I884">
        <f t="shared" si="55"/>
        <v>-2.2647754466459684</v>
      </c>
    </row>
    <row r="885" spans="1:9">
      <c r="A885" t="s">
        <v>8</v>
      </c>
      <c r="B885" s="2">
        <f t="shared" si="54"/>
        <v>44</v>
      </c>
      <c r="C885">
        <v>575</v>
      </c>
      <c r="D885">
        <v>48</v>
      </c>
      <c r="E885">
        <v>50</v>
      </c>
      <c r="F885">
        <f t="shared" si="52"/>
        <v>-1.728686333236702</v>
      </c>
      <c r="G885">
        <f t="shared" si="53"/>
        <v>-1.7478450497703681</v>
      </c>
      <c r="I885">
        <f t="shared" si="55"/>
        <v>-1.738265691503535</v>
      </c>
    </row>
    <row r="886" spans="1:9">
      <c r="A886" t="s">
        <v>5</v>
      </c>
      <c r="B886" s="2">
        <f t="shared" si="54"/>
        <v>44</v>
      </c>
      <c r="C886">
        <v>331</v>
      </c>
      <c r="D886">
        <v>24</v>
      </c>
      <c r="E886">
        <v>27</v>
      </c>
      <c r="F886">
        <f t="shared" si="52"/>
        <v>-1.7898764779867715</v>
      </c>
      <c r="G886">
        <f t="shared" si="53"/>
        <v>-1.7756114390334878</v>
      </c>
      <c r="I886">
        <f t="shared" si="55"/>
        <v>-1.7827439585101297</v>
      </c>
    </row>
    <row r="887" spans="1:9">
      <c r="A887" t="s">
        <v>6</v>
      </c>
      <c r="B887" s="2">
        <f t="shared" si="54"/>
        <v>44</v>
      </c>
      <c r="C887">
        <v>268</v>
      </c>
      <c r="D887">
        <v>37</v>
      </c>
      <c r="E887">
        <v>37</v>
      </c>
      <c r="F887">
        <f t="shared" si="52"/>
        <v>-1.5101927958844525</v>
      </c>
      <c r="G887">
        <f t="shared" si="53"/>
        <v>-1.5470802793785503</v>
      </c>
      <c r="I887">
        <f t="shared" si="55"/>
        <v>-1.5286365376315014</v>
      </c>
    </row>
    <row r="888" spans="1:9">
      <c r="A888" t="s">
        <v>10</v>
      </c>
      <c r="B888" s="2">
        <f t="shared" si="54"/>
        <v>44</v>
      </c>
      <c r="C888">
        <v>353</v>
      </c>
      <c r="D888">
        <v>68</v>
      </c>
      <c r="E888">
        <v>42</v>
      </c>
      <c r="F888">
        <f t="shared" si="52"/>
        <v>-1.3655255186042452</v>
      </c>
      <c r="G888">
        <f t="shared" si="53"/>
        <v>-1.6116726244066786</v>
      </c>
      <c r="I888">
        <f t="shared" si="55"/>
        <v>-1.4885990715054618</v>
      </c>
    </row>
    <row r="889" spans="1:9">
      <c r="A889" t="s">
        <v>11</v>
      </c>
      <c r="B889" s="2">
        <f t="shared" si="54"/>
        <v>44</v>
      </c>
      <c r="C889">
        <v>598</v>
      </c>
      <c r="D889">
        <v>9</v>
      </c>
      <c r="E889">
        <v>16</v>
      </c>
      <c r="F889">
        <f t="shared" si="52"/>
        <v>-2.4727184004717451</v>
      </c>
      <c r="G889">
        <f t="shared" si="53"/>
        <v>-2.2597284107492426</v>
      </c>
      <c r="I889">
        <f t="shared" si="55"/>
        <v>-2.3662234056104938</v>
      </c>
    </row>
    <row r="890" spans="1:9">
      <c r="A890" t="s">
        <v>12</v>
      </c>
      <c r="B890" s="2">
        <f t="shared" si="54"/>
        <v>44</v>
      </c>
      <c r="C890">
        <v>335</v>
      </c>
      <c r="D890">
        <v>13</v>
      </c>
      <c r="E890">
        <v>66</v>
      </c>
      <c r="F890">
        <f t="shared" si="52"/>
        <v>-2.0613611806526673</v>
      </c>
      <c r="G890">
        <f t="shared" si="53"/>
        <v>-1.392648080911733</v>
      </c>
      <c r="I890">
        <f t="shared" si="55"/>
        <v>-1.7270046307822002</v>
      </c>
    </row>
    <row r="891" spans="1:9">
      <c r="A891" t="s">
        <v>9</v>
      </c>
      <c r="B891" s="2">
        <f t="shared" si="54"/>
        <v>44</v>
      </c>
      <c r="C891">
        <v>57671</v>
      </c>
      <c r="D891">
        <v>257761</v>
      </c>
      <c r="E891">
        <v>280611</v>
      </c>
      <c r="F891">
        <f t="shared" ref="F891:F954" si="56">LOG10(D891/C891)-LOG10(257761/57671)</f>
        <v>0</v>
      </c>
      <c r="G891">
        <f t="shared" ref="G891:G954" si="57">LOG10(E891/C891)-LOG10(280611/57671)</f>
        <v>0</v>
      </c>
      <c r="I891">
        <f t="shared" si="55"/>
        <v>0</v>
      </c>
    </row>
    <row r="892" spans="1:9">
      <c r="A892" t="s">
        <v>13</v>
      </c>
      <c r="B892" s="2">
        <f t="shared" si="54"/>
        <v>44</v>
      </c>
      <c r="C892">
        <v>309</v>
      </c>
      <c r="D892">
        <v>37</v>
      </c>
      <c r="E892">
        <v>17</v>
      </c>
      <c r="F892">
        <f t="shared" si="56"/>
        <v>-1.5720164812804984</v>
      </c>
      <c r="G892">
        <f t="shared" si="57"/>
        <v>-1.9466567674633173</v>
      </c>
      <c r="I892">
        <f t="shared" si="55"/>
        <v>-1.7593366243719077</v>
      </c>
    </row>
    <row r="893" spans="1:9">
      <c r="A893" t="s">
        <v>14</v>
      </c>
      <c r="B893" s="2">
        <f t="shared" si="54"/>
        <v>44</v>
      </c>
      <c r="C893">
        <v>1092</v>
      </c>
      <c r="D893">
        <v>41</v>
      </c>
      <c r="E893">
        <v>30</v>
      </c>
      <c r="F893">
        <f t="shared" si="56"/>
        <v>-2.0756985075716416</v>
      </c>
      <c r="G893">
        <f t="shared" si="57"/>
        <v>-2.2482485930658123</v>
      </c>
      <c r="I893">
        <f t="shared" si="55"/>
        <v>-2.1619735503187272</v>
      </c>
    </row>
    <row r="894" spans="1:9">
      <c r="A894" t="s">
        <v>15</v>
      </c>
      <c r="B894" s="2">
        <f t="shared" si="54"/>
        <v>44</v>
      </c>
      <c r="C894">
        <v>343</v>
      </c>
      <c r="D894">
        <v>75</v>
      </c>
      <c r="E894">
        <v>94</v>
      </c>
      <c r="F894">
        <f t="shared" si="56"/>
        <v>-1.3104925825737292</v>
      </c>
      <c r="G894">
        <f t="shared" si="57"/>
        <v>-1.2493134758598283</v>
      </c>
      <c r="I894">
        <f t="shared" si="55"/>
        <v>-1.2799030292167788</v>
      </c>
    </row>
    <row r="895" spans="1:9">
      <c r="A895" t="s">
        <v>16</v>
      </c>
      <c r="B895" s="2">
        <f t="shared" si="54"/>
        <v>44</v>
      </c>
      <c r="C895">
        <v>390</v>
      </c>
      <c r="D895">
        <v>12</v>
      </c>
      <c r="E895">
        <v>28</v>
      </c>
      <c r="F895">
        <f t="shared" si="56"/>
        <v>-2.1621430869015335</v>
      </c>
      <c r="G895">
        <f t="shared" si="57"/>
        <v>-1.8310537851010364</v>
      </c>
      <c r="I895">
        <f t="shared" si="55"/>
        <v>-1.9965984360012849</v>
      </c>
    </row>
    <row r="896" spans="1:9">
      <c r="A896" t="s">
        <v>17</v>
      </c>
      <c r="B896" s="2">
        <f t="shared" si="54"/>
        <v>44</v>
      </c>
      <c r="C896">
        <v>381</v>
      </c>
      <c r="D896">
        <v>10</v>
      </c>
      <c r="E896">
        <v>23</v>
      </c>
      <c r="F896">
        <f t="shared" si="56"/>
        <v>-2.231184701598278</v>
      </c>
      <c r="G896">
        <f t="shared" si="57"/>
        <v>-1.9063443490747827</v>
      </c>
      <c r="I896">
        <f t="shared" si="55"/>
        <v>-2.0687645253365305</v>
      </c>
    </row>
    <row r="897" spans="1:9">
      <c r="A897" t="s">
        <v>18</v>
      </c>
      <c r="B897" s="2">
        <f t="shared" si="54"/>
        <v>44</v>
      </c>
      <c r="C897">
        <v>206</v>
      </c>
      <c r="D897">
        <v>17</v>
      </c>
      <c r="E897">
        <v>12</v>
      </c>
      <c r="F897">
        <f t="shared" si="56"/>
        <v>-1.7336780249135382</v>
      </c>
      <c r="G897">
        <f t="shared" si="57"/>
        <v>-1.9218331837382849</v>
      </c>
      <c r="I897">
        <f t="shared" si="55"/>
        <v>-1.8277556043259116</v>
      </c>
    </row>
    <row r="898" spans="1:9">
      <c r="A898" t="s">
        <v>19</v>
      </c>
      <c r="B898" s="2">
        <f t="shared" si="54"/>
        <v>44</v>
      </c>
      <c r="C898">
        <v>220</v>
      </c>
      <c r="D898">
        <v>17</v>
      </c>
      <c r="E898">
        <v>10</v>
      </c>
      <c r="F898">
        <f t="shared" si="56"/>
        <v>-1.7622334853665911</v>
      </c>
      <c r="G898">
        <f t="shared" si="57"/>
        <v>-2.0295698902389625</v>
      </c>
      <c r="I898">
        <f t="shared" si="55"/>
        <v>-1.8959016878027768</v>
      </c>
    </row>
    <row r="899" spans="1:9">
      <c r="A899" t="s">
        <v>20</v>
      </c>
      <c r="B899" s="2">
        <f t="shared" ref="B899:B962" si="58">1+INT((ROW()-2)/21)+1</f>
        <v>44</v>
      </c>
      <c r="C899">
        <v>456</v>
      </c>
      <c r="D899">
        <v>27</v>
      </c>
      <c r="E899">
        <v>45</v>
      </c>
      <c r="F899">
        <f t="shared" si="56"/>
        <v>-1.8778608044281064</v>
      </c>
      <c r="G899">
        <f t="shared" si="57"/>
        <v>-1.6928995383058476</v>
      </c>
      <c r="I899">
        <f t="shared" ref="I899:I962" si="59">AVERAGE(F899:G899)</f>
        <v>-1.785380171366977</v>
      </c>
    </row>
    <row r="900" spans="1:9">
      <c r="A900" t="s">
        <v>21</v>
      </c>
      <c r="B900" s="2">
        <f t="shared" si="58"/>
        <v>44</v>
      </c>
      <c r="C900">
        <v>414</v>
      </c>
      <c r="D900">
        <v>2</v>
      </c>
      <c r="E900">
        <v>38</v>
      </c>
      <c r="F900">
        <f t="shared" si="56"/>
        <v>-2.9662300713795764</v>
      </c>
      <c r="G900">
        <f t="shared" si="57"/>
        <v>-1.7243639539208453</v>
      </c>
      <c r="I900">
        <f t="shared" si="59"/>
        <v>-2.3452970126502111</v>
      </c>
    </row>
    <row r="901" spans="1:9">
      <c r="A901" t="s">
        <v>22</v>
      </c>
      <c r="B901" s="2">
        <f t="shared" si="58"/>
        <v>44</v>
      </c>
      <c r="C901">
        <v>290</v>
      </c>
      <c r="D901">
        <v>43</v>
      </c>
      <c r="E901">
        <v>45</v>
      </c>
      <c r="F901">
        <f t="shared" si="56"/>
        <v>-1.4791892682420285</v>
      </c>
      <c r="G901">
        <f t="shared" si="57"/>
        <v>-1.4963326935403689</v>
      </c>
      <c r="I901">
        <f t="shared" si="59"/>
        <v>-1.4877609808911987</v>
      </c>
    </row>
    <row r="902" spans="1:9">
      <c r="A902" t="s">
        <v>23</v>
      </c>
      <c r="B902" s="2">
        <f t="shared" si="58"/>
        <v>44</v>
      </c>
      <c r="C902">
        <v>312</v>
      </c>
      <c r="D902">
        <v>6</v>
      </c>
      <c r="E902">
        <v>8</v>
      </c>
      <c r="F902">
        <f t="shared" si="56"/>
        <v>-2.366263069557458</v>
      </c>
      <c r="G902">
        <f t="shared" si="57"/>
        <v>-2.2782118164432559</v>
      </c>
      <c r="I902">
        <f t="shared" si="59"/>
        <v>-2.3222374430003567</v>
      </c>
    </row>
    <row r="903" spans="1:9">
      <c r="A903" t="s">
        <v>24</v>
      </c>
      <c r="B903" s="2">
        <f t="shared" si="58"/>
        <v>44</v>
      </c>
      <c r="C903">
        <v>446</v>
      </c>
      <c r="D903">
        <v>11</v>
      </c>
      <c r="E903">
        <v>36</v>
      </c>
      <c r="F903">
        <f t="shared" si="56"/>
        <v>-2.2582018994765756</v>
      </c>
      <c r="G903">
        <f t="shared" si="57"/>
        <v>-1.780179567361611</v>
      </c>
      <c r="I903">
        <f t="shared" si="59"/>
        <v>-2.0191907334190935</v>
      </c>
    </row>
    <row r="904" spans="1:9">
      <c r="A904" t="s">
        <v>25</v>
      </c>
      <c r="B904" s="2">
        <f t="shared" si="58"/>
        <v>44</v>
      </c>
      <c r="C904">
        <v>633</v>
      </c>
      <c r="D904">
        <v>8</v>
      </c>
      <c r="E904">
        <v>34</v>
      </c>
      <c r="F904">
        <f t="shared" si="56"/>
        <v>-2.54857344894807</v>
      </c>
      <c r="G904">
        <f t="shared" si="57"/>
        <v>-1.9570720023918562</v>
      </c>
      <c r="I904">
        <f t="shared" si="59"/>
        <v>-2.2528227256699633</v>
      </c>
    </row>
    <row r="905" spans="1:9">
      <c r="A905" t="s">
        <v>7</v>
      </c>
      <c r="B905" s="2">
        <f t="shared" si="58"/>
        <v>45</v>
      </c>
      <c r="C905">
        <v>415</v>
      </c>
      <c r="D905">
        <v>6</v>
      </c>
      <c r="E905">
        <v>31</v>
      </c>
      <c r="F905">
        <f t="shared" si="56"/>
        <v>-2.4901565722511076</v>
      </c>
      <c r="G905">
        <f t="shared" si="57"/>
        <v>-1.8138336122945766</v>
      </c>
      <c r="I905">
        <f t="shared" si="59"/>
        <v>-2.1519950922728421</v>
      </c>
    </row>
    <row r="906" spans="1:9">
      <c r="A906" t="s">
        <v>8</v>
      </c>
      <c r="B906" s="2">
        <f t="shared" si="58"/>
        <v>45</v>
      </c>
      <c r="C906">
        <v>340</v>
      </c>
      <c r="D906">
        <v>32</v>
      </c>
      <c r="E906">
        <v>37</v>
      </c>
      <c r="F906">
        <f t="shared" si="56"/>
        <v>-1.6765886646450079</v>
      </c>
      <c r="G906">
        <f t="shared" si="57"/>
        <v>-1.6504244023920167</v>
      </c>
      <c r="I906">
        <f t="shared" si="59"/>
        <v>-1.6635065335185124</v>
      </c>
    </row>
    <row r="907" spans="1:9">
      <c r="A907" t="s">
        <v>5</v>
      </c>
      <c r="B907" s="2">
        <f t="shared" si="58"/>
        <v>45</v>
      </c>
      <c r="C907">
        <v>293</v>
      </c>
      <c r="D907">
        <v>22</v>
      </c>
      <c r="E907">
        <v>21</v>
      </c>
      <c r="F907">
        <f t="shared" si="56"/>
        <v>-1.774704665454562</v>
      </c>
      <c r="G907">
        <f t="shared" si="57"/>
        <v>-1.8317955350369468</v>
      </c>
      <c r="I907">
        <f t="shared" si="59"/>
        <v>-1.8032501002457544</v>
      </c>
    </row>
    <row r="908" spans="1:9">
      <c r="A908" t="s">
        <v>6</v>
      </c>
      <c r="B908" s="2">
        <f t="shared" si="58"/>
        <v>45</v>
      </c>
      <c r="C908">
        <v>477</v>
      </c>
      <c r="D908">
        <v>159</v>
      </c>
      <c r="E908">
        <v>72</v>
      </c>
      <c r="F908">
        <f t="shared" si="56"/>
        <v>-1.1273809806423212</v>
      </c>
      <c r="G908">
        <f t="shared" si="57"/>
        <v>-1.508333092025602</v>
      </c>
      <c r="I908">
        <f t="shared" si="59"/>
        <v>-1.3178570363339617</v>
      </c>
    </row>
    <row r="909" spans="1:9">
      <c r="A909" t="s">
        <v>10</v>
      </c>
      <c r="B909" s="2">
        <f t="shared" si="58"/>
        <v>45</v>
      </c>
      <c r="C909">
        <v>427</v>
      </c>
      <c r="D909">
        <v>3</v>
      </c>
      <c r="E909">
        <v>44</v>
      </c>
      <c r="F909">
        <f t="shared" si="56"/>
        <v>-2.8035663462280205</v>
      </c>
      <c r="G909">
        <f t="shared" si="57"/>
        <v>-1.674122407955593</v>
      </c>
      <c r="I909">
        <f t="shared" si="59"/>
        <v>-2.2388443770918069</v>
      </c>
    </row>
    <row r="910" spans="1:9">
      <c r="A910" t="s">
        <v>11</v>
      </c>
      <c r="B910" s="2">
        <f t="shared" si="58"/>
        <v>45</v>
      </c>
      <c r="C910">
        <v>672</v>
      </c>
      <c r="D910">
        <v>67</v>
      </c>
      <c r="E910">
        <v>50</v>
      </c>
      <c r="F910">
        <f t="shared" si="56"/>
        <v>-1.6515541962756575</v>
      </c>
      <c r="G910">
        <f t="shared" si="57"/>
        <v>-1.8155464781345629</v>
      </c>
      <c r="I910">
        <f t="shared" si="59"/>
        <v>-1.7335503372051102</v>
      </c>
    </row>
    <row r="911" spans="1:9">
      <c r="A911" t="s">
        <v>12</v>
      </c>
      <c r="B911" s="2">
        <f t="shared" si="58"/>
        <v>45</v>
      </c>
      <c r="C911">
        <v>784</v>
      </c>
      <c r="D911">
        <v>31</v>
      </c>
      <c r="E911">
        <v>305</v>
      </c>
      <c r="F911">
        <f t="shared" si="56"/>
        <v>-2.0532140947728248</v>
      </c>
      <c r="G911">
        <f t="shared" si="57"/>
        <v>-1.0971634327544091</v>
      </c>
      <c r="I911">
        <f t="shared" si="59"/>
        <v>-1.5751887637636171</v>
      </c>
    </row>
    <row r="912" spans="1:9">
      <c r="A912" t="s">
        <v>9</v>
      </c>
      <c r="B912" s="2">
        <f t="shared" si="58"/>
        <v>45</v>
      </c>
      <c r="C912">
        <v>250</v>
      </c>
      <c r="D912">
        <v>34</v>
      </c>
      <c r="E912">
        <v>34</v>
      </c>
      <c r="F912">
        <f t="shared" si="56"/>
        <v>-1.5167208175524411</v>
      </c>
      <c r="G912">
        <f t="shared" si="57"/>
        <v>-1.5536083010465389</v>
      </c>
      <c r="I912">
        <f t="shared" si="59"/>
        <v>-1.53516455929949</v>
      </c>
    </row>
    <row r="913" spans="1:9">
      <c r="A913" t="s">
        <v>13</v>
      </c>
      <c r="B913" s="2">
        <f t="shared" si="58"/>
        <v>45</v>
      </c>
      <c r="C913">
        <v>333</v>
      </c>
      <c r="D913">
        <v>22</v>
      </c>
      <c r="E913">
        <v>52</v>
      </c>
      <c r="F913">
        <f t="shared" si="56"/>
        <v>-1.8302812786067724</v>
      </c>
      <c r="G913">
        <f t="shared" si="57"/>
        <v>-1.4935880992882771</v>
      </c>
      <c r="I913">
        <f t="shared" si="59"/>
        <v>-1.6619346889475248</v>
      </c>
    </row>
    <row r="914" spans="1:9">
      <c r="A914" t="s">
        <v>14</v>
      </c>
      <c r="B914" s="2">
        <f t="shared" si="58"/>
        <v>45</v>
      </c>
      <c r="C914">
        <v>576</v>
      </c>
      <c r="D914">
        <v>2</v>
      </c>
      <c r="E914">
        <v>46</v>
      </c>
      <c r="F914">
        <f t="shared" si="56"/>
        <v>-3.1096522136818896</v>
      </c>
      <c r="G914">
        <f t="shared" si="57"/>
        <v>-1.7848118611583943</v>
      </c>
      <c r="I914">
        <f t="shared" si="59"/>
        <v>-2.4472320374201422</v>
      </c>
    </row>
    <row r="915" spans="1:9">
      <c r="A915" t="s">
        <v>15</v>
      </c>
      <c r="B915" s="2">
        <f t="shared" si="58"/>
        <v>45</v>
      </c>
      <c r="C915">
        <v>452</v>
      </c>
      <c r="D915">
        <v>12</v>
      </c>
      <c r="E915">
        <v>42</v>
      </c>
      <c r="F915">
        <f t="shared" si="56"/>
        <v>-2.2262169146864164</v>
      </c>
      <c r="G915">
        <f t="shared" si="57"/>
        <v>-1.719036353830238</v>
      </c>
      <c r="I915">
        <f t="shared" si="59"/>
        <v>-1.9726266342583272</v>
      </c>
    </row>
    <row r="916" spans="1:9">
      <c r="A916" t="s">
        <v>16</v>
      </c>
      <c r="B916" s="2">
        <f t="shared" si="58"/>
        <v>45</v>
      </c>
      <c r="C916">
        <v>365</v>
      </c>
      <c r="D916">
        <v>3</v>
      </c>
      <c r="E916">
        <v>17</v>
      </c>
      <c r="F916">
        <f t="shared" si="56"/>
        <v>-2.7354313356594711</v>
      </c>
      <c r="G916">
        <f t="shared" si="57"/>
        <v>-2.0189911524949573</v>
      </c>
      <c r="I916">
        <f t="shared" si="59"/>
        <v>-2.3772112440772144</v>
      </c>
    </row>
    <row r="917" spans="1:9">
      <c r="A917" t="s">
        <v>17</v>
      </c>
      <c r="B917" s="2">
        <f t="shared" si="58"/>
        <v>45</v>
      </c>
      <c r="C917">
        <v>385</v>
      </c>
      <c r="D917">
        <v>1900</v>
      </c>
      <c r="E917">
        <v>12679</v>
      </c>
      <c r="F917">
        <f t="shared" si="56"/>
        <v>4.303314552166948E-2</v>
      </c>
      <c r="G917">
        <f t="shared" si="57"/>
        <v>0.83047706291635748</v>
      </c>
      <c r="I917">
        <f t="shared" si="59"/>
        <v>0.43675510421901348</v>
      </c>
    </row>
    <row r="918" spans="1:9">
      <c r="A918" t="s">
        <v>18</v>
      </c>
      <c r="B918" s="2">
        <f t="shared" si="58"/>
        <v>45</v>
      </c>
      <c r="C918">
        <v>480</v>
      </c>
      <c r="D918">
        <v>59</v>
      </c>
      <c r="E918">
        <v>71</v>
      </c>
      <c r="F918">
        <f t="shared" si="56"/>
        <v>-1.560648951656102</v>
      </c>
      <c r="G918">
        <f t="shared" si="57"/>
        <v>-1.5171300980732685</v>
      </c>
      <c r="I918">
        <f t="shared" si="59"/>
        <v>-1.5388895248646852</v>
      </c>
    </row>
    <row r="919" spans="1:9">
      <c r="A919" t="s">
        <v>19</v>
      </c>
      <c r="B919" s="2">
        <f t="shared" si="58"/>
        <v>45</v>
      </c>
      <c r="C919">
        <v>294</v>
      </c>
      <c r="D919">
        <v>32</v>
      </c>
      <c r="E919">
        <v>62</v>
      </c>
      <c r="F919">
        <f t="shared" si="56"/>
        <v>-1.61345707801491</v>
      </c>
      <c r="G919">
        <f t="shared" si="57"/>
        <v>-1.3631028503306597</v>
      </c>
      <c r="I919">
        <f t="shared" si="59"/>
        <v>-1.4882799641727849</v>
      </c>
    </row>
    <row r="920" spans="1:9">
      <c r="A920" t="s">
        <v>20</v>
      </c>
      <c r="B920" s="2">
        <f t="shared" si="58"/>
        <v>45</v>
      </c>
      <c r="C920">
        <v>57671</v>
      </c>
      <c r="D920">
        <v>257761</v>
      </c>
      <c r="E920">
        <v>280611</v>
      </c>
      <c r="F920">
        <f t="shared" si="56"/>
        <v>0</v>
      </c>
      <c r="G920">
        <f t="shared" si="57"/>
        <v>0</v>
      </c>
      <c r="I920">
        <f t="shared" si="59"/>
        <v>0</v>
      </c>
    </row>
    <row r="921" spans="1:9">
      <c r="A921" t="s">
        <v>21</v>
      </c>
      <c r="B921" s="2">
        <f t="shared" si="58"/>
        <v>45</v>
      </c>
      <c r="C921">
        <v>521</v>
      </c>
      <c r="D921">
        <v>4137</v>
      </c>
      <c r="E921">
        <v>19762</v>
      </c>
      <c r="F921">
        <f t="shared" si="56"/>
        <v>0.24958807167332897</v>
      </c>
      <c r="G921">
        <f t="shared" si="57"/>
        <v>0.89184596224230417</v>
      </c>
      <c r="I921">
        <f t="shared" si="59"/>
        <v>0.57071701695781663</v>
      </c>
    </row>
    <row r="922" spans="1:9">
      <c r="A922" t="s">
        <v>22</v>
      </c>
      <c r="B922" s="2">
        <f t="shared" si="58"/>
        <v>45</v>
      </c>
      <c r="C922">
        <v>358</v>
      </c>
      <c r="D922">
        <v>35</v>
      </c>
      <c r="E922">
        <v>7</v>
      </c>
      <c r="F922">
        <f t="shared" si="56"/>
        <v>-1.6600747082162575</v>
      </c>
      <c r="G922">
        <f t="shared" si="57"/>
        <v>-2.395932196046374</v>
      </c>
      <c r="I922">
        <f t="shared" si="59"/>
        <v>-2.0280034521313155</v>
      </c>
    </row>
    <row r="923" spans="1:9">
      <c r="A923" t="s">
        <v>23</v>
      </c>
      <c r="B923" s="2">
        <f t="shared" si="58"/>
        <v>45</v>
      </c>
      <c r="C923">
        <v>325</v>
      </c>
      <c r="D923">
        <v>36</v>
      </c>
      <c r="E923">
        <v>54</v>
      </c>
      <c r="F923">
        <f t="shared" si="56"/>
        <v>-1.6058405861342457</v>
      </c>
      <c r="G923">
        <f t="shared" si="57"/>
        <v>-1.4666368105726624</v>
      </c>
      <c r="I923">
        <f t="shared" si="59"/>
        <v>-1.5362386983534542</v>
      </c>
    </row>
    <row r="924" spans="1:9">
      <c r="A924" t="s">
        <v>24</v>
      </c>
      <c r="B924" s="2">
        <f t="shared" si="58"/>
        <v>45</v>
      </c>
      <c r="C924">
        <v>418</v>
      </c>
      <c r="D924">
        <v>2</v>
      </c>
      <c r="E924">
        <v>26</v>
      </c>
      <c r="F924">
        <f t="shared" si="56"/>
        <v>-2.9704060120337132</v>
      </c>
      <c r="G924">
        <f t="shared" si="57"/>
        <v>-1.8933501432209736</v>
      </c>
      <c r="I924">
        <f t="shared" si="59"/>
        <v>-2.4318780776273434</v>
      </c>
    </row>
    <row r="925" spans="1:9">
      <c r="A925" t="s">
        <v>25</v>
      </c>
      <c r="B925" s="2">
        <f t="shared" si="58"/>
        <v>45</v>
      </c>
      <c r="C925">
        <v>347</v>
      </c>
      <c r="D925">
        <v>9</v>
      </c>
      <c r="E925">
        <v>26</v>
      </c>
      <c r="F925">
        <f t="shared" si="56"/>
        <v>-2.2363466912742078</v>
      </c>
      <c r="G925">
        <f t="shared" si="57"/>
        <v>-1.8125033362368121</v>
      </c>
      <c r="I925">
        <f t="shared" si="59"/>
        <v>-2.02442501375551</v>
      </c>
    </row>
    <row r="926" spans="1:9">
      <c r="A926" t="s">
        <v>7</v>
      </c>
      <c r="B926" s="2">
        <f t="shared" si="58"/>
        <v>46</v>
      </c>
      <c r="C926">
        <v>517</v>
      </c>
      <c r="D926">
        <v>231</v>
      </c>
      <c r="E926">
        <v>27</v>
      </c>
      <c r="F926">
        <f t="shared" si="56"/>
        <v>-1.000138289124457</v>
      </c>
      <c r="G926">
        <f t="shared" si="57"/>
        <v>-1.9692739883517119</v>
      </c>
      <c r="I926">
        <f t="shared" si="59"/>
        <v>-1.4847061387380844</v>
      </c>
    </row>
    <row r="927" spans="1:9">
      <c r="A927" t="s">
        <v>8</v>
      </c>
      <c r="B927" s="2">
        <f t="shared" si="58"/>
        <v>46</v>
      </c>
      <c r="C927">
        <v>283</v>
      </c>
      <c r="D927">
        <v>20</v>
      </c>
      <c r="E927">
        <v>41</v>
      </c>
      <c r="F927">
        <f t="shared" si="56"/>
        <v>-1.8010161657829677</v>
      </c>
      <c r="G927">
        <f t="shared" si="57"/>
        <v>-1.5261497882213111</v>
      </c>
      <c r="I927">
        <f t="shared" si="59"/>
        <v>-1.6635829770021395</v>
      </c>
    </row>
    <row r="928" spans="1:9">
      <c r="A928" t="s">
        <v>5</v>
      </c>
      <c r="B928" s="2">
        <f t="shared" si="58"/>
        <v>46</v>
      </c>
      <c r="C928">
        <v>221</v>
      </c>
      <c r="D928">
        <v>1</v>
      </c>
      <c r="E928">
        <v>8</v>
      </c>
      <c r="F928">
        <f t="shared" si="56"/>
        <v>-2.9946519996077692</v>
      </c>
      <c r="G928">
        <f t="shared" si="57"/>
        <v>-2.1284494961099236</v>
      </c>
      <c r="I928">
        <f t="shared" si="59"/>
        <v>-2.5615507478588464</v>
      </c>
    </row>
    <row r="929" spans="1:9">
      <c r="A929" t="s">
        <v>6</v>
      </c>
      <c r="B929" s="2">
        <f t="shared" si="58"/>
        <v>46</v>
      </c>
      <c r="C929">
        <v>267</v>
      </c>
      <c r="D929">
        <v>8</v>
      </c>
      <c r="E929">
        <v>13</v>
      </c>
      <c r="F929">
        <f t="shared" si="56"/>
        <v>-2.1736810002952902</v>
      </c>
      <c r="G929">
        <f t="shared" si="57"/>
        <v>-1.9997151184744948</v>
      </c>
      <c r="I929">
        <f t="shared" si="59"/>
        <v>-2.0866980593848927</v>
      </c>
    </row>
    <row r="930" spans="1:9">
      <c r="A930" t="s">
        <v>10</v>
      </c>
      <c r="B930" s="2">
        <f t="shared" si="58"/>
        <v>46</v>
      </c>
      <c r="C930">
        <v>277</v>
      </c>
      <c r="D930">
        <v>639</v>
      </c>
      <c r="E930">
        <v>95</v>
      </c>
      <c r="F930">
        <f t="shared" si="56"/>
        <v>-0.28723863682870721</v>
      </c>
      <c r="G930">
        <f t="shared" si="57"/>
        <v>-1.1519033731923574</v>
      </c>
      <c r="I930">
        <f t="shared" si="59"/>
        <v>-0.71957100501053228</v>
      </c>
    </row>
    <row r="931" spans="1:9">
      <c r="A931" t="s">
        <v>11</v>
      </c>
      <c r="B931" s="2">
        <f t="shared" si="58"/>
        <v>46</v>
      </c>
      <c r="C931">
        <v>389</v>
      </c>
      <c r="D931">
        <v>8</v>
      </c>
      <c r="E931">
        <v>22</v>
      </c>
      <c r="F931">
        <f t="shared" si="56"/>
        <v>-2.337119340256423</v>
      </c>
      <c r="G931">
        <f t="shared" si="57"/>
        <v>-1.9346741299202579</v>
      </c>
      <c r="I931">
        <f t="shared" si="59"/>
        <v>-2.1358967350883402</v>
      </c>
    </row>
    <row r="932" spans="1:9">
      <c r="A932" t="s">
        <v>12</v>
      </c>
      <c r="B932" s="2">
        <f t="shared" si="58"/>
        <v>46</v>
      </c>
      <c r="C932">
        <v>486</v>
      </c>
      <c r="D932">
        <v>46</v>
      </c>
      <c r="E932">
        <v>30</v>
      </c>
      <c r="F932">
        <f t="shared" si="56"/>
        <v>-1.6741381635033781</v>
      </c>
      <c r="G932">
        <f t="shared" si="57"/>
        <v>-1.8966622239593875</v>
      </c>
      <c r="I932">
        <f t="shared" si="59"/>
        <v>-1.7854001937313828</v>
      </c>
    </row>
    <row r="933" spans="1:9">
      <c r="A933" t="s">
        <v>9</v>
      </c>
      <c r="B933" s="2">
        <f t="shared" si="58"/>
        <v>46</v>
      </c>
      <c r="C933">
        <v>247</v>
      </c>
      <c r="D933">
        <v>21</v>
      </c>
      <c r="E933">
        <v>17</v>
      </c>
      <c r="F933">
        <f t="shared" si="56"/>
        <v>-1.7207373844484053</v>
      </c>
      <c r="G933">
        <f t="shared" si="57"/>
        <v>-1.8493952412981485</v>
      </c>
      <c r="I933">
        <f t="shared" si="59"/>
        <v>-1.7850663128732769</v>
      </c>
    </row>
    <row r="934" spans="1:9">
      <c r="A934" t="s">
        <v>13</v>
      </c>
      <c r="B934" s="2">
        <f t="shared" si="58"/>
        <v>46</v>
      </c>
      <c r="C934">
        <v>224</v>
      </c>
      <c r="D934">
        <v>1</v>
      </c>
      <c r="E934">
        <v>6</v>
      </c>
      <c r="F934">
        <f t="shared" si="56"/>
        <v>-3.0005077442568213</v>
      </c>
      <c r="G934">
        <f t="shared" si="57"/>
        <v>-2.2592439773672757</v>
      </c>
      <c r="I934">
        <f t="shared" si="59"/>
        <v>-2.6298758608120485</v>
      </c>
    </row>
    <row r="935" spans="1:9">
      <c r="A935" t="s">
        <v>14</v>
      </c>
      <c r="B935" s="2">
        <f t="shared" si="58"/>
        <v>46</v>
      </c>
      <c r="C935">
        <v>183</v>
      </c>
      <c r="D935">
        <v>4</v>
      </c>
      <c r="E935">
        <v>21</v>
      </c>
      <c r="F935">
        <f t="shared" si="56"/>
        <v>-2.3106508243251258</v>
      </c>
      <c r="G935">
        <f t="shared" si="57"/>
        <v>-1.6273790044132665</v>
      </c>
      <c r="I935">
        <f t="shared" si="59"/>
        <v>-1.9690149143691962</v>
      </c>
    </row>
    <row r="936" spans="1:9">
      <c r="A936" t="s">
        <v>15</v>
      </c>
      <c r="B936" s="2">
        <f t="shared" si="58"/>
        <v>46</v>
      </c>
      <c r="C936">
        <v>346</v>
      </c>
      <c r="D936">
        <v>11</v>
      </c>
      <c r="E936">
        <v>14</v>
      </c>
      <c r="F936">
        <f t="shared" si="56"/>
        <v>-2.1479431395572104</v>
      </c>
      <c r="G936">
        <f t="shared" si="57"/>
        <v>-2.0800952725312949</v>
      </c>
      <c r="I936">
        <f t="shared" si="59"/>
        <v>-2.1140192060442526</v>
      </c>
    </row>
    <row r="937" spans="1:9">
      <c r="A937" t="s">
        <v>16</v>
      </c>
      <c r="B937" s="2">
        <f t="shared" si="58"/>
        <v>46</v>
      </c>
      <c r="C937">
        <v>247</v>
      </c>
      <c r="D937">
        <v>3</v>
      </c>
      <c r="E937">
        <v>17</v>
      </c>
      <c r="F937">
        <f t="shared" si="56"/>
        <v>-2.5658354244626622</v>
      </c>
      <c r="G937">
        <f t="shared" si="57"/>
        <v>-1.8493952412981485</v>
      </c>
      <c r="I937">
        <f t="shared" si="59"/>
        <v>-2.2076153328804056</v>
      </c>
    </row>
    <row r="938" spans="1:9">
      <c r="A938" t="s">
        <v>17</v>
      </c>
      <c r="B938" s="2">
        <f t="shared" si="58"/>
        <v>46</v>
      </c>
      <c r="C938">
        <v>245</v>
      </c>
      <c r="D938">
        <v>12</v>
      </c>
      <c r="E938">
        <v>14</v>
      </c>
      <c r="F938">
        <f t="shared" si="56"/>
        <v>-1.9602445642395665</v>
      </c>
      <c r="G938">
        <f t="shared" si="57"/>
        <v>-1.9301852581030507</v>
      </c>
      <c r="I938">
        <f t="shared" si="59"/>
        <v>-1.9452149111713086</v>
      </c>
    </row>
    <row r="939" spans="1:9">
      <c r="A939" t="s">
        <v>18</v>
      </c>
      <c r="B939" s="2">
        <f t="shared" si="58"/>
        <v>46</v>
      </c>
      <c r="C939">
        <v>322</v>
      </c>
      <c r="D939">
        <v>2</v>
      </c>
      <c r="E939">
        <v>16</v>
      </c>
      <c r="F939">
        <f t="shared" si="56"/>
        <v>-2.8570856019545081</v>
      </c>
      <c r="G939">
        <f t="shared" si="57"/>
        <v>-1.9908830984566626</v>
      </c>
      <c r="I939">
        <f t="shared" si="59"/>
        <v>-2.4239843502055853</v>
      </c>
    </row>
    <row r="940" spans="1:9">
      <c r="A940" t="s">
        <v>19</v>
      </c>
      <c r="B940" s="2">
        <f t="shared" si="58"/>
        <v>46</v>
      </c>
      <c r="C940">
        <v>196</v>
      </c>
      <c r="D940">
        <v>3</v>
      </c>
      <c r="E940">
        <v>15</v>
      </c>
      <c r="F940">
        <f t="shared" si="56"/>
        <v>-2.4653945425594723</v>
      </c>
      <c r="G940">
        <f t="shared" si="57"/>
        <v>-1.8033120217175513</v>
      </c>
      <c r="I940">
        <f t="shared" si="59"/>
        <v>-2.1343532821385116</v>
      </c>
    </row>
    <row r="941" spans="1:9">
      <c r="A941" t="s">
        <v>20</v>
      </c>
      <c r="B941" s="2">
        <f t="shared" si="58"/>
        <v>46</v>
      </c>
      <c r="C941">
        <v>14</v>
      </c>
      <c r="D941">
        <v>55</v>
      </c>
      <c r="E941">
        <v>59</v>
      </c>
      <c r="F941">
        <f t="shared" si="56"/>
        <v>-5.6025072106652973E-2</v>
      </c>
      <c r="G941">
        <f t="shared" si="57"/>
        <v>-6.242323345285028E-2</v>
      </c>
      <c r="I941">
        <f t="shared" si="59"/>
        <v>-5.9224152779751627E-2</v>
      </c>
    </row>
    <row r="942" spans="1:9">
      <c r="A942" t="s">
        <v>21</v>
      </c>
      <c r="B942" s="2">
        <f t="shared" si="58"/>
        <v>46</v>
      </c>
      <c r="C942">
        <v>398</v>
      </c>
      <c r="D942">
        <v>117</v>
      </c>
      <c r="E942">
        <v>551</v>
      </c>
      <c r="F942">
        <f t="shared" si="56"/>
        <v>-1.1819569362501849</v>
      </c>
      <c r="G942">
        <f t="shared" si="57"/>
        <v>-0.54587868263865924</v>
      </c>
      <c r="I942">
        <f t="shared" si="59"/>
        <v>-0.86391780944442209</v>
      </c>
    </row>
    <row r="943" spans="1:9">
      <c r="A943" t="s">
        <v>22</v>
      </c>
      <c r="B943" s="2">
        <f t="shared" si="58"/>
        <v>46</v>
      </c>
      <c r="C943">
        <v>132</v>
      </c>
      <c r="D943">
        <v>1</v>
      </c>
      <c r="E943">
        <v>2</v>
      </c>
      <c r="F943">
        <f t="shared" si="56"/>
        <v>-2.7708336571285086</v>
      </c>
      <c r="G943">
        <f t="shared" si="57"/>
        <v>-2.5066911449586251</v>
      </c>
      <c r="I943">
        <f t="shared" si="59"/>
        <v>-2.6387624010435671</v>
      </c>
    </row>
    <row r="944" spans="1:9">
      <c r="A944" t="s">
        <v>23</v>
      </c>
      <c r="B944" s="2">
        <f t="shared" si="58"/>
        <v>46</v>
      </c>
      <c r="C944">
        <v>260</v>
      </c>
      <c r="D944">
        <v>11</v>
      </c>
      <c r="E944">
        <v>12</v>
      </c>
      <c r="F944">
        <f t="shared" si="56"/>
        <v>-2.0238403887352518</v>
      </c>
      <c r="G944">
        <f t="shared" si="57"/>
        <v>-2.0229393113399494</v>
      </c>
      <c r="I944">
        <f t="shared" si="59"/>
        <v>-2.0233898500376006</v>
      </c>
    </row>
    <row r="945" spans="1:9">
      <c r="A945" t="s">
        <v>24</v>
      </c>
      <c r="B945" s="2">
        <f t="shared" si="58"/>
        <v>46</v>
      </c>
      <c r="C945">
        <v>426</v>
      </c>
      <c r="D945">
        <v>66</v>
      </c>
      <c r="E945">
        <v>52</v>
      </c>
      <c r="F945">
        <f t="shared" si="56"/>
        <v>-1.4601253894835091</v>
      </c>
      <c r="G945">
        <f t="shared" si="57"/>
        <v>-1.6005534648846762</v>
      </c>
      <c r="I945">
        <f t="shared" si="59"/>
        <v>-1.5303394271840927</v>
      </c>
    </row>
    <row r="946" spans="1:9">
      <c r="A946" t="s">
        <v>25</v>
      </c>
      <c r="B946" s="2">
        <f t="shared" si="58"/>
        <v>46</v>
      </c>
      <c r="C946">
        <v>419</v>
      </c>
      <c r="D946">
        <v>2</v>
      </c>
      <c r="E946">
        <v>17</v>
      </c>
      <c r="F946">
        <f t="shared" si="56"/>
        <v>-2.9714437532249729</v>
      </c>
      <c r="G946">
        <f t="shared" si="57"/>
        <v>-2.0789123110047778</v>
      </c>
      <c r="I946">
        <f t="shared" si="59"/>
        <v>-2.5251780321148756</v>
      </c>
    </row>
    <row r="947" spans="1:9">
      <c r="A947" t="s">
        <v>7</v>
      </c>
      <c r="B947" s="2">
        <f t="shared" si="58"/>
        <v>47</v>
      </c>
      <c r="C947">
        <v>299</v>
      </c>
      <c r="D947">
        <v>3</v>
      </c>
      <c r="E947">
        <v>20</v>
      </c>
      <c r="F947">
        <f t="shared" si="56"/>
        <v>-2.648809659527426</v>
      </c>
      <c r="G947">
        <f t="shared" si="57"/>
        <v>-1.8617884020772051</v>
      </c>
      <c r="I947">
        <f t="shared" si="59"/>
        <v>-2.2552990308023153</v>
      </c>
    </row>
    <row r="948" spans="1:9">
      <c r="A948" t="s">
        <v>8</v>
      </c>
      <c r="B948" s="2">
        <f t="shared" si="58"/>
        <v>47</v>
      </c>
      <c r="C948">
        <v>321</v>
      </c>
      <c r="D948">
        <v>5</v>
      </c>
      <c r="E948">
        <v>22</v>
      </c>
      <c r="F948">
        <f t="shared" si="56"/>
        <v>-2.4577947539915121</v>
      </c>
      <c r="G948">
        <f t="shared" si="57"/>
        <v>-1.8512295609994225</v>
      </c>
      <c r="I948">
        <f t="shared" si="59"/>
        <v>-2.1545121574954673</v>
      </c>
    </row>
    <row r="949" spans="1:9">
      <c r="A949" t="s">
        <v>5</v>
      </c>
      <c r="B949" s="2">
        <f t="shared" si="58"/>
        <v>47</v>
      </c>
      <c r="C949">
        <v>207</v>
      </c>
      <c r="D949">
        <v>3</v>
      </c>
      <c r="E949">
        <v>16</v>
      </c>
      <c r="F949">
        <f t="shared" si="56"/>
        <v>-2.4891088166599138</v>
      </c>
      <c r="G949">
        <f t="shared" si="57"/>
        <v>-1.7989975722177496</v>
      </c>
      <c r="I949">
        <f t="shared" si="59"/>
        <v>-2.1440531944388317</v>
      </c>
    </row>
    <row r="950" spans="1:9">
      <c r="A950" t="s">
        <v>6</v>
      </c>
      <c r="B950" s="2">
        <f t="shared" si="58"/>
        <v>47</v>
      </c>
      <c r="C950">
        <v>461</v>
      </c>
      <c r="D950">
        <v>12</v>
      </c>
      <c r="E950">
        <v>55</v>
      </c>
      <c r="F950">
        <f t="shared" si="56"/>
        <v>-2.2347794052646819</v>
      </c>
      <c r="G950">
        <f t="shared" si="57"/>
        <v>-1.6104854453121606</v>
      </c>
      <c r="I950">
        <f t="shared" si="59"/>
        <v>-1.9226324252884213</v>
      </c>
    </row>
    <row r="951" spans="1:9">
      <c r="A951" t="s">
        <v>10</v>
      </c>
      <c r="B951" s="2">
        <f t="shared" si="58"/>
        <v>47</v>
      </c>
      <c r="C951">
        <v>391</v>
      </c>
      <c r="D951">
        <v>6</v>
      </c>
      <c r="E951">
        <v>76</v>
      </c>
      <c r="F951">
        <f t="shared" si="56"/>
        <v>-2.4642852329348819</v>
      </c>
      <c r="G951">
        <f t="shared" si="57"/>
        <v>-1.3985103745318319</v>
      </c>
      <c r="I951">
        <f t="shared" si="59"/>
        <v>-1.9313978037333568</v>
      </c>
    </row>
    <row r="952" spans="1:9">
      <c r="A952" t="s">
        <v>11</v>
      </c>
      <c r="B952" s="2">
        <f t="shared" si="58"/>
        <v>47</v>
      </c>
      <c r="C952">
        <v>299</v>
      </c>
      <c r="D952">
        <v>7</v>
      </c>
      <c r="E952">
        <v>20</v>
      </c>
      <c r="F952">
        <f t="shared" si="56"/>
        <v>-2.2808328742328317</v>
      </c>
      <c r="G952">
        <f t="shared" si="57"/>
        <v>-1.8617884020772051</v>
      </c>
      <c r="I952">
        <f t="shared" si="59"/>
        <v>-2.0713106381550181</v>
      </c>
    </row>
    <row r="953" spans="1:9">
      <c r="A953" t="s">
        <v>12</v>
      </c>
      <c r="B953" s="2">
        <f t="shared" si="58"/>
        <v>47</v>
      </c>
      <c r="C953">
        <v>151</v>
      </c>
      <c r="D953">
        <v>3</v>
      </c>
      <c r="E953">
        <v>9</v>
      </c>
      <c r="F953">
        <f t="shared" si="56"/>
        <v>-2.3521154184961657</v>
      </c>
      <c r="G953">
        <f t="shared" si="57"/>
        <v>-1.9118816472706008</v>
      </c>
      <c r="I953">
        <f t="shared" si="59"/>
        <v>-2.131998532883383</v>
      </c>
    </row>
    <row r="954" spans="1:9">
      <c r="A954" t="s">
        <v>9</v>
      </c>
      <c r="B954" s="2">
        <f t="shared" si="58"/>
        <v>47</v>
      </c>
      <c r="C954">
        <v>320</v>
      </c>
      <c r="D954">
        <v>2</v>
      </c>
      <c r="E954">
        <v>22</v>
      </c>
      <c r="F954">
        <f t="shared" si="56"/>
        <v>-2.8543797085785831</v>
      </c>
      <c r="G954">
        <f t="shared" si="57"/>
        <v>-1.849874506914456</v>
      </c>
      <c r="I954">
        <f t="shared" si="59"/>
        <v>-2.3521271077465196</v>
      </c>
    </row>
    <row r="955" spans="1:9">
      <c r="A955" t="s">
        <v>13</v>
      </c>
      <c r="B955" s="2">
        <f t="shared" si="58"/>
        <v>47</v>
      </c>
      <c r="C955">
        <v>339</v>
      </c>
      <c r="D955">
        <v>16</v>
      </c>
      <c r="E955">
        <v>20</v>
      </c>
      <c r="F955">
        <f t="shared" ref="F955:F1009" si="60">LOG10(D955/C955)-LOG10(257761/57671)</f>
        <v>-1.9763394414698161</v>
      </c>
      <c r="G955">
        <f t="shared" ref="G955:G1009" si="61">LOG10(E955/C955)-LOG10(280611/57671)</f>
        <v>-1.9163169119558576</v>
      </c>
      <c r="I955">
        <f t="shared" si="59"/>
        <v>-1.9463281767128369</v>
      </c>
    </row>
    <row r="956" spans="1:9">
      <c r="A956" t="s">
        <v>14</v>
      </c>
      <c r="B956" s="2">
        <f t="shared" si="58"/>
        <v>47</v>
      </c>
      <c r="C956">
        <v>338</v>
      </c>
      <c r="D956">
        <v>13</v>
      </c>
      <c r="E956">
        <v>6</v>
      </c>
      <c r="F956">
        <f t="shared" si="60"/>
        <v>-2.0652330738934768</v>
      </c>
      <c r="G956">
        <f t="shared" si="61"/>
        <v>-2.4379126593107676</v>
      </c>
      <c r="I956">
        <f t="shared" si="59"/>
        <v>-2.251572866602122</v>
      </c>
    </row>
    <row r="957" spans="1:9">
      <c r="A957" t="s">
        <v>15</v>
      </c>
      <c r="B957" s="2">
        <f t="shared" si="58"/>
        <v>47</v>
      </c>
      <c r="C957">
        <v>273</v>
      </c>
      <c r="D957">
        <v>19</v>
      </c>
      <c r="E957">
        <v>44</v>
      </c>
      <c r="F957">
        <f t="shared" si="60"/>
        <v>-1.807668772010586</v>
      </c>
      <c r="G957">
        <f t="shared" si="61"/>
        <v>-1.4798571799713249</v>
      </c>
      <c r="I957">
        <f t="shared" si="59"/>
        <v>-1.6437629759909553</v>
      </c>
    </row>
    <row r="958" spans="1:9">
      <c r="A958" t="s">
        <v>16</v>
      </c>
      <c r="B958" s="2">
        <f t="shared" si="58"/>
        <v>47</v>
      </c>
      <c r="C958">
        <v>414</v>
      </c>
      <c r="D958">
        <v>7</v>
      </c>
      <c r="E958">
        <v>30</v>
      </c>
      <c r="F958">
        <f t="shared" si="60"/>
        <v>-2.4221620270293007</v>
      </c>
      <c r="G958">
        <f t="shared" si="61"/>
        <v>-1.8270262958179928</v>
      </c>
      <c r="I958">
        <f t="shared" si="59"/>
        <v>-2.124594161423647</v>
      </c>
    </row>
    <row r="959" spans="1:9">
      <c r="A959" t="s">
        <v>17</v>
      </c>
      <c r="B959" s="2">
        <f t="shared" si="58"/>
        <v>47</v>
      </c>
      <c r="C959">
        <v>273</v>
      </c>
      <c r="D959">
        <v>114</v>
      </c>
      <c r="E959">
        <v>499</v>
      </c>
      <c r="F959">
        <f t="shared" si="60"/>
        <v>-1.0295175216269423</v>
      </c>
      <c r="G959">
        <f t="shared" si="61"/>
        <v>-0.42520931083412256</v>
      </c>
      <c r="I959">
        <f t="shared" si="59"/>
        <v>-0.72736341623053247</v>
      </c>
    </row>
    <row r="960" spans="1:9">
      <c r="A960" t="s">
        <v>18</v>
      </c>
      <c r="B960" s="2">
        <f t="shared" si="58"/>
        <v>47</v>
      </c>
      <c r="C960">
        <v>316</v>
      </c>
      <c r="D960">
        <v>10</v>
      </c>
      <c r="E960">
        <v>31</v>
      </c>
      <c r="F960">
        <f t="shared" si="60"/>
        <v>-2.1499468085410625</v>
      </c>
      <c r="G960">
        <f t="shared" si="61"/>
        <v>-1.6954725982008876</v>
      </c>
      <c r="I960">
        <f t="shared" si="59"/>
        <v>-1.922709703370975</v>
      </c>
    </row>
    <row r="961" spans="1:9">
      <c r="A961" t="s">
        <v>19</v>
      </c>
      <c r="B961" s="2">
        <f t="shared" si="58"/>
        <v>47</v>
      </c>
      <c r="C961">
        <v>316</v>
      </c>
      <c r="D961">
        <v>29</v>
      </c>
      <c r="E961">
        <v>36</v>
      </c>
      <c r="F961">
        <f t="shared" si="60"/>
        <v>-1.6875488106421066</v>
      </c>
      <c r="G961">
        <f t="shared" si="61"/>
        <v>-1.630531791267873</v>
      </c>
      <c r="I961">
        <f t="shared" si="59"/>
        <v>-1.6590403009549899</v>
      </c>
    </row>
    <row r="962" spans="1:9">
      <c r="A962" t="s">
        <v>20</v>
      </c>
      <c r="B962" s="2">
        <f t="shared" si="58"/>
        <v>47</v>
      </c>
      <c r="C962">
        <v>422</v>
      </c>
      <c r="D962">
        <v>3</v>
      </c>
      <c r="E962">
        <v>36</v>
      </c>
      <c r="F962">
        <f t="shared" si="60"/>
        <v>-2.7984509221646698</v>
      </c>
      <c r="G962">
        <f t="shared" si="61"/>
        <v>-1.7561571596111429</v>
      </c>
      <c r="I962">
        <f t="shared" si="59"/>
        <v>-2.2773040408879064</v>
      </c>
    </row>
    <row r="963" spans="1:9">
      <c r="A963" t="s">
        <v>21</v>
      </c>
      <c r="B963" s="2">
        <f t="shared" ref="B963:B1026" si="62">1+INT((ROW()-2)/21)+1</f>
        <v>47</v>
      </c>
      <c r="C963">
        <v>57671</v>
      </c>
      <c r="D963">
        <v>257761</v>
      </c>
      <c r="E963">
        <v>280611</v>
      </c>
      <c r="F963">
        <f t="shared" si="60"/>
        <v>0</v>
      </c>
      <c r="G963">
        <f t="shared" si="61"/>
        <v>0</v>
      </c>
      <c r="I963">
        <f t="shared" ref="I963:I1026" si="63">AVERAGE(F963:G963)</f>
        <v>0</v>
      </c>
    </row>
    <row r="964" spans="1:9">
      <c r="A964" t="s">
        <v>22</v>
      </c>
      <c r="B964" s="2">
        <f t="shared" si="62"/>
        <v>47</v>
      </c>
      <c r="C964">
        <v>307</v>
      </c>
      <c r="D964">
        <v>6</v>
      </c>
      <c r="E964">
        <v>12</v>
      </c>
      <c r="F964">
        <f t="shared" si="60"/>
        <v>-2.3592468510162017</v>
      </c>
      <c r="G964">
        <f t="shared" si="61"/>
        <v>-2.0951043388463182</v>
      </c>
      <c r="I964">
        <f t="shared" si="63"/>
        <v>-2.2271755949312597</v>
      </c>
    </row>
    <row r="965" spans="1:9">
      <c r="A965" t="s">
        <v>23</v>
      </c>
      <c r="B965" s="2">
        <f t="shared" si="62"/>
        <v>47</v>
      </c>
      <c r="C965">
        <v>230</v>
      </c>
      <c r="D965">
        <v>8</v>
      </c>
      <c r="E965">
        <v>37</v>
      </c>
      <c r="F965">
        <f t="shared" si="60"/>
        <v>-2.1088975749483083</v>
      </c>
      <c r="G965">
        <f t="shared" si="61"/>
        <v>-1.4806733213673544</v>
      </c>
      <c r="I965">
        <f t="shared" si="63"/>
        <v>-1.7947854481578314</v>
      </c>
    </row>
    <row r="966" spans="1:9">
      <c r="A966" t="s">
        <v>24</v>
      </c>
      <c r="B966" s="2">
        <f t="shared" si="62"/>
        <v>47</v>
      </c>
      <c r="C966">
        <v>373</v>
      </c>
      <c r="D966">
        <v>7</v>
      </c>
      <c r="E966">
        <v>27</v>
      </c>
      <c r="F966">
        <f t="shared" si="60"/>
        <v>-2.3768705177170899</v>
      </c>
      <c r="G966">
        <f t="shared" si="61"/>
        <v>-1.8274922770664568</v>
      </c>
      <c r="I966">
        <f t="shared" si="63"/>
        <v>-2.1021813973917736</v>
      </c>
    </row>
    <row r="967" spans="1:9">
      <c r="A967" t="s">
        <v>25</v>
      </c>
      <c r="B967" s="2">
        <f t="shared" si="62"/>
        <v>47</v>
      </c>
      <c r="C967">
        <v>350</v>
      </c>
      <c r="D967">
        <v>5</v>
      </c>
      <c r="E967">
        <v>14</v>
      </c>
      <c r="F967">
        <f t="shared" si="60"/>
        <v>-2.4953577659369159</v>
      </c>
      <c r="G967">
        <f t="shared" si="61"/>
        <v>-2.0850872180887938</v>
      </c>
      <c r="I967">
        <f t="shared" si="63"/>
        <v>-2.2902224920128549</v>
      </c>
    </row>
    <row r="968" spans="1:9">
      <c r="A968" t="s">
        <v>7</v>
      </c>
      <c r="B968" s="2">
        <f t="shared" si="62"/>
        <v>48</v>
      </c>
      <c r="C968">
        <v>494</v>
      </c>
      <c r="D968">
        <v>7</v>
      </c>
      <c r="E968">
        <v>55</v>
      </c>
      <c r="F968">
        <f t="shared" si="60"/>
        <v>-2.4988886348320491</v>
      </c>
      <c r="G968">
        <f t="shared" si="61"/>
        <v>-1.6405114688461595</v>
      </c>
      <c r="I968">
        <f t="shared" si="63"/>
        <v>-2.0697000518391042</v>
      </c>
    </row>
    <row r="969" spans="1:9">
      <c r="A969" t="s">
        <v>8</v>
      </c>
      <c r="B969" s="2">
        <f t="shared" si="62"/>
        <v>48</v>
      </c>
      <c r="C969">
        <v>708</v>
      </c>
      <c r="D969">
        <v>23</v>
      </c>
      <c r="E969">
        <v>56</v>
      </c>
      <c r="F969">
        <f t="shared" si="60"/>
        <v>-2.1385651475948348</v>
      </c>
      <c r="G969">
        <f t="shared" si="61"/>
        <v>-1.788992440100325</v>
      </c>
      <c r="I969">
        <f t="shared" si="63"/>
        <v>-1.9637787938475799</v>
      </c>
    </row>
    <row r="970" spans="1:9">
      <c r="A970" t="s">
        <v>5</v>
      </c>
      <c r="B970" s="2">
        <f t="shared" si="62"/>
        <v>48</v>
      </c>
      <c r="C970">
        <v>271</v>
      </c>
      <c r="D970">
        <v>9</v>
      </c>
      <c r="E970">
        <v>20</v>
      </c>
      <c r="F970">
        <f t="shared" si="60"/>
        <v>-2.1289865073577396</v>
      </c>
      <c r="G970">
        <f t="shared" si="61"/>
        <v>-1.8190865046271809</v>
      </c>
      <c r="I970">
        <f t="shared" si="63"/>
        <v>-1.9740365059924603</v>
      </c>
    </row>
    <row r="971" spans="1:9">
      <c r="A971" t="s">
        <v>6</v>
      </c>
      <c r="B971" s="2">
        <f t="shared" si="62"/>
        <v>48</v>
      </c>
      <c r="C971">
        <v>337</v>
      </c>
      <c r="D971">
        <v>18</v>
      </c>
      <c r="E971">
        <v>32</v>
      </c>
      <c r="F971">
        <f t="shared" si="60"/>
        <v>-1.9226171216906913</v>
      </c>
      <c r="G971">
        <f t="shared" si="61"/>
        <v>-1.7096271319681891</v>
      </c>
      <c r="I971">
        <f t="shared" si="63"/>
        <v>-1.8161221268294403</v>
      </c>
    </row>
    <row r="972" spans="1:9">
      <c r="A972" t="s">
        <v>10</v>
      </c>
      <c r="B972" s="2">
        <f t="shared" si="62"/>
        <v>48</v>
      </c>
      <c r="C972">
        <v>17</v>
      </c>
      <c r="D972">
        <v>77</v>
      </c>
      <c r="E972">
        <v>71</v>
      </c>
      <c r="F972">
        <f t="shared" si="60"/>
        <v>5.7820778715491628E-3</v>
      </c>
      <c r="G972">
        <f t="shared" si="61"/>
        <v>-6.6337782075955087E-2</v>
      </c>
      <c r="I972">
        <f t="shared" si="63"/>
        <v>-3.0277852102202962E-2</v>
      </c>
    </row>
    <row r="973" spans="1:9">
      <c r="A973" t="s">
        <v>11</v>
      </c>
      <c r="B973" s="2">
        <f t="shared" si="62"/>
        <v>48</v>
      </c>
      <c r="C973">
        <v>528</v>
      </c>
      <c r="D973">
        <v>592</v>
      </c>
      <c r="E973">
        <v>189</v>
      </c>
      <c r="F973">
        <f t="shared" si="60"/>
        <v>-0.60057194173355133</v>
      </c>
      <c r="G973">
        <f t="shared" si="61"/>
        <v>-1.1333193277773246</v>
      </c>
      <c r="I973">
        <f t="shared" si="63"/>
        <v>-0.86694563475543795</v>
      </c>
    </row>
    <row r="974" spans="1:9">
      <c r="A974" t="s">
        <v>12</v>
      </c>
      <c r="B974" s="2">
        <f t="shared" si="62"/>
        <v>48</v>
      </c>
      <c r="C974">
        <v>255</v>
      </c>
      <c r="D974">
        <v>27</v>
      </c>
      <c r="E974">
        <v>54</v>
      </c>
      <c r="F974">
        <f t="shared" si="60"/>
        <v>-1.6254361421976267</v>
      </c>
      <c r="G974">
        <f t="shared" si="61"/>
        <v>-1.3612936300277432</v>
      </c>
      <c r="I974">
        <f t="shared" si="63"/>
        <v>-1.4933648861126849</v>
      </c>
    </row>
    <row r="975" spans="1:9">
      <c r="A975" t="s">
        <v>9</v>
      </c>
      <c r="B975" s="2">
        <f t="shared" si="62"/>
        <v>48</v>
      </c>
      <c r="C975">
        <v>269</v>
      </c>
      <c r="D975">
        <v>2</v>
      </c>
      <c r="E975">
        <v>10</v>
      </c>
      <c r="F975">
        <f t="shared" si="60"/>
        <v>-2.7789820102610854</v>
      </c>
      <c r="G975">
        <f t="shared" si="61"/>
        <v>-2.1168994894191644</v>
      </c>
      <c r="I975">
        <f t="shared" si="63"/>
        <v>-2.4479407498401251</v>
      </c>
    </row>
    <row r="976" spans="1:9">
      <c r="A976" t="s">
        <v>13</v>
      </c>
      <c r="B976" s="2">
        <f t="shared" si="62"/>
        <v>48</v>
      </c>
      <c r="C976">
        <v>835</v>
      </c>
      <c r="D976">
        <v>16</v>
      </c>
      <c r="E976">
        <v>72</v>
      </c>
      <c r="F976">
        <f t="shared" si="60"/>
        <v>-2.3678262187503361</v>
      </c>
      <c r="G976">
        <f t="shared" si="61"/>
        <v>-1.7515011884690899</v>
      </c>
      <c r="I976">
        <f t="shared" si="63"/>
        <v>-2.0596637036097132</v>
      </c>
    </row>
    <row r="977" spans="1:9">
      <c r="A977" t="s">
        <v>14</v>
      </c>
      <c r="B977" s="2">
        <f t="shared" si="62"/>
        <v>48</v>
      </c>
      <c r="C977">
        <v>532</v>
      </c>
      <c r="D977">
        <v>29</v>
      </c>
      <c r="E977">
        <v>75</v>
      </c>
      <c r="F977">
        <f t="shared" si="60"/>
        <v>-1.913773360318751</v>
      </c>
      <c r="G977">
        <f t="shared" si="61"/>
        <v>-1.5379975783201045</v>
      </c>
      <c r="I977">
        <f t="shared" si="63"/>
        <v>-1.7258854693194277</v>
      </c>
    </row>
    <row r="978" spans="1:9">
      <c r="A978" t="s">
        <v>15</v>
      </c>
      <c r="B978" s="2">
        <f t="shared" si="62"/>
        <v>48</v>
      </c>
      <c r="C978">
        <v>623</v>
      </c>
      <c r="D978">
        <v>30</v>
      </c>
      <c r="E978">
        <v>128</v>
      </c>
      <c r="F978">
        <f t="shared" si="60"/>
        <v>-1.9676265178621659</v>
      </c>
      <c r="G978">
        <f t="shared" si="61"/>
        <v>-1.3744252864280577</v>
      </c>
      <c r="I978">
        <f t="shared" si="63"/>
        <v>-1.6710259021451117</v>
      </c>
    </row>
    <row r="979" spans="1:9">
      <c r="A979" t="s">
        <v>16</v>
      </c>
      <c r="B979" s="2">
        <f t="shared" si="62"/>
        <v>48</v>
      </c>
      <c r="C979">
        <v>659</v>
      </c>
      <c r="D979">
        <v>11</v>
      </c>
      <c r="E979">
        <v>39</v>
      </c>
      <c r="F979">
        <f t="shared" si="60"/>
        <v>-2.4277524553584438</v>
      </c>
      <c r="G979">
        <f t="shared" si="61"/>
        <v>-1.9149680169842673</v>
      </c>
      <c r="I979">
        <f t="shared" si="63"/>
        <v>-2.1713602361713553</v>
      </c>
    </row>
    <row r="980" spans="1:9">
      <c r="A980" t="s">
        <v>17</v>
      </c>
      <c r="B980" s="2">
        <f t="shared" si="62"/>
        <v>48</v>
      </c>
      <c r="C980">
        <v>792</v>
      </c>
      <c r="D980">
        <v>13</v>
      </c>
      <c r="E980">
        <v>89</v>
      </c>
      <c r="F980">
        <f t="shared" si="60"/>
        <v>-2.4350415552053155</v>
      </c>
      <c r="G980">
        <f t="shared" si="61"/>
        <v>-1.6364823843613372</v>
      </c>
      <c r="I980">
        <f t="shared" si="63"/>
        <v>-2.0357619697833265</v>
      </c>
    </row>
    <row r="981" spans="1:9">
      <c r="A981" t="s">
        <v>18</v>
      </c>
      <c r="B981" s="2">
        <f t="shared" si="62"/>
        <v>48</v>
      </c>
      <c r="C981">
        <v>415</v>
      </c>
      <c r="D981">
        <v>31</v>
      </c>
      <c r="E981">
        <v>71</v>
      </c>
      <c r="F981">
        <f t="shared" si="60"/>
        <v>-1.7769461288004789</v>
      </c>
      <c r="G981">
        <f t="shared" si="61"/>
        <v>-1.4539369574097738</v>
      </c>
      <c r="I981">
        <f t="shared" si="63"/>
        <v>-1.6154415431051263</v>
      </c>
    </row>
    <row r="982" spans="1:9">
      <c r="A982" t="s">
        <v>19</v>
      </c>
      <c r="B982" s="2">
        <f t="shared" si="62"/>
        <v>48</v>
      </c>
      <c r="C982">
        <v>669</v>
      </c>
      <c r="D982">
        <v>18</v>
      </c>
      <c r="E982">
        <v>108</v>
      </c>
      <c r="F982">
        <f t="shared" si="60"/>
        <v>-2.2204133385871758</v>
      </c>
      <c r="G982">
        <f t="shared" si="61"/>
        <v>-1.4791495716976297</v>
      </c>
      <c r="I982">
        <f t="shared" si="63"/>
        <v>-1.8497814551424028</v>
      </c>
    </row>
    <row r="983" spans="1:9">
      <c r="A983" t="s">
        <v>20</v>
      </c>
      <c r="B983" s="2">
        <f t="shared" si="62"/>
        <v>48</v>
      </c>
      <c r="C983">
        <v>715</v>
      </c>
      <c r="D983">
        <v>174</v>
      </c>
      <c r="E983">
        <v>92</v>
      </c>
      <c r="F983">
        <f t="shared" si="60"/>
        <v>-1.2640165194411397</v>
      </c>
      <c r="G983">
        <f t="shared" si="61"/>
        <v>-1.5776654238722818</v>
      </c>
      <c r="I983">
        <f t="shared" si="63"/>
        <v>-1.4208409716567107</v>
      </c>
    </row>
    <row r="984" spans="1:9">
      <c r="A984" t="s">
        <v>21</v>
      </c>
      <c r="B984" s="2">
        <f t="shared" si="62"/>
        <v>48</v>
      </c>
      <c r="C984">
        <v>610</v>
      </c>
      <c r="D984">
        <v>18</v>
      </c>
      <c r="E984">
        <v>25</v>
      </c>
      <c r="F984">
        <f t="shared" si="60"/>
        <v>-2.1803170558301197</v>
      </c>
      <c r="G984">
        <f t="shared" si="61"/>
        <v>-2.074537035755486</v>
      </c>
      <c r="I984">
        <f t="shared" si="63"/>
        <v>-2.1274270457928028</v>
      </c>
    </row>
    <row r="985" spans="1:9">
      <c r="A985" t="s">
        <v>22</v>
      </c>
      <c r="B985" s="2">
        <f t="shared" si="62"/>
        <v>48</v>
      </c>
      <c r="C985">
        <v>244</v>
      </c>
      <c r="D985">
        <v>154</v>
      </c>
      <c r="E985">
        <v>571</v>
      </c>
      <c r="F985">
        <f t="shared" si="60"/>
        <v>-0.85012883142492512</v>
      </c>
      <c r="G985">
        <f t="shared" si="61"/>
        <v>-0.31790092750963778</v>
      </c>
      <c r="I985">
        <f t="shared" si="63"/>
        <v>-0.58401487946728148</v>
      </c>
    </row>
    <row r="986" spans="1:9">
      <c r="A986" t="s">
        <v>23</v>
      </c>
      <c r="B986" s="2">
        <f t="shared" si="62"/>
        <v>48</v>
      </c>
      <c r="C986">
        <v>532</v>
      </c>
      <c r="D986">
        <v>84</v>
      </c>
      <c r="E986">
        <v>737</v>
      </c>
      <c r="F986">
        <f t="shared" si="60"/>
        <v>-1.4518920721558253</v>
      </c>
      <c r="G986">
        <f t="shared" si="61"/>
        <v>-0.54559135385275315</v>
      </c>
      <c r="I986">
        <f t="shared" si="63"/>
        <v>-0.99874171300428927</v>
      </c>
    </row>
    <row r="987" spans="1:9">
      <c r="A987" t="s">
        <v>24</v>
      </c>
      <c r="B987" s="2">
        <f t="shared" si="62"/>
        <v>48</v>
      </c>
      <c r="C987">
        <v>405</v>
      </c>
      <c r="D987">
        <v>8252</v>
      </c>
      <c r="E987">
        <v>11951</v>
      </c>
      <c r="F987">
        <f t="shared" si="60"/>
        <v>0.65884447016378656</v>
      </c>
      <c r="G987">
        <f t="shared" si="61"/>
        <v>0.7828020137666728</v>
      </c>
      <c r="I987">
        <f t="shared" si="63"/>
        <v>0.72082324196522962</v>
      </c>
    </row>
    <row r="988" spans="1:9">
      <c r="A988" t="s">
        <v>25</v>
      </c>
      <c r="B988" s="2">
        <f t="shared" si="62"/>
        <v>48</v>
      </c>
      <c r="C988">
        <v>604</v>
      </c>
      <c r="D988">
        <v>121</v>
      </c>
      <c r="E988">
        <v>68</v>
      </c>
      <c r="F988">
        <f t="shared" si="60"/>
        <v>-1.3485112942273405</v>
      </c>
      <c r="G988">
        <f t="shared" si="61"/>
        <v>-1.6356752353316519</v>
      </c>
      <c r="I988">
        <f t="shared" si="63"/>
        <v>-1.4920932647794962</v>
      </c>
    </row>
    <row r="989" spans="1:9">
      <c r="A989" t="s">
        <v>7</v>
      </c>
      <c r="B989" s="2">
        <f t="shared" si="62"/>
        <v>49</v>
      </c>
      <c r="C989">
        <v>389</v>
      </c>
      <c r="D989">
        <v>6</v>
      </c>
      <c r="E989">
        <v>53</v>
      </c>
      <c r="F989">
        <f t="shared" si="60"/>
        <v>-2.4620580768647229</v>
      </c>
      <c r="G989">
        <f t="shared" si="61"/>
        <v>-1.5528209411416751</v>
      </c>
      <c r="I989">
        <f t="shared" si="63"/>
        <v>-2.0074395090031989</v>
      </c>
    </row>
    <row r="990" spans="1:9">
      <c r="A990" t="s">
        <v>8</v>
      </c>
      <c r="B990" s="2">
        <f t="shared" si="62"/>
        <v>49</v>
      </c>
      <c r="C990">
        <v>517</v>
      </c>
      <c r="D990">
        <v>10</v>
      </c>
      <c r="E990">
        <v>22</v>
      </c>
      <c r="F990">
        <f t="shared" si="60"/>
        <v>-2.3637502690166015</v>
      </c>
      <c r="G990">
        <f t="shared" si="61"/>
        <v>-2.0582150716884926</v>
      </c>
      <c r="I990">
        <f t="shared" si="63"/>
        <v>-2.2109826703525473</v>
      </c>
    </row>
    <row r="991" spans="1:9">
      <c r="A991" t="s">
        <v>5</v>
      </c>
      <c r="B991" s="2">
        <f t="shared" si="62"/>
        <v>49</v>
      </c>
      <c r="C991">
        <v>488</v>
      </c>
      <c r="D991">
        <v>208</v>
      </c>
      <c r="E991">
        <v>61</v>
      </c>
      <c r="F991">
        <f t="shared" si="60"/>
        <v>-1.020616212962608</v>
      </c>
      <c r="G991">
        <f t="shared" si="61"/>
        <v>-1.5902371964087001</v>
      </c>
      <c r="I991">
        <f t="shared" si="63"/>
        <v>-1.305426704685654</v>
      </c>
    </row>
    <row r="992" spans="1:9">
      <c r="A992" t="s">
        <v>6</v>
      </c>
      <c r="B992" s="2">
        <f t="shared" si="62"/>
        <v>49</v>
      </c>
      <c r="C992">
        <v>421</v>
      </c>
      <c r="D992">
        <v>88</v>
      </c>
      <c r="E992">
        <v>44</v>
      </c>
      <c r="F992">
        <f t="shared" si="60"/>
        <v>-1.3300591496081586</v>
      </c>
      <c r="G992">
        <f t="shared" si="61"/>
        <v>-1.6679766287662372</v>
      </c>
      <c r="I992">
        <f t="shared" si="63"/>
        <v>-1.4990178891871979</v>
      </c>
    </row>
    <row r="993" spans="1:9">
      <c r="A993" t="s">
        <v>10</v>
      </c>
      <c r="B993" s="2">
        <f t="shared" si="62"/>
        <v>49</v>
      </c>
      <c r="C993">
        <v>521</v>
      </c>
      <c r="D993">
        <v>9</v>
      </c>
      <c r="E993">
        <v>35</v>
      </c>
      <c r="F993">
        <f t="shared" si="60"/>
        <v>-2.4128549397828585</v>
      </c>
      <c r="G993">
        <f t="shared" si="61"/>
        <v>-1.8599168883660053</v>
      </c>
      <c r="I993">
        <f t="shared" si="63"/>
        <v>-2.1363859140744319</v>
      </c>
    </row>
    <row r="994" spans="1:9">
      <c r="A994" t="s">
        <v>11</v>
      </c>
      <c r="B994" s="2">
        <f t="shared" si="62"/>
        <v>49</v>
      </c>
      <c r="C994">
        <v>332</v>
      </c>
      <c r="D994">
        <v>7</v>
      </c>
      <c r="E994">
        <v>17</v>
      </c>
      <c r="F994">
        <f t="shared" si="60"/>
        <v>-2.3262997696124383</v>
      </c>
      <c r="G994">
        <f t="shared" si="61"/>
        <v>-1.9778363717425189</v>
      </c>
      <c r="I994">
        <f t="shared" si="63"/>
        <v>-2.1520680706774789</v>
      </c>
    </row>
    <row r="995" spans="1:9">
      <c r="A995" t="s">
        <v>12</v>
      </c>
      <c r="B995" s="2">
        <f t="shared" si="62"/>
        <v>49</v>
      </c>
      <c r="C995">
        <v>607</v>
      </c>
      <c r="D995">
        <v>71</v>
      </c>
      <c r="E995">
        <v>99</v>
      </c>
      <c r="F995">
        <f t="shared" si="60"/>
        <v>-1.582190068278841</v>
      </c>
      <c r="G995">
        <f t="shared" si="61"/>
        <v>-1.4747007058944641</v>
      </c>
      <c r="I995">
        <f t="shared" si="63"/>
        <v>-1.5284453870866526</v>
      </c>
    </row>
    <row r="996" spans="1:9">
      <c r="A996" t="s">
        <v>9</v>
      </c>
      <c r="B996" s="2">
        <f t="shared" si="62"/>
        <v>49</v>
      </c>
      <c r="C996">
        <v>342</v>
      </c>
      <c r="D996">
        <v>4</v>
      </c>
      <c r="E996">
        <v>16</v>
      </c>
      <c r="F996">
        <f t="shared" si="60"/>
        <v>-2.5822258406508314</v>
      </c>
      <c r="G996">
        <f t="shared" si="61"/>
        <v>-2.0170533328169666</v>
      </c>
      <c r="I996">
        <f t="shared" si="63"/>
        <v>-2.2996395867338988</v>
      </c>
    </row>
    <row r="997" spans="1:9">
      <c r="A997" t="s">
        <v>13</v>
      </c>
      <c r="B997" s="2">
        <f t="shared" si="62"/>
        <v>49</v>
      </c>
      <c r="C997">
        <v>337</v>
      </c>
      <c r="D997">
        <v>5</v>
      </c>
      <c r="E997">
        <v>21</v>
      </c>
      <c r="F997">
        <f t="shared" si="60"/>
        <v>-2.4789196224579788</v>
      </c>
      <c r="G997">
        <f t="shared" si="61"/>
        <v>-1.8925578155541758</v>
      </c>
      <c r="I997">
        <f t="shared" si="63"/>
        <v>-2.1857387190060775</v>
      </c>
    </row>
    <row r="998" spans="1:9">
      <c r="A998" t="s">
        <v>14</v>
      </c>
      <c r="B998" s="2">
        <f t="shared" si="62"/>
        <v>49</v>
      </c>
      <c r="C998">
        <v>17</v>
      </c>
      <c r="D998">
        <v>75</v>
      </c>
      <c r="E998">
        <v>87</v>
      </c>
      <c r="F998">
        <f t="shared" si="60"/>
        <v>-5.647383909232695E-3</v>
      </c>
      <c r="G998">
        <f t="shared" si="61"/>
        <v>2.1923121823588132E-2</v>
      </c>
      <c r="I998">
        <f t="shared" si="63"/>
        <v>8.1378689571777185E-3</v>
      </c>
    </row>
    <row r="999" spans="1:9">
      <c r="A999" t="s">
        <v>15</v>
      </c>
      <c r="B999" s="2">
        <f t="shared" si="62"/>
        <v>49</v>
      </c>
      <c r="C999">
        <v>1191</v>
      </c>
      <c r="D999">
        <v>95</v>
      </c>
      <c r="E999">
        <v>139</v>
      </c>
      <c r="F999">
        <f t="shared" si="60"/>
        <v>-1.7484478821165885</v>
      </c>
      <c r="G999">
        <f t="shared" si="61"/>
        <v>-1.6200441706454387</v>
      </c>
      <c r="I999">
        <f t="shared" si="63"/>
        <v>-1.6842460263810137</v>
      </c>
    </row>
    <row r="1000" spans="1:9">
      <c r="A1000" t="s">
        <v>16</v>
      </c>
      <c r="B1000" s="2">
        <f t="shared" si="62"/>
        <v>49</v>
      </c>
      <c r="C1000">
        <v>404</v>
      </c>
      <c r="D1000">
        <v>20</v>
      </c>
      <c r="E1000">
        <v>97</v>
      </c>
      <c r="F1000">
        <f t="shared" si="60"/>
        <v>-1.9556110953692825</v>
      </c>
      <c r="G1000">
        <f t="shared" si="61"/>
        <v>-1.3067568402611167</v>
      </c>
      <c r="I1000">
        <f t="shared" si="63"/>
        <v>-1.6311839678151996</v>
      </c>
    </row>
    <row r="1001" spans="1:9">
      <c r="A1001" t="s">
        <v>17</v>
      </c>
      <c r="B1001" s="2">
        <f t="shared" si="62"/>
        <v>49</v>
      </c>
      <c r="C1001">
        <v>828</v>
      </c>
      <c r="D1001">
        <v>78</v>
      </c>
      <c r="E1001">
        <v>49</v>
      </c>
      <c r="F1001">
        <f t="shared" si="60"/>
        <v>-1.6761954600170585</v>
      </c>
      <c r="G1001">
        <f t="shared" si="61"/>
        <v>-1.9149814661731228</v>
      </c>
      <c r="I1001">
        <f t="shared" si="63"/>
        <v>-1.7955884630950907</v>
      </c>
    </row>
    <row r="1002" spans="1:9">
      <c r="A1002" t="s">
        <v>18</v>
      </c>
      <c r="B1002" s="2">
        <f t="shared" si="62"/>
        <v>49</v>
      </c>
      <c r="C1002">
        <v>517</v>
      </c>
      <c r="D1002">
        <v>49</v>
      </c>
      <c r="E1002">
        <v>106</v>
      </c>
      <c r="F1002">
        <f t="shared" si="60"/>
        <v>-1.6735541889880876</v>
      </c>
      <c r="G1002">
        <f t="shared" si="61"/>
        <v>-1.3753318872459288</v>
      </c>
      <c r="I1002">
        <f t="shared" si="63"/>
        <v>-1.5244430381170082</v>
      </c>
    </row>
    <row r="1003" spans="1:9">
      <c r="A1003" t="s">
        <v>19</v>
      </c>
      <c r="B1003" s="2">
        <f t="shared" si="62"/>
        <v>49</v>
      </c>
      <c r="C1003">
        <v>573</v>
      </c>
      <c r="D1003">
        <v>5</v>
      </c>
      <c r="E1003">
        <v>36</v>
      </c>
      <c r="F1003">
        <f t="shared" si="60"/>
        <v>-2.7094443435540301</v>
      </c>
      <c r="G1003">
        <f t="shared" si="61"/>
        <v>-1.8889993306168593</v>
      </c>
      <c r="I1003">
        <f t="shared" si="63"/>
        <v>-2.2992218370854447</v>
      </c>
    </row>
    <row r="1004" spans="1:9">
      <c r="A1004" t="s">
        <v>20</v>
      </c>
      <c r="B1004" s="2">
        <f t="shared" si="62"/>
        <v>49</v>
      </c>
      <c r="C1004">
        <v>535</v>
      </c>
      <c r="D1004">
        <v>29</v>
      </c>
      <c r="E1004">
        <v>94</v>
      </c>
      <c r="F1004">
        <f t="shared" si="60"/>
        <v>-1.9162155100449312</v>
      </c>
      <c r="G1004">
        <f t="shared" si="61"/>
        <v>-1.4423731378382862</v>
      </c>
      <c r="I1004">
        <f t="shared" si="63"/>
        <v>-1.6792943239416087</v>
      </c>
    </row>
    <row r="1005" spans="1:9">
      <c r="A1005" t="s">
        <v>21</v>
      </c>
      <c r="B1005" s="2">
        <f t="shared" si="62"/>
        <v>49</v>
      </c>
      <c r="C1005">
        <v>528</v>
      </c>
      <c r="D1005">
        <v>4</v>
      </c>
      <c r="E1005">
        <v>22</v>
      </c>
      <c r="F1005">
        <f t="shared" si="60"/>
        <v>-2.7708336571285086</v>
      </c>
      <c r="G1005">
        <f t="shared" si="61"/>
        <v>-2.0673584511283627</v>
      </c>
      <c r="I1005">
        <f t="shared" si="63"/>
        <v>-2.4190960541284356</v>
      </c>
    </row>
    <row r="1006" spans="1:9">
      <c r="A1006" t="s">
        <v>22</v>
      </c>
      <c r="B1006" s="2">
        <f t="shared" si="62"/>
        <v>49</v>
      </c>
      <c r="C1006">
        <v>286</v>
      </c>
      <c r="D1006">
        <v>130</v>
      </c>
      <c r="E1006">
        <v>15</v>
      </c>
      <c r="F1006">
        <f t="shared" si="60"/>
        <v>-0.99268240674486496</v>
      </c>
      <c r="G1006">
        <f t="shared" si="61"/>
        <v>-1.9674219834901181</v>
      </c>
      <c r="I1006">
        <f t="shared" si="63"/>
        <v>-1.4800521951174916</v>
      </c>
    </row>
    <row r="1007" spans="1:9">
      <c r="A1007" t="s">
        <v>23</v>
      </c>
      <c r="B1007" s="2">
        <f t="shared" si="62"/>
        <v>49</v>
      </c>
      <c r="C1007">
        <v>362</v>
      </c>
      <c r="D1007">
        <v>6</v>
      </c>
      <c r="E1007">
        <v>23</v>
      </c>
      <c r="F1007">
        <f t="shared" si="60"/>
        <v>-2.430817046072181</v>
      </c>
      <c r="G1007">
        <f t="shared" si="61"/>
        <v>-1.8841279439323291</v>
      </c>
      <c r="I1007">
        <f t="shared" si="63"/>
        <v>-2.157472495002255</v>
      </c>
    </row>
    <row r="1008" spans="1:9">
      <c r="A1008" t="s">
        <v>24</v>
      </c>
      <c r="B1008" s="2">
        <f t="shared" si="62"/>
        <v>49</v>
      </c>
      <c r="C1008">
        <v>546</v>
      </c>
      <c r="D1008">
        <v>39</v>
      </c>
      <c r="E1008">
        <v>35</v>
      </c>
      <c r="F1008">
        <f t="shared" si="60"/>
        <v>-1.7963877616008967</v>
      </c>
      <c r="G1008">
        <f t="shared" si="61"/>
        <v>-1.8802718077712179</v>
      </c>
      <c r="I1008">
        <f t="shared" si="63"/>
        <v>-1.8383297846860573</v>
      </c>
    </row>
    <row r="1009" spans="1:9">
      <c r="A1009" t="s">
        <v>25</v>
      </c>
      <c r="B1009" s="2">
        <f t="shared" si="62"/>
        <v>49</v>
      </c>
      <c r="C1009">
        <v>573</v>
      </c>
      <c r="D1009">
        <v>16</v>
      </c>
      <c r="E1009">
        <v>45</v>
      </c>
      <c r="F1009">
        <f t="shared" si="60"/>
        <v>-2.2042943652341238</v>
      </c>
      <c r="G1009">
        <f t="shared" si="61"/>
        <v>-1.7920893176088026</v>
      </c>
      <c r="I1009">
        <f t="shared" si="63"/>
        <v>-1.9981918414214632</v>
      </c>
    </row>
    <row r="1010" spans="1:9">
      <c r="A1010" t="s">
        <v>7</v>
      </c>
      <c r="B1010" s="2">
        <f t="shared" si="62"/>
        <v>50</v>
      </c>
      <c r="C1010">
        <v>410</v>
      </c>
      <c r="D1010">
        <v>3322</v>
      </c>
      <c r="E1010">
        <v>1538</v>
      </c>
      <c r="F1010">
        <f>LOG10(D1010/C1010)-LOG10(271026/74916)</f>
        <v>0.35017939686952881</v>
      </c>
      <c r="G1010">
        <f>LOG10(E1010/C1010)-LOG10(184425/74916)</f>
        <v>0.18292726759417366</v>
      </c>
      <c r="I1010">
        <f t="shared" si="63"/>
        <v>0.26655333223185124</v>
      </c>
    </row>
    <row r="1011" spans="1:9">
      <c r="A1011" t="s">
        <v>8</v>
      </c>
      <c r="B1011" s="2">
        <f t="shared" si="62"/>
        <v>50</v>
      </c>
      <c r="C1011">
        <v>368</v>
      </c>
      <c r="D1011">
        <v>1255</v>
      </c>
      <c r="E1011">
        <v>289</v>
      </c>
      <c r="F1011">
        <f t="shared" ref="F1011:F1074" si="64">LOG10(D1011/C1011)-LOG10(271026/74916)</f>
        <v>-2.5640467382571974E-2</v>
      </c>
      <c r="G1011">
        <f t="shared" ref="G1011:G1074" si="65">LOG10(E1011/C1011)-LOG10(184425/74916)</f>
        <v>-0.49619518706847282</v>
      </c>
      <c r="I1011">
        <f t="shared" si="63"/>
        <v>-0.26091782722552237</v>
      </c>
    </row>
    <row r="1012" spans="1:9">
      <c r="A1012" t="s">
        <v>5</v>
      </c>
      <c r="B1012" s="2">
        <f t="shared" si="62"/>
        <v>50</v>
      </c>
      <c r="C1012">
        <v>524</v>
      </c>
      <c r="D1012">
        <v>19479</v>
      </c>
      <c r="E1012">
        <v>14786</v>
      </c>
      <c r="F1012">
        <f t="shared" si="64"/>
        <v>1.0117989960825806</v>
      </c>
      <c r="G1012">
        <f t="shared" si="65"/>
        <v>1.0592742037262688</v>
      </c>
      <c r="I1012">
        <f t="shared" si="63"/>
        <v>1.0355365999044248</v>
      </c>
    </row>
    <row r="1013" spans="1:9">
      <c r="A1013" t="s">
        <v>6</v>
      </c>
      <c r="B1013" s="2">
        <f t="shared" si="62"/>
        <v>50</v>
      </c>
      <c r="C1013">
        <v>470</v>
      </c>
      <c r="D1013">
        <v>11115</v>
      </c>
      <c r="E1013">
        <v>12315</v>
      </c>
      <c r="F1013">
        <f t="shared" si="64"/>
        <v>0.81537523457318073</v>
      </c>
      <c r="G1013">
        <f t="shared" si="65"/>
        <v>1.0270913470879015</v>
      </c>
      <c r="I1013">
        <f t="shared" si="63"/>
        <v>0.92123329083054117</v>
      </c>
    </row>
    <row r="1014" spans="1:9">
      <c r="A1014" t="s">
        <v>10</v>
      </c>
      <c r="B1014" s="2">
        <f t="shared" si="62"/>
        <v>50</v>
      </c>
      <c r="C1014">
        <v>749</v>
      </c>
      <c r="D1014">
        <v>2827</v>
      </c>
      <c r="E1014">
        <v>1157</v>
      </c>
      <c r="F1014">
        <f t="shared" si="64"/>
        <v>1.8407616263941828E-2</v>
      </c>
      <c r="G1014">
        <f t="shared" si="65"/>
        <v>-0.20239366989921992</v>
      </c>
      <c r="I1014">
        <f t="shared" si="63"/>
        <v>-9.1993026817639045E-2</v>
      </c>
    </row>
    <row r="1015" spans="1:9">
      <c r="A1015" t="s">
        <v>11</v>
      </c>
      <c r="B1015" s="2">
        <f t="shared" si="62"/>
        <v>50</v>
      </c>
      <c r="C1015">
        <v>20</v>
      </c>
      <c r="D1015">
        <v>63</v>
      </c>
      <c r="E1015">
        <v>71</v>
      </c>
      <c r="F1015">
        <f t="shared" si="64"/>
        <v>-6.0125820736510793E-2</v>
      </c>
      <c r="G1015">
        <f t="shared" si="65"/>
        <v>0.15898314190359109</v>
      </c>
      <c r="I1015">
        <f t="shared" si="63"/>
        <v>4.9428660583540146E-2</v>
      </c>
    </row>
    <row r="1016" spans="1:9">
      <c r="A1016" t="s">
        <v>12</v>
      </c>
      <c r="B1016" s="2">
        <f t="shared" si="62"/>
        <v>50</v>
      </c>
      <c r="C1016">
        <v>564</v>
      </c>
      <c r="D1016">
        <v>8625</v>
      </c>
      <c r="E1016">
        <v>1803</v>
      </c>
      <c r="F1016">
        <f t="shared" si="64"/>
        <v>0.62604362523585821</v>
      </c>
      <c r="G1016">
        <f t="shared" si="65"/>
        <v>0.11347141158755658</v>
      </c>
      <c r="I1016">
        <f t="shared" si="63"/>
        <v>0.3697575184117074</v>
      </c>
    </row>
    <row r="1017" spans="1:9">
      <c r="A1017" t="s">
        <v>9</v>
      </c>
      <c r="B1017" s="2">
        <f t="shared" si="62"/>
        <v>50</v>
      </c>
      <c r="C1017">
        <v>333</v>
      </c>
      <c r="D1017">
        <v>1433</v>
      </c>
      <c r="E1017">
        <v>30525</v>
      </c>
      <c r="F1017">
        <f t="shared" si="64"/>
        <v>7.5365582364913308E-2</v>
      </c>
      <c r="G1017">
        <f t="shared" si="65"/>
        <v>1.5709662279590972</v>
      </c>
      <c r="I1017">
        <f t="shared" si="63"/>
        <v>0.82316590516200527</v>
      </c>
    </row>
    <row r="1018" spans="1:9">
      <c r="A1018" t="s">
        <v>13</v>
      </c>
      <c r="B1018" s="2">
        <f t="shared" si="62"/>
        <v>50</v>
      </c>
      <c r="C1018">
        <v>338</v>
      </c>
      <c r="D1018">
        <v>2030</v>
      </c>
      <c r="E1018">
        <v>292</v>
      </c>
      <c r="F1018">
        <f t="shared" si="64"/>
        <v>0.22014296310944692</v>
      </c>
      <c r="G1018">
        <f t="shared" si="65"/>
        <v>-0.45477905998073948</v>
      </c>
      <c r="I1018">
        <f t="shared" si="63"/>
        <v>-0.11731804843564628</v>
      </c>
    </row>
    <row r="1019" spans="1:9">
      <c r="A1019" t="s">
        <v>14</v>
      </c>
      <c r="B1019" s="2">
        <f t="shared" si="62"/>
        <v>50</v>
      </c>
      <c r="C1019">
        <v>303</v>
      </c>
      <c r="D1019">
        <v>1169</v>
      </c>
      <c r="E1019">
        <v>579</v>
      </c>
      <c r="F1019">
        <f t="shared" si="64"/>
        <v>2.7935508133423825E-2</v>
      </c>
      <c r="G1019">
        <f t="shared" si="65"/>
        <v>-0.11000927592637183</v>
      </c>
      <c r="I1019">
        <f t="shared" si="63"/>
        <v>-4.1036883896474002E-2</v>
      </c>
    </row>
    <row r="1020" spans="1:9">
      <c r="A1020" t="s">
        <v>15</v>
      </c>
      <c r="B1020" s="2">
        <f t="shared" si="62"/>
        <v>50</v>
      </c>
      <c r="C1020">
        <v>556</v>
      </c>
      <c r="D1020">
        <v>2407</v>
      </c>
      <c r="E1020">
        <v>21675</v>
      </c>
      <c r="F1020">
        <f t="shared" si="64"/>
        <v>7.7964924166861294E-2</v>
      </c>
      <c r="G1020">
        <f t="shared" si="65"/>
        <v>1.1996391034146874</v>
      </c>
      <c r="I1020">
        <f t="shared" si="63"/>
        <v>0.63880201379077439</v>
      </c>
    </row>
    <row r="1021" spans="1:9">
      <c r="A1021" t="s">
        <v>16</v>
      </c>
      <c r="B1021" s="2">
        <f t="shared" si="62"/>
        <v>50</v>
      </c>
      <c r="C1021">
        <v>569</v>
      </c>
      <c r="D1021">
        <v>319</v>
      </c>
      <c r="E1021">
        <v>136</v>
      </c>
      <c r="F1021">
        <f t="shared" si="64"/>
        <v>-0.80975795786400129</v>
      </c>
      <c r="G1021">
        <f t="shared" si="65"/>
        <v>-1.0128185691763567</v>
      </c>
      <c r="I1021">
        <f t="shared" si="63"/>
        <v>-0.911288263520179</v>
      </c>
    </row>
    <row r="1022" spans="1:9">
      <c r="A1022" t="s">
        <v>17</v>
      </c>
      <c r="B1022" s="2">
        <f t="shared" si="62"/>
        <v>50</v>
      </c>
      <c r="C1022">
        <v>884</v>
      </c>
      <c r="D1022">
        <v>7903</v>
      </c>
      <c r="E1022">
        <v>1672</v>
      </c>
      <c r="F1022">
        <f t="shared" si="64"/>
        <v>0.39290334240004032</v>
      </c>
      <c r="G1022">
        <f t="shared" si="65"/>
        <v>-0.11446120306157853</v>
      </c>
      <c r="I1022">
        <f t="shared" si="63"/>
        <v>0.1392210696692309</v>
      </c>
    </row>
    <row r="1023" spans="1:9">
      <c r="A1023" t="s">
        <v>18</v>
      </c>
      <c r="B1023" s="2">
        <f t="shared" si="62"/>
        <v>50</v>
      </c>
      <c r="C1023">
        <v>453</v>
      </c>
      <c r="D1023">
        <v>362</v>
      </c>
      <c r="E1023">
        <v>191</v>
      </c>
      <c r="F1023">
        <f t="shared" si="64"/>
        <v>-0.65582600600577745</v>
      </c>
      <c r="G1023">
        <f t="shared" si="65"/>
        <v>-0.76631004591660734</v>
      </c>
      <c r="I1023">
        <f t="shared" si="63"/>
        <v>-0.71106802596119234</v>
      </c>
    </row>
    <row r="1024" spans="1:9">
      <c r="A1024" t="s">
        <v>19</v>
      </c>
      <c r="B1024" s="2">
        <f t="shared" si="62"/>
        <v>50</v>
      </c>
      <c r="C1024">
        <v>799</v>
      </c>
      <c r="D1024">
        <v>9980</v>
      </c>
      <c r="E1024">
        <v>3151</v>
      </c>
      <c r="F1024">
        <f t="shared" si="64"/>
        <v>0.53814738744726853</v>
      </c>
      <c r="G1024">
        <f t="shared" si="65"/>
        <v>0.20465641270850521</v>
      </c>
      <c r="I1024">
        <f t="shared" si="63"/>
        <v>0.37140190007788687</v>
      </c>
    </row>
    <row r="1025" spans="1:9">
      <c r="A1025" t="s">
        <v>20</v>
      </c>
      <c r="B1025" s="2">
        <f t="shared" si="62"/>
        <v>50</v>
      </c>
      <c r="C1025">
        <v>309</v>
      </c>
      <c r="D1025">
        <v>1423</v>
      </c>
      <c r="E1025">
        <v>666</v>
      </c>
      <c r="F1025">
        <f t="shared" si="64"/>
        <v>0.10481004613333833</v>
      </c>
      <c r="G1025">
        <f t="shared" si="65"/>
        <v>-5.7729461406036631E-2</v>
      </c>
      <c r="I1025">
        <f t="shared" si="63"/>
        <v>2.354029236365085E-2</v>
      </c>
    </row>
    <row r="1026" spans="1:9">
      <c r="A1026" t="s">
        <v>21</v>
      </c>
      <c r="B1026" s="2">
        <f t="shared" si="62"/>
        <v>50</v>
      </c>
      <c r="C1026">
        <v>539</v>
      </c>
      <c r="D1026">
        <v>1309</v>
      </c>
      <c r="E1026">
        <v>1371</v>
      </c>
      <c r="F1026">
        <f t="shared" si="64"/>
        <v>-0.17308549316209421</v>
      </c>
      <c r="G1026">
        <f t="shared" si="65"/>
        <v>1.4203478451270901E-2</v>
      </c>
      <c r="I1026">
        <f t="shared" si="63"/>
        <v>-7.9441007355411652E-2</v>
      </c>
    </row>
    <row r="1027" spans="1:9">
      <c r="A1027" t="s">
        <v>22</v>
      </c>
      <c r="B1027" s="2">
        <f t="shared" ref="B1027:B1090" si="66">1+INT((ROW()-2)/21)+1</f>
        <v>50</v>
      </c>
      <c r="C1027">
        <v>328</v>
      </c>
      <c r="D1027">
        <v>216</v>
      </c>
      <c r="E1027">
        <v>142</v>
      </c>
      <c r="F1027">
        <f t="shared" si="64"/>
        <v>-0.73985646708685948</v>
      </c>
      <c r="G1027">
        <f t="shared" si="65"/>
        <v>-0.75483071048012562</v>
      </c>
      <c r="I1027">
        <f t="shared" ref="I1027:I1090" si="67">AVERAGE(F1027:G1027)</f>
        <v>-0.7473435887834925</v>
      </c>
    </row>
    <row r="1028" spans="1:9">
      <c r="A1028" t="s">
        <v>23</v>
      </c>
      <c r="B1028" s="2">
        <f t="shared" si="66"/>
        <v>50</v>
      </c>
      <c r="C1028">
        <v>215</v>
      </c>
      <c r="D1028">
        <v>585</v>
      </c>
      <c r="E1028">
        <v>136</v>
      </c>
      <c r="F1028">
        <f t="shared" si="64"/>
        <v>-0.12371896835953616</v>
      </c>
      <c r="G1028">
        <f t="shared" si="65"/>
        <v>-0.59014476269689087</v>
      </c>
      <c r="I1028">
        <f t="shared" si="67"/>
        <v>-0.35693186552821354</v>
      </c>
    </row>
    <row r="1029" spans="1:9">
      <c r="A1029" t="s">
        <v>24</v>
      </c>
      <c r="B1029" s="2">
        <f t="shared" si="66"/>
        <v>50</v>
      </c>
      <c r="C1029">
        <v>0</v>
      </c>
      <c r="D1029">
        <v>0</v>
      </c>
      <c r="E1029">
        <v>1</v>
      </c>
      <c r="F1029" t="e">
        <f t="shared" si="64"/>
        <v>#DIV/0!</v>
      </c>
      <c r="G1029" t="e">
        <f t="shared" si="65"/>
        <v>#DIV/0!</v>
      </c>
      <c r="I1029" t="e">
        <f t="shared" si="67"/>
        <v>#DIV/0!</v>
      </c>
    </row>
    <row r="1030" spans="1:9">
      <c r="A1030" t="s">
        <v>25</v>
      </c>
      <c r="B1030" s="2">
        <f t="shared" si="66"/>
        <v>50</v>
      </c>
      <c r="C1030">
        <v>513</v>
      </c>
      <c r="D1030">
        <v>17</v>
      </c>
      <c r="E1030">
        <v>4</v>
      </c>
      <c r="F1030">
        <f t="shared" si="64"/>
        <v>-2.0381048182596535</v>
      </c>
      <c r="G1030">
        <f t="shared" si="65"/>
        <v>-2.4993025849353567</v>
      </c>
      <c r="I1030">
        <f t="shared" si="67"/>
        <v>-2.2687037015975049</v>
      </c>
    </row>
    <row r="1031" spans="1:9">
      <c r="A1031" t="s">
        <v>7</v>
      </c>
      <c r="B1031" s="2">
        <f t="shared" si="66"/>
        <v>51</v>
      </c>
      <c r="C1031">
        <v>429</v>
      </c>
      <c r="D1031">
        <v>3133</v>
      </c>
      <c r="E1031">
        <v>53887</v>
      </c>
      <c r="F1031">
        <f t="shared" si="64"/>
        <v>0.30506672817086966</v>
      </c>
      <c r="G1031">
        <f t="shared" si="65"/>
        <v>1.7077815028667356</v>
      </c>
      <c r="I1031">
        <f t="shared" si="67"/>
        <v>1.0064241155188025</v>
      </c>
    </row>
    <row r="1032" spans="1:9">
      <c r="A1032" t="s">
        <v>8</v>
      </c>
      <c r="B1032" s="2">
        <f t="shared" si="66"/>
        <v>51</v>
      </c>
      <c r="C1032">
        <v>228</v>
      </c>
      <c r="D1032">
        <v>6</v>
      </c>
      <c r="E1032">
        <v>20</v>
      </c>
      <c r="F1032">
        <f t="shared" si="64"/>
        <v>-2.1382199711429215</v>
      </c>
      <c r="G1032">
        <f t="shared" si="65"/>
        <v>-1.4481500624879757</v>
      </c>
      <c r="I1032">
        <f t="shared" si="67"/>
        <v>-1.7931850168154486</v>
      </c>
    </row>
    <row r="1033" spans="1:9">
      <c r="A1033" t="s">
        <v>5</v>
      </c>
      <c r="B1033" s="2">
        <f t="shared" si="66"/>
        <v>51</v>
      </c>
      <c r="C1033">
        <v>526</v>
      </c>
      <c r="D1033">
        <v>66</v>
      </c>
      <c r="E1033">
        <v>49</v>
      </c>
      <c r="F1033">
        <f t="shared" si="64"/>
        <v>-1.4598781831379817</v>
      </c>
      <c r="G1033">
        <f t="shared" si="65"/>
        <v>-1.4220348752767284</v>
      </c>
      <c r="I1033">
        <f t="shared" si="67"/>
        <v>-1.4409565292073552</v>
      </c>
    </row>
    <row r="1034" spans="1:9">
      <c r="A1034" t="s">
        <v>6</v>
      </c>
      <c r="B1034" s="2">
        <f t="shared" si="66"/>
        <v>51</v>
      </c>
      <c r="C1034">
        <v>551</v>
      </c>
      <c r="D1034">
        <v>36</v>
      </c>
      <c r="E1034">
        <v>4</v>
      </c>
      <c r="F1034">
        <f t="shared" si="64"/>
        <v>-1.7432854726106091</v>
      </c>
      <c r="G1034">
        <f t="shared" si="65"/>
        <v>-2.5303368186753259</v>
      </c>
      <c r="I1034">
        <f t="shared" si="67"/>
        <v>-2.1368111456429677</v>
      </c>
    </row>
    <row r="1035" spans="1:9">
      <c r="A1035" t="s">
        <v>10</v>
      </c>
      <c r="B1035" s="2">
        <f t="shared" si="66"/>
        <v>51</v>
      </c>
      <c r="C1035">
        <v>553</v>
      </c>
      <c r="D1035">
        <v>13</v>
      </c>
      <c r="E1035">
        <v>4</v>
      </c>
      <c r="F1035">
        <f t="shared" si="64"/>
        <v>-2.1872181535239728</v>
      </c>
      <c r="G1035">
        <f t="shared" si="65"/>
        <v>-2.5319103511282388</v>
      </c>
      <c r="I1035">
        <f t="shared" si="67"/>
        <v>-2.3595642523261056</v>
      </c>
    </row>
    <row r="1036" spans="1:9">
      <c r="A1036" t="s">
        <v>11</v>
      </c>
      <c r="B1036" s="2">
        <f t="shared" si="66"/>
        <v>51</v>
      </c>
      <c r="C1036">
        <v>372</v>
      </c>
      <c r="D1036">
        <v>12</v>
      </c>
      <c r="E1036">
        <v>6</v>
      </c>
      <c r="F1036">
        <f t="shared" si="64"/>
        <v>-2.049798068360384</v>
      </c>
      <c r="G1036">
        <f t="shared" si="65"/>
        <v>-2.1836369006497569</v>
      </c>
      <c r="I1036">
        <f t="shared" si="67"/>
        <v>-2.1167174845050702</v>
      </c>
    </row>
    <row r="1037" spans="1:9">
      <c r="A1037" t="s">
        <v>12</v>
      </c>
      <c r="B1037" s="2">
        <f t="shared" si="66"/>
        <v>51</v>
      </c>
      <c r="C1037">
        <v>276</v>
      </c>
      <c r="D1037">
        <v>853</v>
      </c>
      <c r="E1037">
        <v>488</v>
      </c>
      <c r="F1037">
        <f t="shared" si="64"/>
        <v>-6.8396425423805918E-2</v>
      </c>
      <c r="G1037">
        <f t="shared" si="65"/>
        <v>-0.14373447121401009</v>
      </c>
      <c r="I1037">
        <f t="shared" si="67"/>
        <v>-0.106065448318908</v>
      </c>
    </row>
    <row r="1038" spans="1:9">
      <c r="A1038" t="s">
        <v>9</v>
      </c>
      <c r="B1038" s="2">
        <f t="shared" si="66"/>
        <v>51</v>
      </c>
      <c r="C1038">
        <v>349</v>
      </c>
      <c r="D1038">
        <v>22</v>
      </c>
      <c r="E1038">
        <v>9</v>
      </c>
      <c r="F1038">
        <f t="shared" si="64"/>
        <v>-1.7588391206630849</v>
      </c>
      <c r="G1038">
        <f t="shared" si="65"/>
        <v>-1.9798281286713579</v>
      </c>
      <c r="I1038">
        <f t="shared" si="67"/>
        <v>-1.8693336246672214</v>
      </c>
    </row>
    <row r="1039" spans="1:9">
      <c r="A1039" t="s">
        <v>13</v>
      </c>
      <c r="B1039" s="2">
        <f t="shared" si="66"/>
        <v>51</v>
      </c>
      <c r="C1039">
        <v>442</v>
      </c>
      <c r="D1039">
        <v>670</v>
      </c>
      <c r="E1039">
        <v>219</v>
      </c>
      <c r="F1039">
        <f t="shared" si="64"/>
        <v>-0.37778384117437674</v>
      </c>
      <c r="G1039">
        <f t="shared" si="65"/>
        <v>-0.6962233656604766</v>
      </c>
      <c r="I1039">
        <f t="shared" si="67"/>
        <v>-0.5370036034174267</v>
      </c>
    </row>
    <row r="1040" spans="1:9">
      <c r="A1040" t="s">
        <v>14</v>
      </c>
      <c r="B1040" s="2">
        <f t="shared" si="66"/>
        <v>51</v>
      </c>
      <c r="C1040">
        <v>74916</v>
      </c>
      <c r="D1040">
        <v>271026</v>
      </c>
      <c r="E1040">
        <v>184425</v>
      </c>
      <c r="F1040">
        <f t="shared" si="64"/>
        <v>0</v>
      </c>
      <c r="G1040">
        <f t="shared" si="65"/>
        <v>0</v>
      </c>
      <c r="I1040">
        <f t="shared" si="67"/>
        <v>0</v>
      </c>
    </row>
    <row r="1041" spans="1:9">
      <c r="A1041" t="s">
        <v>15</v>
      </c>
      <c r="B1041" s="2">
        <f t="shared" si="66"/>
        <v>51</v>
      </c>
      <c r="C1041">
        <v>408</v>
      </c>
      <c r="D1041">
        <v>128</v>
      </c>
      <c r="E1041">
        <v>52</v>
      </c>
      <c r="F1041">
        <f t="shared" si="64"/>
        <v>-1.0618865679681229</v>
      </c>
      <c r="G1041">
        <f t="shared" si="65"/>
        <v>-1.2859020306065838</v>
      </c>
      <c r="I1041">
        <f t="shared" si="67"/>
        <v>-1.1738942992873533</v>
      </c>
    </row>
    <row r="1042" spans="1:9">
      <c r="A1042" t="s">
        <v>16</v>
      </c>
      <c r="B1042" s="2">
        <f t="shared" si="66"/>
        <v>51</v>
      </c>
      <c r="C1042">
        <v>530</v>
      </c>
      <c r="D1042">
        <v>38</v>
      </c>
      <c r="E1042">
        <v>5</v>
      </c>
      <c r="F1042">
        <f t="shared" si="64"/>
        <v>-1.70292864751009</v>
      </c>
      <c r="G1042">
        <f t="shared" si="65"/>
        <v>-2.4165510764162734</v>
      </c>
      <c r="I1042">
        <f t="shared" si="67"/>
        <v>-2.0597398619631817</v>
      </c>
    </row>
    <row r="1043" spans="1:9">
      <c r="A1043" t="s">
        <v>17</v>
      </c>
      <c r="B1043" s="2">
        <f t="shared" si="66"/>
        <v>51</v>
      </c>
      <c r="C1043">
        <v>395</v>
      </c>
      <c r="D1043">
        <v>444</v>
      </c>
      <c r="E1043">
        <v>187</v>
      </c>
      <c r="F1043">
        <f t="shared" si="64"/>
        <v>-0.50765050003795165</v>
      </c>
      <c r="G1043">
        <f t="shared" si="65"/>
        <v>-0.71600070024146423</v>
      </c>
      <c r="I1043">
        <f t="shared" si="67"/>
        <v>-0.61182560013970799</v>
      </c>
    </row>
    <row r="1044" spans="1:9">
      <c r="A1044" t="s">
        <v>18</v>
      </c>
      <c r="B1044" s="2">
        <f t="shared" si="66"/>
        <v>51</v>
      </c>
      <c r="C1044">
        <v>418</v>
      </c>
      <c r="D1044">
        <v>789</v>
      </c>
      <c r="E1044">
        <v>419</v>
      </c>
      <c r="F1044">
        <f t="shared" si="64"/>
        <v>-0.28253565309172618</v>
      </c>
      <c r="G1044">
        <f t="shared" si="65"/>
        <v>-0.39020746996024286</v>
      </c>
      <c r="I1044">
        <f t="shared" si="67"/>
        <v>-0.33637156152598452</v>
      </c>
    </row>
    <row r="1045" spans="1:9">
      <c r="A1045" t="s">
        <v>19</v>
      </c>
      <c r="B1045" s="2">
        <f t="shared" si="66"/>
        <v>51</v>
      </c>
      <c r="C1045">
        <v>514</v>
      </c>
      <c r="D1045">
        <v>37</v>
      </c>
      <c r="E1045">
        <v>9</v>
      </c>
      <c r="F1045">
        <f t="shared" si="64"/>
        <v>-1.7011977694543918</v>
      </c>
      <c r="G1045">
        <f t="shared" si="65"/>
        <v>-2.1479658207074541</v>
      </c>
      <c r="I1045">
        <f t="shared" si="67"/>
        <v>-1.924581795080923</v>
      </c>
    </row>
    <row r="1046" spans="1:9">
      <c r="A1046" t="s">
        <v>20</v>
      </c>
      <c r="B1046" s="2">
        <f t="shared" si="66"/>
        <v>51</v>
      </c>
      <c r="C1046">
        <v>326</v>
      </c>
      <c r="D1046">
        <v>46</v>
      </c>
      <c r="E1046">
        <v>3</v>
      </c>
      <c r="F1046">
        <f t="shared" si="64"/>
        <v>-1.4088961429124762</v>
      </c>
      <c r="G1046">
        <f t="shared" si="65"/>
        <v>-2.4273415564997793</v>
      </c>
      <c r="I1046">
        <f t="shared" si="67"/>
        <v>-1.9181188497061279</v>
      </c>
    </row>
    <row r="1047" spans="1:9">
      <c r="A1047" t="s">
        <v>21</v>
      </c>
      <c r="B1047" s="2">
        <f t="shared" si="66"/>
        <v>51</v>
      </c>
      <c r="C1047">
        <v>318</v>
      </c>
      <c r="D1047">
        <v>38</v>
      </c>
      <c r="E1047">
        <v>6</v>
      </c>
      <c r="F1047">
        <f t="shared" si="64"/>
        <v>-1.4810798978937338</v>
      </c>
      <c r="G1047">
        <f t="shared" si="65"/>
        <v>-2.1155210807522922</v>
      </c>
      <c r="I1047">
        <f t="shared" si="67"/>
        <v>-1.798300489323013</v>
      </c>
    </row>
    <row r="1048" spans="1:9">
      <c r="A1048" t="s">
        <v>22</v>
      </c>
      <c r="B1048" s="2">
        <f t="shared" si="66"/>
        <v>51</v>
      </c>
      <c r="C1048">
        <v>724</v>
      </c>
      <c r="D1048">
        <v>41</v>
      </c>
      <c r="E1048">
        <v>29</v>
      </c>
      <c r="F1048">
        <f t="shared" si="64"/>
        <v>-1.8053910840035226</v>
      </c>
      <c r="G1048">
        <f t="shared" si="65"/>
        <v>-1.7885857794496938</v>
      </c>
      <c r="I1048">
        <f t="shared" si="67"/>
        <v>-1.796988431726608</v>
      </c>
    </row>
    <row r="1049" spans="1:9">
      <c r="A1049" t="s">
        <v>23</v>
      </c>
      <c r="B1049" s="2">
        <f t="shared" si="66"/>
        <v>51</v>
      </c>
      <c r="C1049">
        <v>270</v>
      </c>
      <c r="D1049">
        <v>77</v>
      </c>
      <c r="E1049">
        <v>32</v>
      </c>
      <c r="F1049">
        <f t="shared" si="64"/>
        <v>-1.1033094135126167</v>
      </c>
      <c r="G1049">
        <f t="shared" si="65"/>
        <v>-1.3174589969905843</v>
      </c>
      <c r="I1049">
        <f t="shared" si="67"/>
        <v>-1.2103842052516005</v>
      </c>
    </row>
    <row r="1050" spans="1:9">
      <c r="A1050" t="s">
        <v>24</v>
      </c>
      <c r="B1050" s="2">
        <f t="shared" si="66"/>
        <v>51</v>
      </c>
      <c r="C1050">
        <v>493</v>
      </c>
      <c r="D1050">
        <v>25</v>
      </c>
      <c r="E1050">
        <v>6</v>
      </c>
      <c r="F1050">
        <f t="shared" si="64"/>
        <v>-1.8533432851313036</v>
      </c>
      <c r="G1050">
        <f t="shared" si="65"/>
        <v>-2.3059408800450893</v>
      </c>
      <c r="I1050">
        <f t="shared" si="67"/>
        <v>-2.0796420825881965</v>
      </c>
    </row>
    <row r="1051" spans="1:9">
      <c r="A1051" t="s">
        <v>25</v>
      </c>
      <c r="B1051" s="2">
        <f t="shared" si="66"/>
        <v>51</v>
      </c>
      <c r="C1051">
        <v>663</v>
      </c>
      <c r="D1051">
        <v>19</v>
      </c>
      <c r="E1051">
        <v>9</v>
      </c>
      <c r="F1051">
        <f t="shared" si="64"/>
        <v>-2.1011963019780553</v>
      </c>
      <c r="G1051">
        <f t="shared" si="65"/>
        <v>-2.2585162301169515</v>
      </c>
      <c r="I1051">
        <f t="shared" si="67"/>
        <v>-2.1798562660475032</v>
      </c>
    </row>
    <row r="1052" spans="1:9">
      <c r="A1052" t="s">
        <v>7</v>
      </c>
      <c r="B1052" s="2">
        <f t="shared" si="66"/>
        <v>52</v>
      </c>
      <c r="C1052">
        <v>163</v>
      </c>
      <c r="D1052">
        <v>1</v>
      </c>
      <c r="E1052">
        <v>2</v>
      </c>
      <c r="F1052">
        <f t="shared" si="64"/>
        <v>-2.7706239789300691</v>
      </c>
      <c r="G1052">
        <f t="shared" si="65"/>
        <v>-2.3024028198914799</v>
      </c>
      <c r="I1052">
        <f t="shared" si="67"/>
        <v>-2.5365133994107745</v>
      </c>
    </row>
    <row r="1053" spans="1:9">
      <c r="A1053" t="s">
        <v>8</v>
      </c>
      <c r="B1053" s="2">
        <f t="shared" si="66"/>
        <v>52</v>
      </c>
      <c r="C1053">
        <v>431</v>
      </c>
      <c r="D1053">
        <v>9</v>
      </c>
      <c r="E1053">
        <v>19</v>
      </c>
      <c r="F1053">
        <f t="shared" si="64"/>
        <v>-2.2386711352475182</v>
      </c>
      <c r="G1053">
        <f t="shared" si="65"/>
        <v>-1.7469688803594057</v>
      </c>
      <c r="I1053">
        <f t="shared" si="67"/>
        <v>-1.9928200078034619</v>
      </c>
    </row>
    <row r="1054" spans="1:9">
      <c r="A1054" t="s">
        <v>5</v>
      </c>
      <c r="B1054" s="2">
        <f t="shared" si="66"/>
        <v>52</v>
      </c>
      <c r="C1054">
        <v>568</v>
      </c>
      <c r="D1054">
        <v>31</v>
      </c>
      <c r="E1054">
        <v>8</v>
      </c>
      <c r="F1054">
        <f t="shared" si="64"/>
        <v>-1.8214230164028575</v>
      </c>
      <c r="G1054">
        <f t="shared" si="65"/>
        <v>-2.2425035598705785</v>
      </c>
      <c r="I1054">
        <f t="shared" si="67"/>
        <v>-2.0319632881367182</v>
      </c>
    </row>
    <row r="1055" spans="1:9">
      <c r="A1055" t="s">
        <v>6</v>
      </c>
      <c r="B1055" s="2">
        <f t="shared" si="66"/>
        <v>52</v>
      </c>
      <c r="C1055">
        <v>621</v>
      </c>
      <c r="D1055">
        <v>53</v>
      </c>
      <c r="E1055">
        <v>12</v>
      </c>
      <c r="F1055">
        <f t="shared" si="64"/>
        <v>-1.6272521051019022</v>
      </c>
      <c r="G1055">
        <f t="shared" si="65"/>
        <v>-2.1051555652804583</v>
      </c>
      <c r="I1055">
        <f t="shared" si="67"/>
        <v>-1.8662038351911803</v>
      </c>
    </row>
    <row r="1056" spans="1:9">
      <c r="A1056" t="s">
        <v>10</v>
      </c>
      <c r="B1056" s="2">
        <f t="shared" si="66"/>
        <v>52</v>
      </c>
      <c r="C1056">
        <v>561</v>
      </c>
      <c r="D1056">
        <v>68</v>
      </c>
      <c r="E1056">
        <v>39</v>
      </c>
      <c r="F1056">
        <f t="shared" si="64"/>
        <v>-1.4748903230760364</v>
      </c>
      <c r="G1056">
        <f t="shared" si="65"/>
        <v>-1.5491434653811653</v>
      </c>
      <c r="I1056">
        <f t="shared" si="67"/>
        <v>-1.512016894228601</v>
      </c>
    </row>
    <row r="1057" spans="1:9">
      <c r="A1057" t="s">
        <v>11</v>
      </c>
      <c r="B1057" s="2">
        <f t="shared" si="66"/>
        <v>52</v>
      </c>
      <c r="C1057">
        <v>9</v>
      </c>
      <c r="D1057">
        <v>38</v>
      </c>
      <c r="E1057">
        <v>20</v>
      </c>
      <c r="F1057">
        <f t="shared" si="64"/>
        <v>6.7104712651373966E-2</v>
      </c>
      <c r="G1057">
        <f t="shared" si="65"/>
        <v>-4.4457724926846687E-2</v>
      </c>
      <c r="I1057">
        <f t="shared" si="67"/>
        <v>1.1323493862263639E-2</v>
      </c>
    </row>
    <row r="1058" spans="1:9">
      <c r="A1058" t="s">
        <v>12</v>
      </c>
      <c r="B1058" s="2">
        <f t="shared" si="66"/>
        <v>52</v>
      </c>
      <c r="C1058">
        <v>630</v>
      </c>
      <c r="D1058">
        <v>14</v>
      </c>
      <c r="E1058">
        <v>8</v>
      </c>
      <c r="F1058">
        <f t="shared" si="64"/>
        <v>-2.2116488883014549</v>
      </c>
      <c r="G1058">
        <f t="shared" si="65"/>
        <v>-2.2874957736131414</v>
      </c>
      <c r="I1058">
        <f t="shared" si="67"/>
        <v>-2.2495723309572981</v>
      </c>
    </row>
    <row r="1059" spans="1:9">
      <c r="A1059" t="s">
        <v>9</v>
      </c>
      <c r="B1059" s="2">
        <f t="shared" si="66"/>
        <v>52</v>
      </c>
      <c r="C1059">
        <v>305</v>
      </c>
      <c r="D1059">
        <v>14</v>
      </c>
      <c r="E1059">
        <v>0</v>
      </c>
      <c r="F1059">
        <f t="shared" si="64"/>
        <v>-1.8966081781946591</v>
      </c>
      <c r="G1059" t="e">
        <f t="shared" si="65"/>
        <v>#NUM!</v>
      </c>
      <c r="I1059" t="e">
        <f t="shared" si="67"/>
        <v>#NUM!</v>
      </c>
    </row>
    <row r="1060" spans="1:9">
      <c r="A1060" t="s">
        <v>13</v>
      </c>
      <c r="B1060" s="2">
        <f t="shared" si="66"/>
        <v>52</v>
      </c>
      <c r="C1060">
        <v>424</v>
      </c>
      <c r="D1060">
        <v>107</v>
      </c>
      <c r="E1060">
        <v>80</v>
      </c>
      <c r="F1060">
        <f t="shared" si="64"/>
        <v>-1.1564184534336341</v>
      </c>
      <c r="G1060">
        <f t="shared" si="65"/>
        <v>-1.1155210807522922</v>
      </c>
      <c r="I1060">
        <f t="shared" si="67"/>
        <v>-1.1359697670929632</v>
      </c>
    </row>
    <row r="1061" spans="1:9">
      <c r="A1061" t="s">
        <v>14</v>
      </c>
      <c r="B1061" s="2">
        <f t="shared" si="66"/>
        <v>52</v>
      </c>
      <c r="C1061">
        <v>193</v>
      </c>
      <c r="D1061">
        <v>572</v>
      </c>
      <c r="E1061">
        <v>294</v>
      </c>
      <c r="F1061">
        <f t="shared" si="64"/>
        <v>-8.6597654740860841E-2</v>
      </c>
      <c r="G1061">
        <f t="shared" si="65"/>
        <v>-0.20845518974711946</v>
      </c>
      <c r="I1061">
        <f t="shared" si="67"/>
        <v>-0.14752642224399015</v>
      </c>
    </row>
    <row r="1062" spans="1:9">
      <c r="A1062" t="s">
        <v>15</v>
      </c>
      <c r="B1062" s="2">
        <f t="shared" si="66"/>
        <v>52</v>
      </c>
      <c r="C1062">
        <v>441</v>
      </c>
      <c r="D1062">
        <v>15</v>
      </c>
      <c r="E1062">
        <v>7</v>
      </c>
      <c r="F1062">
        <f t="shared" si="64"/>
        <v>-2.0267837049382686</v>
      </c>
      <c r="G1062">
        <f t="shared" si="65"/>
        <v>-2.1905857606050847</v>
      </c>
      <c r="I1062">
        <f t="shared" si="67"/>
        <v>-2.1086847327716765</v>
      </c>
    </row>
    <row r="1063" spans="1:9">
      <c r="A1063" t="s">
        <v>16</v>
      </c>
      <c r="B1063" s="2">
        <f t="shared" si="66"/>
        <v>52</v>
      </c>
      <c r="C1063">
        <v>715</v>
      </c>
      <c r="D1063">
        <v>60</v>
      </c>
      <c r="E1063">
        <v>62</v>
      </c>
      <c r="F1063">
        <f t="shared" si="64"/>
        <v>-1.6345911659435481</v>
      </c>
      <c r="G1063">
        <f t="shared" si="65"/>
        <v>-1.4531595634543297</v>
      </c>
      <c r="I1063">
        <f t="shared" si="67"/>
        <v>-1.5438753646989389</v>
      </c>
    </row>
    <row r="1064" spans="1:9">
      <c r="A1064" t="s">
        <v>17</v>
      </c>
      <c r="B1064" s="2">
        <f t="shared" si="66"/>
        <v>52</v>
      </c>
      <c r="C1064">
        <v>335</v>
      </c>
      <c r="D1064">
        <v>106</v>
      </c>
      <c r="E1064">
        <v>96</v>
      </c>
      <c r="F1064">
        <f t="shared" si="64"/>
        <v>-1.0581753162981862</v>
      </c>
      <c r="G1064">
        <f t="shared" si="65"/>
        <v>-0.93401878514877978</v>
      </c>
      <c r="I1064">
        <f t="shared" si="67"/>
        <v>-0.99609705072348298</v>
      </c>
    </row>
    <row r="1065" spans="1:9">
      <c r="A1065" t="s">
        <v>18</v>
      </c>
      <c r="B1065" s="2">
        <f t="shared" si="66"/>
        <v>52</v>
      </c>
      <c r="C1065">
        <v>685</v>
      </c>
      <c r="D1065">
        <v>118</v>
      </c>
      <c r="E1065">
        <v>34</v>
      </c>
      <c r="F1065">
        <f t="shared" si="64"/>
        <v>-1.3222449387124113</v>
      </c>
      <c r="G1065">
        <f t="shared" si="65"/>
        <v>-1.6954568656016735</v>
      </c>
      <c r="I1065">
        <f t="shared" si="67"/>
        <v>-1.5088509021570424</v>
      </c>
    </row>
    <row r="1066" spans="1:9">
      <c r="A1066" t="s">
        <v>19</v>
      </c>
      <c r="B1066" s="2">
        <f t="shared" si="66"/>
        <v>52</v>
      </c>
      <c r="C1066">
        <v>587</v>
      </c>
      <c r="D1066">
        <v>25</v>
      </c>
      <c r="E1066">
        <v>35</v>
      </c>
      <c r="F1066">
        <f t="shared" si="64"/>
        <v>-1.9291344671016883</v>
      </c>
      <c r="G1066">
        <f t="shared" si="65"/>
        <v>-1.6158152680488418</v>
      </c>
      <c r="I1066">
        <f t="shared" si="67"/>
        <v>-1.7724748675752651</v>
      </c>
    </row>
    <row r="1067" spans="1:9">
      <c r="A1067" t="s">
        <v>20</v>
      </c>
      <c r="B1067" s="2">
        <f t="shared" si="66"/>
        <v>52</v>
      </c>
      <c r="C1067">
        <v>406</v>
      </c>
      <c r="D1067">
        <v>10</v>
      </c>
      <c r="E1067">
        <v>9</v>
      </c>
      <c r="F1067">
        <f t="shared" si="64"/>
        <v>-2.1669624081033052</v>
      </c>
      <c r="G1067">
        <f t="shared" si="65"/>
        <v>-2.0455287352893725</v>
      </c>
      <c r="I1067">
        <f t="shared" si="67"/>
        <v>-2.1062455716963386</v>
      </c>
    </row>
    <row r="1068" spans="1:9">
      <c r="A1068" t="s">
        <v>21</v>
      </c>
      <c r="B1068" s="2">
        <f t="shared" si="66"/>
        <v>52</v>
      </c>
      <c r="C1068">
        <v>318</v>
      </c>
      <c r="D1068">
        <v>14</v>
      </c>
      <c r="E1068">
        <v>0</v>
      </c>
      <c r="F1068">
        <f t="shared" si="64"/>
        <v>-1.9147354588323058</v>
      </c>
      <c r="G1068" t="e">
        <f t="shared" si="65"/>
        <v>#NUM!</v>
      </c>
      <c r="I1068" t="e">
        <f t="shared" si="67"/>
        <v>#NUM!</v>
      </c>
    </row>
    <row r="1069" spans="1:9">
      <c r="A1069" t="s">
        <v>22</v>
      </c>
      <c r="B1069" s="2">
        <f t="shared" si="66"/>
        <v>52</v>
      </c>
      <c r="C1069">
        <v>434</v>
      </c>
      <c r="D1069">
        <v>30</v>
      </c>
      <c r="E1069">
        <v>47</v>
      </c>
      <c r="F1069">
        <f t="shared" si="64"/>
        <v>-1.7188048493189596</v>
      </c>
      <c r="G1069">
        <f t="shared" si="65"/>
        <v>-1.3566370827282963</v>
      </c>
      <c r="I1069">
        <f t="shared" si="67"/>
        <v>-1.537720966023628</v>
      </c>
    </row>
    <row r="1070" spans="1:9">
      <c r="A1070" t="s">
        <v>23</v>
      </c>
      <c r="B1070" s="2">
        <f t="shared" si="66"/>
        <v>52</v>
      </c>
      <c r="C1070">
        <v>396</v>
      </c>
      <c r="D1070">
        <v>6</v>
      </c>
      <c r="E1070">
        <v>6</v>
      </c>
      <c r="F1070">
        <f t="shared" si="64"/>
        <v>-2.3779803100679797</v>
      </c>
      <c r="G1070">
        <f t="shared" si="65"/>
        <v>-2.2107891466933713</v>
      </c>
      <c r="I1070">
        <f t="shared" si="67"/>
        <v>-2.2943847283806758</v>
      </c>
    </row>
    <row r="1071" spans="1:9">
      <c r="A1071" t="s">
        <v>24</v>
      </c>
      <c r="B1071" s="2">
        <f t="shared" si="66"/>
        <v>52</v>
      </c>
      <c r="C1071">
        <v>558</v>
      </c>
      <c r="D1071">
        <v>14</v>
      </c>
      <c r="E1071">
        <v>29</v>
      </c>
      <c r="F1071">
        <f t="shared" si="64"/>
        <v>-2.1589425377854519</v>
      </c>
      <c r="G1071">
        <f t="shared" si="65"/>
        <v>-1.6754814121901256</v>
      </c>
      <c r="I1071">
        <f t="shared" si="67"/>
        <v>-1.9172119749877887</v>
      </c>
    </row>
    <row r="1072" spans="1:9">
      <c r="A1072" t="s">
        <v>25</v>
      </c>
      <c r="B1072" s="2">
        <f t="shared" si="66"/>
        <v>52</v>
      </c>
      <c r="C1072">
        <v>658</v>
      </c>
      <c r="D1072">
        <v>46</v>
      </c>
      <c r="E1072">
        <v>22</v>
      </c>
      <c r="F1072">
        <f t="shared" si="64"/>
        <v>-1.7139044364584928</v>
      </c>
      <c r="G1072">
        <f t="shared" si="65"/>
        <v>-1.8670484239432523</v>
      </c>
      <c r="I1072">
        <f t="shared" si="67"/>
        <v>-1.7904764302008727</v>
      </c>
    </row>
    <row r="1073" spans="1:9">
      <c r="A1073" t="s">
        <v>7</v>
      </c>
      <c r="B1073" s="2">
        <f t="shared" si="66"/>
        <v>53</v>
      </c>
      <c r="C1073">
        <v>246</v>
      </c>
      <c r="D1073">
        <v>2</v>
      </c>
      <c r="E1073">
        <v>5</v>
      </c>
      <c r="F1073">
        <f t="shared" si="64"/>
        <v>-2.6483414859655094</v>
      </c>
      <c r="G1073">
        <f t="shared" si="65"/>
        <v>-2.0832103139188636</v>
      </c>
      <c r="I1073">
        <f t="shared" si="67"/>
        <v>-2.3657758999421867</v>
      </c>
    </row>
    <row r="1074" spans="1:9">
      <c r="A1074" t="s">
        <v>8</v>
      </c>
      <c r="B1074" s="2">
        <f t="shared" si="66"/>
        <v>53</v>
      </c>
      <c r="C1074">
        <v>259</v>
      </c>
      <c r="D1074">
        <v>66</v>
      </c>
      <c r="E1074">
        <v>73</v>
      </c>
      <c r="F1074">
        <f t="shared" si="64"/>
        <v>-1.1521922030654945</v>
      </c>
      <c r="G1074">
        <f t="shared" si="65"/>
        <v>-0.94122211511229892</v>
      </c>
      <c r="I1074">
        <f t="shared" si="67"/>
        <v>-1.0467071590888968</v>
      </c>
    </row>
    <row r="1075" spans="1:9">
      <c r="A1075" t="s">
        <v>5</v>
      </c>
      <c r="B1075" s="2">
        <f t="shared" si="66"/>
        <v>53</v>
      </c>
      <c r="C1075">
        <v>236</v>
      </c>
      <c r="D1075">
        <v>7</v>
      </c>
      <c r="E1075">
        <v>7</v>
      </c>
      <c r="F1075">
        <f t="shared" ref="F1075:F1138" si="68">LOG10(D1075/C1075)-LOG10(271026/74916)</f>
        <v>-2.0862503374819612</v>
      </c>
      <c r="G1075">
        <f t="shared" ref="G1075:G1138" si="69">LOG10(E1075/C1075)-LOG10(184425/74916)</f>
        <v>-1.9190591741073528</v>
      </c>
      <c r="I1075">
        <f t="shared" si="67"/>
        <v>-2.0026547557946568</v>
      </c>
    </row>
    <row r="1076" spans="1:9">
      <c r="A1076" t="s">
        <v>6</v>
      </c>
      <c r="B1076" s="2">
        <f t="shared" si="66"/>
        <v>53</v>
      </c>
      <c r="C1076">
        <v>350</v>
      </c>
      <c r="D1076">
        <v>14</v>
      </c>
      <c r="E1076">
        <v>8</v>
      </c>
      <c r="F1076">
        <f t="shared" si="68"/>
        <v>-1.9563763831981489</v>
      </c>
      <c r="G1076">
        <f t="shared" si="69"/>
        <v>-2.0322232685098349</v>
      </c>
      <c r="I1076">
        <f t="shared" si="67"/>
        <v>-1.9942998258539919</v>
      </c>
    </row>
    <row r="1077" spans="1:9">
      <c r="A1077" t="s">
        <v>10</v>
      </c>
      <c r="B1077" s="2">
        <f t="shared" si="66"/>
        <v>53</v>
      </c>
      <c r="C1077">
        <v>439</v>
      </c>
      <c r="D1077">
        <v>9</v>
      </c>
      <c r="E1077">
        <v>6</v>
      </c>
      <c r="F1077">
        <f t="shared" si="68"/>
        <v>-2.2466583853289079</v>
      </c>
      <c r="G1077">
        <f t="shared" si="69"/>
        <v>-2.2555584810099809</v>
      </c>
      <c r="I1077">
        <f t="shared" si="67"/>
        <v>-2.2511084331694446</v>
      </c>
    </row>
    <row r="1078" spans="1:9">
      <c r="A1078" t="s">
        <v>11</v>
      </c>
      <c r="B1078" s="2">
        <f t="shared" si="66"/>
        <v>53</v>
      </c>
      <c r="C1078">
        <v>577</v>
      </c>
      <c r="D1078">
        <v>46</v>
      </c>
      <c r="E1078">
        <v>2</v>
      </c>
      <c r="F1078">
        <f t="shared" si="68"/>
        <v>-1.6568543560002689</v>
      </c>
      <c r="G1078">
        <f t="shared" si="69"/>
        <v>-2.8513910286432531</v>
      </c>
      <c r="I1078">
        <f t="shared" si="67"/>
        <v>-2.254122692321761</v>
      </c>
    </row>
    <row r="1079" spans="1:9">
      <c r="A1079" t="s">
        <v>12</v>
      </c>
      <c r="B1079" s="2">
        <f t="shared" si="66"/>
        <v>53</v>
      </c>
      <c r="C1079">
        <v>634</v>
      </c>
      <c r="D1079">
        <v>94</v>
      </c>
      <c r="E1079">
        <v>10</v>
      </c>
      <c r="F1079">
        <f t="shared" si="68"/>
        <v>-1.3873977788081453</v>
      </c>
      <c r="G1079">
        <f t="shared" si="69"/>
        <v>-2.1933344690332355</v>
      </c>
      <c r="I1079">
        <f t="shared" si="67"/>
        <v>-1.7903661239206903</v>
      </c>
    </row>
    <row r="1080" spans="1:9">
      <c r="A1080" t="s">
        <v>9</v>
      </c>
      <c r="B1080" s="2">
        <f t="shared" si="66"/>
        <v>53</v>
      </c>
      <c r="C1080">
        <v>249</v>
      </c>
      <c r="D1080">
        <v>7</v>
      </c>
      <c r="E1080">
        <v>35</v>
      </c>
      <c r="F1080">
        <f t="shared" si="68"/>
        <v>-2.1095376816075908</v>
      </c>
      <c r="G1080">
        <f t="shared" si="69"/>
        <v>-1.2433765138969637</v>
      </c>
      <c r="I1080">
        <f t="shared" si="67"/>
        <v>-1.6764570977522772</v>
      </c>
    </row>
    <row r="1081" spans="1:9">
      <c r="A1081" t="s">
        <v>13</v>
      </c>
      <c r="B1081" s="2">
        <f t="shared" si="66"/>
        <v>53</v>
      </c>
      <c r="C1081">
        <v>397</v>
      </c>
      <c r="D1081">
        <v>39</v>
      </c>
      <c r="E1081">
        <v>7</v>
      </c>
      <c r="F1081">
        <f t="shared" si="68"/>
        <v>-1.566162274262727</v>
      </c>
      <c r="G1081">
        <f t="shared" si="69"/>
        <v>-2.1449376779003613</v>
      </c>
      <c r="I1081">
        <f t="shared" si="67"/>
        <v>-1.8555499760815442</v>
      </c>
    </row>
    <row r="1082" spans="1:9">
      <c r="A1082" t="s">
        <v>14</v>
      </c>
      <c r="B1082" s="2">
        <f t="shared" si="66"/>
        <v>53</v>
      </c>
      <c r="C1082">
        <v>511</v>
      </c>
      <c r="D1082">
        <v>23</v>
      </c>
      <c r="E1082">
        <v>45</v>
      </c>
      <c r="F1082">
        <f t="shared" si="68"/>
        <v>-1.9051294386432311</v>
      </c>
      <c r="G1082">
        <f t="shared" si="69"/>
        <v>-1.4464535975108721</v>
      </c>
      <c r="I1082">
        <f t="shared" si="67"/>
        <v>-1.6757915180770517</v>
      </c>
    </row>
    <row r="1083" spans="1:9">
      <c r="A1083" t="s">
        <v>15</v>
      </c>
      <c r="B1083" s="2">
        <f t="shared" si="66"/>
        <v>53</v>
      </c>
      <c r="C1083">
        <v>713</v>
      </c>
      <c r="D1083">
        <v>96</v>
      </c>
      <c r="E1083">
        <v>59</v>
      </c>
      <c r="F1083">
        <f t="shared" si="68"/>
        <v>-1.4292546713384084</v>
      </c>
      <c r="G1083">
        <f t="shared" si="69"/>
        <v>-1.4734827293612245</v>
      </c>
      <c r="I1083">
        <f t="shared" si="67"/>
        <v>-1.4513687003498164</v>
      </c>
    </row>
    <row r="1084" spans="1:9">
      <c r="A1084" t="s">
        <v>16</v>
      </c>
      <c r="B1084" s="2">
        <f t="shared" si="66"/>
        <v>53</v>
      </c>
      <c r="C1084">
        <v>74916</v>
      </c>
      <c r="D1084">
        <v>271026</v>
      </c>
      <c r="E1084">
        <v>184425</v>
      </c>
      <c r="F1084">
        <f t="shared" si="68"/>
        <v>0</v>
      </c>
      <c r="G1084">
        <f t="shared" si="69"/>
        <v>0</v>
      </c>
      <c r="I1084">
        <f t="shared" si="67"/>
        <v>0</v>
      </c>
    </row>
    <row r="1085" spans="1:9">
      <c r="A1085" t="s">
        <v>17</v>
      </c>
      <c r="B1085" s="2">
        <f t="shared" si="66"/>
        <v>53</v>
      </c>
      <c r="C1085">
        <v>574</v>
      </c>
      <c r="D1085">
        <v>25</v>
      </c>
      <c r="E1085">
        <v>110</v>
      </c>
      <c r="F1085">
        <f t="shared" si="68"/>
        <v>-1.9194082582520471</v>
      </c>
      <c r="G1085">
        <f t="shared" si="69"/>
        <v>-1.1087644183912515</v>
      </c>
      <c r="I1085">
        <f t="shared" si="67"/>
        <v>-1.5140863383216492</v>
      </c>
    </row>
    <row r="1086" spans="1:9">
      <c r="A1086" t="s">
        <v>18</v>
      </c>
      <c r="B1086" s="2">
        <f t="shared" si="66"/>
        <v>53</v>
      </c>
      <c r="C1086">
        <v>370</v>
      </c>
      <c r="D1086">
        <v>99</v>
      </c>
      <c r="E1086">
        <v>87</v>
      </c>
      <c r="F1086">
        <f t="shared" si="68"/>
        <v>-1.1310029039955563</v>
      </c>
      <c r="G1086">
        <f t="shared" si="69"/>
        <v>-1.0199276825998793</v>
      </c>
      <c r="I1086">
        <f t="shared" si="67"/>
        <v>-1.0754652932977178</v>
      </c>
    </row>
    <row r="1087" spans="1:9">
      <c r="A1087" t="s">
        <v>19</v>
      </c>
      <c r="B1087" s="2">
        <f t="shared" si="66"/>
        <v>53</v>
      </c>
      <c r="C1087">
        <v>281</v>
      </c>
      <c r="D1087">
        <v>38</v>
      </c>
      <c r="E1087">
        <v>27</v>
      </c>
      <c r="F1087">
        <f t="shared" si="68"/>
        <v>-1.4273590978143811</v>
      </c>
      <c r="G1087">
        <f t="shared" si="69"/>
        <v>-1.4085877668975957</v>
      </c>
      <c r="I1087">
        <f t="shared" si="67"/>
        <v>-1.4179734323559883</v>
      </c>
    </row>
    <row r="1088" spans="1:9">
      <c r="A1088" t="s">
        <v>20</v>
      </c>
      <c r="B1088" s="2">
        <f t="shared" si="66"/>
        <v>53</v>
      </c>
      <c r="C1088">
        <v>110</v>
      </c>
      <c r="D1088">
        <v>3</v>
      </c>
      <c r="E1088">
        <v>1</v>
      </c>
      <c r="F1088">
        <f t="shared" si="68"/>
        <v>-2.1227078049646737</v>
      </c>
      <c r="G1088">
        <f t="shared" si="69"/>
        <v>-2.4326378963097279</v>
      </c>
      <c r="I1088">
        <f t="shared" si="67"/>
        <v>-2.2776728506372006</v>
      </c>
    </row>
    <row r="1089" spans="1:9">
      <c r="A1089" t="s">
        <v>21</v>
      </c>
      <c r="B1089" s="2">
        <f t="shared" si="66"/>
        <v>53</v>
      </c>
      <c r="C1089">
        <v>846</v>
      </c>
      <c r="D1089">
        <v>27</v>
      </c>
      <c r="E1089">
        <v>15</v>
      </c>
      <c r="F1089">
        <f t="shared" si="68"/>
        <v>-2.0544429734061476</v>
      </c>
      <c r="G1089">
        <f t="shared" si="69"/>
        <v>-2.1425243151348452</v>
      </c>
      <c r="I1089">
        <f t="shared" si="67"/>
        <v>-2.0984836442704964</v>
      </c>
    </row>
    <row r="1090" spans="1:9">
      <c r="A1090" t="s">
        <v>22</v>
      </c>
      <c r="B1090" s="2">
        <f t="shared" si="66"/>
        <v>53</v>
      </c>
      <c r="C1090">
        <v>445</v>
      </c>
      <c r="D1090">
        <v>29</v>
      </c>
      <c r="E1090">
        <v>21</v>
      </c>
      <c r="F1090">
        <f t="shared" si="68"/>
        <v>-1.7443983876080869</v>
      </c>
      <c r="G1090">
        <f t="shared" si="69"/>
        <v>-1.7173859273985153</v>
      </c>
      <c r="I1090">
        <f t="shared" si="67"/>
        <v>-1.7308921575033009</v>
      </c>
    </row>
    <row r="1091" spans="1:9">
      <c r="A1091" t="s">
        <v>23</v>
      </c>
      <c r="B1091" s="2">
        <f t="shared" ref="B1091:B1154" si="70">1+INT((ROW()-2)/21)+1</f>
        <v>53</v>
      </c>
      <c r="C1091">
        <v>454</v>
      </c>
      <c r="D1091">
        <v>58</v>
      </c>
      <c r="E1091">
        <v>3</v>
      </c>
      <c r="F1091">
        <f t="shared" si="68"/>
        <v>-1.4520642338202778</v>
      </c>
      <c r="G1091">
        <f t="shared" si="69"/>
        <v>-2.5711798092889446</v>
      </c>
      <c r="I1091">
        <f t="shared" ref="I1091:I1154" si="71">AVERAGE(F1091:G1091)</f>
        <v>-2.0116220215546115</v>
      </c>
    </row>
    <row r="1092" spans="1:9">
      <c r="A1092" t="s">
        <v>24</v>
      </c>
      <c r="B1092" s="2">
        <f t="shared" si="70"/>
        <v>53</v>
      </c>
      <c r="C1092">
        <v>715</v>
      </c>
      <c r="D1092">
        <v>35</v>
      </c>
      <c r="E1092">
        <v>14</v>
      </c>
      <c r="F1092">
        <f t="shared" si="68"/>
        <v>-1.8686743719769163</v>
      </c>
      <c r="G1092">
        <f t="shared" si="69"/>
        <v>-2.0994232172743459</v>
      </c>
      <c r="I1092">
        <f t="shared" si="71"/>
        <v>-1.9840487946256311</v>
      </c>
    </row>
    <row r="1093" spans="1:9">
      <c r="A1093" t="s">
        <v>25</v>
      </c>
      <c r="B1093" s="2">
        <f t="shared" si="70"/>
        <v>53</v>
      </c>
      <c r="C1093">
        <v>626</v>
      </c>
      <c r="D1093">
        <v>28</v>
      </c>
      <c r="E1093">
        <v>7</v>
      </c>
      <c r="F1093">
        <f t="shared" si="68"/>
        <v>-1.9078526763943215</v>
      </c>
      <c r="G1093">
        <f t="shared" si="69"/>
        <v>-2.3427215043476757</v>
      </c>
      <c r="I1093">
        <f t="shared" si="71"/>
        <v>-2.1252870903709988</v>
      </c>
    </row>
    <row r="1094" spans="1:9">
      <c r="A1094" t="s">
        <v>7</v>
      </c>
      <c r="B1094" s="2">
        <f t="shared" si="70"/>
        <v>54</v>
      </c>
      <c r="C1094">
        <v>676</v>
      </c>
      <c r="D1094">
        <v>15</v>
      </c>
      <c r="E1094">
        <v>5</v>
      </c>
      <c r="F1094">
        <f t="shared" si="68"/>
        <v>-2.212291811412066</v>
      </c>
      <c r="G1094">
        <f t="shared" si="69"/>
        <v>-2.5222219027571202</v>
      </c>
      <c r="I1094">
        <f t="shared" si="71"/>
        <v>-2.3672568570845929</v>
      </c>
    </row>
    <row r="1095" spans="1:9">
      <c r="A1095" t="s">
        <v>8</v>
      </c>
      <c r="B1095" s="2">
        <f t="shared" si="70"/>
        <v>54</v>
      </c>
      <c r="C1095">
        <v>350</v>
      </c>
      <c r="D1095">
        <v>11</v>
      </c>
      <c r="E1095">
        <v>5</v>
      </c>
      <c r="F1095">
        <f t="shared" si="68"/>
        <v>-2.0611117337181617</v>
      </c>
      <c r="G1095">
        <f t="shared" si="69"/>
        <v>-2.2363432511657599</v>
      </c>
      <c r="I1095">
        <f t="shared" si="71"/>
        <v>-2.148727492441961</v>
      </c>
    </row>
    <row r="1096" spans="1:9">
      <c r="A1096" t="s">
        <v>5</v>
      </c>
      <c r="B1096" s="2">
        <f t="shared" si="70"/>
        <v>54</v>
      </c>
      <c r="C1096">
        <v>266</v>
      </c>
      <c r="D1096">
        <v>7</v>
      </c>
      <c r="E1096">
        <v>4</v>
      </c>
      <c r="F1096">
        <f t="shared" si="68"/>
        <v>-2.1382199711429215</v>
      </c>
      <c r="G1096">
        <f t="shared" si="69"/>
        <v>-2.2140668564546075</v>
      </c>
      <c r="I1096">
        <f t="shared" si="71"/>
        <v>-2.1761434137987647</v>
      </c>
    </row>
    <row r="1097" spans="1:9">
      <c r="A1097" t="s">
        <v>6</v>
      </c>
      <c r="B1097" s="2">
        <f t="shared" si="70"/>
        <v>54</v>
      </c>
      <c r="C1097">
        <v>613</v>
      </c>
      <c r="D1097">
        <v>25</v>
      </c>
      <c r="E1097">
        <v>17</v>
      </c>
      <c r="F1097">
        <f t="shared" si="68"/>
        <v>-1.9479568403724885</v>
      </c>
      <c r="G1097">
        <f t="shared" si="69"/>
        <v>-1.9482567642916442</v>
      </c>
      <c r="I1097">
        <f t="shared" si="71"/>
        <v>-1.9481068023320662</v>
      </c>
    </row>
    <row r="1098" spans="1:9">
      <c r="A1098" t="s">
        <v>10</v>
      </c>
      <c r="B1098" s="2">
        <f t="shared" si="70"/>
        <v>54</v>
      </c>
      <c r="C1098">
        <v>500</v>
      </c>
      <c r="D1098">
        <v>16</v>
      </c>
      <c r="E1098">
        <v>8</v>
      </c>
      <c r="F1098">
        <f t="shared" si="68"/>
        <v>-2.0532863962062051</v>
      </c>
      <c r="G1098">
        <f t="shared" si="69"/>
        <v>-2.187125228495578</v>
      </c>
      <c r="I1098">
        <f t="shared" si="71"/>
        <v>-2.1202058123508918</v>
      </c>
    </row>
    <row r="1099" spans="1:9">
      <c r="A1099" t="s">
        <v>11</v>
      </c>
      <c r="B1099" s="2">
        <f t="shared" si="70"/>
        <v>54</v>
      </c>
      <c r="C1099">
        <v>662</v>
      </c>
      <c r="D1099">
        <v>5</v>
      </c>
      <c r="E1099">
        <v>13</v>
      </c>
      <c r="F1099">
        <f t="shared" si="68"/>
        <v>-2.6803243596297923</v>
      </c>
      <c r="G1099">
        <f t="shared" si="69"/>
        <v>-2.0981598482843662</v>
      </c>
      <c r="I1099">
        <f t="shared" si="71"/>
        <v>-2.3892421039570793</v>
      </c>
    </row>
    <row r="1100" spans="1:9">
      <c r="A1100" t="s">
        <v>12</v>
      </c>
      <c r="B1100" s="2">
        <f t="shared" si="70"/>
        <v>54</v>
      </c>
      <c r="C1100">
        <v>607</v>
      </c>
      <c r="D1100">
        <v>46</v>
      </c>
      <c r="E1100">
        <v>29</v>
      </c>
      <c r="F1100">
        <f t="shared" si="68"/>
        <v>-1.678867233919795</v>
      </c>
      <c r="G1100">
        <f t="shared" si="69"/>
        <v>-1.7120359043278044</v>
      </c>
      <c r="I1100">
        <f t="shared" si="71"/>
        <v>-1.6954515691237997</v>
      </c>
    </row>
    <row r="1101" spans="1:9">
      <c r="A1101" t="s">
        <v>9</v>
      </c>
      <c r="B1101" s="2">
        <f t="shared" si="70"/>
        <v>54</v>
      </c>
      <c r="C1101">
        <v>459</v>
      </c>
      <c r="D1101">
        <v>28</v>
      </c>
      <c r="E1101">
        <v>23</v>
      </c>
      <c r="F1101">
        <f t="shared" si="68"/>
        <v>-1.7730910287211534</v>
      </c>
      <c r="G1101">
        <f t="shared" si="69"/>
        <v>-1.6913300606711714</v>
      </c>
      <c r="I1101">
        <f t="shared" si="71"/>
        <v>-1.7322105446961624</v>
      </c>
    </row>
    <row r="1102" spans="1:9">
      <c r="A1102" t="s">
        <v>13</v>
      </c>
      <c r="B1102" s="2">
        <f t="shared" si="70"/>
        <v>54</v>
      </c>
      <c r="C1102">
        <v>74916</v>
      </c>
      <c r="D1102">
        <v>271026</v>
      </c>
      <c r="E1102">
        <v>184425</v>
      </c>
      <c r="F1102">
        <f t="shared" si="68"/>
        <v>0</v>
      </c>
      <c r="G1102">
        <f t="shared" si="69"/>
        <v>0</v>
      </c>
      <c r="I1102">
        <f t="shared" si="71"/>
        <v>0</v>
      </c>
    </row>
    <row r="1103" spans="1:9">
      <c r="A1103" t="s">
        <v>14</v>
      </c>
      <c r="B1103" s="2">
        <f t="shared" si="70"/>
        <v>54</v>
      </c>
      <c r="C1103">
        <v>408</v>
      </c>
      <c r="D1103">
        <v>43</v>
      </c>
      <c r="E1103">
        <v>24</v>
      </c>
      <c r="F1103">
        <f t="shared" si="68"/>
        <v>-1.5356280820364048</v>
      </c>
      <c r="G1103">
        <f t="shared" si="69"/>
        <v>-1.6216941325297769</v>
      </c>
      <c r="I1103">
        <f t="shared" si="71"/>
        <v>-1.5786611072830907</v>
      </c>
    </row>
    <row r="1104" spans="1:9">
      <c r="A1104" t="s">
        <v>15</v>
      </c>
      <c r="B1104" s="2">
        <f t="shared" si="70"/>
        <v>54</v>
      </c>
      <c r="C1104">
        <v>522</v>
      </c>
      <c r="D1104">
        <v>14</v>
      </c>
      <c r="E1104">
        <v>2</v>
      </c>
      <c r="F1104">
        <f t="shared" si="68"/>
        <v>-2.1299788418501353</v>
      </c>
      <c r="G1104">
        <f t="shared" si="69"/>
        <v>-2.8078857184897839</v>
      </c>
      <c r="I1104">
        <f t="shared" si="71"/>
        <v>-2.4689322801699598</v>
      </c>
    </row>
    <row r="1105" spans="1:9">
      <c r="A1105" t="s">
        <v>16</v>
      </c>
      <c r="B1105" s="2">
        <f t="shared" si="70"/>
        <v>54</v>
      </c>
      <c r="C1105">
        <v>606</v>
      </c>
      <c r="D1105">
        <v>10</v>
      </c>
      <c r="E1105">
        <v>4</v>
      </c>
      <c r="F1105">
        <f t="shared" si="68"/>
        <v>-2.3409089986923974</v>
      </c>
      <c r="G1105">
        <f t="shared" si="69"/>
        <v>-2.571657843989827</v>
      </c>
      <c r="I1105">
        <f t="shared" si="71"/>
        <v>-2.4562834213411122</v>
      </c>
    </row>
    <row r="1106" spans="1:9">
      <c r="A1106" t="s">
        <v>17</v>
      </c>
      <c r="B1106" s="2">
        <f t="shared" si="70"/>
        <v>54</v>
      </c>
      <c r="C1106">
        <v>433</v>
      </c>
      <c r="D1106">
        <v>14</v>
      </c>
      <c r="E1106">
        <v>12</v>
      </c>
      <c r="F1106">
        <f t="shared" si="68"/>
        <v>-2.0487962352012388</v>
      </c>
      <c r="G1106">
        <f t="shared" si="69"/>
        <v>-1.9485518614572437</v>
      </c>
      <c r="I1106">
        <f t="shared" si="71"/>
        <v>-1.9986740483292413</v>
      </c>
    </row>
    <row r="1107" spans="1:9">
      <c r="A1107" t="s">
        <v>18</v>
      </c>
      <c r="B1107" s="2">
        <f t="shared" si="70"/>
        <v>54</v>
      </c>
      <c r="C1107">
        <v>633</v>
      </c>
      <c r="D1107">
        <v>79</v>
      </c>
      <c r="E1107">
        <v>10</v>
      </c>
      <c r="F1107">
        <f t="shared" si="68"/>
        <v>-1.462212993253025</v>
      </c>
      <c r="G1107">
        <f t="shared" si="69"/>
        <v>-2.1926489211688582</v>
      </c>
      <c r="I1107">
        <f t="shared" si="71"/>
        <v>-1.8274309572109417</v>
      </c>
    </row>
    <row r="1108" spans="1:9">
      <c r="A1108" t="s">
        <v>19</v>
      </c>
      <c r="B1108" s="2">
        <f t="shared" si="70"/>
        <v>54</v>
      </c>
      <c r="C1108">
        <v>633</v>
      </c>
      <c r="D1108">
        <v>23</v>
      </c>
      <c r="E1108">
        <v>5</v>
      </c>
      <c r="F1108">
        <f t="shared" si="68"/>
        <v>-1.9981122485258735</v>
      </c>
      <c r="G1108">
        <f t="shared" si="69"/>
        <v>-2.4936789168328395</v>
      </c>
      <c r="I1108">
        <f t="shared" si="71"/>
        <v>-2.2458955826793563</v>
      </c>
    </row>
    <row r="1109" spans="1:9">
      <c r="A1109" t="s">
        <v>20</v>
      </c>
      <c r="B1109" s="2">
        <f t="shared" si="70"/>
        <v>54</v>
      </c>
      <c r="C1109">
        <v>218</v>
      </c>
      <c r="D1109">
        <v>115</v>
      </c>
      <c r="E1109">
        <v>92</v>
      </c>
      <c r="F1109">
        <f t="shared" si="68"/>
        <v>-0.83619502777710442</v>
      </c>
      <c r="G1109">
        <f t="shared" si="69"/>
        <v>-0.7659138774105525</v>
      </c>
      <c r="I1109">
        <f t="shared" si="71"/>
        <v>-0.80105445259382846</v>
      </c>
    </row>
    <row r="1110" spans="1:9">
      <c r="A1110" t="s">
        <v>21</v>
      </c>
      <c r="B1110" s="2">
        <f t="shared" si="70"/>
        <v>54</v>
      </c>
      <c r="C1110">
        <v>709</v>
      </c>
      <c r="D1110">
        <v>26</v>
      </c>
      <c r="E1110">
        <v>14</v>
      </c>
      <c r="F1110">
        <f t="shared" si="68"/>
        <v>-1.9941092617383598</v>
      </c>
      <c r="G1110">
        <f t="shared" si="69"/>
        <v>-2.0957634106563314</v>
      </c>
      <c r="I1110">
        <f t="shared" si="71"/>
        <v>-2.0449363361973454</v>
      </c>
    </row>
    <row r="1111" spans="1:9">
      <c r="A1111" t="s">
        <v>22</v>
      </c>
      <c r="B1111" s="2">
        <f t="shared" si="70"/>
        <v>54</v>
      </c>
      <c r="C1111">
        <v>378</v>
      </c>
      <c r="D1111">
        <v>33</v>
      </c>
      <c r="E1111">
        <v>131</v>
      </c>
      <c r="F1111">
        <f t="shared" si="68"/>
        <v>-1.617414234485449</v>
      </c>
      <c r="G1111">
        <f t="shared" si="69"/>
        <v>-0.85146571533296411</v>
      </c>
      <c r="I1111">
        <f t="shared" si="71"/>
        <v>-1.2344399749092065</v>
      </c>
    </row>
    <row r="1112" spans="1:9">
      <c r="A1112" t="s">
        <v>23</v>
      </c>
      <c r="B1112" s="2">
        <f t="shared" si="70"/>
        <v>54</v>
      </c>
      <c r="C1112">
        <v>436</v>
      </c>
      <c r="D1112">
        <v>7</v>
      </c>
      <c r="E1112">
        <v>4</v>
      </c>
      <c r="F1112">
        <f t="shared" si="68"/>
        <v>-2.3528248237804403</v>
      </c>
      <c r="G1112">
        <f t="shared" si="69"/>
        <v>-2.4286717090921268</v>
      </c>
      <c r="I1112">
        <f t="shared" si="71"/>
        <v>-2.3907482664362836</v>
      </c>
    </row>
    <row r="1113" spans="1:9">
      <c r="A1113" t="s">
        <v>24</v>
      </c>
      <c r="B1113" s="2">
        <f t="shared" si="70"/>
        <v>54</v>
      </c>
      <c r="C1113">
        <v>2270</v>
      </c>
      <c r="D1113">
        <v>69</v>
      </c>
      <c r="E1113">
        <v>154</v>
      </c>
      <c r="F1113">
        <f t="shared" si="68"/>
        <v>-2.0756131409819787</v>
      </c>
      <c r="G1113">
        <f t="shared" si="69"/>
        <v>-1.5597503475081627</v>
      </c>
      <c r="I1113">
        <f t="shared" si="71"/>
        <v>-1.8176817442450708</v>
      </c>
    </row>
    <row r="1114" spans="1:9">
      <c r="A1114" t="s">
        <v>25</v>
      </c>
      <c r="B1114" s="2">
        <f t="shared" si="70"/>
        <v>54</v>
      </c>
      <c r="C1114">
        <v>900</v>
      </c>
      <c r="D1114">
        <v>23</v>
      </c>
      <c r="E1114">
        <v>34</v>
      </c>
      <c r="F1114">
        <f t="shared" si="68"/>
        <v>-2.1509510479478431</v>
      </c>
      <c r="G1114">
        <f t="shared" si="69"/>
        <v>-1.8140088035485729</v>
      </c>
      <c r="I1114">
        <f t="shared" si="71"/>
        <v>-1.982479925748208</v>
      </c>
    </row>
    <row r="1115" spans="1:9">
      <c r="A1115" t="s">
        <v>7</v>
      </c>
      <c r="B1115" s="2">
        <f t="shared" si="70"/>
        <v>55</v>
      </c>
      <c r="C1115">
        <v>259</v>
      </c>
      <c r="D1115">
        <v>6</v>
      </c>
      <c r="E1115">
        <v>2</v>
      </c>
      <c r="F1115">
        <f t="shared" si="68"/>
        <v>-2.1935848882237194</v>
      </c>
      <c r="G1115">
        <f t="shared" si="69"/>
        <v>-2.5035149795687737</v>
      </c>
      <c r="I1115">
        <f t="shared" si="71"/>
        <v>-2.3485499338962468</v>
      </c>
    </row>
    <row r="1116" spans="1:9">
      <c r="A1116" t="s">
        <v>8</v>
      </c>
      <c r="B1116" s="2">
        <f t="shared" si="70"/>
        <v>55</v>
      </c>
      <c r="C1116">
        <v>425</v>
      </c>
      <c r="D1116">
        <v>376</v>
      </c>
      <c r="E1116">
        <v>582</v>
      </c>
      <c r="F1116">
        <f t="shared" si="68"/>
        <v>-0.61163745964876171</v>
      </c>
      <c r="G1116">
        <f t="shared" si="69"/>
        <v>-0.25471115655192611</v>
      </c>
      <c r="I1116">
        <f t="shared" si="71"/>
        <v>-0.43317430810034391</v>
      </c>
    </row>
    <row r="1117" spans="1:9">
      <c r="A1117" t="s">
        <v>5</v>
      </c>
      <c r="B1117" s="2">
        <f t="shared" si="70"/>
        <v>55</v>
      </c>
      <c r="C1117">
        <v>171</v>
      </c>
      <c r="D1117">
        <v>29</v>
      </c>
      <c r="E1117">
        <v>5</v>
      </c>
      <c r="F1117">
        <f t="shared" si="68"/>
        <v>-1.3290344870193089</v>
      </c>
      <c r="G1117">
        <f t="shared" si="69"/>
        <v>-1.9252713172076381</v>
      </c>
      <c r="I1117">
        <f t="shared" si="71"/>
        <v>-1.6271529021134734</v>
      </c>
    </row>
    <row r="1118" spans="1:9">
      <c r="A1118" t="s">
        <v>6</v>
      </c>
      <c r="B1118" s="2">
        <f t="shared" si="70"/>
        <v>55</v>
      </c>
      <c r="C1118">
        <v>379</v>
      </c>
      <c r="D1118">
        <v>13</v>
      </c>
      <c r="E1118">
        <v>1</v>
      </c>
      <c r="F1118">
        <f t="shared" si="68"/>
        <v>-2.0231322321873471</v>
      </c>
      <c r="G1118">
        <f t="shared" si="69"/>
        <v>-2.9698844211195752</v>
      </c>
      <c r="I1118">
        <f t="shared" si="71"/>
        <v>-2.4965083266534611</v>
      </c>
    </row>
    <row r="1119" spans="1:9">
      <c r="A1119" t="s">
        <v>10</v>
      </c>
      <c r="B1119" s="2">
        <f t="shared" si="70"/>
        <v>55</v>
      </c>
      <c r="C1119">
        <v>197</v>
      </c>
      <c r="D1119">
        <v>6</v>
      </c>
      <c r="E1119">
        <v>1</v>
      </c>
      <c r="F1119">
        <f t="shared" si="68"/>
        <v>-2.0747513503040604</v>
      </c>
      <c r="G1119">
        <f t="shared" si="69"/>
        <v>-2.6857114373130959</v>
      </c>
      <c r="I1119">
        <f t="shared" si="71"/>
        <v>-2.380231393808578</v>
      </c>
    </row>
    <row r="1120" spans="1:9">
      <c r="A1120" t="s">
        <v>11</v>
      </c>
      <c r="B1120" s="2">
        <f t="shared" si="70"/>
        <v>55</v>
      </c>
      <c r="C1120">
        <v>409</v>
      </c>
      <c r="D1120">
        <v>39</v>
      </c>
      <c r="E1120">
        <v>6</v>
      </c>
      <c r="F1120">
        <f t="shared" si="68"/>
        <v>-1.5790950755069537</v>
      </c>
      <c r="G1120">
        <f t="shared" si="69"/>
        <v>-2.224817268775201</v>
      </c>
      <c r="I1120">
        <f t="shared" si="71"/>
        <v>-1.9019561721410774</v>
      </c>
    </row>
    <row r="1121" spans="1:9">
      <c r="A1121" t="s">
        <v>12</v>
      </c>
      <c r="B1121" s="2">
        <f t="shared" si="70"/>
        <v>55</v>
      </c>
      <c r="C1121">
        <v>683</v>
      </c>
      <c r="D1121">
        <v>40</v>
      </c>
      <c r="E1121">
        <v>9</v>
      </c>
      <c r="F1121">
        <f t="shared" si="68"/>
        <v>-1.7907970868796816</v>
      </c>
      <c r="G1121">
        <f t="shared" si="69"/>
        <v>-2.271423405393711</v>
      </c>
      <c r="I1121">
        <f t="shared" si="71"/>
        <v>-2.0311102461366963</v>
      </c>
    </row>
    <row r="1122" spans="1:9">
      <c r="A1122" t="s">
        <v>9</v>
      </c>
      <c r="B1122" s="2">
        <f t="shared" si="70"/>
        <v>55</v>
      </c>
      <c r="C1122">
        <v>186</v>
      </c>
      <c r="D1122">
        <v>4</v>
      </c>
      <c r="E1122">
        <v>6</v>
      </c>
      <c r="F1122">
        <f t="shared" si="68"/>
        <v>-2.2258893274160654</v>
      </c>
      <c r="G1122">
        <f t="shared" si="69"/>
        <v>-1.8826069049857757</v>
      </c>
      <c r="I1122">
        <f t="shared" si="71"/>
        <v>-2.0542481162009203</v>
      </c>
    </row>
    <row r="1123" spans="1:9">
      <c r="A1123" t="s">
        <v>13</v>
      </c>
      <c r="B1123" s="2">
        <f t="shared" si="70"/>
        <v>55</v>
      </c>
      <c r="C1123">
        <v>294</v>
      </c>
      <c r="D1123">
        <v>5</v>
      </c>
      <c r="E1123">
        <v>2</v>
      </c>
      <c r="F1123">
        <f t="shared" si="68"/>
        <v>-2.3278137006022499</v>
      </c>
      <c r="G1123">
        <f t="shared" si="69"/>
        <v>-2.558562545899679</v>
      </c>
      <c r="I1123">
        <f t="shared" si="71"/>
        <v>-2.4431881232509642</v>
      </c>
    </row>
    <row r="1124" spans="1:9">
      <c r="A1124" t="s">
        <v>14</v>
      </c>
      <c r="B1124" s="2">
        <f t="shared" si="70"/>
        <v>55</v>
      </c>
      <c r="C1124">
        <v>636</v>
      </c>
      <c r="D1124">
        <v>12</v>
      </c>
      <c r="E1124">
        <v>3</v>
      </c>
      <c r="F1124">
        <f t="shared" si="68"/>
        <v>-2.2827122441269005</v>
      </c>
      <c r="G1124">
        <f t="shared" si="69"/>
        <v>-2.7175810720802547</v>
      </c>
      <c r="I1124">
        <f t="shared" si="71"/>
        <v>-2.5001466581035778</v>
      </c>
    </row>
    <row r="1125" spans="1:9">
      <c r="A1125" t="s">
        <v>15</v>
      </c>
      <c r="B1125" s="2">
        <f t="shared" si="70"/>
        <v>55</v>
      </c>
      <c r="C1125">
        <v>431</v>
      </c>
      <c r="D1125">
        <v>10</v>
      </c>
      <c r="E1125">
        <v>2</v>
      </c>
      <c r="F1125">
        <f t="shared" si="68"/>
        <v>-2.1929136446868429</v>
      </c>
      <c r="G1125">
        <f t="shared" si="69"/>
        <v>-2.7246924856482533</v>
      </c>
      <c r="I1125">
        <f t="shared" si="71"/>
        <v>-2.4588030651675483</v>
      </c>
    </row>
    <row r="1126" spans="1:9">
      <c r="A1126" t="s">
        <v>16</v>
      </c>
      <c r="B1126" s="2">
        <f t="shared" si="70"/>
        <v>55</v>
      </c>
      <c r="C1126">
        <v>42</v>
      </c>
      <c r="D1126">
        <v>91</v>
      </c>
      <c r="E1126">
        <v>66</v>
      </c>
      <c r="F1126">
        <f t="shared" si="68"/>
        <v>-0.22264427260291819</v>
      </c>
      <c r="G1126">
        <f t="shared" si="69"/>
        <v>-0.19495056600753483</v>
      </c>
      <c r="I1126">
        <f t="shared" si="71"/>
        <v>-0.20879741930522649</v>
      </c>
    </row>
    <row r="1127" spans="1:9">
      <c r="A1127" t="s">
        <v>17</v>
      </c>
      <c r="B1127" s="2">
        <f t="shared" si="70"/>
        <v>55</v>
      </c>
      <c r="C1127">
        <v>497</v>
      </c>
      <c r="D1127">
        <v>27</v>
      </c>
      <c r="E1127">
        <v>3</v>
      </c>
      <c r="F1127">
        <f t="shared" si="68"/>
        <v>-1.823428999100456</v>
      </c>
      <c r="G1127">
        <f t="shared" si="69"/>
        <v>-2.6104803451651728</v>
      </c>
      <c r="I1127">
        <f t="shared" si="71"/>
        <v>-2.2169546721328146</v>
      </c>
    </row>
    <row r="1128" spans="1:9">
      <c r="A1128" t="s">
        <v>18</v>
      </c>
      <c r="B1128" s="2">
        <f t="shared" si="70"/>
        <v>55</v>
      </c>
      <c r="C1128">
        <v>415</v>
      </c>
      <c r="D1128">
        <v>21</v>
      </c>
      <c r="E1128">
        <v>11</v>
      </c>
      <c r="F1128">
        <f t="shared" si="68"/>
        <v>-1.8542651765042848</v>
      </c>
      <c r="G1128">
        <f t="shared" si="69"/>
        <v>-1.9679006227053706</v>
      </c>
      <c r="I1128">
        <f t="shared" si="71"/>
        <v>-1.9110828996048277</v>
      </c>
    </row>
    <row r="1129" spans="1:9">
      <c r="A1129" t="s">
        <v>19</v>
      </c>
      <c r="B1129" s="2">
        <f t="shared" si="70"/>
        <v>55</v>
      </c>
      <c r="C1129">
        <v>326</v>
      </c>
      <c r="D1129">
        <v>93</v>
      </c>
      <c r="E1129">
        <v>19</v>
      </c>
      <c r="F1129">
        <f t="shared" si="68"/>
        <v>-1.1031710260401151</v>
      </c>
      <c r="G1129">
        <f t="shared" si="69"/>
        <v>-1.6257092102666131</v>
      </c>
      <c r="I1129">
        <f t="shared" si="71"/>
        <v>-1.3644401181533641</v>
      </c>
    </row>
    <row r="1130" spans="1:9">
      <c r="A1130" t="s">
        <v>20</v>
      </c>
      <c r="B1130" s="2">
        <f t="shared" si="70"/>
        <v>55</v>
      </c>
      <c r="C1130">
        <v>331</v>
      </c>
      <c r="D1130">
        <v>6</v>
      </c>
      <c r="E1130">
        <v>3</v>
      </c>
      <c r="F1130">
        <f t="shared" si="68"/>
        <v>-2.3001131179181864</v>
      </c>
      <c r="G1130">
        <f t="shared" si="69"/>
        <v>-2.4339519502075593</v>
      </c>
      <c r="I1130">
        <f t="shared" si="71"/>
        <v>-2.3670325340628731</v>
      </c>
    </row>
    <row r="1131" spans="1:9">
      <c r="A1131" t="s">
        <v>21</v>
      </c>
      <c r="B1131" s="2">
        <f t="shared" si="70"/>
        <v>55</v>
      </c>
      <c r="C1131">
        <v>573</v>
      </c>
      <c r="D1131">
        <v>61</v>
      </c>
      <c r="E1131">
        <v>28</v>
      </c>
      <c r="F1131">
        <f t="shared" si="68"/>
        <v>-1.5312611614827343</v>
      </c>
      <c r="G1131">
        <f t="shared" si="69"/>
        <v>-1.7022418017766738</v>
      </c>
      <c r="I1131">
        <f t="shared" si="71"/>
        <v>-1.6167514816297039</v>
      </c>
    </row>
    <row r="1132" spans="1:9">
      <c r="A1132" t="s">
        <v>22</v>
      </c>
      <c r="B1132" s="2">
        <f t="shared" si="70"/>
        <v>55</v>
      </c>
      <c r="C1132">
        <v>336</v>
      </c>
      <c r="D1132">
        <v>10</v>
      </c>
      <c r="E1132">
        <v>0</v>
      </c>
      <c r="F1132">
        <f t="shared" si="68"/>
        <v>-2.0847756519159555</v>
      </c>
      <c r="G1132" t="e">
        <f t="shared" si="69"/>
        <v>#NUM!</v>
      </c>
      <c r="I1132" t="e">
        <f t="shared" si="71"/>
        <v>#NUM!</v>
      </c>
    </row>
    <row r="1133" spans="1:9">
      <c r="A1133" t="s">
        <v>23</v>
      </c>
      <c r="B1133" s="2">
        <f t="shared" si="70"/>
        <v>55</v>
      </c>
      <c r="C1133">
        <v>435</v>
      </c>
      <c r="D1133">
        <v>27</v>
      </c>
      <c r="E1133">
        <v>2</v>
      </c>
      <c r="F1133">
        <f t="shared" si="68"/>
        <v>-1.7655618673217615</v>
      </c>
      <c r="G1133">
        <f t="shared" si="69"/>
        <v>-2.7287044724421592</v>
      </c>
      <c r="I1133">
        <f t="shared" si="71"/>
        <v>-2.2471331698819603</v>
      </c>
    </row>
    <row r="1134" spans="1:9">
      <c r="A1134" t="s">
        <v>24</v>
      </c>
      <c r="B1134" s="2">
        <f t="shared" si="70"/>
        <v>55</v>
      </c>
      <c r="C1134">
        <v>541</v>
      </c>
      <c r="D1134">
        <v>16</v>
      </c>
      <c r="E1134">
        <v>3</v>
      </c>
      <c r="F1134">
        <f t="shared" si="68"/>
        <v>-2.0875136569767561</v>
      </c>
      <c r="G1134">
        <f t="shared" si="69"/>
        <v>-2.6473212215384101</v>
      </c>
      <c r="I1134">
        <f t="shared" si="71"/>
        <v>-2.3674174392575829</v>
      </c>
    </row>
    <row r="1135" spans="1:9">
      <c r="A1135" t="s">
        <v>25</v>
      </c>
      <c r="B1135" s="2">
        <f t="shared" si="70"/>
        <v>55</v>
      </c>
      <c r="C1135">
        <v>284</v>
      </c>
      <c r="D1135">
        <v>4</v>
      </c>
      <c r="E1135">
        <v>2</v>
      </c>
      <c r="F1135">
        <f t="shared" si="68"/>
        <v>-2.4096947232451864</v>
      </c>
      <c r="G1135">
        <f t="shared" si="69"/>
        <v>-2.5435335555345593</v>
      </c>
      <c r="I1135">
        <f t="shared" si="71"/>
        <v>-2.4766141393898726</v>
      </c>
    </row>
    <row r="1136" spans="1:9">
      <c r="A1136" t="s">
        <v>7</v>
      </c>
      <c r="B1136" s="2">
        <f t="shared" si="70"/>
        <v>56</v>
      </c>
      <c r="C1136">
        <v>369</v>
      </c>
      <c r="D1136">
        <v>55</v>
      </c>
      <c r="E1136">
        <v>31</v>
      </c>
      <c r="F1136">
        <f t="shared" si="68"/>
        <v>-1.3851000511909279</v>
      </c>
      <c r="G1136">
        <f t="shared" si="69"/>
        <v>-1.4669098834762908</v>
      </c>
      <c r="I1136">
        <f t="shared" si="71"/>
        <v>-1.4260049673336095</v>
      </c>
    </row>
    <row r="1137" spans="1:9">
      <c r="A1137" t="s">
        <v>8</v>
      </c>
      <c r="B1137" s="2">
        <f t="shared" si="70"/>
        <v>56</v>
      </c>
      <c r="C1137">
        <v>775</v>
      </c>
      <c r="D1137">
        <v>25</v>
      </c>
      <c r="E1137">
        <v>11</v>
      </c>
      <c r="F1137">
        <f t="shared" si="68"/>
        <v>-2.049798068360384</v>
      </c>
      <c r="G1137">
        <f t="shared" si="69"/>
        <v>-2.2391542284995882</v>
      </c>
      <c r="I1137">
        <f t="shared" si="71"/>
        <v>-2.1444761484299861</v>
      </c>
    </row>
    <row r="1138" spans="1:9">
      <c r="A1138" t="s">
        <v>5</v>
      </c>
      <c r="B1138" s="2">
        <f t="shared" si="70"/>
        <v>56</v>
      </c>
      <c r="C1138">
        <v>74916</v>
      </c>
      <c r="D1138">
        <v>271026</v>
      </c>
      <c r="E1138">
        <v>184425</v>
      </c>
      <c r="F1138">
        <f t="shared" si="68"/>
        <v>0</v>
      </c>
      <c r="G1138">
        <f t="shared" si="69"/>
        <v>0</v>
      </c>
      <c r="I1138">
        <f t="shared" si="71"/>
        <v>0</v>
      </c>
    </row>
    <row r="1139" spans="1:9">
      <c r="A1139" t="s">
        <v>6</v>
      </c>
      <c r="B1139" s="2">
        <f t="shared" si="70"/>
        <v>56</v>
      </c>
      <c r="C1139">
        <v>1142</v>
      </c>
      <c r="D1139">
        <v>56</v>
      </c>
      <c r="E1139">
        <v>12</v>
      </c>
      <c r="F1139">
        <f t="shared" ref="F1139:F1202" si="72">LOG10(D1139/C1139)-LOG10(271026/74916)</f>
        <v>-1.8679144514297401</v>
      </c>
      <c r="G1139">
        <f t="shared" ref="G1139:G1202" si="73">LOG10(E1139/C1139)-LOG10(184425/74916)</f>
        <v>-2.3697300690137073</v>
      </c>
      <c r="I1139">
        <f t="shared" si="71"/>
        <v>-2.1188222602217239</v>
      </c>
    </row>
    <row r="1140" spans="1:9">
      <c r="A1140" t="s">
        <v>10</v>
      </c>
      <c r="B1140" s="2">
        <f t="shared" si="70"/>
        <v>56</v>
      </c>
      <c r="C1140">
        <v>957</v>
      </c>
      <c r="D1140">
        <v>29</v>
      </c>
      <c r="E1140">
        <v>9</v>
      </c>
      <c r="F1140">
        <f t="shared" si="72"/>
        <v>-2.0769503144039989</v>
      </c>
      <c r="G1140">
        <f t="shared" si="73"/>
        <v>-2.4179146394890219</v>
      </c>
      <c r="I1140">
        <f t="shared" si="71"/>
        <v>-2.2474324769465106</v>
      </c>
    </row>
    <row r="1141" spans="1:9">
      <c r="A1141" t="s">
        <v>11</v>
      </c>
      <c r="B1141" s="2">
        <f t="shared" si="70"/>
        <v>56</v>
      </c>
      <c r="C1141">
        <v>479</v>
      </c>
      <c r="D1141">
        <v>10</v>
      </c>
      <c r="E1141">
        <v>4</v>
      </c>
      <c r="F1141">
        <f t="shared" si="72"/>
        <v>-2.2387718879406746</v>
      </c>
      <c r="G1141">
        <f t="shared" si="73"/>
        <v>-2.4695207332381037</v>
      </c>
      <c r="I1141">
        <f t="shared" si="71"/>
        <v>-2.3541463105893889</v>
      </c>
    </row>
    <row r="1142" spans="1:9">
      <c r="A1142" t="s">
        <v>12</v>
      </c>
      <c r="B1142" s="2">
        <f t="shared" si="70"/>
        <v>56</v>
      </c>
      <c r="C1142">
        <v>487</v>
      </c>
      <c r="D1142">
        <v>15</v>
      </c>
      <c r="E1142">
        <v>7</v>
      </c>
      <c r="F1142">
        <f t="shared" si="72"/>
        <v>-2.0698740766850645</v>
      </c>
      <c r="G1142">
        <f t="shared" si="73"/>
        <v>-2.2336761323518806</v>
      </c>
      <c r="I1142">
        <f t="shared" si="71"/>
        <v>-2.1517751045184728</v>
      </c>
    </row>
    <row r="1143" spans="1:9">
      <c r="A1143" t="s">
        <v>9</v>
      </c>
      <c r="B1143" s="2">
        <f t="shared" si="70"/>
        <v>56</v>
      </c>
      <c r="C1143">
        <v>502</v>
      </c>
      <c r="D1143">
        <v>24</v>
      </c>
      <c r="E1143">
        <v>18</v>
      </c>
      <c r="F1143">
        <f t="shared" si="72"/>
        <v>-1.8789288499595247</v>
      </c>
      <c r="G1143">
        <f t="shared" si="73"/>
        <v>-1.8366764231932162</v>
      </c>
      <c r="I1143">
        <f t="shared" si="71"/>
        <v>-1.8578026365763705</v>
      </c>
    </row>
    <row r="1144" spans="1:9">
      <c r="A1144" t="s">
        <v>13</v>
      </c>
      <c r="B1144" s="2">
        <f t="shared" si="70"/>
        <v>56</v>
      </c>
      <c r="C1144">
        <v>706</v>
      </c>
      <c r="D1144">
        <v>10</v>
      </c>
      <c r="E1144">
        <v>6</v>
      </c>
      <c r="F1144">
        <f t="shared" si="72"/>
        <v>-2.407241075577915</v>
      </c>
      <c r="G1144">
        <f t="shared" si="73"/>
        <v>-2.4618986618196632</v>
      </c>
      <c r="I1144">
        <f t="shared" si="71"/>
        <v>-2.4345698686987891</v>
      </c>
    </row>
    <row r="1145" spans="1:9">
      <c r="A1145" t="s">
        <v>14</v>
      </c>
      <c r="B1145" s="2">
        <f t="shared" si="70"/>
        <v>56</v>
      </c>
      <c r="C1145">
        <v>1027</v>
      </c>
      <c r="D1145">
        <v>412</v>
      </c>
      <c r="E1145">
        <v>506</v>
      </c>
      <c r="F1145">
        <f t="shared" si="72"/>
        <v>-0.95510960209025497</v>
      </c>
      <c r="G1145">
        <f t="shared" si="73"/>
        <v>-0.6986651379089821</v>
      </c>
      <c r="I1145">
        <f t="shared" si="71"/>
        <v>-0.82688736999961854</v>
      </c>
    </row>
    <row r="1146" spans="1:9">
      <c r="A1146" t="s">
        <v>15</v>
      </c>
      <c r="B1146" s="2">
        <f t="shared" si="70"/>
        <v>56</v>
      </c>
      <c r="C1146">
        <v>873</v>
      </c>
      <c r="D1146">
        <v>34</v>
      </c>
      <c r="E1146">
        <v>68</v>
      </c>
      <c r="F1146">
        <f t="shared" si="72"/>
        <v>-1.967971701189426</v>
      </c>
      <c r="G1146">
        <f t="shared" si="73"/>
        <v>-1.4997505421508364</v>
      </c>
      <c r="I1146">
        <f t="shared" si="71"/>
        <v>-1.7338611216701312</v>
      </c>
    </row>
    <row r="1147" spans="1:9">
      <c r="A1147" t="s">
        <v>16</v>
      </c>
      <c r="B1147" s="2">
        <f t="shared" si="70"/>
        <v>56</v>
      </c>
      <c r="C1147">
        <v>870</v>
      </c>
      <c r="D1147">
        <v>56</v>
      </c>
      <c r="E1147">
        <v>20</v>
      </c>
      <c r="F1147">
        <f t="shared" si="72"/>
        <v>-1.7497676001385294</v>
      </c>
      <c r="G1147">
        <f t="shared" si="73"/>
        <v>-2.0297344681061404</v>
      </c>
      <c r="I1147">
        <f t="shared" si="71"/>
        <v>-1.8897510341223349</v>
      </c>
    </row>
    <row r="1148" spans="1:9">
      <c r="A1148" t="s">
        <v>17</v>
      </c>
      <c r="B1148" s="2">
        <f t="shared" si="70"/>
        <v>56</v>
      </c>
      <c r="C1148">
        <v>586</v>
      </c>
      <c r="D1148">
        <v>17</v>
      </c>
      <c r="E1148">
        <v>3</v>
      </c>
      <c r="F1148">
        <f t="shared" si="72"/>
        <v>-2.0958850691659281</v>
      </c>
      <c r="G1148">
        <f t="shared" si="73"/>
        <v>-2.6820215724499312</v>
      </c>
      <c r="I1148">
        <f t="shared" si="71"/>
        <v>-2.3889533208079294</v>
      </c>
    </row>
    <row r="1149" spans="1:9">
      <c r="A1149" t="s">
        <v>18</v>
      </c>
      <c r="B1149" s="2">
        <f t="shared" si="70"/>
        <v>56</v>
      </c>
      <c r="C1149">
        <v>967</v>
      </c>
      <c r="D1149">
        <v>32</v>
      </c>
      <c r="E1149">
        <v>9</v>
      </c>
      <c r="F1149">
        <f t="shared" si="72"/>
        <v>-2.0387128702892068</v>
      </c>
      <c r="G1149">
        <f t="shared" si="73"/>
        <v>-2.4224291757951799</v>
      </c>
      <c r="I1149">
        <f t="shared" si="71"/>
        <v>-2.2305710230421933</v>
      </c>
    </row>
    <row r="1150" spans="1:9">
      <c r="A1150" t="s">
        <v>19</v>
      </c>
      <c r="B1150" s="2">
        <f t="shared" si="70"/>
        <v>56</v>
      </c>
      <c r="C1150">
        <v>807</v>
      </c>
      <c r="D1150">
        <v>23</v>
      </c>
      <c r="E1150">
        <v>18</v>
      </c>
      <c r="F1150">
        <f t="shared" si="72"/>
        <v>-2.103582073230589</v>
      </c>
      <c r="G1150">
        <f t="shared" si="73"/>
        <v>-2.0428462407702677</v>
      </c>
      <c r="I1150">
        <f t="shared" si="71"/>
        <v>-2.0732141570004283</v>
      </c>
    </row>
    <row r="1151" spans="1:9">
      <c r="A1151" t="s">
        <v>20</v>
      </c>
      <c r="B1151" s="2">
        <f t="shared" si="70"/>
        <v>56</v>
      </c>
      <c r="C1151">
        <v>474</v>
      </c>
      <c r="D1151">
        <v>20</v>
      </c>
      <c r="E1151">
        <v>3</v>
      </c>
      <c r="F1151">
        <f t="shared" si="72"/>
        <v>-1.9331847205362154</v>
      </c>
      <c r="G1151">
        <f t="shared" si="73"/>
        <v>-2.5899022981059256</v>
      </c>
      <c r="I1151">
        <f t="shared" si="71"/>
        <v>-2.2615435093210703</v>
      </c>
    </row>
    <row r="1152" spans="1:9">
      <c r="A1152" t="s">
        <v>21</v>
      </c>
      <c r="B1152" s="2">
        <f t="shared" si="70"/>
        <v>56</v>
      </c>
      <c r="C1152">
        <v>743</v>
      </c>
      <c r="D1152">
        <v>14</v>
      </c>
      <c r="E1152">
        <v>4</v>
      </c>
      <c r="F1152">
        <f t="shared" si="72"/>
        <v>-2.2832971526084487</v>
      </c>
      <c r="G1152">
        <f t="shared" si="73"/>
        <v>-2.660174033584116</v>
      </c>
      <c r="I1152">
        <f t="shared" si="71"/>
        <v>-2.4717355930962821</v>
      </c>
    </row>
    <row r="1153" spans="1:9">
      <c r="A1153" t="s">
        <v>22</v>
      </c>
      <c r="B1153" s="2">
        <f t="shared" si="70"/>
        <v>56</v>
      </c>
      <c r="C1153">
        <v>414</v>
      </c>
      <c r="D1153">
        <v>12</v>
      </c>
      <c r="E1153">
        <v>8</v>
      </c>
      <c r="F1153">
        <f t="shared" si="72"/>
        <v>-2.0962554695993854</v>
      </c>
      <c r="G1153">
        <f t="shared" si="73"/>
        <v>-2.1051555652804583</v>
      </c>
      <c r="I1153">
        <f t="shared" si="71"/>
        <v>-2.1007055174399216</v>
      </c>
    </row>
    <row r="1154" spans="1:9">
      <c r="A1154" t="s">
        <v>23</v>
      </c>
      <c r="B1154" s="2">
        <f t="shared" si="70"/>
        <v>56</v>
      </c>
      <c r="C1154">
        <v>937</v>
      </c>
      <c r="D1154">
        <v>25</v>
      </c>
      <c r="E1154">
        <v>3</v>
      </c>
      <c r="F1154">
        <f t="shared" si="72"/>
        <v>-2.1322359567418521</v>
      </c>
      <c r="G1154">
        <f t="shared" si="73"/>
        <v>-2.885863547319619</v>
      </c>
      <c r="I1154">
        <f t="shared" si="71"/>
        <v>-2.5090497520307355</v>
      </c>
    </row>
    <row r="1155" spans="1:9">
      <c r="A1155" t="s">
        <v>24</v>
      </c>
      <c r="B1155" s="2">
        <f t="shared" ref="B1155:B1218" si="74">1+INT((ROW()-2)/21)+1</f>
        <v>56</v>
      </c>
      <c r="C1155">
        <v>883</v>
      </c>
      <c r="D1155">
        <v>25</v>
      </c>
      <c r="E1155">
        <v>11</v>
      </c>
      <c r="F1155">
        <f t="shared" si="72"/>
        <v>-2.1064570694316425</v>
      </c>
      <c r="G1155">
        <f t="shared" si="73"/>
        <v>-2.2958132295708467</v>
      </c>
      <c r="I1155">
        <f t="shared" ref="I1155:I1218" si="75">AVERAGE(F1155:G1155)</f>
        <v>-2.2011351495012446</v>
      </c>
    </row>
    <row r="1156" spans="1:9">
      <c r="A1156" t="s">
        <v>25</v>
      </c>
      <c r="B1156" s="2">
        <f t="shared" si="74"/>
        <v>56</v>
      </c>
      <c r="C1156">
        <v>633</v>
      </c>
      <c r="D1156">
        <v>47</v>
      </c>
      <c r="E1156">
        <v>34</v>
      </c>
      <c r="F1156">
        <f t="shared" si="72"/>
        <v>-1.6877422266077491</v>
      </c>
      <c r="G1156">
        <f t="shared" si="73"/>
        <v>-1.6611700041266029</v>
      </c>
      <c r="I1156">
        <f t="shared" si="75"/>
        <v>-1.674456115367176</v>
      </c>
    </row>
    <row r="1157" spans="1:9">
      <c r="A1157" t="s">
        <v>7</v>
      </c>
      <c r="B1157" s="2">
        <f t="shared" si="74"/>
        <v>57</v>
      </c>
      <c r="C1157">
        <v>333</v>
      </c>
      <c r="D1157">
        <v>20</v>
      </c>
      <c r="E1157">
        <v>9</v>
      </c>
      <c r="F1157">
        <f t="shared" si="72"/>
        <v>-1.7798506123684499</v>
      </c>
      <c r="G1157">
        <f t="shared" si="73"/>
        <v>-1.959446935218498</v>
      </c>
      <c r="I1157">
        <f t="shared" si="75"/>
        <v>-1.8696487737934739</v>
      </c>
    </row>
    <row r="1158" spans="1:9">
      <c r="A1158" t="s">
        <v>8</v>
      </c>
      <c r="B1158" s="2">
        <f t="shared" si="74"/>
        <v>57</v>
      </c>
      <c r="C1158">
        <v>835</v>
      </c>
      <c r="D1158">
        <v>18</v>
      </c>
      <c r="E1158">
        <v>12</v>
      </c>
      <c r="F1158">
        <f t="shared" si="72"/>
        <v>-2.2248503449064074</v>
      </c>
      <c r="G1158">
        <f t="shared" si="73"/>
        <v>-2.23375044058748</v>
      </c>
      <c r="I1158">
        <f t="shared" si="75"/>
        <v>-2.2293003927469437</v>
      </c>
    </row>
    <row r="1159" spans="1:9">
      <c r="A1159" t="s">
        <v>5</v>
      </c>
      <c r="B1159" s="2">
        <f t="shared" si="74"/>
        <v>57</v>
      </c>
      <c r="C1159">
        <v>387</v>
      </c>
      <c r="D1159">
        <v>37</v>
      </c>
      <c r="E1159">
        <v>22</v>
      </c>
      <c r="F1159">
        <f t="shared" si="72"/>
        <v>-1.5779456154780278</v>
      </c>
      <c r="G1159">
        <f t="shared" si="73"/>
        <v>-1.6365334953482082</v>
      </c>
      <c r="I1159">
        <f t="shared" si="75"/>
        <v>-1.607239555413118</v>
      </c>
    </row>
    <row r="1160" spans="1:9">
      <c r="A1160" t="s">
        <v>6</v>
      </c>
      <c r="B1160" s="2">
        <f t="shared" si="74"/>
        <v>57</v>
      </c>
      <c r="C1160">
        <v>973</v>
      </c>
      <c r="D1160">
        <v>87</v>
      </c>
      <c r="E1160">
        <v>46</v>
      </c>
      <c r="F1160">
        <f t="shared" si="72"/>
        <v>-1.6070299621758446</v>
      </c>
      <c r="G1160">
        <f t="shared" si="73"/>
        <v>-1.7166002197382808</v>
      </c>
      <c r="I1160">
        <f t="shared" si="75"/>
        <v>-1.6618150909570626</v>
      </c>
    </row>
    <row r="1161" spans="1:9">
      <c r="A1161" t="s">
        <v>10</v>
      </c>
      <c r="B1161" s="2">
        <f t="shared" si="74"/>
        <v>57</v>
      </c>
      <c r="C1161">
        <v>475</v>
      </c>
      <c r="D1161">
        <v>13</v>
      </c>
      <c r="E1161">
        <v>12</v>
      </c>
      <c r="F1161">
        <f t="shared" si="72"/>
        <v>-2.1211866318441412</v>
      </c>
      <c r="G1161">
        <f t="shared" si="73"/>
        <v>-1.9887575747287447</v>
      </c>
      <c r="I1161">
        <f t="shared" si="75"/>
        <v>-2.0549721032864428</v>
      </c>
    </row>
    <row r="1162" spans="1:9">
      <c r="A1162" t="s">
        <v>11</v>
      </c>
      <c r="B1162" s="2">
        <f t="shared" si="74"/>
        <v>57</v>
      </c>
      <c r="C1162">
        <v>634</v>
      </c>
      <c r="D1162">
        <v>60</v>
      </c>
      <c r="E1162">
        <v>20</v>
      </c>
      <c r="F1162">
        <f t="shared" si="72"/>
        <v>-1.5823743820242004</v>
      </c>
      <c r="G1162">
        <f t="shared" si="73"/>
        <v>-1.8923044733692544</v>
      </c>
      <c r="I1162">
        <f t="shared" si="75"/>
        <v>-1.7373394276967273</v>
      </c>
    </row>
    <row r="1163" spans="1:9">
      <c r="A1163" t="s">
        <v>12</v>
      </c>
      <c r="B1163" s="2">
        <f t="shared" si="74"/>
        <v>57</v>
      </c>
      <c r="C1163">
        <v>268</v>
      </c>
      <c r="D1163">
        <v>4</v>
      </c>
      <c r="E1163">
        <v>4</v>
      </c>
      <c r="F1163">
        <f t="shared" si="72"/>
        <v>-2.3845111772269378</v>
      </c>
      <c r="G1163">
        <f t="shared" si="73"/>
        <v>-2.2173200138523295</v>
      </c>
      <c r="I1163">
        <f t="shared" si="75"/>
        <v>-2.3009155955396334</v>
      </c>
    </row>
    <row r="1164" spans="1:9">
      <c r="A1164" t="s">
        <v>9</v>
      </c>
      <c r="B1164" s="2">
        <f t="shared" si="74"/>
        <v>57</v>
      </c>
      <c r="C1164">
        <v>329</v>
      </c>
      <c r="D1164">
        <v>9</v>
      </c>
      <c r="E1164">
        <v>17</v>
      </c>
      <c r="F1164">
        <f t="shared" si="72"/>
        <v>-2.1213897630367606</v>
      </c>
      <c r="G1164">
        <f t="shared" si="73"/>
        <v>-1.6779921877232034</v>
      </c>
      <c r="I1164">
        <f t="shared" si="75"/>
        <v>-1.899690975379982</v>
      </c>
    </row>
    <row r="1165" spans="1:9">
      <c r="A1165" t="s">
        <v>13</v>
      </c>
      <c r="B1165" s="2">
        <f t="shared" si="74"/>
        <v>57</v>
      </c>
      <c r="C1165">
        <v>0</v>
      </c>
      <c r="D1165">
        <v>12</v>
      </c>
      <c r="E1165">
        <v>13</v>
      </c>
      <c r="F1165" t="e">
        <f t="shared" si="72"/>
        <v>#DIV/0!</v>
      </c>
      <c r="G1165" t="e">
        <f t="shared" si="73"/>
        <v>#DIV/0!</v>
      </c>
      <c r="I1165" t="e">
        <f t="shared" si="75"/>
        <v>#DIV/0!</v>
      </c>
    </row>
    <row r="1166" spans="1:9">
      <c r="A1166" t="s">
        <v>14</v>
      </c>
      <c r="B1166" s="2">
        <f t="shared" si="74"/>
        <v>57</v>
      </c>
      <c r="C1166">
        <v>539</v>
      </c>
      <c r="D1166">
        <v>41</v>
      </c>
      <c r="E1166">
        <v>5</v>
      </c>
      <c r="F1166">
        <f t="shared" si="72"/>
        <v>-1.6772412829931147</v>
      </c>
      <c r="G1166">
        <f t="shared" si="73"/>
        <v>-2.423863972002223</v>
      </c>
      <c r="I1166">
        <f t="shared" si="75"/>
        <v>-2.0505526274976686</v>
      </c>
    </row>
    <row r="1167" spans="1:9">
      <c r="A1167" t="s">
        <v>15</v>
      </c>
      <c r="B1167" s="2">
        <f t="shared" si="74"/>
        <v>57</v>
      </c>
      <c r="C1167">
        <v>668</v>
      </c>
      <c r="D1167">
        <v>71</v>
      </c>
      <c r="E1167">
        <v>34</v>
      </c>
      <c r="F1167">
        <f t="shared" si="72"/>
        <v>-1.5319544882825817</v>
      </c>
      <c r="G1167">
        <f t="shared" si="73"/>
        <v>-1.6845427565847935</v>
      </c>
      <c r="I1167">
        <f t="shared" si="75"/>
        <v>-1.6082486224336876</v>
      </c>
    </row>
    <row r="1168" spans="1:9">
      <c r="A1168" t="s">
        <v>16</v>
      </c>
      <c r="B1168" s="2">
        <f t="shared" si="74"/>
        <v>57</v>
      </c>
      <c r="C1168">
        <v>1030</v>
      </c>
      <c r="D1168">
        <v>52</v>
      </c>
      <c r="E1168">
        <v>78</v>
      </c>
      <c r="F1168">
        <f t="shared" si="72"/>
        <v>-1.8552702555964844</v>
      </c>
      <c r="G1168">
        <f t="shared" si="73"/>
        <v>-1.5119878331661949</v>
      </c>
      <c r="I1168">
        <f t="shared" si="75"/>
        <v>-1.6836290443813398</v>
      </c>
    </row>
    <row r="1169" spans="1:9">
      <c r="A1169" t="s">
        <v>17</v>
      </c>
      <c r="B1169" s="2">
        <f t="shared" si="74"/>
        <v>57</v>
      </c>
      <c r="C1169">
        <v>333</v>
      </c>
      <c r="D1169">
        <v>32</v>
      </c>
      <c r="E1169">
        <v>112</v>
      </c>
      <c r="F1169">
        <f t="shared" si="72"/>
        <v>-1.5757306297125253</v>
      </c>
      <c r="G1169">
        <f t="shared" si="73"/>
        <v>-0.86447142198764126</v>
      </c>
      <c r="I1169">
        <f t="shared" si="75"/>
        <v>-1.2201010258500833</v>
      </c>
    </row>
    <row r="1170" spans="1:9">
      <c r="A1170" t="s">
        <v>18</v>
      </c>
      <c r="B1170" s="2">
        <f t="shared" si="74"/>
        <v>57</v>
      </c>
      <c r="C1170">
        <v>720</v>
      </c>
      <c r="D1170">
        <v>25</v>
      </c>
      <c r="E1170">
        <v>4</v>
      </c>
      <c r="F1170">
        <f t="shared" si="72"/>
        <v>-2.017828862285342</v>
      </c>
      <c r="G1170">
        <f t="shared" si="73"/>
        <v>-2.646517716254809</v>
      </c>
      <c r="I1170">
        <f t="shared" si="75"/>
        <v>-2.3321732892700755</v>
      </c>
    </row>
    <row r="1171" spans="1:9">
      <c r="A1171" t="s">
        <v>19</v>
      </c>
      <c r="B1171" s="2">
        <f t="shared" si="74"/>
        <v>57</v>
      </c>
      <c r="C1171">
        <v>753</v>
      </c>
      <c r="D1171">
        <v>18</v>
      </c>
      <c r="E1171">
        <v>6</v>
      </c>
      <c r="F1171">
        <f t="shared" si="72"/>
        <v>-2.1799588456235059</v>
      </c>
      <c r="G1171">
        <f t="shared" si="73"/>
        <v>-2.4898889369685602</v>
      </c>
      <c r="I1171">
        <f t="shared" si="75"/>
        <v>-2.3349238912960333</v>
      </c>
    </row>
    <row r="1172" spans="1:9">
      <c r="A1172" t="s">
        <v>20</v>
      </c>
      <c r="B1172" s="2">
        <f t="shared" si="74"/>
        <v>57</v>
      </c>
      <c r="C1172">
        <v>375</v>
      </c>
      <c r="D1172">
        <v>15</v>
      </c>
      <c r="E1172">
        <v>3</v>
      </c>
      <c r="F1172">
        <f t="shared" si="72"/>
        <v>-1.9563763831981489</v>
      </c>
      <c r="G1172">
        <f t="shared" si="73"/>
        <v>-2.4881552241595593</v>
      </c>
      <c r="I1172">
        <f t="shared" si="75"/>
        <v>-2.2222658036788543</v>
      </c>
    </row>
    <row r="1173" spans="1:9">
      <c r="A1173" t="s">
        <v>21</v>
      </c>
      <c r="B1173" s="2">
        <f t="shared" si="74"/>
        <v>57</v>
      </c>
      <c r="C1173">
        <v>699</v>
      </c>
      <c r="D1173">
        <v>14</v>
      </c>
      <c r="E1173">
        <v>14</v>
      </c>
      <c r="F1173">
        <f t="shared" si="72"/>
        <v>-2.2567855145935547</v>
      </c>
      <c r="G1173">
        <f t="shared" si="73"/>
        <v>-2.0895943512189463</v>
      </c>
      <c r="I1173">
        <f t="shared" si="75"/>
        <v>-2.1731899329062507</v>
      </c>
    </row>
    <row r="1174" spans="1:9">
      <c r="A1174" t="s">
        <v>22</v>
      </c>
      <c r="B1174" s="2">
        <f t="shared" si="74"/>
        <v>57</v>
      </c>
      <c r="C1174">
        <v>463</v>
      </c>
      <c r="D1174">
        <v>12</v>
      </c>
      <c r="E1174">
        <v>7</v>
      </c>
      <c r="F1174">
        <f t="shared" si="72"/>
        <v>-2.1448361194964396</v>
      </c>
      <c r="G1174">
        <f t="shared" si="73"/>
        <v>-2.2117281621551994</v>
      </c>
      <c r="I1174">
        <f t="shared" si="75"/>
        <v>-2.1782821408258197</v>
      </c>
    </row>
    <row r="1175" spans="1:9">
      <c r="A1175" t="s">
        <v>23</v>
      </c>
      <c r="B1175" s="2">
        <f t="shared" si="74"/>
        <v>57</v>
      </c>
      <c r="C1175">
        <v>716</v>
      </c>
      <c r="D1175">
        <v>17</v>
      </c>
      <c r="E1175">
        <v>9</v>
      </c>
      <c r="F1175">
        <f t="shared" si="72"/>
        <v>-2.1829004754556931</v>
      </c>
      <c r="G1175">
        <f t="shared" si="73"/>
        <v>-2.2919157240200336</v>
      </c>
      <c r="I1175">
        <f t="shared" si="75"/>
        <v>-2.2374080997378636</v>
      </c>
    </row>
    <row r="1176" spans="1:9">
      <c r="A1176" t="s">
        <v>24</v>
      </c>
      <c r="B1176" s="2">
        <f t="shared" si="74"/>
        <v>57</v>
      </c>
      <c r="C1176">
        <v>689</v>
      </c>
      <c r="D1176">
        <v>30</v>
      </c>
      <c r="E1176">
        <v>6</v>
      </c>
      <c r="F1176">
        <f t="shared" si="72"/>
        <v>-1.9195343417140744</v>
      </c>
      <c r="G1176">
        <f t="shared" si="73"/>
        <v>-2.4513131826754853</v>
      </c>
      <c r="I1176">
        <f t="shared" si="75"/>
        <v>-2.1854237621947799</v>
      </c>
    </row>
    <row r="1177" spans="1:9">
      <c r="A1177" t="s">
        <v>25</v>
      </c>
      <c r="B1177" s="2">
        <f t="shared" si="74"/>
        <v>57</v>
      </c>
      <c r="C1177">
        <v>744</v>
      </c>
      <c r="D1177">
        <v>25</v>
      </c>
      <c r="E1177">
        <v>15</v>
      </c>
      <c r="F1177">
        <f t="shared" si="72"/>
        <v>-2.0320693013999525</v>
      </c>
      <c r="G1177">
        <f t="shared" si="73"/>
        <v>-2.0867268876417002</v>
      </c>
      <c r="I1177">
        <f t="shared" si="75"/>
        <v>-2.0593980945208266</v>
      </c>
    </row>
    <row r="1178" spans="1:9">
      <c r="A1178" t="s">
        <v>7</v>
      </c>
      <c r="B1178" s="2">
        <f t="shared" si="74"/>
        <v>58</v>
      </c>
      <c r="C1178">
        <v>487</v>
      </c>
      <c r="D1178">
        <v>9</v>
      </c>
      <c r="E1178">
        <v>18</v>
      </c>
      <c r="F1178">
        <f t="shared" si="72"/>
        <v>-2.2917228263014207</v>
      </c>
      <c r="G1178">
        <f t="shared" si="73"/>
        <v>-1.8235016672628312</v>
      </c>
      <c r="I1178">
        <f t="shared" si="75"/>
        <v>-2.0576122467821261</v>
      </c>
    </row>
    <row r="1179" spans="1:9">
      <c r="A1179" t="s">
        <v>8</v>
      </c>
      <c r="B1179" s="2">
        <f t="shared" si="74"/>
        <v>58</v>
      </c>
      <c r="C1179">
        <v>389</v>
      </c>
      <c r="D1179">
        <v>18</v>
      </c>
      <c r="E1179">
        <v>26</v>
      </c>
      <c r="F1179">
        <f t="shared" si="72"/>
        <v>-1.8931134707485131</v>
      </c>
      <c r="G1179">
        <f t="shared" si="73"/>
        <v>-1.5662214645063928</v>
      </c>
      <c r="I1179">
        <f t="shared" si="75"/>
        <v>-1.7296674676274528</v>
      </c>
    </row>
    <row r="1180" spans="1:9">
      <c r="A1180" t="s">
        <v>5</v>
      </c>
      <c r="B1180" s="2">
        <f t="shared" si="74"/>
        <v>58</v>
      </c>
      <c r="C1180">
        <v>480</v>
      </c>
      <c r="D1180">
        <v>1</v>
      </c>
      <c r="E1180">
        <v>6</v>
      </c>
      <c r="F1180">
        <f t="shared" si="72"/>
        <v>-3.2396776119016986</v>
      </c>
      <c r="G1180">
        <f t="shared" si="73"/>
        <v>-2.2943351981434468</v>
      </c>
      <c r="I1180">
        <f t="shared" si="75"/>
        <v>-2.7670064050225727</v>
      </c>
    </row>
    <row r="1181" spans="1:9">
      <c r="A1181" t="s">
        <v>6</v>
      </c>
      <c r="B1181" s="2">
        <f t="shared" si="74"/>
        <v>58</v>
      </c>
      <c r="C1181">
        <v>437</v>
      </c>
      <c r="D1181">
        <v>10</v>
      </c>
      <c r="E1181">
        <v>5</v>
      </c>
      <c r="F1181">
        <f t="shared" si="72"/>
        <v>-2.1989178114965333</v>
      </c>
      <c r="G1181">
        <f t="shared" si="73"/>
        <v>-2.3327566437859062</v>
      </c>
      <c r="I1181">
        <f t="shared" si="75"/>
        <v>-2.26583722764122</v>
      </c>
    </row>
    <row r="1182" spans="1:9">
      <c r="A1182" t="s">
        <v>10</v>
      </c>
      <c r="B1182" s="2">
        <f t="shared" si="74"/>
        <v>58</v>
      </c>
      <c r="C1182">
        <v>375</v>
      </c>
      <c r="D1182">
        <v>8</v>
      </c>
      <c r="E1182">
        <v>2</v>
      </c>
      <c r="F1182">
        <f t="shared" si="72"/>
        <v>-2.2293776552618865</v>
      </c>
      <c r="G1182">
        <f t="shared" si="73"/>
        <v>-2.6642464832152406</v>
      </c>
      <c r="I1182">
        <f t="shared" si="75"/>
        <v>-2.4468120692385638</v>
      </c>
    </row>
    <row r="1183" spans="1:9">
      <c r="A1183" t="s">
        <v>11</v>
      </c>
      <c r="B1183" s="2">
        <f t="shared" si="74"/>
        <v>58</v>
      </c>
      <c r="C1183">
        <v>383</v>
      </c>
      <c r="D1183">
        <v>22</v>
      </c>
      <c r="E1183">
        <v>37</v>
      </c>
      <c r="F1183">
        <f t="shared" si="72"/>
        <v>-1.7992124676725276</v>
      </c>
      <c r="G1183">
        <f t="shared" si="73"/>
        <v>-1.4062422610531309</v>
      </c>
      <c r="I1183">
        <f t="shared" si="75"/>
        <v>-1.6027273643628293</v>
      </c>
    </row>
    <row r="1184" spans="1:9">
      <c r="A1184" t="s">
        <v>12</v>
      </c>
      <c r="B1184" s="2">
        <f t="shared" si="74"/>
        <v>58</v>
      </c>
      <c r="C1184">
        <v>747</v>
      </c>
      <c r="D1184">
        <v>21</v>
      </c>
      <c r="E1184">
        <v>3</v>
      </c>
      <c r="F1184">
        <f t="shared" si="72"/>
        <v>-2.1095376816075908</v>
      </c>
      <c r="G1184">
        <f t="shared" si="73"/>
        <v>-2.7874445582472394</v>
      </c>
      <c r="I1184">
        <f t="shared" si="75"/>
        <v>-2.4484911199274153</v>
      </c>
    </row>
    <row r="1185" spans="1:9">
      <c r="A1185" t="s">
        <v>9</v>
      </c>
      <c r="B1185" s="2">
        <f t="shared" si="74"/>
        <v>58</v>
      </c>
      <c r="C1185">
        <v>456</v>
      </c>
      <c r="D1185">
        <v>20</v>
      </c>
      <c r="E1185">
        <v>12</v>
      </c>
      <c r="F1185">
        <f t="shared" si="72"/>
        <v>-1.9163712215265649</v>
      </c>
      <c r="G1185">
        <f t="shared" si="73"/>
        <v>-1.9710288077683131</v>
      </c>
      <c r="I1185">
        <f t="shared" si="75"/>
        <v>-1.943700014647439</v>
      </c>
    </row>
    <row r="1186" spans="1:9">
      <c r="A1186" t="s">
        <v>13</v>
      </c>
      <c r="B1186" s="2">
        <f t="shared" si="74"/>
        <v>58</v>
      </c>
      <c r="C1186">
        <v>74916</v>
      </c>
      <c r="D1186">
        <v>271026</v>
      </c>
      <c r="E1186">
        <v>184425</v>
      </c>
      <c r="F1186">
        <f t="shared" si="72"/>
        <v>0</v>
      </c>
      <c r="G1186">
        <f t="shared" si="73"/>
        <v>0</v>
      </c>
      <c r="I1186">
        <f t="shared" si="75"/>
        <v>0</v>
      </c>
    </row>
    <row r="1187" spans="1:9">
      <c r="A1187" t="s">
        <v>14</v>
      </c>
      <c r="B1187" s="2">
        <f t="shared" si="74"/>
        <v>58</v>
      </c>
      <c r="C1187">
        <v>454</v>
      </c>
      <c r="D1187">
        <v>82</v>
      </c>
      <c r="E1187">
        <v>76</v>
      </c>
      <c r="F1187">
        <f t="shared" si="72"/>
        <v>-1.3016783749994985</v>
      </c>
      <c r="G1187">
        <f t="shared" si="73"/>
        <v>-1.1674874717278156</v>
      </c>
      <c r="I1187">
        <f t="shared" si="75"/>
        <v>-1.2345829233636572</v>
      </c>
    </row>
    <row r="1188" spans="1:9">
      <c r="A1188" t="s">
        <v>15</v>
      </c>
      <c r="B1188" s="2">
        <f t="shared" si="74"/>
        <v>58</v>
      </c>
      <c r="C1188">
        <v>491</v>
      </c>
      <c r="D1188">
        <v>31</v>
      </c>
      <c r="E1188">
        <v>10</v>
      </c>
      <c r="F1188">
        <f t="shared" si="72"/>
        <v>-1.758156172814807</v>
      </c>
      <c r="G1188">
        <f t="shared" si="73"/>
        <v>-2.0823267032744717</v>
      </c>
      <c r="I1188">
        <f t="shared" si="75"/>
        <v>-1.9202414380446393</v>
      </c>
    </row>
    <row r="1189" spans="1:9">
      <c r="A1189" t="s">
        <v>16</v>
      </c>
      <c r="B1189" s="2">
        <f t="shared" si="74"/>
        <v>58</v>
      </c>
      <c r="C1189">
        <v>461</v>
      </c>
      <c r="D1189">
        <v>6</v>
      </c>
      <c r="E1189">
        <v>4</v>
      </c>
      <c r="F1189">
        <f t="shared" si="72"/>
        <v>-2.443986049532116</v>
      </c>
      <c r="G1189">
        <f t="shared" si="73"/>
        <v>-2.4528861452131889</v>
      </c>
      <c r="I1189">
        <f t="shared" si="75"/>
        <v>-2.4484360973726522</v>
      </c>
    </row>
    <row r="1190" spans="1:9">
      <c r="A1190" t="s">
        <v>17</v>
      </c>
      <c r="B1190" s="2">
        <f t="shared" si="74"/>
        <v>58</v>
      </c>
      <c r="C1190">
        <v>593</v>
      </c>
      <c r="D1190">
        <v>25</v>
      </c>
      <c r="E1190">
        <v>14</v>
      </c>
      <c r="F1190">
        <f t="shared" si="72"/>
        <v>-1.933551059218336</v>
      </c>
      <c r="G1190">
        <f t="shared" si="73"/>
        <v>-2.0181718688375279</v>
      </c>
      <c r="I1190">
        <f t="shared" si="75"/>
        <v>-1.9758614640279319</v>
      </c>
    </row>
    <row r="1191" spans="1:9">
      <c r="A1191" t="s">
        <v>18</v>
      </c>
      <c r="B1191" s="2">
        <f t="shared" si="74"/>
        <v>58</v>
      </c>
      <c r="C1191">
        <v>449</v>
      </c>
      <c r="D1191">
        <v>15</v>
      </c>
      <c r="E1191">
        <v>20</v>
      </c>
      <c r="F1191">
        <f t="shared" si="72"/>
        <v>-2.0345914564737533</v>
      </c>
      <c r="G1191">
        <f t="shared" si="73"/>
        <v>-1.742461556490845</v>
      </c>
      <c r="I1191">
        <f t="shared" si="75"/>
        <v>-1.8885265064822991</v>
      </c>
    </row>
    <row r="1192" spans="1:9">
      <c r="A1192" t="s">
        <v>19</v>
      </c>
      <c r="B1192" s="2">
        <f t="shared" si="74"/>
        <v>58</v>
      </c>
      <c r="C1192">
        <v>597</v>
      </c>
      <c r="D1192">
        <v>18</v>
      </c>
      <c r="E1192">
        <v>1</v>
      </c>
      <c r="F1192">
        <f t="shared" si="72"/>
        <v>-2.0791382005521744</v>
      </c>
      <c r="G1192">
        <f t="shared" si="73"/>
        <v>-3.167219542280872</v>
      </c>
      <c r="I1192">
        <f t="shared" si="75"/>
        <v>-2.6231788714165232</v>
      </c>
    </row>
    <row r="1193" spans="1:9">
      <c r="A1193" t="s">
        <v>20</v>
      </c>
      <c r="B1193" s="2">
        <f t="shared" si="74"/>
        <v>58</v>
      </c>
      <c r="C1193">
        <v>1143</v>
      </c>
      <c r="D1193">
        <v>100</v>
      </c>
      <c r="E1193">
        <v>92</v>
      </c>
      <c r="F1193">
        <f t="shared" si="72"/>
        <v>-1.616482604921393</v>
      </c>
      <c r="G1193">
        <f t="shared" si="73"/>
        <v>-1.4855036142012294</v>
      </c>
      <c r="I1193">
        <f t="shared" si="75"/>
        <v>-1.5509931095613112</v>
      </c>
    </row>
    <row r="1194" spans="1:9">
      <c r="A1194" t="s">
        <v>21</v>
      </c>
      <c r="B1194" s="2">
        <f t="shared" si="74"/>
        <v>58</v>
      </c>
      <c r="C1194">
        <v>527</v>
      </c>
      <c r="D1194">
        <v>17</v>
      </c>
      <c r="E1194">
        <v>13</v>
      </c>
      <c r="F1194">
        <f t="shared" si="72"/>
        <v>-2.049798068360384</v>
      </c>
      <c r="G1194">
        <f t="shared" si="73"/>
        <v>-1.9991124740572128</v>
      </c>
      <c r="I1194">
        <f t="shared" si="75"/>
        <v>-2.0244552712087982</v>
      </c>
    </row>
    <row r="1195" spans="1:9">
      <c r="A1195" t="s">
        <v>22</v>
      </c>
      <c r="B1195" s="2">
        <f t="shared" si="74"/>
        <v>58</v>
      </c>
      <c r="C1195">
        <v>336</v>
      </c>
      <c r="D1195">
        <v>5</v>
      </c>
      <c r="E1195">
        <v>2</v>
      </c>
      <c r="F1195">
        <f t="shared" si="72"/>
        <v>-2.3858056475799367</v>
      </c>
      <c r="G1195">
        <f t="shared" si="73"/>
        <v>-2.6165544928773659</v>
      </c>
      <c r="I1195">
        <f t="shared" si="75"/>
        <v>-2.5011800702286511</v>
      </c>
    </row>
    <row r="1196" spans="1:9">
      <c r="A1196" t="s">
        <v>23</v>
      </c>
      <c r="B1196" s="2">
        <f t="shared" si="74"/>
        <v>58</v>
      </c>
      <c r="C1196">
        <v>339</v>
      </c>
      <c r="D1196">
        <v>10</v>
      </c>
      <c r="E1196">
        <v>3</v>
      </c>
      <c r="F1196">
        <f t="shared" si="72"/>
        <v>-2.0886360727291935</v>
      </c>
      <c r="G1196">
        <f t="shared" si="73"/>
        <v>-2.444323654634923</v>
      </c>
      <c r="I1196">
        <f t="shared" si="75"/>
        <v>-2.2664798636820582</v>
      </c>
    </row>
    <row r="1197" spans="1:9">
      <c r="A1197" t="s">
        <v>24</v>
      </c>
      <c r="B1197" s="2">
        <f t="shared" si="74"/>
        <v>58</v>
      </c>
      <c r="C1197">
        <v>816</v>
      </c>
      <c r="D1197">
        <v>23</v>
      </c>
      <c r="E1197">
        <v>3</v>
      </c>
      <c r="F1197">
        <f t="shared" si="72"/>
        <v>-2.1083986972623796</v>
      </c>
      <c r="G1197">
        <f t="shared" si="73"/>
        <v>-2.8258141151857017</v>
      </c>
      <c r="I1197">
        <f t="shared" si="75"/>
        <v>-2.4671064062240404</v>
      </c>
    </row>
    <row r="1198" spans="1:9">
      <c r="A1198" t="s">
        <v>25</v>
      </c>
      <c r="B1198" s="2">
        <f t="shared" si="74"/>
        <v>58</v>
      </c>
      <c r="C1198">
        <v>901</v>
      </c>
      <c r="D1198">
        <v>19</v>
      </c>
      <c r="E1198">
        <v>13</v>
      </c>
      <c r="F1198">
        <f t="shared" si="72"/>
        <v>-2.2344075645523453</v>
      </c>
      <c r="G1198">
        <f t="shared" si="73"/>
        <v>-2.2320266498237293</v>
      </c>
      <c r="I1198">
        <f t="shared" si="75"/>
        <v>-2.2332171071880373</v>
      </c>
    </row>
    <row r="1199" spans="1:9">
      <c r="A1199" t="s">
        <v>7</v>
      </c>
      <c r="B1199" s="2">
        <f t="shared" si="74"/>
        <v>59</v>
      </c>
      <c r="C1199">
        <v>523</v>
      </c>
      <c r="D1199">
        <v>13</v>
      </c>
      <c r="E1199">
        <v>4</v>
      </c>
      <c r="F1199">
        <f t="shared" si="72"/>
        <v>-2.1629947110865486</v>
      </c>
      <c r="G1199">
        <f t="shared" si="73"/>
        <v>-2.5076869086908147</v>
      </c>
      <c r="I1199">
        <f t="shared" si="75"/>
        <v>-2.3353408098886819</v>
      </c>
    </row>
    <row r="1200" spans="1:9">
      <c r="A1200" t="s">
        <v>8</v>
      </c>
      <c r="B1200" s="2">
        <f t="shared" si="74"/>
        <v>59</v>
      </c>
      <c r="C1200">
        <v>367</v>
      </c>
      <c r="D1200">
        <v>38</v>
      </c>
      <c r="E1200">
        <v>30</v>
      </c>
      <c r="F1200">
        <f t="shared" si="72"/>
        <v>-1.5433188421613906</v>
      </c>
      <c r="G1200">
        <f t="shared" si="73"/>
        <v>-1.47879002068393</v>
      </c>
      <c r="I1200">
        <f t="shared" si="75"/>
        <v>-1.5110544314226604</v>
      </c>
    </row>
    <row r="1201" spans="1:9">
      <c r="A1201" t="s">
        <v>5</v>
      </c>
      <c r="B1201" s="2">
        <f t="shared" si="74"/>
        <v>59</v>
      </c>
      <c r="C1201">
        <v>570</v>
      </c>
      <c r="D1201">
        <v>18</v>
      </c>
      <c r="E1201">
        <v>15</v>
      </c>
      <c r="F1201">
        <f t="shared" si="72"/>
        <v>-2.0590387250952964</v>
      </c>
      <c r="G1201">
        <f t="shared" si="73"/>
        <v>-1.9710288077683131</v>
      </c>
      <c r="I1201">
        <f t="shared" si="75"/>
        <v>-2.015033766431805</v>
      </c>
    </row>
    <row r="1202" spans="1:9">
      <c r="A1202" t="s">
        <v>6</v>
      </c>
      <c r="B1202" s="2">
        <f t="shared" si="74"/>
        <v>59</v>
      </c>
      <c r="C1202">
        <v>1041</v>
      </c>
      <c r="D1202">
        <v>41</v>
      </c>
      <c r="E1202">
        <v>7</v>
      </c>
      <c r="F1202">
        <f t="shared" si="72"/>
        <v>-1.9631032473169121</v>
      </c>
      <c r="G1202">
        <f t="shared" si="73"/>
        <v>-2.5635979006477823</v>
      </c>
      <c r="I1202">
        <f t="shared" si="75"/>
        <v>-2.263350573982347</v>
      </c>
    </row>
    <row r="1203" spans="1:9">
      <c r="A1203" t="s">
        <v>10</v>
      </c>
      <c r="B1203" s="2">
        <f t="shared" si="74"/>
        <v>59</v>
      </c>
      <c r="C1203">
        <v>395</v>
      </c>
      <c r="D1203">
        <v>11</v>
      </c>
      <c r="E1203">
        <v>23</v>
      </c>
      <c r="F1203">
        <f t="shared" ref="F1203:F1266" si="76">LOG10(D1203/C1203)-LOG10(271026/74916)</f>
        <v>-2.1136407849943466</v>
      </c>
      <c r="G1203">
        <f t="shared" ref="G1203:G1266" si="77">LOG10(E1203/C1203)-LOG10(184425/74916)</f>
        <v>-1.6261144707603703</v>
      </c>
      <c r="I1203">
        <f t="shared" si="75"/>
        <v>-1.8698776278773583</v>
      </c>
    </row>
    <row r="1204" spans="1:9">
      <c r="A1204" t="s">
        <v>11</v>
      </c>
      <c r="B1204" s="2">
        <f t="shared" si="74"/>
        <v>59</v>
      </c>
      <c r="C1204">
        <v>753</v>
      </c>
      <c r="D1204">
        <v>33</v>
      </c>
      <c r="E1204">
        <v>7</v>
      </c>
      <c r="F1204">
        <f t="shared" si="76"/>
        <v>-1.9167174108489244</v>
      </c>
      <c r="G1204">
        <f t="shared" si="77"/>
        <v>-2.4229421473379467</v>
      </c>
      <c r="I1204">
        <f t="shared" si="75"/>
        <v>-2.1698297790934356</v>
      </c>
    </row>
    <row r="1205" spans="1:9">
      <c r="A1205" t="s">
        <v>12</v>
      </c>
      <c r="B1205" s="2">
        <f t="shared" si="74"/>
        <v>59</v>
      </c>
      <c r="C1205">
        <v>540</v>
      </c>
      <c r="D1205">
        <v>11</v>
      </c>
      <c r="E1205">
        <v>4</v>
      </c>
      <c r="F1205">
        <f t="shared" si="76"/>
        <v>-2.2494374491908546</v>
      </c>
      <c r="G1205">
        <f t="shared" si="77"/>
        <v>-2.5215789796465091</v>
      </c>
      <c r="I1205">
        <f t="shared" si="75"/>
        <v>-2.3855082144186817</v>
      </c>
    </row>
    <row r="1206" spans="1:9">
      <c r="A1206" t="s">
        <v>9</v>
      </c>
      <c r="B1206" s="2">
        <f t="shared" si="74"/>
        <v>59</v>
      </c>
      <c r="C1206">
        <v>296</v>
      </c>
      <c r="D1206">
        <v>10</v>
      </c>
      <c r="E1206">
        <v>4</v>
      </c>
      <c r="F1206">
        <f t="shared" si="76"/>
        <v>-2.0297280855850497</v>
      </c>
      <c r="G1206">
        <f t="shared" si="77"/>
        <v>-2.2604769308824793</v>
      </c>
      <c r="I1206">
        <f t="shared" si="75"/>
        <v>-2.1451025082337645</v>
      </c>
    </row>
    <row r="1207" spans="1:9">
      <c r="A1207" t="s">
        <v>13</v>
      </c>
      <c r="B1207" s="2">
        <f t="shared" si="74"/>
        <v>59</v>
      </c>
      <c r="C1207">
        <v>609</v>
      </c>
      <c r="D1207">
        <v>51</v>
      </c>
      <c r="E1207">
        <v>19</v>
      </c>
      <c r="F1207">
        <f t="shared" si="76"/>
        <v>-1.6354834910610503</v>
      </c>
      <c r="G1207">
        <f t="shared" si="77"/>
        <v>-1.8971089028315493</v>
      </c>
      <c r="I1207">
        <f t="shared" si="75"/>
        <v>-1.7662961969462998</v>
      </c>
    </row>
    <row r="1208" spans="1:9">
      <c r="A1208" t="s">
        <v>14</v>
      </c>
      <c r="B1208" s="2">
        <f t="shared" si="74"/>
        <v>59</v>
      </c>
      <c r="C1208">
        <v>747</v>
      </c>
      <c r="D1208">
        <v>23</v>
      </c>
      <c r="E1208">
        <v>9</v>
      </c>
      <c r="F1208">
        <f t="shared" si="76"/>
        <v>-2.0700291403239173</v>
      </c>
      <c r="G1208">
        <f t="shared" si="77"/>
        <v>-2.3103233035275768</v>
      </c>
      <c r="I1208">
        <f t="shared" si="75"/>
        <v>-2.1901762219257472</v>
      </c>
    </row>
    <row r="1209" spans="1:9">
      <c r="A1209" t="s">
        <v>15</v>
      </c>
      <c r="B1209" s="2">
        <f t="shared" si="74"/>
        <v>59</v>
      </c>
      <c r="C1209">
        <v>277</v>
      </c>
      <c r="D1209">
        <v>10</v>
      </c>
      <c r="E1209">
        <v>0</v>
      </c>
      <c r="F1209">
        <f t="shared" si="76"/>
        <v>-2.00091614359056</v>
      </c>
      <c r="G1209" t="e">
        <f t="shared" si="77"/>
        <v>#NUM!</v>
      </c>
      <c r="I1209" t="e">
        <f t="shared" si="75"/>
        <v>#NUM!</v>
      </c>
    </row>
    <row r="1210" spans="1:9">
      <c r="A1210" t="s">
        <v>16</v>
      </c>
      <c r="B1210" s="2">
        <f t="shared" si="74"/>
        <v>59</v>
      </c>
      <c r="C1210">
        <v>513</v>
      </c>
      <c r="D1210">
        <v>29</v>
      </c>
      <c r="E1210">
        <v>4</v>
      </c>
      <c r="F1210">
        <f t="shared" si="76"/>
        <v>-1.8061557417389715</v>
      </c>
      <c r="G1210">
        <f t="shared" si="77"/>
        <v>-2.4993025849353567</v>
      </c>
      <c r="I1210">
        <f t="shared" si="75"/>
        <v>-2.1527291633371641</v>
      </c>
    </row>
    <row r="1211" spans="1:9">
      <c r="A1211" t="s">
        <v>17</v>
      </c>
      <c r="B1211" s="2">
        <f t="shared" si="74"/>
        <v>59</v>
      </c>
      <c r="C1211">
        <v>443</v>
      </c>
      <c r="D1211">
        <v>45</v>
      </c>
      <c r="E1211">
        <v>37</v>
      </c>
      <c r="F1211">
        <f t="shared" si="76"/>
        <v>-1.5516275869738372</v>
      </c>
      <c r="G1211">
        <f t="shared" si="77"/>
        <v>-1.4694472133075775</v>
      </c>
      <c r="I1211">
        <f t="shared" si="75"/>
        <v>-1.5105374001407075</v>
      </c>
    </row>
    <row r="1212" spans="1:9">
      <c r="A1212" t="s">
        <v>18</v>
      </c>
      <c r="B1212" s="2">
        <f t="shared" si="74"/>
        <v>59</v>
      </c>
      <c r="C1212">
        <v>498</v>
      </c>
      <c r="D1212">
        <v>14</v>
      </c>
      <c r="E1212">
        <v>5</v>
      </c>
      <c r="F1212">
        <f t="shared" si="76"/>
        <v>-2.1095376816075908</v>
      </c>
      <c r="G1212">
        <f t="shared" si="77"/>
        <v>-2.3895045495752019</v>
      </c>
      <c r="I1212">
        <f t="shared" si="75"/>
        <v>-2.2495211155913966</v>
      </c>
    </row>
    <row r="1213" spans="1:9">
      <c r="A1213" t="s">
        <v>19</v>
      </c>
      <c r="B1213" s="2">
        <f t="shared" si="74"/>
        <v>59</v>
      </c>
      <c r="C1213">
        <v>74916</v>
      </c>
      <c r="D1213">
        <v>271026</v>
      </c>
      <c r="E1213">
        <v>184425</v>
      </c>
      <c r="F1213">
        <f t="shared" si="76"/>
        <v>0</v>
      </c>
      <c r="G1213">
        <f t="shared" si="77"/>
        <v>0</v>
      </c>
      <c r="I1213">
        <f t="shared" si="75"/>
        <v>0</v>
      </c>
    </row>
    <row r="1214" spans="1:9">
      <c r="A1214" t="s">
        <v>20</v>
      </c>
      <c r="B1214" s="2">
        <f t="shared" si="74"/>
        <v>59</v>
      </c>
      <c r="C1214">
        <v>310</v>
      </c>
      <c r="D1214">
        <v>79</v>
      </c>
      <c r="E1214">
        <v>82</v>
      </c>
      <c r="F1214">
        <f t="shared" si="76"/>
        <v>-1.1521709770699426</v>
      </c>
      <c r="G1214">
        <f t="shared" si="77"/>
        <v>-0.96879305260205895</v>
      </c>
      <c r="I1214">
        <f t="shared" si="75"/>
        <v>-1.0604820148360008</v>
      </c>
    </row>
    <row r="1215" spans="1:9">
      <c r="A1215" t="s">
        <v>21</v>
      </c>
      <c r="B1215" s="2">
        <f t="shared" si="74"/>
        <v>59</v>
      </c>
      <c r="C1215">
        <v>441</v>
      </c>
      <c r="D1215">
        <v>27</v>
      </c>
      <c r="E1215">
        <v>6</v>
      </c>
      <c r="F1215">
        <f t="shared" si="76"/>
        <v>-1.7715111998349626</v>
      </c>
      <c r="G1215">
        <f t="shared" si="77"/>
        <v>-2.2575325502356982</v>
      </c>
      <c r="I1215">
        <f t="shared" si="75"/>
        <v>-2.0145218750353306</v>
      </c>
    </row>
    <row r="1216" spans="1:9">
      <c r="A1216" t="s">
        <v>22</v>
      </c>
      <c r="B1216" s="2">
        <f t="shared" si="74"/>
        <v>59</v>
      </c>
      <c r="C1216">
        <v>444</v>
      </c>
      <c r="D1216">
        <v>16</v>
      </c>
      <c r="E1216">
        <v>3</v>
      </c>
      <c r="F1216">
        <f t="shared" si="76"/>
        <v>-2.0016993619848065</v>
      </c>
      <c r="G1216">
        <f t="shared" si="77"/>
        <v>-2.5615069265464605</v>
      </c>
      <c r="I1216">
        <f t="shared" si="75"/>
        <v>-2.2816031442656337</v>
      </c>
    </row>
    <row r="1217" spans="1:9">
      <c r="A1217" t="s">
        <v>23</v>
      </c>
      <c r="B1217" s="2">
        <f t="shared" si="74"/>
        <v>59</v>
      </c>
      <c r="C1217">
        <v>427</v>
      </c>
      <c r="D1217">
        <v>87</v>
      </c>
      <c r="E1217">
        <v>61</v>
      </c>
      <c r="F1217">
        <f t="shared" si="76"/>
        <v>-1.2493449969325168</v>
      </c>
      <c r="G1217">
        <f t="shared" si="77"/>
        <v>-1.2363432511657599</v>
      </c>
      <c r="I1217">
        <f t="shared" si="75"/>
        <v>-1.2428441240491384</v>
      </c>
    </row>
    <row r="1218" spans="1:9">
      <c r="A1218" t="s">
        <v>24</v>
      </c>
      <c r="B1218" s="2">
        <f t="shared" si="74"/>
        <v>59</v>
      </c>
      <c r="C1218">
        <v>251</v>
      </c>
      <c r="D1218">
        <v>19</v>
      </c>
      <c r="E1218">
        <v>7</v>
      </c>
      <c r="F1218">
        <f t="shared" si="76"/>
        <v>-1.6793564950543205</v>
      </c>
      <c r="G1218">
        <f t="shared" si="77"/>
        <v>-1.9458208926182843</v>
      </c>
      <c r="I1218">
        <f t="shared" si="75"/>
        <v>-1.8125886938363025</v>
      </c>
    </row>
    <row r="1219" spans="1:9">
      <c r="A1219" t="s">
        <v>25</v>
      </c>
      <c r="B1219" s="2">
        <f t="shared" ref="B1219:B1282" si="78">1+INT((ROW()-2)/21)+1</f>
        <v>59</v>
      </c>
      <c r="C1219">
        <v>962</v>
      </c>
      <c r="D1219">
        <v>27</v>
      </c>
      <c r="E1219">
        <v>45</v>
      </c>
      <c r="F1219">
        <f t="shared" si="76"/>
        <v>-2.1102476824049368</v>
      </c>
      <c r="G1219">
        <f t="shared" si="77"/>
        <v>-1.7212077694139722</v>
      </c>
      <c r="I1219">
        <f t="shared" ref="I1219:I1282" si="79">AVERAGE(F1219:G1219)</f>
        <v>-1.9157277259094545</v>
      </c>
    </row>
    <row r="1220" spans="1:9">
      <c r="A1220" t="s">
        <v>7</v>
      </c>
      <c r="B1220" s="2">
        <f t="shared" si="78"/>
        <v>60</v>
      </c>
      <c r="C1220">
        <v>837</v>
      </c>
      <c r="D1220">
        <v>21</v>
      </c>
      <c r="E1220">
        <v>20</v>
      </c>
      <c r="F1220">
        <f t="shared" si="76"/>
        <v>-2.1589425377854519</v>
      </c>
      <c r="G1220">
        <f t="shared" si="77"/>
        <v>-2.0129406734807818</v>
      </c>
      <c r="I1220">
        <f t="shared" si="79"/>
        <v>-2.085941605633117</v>
      </c>
    </row>
    <row r="1221" spans="1:9">
      <c r="A1221" t="s">
        <v>8</v>
      </c>
      <c r="B1221" s="2">
        <f t="shared" si="78"/>
        <v>60</v>
      </c>
      <c r="C1221">
        <v>582</v>
      </c>
      <c r="D1221">
        <v>21</v>
      </c>
      <c r="E1221">
        <v>10</v>
      </c>
      <c r="F1221">
        <f t="shared" si="76"/>
        <v>-2.0011400644420805</v>
      </c>
      <c r="G1221">
        <f t="shared" si="77"/>
        <v>-2.1561681958013912</v>
      </c>
      <c r="I1221">
        <f t="shared" si="79"/>
        <v>-2.0786541301217358</v>
      </c>
    </row>
    <row r="1222" spans="1:9">
      <c r="A1222" t="s">
        <v>5</v>
      </c>
      <c r="B1222" s="2">
        <f t="shared" si="78"/>
        <v>60</v>
      </c>
      <c r="C1222">
        <v>650</v>
      </c>
      <c r="D1222">
        <v>17</v>
      </c>
      <c r="E1222">
        <v>8</v>
      </c>
      <c r="F1222">
        <f t="shared" si="76"/>
        <v>-2.140900809790693</v>
      </c>
      <c r="G1222">
        <f t="shared" si="77"/>
        <v>-2.3010685808024149</v>
      </c>
      <c r="I1222">
        <f t="shared" si="79"/>
        <v>-2.2209846952965542</v>
      </c>
    </row>
    <row r="1223" spans="1:9">
      <c r="A1223" t="s">
        <v>6</v>
      </c>
      <c r="B1223" s="2">
        <f t="shared" si="78"/>
        <v>60</v>
      </c>
      <c r="C1223">
        <v>964</v>
      </c>
      <c r="D1223">
        <v>94</v>
      </c>
      <c r="E1223">
        <v>18</v>
      </c>
      <c r="F1223">
        <f t="shared" si="76"/>
        <v>-1.5693855548292435</v>
      </c>
      <c r="G1223">
        <f t="shared" si="77"/>
        <v>-2.1200497399510274</v>
      </c>
      <c r="I1223">
        <f t="shared" si="79"/>
        <v>-1.8447176473901354</v>
      </c>
    </row>
    <row r="1224" spans="1:9">
      <c r="A1224" t="s">
        <v>10</v>
      </c>
      <c r="B1224" s="2">
        <f t="shared" si="78"/>
        <v>60</v>
      </c>
      <c r="C1224">
        <v>865</v>
      </c>
      <c r="D1224">
        <v>30</v>
      </c>
      <c r="E1224">
        <v>12</v>
      </c>
      <c r="F1224">
        <f t="shared" si="76"/>
        <v>-2.018331227271263</v>
      </c>
      <c r="G1224">
        <f t="shared" si="77"/>
        <v>-2.2490800725686926</v>
      </c>
      <c r="I1224">
        <f t="shared" si="79"/>
        <v>-2.1337056499199778</v>
      </c>
    </row>
    <row r="1225" spans="1:9">
      <c r="A1225" t="s">
        <v>11</v>
      </c>
      <c r="B1225" s="2">
        <f t="shared" si="78"/>
        <v>60</v>
      </c>
      <c r="C1225">
        <v>948</v>
      </c>
      <c r="D1225">
        <v>40</v>
      </c>
      <c r="E1225">
        <v>7</v>
      </c>
      <c r="F1225">
        <f t="shared" si="76"/>
        <v>-1.9331847205362154</v>
      </c>
      <c r="G1225">
        <f t="shared" si="77"/>
        <v>-2.5229555084753126</v>
      </c>
      <c r="I1225">
        <f t="shared" si="79"/>
        <v>-2.2280701145057638</v>
      </c>
    </row>
    <row r="1226" spans="1:9">
      <c r="A1226" t="s">
        <v>12</v>
      </c>
      <c r="B1226" s="2">
        <f t="shared" si="78"/>
        <v>60</v>
      </c>
      <c r="C1226">
        <v>972</v>
      </c>
      <c r="D1226">
        <v>57</v>
      </c>
      <c r="E1226">
        <v>12</v>
      </c>
      <c r="F1226">
        <f t="shared" si="76"/>
        <v>-1.7902277837798946</v>
      </c>
      <c r="G1226">
        <f t="shared" si="77"/>
        <v>-2.2997302300301525</v>
      </c>
      <c r="I1226">
        <f t="shared" si="79"/>
        <v>-2.0449790069050238</v>
      </c>
    </row>
    <row r="1227" spans="1:9">
      <c r="A1227" t="s">
        <v>9</v>
      </c>
      <c r="B1227" s="2">
        <f t="shared" si="78"/>
        <v>60</v>
      </c>
      <c r="C1227">
        <v>725</v>
      </c>
      <c r="D1227">
        <v>16</v>
      </c>
      <c r="E1227">
        <v>5</v>
      </c>
      <c r="F1227">
        <f t="shared" si="76"/>
        <v>-2.2146543984411804</v>
      </c>
      <c r="G1227">
        <f t="shared" si="77"/>
        <v>-2.5526132133864778</v>
      </c>
      <c r="I1227">
        <f t="shared" si="79"/>
        <v>-2.3836338059138291</v>
      </c>
    </row>
    <row r="1228" spans="1:9">
      <c r="A1228" t="s">
        <v>13</v>
      </c>
      <c r="B1228" s="2">
        <f t="shared" si="78"/>
        <v>60</v>
      </c>
      <c r="C1228">
        <v>555</v>
      </c>
      <c r="D1228">
        <v>13</v>
      </c>
      <c r="E1228">
        <v>5</v>
      </c>
      <c r="F1228">
        <f t="shared" si="76"/>
        <v>-2.1887860053419508</v>
      </c>
      <c r="G1228">
        <f t="shared" si="77"/>
        <v>-2.4365681899381606</v>
      </c>
      <c r="I1228">
        <f t="shared" si="79"/>
        <v>-2.3126770976400559</v>
      </c>
    </row>
    <row r="1229" spans="1:9">
      <c r="A1229" t="s">
        <v>14</v>
      </c>
      <c r="B1229" s="2">
        <f t="shared" si="78"/>
        <v>60</v>
      </c>
      <c r="C1229">
        <v>849</v>
      </c>
      <c r="D1229">
        <v>39</v>
      </c>
      <c r="E1229">
        <v>6</v>
      </c>
      <c r="F1229">
        <f t="shared" si="76"/>
        <v>-1.8962794577435647</v>
      </c>
      <c r="G1229">
        <f t="shared" si="77"/>
        <v>-2.542001651011812</v>
      </c>
      <c r="I1229">
        <f t="shared" si="79"/>
        <v>-2.2191405543776881</v>
      </c>
    </row>
    <row r="1230" spans="1:9">
      <c r="A1230" t="s">
        <v>15</v>
      </c>
      <c r="B1230" s="2">
        <f t="shared" si="78"/>
        <v>60</v>
      </c>
      <c r="C1230">
        <v>23</v>
      </c>
      <c r="D1230">
        <v>46</v>
      </c>
      <c r="E1230">
        <v>19</v>
      </c>
      <c r="F1230">
        <f t="shared" si="76"/>
        <v>-0.25740637886213008</v>
      </c>
      <c r="G1230">
        <f t="shared" si="77"/>
        <v>-0.47421944621626694</v>
      </c>
      <c r="I1230">
        <f t="shared" si="79"/>
        <v>-0.36581291253919851</v>
      </c>
    </row>
    <row r="1231" spans="1:9">
      <c r="A1231" t="s">
        <v>16</v>
      </c>
      <c r="B1231" s="2">
        <f t="shared" si="78"/>
        <v>60</v>
      </c>
      <c r="C1231">
        <v>982</v>
      </c>
      <c r="D1231">
        <v>40</v>
      </c>
      <c r="E1231">
        <v>15</v>
      </c>
      <c r="F1231">
        <f t="shared" si="76"/>
        <v>-1.9484878709850983</v>
      </c>
      <c r="G1231">
        <f t="shared" si="77"/>
        <v>-2.2072654398827716</v>
      </c>
      <c r="I1231">
        <f t="shared" si="79"/>
        <v>-2.077876655433935</v>
      </c>
    </row>
    <row r="1232" spans="1:9">
      <c r="A1232" t="s">
        <v>17</v>
      </c>
      <c r="B1232" s="2">
        <f t="shared" si="78"/>
        <v>60</v>
      </c>
      <c r="C1232">
        <v>423</v>
      </c>
      <c r="D1232">
        <v>17</v>
      </c>
      <c r="E1232">
        <v>3</v>
      </c>
      <c r="F1232">
        <f t="shared" si="76"/>
        <v>-1.9543278205228796</v>
      </c>
      <c r="G1232">
        <f t="shared" si="77"/>
        <v>-2.5404643238068831</v>
      </c>
      <c r="I1232">
        <f t="shared" si="79"/>
        <v>-2.2473960721648814</v>
      </c>
    </row>
    <row r="1233" spans="1:9">
      <c r="A1233" t="s">
        <v>18</v>
      </c>
      <c r="B1233" s="2">
        <f t="shared" si="78"/>
        <v>60</v>
      </c>
      <c r="C1233">
        <v>1013</v>
      </c>
      <c r="D1233">
        <v>100</v>
      </c>
      <c r="E1233">
        <v>34</v>
      </c>
      <c r="F1233">
        <f t="shared" si="76"/>
        <v>-1.5640458198863918</v>
      </c>
      <c r="G1233">
        <f t="shared" si="77"/>
        <v>-1.8653757394695283</v>
      </c>
      <c r="I1233">
        <f t="shared" si="79"/>
        <v>-1.7147107796779602</v>
      </c>
    </row>
    <row r="1234" spans="1:9">
      <c r="A1234" t="s">
        <v>19</v>
      </c>
      <c r="B1234" s="2">
        <f t="shared" si="78"/>
        <v>60</v>
      </c>
      <c r="C1234">
        <v>544</v>
      </c>
      <c r="D1234">
        <v>16</v>
      </c>
      <c r="E1234">
        <v>31</v>
      </c>
      <c r="F1234">
        <f t="shared" si="76"/>
        <v>-2.0899152915683663</v>
      </c>
      <c r="G1234">
        <f t="shared" si="77"/>
        <v>-1.6354824170154103</v>
      </c>
      <c r="I1234">
        <f t="shared" si="79"/>
        <v>-1.8626988542918883</v>
      </c>
    </row>
    <row r="1235" spans="1:9">
      <c r="A1235" t="s">
        <v>20</v>
      </c>
      <c r="B1235" s="2">
        <f t="shared" si="78"/>
        <v>60</v>
      </c>
      <c r="C1235">
        <v>702</v>
      </c>
      <c r="D1235">
        <v>11</v>
      </c>
      <c r="E1235">
        <v>4</v>
      </c>
      <c r="F1235">
        <f t="shared" si="76"/>
        <v>-2.3633808014976916</v>
      </c>
      <c r="G1235">
        <f t="shared" si="77"/>
        <v>-2.6355223319533461</v>
      </c>
      <c r="I1235">
        <f t="shared" si="79"/>
        <v>-2.4994515667255186</v>
      </c>
    </row>
    <row r="1236" spans="1:9">
      <c r="A1236" t="s">
        <v>21</v>
      </c>
      <c r="B1236" s="2">
        <f t="shared" si="78"/>
        <v>60</v>
      </c>
      <c r="C1236">
        <v>895</v>
      </c>
      <c r="D1236">
        <v>53</v>
      </c>
      <c r="E1236">
        <v>11</v>
      </c>
      <c r="F1236">
        <f t="shared" si="76"/>
        <v>-1.7859835402412343</v>
      </c>
      <c r="G1236">
        <f t="shared" si="77"/>
        <v>-2.3016755613091897</v>
      </c>
      <c r="I1236">
        <f t="shared" si="79"/>
        <v>-2.0438295507752118</v>
      </c>
    </row>
    <row r="1237" spans="1:9">
      <c r="A1237" t="s">
        <v>22</v>
      </c>
      <c r="B1237" s="2">
        <f t="shared" si="78"/>
        <v>60</v>
      </c>
      <c r="C1237">
        <v>538</v>
      </c>
      <c r="D1237">
        <v>10</v>
      </c>
      <c r="E1237">
        <v>3</v>
      </c>
      <c r="F1237">
        <f t="shared" si="76"/>
        <v>-2.2892186501925003</v>
      </c>
      <c r="G1237">
        <f t="shared" si="77"/>
        <v>-2.6449062320982297</v>
      </c>
      <c r="I1237">
        <f t="shared" si="79"/>
        <v>-2.467062441145365</v>
      </c>
    </row>
    <row r="1238" spans="1:9">
      <c r="A1238" t="s">
        <v>23</v>
      </c>
      <c r="B1238" s="2">
        <f t="shared" si="78"/>
        <v>60</v>
      </c>
      <c r="C1238">
        <v>1264</v>
      </c>
      <c r="D1238">
        <v>35</v>
      </c>
      <c r="E1238">
        <v>37</v>
      </c>
      <c r="F1238">
        <f t="shared" si="76"/>
        <v>-2.1161154041222017</v>
      </c>
      <c r="G1238">
        <f t="shared" si="77"/>
        <v>-1.9247905610308742</v>
      </c>
      <c r="I1238">
        <f t="shared" si="79"/>
        <v>-2.020452982576538</v>
      </c>
    </row>
    <row r="1239" spans="1:9">
      <c r="A1239" t="s">
        <v>24</v>
      </c>
      <c r="B1239" s="2">
        <f t="shared" si="78"/>
        <v>60</v>
      </c>
      <c r="C1239">
        <v>782</v>
      </c>
      <c r="D1239">
        <v>17</v>
      </c>
      <c r="E1239">
        <v>14</v>
      </c>
      <c r="F1239">
        <f t="shared" si="76"/>
        <v>-2.2211942062076853</v>
      </c>
      <c r="G1239">
        <f t="shared" si="77"/>
        <v>-2.1383239285331133</v>
      </c>
      <c r="I1239">
        <f t="shared" si="79"/>
        <v>-2.1797590673703993</v>
      </c>
    </row>
    <row r="1240" spans="1:9">
      <c r="A1240" t="s">
        <v>25</v>
      </c>
      <c r="B1240" s="2">
        <f t="shared" si="78"/>
        <v>60</v>
      </c>
      <c r="C1240">
        <v>1241</v>
      </c>
      <c r="D1240">
        <v>69</v>
      </c>
      <c r="E1240">
        <v>9</v>
      </c>
      <c r="F1240">
        <f t="shared" si="76"/>
        <v>-1.8133590652875857</v>
      </c>
      <c r="G1240">
        <f t="shared" si="77"/>
        <v>-2.5307744832109078</v>
      </c>
      <c r="I1240">
        <f t="shared" si="79"/>
        <v>-2.172066774249247</v>
      </c>
    </row>
    <row r="1241" spans="1:9">
      <c r="A1241" t="s">
        <v>7</v>
      </c>
      <c r="B1241" s="2">
        <f t="shared" si="78"/>
        <v>61</v>
      </c>
      <c r="C1241">
        <v>364</v>
      </c>
      <c r="D1241">
        <v>55</v>
      </c>
      <c r="E1241">
        <v>5</v>
      </c>
      <c r="F1241">
        <f t="shared" si="76"/>
        <v>-1.3791750686809234</v>
      </c>
      <c r="G1241">
        <f t="shared" si="77"/>
        <v>-2.2533765904645402</v>
      </c>
      <c r="I1241">
        <f t="shared" si="79"/>
        <v>-1.8162758295727319</v>
      </c>
    </row>
    <row r="1242" spans="1:9">
      <c r="A1242" t="s">
        <v>8</v>
      </c>
      <c r="B1242" s="2">
        <f t="shared" si="78"/>
        <v>61</v>
      </c>
      <c r="C1242">
        <v>588</v>
      </c>
      <c r="D1242">
        <v>16</v>
      </c>
      <c r="E1242">
        <v>8</v>
      </c>
      <c r="F1242">
        <f t="shared" si="76"/>
        <v>-2.1236937179463249</v>
      </c>
      <c r="G1242">
        <f t="shared" si="77"/>
        <v>-2.2575325502356982</v>
      </c>
      <c r="I1242">
        <f t="shared" si="79"/>
        <v>-2.1906131340910115</v>
      </c>
    </row>
    <row r="1243" spans="1:9">
      <c r="A1243" t="s">
        <v>5</v>
      </c>
      <c r="B1243" s="2">
        <f t="shared" si="78"/>
        <v>61</v>
      </c>
      <c r="C1243">
        <v>743</v>
      </c>
      <c r="D1243">
        <v>8290</v>
      </c>
      <c r="E1243">
        <v>1026</v>
      </c>
      <c r="F1243">
        <f t="shared" si="76"/>
        <v>0.48912934226358706</v>
      </c>
      <c r="G1243">
        <f t="shared" si="77"/>
        <v>-0.25108666413628078</v>
      </c>
      <c r="I1243">
        <f t="shared" si="79"/>
        <v>0.11902133906365314</v>
      </c>
    </row>
    <row r="1244" spans="1:9">
      <c r="A1244" t="s">
        <v>6</v>
      </c>
      <c r="B1244" s="2">
        <f t="shared" si="78"/>
        <v>61</v>
      </c>
      <c r="C1244">
        <v>7</v>
      </c>
      <c r="D1244">
        <v>21</v>
      </c>
      <c r="E1244">
        <v>15</v>
      </c>
      <c r="F1244">
        <f t="shared" si="76"/>
        <v>-8.1315119806448843E-2</v>
      </c>
      <c r="G1244">
        <f t="shared" si="77"/>
        <v>-6.0251992110078589E-2</v>
      </c>
      <c r="I1244">
        <f t="shared" si="79"/>
        <v>-7.0783555958263716E-2</v>
      </c>
    </row>
    <row r="1245" spans="1:9">
      <c r="A1245" t="s">
        <v>10</v>
      </c>
      <c r="B1245" s="2">
        <f t="shared" si="78"/>
        <v>61</v>
      </c>
      <c r="C1245">
        <v>834</v>
      </c>
      <c r="D1245">
        <v>15</v>
      </c>
      <c r="E1245">
        <v>3</v>
      </c>
      <c r="F1245">
        <f t="shared" si="76"/>
        <v>-2.3035111661081689</v>
      </c>
      <c r="G1245">
        <f t="shared" si="77"/>
        <v>-2.8352900070695792</v>
      </c>
      <c r="I1245">
        <f t="shared" si="79"/>
        <v>-2.5694005865888743</v>
      </c>
    </row>
    <row r="1246" spans="1:9">
      <c r="A1246" t="s">
        <v>11</v>
      </c>
      <c r="B1246" s="2">
        <f t="shared" si="78"/>
        <v>61</v>
      </c>
      <c r="C1246">
        <v>722</v>
      </c>
      <c r="D1246">
        <v>19</v>
      </c>
      <c r="E1246">
        <v>17</v>
      </c>
      <c r="F1246">
        <f t="shared" si="76"/>
        <v>-2.1382199711429215</v>
      </c>
      <c r="G1246">
        <f t="shared" si="77"/>
        <v>-2.0193334873428679</v>
      </c>
      <c r="I1246">
        <f t="shared" si="79"/>
        <v>-2.0787767292428949</v>
      </c>
    </row>
    <row r="1247" spans="1:9">
      <c r="A1247" t="s">
        <v>12</v>
      </c>
      <c r="B1247" s="2">
        <f t="shared" si="78"/>
        <v>61</v>
      </c>
      <c r="C1247">
        <v>316</v>
      </c>
      <c r="D1247">
        <v>102</v>
      </c>
      <c r="E1247">
        <v>57</v>
      </c>
      <c r="F1247">
        <f t="shared" si="76"/>
        <v>-1.0495232853825975</v>
      </c>
      <c r="G1247">
        <f t="shared" si="77"/>
        <v>-1.1350574380974154</v>
      </c>
      <c r="I1247">
        <f t="shared" si="79"/>
        <v>-1.0922903617400066</v>
      </c>
    </row>
    <row r="1248" spans="1:9">
      <c r="A1248" t="s">
        <v>9</v>
      </c>
      <c r="B1248" s="2">
        <f t="shared" si="78"/>
        <v>61</v>
      </c>
      <c r="C1248">
        <v>951</v>
      </c>
      <c r="D1248">
        <v>49</v>
      </c>
      <c r="E1248">
        <v>32</v>
      </c>
      <c r="F1248">
        <f t="shared" si="76"/>
        <v>-1.8464208114350114</v>
      </c>
      <c r="G1248">
        <f t="shared" si="77"/>
        <v>-1.864275749769011</v>
      </c>
      <c r="I1248">
        <f t="shared" si="79"/>
        <v>-1.8553482806020112</v>
      </c>
    </row>
    <row r="1249" spans="1:9">
      <c r="A1249" t="s">
        <v>13</v>
      </c>
      <c r="B1249" s="2">
        <f t="shared" si="78"/>
        <v>61</v>
      </c>
      <c r="C1249">
        <v>1524</v>
      </c>
      <c r="D1249">
        <v>43</v>
      </c>
      <c r="E1249">
        <v>22</v>
      </c>
      <c r="F1249">
        <f t="shared" si="76"/>
        <v>-2.1079528859501067</v>
      </c>
      <c r="G1249">
        <f t="shared" si="77"/>
        <v>-2.2318074973328788</v>
      </c>
      <c r="I1249">
        <f t="shared" si="79"/>
        <v>-2.1698801916414929</v>
      </c>
    </row>
    <row r="1250" spans="1:9">
      <c r="A1250" t="s">
        <v>14</v>
      </c>
      <c r="B1250" s="2">
        <f t="shared" si="78"/>
        <v>61</v>
      </c>
      <c r="C1250">
        <v>723</v>
      </c>
      <c r="D1250">
        <v>15</v>
      </c>
      <c r="E1250">
        <v>4</v>
      </c>
      <c r="F1250">
        <f t="shared" si="76"/>
        <v>-2.241483412764961</v>
      </c>
      <c r="G1250">
        <f t="shared" si="77"/>
        <v>-2.6483235171180715</v>
      </c>
      <c r="I1250">
        <f t="shared" si="79"/>
        <v>-2.4449034649415164</v>
      </c>
    </row>
    <row r="1251" spans="1:9">
      <c r="A1251" t="s">
        <v>15</v>
      </c>
      <c r="B1251" s="2">
        <f t="shared" si="78"/>
        <v>61</v>
      </c>
      <c r="C1251">
        <v>587</v>
      </c>
      <c r="D1251">
        <v>62</v>
      </c>
      <c r="E1251">
        <v>4</v>
      </c>
      <c r="F1251">
        <f t="shared" si="76"/>
        <v>-1.5346827862754719</v>
      </c>
      <c r="G1251">
        <f t="shared" si="77"/>
        <v>-2.557823321071155</v>
      </c>
      <c r="I1251">
        <f t="shared" si="79"/>
        <v>-2.0462530536733134</v>
      </c>
    </row>
    <row r="1252" spans="1:9">
      <c r="A1252" t="s">
        <v>16</v>
      </c>
      <c r="B1252" s="2">
        <f t="shared" si="78"/>
        <v>61</v>
      </c>
      <c r="C1252">
        <v>522</v>
      </c>
      <c r="D1252">
        <v>11</v>
      </c>
      <c r="E1252">
        <v>2</v>
      </c>
      <c r="F1252">
        <f t="shared" si="76"/>
        <v>-2.2347141923701486</v>
      </c>
      <c r="G1252">
        <f t="shared" si="77"/>
        <v>-2.8078857184897839</v>
      </c>
      <c r="I1252">
        <f t="shared" si="79"/>
        <v>-2.5212999554299662</v>
      </c>
    </row>
    <row r="1253" spans="1:9">
      <c r="A1253" t="s">
        <v>17</v>
      </c>
      <c r="B1253" s="2">
        <f t="shared" si="78"/>
        <v>61</v>
      </c>
      <c r="C1253">
        <v>1242</v>
      </c>
      <c r="D1253">
        <v>53</v>
      </c>
      <c r="E1253">
        <v>12</v>
      </c>
      <c r="F1253">
        <f t="shared" si="76"/>
        <v>-1.9282821007658835</v>
      </c>
      <c r="G1253">
        <f t="shared" si="77"/>
        <v>-2.4061855609444396</v>
      </c>
      <c r="I1253">
        <f t="shared" si="79"/>
        <v>-2.1672338308551615</v>
      </c>
    </row>
    <row r="1254" spans="1:9">
      <c r="A1254" t="s">
        <v>18</v>
      </c>
      <c r="B1254" s="2">
        <f t="shared" si="78"/>
        <v>61</v>
      </c>
      <c r="C1254">
        <v>989</v>
      </c>
      <c r="D1254">
        <v>27</v>
      </c>
      <c r="E1254">
        <v>26</v>
      </c>
      <c r="F1254">
        <f t="shared" si="76"/>
        <v>-2.1222689019643033</v>
      </c>
      <c r="G1254">
        <f t="shared" si="77"/>
        <v>-1.9714681547778645</v>
      </c>
      <c r="I1254">
        <f t="shared" si="79"/>
        <v>-2.0468685283710837</v>
      </c>
    </row>
    <row r="1255" spans="1:9">
      <c r="A1255" t="s">
        <v>19</v>
      </c>
      <c r="B1255" s="2">
        <f t="shared" si="78"/>
        <v>61</v>
      </c>
      <c r="C1255">
        <v>698</v>
      </c>
      <c r="D1255">
        <v>22</v>
      </c>
      <c r="E1255">
        <v>3</v>
      </c>
      <c r="F1255">
        <f t="shared" si="76"/>
        <v>-2.0598691163270662</v>
      </c>
      <c r="G1255">
        <f t="shared" si="77"/>
        <v>-2.7579793790550018</v>
      </c>
      <c r="I1255">
        <f t="shared" si="79"/>
        <v>-2.4089242476910337</v>
      </c>
    </row>
    <row r="1256" spans="1:9">
      <c r="A1256" t="s">
        <v>20</v>
      </c>
      <c r="B1256" s="2">
        <f t="shared" si="78"/>
        <v>61</v>
      </c>
      <c r="C1256">
        <v>1407</v>
      </c>
      <c r="D1256">
        <v>48</v>
      </c>
      <c r="E1256">
        <v>10</v>
      </c>
      <c r="F1256">
        <f t="shared" si="76"/>
        <v>-2.0254892345852697</v>
      </c>
      <c r="G1256">
        <f t="shared" si="77"/>
        <v>-2.5395393085862485</v>
      </c>
      <c r="I1256">
        <f t="shared" si="79"/>
        <v>-2.2825142715857591</v>
      </c>
    </row>
    <row r="1257" spans="1:9">
      <c r="A1257" t="s">
        <v>21</v>
      </c>
      <c r="B1257" s="2">
        <f t="shared" si="78"/>
        <v>61</v>
      </c>
      <c r="C1257">
        <v>323</v>
      </c>
      <c r="D1257">
        <v>11</v>
      </c>
      <c r="E1257">
        <v>7</v>
      </c>
      <c r="F1257">
        <f t="shared" si="76"/>
        <v>-2.026246211698989</v>
      </c>
      <c r="G1257">
        <f t="shared" si="77"/>
        <v>-2.0553496934683491</v>
      </c>
      <c r="I1257">
        <f t="shared" si="79"/>
        <v>-2.0407979525836693</v>
      </c>
    </row>
    <row r="1258" spans="1:9">
      <c r="A1258" t="s">
        <v>22</v>
      </c>
      <c r="B1258" s="2">
        <f t="shared" si="78"/>
        <v>61</v>
      </c>
      <c r="C1258">
        <v>580</v>
      </c>
      <c r="D1258">
        <v>8</v>
      </c>
      <c r="E1258">
        <v>21</v>
      </c>
      <c r="F1258">
        <f t="shared" si="76"/>
        <v>-2.418774381097105</v>
      </c>
      <c r="G1258">
        <f t="shared" si="77"/>
        <v>-1.832453909980521</v>
      </c>
      <c r="I1258">
        <f t="shared" si="79"/>
        <v>-2.1256141455388131</v>
      </c>
    </row>
    <row r="1259" spans="1:9">
      <c r="A1259" t="s">
        <v>23</v>
      </c>
      <c r="B1259" s="2">
        <f t="shared" si="78"/>
        <v>61</v>
      </c>
      <c r="C1259">
        <v>1164</v>
      </c>
      <c r="D1259">
        <v>30</v>
      </c>
      <c r="E1259">
        <v>13</v>
      </c>
      <c r="F1259">
        <f t="shared" si="76"/>
        <v>-2.1472681001203187</v>
      </c>
      <c r="G1259">
        <f t="shared" si="77"/>
        <v>-2.3432548391585359</v>
      </c>
      <c r="I1259">
        <f t="shared" si="79"/>
        <v>-2.2452614696394271</v>
      </c>
    </row>
    <row r="1260" spans="1:9">
      <c r="A1260" t="s">
        <v>24</v>
      </c>
      <c r="B1260" s="2">
        <f t="shared" si="78"/>
        <v>61</v>
      </c>
      <c r="C1260">
        <v>693</v>
      </c>
      <c r="D1260">
        <v>17</v>
      </c>
      <c r="E1260">
        <v>27</v>
      </c>
      <c r="F1260">
        <f t="shared" si="76"/>
        <v>-2.1687206877596439</v>
      </c>
      <c r="G1260">
        <f t="shared" si="77"/>
        <v>-1.8006146816043225</v>
      </c>
      <c r="I1260">
        <f t="shared" si="79"/>
        <v>-1.9846676846819831</v>
      </c>
    </row>
    <row r="1261" spans="1:9">
      <c r="A1261" t="s">
        <v>25</v>
      </c>
      <c r="B1261" s="2">
        <f t="shared" si="78"/>
        <v>61</v>
      </c>
      <c r="C1261">
        <v>708</v>
      </c>
      <c r="D1261">
        <v>9</v>
      </c>
      <c r="E1261">
        <v>5</v>
      </c>
      <c r="F1261">
        <f t="shared" si="76"/>
        <v>-2.4542271227765555</v>
      </c>
      <c r="G1261">
        <f t="shared" si="77"/>
        <v>-2.5423084645052532</v>
      </c>
      <c r="I1261">
        <f t="shared" si="79"/>
        <v>-2.4982677936409043</v>
      </c>
    </row>
    <row r="1262" spans="1:9">
      <c r="A1262" t="s">
        <v>7</v>
      </c>
      <c r="B1262" s="2">
        <f t="shared" si="78"/>
        <v>62</v>
      </c>
      <c r="C1262">
        <v>409</v>
      </c>
      <c r="D1262">
        <v>31</v>
      </c>
      <c r="E1262">
        <v>9</v>
      </c>
      <c r="F1262">
        <f t="shared" si="76"/>
        <v>-1.6787979886991802</v>
      </c>
      <c r="G1262">
        <f t="shared" si="77"/>
        <v>-2.0487260097195197</v>
      </c>
      <c r="I1262">
        <f t="shared" si="79"/>
        <v>-1.8637619992093499</v>
      </c>
    </row>
    <row r="1263" spans="1:9">
      <c r="A1263" t="s">
        <v>8</v>
      </c>
      <c r="B1263" s="2">
        <f t="shared" si="78"/>
        <v>62</v>
      </c>
      <c r="C1263">
        <v>347</v>
      </c>
      <c r="D1263">
        <v>12</v>
      </c>
      <c r="E1263">
        <v>8</v>
      </c>
      <c r="F1263">
        <f t="shared" si="76"/>
        <v>-2.0195846032693603</v>
      </c>
      <c r="G1263">
        <f t="shared" si="77"/>
        <v>-2.0284846989504333</v>
      </c>
      <c r="I1263">
        <f t="shared" si="79"/>
        <v>-2.024034651109897</v>
      </c>
    </row>
    <row r="1264" spans="1:9">
      <c r="A1264" t="s">
        <v>5</v>
      </c>
      <c r="B1264" s="2">
        <f t="shared" si="78"/>
        <v>62</v>
      </c>
      <c r="C1264">
        <v>456</v>
      </c>
      <c r="D1264">
        <v>7</v>
      </c>
      <c r="E1264">
        <v>2</v>
      </c>
      <c r="F1264">
        <f t="shared" si="76"/>
        <v>-2.3723031771762892</v>
      </c>
      <c r="G1264">
        <f t="shared" si="77"/>
        <v>-2.749180058151957</v>
      </c>
      <c r="I1264">
        <f t="shared" si="79"/>
        <v>-2.5607416176641231</v>
      </c>
    </row>
    <row r="1265" spans="1:9">
      <c r="A1265" t="s">
        <v>6</v>
      </c>
      <c r="B1265" s="2">
        <f t="shared" si="78"/>
        <v>62</v>
      </c>
      <c r="C1265">
        <v>765</v>
      </c>
      <c r="D1265">
        <v>20</v>
      </c>
      <c r="E1265">
        <v>4</v>
      </c>
      <c r="F1265">
        <f t="shared" si="76"/>
        <v>-2.1410678140157478</v>
      </c>
      <c r="G1265">
        <f t="shared" si="77"/>
        <v>-2.6728466549771581</v>
      </c>
      <c r="I1265">
        <f t="shared" si="79"/>
        <v>-2.4069572344964527</v>
      </c>
    </row>
    <row r="1266" spans="1:9">
      <c r="A1266" t="s">
        <v>10</v>
      </c>
      <c r="B1266" s="2">
        <f t="shared" si="78"/>
        <v>62</v>
      </c>
      <c r="C1266">
        <v>800</v>
      </c>
      <c r="D1266">
        <v>51</v>
      </c>
      <c r="E1266">
        <v>26</v>
      </c>
      <c r="F1266">
        <f t="shared" si="76"/>
        <v>-1.7539561854201184</v>
      </c>
      <c r="G1266">
        <f t="shared" si="77"/>
        <v>-1.8793618501726286</v>
      </c>
      <c r="I1266">
        <f t="shared" si="79"/>
        <v>-1.8166590177963735</v>
      </c>
    </row>
    <row r="1267" spans="1:9">
      <c r="A1267" t="s">
        <v>11</v>
      </c>
      <c r="B1267" s="2">
        <f t="shared" si="78"/>
        <v>62</v>
      </c>
      <c r="C1267">
        <v>928</v>
      </c>
      <c r="D1267">
        <v>109</v>
      </c>
      <c r="E1267">
        <v>10</v>
      </c>
      <c r="F1267">
        <f t="shared" ref="F1267:F1330" si="80">LOG10(D1267/C1267)-LOG10(271026/74916)</f>
        <v>-1.4885578528043497</v>
      </c>
      <c r="G1267">
        <f t="shared" ref="G1267:G1330" si="81">LOG10(E1267/C1267)-LOG10(184425/74916)</f>
        <v>-2.3587931873703649</v>
      </c>
      <c r="I1267">
        <f t="shared" si="79"/>
        <v>-1.9236755200873574</v>
      </c>
    </row>
    <row r="1268" spans="1:9">
      <c r="A1268" t="s">
        <v>12</v>
      </c>
      <c r="B1268" s="2">
        <f t="shared" si="78"/>
        <v>62</v>
      </c>
      <c r="C1268">
        <v>591</v>
      </c>
      <c r="D1268">
        <v>33</v>
      </c>
      <c r="E1268">
        <v>63</v>
      </c>
      <c r="F1268">
        <f t="shared" si="80"/>
        <v>-1.8115099155294794</v>
      </c>
      <c r="G1268">
        <f t="shared" si="81"/>
        <v>-1.3634921425791768</v>
      </c>
      <c r="I1268">
        <f t="shared" si="79"/>
        <v>-1.5875010290543281</v>
      </c>
    </row>
    <row r="1269" spans="1:9">
      <c r="A1269" t="s">
        <v>9</v>
      </c>
      <c r="B1269" s="2">
        <f t="shared" si="78"/>
        <v>62</v>
      </c>
      <c r="C1269">
        <v>335</v>
      </c>
      <c r="D1269">
        <v>6</v>
      </c>
      <c r="E1269">
        <v>2</v>
      </c>
      <c r="F1269">
        <f t="shared" si="80"/>
        <v>-2.3053299311793127</v>
      </c>
      <c r="G1269">
        <f t="shared" si="81"/>
        <v>-2.615260022524367</v>
      </c>
      <c r="I1269">
        <f t="shared" si="79"/>
        <v>-2.4602949768518396</v>
      </c>
    </row>
    <row r="1270" spans="1:9">
      <c r="A1270" t="s">
        <v>13</v>
      </c>
      <c r="B1270" s="2">
        <f t="shared" si="78"/>
        <v>62</v>
      </c>
      <c r="C1270">
        <v>437</v>
      </c>
      <c r="D1270">
        <v>40</v>
      </c>
      <c r="E1270">
        <v>12</v>
      </c>
      <c r="F1270">
        <f t="shared" si="80"/>
        <v>-1.5968578201685708</v>
      </c>
      <c r="G1270">
        <f t="shared" si="81"/>
        <v>-1.9525454020743001</v>
      </c>
      <c r="I1270">
        <f t="shared" si="79"/>
        <v>-1.7747016111214355</v>
      </c>
    </row>
    <row r="1271" spans="1:9">
      <c r="A1271" t="s">
        <v>14</v>
      </c>
      <c r="B1271" s="2">
        <f t="shared" si="78"/>
        <v>62</v>
      </c>
      <c r="C1271">
        <v>647</v>
      </c>
      <c r="D1271">
        <v>14</v>
      </c>
      <c r="E1271">
        <v>4</v>
      </c>
      <c r="F1271">
        <f t="shared" si="80"/>
        <v>-2.2232126195165738</v>
      </c>
      <c r="G1271">
        <f t="shared" si="81"/>
        <v>-2.6000895004922411</v>
      </c>
      <c r="I1271">
        <f t="shared" si="79"/>
        <v>-2.4116510600044077</v>
      </c>
    </row>
    <row r="1272" spans="1:9">
      <c r="A1272" t="s">
        <v>15</v>
      </c>
      <c r="B1272" s="2">
        <f t="shared" si="78"/>
        <v>62</v>
      </c>
      <c r="C1272">
        <v>74916</v>
      </c>
      <c r="D1272">
        <v>271026</v>
      </c>
      <c r="E1272">
        <v>184425</v>
      </c>
      <c r="F1272">
        <f t="shared" si="80"/>
        <v>0</v>
      </c>
      <c r="G1272">
        <f t="shared" si="81"/>
        <v>0</v>
      </c>
      <c r="I1272">
        <f t="shared" si="79"/>
        <v>0</v>
      </c>
    </row>
    <row r="1273" spans="1:9">
      <c r="A1273" t="s">
        <v>16</v>
      </c>
      <c r="B1273" s="2">
        <f t="shared" si="78"/>
        <v>62</v>
      </c>
      <c r="C1273">
        <v>461</v>
      </c>
      <c r="D1273">
        <v>264</v>
      </c>
      <c r="E1273">
        <v>41</v>
      </c>
      <c r="F1273">
        <f t="shared" si="80"/>
        <v>-0.80053337304592831</v>
      </c>
      <c r="G1273">
        <f t="shared" si="81"/>
        <v>-1.4421622798214158</v>
      </c>
      <c r="I1273">
        <f t="shared" si="79"/>
        <v>-1.121347826433672</v>
      </c>
    </row>
    <row r="1274" spans="1:9">
      <c r="A1274" t="s">
        <v>17</v>
      </c>
      <c r="B1274" s="2">
        <f t="shared" si="78"/>
        <v>62</v>
      </c>
      <c r="C1274">
        <v>824</v>
      </c>
      <c r="D1274">
        <v>158</v>
      </c>
      <c r="E1274">
        <v>28</v>
      </c>
      <c r="F1274">
        <f t="shared" si="80"/>
        <v>-1.2757064992688045</v>
      </c>
      <c r="G1274">
        <f t="shared" si="81"/>
        <v>-1.8600143915063996</v>
      </c>
      <c r="I1274">
        <f t="shared" si="79"/>
        <v>-1.5678604453876019</v>
      </c>
    </row>
    <row r="1275" spans="1:9">
      <c r="A1275" t="s">
        <v>18</v>
      </c>
      <c r="B1275" s="2">
        <f t="shared" si="78"/>
        <v>62</v>
      </c>
      <c r="C1275">
        <v>1209</v>
      </c>
      <c r="D1275">
        <v>7148</v>
      </c>
      <c r="E1275">
        <v>6734</v>
      </c>
      <c r="F1275">
        <f t="shared" si="80"/>
        <v>0.21332186844672352</v>
      </c>
      <c r="G1275">
        <f t="shared" si="81"/>
        <v>0.35460160003979491</v>
      </c>
      <c r="I1275">
        <f t="shared" si="79"/>
        <v>0.28396173424325921</v>
      </c>
    </row>
    <row r="1276" spans="1:9">
      <c r="A1276" t="s">
        <v>19</v>
      </c>
      <c r="B1276" s="2">
        <f t="shared" si="78"/>
        <v>62</v>
      </c>
      <c r="C1276">
        <v>370</v>
      </c>
      <c r="D1276">
        <v>62</v>
      </c>
      <c r="E1276">
        <v>21</v>
      </c>
      <c r="F1276">
        <f t="shared" si="80"/>
        <v>-1.3342464090948525</v>
      </c>
      <c r="G1276">
        <f t="shared" si="81"/>
        <v>-1.6372276404845787</v>
      </c>
      <c r="I1276">
        <f t="shared" si="79"/>
        <v>-1.4857370247897155</v>
      </c>
    </row>
    <row r="1277" spans="1:9">
      <c r="A1277" t="s">
        <v>20</v>
      </c>
      <c r="B1277" s="2">
        <f t="shared" si="78"/>
        <v>62</v>
      </c>
      <c r="C1277">
        <v>76</v>
      </c>
      <c r="D1277">
        <v>12</v>
      </c>
      <c r="E1277">
        <v>5</v>
      </c>
      <c r="F1277">
        <f t="shared" si="80"/>
        <v>-1.3600687207592779</v>
      </c>
      <c r="G1277">
        <f t="shared" si="81"/>
        <v>-1.5730887990962756</v>
      </c>
      <c r="I1277">
        <f t="shared" si="79"/>
        <v>-1.4665787599277769</v>
      </c>
    </row>
    <row r="1278" spans="1:9">
      <c r="A1278" t="s">
        <v>21</v>
      </c>
      <c r="B1278" s="2">
        <f t="shared" si="78"/>
        <v>62</v>
      </c>
      <c r="C1278">
        <v>776</v>
      </c>
      <c r="D1278">
        <v>23</v>
      </c>
      <c r="E1278">
        <v>2</v>
      </c>
      <c r="F1278">
        <f t="shared" si="80"/>
        <v>-2.0865702597667068</v>
      </c>
      <c r="G1278">
        <f t="shared" si="81"/>
        <v>-2.9800769367457103</v>
      </c>
      <c r="I1278">
        <f t="shared" si="79"/>
        <v>-2.5333235982562083</v>
      </c>
    </row>
    <row r="1279" spans="1:9">
      <c r="A1279" t="s">
        <v>22</v>
      </c>
      <c r="B1279" s="2">
        <f t="shared" si="78"/>
        <v>62</v>
      </c>
      <c r="C1279">
        <v>516</v>
      </c>
      <c r="D1279">
        <v>32</v>
      </c>
      <c r="E1279">
        <v>4</v>
      </c>
      <c r="F1279">
        <f t="shared" si="80"/>
        <v>-1.7659360978334169</v>
      </c>
      <c r="G1279">
        <f t="shared" si="81"/>
        <v>-2.5018349214507518</v>
      </c>
      <c r="I1279">
        <f t="shared" si="79"/>
        <v>-2.1338855096420843</v>
      </c>
    </row>
    <row r="1280" spans="1:9">
      <c r="A1280" t="s">
        <v>23</v>
      </c>
      <c r="B1280" s="2">
        <f t="shared" si="78"/>
        <v>62</v>
      </c>
      <c r="C1280">
        <v>741</v>
      </c>
      <c r="D1280">
        <v>40</v>
      </c>
      <c r="E1280">
        <v>16</v>
      </c>
      <c r="F1280">
        <f t="shared" si="80"/>
        <v>-1.8261945911774768</v>
      </c>
      <c r="G1280">
        <f t="shared" si="81"/>
        <v>-2.0569434364749064</v>
      </c>
      <c r="I1280">
        <f t="shared" si="79"/>
        <v>-1.9415690138261916</v>
      </c>
    </row>
    <row r="1281" spans="1:9">
      <c r="A1281" t="s">
        <v>24</v>
      </c>
      <c r="B1281" s="2">
        <f t="shared" si="78"/>
        <v>62</v>
      </c>
      <c r="C1281">
        <v>888</v>
      </c>
      <c r="D1281">
        <v>19</v>
      </c>
      <c r="E1281">
        <v>13</v>
      </c>
      <c r="F1281">
        <f t="shared" si="80"/>
        <v>-2.2280957393518834</v>
      </c>
      <c r="G1281">
        <f t="shared" si="81"/>
        <v>-2.2257148246232674</v>
      </c>
      <c r="I1281">
        <f t="shared" si="79"/>
        <v>-2.2269052819875754</v>
      </c>
    </row>
    <row r="1282" spans="1:9">
      <c r="A1282" t="s">
        <v>25</v>
      </c>
      <c r="B1282" s="2">
        <f t="shared" si="78"/>
        <v>62</v>
      </c>
      <c r="C1282">
        <v>244</v>
      </c>
      <c r="D1282">
        <v>4</v>
      </c>
      <c r="E1282">
        <v>1</v>
      </c>
      <c r="F1282">
        <f t="shared" si="80"/>
        <v>-2.3437662095368781</v>
      </c>
      <c r="G1282">
        <f t="shared" si="81"/>
        <v>-2.7786350374902322</v>
      </c>
      <c r="I1282">
        <f t="shared" si="79"/>
        <v>-2.5612006235135549</v>
      </c>
    </row>
    <row r="1283" spans="1:9">
      <c r="A1283" t="s">
        <v>7</v>
      </c>
      <c r="B1283" s="2">
        <f t="shared" ref="B1283:B1346" si="82">1+INT((ROW()-2)/21)+1</f>
        <v>63</v>
      </c>
      <c r="C1283">
        <v>711</v>
      </c>
      <c r="D1283">
        <v>20</v>
      </c>
      <c r="E1283">
        <v>6</v>
      </c>
      <c r="F1283">
        <f t="shared" si="80"/>
        <v>-2.1092759795918963</v>
      </c>
      <c r="G1283">
        <f t="shared" si="81"/>
        <v>-2.4649635614976257</v>
      </c>
      <c r="I1283">
        <f t="shared" ref="I1283:I1346" si="83">AVERAGE(F1283:G1283)</f>
        <v>-2.287119770544761</v>
      </c>
    </row>
    <row r="1284" spans="1:9">
      <c r="A1284" t="s">
        <v>8</v>
      </c>
      <c r="B1284" s="2">
        <f t="shared" si="82"/>
        <v>63</v>
      </c>
      <c r="C1284">
        <v>935</v>
      </c>
      <c r="D1284">
        <v>80</v>
      </c>
      <c r="E1284">
        <v>38</v>
      </c>
      <c r="F1284">
        <f t="shared" si="80"/>
        <v>-1.6261579984066854</v>
      </c>
      <c r="G1284">
        <f t="shared" si="81"/>
        <v>-1.7822732254072107</v>
      </c>
      <c r="I1284">
        <f t="shared" si="83"/>
        <v>-1.704215611906948</v>
      </c>
    </row>
    <row r="1285" spans="1:9">
      <c r="A1285" t="s">
        <v>5</v>
      </c>
      <c r="B1285" s="2">
        <f t="shared" si="82"/>
        <v>63</v>
      </c>
      <c r="C1285">
        <v>254</v>
      </c>
      <c r="D1285">
        <v>7</v>
      </c>
      <c r="E1285">
        <v>3</v>
      </c>
      <c r="F1285">
        <f t="shared" si="80"/>
        <v>-2.1181720511317925</v>
      </c>
      <c r="G1285">
        <f t="shared" si="81"/>
        <v>-2.3189576730517789</v>
      </c>
      <c r="I1285">
        <f t="shared" si="83"/>
        <v>-2.2185648620917857</v>
      </c>
    </row>
    <row r="1286" spans="1:9">
      <c r="A1286" t="s">
        <v>6</v>
      </c>
      <c r="B1286" s="2">
        <f t="shared" si="82"/>
        <v>63</v>
      </c>
      <c r="C1286">
        <v>750</v>
      </c>
      <c r="D1286">
        <v>14</v>
      </c>
      <c r="E1286">
        <v>9</v>
      </c>
      <c r="F1286">
        <f t="shared" si="80"/>
        <v>-2.2873696022395733</v>
      </c>
      <c r="G1286">
        <f t="shared" si="81"/>
        <v>-2.3120639651038779</v>
      </c>
      <c r="I1286">
        <f t="shared" si="83"/>
        <v>-2.2997167836717258</v>
      </c>
    </row>
    <row r="1287" spans="1:9">
      <c r="A1287" t="s">
        <v>10</v>
      </c>
      <c r="B1287" s="2">
        <f t="shared" si="82"/>
        <v>63</v>
      </c>
      <c r="C1287">
        <v>743</v>
      </c>
      <c r="D1287">
        <v>17</v>
      </c>
      <c r="E1287">
        <v>11</v>
      </c>
      <c r="F1287">
        <f t="shared" si="80"/>
        <v>-2.1989762669084127</v>
      </c>
      <c r="G1287">
        <f t="shared" si="81"/>
        <v>-2.2208413397538536</v>
      </c>
      <c r="I1287">
        <f t="shared" si="83"/>
        <v>-2.2099088033311332</v>
      </c>
    </row>
    <row r="1288" spans="1:9">
      <c r="A1288" t="s">
        <v>11</v>
      </c>
      <c r="B1288" s="2">
        <f t="shared" si="82"/>
        <v>63</v>
      </c>
      <c r="C1288">
        <v>532</v>
      </c>
      <c r="D1288">
        <v>54</v>
      </c>
      <c r="E1288">
        <v>21</v>
      </c>
      <c r="F1288">
        <f t="shared" si="80"/>
        <v>-1.5519542469981911</v>
      </c>
      <c r="G1288">
        <f t="shared" si="81"/>
        <v>-1.794937548712632</v>
      </c>
      <c r="I1288">
        <f t="shared" si="83"/>
        <v>-1.6734458978554114</v>
      </c>
    </row>
    <row r="1289" spans="1:9">
      <c r="A1289" t="s">
        <v>12</v>
      </c>
      <c r="B1289" s="2">
        <f t="shared" si="82"/>
        <v>63</v>
      </c>
      <c r="C1289">
        <v>511</v>
      </c>
      <c r="D1289">
        <v>28</v>
      </c>
      <c r="E1289">
        <v>26</v>
      </c>
      <c r="F1289">
        <f t="shared" si="80"/>
        <v>-1.8196992433186048</v>
      </c>
      <c r="G1289">
        <f t="shared" si="81"/>
        <v>-1.6846927633153979</v>
      </c>
      <c r="I1289">
        <f t="shared" si="83"/>
        <v>-1.7521960033170014</v>
      </c>
    </row>
    <row r="1290" spans="1:9">
      <c r="A1290" t="s">
        <v>9</v>
      </c>
      <c r="B1290" s="2">
        <f t="shared" si="82"/>
        <v>63</v>
      </c>
      <c r="C1290">
        <v>680</v>
      </c>
      <c r="D1290">
        <v>15</v>
      </c>
      <c r="E1290">
        <v>5</v>
      </c>
      <c r="F1290">
        <f t="shared" si="80"/>
        <v>-2.2148540281766662</v>
      </c>
      <c r="G1290">
        <f t="shared" si="81"/>
        <v>-2.5247841195217204</v>
      </c>
      <c r="I1290">
        <f t="shared" si="83"/>
        <v>-2.3698190738491931</v>
      </c>
    </row>
    <row r="1291" spans="1:9">
      <c r="A1291" t="s">
        <v>13</v>
      </c>
      <c r="B1291" s="2">
        <f t="shared" si="82"/>
        <v>63</v>
      </c>
      <c r="C1291">
        <v>578</v>
      </c>
      <c r="D1291">
        <v>13</v>
      </c>
      <c r="E1291">
        <v>4</v>
      </c>
      <c r="F1291">
        <f t="shared" si="80"/>
        <v>-2.2064208606398035</v>
      </c>
      <c r="G1291">
        <f t="shared" si="81"/>
        <v>-2.5511130582440695</v>
      </c>
      <c r="I1291">
        <f t="shared" si="83"/>
        <v>-2.3787669594419363</v>
      </c>
    </row>
    <row r="1292" spans="1:9">
      <c r="A1292" t="s">
        <v>14</v>
      </c>
      <c r="B1292" s="2">
        <f t="shared" si="82"/>
        <v>63</v>
      </c>
      <c r="C1292">
        <v>600</v>
      </c>
      <c r="D1292">
        <v>21</v>
      </c>
      <c r="E1292">
        <v>9</v>
      </c>
      <c r="F1292">
        <f t="shared" si="80"/>
        <v>-2.0143683301758357</v>
      </c>
      <c r="G1292">
        <f t="shared" si="81"/>
        <v>-2.2151539520958217</v>
      </c>
      <c r="I1292">
        <f t="shared" si="83"/>
        <v>-2.1147611411358289</v>
      </c>
    </row>
    <row r="1293" spans="1:9">
      <c r="A1293" t="s">
        <v>15</v>
      </c>
      <c r="B1293" s="2">
        <f t="shared" si="82"/>
        <v>63</v>
      </c>
      <c r="C1293">
        <v>425</v>
      </c>
      <c r="D1293">
        <v>5</v>
      </c>
      <c r="E1293">
        <v>4</v>
      </c>
      <c r="F1293">
        <f t="shared" si="80"/>
        <v>-2.4878553002404038</v>
      </c>
      <c r="G1293">
        <f t="shared" si="81"/>
        <v>-2.4175741498738521</v>
      </c>
      <c r="I1293">
        <f t="shared" si="83"/>
        <v>-2.452714725057128</v>
      </c>
    </row>
    <row r="1294" spans="1:9">
      <c r="A1294" t="s">
        <v>16</v>
      </c>
      <c r="B1294" s="2">
        <f t="shared" si="82"/>
        <v>63</v>
      </c>
      <c r="C1294">
        <v>764</v>
      </c>
      <c r="D1294">
        <v>31</v>
      </c>
      <c r="E1294">
        <v>11</v>
      </c>
      <c r="F1294">
        <f t="shared" si="80"/>
        <v>-1.9501680392675285</v>
      </c>
      <c r="G1294">
        <f t="shared" si="81"/>
        <v>-2.2329458845689678</v>
      </c>
      <c r="I1294">
        <f t="shared" si="83"/>
        <v>-2.0915569619182479</v>
      </c>
    </row>
    <row r="1295" spans="1:9">
      <c r="A1295" t="s">
        <v>17</v>
      </c>
      <c r="B1295" s="2">
        <f t="shared" si="82"/>
        <v>63</v>
      </c>
      <c r="C1295">
        <v>717</v>
      </c>
      <c r="D1295">
        <v>38</v>
      </c>
      <c r="E1295">
        <v>11</v>
      </c>
      <c r="F1295">
        <f t="shared" si="80"/>
        <v>-1.8341719335771014</v>
      </c>
      <c r="G1295">
        <f t="shared" si="81"/>
        <v>-2.2053716816610782</v>
      </c>
      <c r="I1295">
        <f t="shared" si="83"/>
        <v>-2.0197718076190898</v>
      </c>
    </row>
    <row r="1296" spans="1:9">
      <c r="A1296" t="s">
        <v>18</v>
      </c>
      <c r="B1296" s="2">
        <f t="shared" si="82"/>
        <v>63</v>
      </c>
      <c r="C1296">
        <v>829</v>
      </c>
      <c r="D1296">
        <v>52</v>
      </c>
      <c r="E1296">
        <v>24</v>
      </c>
      <c r="F1296">
        <f t="shared" si="80"/>
        <v>-1.7609875614415857</v>
      </c>
      <c r="G1296">
        <f t="shared" si="81"/>
        <v>-1.9295884999901705</v>
      </c>
      <c r="I1296">
        <f t="shared" si="83"/>
        <v>-1.8452880307158781</v>
      </c>
    </row>
    <row r="1297" spans="1:9">
      <c r="A1297" t="s">
        <v>19</v>
      </c>
      <c r="B1297" s="2">
        <f t="shared" si="82"/>
        <v>63</v>
      </c>
      <c r="C1297">
        <v>579</v>
      </c>
      <c r="D1297">
        <v>7</v>
      </c>
      <c r="E1297">
        <v>2</v>
      </c>
      <c r="F1297">
        <f t="shared" si="80"/>
        <v>-2.4760168982392905</v>
      </c>
      <c r="G1297">
        <f t="shared" si="81"/>
        <v>-2.8528937792149582</v>
      </c>
      <c r="I1297">
        <f t="shared" si="83"/>
        <v>-2.6644553387271244</v>
      </c>
    </row>
    <row r="1298" spans="1:9">
      <c r="A1298" t="s">
        <v>20</v>
      </c>
      <c r="B1298" s="2">
        <f t="shared" si="82"/>
        <v>63</v>
      </c>
      <c r="C1298">
        <v>716</v>
      </c>
      <c r="D1298">
        <v>64</v>
      </c>
      <c r="E1298">
        <v>69</v>
      </c>
      <c r="F1298">
        <f t="shared" si="80"/>
        <v>-1.6071694228500797</v>
      </c>
      <c r="G1298">
        <f t="shared" si="81"/>
        <v>-1.4073091427221032</v>
      </c>
      <c r="I1298">
        <f t="shared" si="83"/>
        <v>-1.5072392827860914</v>
      </c>
    </row>
    <row r="1299" spans="1:9">
      <c r="A1299" t="s">
        <v>21</v>
      </c>
      <c r="B1299" s="2">
        <f t="shared" si="82"/>
        <v>63</v>
      </c>
      <c r="C1299">
        <v>11</v>
      </c>
      <c r="D1299">
        <v>34</v>
      </c>
      <c r="E1299">
        <v>15</v>
      </c>
      <c r="F1299">
        <f t="shared" si="80"/>
        <v>-6.8350142642081224E-2</v>
      </c>
      <c r="G1299">
        <f t="shared" si="81"/>
        <v>-0.25654663725404681</v>
      </c>
      <c r="I1299">
        <f t="shared" si="83"/>
        <v>-0.16244838994806401</v>
      </c>
    </row>
    <row r="1300" spans="1:9">
      <c r="A1300" t="s">
        <v>22</v>
      </c>
      <c r="B1300" s="2">
        <f t="shared" si="82"/>
        <v>63</v>
      </c>
      <c r="C1300">
        <v>478</v>
      </c>
      <c r="D1300">
        <v>12</v>
      </c>
      <c r="E1300">
        <v>9</v>
      </c>
      <c r="F1300">
        <f t="shared" si="80"/>
        <v>-2.1586830250906055</v>
      </c>
      <c r="G1300">
        <f t="shared" si="81"/>
        <v>-2.116430598324297</v>
      </c>
      <c r="I1300">
        <f t="shared" si="83"/>
        <v>-2.1375568117074515</v>
      </c>
    </row>
    <row r="1301" spans="1:9">
      <c r="A1301" t="s">
        <v>23</v>
      </c>
      <c r="B1301" s="2">
        <f t="shared" si="82"/>
        <v>63</v>
      </c>
      <c r="C1301">
        <v>330</v>
      </c>
      <c r="D1301">
        <v>8</v>
      </c>
      <c r="E1301">
        <v>1</v>
      </c>
      <c r="F1301">
        <f t="shared" si="80"/>
        <v>-2.1738603274120551</v>
      </c>
      <c r="G1301">
        <f t="shared" si="81"/>
        <v>-2.9097591510293905</v>
      </c>
      <c r="I1301">
        <f t="shared" si="83"/>
        <v>-2.5418097392207226</v>
      </c>
    </row>
    <row r="1302" spans="1:9">
      <c r="A1302" t="s">
        <v>24</v>
      </c>
      <c r="B1302" s="2">
        <f t="shared" si="82"/>
        <v>63</v>
      </c>
      <c r="C1302">
        <v>340</v>
      </c>
      <c r="D1302">
        <v>12</v>
      </c>
      <c r="E1302">
        <v>3</v>
      </c>
      <c r="F1302">
        <f t="shared" si="80"/>
        <v>-2.0107340455207416</v>
      </c>
      <c r="G1302">
        <f t="shared" si="81"/>
        <v>-2.4456028734740958</v>
      </c>
      <c r="I1302">
        <f t="shared" si="83"/>
        <v>-2.2281684594974189</v>
      </c>
    </row>
    <row r="1303" spans="1:9">
      <c r="A1303" t="s">
        <v>25</v>
      </c>
      <c r="B1303" s="2">
        <f t="shared" si="82"/>
        <v>63</v>
      </c>
      <c r="C1303">
        <v>836</v>
      </c>
      <c r="D1303">
        <v>15</v>
      </c>
      <c r="E1303">
        <v>8</v>
      </c>
      <c r="F1303">
        <f t="shared" si="80"/>
        <v>-2.3045513929094463</v>
      </c>
      <c r="G1303">
        <f t="shared" si="81"/>
        <v>-2.410361501598576</v>
      </c>
      <c r="I1303">
        <f t="shared" si="83"/>
        <v>-2.3574564472540112</v>
      </c>
    </row>
    <row r="1304" spans="1:9">
      <c r="A1304" t="s">
        <v>7</v>
      </c>
      <c r="B1304" s="2">
        <f t="shared" si="82"/>
        <v>64</v>
      </c>
      <c r="C1304">
        <v>333</v>
      </c>
      <c r="D1304">
        <v>51</v>
      </c>
      <c r="E1304">
        <v>35</v>
      </c>
      <c r="F1304">
        <f t="shared" si="80"/>
        <v>-1.3733104319344949</v>
      </c>
      <c r="G1304">
        <f t="shared" si="81"/>
        <v>-1.3696214003075471</v>
      </c>
      <c r="I1304">
        <f t="shared" si="83"/>
        <v>-1.371465916121021</v>
      </c>
    </row>
    <row r="1305" spans="1:9">
      <c r="A1305" t="s">
        <v>8</v>
      </c>
      <c r="B1305" s="2">
        <f t="shared" si="82"/>
        <v>64</v>
      </c>
      <c r="C1305">
        <v>560</v>
      </c>
      <c r="D1305">
        <v>63</v>
      </c>
      <c r="E1305">
        <v>13</v>
      </c>
      <c r="F1305">
        <f t="shared" si="80"/>
        <v>-1.5072838520787299</v>
      </c>
      <c r="G1305">
        <f t="shared" si="81"/>
        <v>-2.0254898858508668</v>
      </c>
      <c r="I1305">
        <f t="shared" si="83"/>
        <v>-1.7663868689647984</v>
      </c>
    </row>
    <row r="1306" spans="1:9">
      <c r="A1306" t="s">
        <v>5</v>
      </c>
      <c r="B1306" s="2">
        <f t="shared" si="82"/>
        <v>64</v>
      </c>
      <c r="C1306">
        <v>217</v>
      </c>
      <c r="D1306">
        <v>6</v>
      </c>
      <c r="E1306">
        <v>2</v>
      </c>
      <c r="F1306">
        <f t="shared" si="80"/>
        <v>-2.1167448579909971</v>
      </c>
      <c r="G1306">
        <f t="shared" si="81"/>
        <v>-2.4266749493360513</v>
      </c>
      <c r="I1306">
        <f t="shared" si="83"/>
        <v>-2.271709903663524</v>
      </c>
    </row>
    <row r="1307" spans="1:9">
      <c r="A1307" t="s">
        <v>6</v>
      </c>
      <c r="B1307" s="2">
        <f t="shared" si="82"/>
        <v>64</v>
      </c>
      <c r="C1307">
        <v>1158</v>
      </c>
      <c r="D1307">
        <v>40</v>
      </c>
      <c r="E1307">
        <v>81</v>
      </c>
      <c r="F1307">
        <f t="shared" si="80"/>
        <v>-2.0200849425895662</v>
      </c>
      <c r="G1307">
        <f t="shared" si="81"/>
        <v>-1.5464687516642706</v>
      </c>
      <c r="I1307">
        <f t="shared" si="83"/>
        <v>-1.7832768471269183</v>
      </c>
    </row>
    <row r="1308" spans="1:9">
      <c r="A1308" t="s">
        <v>10</v>
      </c>
      <c r="B1308" s="2">
        <f t="shared" si="82"/>
        <v>64</v>
      </c>
      <c r="C1308">
        <v>988</v>
      </c>
      <c r="D1308">
        <v>24</v>
      </c>
      <c r="E1308">
        <v>11</v>
      </c>
      <c r="F1308">
        <f t="shared" si="80"/>
        <v>-2.1729820774021333</v>
      </c>
      <c r="G1308">
        <f t="shared" si="81"/>
        <v>-2.344609470580906</v>
      </c>
      <c r="I1308">
        <f t="shared" si="83"/>
        <v>-2.2587957739915199</v>
      </c>
    </row>
    <row r="1309" spans="1:9">
      <c r="A1309" t="s">
        <v>11</v>
      </c>
      <c r="B1309" s="2">
        <f t="shared" si="82"/>
        <v>64</v>
      </c>
      <c r="C1309">
        <v>774</v>
      </c>
      <c r="D1309">
        <v>65</v>
      </c>
      <c r="E1309">
        <v>37</v>
      </c>
      <c r="F1309">
        <f t="shared" si="80"/>
        <v>-1.6342639785661484</v>
      </c>
      <c r="G1309">
        <f t="shared" si="81"/>
        <v>-1.7117844477674007</v>
      </c>
      <c r="I1309">
        <f t="shared" si="83"/>
        <v>-1.6730242131667745</v>
      </c>
    </row>
    <row r="1310" spans="1:9">
      <c r="A1310" t="s">
        <v>12</v>
      </c>
      <c r="B1310" s="2">
        <f t="shared" si="82"/>
        <v>64</v>
      </c>
      <c r="C1310">
        <v>588</v>
      </c>
      <c r="D1310">
        <v>13</v>
      </c>
      <c r="E1310">
        <v>8</v>
      </c>
      <c r="F1310">
        <f t="shared" si="80"/>
        <v>-2.213870348295413</v>
      </c>
      <c r="G1310">
        <f t="shared" si="81"/>
        <v>-2.2575325502356982</v>
      </c>
      <c r="I1310">
        <f t="shared" si="83"/>
        <v>-2.2357014492655556</v>
      </c>
    </row>
    <row r="1311" spans="1:9">
      <c r="A1311" t="s">
        <v>9</v>
      </c>
      <c r="B1311" s="2">
        <f t="shared" si="82"/>
        <v>64</v>
      </c>
      <c r="C1311">
        <v>404</v>
      </c>
      <c r="D1311">
        <v>18</v>
      </c>
      <c r="E1311">
        <v>5</v>
      </c>
      <c r="F1311">
        <f t="shared" si="80"/>
        <v>-1.9095452345334101</v>
      </c>
      <c r="G1311">
        <f t="shared" si="81"/>
        <v>-2.298656571926089</v>
      </c>
      <c r="I1311">
        <f t="shared" si="83"/>
        <v>-2.1041009032297495</v>
      </c>
    </row>
    <row r="1312" spans="1:9">
      <c r="A1312" t="s">
        <v>13</v>
      </c>
      <c r="B1312" s="2">
        <f t="shared" si="82"/>
        <v>64</v>
      </c>
      <c r="C1312">
        <v>751</v>
      </c>
      <c r="D1312">
        <v>38</v>
      </c>
      <c r="E1312">
        <v>7</v>
      </c>
      <c r="F1312">
        <f t="shared" si="80"/>
        <v>-1.8542927149134694</v>
      </c>
      <c r="G1312">
        <f t="shared" si="81"/>
        <v>-2.4217871081414146</v>
      </c>
      <c r="I1312">
        <f t="shared" si="83"/>
        <v>-2.138039911527442</v>
      </c>
    </row>
    <row r="1313" spans="1:9">
      <c r="A1313" t="s">
        <v>14</v>
      </c>
      <c r="B1313" s="2">
        <f t="shared" si="82"/>
        <v>64</v>
      </c>
      <c r="C1313">
        <v>699</v>
      </c>
      <c r="D1313">
        <v>21</v>
      </c>
      <c r="E1313">
        <v>2</v>
      </c>
      <c r="F1313">
        <f t="shared" si="80"/>
        <v>-2.0806942555378733</v>
      </c>
      <c r="G1313">
        <f t="shared" si="81"/>
        <v>-2.9346923912332032</v>
      </c>
      <c r="I1313">
        <f t="shared" si="83"/>
        <v>-2.5076933233855385</v>
      </c>
    </row>
    <row r="1314" spans="1:9">
      <c r="A1314" t="s">
        <v>15</v>
      </c>
      <c r="B1314" s="2">
        <f t="shared" si="82"/>
        <v>64</v>
      </c>
      <c r="C1314">
        <v>463</v>
      </c>
      <c r="D1314">
        <v>37</v>
      </c>
      <c r="E1314">
        <v>27</v>
      </c>
      <c r="F1314">
        <f t="shared" si="80"/>
        <v>-1.6558156414770693</v>
      </c>
      <c r="G1314">
        <f t="shared" si="81"/>
        <v>-1.6254624380104687</v>
      </c>
      <c r="I1314">
        <f t="shared" si="83"/>
        <v>-1.6406390397437689</v>
      </c>
    </row>
    <row r="1315" spans="1:9">
      <c r="A1315" t="s">
        <v>16</v>
      </c>
      <c r="B1315" s="2">
        <f t="shared" si="82"/>
        <v>64</v>
      </c>
      <c r="C1315">
        <v>732</v>
      </c>
      <c r="D1315">
        <v>16</v>
      </c>
      <c r="E1315">
        <v>5</v>
      </c>
      <c r="F1315">
        <f t="shared" si="80"/>
        <v>-2.2188274729285782</v>
      </c>
      <c r="G1315">
        <f t="shared" si="81"/>
        <v>-2.5567862878738761</v>
      </c>
      <c r="I1315">
        <f t="shared" si="83"/>
        <v>-2.3878068804012269</v>
      </c>
    </row>
    <row r="1316" spans="1:9">
      <c r="A1316" t="s">
        <v>17</v>
      </c>
      <c r="B1316" s="2">
        <f t="shared" si="82"/>
        <v>64</v>
      </c>
      <c r="C1316">
        <v>589</v>
      </c>
      <c r="D1316">
        <v>9</v>
      </c>
      <c r="E1316">
        <v>0</v>
      </c>
      <c r="F1316">
        <f t="shared" si="80"/>
        <v>-2.3743091598738881</v>
      </c>
      <c r="G1316" t="e">
        <f t="shared" si="81"/>
        <v>#NUM!</v>
      </c>
      <c r="I1316" t="e">
        <f t="shared" si="83"/>
        <v>#NUM!</v>
      </c>
    </row>
    <row r="1317" spans="1:9">
      <c r="A1317" t="s">
        <v>18</v>
      </c>
      <c r="B1317" s="2">
        <f t="shared" si="82"/>
        <v>64</v>
      </c>
      <c r="C1317">
        <v>851</v>
      </c>
      <c r="D1317">
        <v>855</v>
      </c>
      <c r="E1317">
        <v>857</v>
      </c>
      <c r="F1317">
        <f t="shared" si="80"/>
        <v>-0.55639981988252651</v>
      </c>
      <c r="G1317">
        <f t="shared" si="81"/>
        <v>-0.38819394931289275</v>
      </c>
      <c r="I1317">
        <f t="shared" si="83"/>
        <v>-0.47229688459770963</v>
      </c>
    </row>
    <row r="1318" spans="1:9">
      <c r="A1318" t="s">
        <v>19</v>
      </c>
      <c r="B1318" s="2">
        <f t="shared" si="82"/>
        <v>64</v>
      </c>
      <c r="C1318">
        <v>6</v>
      </c>
      <c r="D1318">
        <v>20</v>
      </c>
      <c r="E1318">
        <v>15</v>
      </c>
      <c r="F1318">
        <f t="shared" si="80"/>
        <v>-3.5557629245773659E-2</v>
      </c>
      <c r="G1318">
        <f t="shared" si="81"/>
        <v>6.69479752053459E-3</v>
      </c>
      <c r="I1318">
        <f t="shared" si="83"/>
        <v>-1.4431415862619534E-2</v>
      </c>
    </row>
    <row r="1319" spans="1:9">
      <c r="A1319" t="s">
        <v>20</v>
      </c>
      <c r="B1319" s="2">
        <f t="shared" si="82"/>
        <v>64</v>
      </c>
      <c r="C1319">
        <v>511</v>
      </c>
      <c r="D1319">
        <v>52</v>
      </c>
      <c r="E1319">
        <v>79</v>
      </c>
      <c r="F1319">
        <f t="shared" si="80"/>
        <v>-1.5508539310260248</v>
      </c>
      <c r="G1319">
        <f t="shared" si="81"/>
        <v>-1.2020390199957744</v>
      </c>
      <c r="I1319">
        <f t="shared" si="83"/>
        <v>-1.3764464755108996</v>
      </c>
    </row>
    <row r="1320" spans="1:9">
      <c r="A1320" t="s">
        <v>21</v>
      </c>
      <c r="B1320" s="2">
        <f t="shared" si="82"/>
        <v>64</v>
      </c>
      <c r="C1320">
        <v>593</v>
      </c>
      <c r="D1320">
        <v>8</v>
      </c>
      <c r="E1320">
        <v>5</v>
      </c>
      <c r="F1320">
        <f t="shared" si="80"/>
        <v>-2.4284010808984302</v>
      </c>
      <c r="G1320">
        <f t="shared" si="81"/>
        <v>-2.4653299001797468</v>
      </c>
      <c r="I1320">
        <f t="shared" si="83"/>
        <v>-2.4468654905390883</v>
      </c>
    </row>
    <row r="1321" spans="1:9">
      <c r="A1321" t="s">
        <v>22</v>
      </c>
      <c r="B1321" s="2">
        <f t="shared" si="82"/>
        <v>64</v>
      </c>
      <c r="C1321">
        <v>471</v>
      </c>
      <c r="D1321">
        <v>13</v>
      </c>
      <c r="E1321">
        <v>3</v>
      </c>
      <c r="F1321">
        <f t="shared" si="80"/>
        <v>-2.1175139293481706</v>
      </c>
      <c r="G1321">
        <f t="shared" si="81"/>
        <v>-2.5871448635607366</v>
      </c>
      <c r="I1321">
        <f t="shared" si="83"/>
        <v>-2.3523293964544534</v>
      </c>
    </row>
    <row r="1322" spans="1:9">
      <c r="A1322" t="s">
        <v>23</v>
      </c>
      <c r="B1322" s="2">
        <f t="shared" si="82"/>
        <v>64</v>
      </c>
      <c r="C1322">
        <v>626</v>
      </c>
      <c r="D1322">
        <v>33</v>
      </c>
      <c r="E1322">
        <v>9</v>
      </c>
      <c r="F1322">
        <f t="shared" si="80"/>
        <v>-1.8364967678586535</v>
      </c>
      <c r="G1322">
        <f t="shared" si="81"/>
        <v>-2.2335770349226078</v>
      </c>
      <c r="I1322">
        <f t="shared" si="83"/>
        <v>-2.0350369013906304</v>
      </c>
    </row>
    <row r="1323" spans="1:9">
      <c r="A1323" t="s">
        <v>24</v>
      </c>
      <c r="B1323" s="2">
        <f t="shared" si="82"/>
        <v>64</v>
      </c>
      <c r="C1323">
        <v>862</v>
      </c>
      <c r="D1323">
        <v>65</v>
      </c>
      <c r="E1323">
        <v>9</v>
      </c>
      <c r="F1323">
        <f t="shared" si="80"/>
        <v>-1.6810302837079685</v>
      </c>
      <c r="G1323">
        <f t="shared" si="81"/>
        <v>-2.372509967536891</v>
      </c>
      <c r="I1323">
        <f t="shared" si="83"/>
        <v>-2.0267701256224298</v>
      </c>
    </row>
    <row r="1324" spans="1:9">
      <c r="A1324" t="s">
        <v>25</v>
      </c>
      <c r="B1324" s="2">
        <f t="shared" si="82"/>
        <v>64</v>
      </c>
      <c r="C1324">
        <v>841</v>
      </c>
      <c r="D1324">
        <v>30</v>
      </c>
      <c r="E1324">
        <v>18</v>
      </c>
      <c r="F1324">
        <f t="shared" si="80"/>
        <v>-2.006111115604361</v>
      </c>
      <c r="G1324">
        <f t="shared" si="81"/>
        <v>-2.0607687018461092</v>
      </c>
      <c r="I1324">
        <f t="shared" si="83"/>
        <v>-2.0334399087252351</v>
      </c>
    </row>
    <row r="1325" spans="1:9">
      <c r="A1325" t="s">
        <v>7</v>
      </c>
      <c r="B1325" s="2">
        <f t="shared" si="82"/>
        <v>65</v>
      </c>
      <c r="C1325">
        <v>231</v>
      </c>
      <c r="D1325">
        <v>17</v>
      </c>
      <c r="E1325">
        <v>29</v>
      </c>
      <c r="F1325">
        <f t="shared" si="80"/>
        <v>-1.6915994330399817</v>
      </c>
      <c r="G1325">
        <f t="shared" si="81"/>
        <v>-1.2924591931446914</v>
      </c>
      <c r="I1325">
        <f t="shared" si="83"/>
        <v>-1.4920293130923366</v>
      </c>
    </row>
    <row r="1326" spans="1:9">
      <c r="A1326" t="s">
        <v>8</v>
      </c>
      <c r="B1326" s="2">
        <f t="shared" si="82"/>
        <v>65</v>
      </c>
      <c r="C1326">
        <v>410</v>
      </c>
      <c r="D1326">
        <v>209</v>
      </c>
      <c r="E1326">
        <v>132</v>
      </c>
      <c r="F1326">
        <f t="shared" si="80"/>
        <v>-0.85107394513479284</v>
      </c>
      <c r="G1326">
        <f t="shared" si="81"/>
        <v>-0.88345513666538866</v>
      </c>
      <c r="I1326">
        <f t="shared" si="83"/>
        <v>-0.86726454090009075</v>
      </c>
    </row>
    <row r="1327" spans="1:9">
      <c r="A1327" t="s">
        <v>5</v>
      </c>
      <c r="B1327" s="2">
        <f t="shared" si="82"/>
        <v>65</v>
      </c>
      <c r="C1327">
        <v>418</v>
      </c>
      <c r="D1327">
        <v>2695</v>
      </c>
      <c r="E1327">
        <v>1185</v>
      </c>
      <c r="F1327">
        <f t="shared" si="80"/>
        <v>0.25094611322161109</v>
      </c>
      <c r="G1327">
        <f t="shared" si="81"/>
        <v>6.1296857419584461E-2</v>
      </c>
      <c r="I1327">
        <f t="shared" si="83"/>
        <v>0.15612148532059777</v>
      </c>
    </row>
    <row r="1328" spans="1:9">
      <c r="A1328" t="s">
        <v>6</v>
      </c>
      <c r="B1328" s="2">
        <f t="shared" si="82"/>
        <v>65</v>
      </c>
      <c r="C1328">
        <v>666</v>
      </c>
      <c r="D1328">
        <v>5918</v>
      </c>
      <c r="E1328">
        <v>26328</v>
      </c>
      <c r="F1328">
        <f t="shared" si="80"/>
        <v>0.39026435712820184</v>
      </c>
      <c r="G1328">
        <f t="shared" si="81"/>
        <v>1.2056984289645132</v>
      </c>
      <c r="I1328">
        <f t="shared" si="83"/>
        <v>0.79798139304635751</v>
      </c>
    </row>
    <row r="1329" spans="1:9">
      <c r="A1329" t="s">
        <v>10</v>
      </c>
      <c r="B1329" s="2">
        <f t="shared" si="82"/>
        <v>65</v>
      </c>
      <c r="C1329">
        <v>618</v>
      </c>
      <c r="D1329">
        <v>1505</v>
      </c>
      <c r="E1329">
        <v>570</v>
      </c>
      <c r="F1329">
        <f t="shared" si="80"/>
        <v>-0.171888349685065</v>
      </c>
      <c r="G1329">
        <f t="shared" si="81"/>
        <v>-0.42635883056782742</v>
      </c>
      <c r="I1329">
        <f t="shared" si="83"/>
        <v>-0.29912359012644618</v>
      </c>
    </row>
    <row r="1330" spans="1:9">
      <c r="A1330" t="s">
        <v>11</v>
      </c>
      <c r="B1330" s="2">
        <f t="shared" si="82"/>
        <v>65</v>
      </c>
      <c r="C1330">
        <v>175</v>
      </c>
      <c r="D1330">
        <v>3</v>
      </c>
      <c r="E1330">
        <v>0</v>
      </c>
      <c r="F1330">
        <f t="shared" si="80"/>
        <v>-2.3243531684927432</v>
      </c>
      <c r="G1330" t="e">
        <f t="shared" si="81"/>
        <v>#NUM!</v>
      </c>
      <c r="I1330" t="e">
        <f t="shared" si="83"/>
        <v>#NUM!</v>
      </c>
    </row>
    <row r="1331" spans="1:9">
      <c r="A1331" t="s">
        <v>12</v>
      </c>
      <c r="B1331" s="2">
        <f t="shared" si="82"/>
        <v>65</v>
      </c>
      <c r="C1331">
        <v>437</v>
      </c>
      <c r="D1331">
        <v>315</v>
      </c>
      <c r="E1331">
        <v>77</v>
      </c>
      <c r="F1331">
        <f t="shared" ref="F1331:F1394" si="84">LOG10(D1331/C1331)-LOG10(271026/74916)</f>
        <v>-0.70060725770693266</v>
      </c>
      <c r="G1331">
        <f t="shared" ref="G1331:G1394" si="85">LOG10(E1331/C1331)-LOG10(184425/74916)</f>
        <v>-1.1452359229494431</v>
      </c>
      <c r="I1331">
        <f t="shared" si="83"/>
        <v>-0.92292159032818788</v>
      </c>
    </row>
    <row r="1332" spans="1:9">
      <c r="A1332" t="s">
        <v>9</v>
      </c>
      <c r="B1332" s="2">
        <f t="shared" si="82"/>
        <v>65</v>
      </c>
      <c r="C1332">
        <v>324</v>
      </c>
      <c r="D1332">
        <v>1138</v>
      </c>
      <c r="E1332">
        <v>380</v>
      </c>
      <c r="F1332">
        <f t="shared" si="84"/>
        <v>-1.2839122673671044E-2</v>
      </c>
      <c r="G1332">
        <f t="shared" si="85"/>
        <v>-0.32200662474130493</v>
      </c>
      <c r="I1332">
        <f t="shared" si="83"/>
        <v>-0.16742287370748798</v>
      </c>
    </row>
    <row r="1333" spans="1:9">
      <c r="A1333" t="s">
        <v>13</v>
      </c>
      <c r="B1333" s="2">
        <f t="shared" si="82"/>
        <v>65</v>
      </c>
      <c r="C1333">
        <v>537</v>
      </c>
      <c r="D1333">
        <v>422</v>
      </c>
      <c r="E1333">
        <v>346</v>
      </c>
      <c r="F1333">
        <f t="shared" si="84"/>
        <v>-0.6630982092639931</v>
      </c>
      <c r="G1333">
        <f t="shared" si="85"/>
        <v>-0.58214339805828197</v>
      </c>
      <c r="I1333">
        <f t="shared" si="83"/>
        <v>-0.62262080366113759</v>
      </c>
    </row>
    <row r="1334" spans="1:9">
      <c r="A1334" t="s">
        <v>14</v>
      </c>
      <c r="B1334" s="2">
        <f t="shared" si="82"/>
        <v>65</v>
      </c>
      <c r="C1334">
        <v>492</v>
      </c>
      <c r="D1334">
        <v>1305</v>
      </c>
      <c r="E1334">
        <v>220</v>
      </c>
      <c r="F1334">
        <f t="shared" si="84"/>
        <v>-0.13479096561917187</v>
      </c>
      <c r="G1334">
        <f t="shared" si="85"/>
        <v>-0.74078763309665718</v>
      </c>
      <c r="I1334">
        <f t="shared" si="83"/>
        <v>-0.43778929935791455</v>
      </c>
    </row>
    <row r="1335" spans="1:9">
      <c r="A1335" t="s">
        <v>15</v>
      </c>
      <c r="B1335" s="2">
        <f t="shared" si="82"/>
        <v>65</v>
      </c>
      <c r="C1335">
        <v>29</v>
      </c>
      <c r="D1335">
        <v>73</v>
      </c>
      <c r="E1335">
        <v>70</v>
      </c>
      <c r="F1335">
        <f t="shared" si="84"/>
        <v>-0.15751151230461147</v>
      </c>
      <c r="G1335">
        <f t="shared" si="85"/>
        <v>-8.5451690362022825E-3</v>
      </c>
      <c r="I1335">
        <f t="shared" si="83"/>
        <v>-8.3028340670406875E-2</v>
      </c>
    </row>
    <row r="1336" spans="1:9">
      <c r="A1336" t="s">
        <v>16</v>
      </c>
      <c r="B1336" s="2">
        <f t="shared" si="82"/>
        <v>65</v>
      </c>
      <c r="C1336">
        <v>626</v>
      </c>
      <c r="D1336">
        <v>452</v>
      </c>
      <c r="E1336">
        <v>60</v>
      </c>
      <c r="F1336">
        <f t="shared" si="84"/>
        <v>-0.69987227292515874</v>
      </c>
      <c r="G1336">
        <f t="shared" si="85"/>
        <v>-1.4096682939782892</v>
      </c>
      <c r="I1336">
        <f t="shared" si="83"/>
        <v>-1.0547702834517239</v>
      </c>
    </row>
    <row r="1337" spans="1:9">
      <c r="A1337" t="s">
        <v>17</v>
      </c>
      <c r="B1337" s="2">
        <f t="shared" si="82"/>
        <v>65</v>
      </c>
      <c r="C1337">
        <v>274</v>
      </c>
      <c r="D1337">
        <v>29</v>
      </c>
      <c r="E1337">
        <v>21</v>
      </c>
      <c r="F1337">
        <f t="shared" si="84"/>
        <v>-1.5337889394475432</v>
      </c>
      <c r="G1337">
        <f t="shared" si="85"/>
        <v>-1.5067764792379716</v>
      </c>
      <c r="I1337">
        <f t="shared" si="83"/>
        <v>-1.5202827093427573</v>
      </c>
    </row>
    <row r="1338" spans="1:9">
      <c r="A1338" t="s">
        <v>18</v>
      </c>
      <c r="B1338" s="2">
        <f t="shared" si="82"/>
        <v>65</v>
      </c>
      <c r="C1338">
        <v>1037</v>
      </c>
      <c r="D1338">
        <v>267</v>
      </c>
      <c r="E1338">
        <v>47</v>
      </c>
      <c r="F1338">
        <f t="shared" si="84"/>
        <v>-1.147703869550577</v>
      </c>
      <c r="G1338">
        <f t="shared" si="85"/>
        <v>-1.7349261096048265</v>
      </c>
      <c r="I1338">
        <f t="shared" si="83"/>
        <v>-1.4413149895777018</v>
      </c>
    </row>
    <row r="1339" spans="1:9">
      <c r="A1339" t="s">
        <v>19</v>
      </c>
      <c r="B1339" s="2">
        <f t="shared" si="82"/>
        <v>65</v>
      </c>
      <c r="C1339">
        <v>543</v>
      </c>
      <c r="D1339">
        <v>38</v>
      </c>
      <c r="E1339">
        <v>19</v>
      </c>
      <c r="F1339">
        <f t="shared" si="84"/>
        <v>-1.713452607498148</v>
      </c>
      <c r="G1339">
        <f t="shared" si="85"/>
        <v>-1.8472914397875211</v>
      </c>
      <c r="I1339">
        <f t="shared" si="83"/>
        <v>-1.7803720236428346</v>
      </c>
    </row>
    <row r="1340" spans="1:9">
      <c r="A1340" t="s">
        <v>20</v>
      </c>
      <c r="B1340" s="2">
        <f t="shared" si="82"/>
        <v>65</v>
      </c>
      <c r="C1340">
        <v>511</v>
      </c>
      <c r="D1340">
        <v>17</v>
      </c>
      <c r="E1340">
        <v>2</v>
      </c>
      <c r="F1340">
        <f t="shared" si="84"/>
        <v>-2.0364083532825501</v>
      </c>
      <c r="G1340">
        <f t="shared" si="85"/>
        <v>-2.7986361156222346</v>
      </c>
      <c r="I1340">
        <f t="shared" si="83"/>
        <v>-2.4175222344523926</v>
      </c>
    </row>
    <row r="1341" spans="1:9">
      <c r="A1341" t="s">
        <v>21</v>
      </c>
      <c r="B1341" s="2">
        <f t="shared" si="82"/>
        <v>65</v>
      </c>
      <c r="C1341">
        <v>679</v>
      </c>
      <c r="D1341">
        <v>45</v>
      </c>
      <c r="E1341">
        <v>9</v>
      </c>
      <c r="F1341">
        <f t="shared" si="84"/>
        <v>-1.7370936350312691</v>
      </c>
      <c r="G1341">
        <f t="shared" si="85"/>
        <v>-2.2688724759926799</v>
      </c>
      <c r="I1341">
        <f t="shared" si="83"/>
        <v>-2.0029830555119745</v>
      </c>
    </row>
    <row r="1342" spans="1:9">
      <c r="A1342" t="s">
        <v>22</v>
      </c>
      <c r="B1342" s="2">
        <f t="shared" si="82"/>
        <v>65</v>
      </c>
      <c r="C1342">
        <v>364</v>
      </c>
      <c r="D1342">
        <v>16</v>
      </c>
      <c r="E1342">
        <v>37</v>
      </c>
      <c r="F1342">
        <f t="shared" si="84"/>
        <v>-1.9154177755192423</v>
      </c>
      <c r="G1342">
        <f t="shared" si="85"/>
        <v>-1.384144870733564</v>
      </c>
      <c r="I1342">
        <f t="shared" si="83"/>
        <v>-1.6497813231264031</v>
      </c>
    </row>
    <row r="1343" spans="1:9">
      <c r="A1343" t="s">
        <v>23</v>
      </c>
      <c r="B1343" s="2">
        <f t="shared" si="82"/>
        <v>65</v>
      </c>
      <c r="C1343">
        <v>401</v>
      </c>
      <c r="D1343">
        <v>13</v>
      </c>
      <c r="E1343">
        <v>6</v>
      </c>
      <c r="F1343">
        <f t="shared" si="84"/>
        <v>-2.0476373948394566</v>
      </c>
      <c r="G1343">
        <f t="shared" si="85"/>
        <v>-2.2162383333880418</v>
      </c>
      <c r="I1343">
        <f t="shared" si="83"/>
        <v>-2.1319378641137492</v>
      </c>
    </row>
    <row r="1344" spans="1:9">
      <c r="A1344" t="s">
        <v>24</v>
      </c>
      <c r="B1344" s="2">
        <f t="shared" si="82"/>
        <v>65</v>
      </c>
      <c r="C1344">
        <v>862</v>
      </c>
      <c r="D1344">
        <v>41</v>
      </c>
      <c r="E1344">
        <v>6</v>
      </c>
      <c r="F1344">
        <f t="shared" si="84"/>
        <v>-1.8811597836310887</v>
      </c>
      <c r="G1344">
        <f t="shared" si="85"/>
        <v>-2.5486012265925724</v>
      </c>
      <c r="I1344">
        <f t="shared" si="83"/>
        <v>-2.2148805051118305</v>
      </c>
    </row>
    <row r="1345" spans="1:9">
      <c r="A1345" t="s">
        <v>25</v>
      </c>
      <c r="B1345" s="2">
        <f t="shared" si="82"/>
        <v>65</v>
      </c>
      <c r="C1345">
        <v>508</v>
      </c>
      <c r="D1345">
        <v>11</v>
      </c>
      <c r="E1345">
        <v>3</v>
      </c>
      <c r="F1345">
        <f t="shared" si="84"/>
        <v>-2.2229074016518053</v>
      </c>
      <c r="G1345">
        <f t="shared" si="85"/>
        <v>-2.6199876687157597</v>
      </c>
      <c r="I1345">
        <f t="shared" si="83"/>
        <v>-2.4214475351837823</v>
      </c>
    </row>
    <row r="1346" spans="1:9">
      <c r="A1346" t="s">
        <v>7</v>
      </c>
      <c r="B1346" s="2">
        <f t="shared" si="82"/>
        <v>66</v>
      </c>
      <c r="C1346">
        <v>74916</v>
      </c>
      <c r="D1346">
        <v>271026</v>
      </c>
      <c r="E1346">
        <v>184425</v>
      </c>
      <c r="F1346">
        <f t="shared" si="84"/>
        <v>0</v>
      </c>
      <c r="G1346">
        <f t="shared" si="85"/>
        <v>0</v>
      </c>
      <c r="I1346">
        <f t="shared" si="83"/>
        <v>0</v>
      </c>
    </row>
    <row r="1347" spans="1:9">
      <c r="A1347" t="s">
        <v>8</v>
      </c>
      <c r="B1347" s="2">
        <f t="shared" ref="B1347:B1410" si="86">1+INT((ROW()-2)/21)+1</f>
        <v>66</v>
      </c>
      <c r="C1347">
        <v>524</v>
      </c>
      <c r="D1347">
        <v>141</v>
      </c>
      <c r="E1347">
        <v>30</v>
      </c>
      <c r="F1347">
        <f t="shared" si="84"/>
        <v>-1.1285485488544582</v>
      </c>
      <c r="G1347">
        <f t="shared" si="85"/>
        <v>-1.6334552434155671</v>
      </c>
      <c r="I1347">
        <f t="shared" ref="I1347:I1410" si="87">AVERAGE(F1347:G1347)</f>
        <v>-1.3810018961350128</v>
      </c>
    </row>
    <row r="1348" spans="1:9">
      <c r="A1348" t="s">
        <v>5</v>
      </c>
      <c r="B1348" s="2">
        <f t="shared" si="86"/>
        <v>66</v>
      </c>
      <c r="C1348">
        <v>480</v>
      </c>
      <c r="D1348">
        <v>123</v>
      </c>
      <c r="E1348">
        <v>119</v>
      </c>
      <c r="F1348">
        <f t="shared" si="84"/>
        <v>-1.1497725004623005</v>
      </c>
      <c r="G1348">
        <f t="shared" si="85"/>
        <v>-0.99693948713455949</v>
      </c>
      <c r="I1348">
        <f t="shared" si="87"/>
        <v>-1.0733559937984301</v>
      </c>
    </row>
    <row r="1349" spans="1:9">
      <c r="A1349" t="s">
        <v>6</v>
      </c>
      <c r="B1349" s="2">
        <f t="shared" si="86"/>
        <v>66</v>
      </c>
      <c r="C1349">
        <v>306</v>
      </c>
      <c r="D1349">
        <v>8</v>
      </c>
      <c r="E1349">
        <v>21</v>
      </c>
      <c r="F1349">
        <f t="shared" si="84"/>
        <v>-2.1410678140157478</v>
      </c>
      <c r="G1349">
        <f t="shared" si="85"/>
        <v>-1.5547473428991636</v>
      </c>
      <c r="I1349">
        <f t="shared" si="87"/>
        <v>-1.8479075784574557</v>
      </c>
    </row>
    <row r="1350" spans="1:9">
      <c r="A1350" t="s">
        <v>10</v>
      </c>
      <c r="B1350" s="2">
        <f t="shared" si="86"/>
        <v>66</v>
      </c>
      <c r="C1350">
        <v>712</v>
      </c>
      <c r="D1350">
        <v>113</v>
      </c>
      <c r="E1350">
        <v>117</v>
      </c>
      <c r="F1350">
        <f t="shared" si="84"/>
        <v>-1.357837924679548</v>
      </c>
      <c r="G1350">
        <f t="shared" si="85"/>
        <v>-1.1755393430421979</v>
      </c>
      <c r="I1350">
        <f t="shared" si="87"/>
        <v>-1.2666886338608729</v>
      </c>
    </row>
    <row r="1351" spans="1:9">
      <c r="A1351" t="s">
        <v>11</v>
      </c>
      <c r="B1351" s="2">
        <f t="shared" si="86"/>
        <v>66</v>
      </c>
      <c r="C1351">
        <v>744</v>
      </c>
      <c r="D1351">
        <v>28</v>
      </c>
      <c r="E1351">
        <v>14</v>
      </c>
      <c r="F1351">
        <f t="shared" si="84"/>
        <v>-1.982851278729771</v>
      </c>
      <c r="G1351">
        <f t="shared" si="85"/>
        <v>-2.1166901110191434</v>
      </c>
      <c r="I1351">
        <f t="shared" si="87"/>
        <v>-2.0497706948744572</v>
      </c>
    </row>
    <row r="1352" spans="1:9">
      <c r="A1352" t="s">
        <v>12</v>
      </c>
      <c r="B1352" s="2">
        <f t="shared" si="86"/>
        <v>66</v>
      </c>
      <c r="C1352">
        <v>517</v>
      </c>
      <c r="D1352">
        <v>188</v>
      </c>
      <c r="E1352">
        <v>88</v>
      </c>
      <c r="F1352">
        <f t="shared" si="84"/>
        <v>-0.99776906835637391</v>
      </c>
      <c r="G1352">
        <f t="shared" si="85"/>
        <v>-1.1602530820952768</v>
      </c>
      <c r="I1352">
        <f t="shared" si="87"/>
        <v>-1.0790110752258253</v>
      </c>
    </row>
    <row r="1353" spans="1:9">
      <c r="A1353" t="s">
        <v>9</v>
      </c>
      <c r="B1353" s="2">
        <f t="shared" si="86"/>
        <v>66</v>
      </c>
      <c r="C1353">
        <v>364</v>
      </c>
      <c r="D1353">
        <v>30</v>
      </c>
      <c r="E1353">
        <v>9</v>
      </c>
      <c r="F1353">
        <f t="shared" si="84"/>
        <v>-1.6424165034555047</v>
      </c>
      <c r="G1353">
        <f t="shared" si="85"/>
        <v>-1.9981040853612342</v>
      </c>
      <c r="I1353">
        <f t="shared" si="87"/>
        <v>-1.8202602944083695</v>
      </c>
    </row>
    <row r="1354" spans="1:9">
      <c r="A1354" t="s">
        <v>13</v>
      </c>
      <c r="B1354" s="2">
        <f t="shared" si="86"/>
        <v>66</v>
      </c>
      <c r="C1354">
        <v>504</v>
      </c>
      <c r="D1354">
        <v>6</v>
      </c>
      <c r="E1354">
        <v>1</v>
      </c>
      <c r="F1354">
        <f t="shared" si="84"/>
        <v>-2.482715660587993</v>
      </c>
      <c r="G1354">
        <f t="shared" si="85"/>
        <v>-3.0936757475970285</v>
      </c>
      <c r="I1354">
        <f t="shared" si="87"/>
        <v>-2.7881957040925105</v>
      </c>
    </row>
    <row r="1355" spans="1:9">
      <c r="A1355" t="s">
        <v>14</v>
      </c>
      <c r="B1355" s="2">
        <f t="shared" si="86"/>
        <v>66</v>
      </c>
      <c r="C1355">
        <v>8965</v>
      </c>
      <c r="D1355">
        <v>470</v>
      </c>
      <c r="E1355">
        <v>220</v>
      </c>
      <c r="F1355">
        <f t="shared" si="84"/>
        <v>-1.8388888104885956</v>
      </c>
      <c r="G1355">
        <f t="shared" si="85"/>
        <v>-2.0013728242274986</v>
      </c>
      <c r="I1355">
        <f t="shared" si="87"/>
        <v>-1.9201308173580471</v>
      </c>
    </row>
    <row r="1356" spans="1:9">
      <c r="A1356" t="s">
        <v>15</v>
      </c>
      <c r="B1356" s="2">
        <f t="shared" si="86"/>
        <v>66</v>
      </c>
      <c r="C1356">
        <v>499</v>
      </c>
      <c r="D1356">
        <v>380</v>
      </c>
      <c r="E1356">
        <v>235</v>
      </c>
      <c r="F1356">
        <f t="shared" si="84"/>
        <v>-0.67675332353269102</v>
      </c>
      <c r="G1356">
        <f t="shared" si="85"/>
        <v>-0.71827789450315671</v>
      </c>
      <c r="I1356">
        <f t="shared" si="87"/>
        <v>-0.69751560901792387</v>
      </c>
    </row>
    <row r="1357" spans="1:9">
      <c r="A1357" t="s">
        <v>16</v>
      </c>
      <c r="B1357" s="2">
        <f t="shared" si="86"/>
        <v>66</v>
      </c>
      <c r="C1357">
        <v>212</v>
      </c>
      <c r="D1357">
        <v>67</v>
      </c>
      <c r="E1357">
        <v>43</v>
      </c>
      <c r="F1357">
        <f t="shared" si="84"/>
        <v>-1.0586974327540362</v>
      </c>
      <c r="G1357">
        <f t="shared" si="85"/>
        <v>-1.084112616500668</v>
      </c>
      <c r="I1357">
        <f t="shared" si="87"/>
        <v>-1.0714050246273521</v>
      </c>
    </row>
    <row r="1358" spans="1:9">
      <c r="A1358" t="s">
        <v>17</v>
      </c>
      <c r="B1358" s="2">
        <f t="shared" si="86"/>
        <v>66</v>
      </c>
      <c r="C1358">
        <v>884</v>
      </c>
      <c r="D1358">
        <v>65</v>
      </c>
      <c r="E1358">
        <v>7</v>
      </c>
      <c r="F1358">
        <f t="shared" si="84"/>
        <v>-1.6919752828963288</v>
      </c>
      <c r="G1358">
        <f t="shared" si="85"/>
        <v>-2.4925994361503192</v>
      </c>
      <c r="I1358">
        <f t="shared" si="87"/>
        <v>-2.0922873595233238</v>
      </c>
    </row>
    <row r="1359" spans="1:9">
      <c r="A1359" t="s">
        <v>18</v>
      </c>
      <c r="B1359" s="2">
        <f t="shared" si="86"/>
        <v>66</v>
      </c>
      <c r="C1359">
        <v>895</v>
      </c>
      <c r="D1359">
        <v>35</v>
      </c>
      <c r="E1359">
        <v>5</v>
      </c>
      <c r="F1359">
        <f t="shared" si="84"/>
        <v>-1.9661913654917478</v>
      </c>
      <c r="G1359">
        <f t="shared" si="85"/>
        <v>-2.6440982421313963</v>
      </c>
      <c r="I1359">
        <f t="shared" si="87"/>
        <v>-2.3051448038115723</v>
      </c>
    </row>
    <row r="1360" spans="1:9">
      <c r="A1360" t="s">
        <v>19</v>
      </c>
      <c r="B1360" s="2">
        <f t="shared" si="86"/>
        <v>66</v>
      </c>
      <c r="C1360">
        <v>760</v>
      </c>
      <c r="D1360">
        <v>15</v>
      </c>
      <c r="E1360">
        <v>4</v>
      </c>
      <c r="F1360">
        <f t="shared" si="84"/>
        <v>-2.2631587077512214</v>
      </c>
      <c r="G1360">
        <f t="shared" si="85"/>
        <v>-2.6699988121043319</v>
      </c>
      <c r="I1360">
        <f t="shared" si="87"/>
        <v>-2.4665787599277769</v>
      </c>
    </row>
    <row r="1361" spans="1:9">
      <c r="A1361" t="s">
        <v>20</v>
      </c>
      <c r="B1361" s="2">
        <f t="shared" si="86"/>
        <v>66</v>
      </c>
      <c r="C1361">
        <v>454</v>
      </c>
      <c r="D1361">
        <v>19</v>
      </c>
      <c r="E1361">
        <v>3</v>
      </c>
      <c r="F1361">
        <f t="shared" si="84"/>
        <v>-1.9367386264303863</v>
      </c>
      <c r="G1361">
        <f t="shared" si="85"/>
        <v>-2.5711798092889446</v>
      </c>
      <c r="I1361">
        <f t="shared" si="87"/>
        <v>-2.2539592178596655</v>
      </c>
    </row>
    <row r="1362" spans="1:9">
      <c r="A1362" t="s">
        <v>21</v>
      </c>
      <c r="B1362" s="2">
        <f t="shared" si="86"/>
        <v>66</v>
      </c>
      <c r="C1362">
        <v>1005</v>
      </c>
      <c r="D1362">
        <v>23</v>
      </c>
      <c r="E1362">
        <v>8</v>
      </c>
      <c r="F1362">
        <f t="shared" si="84"/>
        <v>-2.1988746002650261</v>
      </c>
      <c r="G1362">
        <f t="shared" si="85"/>
        <v>-2.4903212859160671</v>
      </c>
      <c r="I1362">
        <f t="shared" si="87"/>
        <v>-2.3445979430905464</v>
      </c>
    </row>
    <row r="1363" spans="1:9">
      <c r="A1363" t="s">
        <v>22</v>
      </c>
      <c r="B1363" s="2">
        <f t="shared" si="86"/>
        <v>66</v>
      </c>
      <c r="C1363">
        <v>580</v>
      </c>
      <c r="D1363">
        <v>21</v>
      </c>
      <c r="E1363">
        <v>2</v>
      </c>
      <c r="F1363">
        <f t="shared" si="84"/>
        <v>-1.9996450733551292</v>
      </c>
      <c r="G1363">
        <f t="shared" si="85"/>
        <v>-2.8536432090504591</v>
      </c>
      <c r="I1363">
        <f t="shared" si="87"/>
        <v>-2.4266441412027939</v>
      </c>
    </row>
    <row r="1364" spans="1:9">
      <c r="A1364" t="s">
        <v>23</v>
      </c>
      <c r="B1364" s="2">
        <f t="shared" si="86"/>
        <v>66</v>
      </c>
      <c r="C1364">
        <v>495</v>
      </c>
      <c r="D1364">
        <v>13</v>
      </c>
      <c r="E1364">
        <v>6</v>
      </c>
      <c r="F1364">
        <f t="shared" si="84"/>
        <v>-2.1390982211528433</v>
      </c>
      <c r="G1364">
        <f t="shared" si="85"/>
        <v>-2.307699159701428</v>
      </c>
      <c r="I1364">
        <f t="shared" si="87"/>
        <v>-2.2233986904271354</v>
      </c>
    </row>
    <row r="1365" spans="1:9">
      <c r="A1365" t="s">
        <v>24</v>
      </c>
      <c r="B1365" s="2">
        <f t="shared" si="86"/>
        <v>66</v>
      </c>
      <c r="C1365">
        <v>580</v>
      </c>
      <c r="D1365">
        <v>29</v>
      </c>
      <c r="E1365">
        <v>16</v>
      </c>
      <c r="F1365">
        <f t="shared" si="84"/>
        <v>-1.8594663701900926</v>
      </c>
      <c r="G1365">
        <f t="shared" si="85"/>
        <v>-1.9505532220585156</v>
      </c>
      <c r="I1365">
        <f t="shared" si="87"/>
        <v>-1.905009796124304</v>
      </c>
    </row>
    <row r="1366" spans="1:9">
      <c r="A1366" t="s">
        <v>25</v>
      </c>
      <c r="B1366" s="2">
        <f t="shared" si="86"/>
        <v>66</v>
      </c>
      <c r="C1366">
        <v>753</v>
      </c>
      <c r="D1366">
        <v>32</v>
      </c>
      <c r="E1366">
        <v>8</v>
      </c>
      <c r="F1366">
        <f t="shared" si="84"/>
        <v>-1.9300813724069057</v>
      </c>
      <c r="G1366">
        <f t="shared" si="85"/>
        <v>-2.3649502003602603</v>
      </c>
      <c r="I1366">
        <f t="shared" si="87"/>
        <v>-2.147515786383583</v>
      </c>
    </row>
    <row r="1367" spans="1:9">
      <c r="A1367" t="s">
        <v>7</v>
      </c>
      <c r="B1367" s="2">
        <f t="shared" si="86"/>
        <v>67</v>
      </c>
      <c r="C1367">
        <v>412</v>
      </c>
      <c r="D1367">
        <v>70</v>
      </c>
      <c r="E1367">
        <v>3</v>
      </c>
      <c r="F1367">
        <f t="shared" si="84"/>
        <v>-1.328235550544989</v>
      </c>
      <c r="G1367">
        <f t="shared" si="85"/>
        <v>-2.5290211724649754</v>
      </c>
      <c r="I1367">
        <f t="shared" si="87"/>
        <v>-1.9286283615049822</v>
      </c>
    </row>
    <row r="1368" spans="1:9">
      <c r="A1368" t="s">
        <v>8</v>
      </c>
      <c r="B1368" s="2">
        <f t="shared" si="86"/>
        <v>67</v>
      </c>
      <c r="C1368">
        <v>535</v>
      </c>
      <c r="D1368">
        <v>12</v>
      </c>
      <c r="E1368">
        <v>2</v>
      </c>
      <c r="F1368">
        <f t="shared" si="84"/>
        <v>-2.2076089104997147</v>
      </c>
      <c r="G1368">
        <f t="shared" si="85"/>
        <v>-2.8185689975087502</v>
      </c>
      <c r="I1368">
        <f t="shared" si="87"/>
        <v>-2.5130889540042327</v>
      </c>
    </row>
    <row r="1369" spans="1:9">
      <c r="A1369" t="s">
        <v>5</v>
      </c>
      <c r="B1369" s="2">
        <f t="shared" si="86"/>
        <v>67</v>
      </c>
      <c r="C1369">
        <v>328</v>
      </c>
      <c r="D1369">
        <v>20</v>
      </c>
      <c r="E1369">
        <v>3</v>
      </c>
      <c r="F1369">
        <f t="shared" si="84"/>
        <v>-1.7732802225738094</v>
      </c>
      <c r="G1369">
        <f t="shared" si="85"/>
        <v>-2.4299978001435196</v>
      </c>
      <c r="I1369">
        <f t="shared" si="87"/>
        <v>-2.1016390113586647</v>
      </c>
    </row>
    <row r="1370" spans="1:9">
      <c r="A1370" t="s">
        <v>6</v>
      </c>
      <c r="B1370" s="2">
        <f t="shared" si="86"/>
        <v>67</v>
      </c>
      <c r="C1370">
        <v>684</v>
      </c>
      <c r="D1370">
        <v>14</v>
      </c>
      <c r="E1370">
        <v>5</v>
      </c>
      <c r="F1370">
        <f t="shared" si="84"/>
        <v>-2.2473644405679893</v>
      </c>
      <c r="G1370">
        <f t="shared" si="85"/>
        <v>-2.5273313085356004</v>
      </c>
      <c r="I1370">
        <f t="shared" si="87"/>
        <v>-2.3873478745517946</v>
      </c>
    </row>
    <row r="1371" spans="1:9">
      <c r="A1371" t="s">
        <v>10</v>
      </c>
      <c r="B1371" s="2">
        <f t="shared" si="86"/>
        <v>67</v>
      </c>
      <c r="C1371">
        <v>761</v>
      </c>
      <c r="D1371">
        <v>38</v>
      </c>
      <c r="E1371">
        <v>9</v>
      </c>
      <c r="F1371">
        <f t="shared" si="84"/>
        <v>-1.860037434679874</v>
      </c>
      <c r="G1371">
        <f t="shared" si="85"/>
        <v>-2.318387358482751</v>
      </c>
      <c r="I1371">
        <f t="shared" si="87"/>
        <v>-2.0892123965813125</v>
      </c>
    </row>
    <row r="1372" spans="1:9">
      <c r="A1372" t="s">
        <v>11</v>
      </c>
      <c r="B1372" s="2">
        <f t="shared" si="86"/>
        <v>67</v>
      </c>
      <c r="C1372">
        <v>457</v>
      </c>
      <c r="D1372">
        <v>10</v>
      </c>
      <c r="E1372">
        <v>2</v>
      </c>
      <c r="F1372">
        <f t="shared" si="84"/>
        <v>-2.2183525745959614</v>
      </c>
      <c r="G1372">
        <f t="shared" si="85"/>
        <v>-2.7501314155573722</v>
      </c>
      <c r="I1372">
        <f t="shared" si="87"/>
        <v>-2.4842419950766668</v>
      </c>
    </row>
    <row r="1373" spans="1:9">
      <c r="A1373" t="s">
        <v>12</v>
      </c>
      <c r="B1373" s="2">
        <f t="shared" si="86"/>
        <v>67</v>
      </c>
      <c r="C1373">
        <v>836</v>
      </c>
      <c r="D1373">
        <v>31</v>
      </c>
      <c r="E1373">
        <v>14</v>
      </c>
      <c r="F1373">
        <f t="shared" si="84"/>
        <v>-1.989280958130855</v>
      </c>
      <c r="G1373">
        <f t="shared" si="85"/>
        <v>-2.1673234529122816</v>
      </c>
      <c r="I1373">
        <f t="shared" si="87"/>
        <v>-2.0783022055215685</v>
      </c>
    </row>
    <row r="1374" spans="1:9">
      <c r="A1374" t="s">
        <v>9</v>
      </c>
      <c r="B1374" s="2">
        <f t="shared" si="86"/>
        <v>67</v>
      </c>
      <c r="C1374">
        <v>287</v>
      </c>
      <c r="D1374">
        <v>15</v>
      </c>
      <c r="E1374">
        <v>8</v>
      </c>
      <c r="F1374">
        <f t="shared" si="84"/>
        <v>-1.8402270122044224</v>
      </c>
      <c r="G1374">
        <f t="shared" si="85"/>
        <v>-1.9460371208935519</v>
      </c>
      <c r="I1374">
        <f t="shared" si="87"/>
        <v>-1.8931320665489872</v>
      </c>
    </row>
    <row r="1375" spans="1:9">
      <c r="A1375" t="s">
        <v>13</v>
      </c>
      <c r="B1375" s="2">
        <f t="shared" si="86"/>
        <v>67</v>
      </c>
      <c r="C1375">
        <v>377</v>
      </c>
      <c r="D1375">
        <v>208</v>
      </c>
      <c r="E1375">
        <v>100</v>
      </c>
      <c r="F1375">
        <f t="shared" si="84"/>
        <v>-0.81671438976914257</v>
      </c>
      <c r="G1375">
        <f t="shared" si="85"/>
        <v>-0.96758656135729582</v>
      </c>
      <c r="I1375">
        <f t="shared" si="87"/>
        <v>-0.89215047556321925</v>
      </c>
    </row>
    <row r="1376" spans="1:9">
      <c r="A1376" t="s">
        <v>14</v>
      </c>
      <c r="B1376" s="2">
        <f t="shared" si="86"/>
        <v>67</v>
      </c>
      <c r="C1376">
        <v>459</v>
      </c>
      <c r="D1376">
        <v>12</v>
      </c>
      <c r="E1376">
        <v>3</v>
      </c>
      <c r="F1376">
        <f t="shared" si="84"/>
        <v>-2.1410678140157478</v>
      </c>
      <c r="G1376">
        <f t="shared" si="85"/>
        <v>-2.5759366419691019</v>
      </c>
      <c r="I1376">
        <f t="shared" si="87"/>
        <v>-2.3585022279924246</v>
      </c>
    </row>
    <row r="1377" spans="1:9">
      <c r="A1377" t="s">
        <v>15</v>
      </c>
      <c r="B1377" s="2">
        <f t="shared" si="86"/>
        <v>67</v>
      </c>
      <c r="C1377">
        <v>329</v>
      </c>
      <c r="D1377">
        <v>32</v>
      </c>
      <c r="E1377">
        <v>16</v>
      </c>
      <c r="F1377">
        <f t="shared" si="84"/>
        <v>-1.5704822941561796</v>
      </c>
      <c r="G1377">
        <f t="shared" si="85"/>
        <v>-1.7043211264455524</v>
      </c>
      <c r="I1377">
        <f t="shared" si="87"/>
        <v>-1.637401710300866</v>
      </c>
    </row>
    <row r="1378" spans="1:9">
      <c r="A1378" t="s">
        <v>16</v>
      </c>
      <c r="B1378" s="2">
        <f t="shared" si="86"/>
        <v>67</v>
      </c>
      <c r="C1378">
        <v>635</v>
      </c>
      <c r="D1378">
        <v>173</v>
      </c>
      <c r="E1378">
        <v>59</v>
      </c>
      <c r="F1378">
        <f t="shared" si="84"/>
        <v>-1.1231639966892915</v>
      </c>
      <c r="G1378">
        <f t="shared" si="85"/>
        <v>-1.4231669248013346</v>
      </c>
      <c r="I1378">
        <f t="shared" si="87"/>
        <v>-1.2731654607453131</v>
      </c>
    </row>
    <row r="1379" spans="1:9">
      <c r="A1379" t="s">
        <v>17</v>
      </c>
      <c r="B1379" s="2">
        <f t="shared" si="86"/>
        <v>67</v>
      </c>
      <c r="C1379">
        <v>581</v>
      </c>
      <c r="D1379">
        <v>48</v>
      </c>
      <c r="E1379">
        <v>41</v>
      </c>
      <c r="F1379">
        <f t="shared" si="84"/>
        <v>-1.6413712695408549</v>
      </c>
      <c r="G1379">
        <f t="shared" si="85"/>
        <v>-1.5426374868220982</v>
      </c>
      <c r="I1379">
        <f t="shared" si="87"/>
        <v>-1.5920043781814766</v>
      </c>
    </row>
    <row r="1380" spans="1:9">
      <c r="A1380" t="s">
        <v>18</v>
      </c>
      <c r="B1380" s="2">
        <f t="shared" si="86"/>
        <v>67</v>
      </c>
      <c r="C1380">
        <v>417</v>
      </c>
      <c r="D1380">
        <v>2221</v>
      </c>
      <c r="E1380">
        <v>1579</v>
      </c>
      <c r="F1380">
        <f t="shared" si="84"/>
        <v>0.16797612904860515</v>
      </c>
      <c r="G1380">
        <f t="shared" si="85"/>
        <v>0.18700086388303372</v>
      </c>
      <c r="I1380">
        <f t="shared" si="87"/>
        <v>0.17748849646581943</v>
      </c>
    </row>
    <row r="1381" spans="1:9">
      <c r="A1381" t="s">
        <v>19</v>
      </c>
      <c r="B1381" s="2">
        <f t="shared" si="86"/>
        <v>67</v>
      </c>
      <c r="C1381">
        <v>504</v>
      </c>
      <c r="D1381">
        <v>10226</v>
      </c>
      <c r="E1381">
        <v>2683</v>
      </c>
      <c r="F1381">
        <f t="shared" si="84"/>
        <v>0.74883887741888155</v>
      </c>
      <c r="G1381">
        <f t="shared" si="85"/>
        <v>0.33494492507491069</v>
      </c>
      <c r="I1381">
        <f t="shared" si="87"/>
        <v>0.54189190124689612</v>
      </c>
    </row>
    <row r="1382" spans="1:9">
      <c r="A1382" t="s">
        <v>20</v>
      </c>
      <c r="B1382" s="2">
        <f t="shared" si="86"/>
        <v>67</v>
      </c>
      <c r="C1382">
        <v>74916</v>
      </c>
      <c r="D1382">
        <v>271026</v>
      </c>
      <c r="E1382">
        <v>184425</v>
      </c>
      <c r="F1382">
        <f t="shared" si="84"/>
        <v>0</v>
      </c>
      <c r="G1382">
        <f t="shared" si="85"/>
        <v>0</v>
      </c>
      <c r="I1382">
        <f t="shared" si="87"/>
        <v>0</v>
      </c>
    </row>
    <row r="1383" spans="1:9">
      <c r="A1383" t="s">
        <v>21</v>
      </c>
      <c r="B1383" s="2">
        <f t="shared" si="86"/>
        <v>67</v>
      </c>
      <c r="C1383">
        <v>709</v>
      </c>
      <c r="D1383">
        <v>36</v>
      </c>
      <c r="E1383">
        <v>10</v>
      </c>
      <c r="F1383">
        <f t="shared" si="84"/>
        <v>-1.8527801089418907</v>
      </c>
      <c r="G1383">
        <f t="shared" si="85"/>
        <v>-2.2418914463345696</v>
      </c>
      <c r="I1383">
        <f t="shared" si="87"/>
        <v>-2.0473357776382302</v>
      </c>
    </row>
    <row r="1384" spans="1:9">
      <c r="A1384" t="s">
        <v>22</v>
      </c>
      <c r="B1384" s="2">
        <f t="shared" si="86"/>
        <v>67</v>
      </c>
      <c r="C1384">
        <v>446</v>
      </c>
      <c r="D1384">
        <v>9</v>
      </c>
      <c r="E1384">
        <v>1</v>
      </c>
      <c r="F1384">
        <f t="shared" si="84"/>
        <v>-2.2535287237989281</v>
      </c>
      <c r="G1384">
        <f t="shared" si="85"/>
        <v>-3.0405800698636449</v>
      </c>
      <c r="I1384">
        <f t="shared" si="87"/>
        <v>-2.6470543968312867</v>
      </c>
    </row>
    <row r="1385" spans="1:9">
      <c r="A1385" t="s">
        <v>23</v>
      </c>
      <c r="B1385" s="2">
        <f t="shared" si="86"/>
        <v>67</v>
      </c>
      <c r="C1385">
        <v>361</v>
      </c>
      <c r="D1385">
        <v>34</v>
      </c>
      <c r="E1385">
        <v>28</v>
      </c>
      <c r="F1385">
        <f t="shared" si="84"/>
        <v>-1.5844646593895142</v>
      </c>
      <c r="G1385">
        <f t="shared" si="85"/>
        <v>-1.5015943817149418</v>
      </c>
      <c r="I1385">
        <f t="shared" si="87"/>
        <v>-1.543029520552228</v>
      </c>
    </row>
    <row r="1386" spans="1:9">
      <c r="A1386" t="s">
        <v>24</v>
      </c>
      <c r="B1386" s="2">
        <f t="shared" si="86"/>
        <v>67</v>
      </c>
      <c r="C1386">
        <v>997</v>
      </c>
      <c r="D1386">
        <v>61</v>
      </c>
      <c r="E1386">
        <v>29</v>
      </c>
      <c r="F1386">
        <f t="shared" si="84"/>
        <v>-1.7718016978270001</v>
      </c>
      <c r="G1386">
        <f t="shared" si="85"/>
        <v>-1.9275423715642026</v>
      </c>
      <c r="I1386">
        <f t="shared" si="87"/>
        <v>-1.8496720346956015</v>
      </c>
    </row>
    <row r="1387" spans="1:9">
      <c r="A1387" t="s">
        <v>25</v>
      </c>
      <c r="B1387" s="2">
        <f t="shared" si="86"/>
        <v>67</v>
      </c>
      <c r="C1387">
        <v>741</v>
      </c>
      <c r="D1387">
        <v>30</v>
      </c>
      <c r="E1387">
        <v>5</v>
      </c>
      <c r="F1387">
        <f t="shared" si="84"/>
        <v>-1.9511333277857772</v>
      </c>
      <c r="G1387">
        <f t="shared" si="85"/>
        <v>-2.5620934147948122</v>
      </c>
      <c r="I1387">
        <f t="shared" si="87"/>
        <v>-2.2566133712902947</v>
      </c>
    </row>
    <row r="1388" spans="1:9">
      <c r="A1388" t="s">
        <v>7</v>
      </c>
      <c r="B1388" s="2">
        <f t="shared" si="86"/>
        <v>68</v>
      </c>
      <c r="C1388">
        <v>364</v>
      </c>
      <c r="D1388">
        <v>259</v>
      </c>
      <c r="E1388">
        <v>66</v>
      </c>
      <c r="F1388">
        <f t="shared" si="84"/>
        <v>-0.70623799409391541</v>
      </c>
      <c r="G1388">
        <f t="shared" si="85"/>
        <v>-1.1328026592586904</v>
      </c>
      <c r="I1388">
        <f t="shared" si="87"/>
        <v>-0.9195203266763029</v>
      </c>
    </row>
    <row r="1389" spans="1:9">
      <c r="A1389" t="s">
        <v>8</v>
      </c>
      <c r="B1389" s="2">
        <f t="shared" si="86"/>
        <v>68</v>
      </c>
      <c r="C1389">
        <v>74916</v>
      </c>
      <c r="D1389">
        <v>271026</v>
      </c>
      <c r="E1389">
        <v>184425</v>
      </c>
      <c r="F1389">
        <f t="shared" si="84"/>
        <v>0</v>
      </c>
      <c r="G1389">
        <f t="shared" si="85"/>
        <v>0</v>
      </c>
      <c r="I1389">
        <f t="shared" si="87"/>
        <v>0</v>
      </c>
    </row>
    <row r="1390" spans="1:9">
      <c r="A1390" t="s">
        <v>5</v>
      </c>
      <c r="B1390" s="2">
        <f t="shared" si="86"/>
        <v>68</v>
      </c>
      <c r="C1390">
        <v>215</v>
      </c>
      <c r="D1390">
        <v>67</v>
      </c>
      <c r="E1390">
        <v>11</v>
      </c>
      <c r="F1390">
        <f t="shared" si="84"/>
        <v>-1.0648000317408901</v>
      </c>
      <c r="G1390">
        <f t="shared" si="85"/>
        <v>-1.6822909859088833</v>
      </c>
      <c r="I1390">
        <f t="shared" si="87"/>
        <v>-1.3735455088248867</v>
      </c>
    </row>
    <row r="1391" spans="1:9">
      <c r="A1391" t="s">
        <v>6</v>
      </c>
      <c r="B1391" s="2">
        <f t="shared" si="86"/>
        <v>68</v>
      </c>
      <c r="C1391">
        <v>360</v>
      </c>
      <c r="D1391">
        <v>75</v>
      </c>
      <c r="E1391">
        <v>5</v>
      </c>
      <c r="F1391">
        <f t="shared" si="84"/>
        <v>-1.2396776119016986</v>
      </c>
      <c r="G1391">
        <f t="shared" si="85"/>
        <v>-2.2485777075827715</v>
      </c>
      <c r="I1391">
        <f t="shared" si="87"/>
        <v>-1.744127659742235</v>
      </c>
    </row>
    <row r="1392" spans="1:9">
      <c r="A1392" t="s">
        <v>10</v>
      </c>
      <c r="B1392" s="2">
        <f t="shared" si="86"/>
        <v>68</v>
      </c>
      <c r="C1392">
        <v>529</v>
      </c>
      <c r="D1392">
        <v>96</v>
      </c>
      <c r="E1392">
        <v>65</v>
      </c>
      <c r="F1392">
        <f t="shared" si="84"/>
        <v>-1.2996208135217286</v>
      </c>
      <c r="G1392">
        <f t="shared" si="85"/>
        <v>-1.3017875265438332</v>
      </c>
      <c r="I1392">
        <f t="shared" si="87"/>
        <v>-1.3007041700327808</v>
      </c>
    </row>
    <row r="1393" spans="1:9">
      <c r="A1393" t="s">
        <v>11</v>
      </c>
      <c r="B1393" s="2">
        <f t="shared" si="86"/>
        <v>68</v>
      </c>
      <c r="C1393">
        <v>327</v>
      </c>
      <c r="D1393">
        <v>12</v>
      </c>
      <c r="E1393">
        <v>1</v>
      </c>
      <c r="F1393">
        <f t="shared" si="84"/>
        <v>-1.9938028811387727</v>
      </c>
      <c r="G1393">
        <f t="shared" si="85"/>
        <v>-2.905792963811789</v>
      </c>
      <c r="I1393">
        <f t="shared" si="87"/>
        <v>-2.4497979224752808</v>
      </c>
    </row>
    <row r="1394" spans="1:9">
      <c r="A1394" t="s">
        <v>12</v>
      </c>
      <c r="B1394" s="2">
        <f t="shared" si="86"/>
        <v>68</v>
      </c>
      <c r="C1394">
        <v>235</v>
      </c>
      <c r="D1394">
        <v>79</v>
      </c>
      <c r="E1394">
        <v>125</v>
      </c>
      <c r="F1394">
        <f t="shared" si="84"/>
        <v>-1.0318771455074061</v>
      </c>
      <c r="G1394">
        <f t="shared" si="85"/>
        <v>-0.66540306041518282</v>
      </c>
      <c r="I1394">
        <f t="shared" si="87"/>
        <v>-0.84864010296129444</v>
      </c>
    </row>
    <row r="1395" spans="1:9">
      <c r="A1395" t="s">
        <v>9</v>
      </c>
      <c r="B1395" s="2">
        <f t="shared" si="86"/>
        <v>68</v>
      </c>
      <c r="C1395">
        <v>365</v>
      </c>
      <c r="D1395">
        <v>918</v>
      </c>
      <c r="E1395">
        <v>117</v>
      </c>
      <c r="F1395">
        <f t="shared" ref="F1395:F1458" si="88">LOG10(D1395/C1395)-LOG10(271026/74916)</f>
        <v>-0.15788655778134353</v>
      </c>
      <c r="G1395">
        <f t="shared" ref="G1395:G1458" si="89">LOG10(E1395/C1395)-LOG10(184425/74916)</f>
        <v>-0.88535221386181606</v>
      </c>
      <c r="I1395">
        <f t="shared" si="87"/>
        <v>-0.52161938582157985</v>
      </c>
    </row>
    <row r="1396" spans="1:9">
      <c r="A1396" t="s">
        <v>13</v>
      </c>
      <c r="B1396" s="2">
        <f t="shared" si="86"/>
        <v>68</v>
      </c>
      <c r="C1396">
        <v>265</v>
      </c>
      <c r="D1396">
        <v>7</v>
      </c>
      <c r="E1396">
        <v>5</v>
      </c>
      <c r="F1396">
        <f t="shared" si="88"/>
        <v>-2.1365842084486624</v>
      </c>
      <c r="G1396">
        <f t="shared" si="89"/>
        <v>-2.1155210807522922</v>
      </c>
      <c r="I1396">
        <f t="shared" si="87"/>
        <v>-2.1260526446004775</v>
      </c>
    </row>
    <row r="1397" spans="1:9">
      <c r="A1397" t="s">
        <v>14</v>
      </c>
      <c r="B1397" s="2">
        <f t="shared" si="86"/>
        <v>68</v>
      </c>
      <c r="C1397">
        <v>309</v>
      </c>
      <c r="D1397">
        <v>36</v>
      </c>
      <c r="E1397">
        <v>49</v>
      </c>
      <c r="F1397">
        <f t="shared" si="88"/>
        <v>-1.4920923531836587</v>
      </c>
      <c r="G1397">
        <f t="shared" si="89"/>
        <v>-1.191007610547824</v>
      </c>
      <c r="I1397">
        <f t="shared" si="87"/>
        <v>-1.3415499818657413</v>
      </c>
    </row>
    <row r="1398" spans="1:9">
      <c r="A1398" t="s">
        <v>15</v>
      </c>
      <c r="B1398" s="2">
        <f t="shared" si="86"/>
        <v>68</v>
      </c>
      <c r="C1398">
        <v>472</v>
      </c>
      <c r="D1398">
        <v>29</v>
      </c>
      <c r="E1398">
        <v>34</v>
      </c>
      <c r="F1398">
        <f t="shared" si="88"/>
        <v>-1.7699803752612429</v>
      </c>
      <c r="G1398">
        <f t="shared" si="89"/>
        <v>-1.5337082927433356</v>
      </c>
      <c r="I1398">
        <f t="shared" si="87"/>
        <v>-1.6518443340022892</v>
      </c>
    </row>
    <row r="1399" spans="1:9">
      <c r="A1399" t="s">
        <v>16</v>
      </c>
      <c r="B1399" s="2">
        <f t="shared" si="86"/>
        <v>68</v>
      </c>
      <c r="C1399">
        <v>333</v>
      </c>
      <c r="D1399">
        <v>254</v>
      </c>
      <c r="E1399">
        <v>92</v>
      </c>
      <c r="F1399">
        <f t="shared" si="88"/>
        <v>-0.67604689141249308</v>
      </c>
      <c r="G1399">
        <f t="shared" si="89"/>
        <v>-0.94990161731226763</v>
      </c>
      <c r="I1399">
        <f t="shared" si="87"/>
        <v>-0.81297425436238036</v>
      </c>
    </row>
    <row r="1400" spans="1:9">
      <c r="A1400" t="s">
        <v>17</v>
      </c>
      <c r="B1400" s="2">
        <f t="shared" si="86"/>
        <v>68</v>
      </c>
      <c r="C1400">
        <v>234</v>
      </c>
      <c r="D1400">
        <v>10</v>
      </c>
      <c r="E1400">
        <v>0</v>
      </c>
      <c r="F1400">
        <f t="shared" si="88"/>
        <v>-1.9276522319362539</v>
      </c>
      <c r="G1400" t="e">
        <f t="shared" si="89"/>
        <v>#NUM!</v>
      </c>
      <c r="I1400" t="e">
        <f t="shared" si="87"/>
        <v>#NUM!</v>
      </c>
    </row>
    <row r="1401" spans="1:9">
      <c r="A1401" t="s">
        <v>18</v>
      </c>
      <c r="B1401" s="2">
        <f t="shared" si="86"/>
        <v>68</v>
      </c>
      <c r="C1401">
        <v>278</v>
      </c>
      <c r="D1401">
        <v>61</v>
      </c>
      <c r="E1401">
        <v>84</v>
      </c>
      <c r="F1401">
        <f t="shared" si="88"/>
        <v>-1.2171513354334205</v>
      </c>
      <c r="G1401">
        <f t="shared" si="89"/>
        <v>-0.91101072100769764</v>
      </c>
      <c r="I1401">
        <f t="shared" si="87"/>
        <v>-1.0640810282205591</v>
      </c>
    </row>
    <row r="1402" spans="1:9">
      <c r="A1402" t="s">
        <v>19</v>
      </c>
      <c r="B1402" s="2">
        <f t="shared" si="86"/>
        <v>68</v>
      </c>
      <c r="C1402">
        <v>381</v>
      </c>
      <c r="D1402">
        <v>16</v>
      </c>
      <c r="E1402">
        <v>7</v>
      </c>
      <c r="F1402">
        <f t="shared" si="88"/>
        <v>-1.9352413675458058</v>
      </c>
      <c r="G1402">
        <f t="shared" si="89"/>
        <v>-2.1270721468128655</v>
      </c>
      <c r="I1402">
        <f t="shared" si="87"/>
        <v>-2.0311567571793354</v>
      </c>
    </row>
    <row r="1403" spans="1:9">
      <c r="A1403" t="s">
        <v>20</v>
      </c>
      <c r="B1403" s="2">
        <f t="shared" si="86"/>
        <v>68</v>
      </c>
      <c r="C1403">
        <v>229</v>
      </c>
      <c r="D1403">
        <v>9</v>
      </c>
      <c r="E1403">
        <v>5</v>
      </c>
      <c r="F1403">
        <f t="shared" si="88"/>
        <v>-1.9640293474266746</v>
      </c>
      <c r="G1403">
        <f t="shared" si="89"/>
        <v>-2.0521106891553722</v>
      </c>
      <c r="I1403">
        <f t="shared" si="87"/>
        <v>-2.0080700182910234</v>
      </c>
    </row>
    <row r="1404" spans="1:9">
      <c r="A1404" t="s">
        <v>21</v>
      </c>
      <c r="B1404" s="2">
        <f t="shared" si="86"/>
        <v>68</v>
      </c>
      <c r="C1404">
        <v>357</v>
      </c>
      <c r="D1404">
        <v>3</v>
      </c>
      <c r="E1404">
        <v>15</v>
      </c>
      <c r="F1404">
        <f t="shared" si="88"/>
        <v>-2.633983335918642</v>
      </c>
      <c r="G1404">
        <f t="shared" si="89"/>
        <v>-1.7678221682080149</v>
      </c>
      <c r="I1404">
        <f t="shared" si="87"/>
        <v>-2.2009027520633282</v>
      </c>
    </row>
    <row r="1405" spans="1:9">
      <c r="A1405" t="s">
        <v>22</v>
      </c>
      <c r="B1405" s="2">
        <f t="shared" si="86"/>
        <v>68</v>
      </c>
      <c r="C1405">
        <v>408</v>
      </c>
      <c r="D1405">
        <v>48</v>
      </c>
      <c r="E1405">
        <v>33</v>
      </c>
      <c r="F1405">
        <f t="shared" si="88"/>
        <v>-1.487855300240404</v>
      </c>
      <c r="G1405">
        <f t="shared" si="89"/>
        <v>-1.4833914343634955</v>
      </c>
      <c r="I1405">
        <f t="shared" si="87"/>
        <v>-1.4856233673019497</v>
      </c>
    </row>
    <row r="1406" spans="1:9">
      <c r="A1406" t="s">
        <v>23</v>
      </c>
      <c r="B1406" s="2">
        <f t="shared" si="86"/>
        <v>68</v>
      </c>
      <c r="C1406">
        <v>149</v>
      </c>
      <c r="D1406">
        <v>6</v>
      </c>
      <c r="E1406">
        <v>1</v>
      </c>
      <c r="F1406">
        <f t="shared" si="88"/>
        <v>-1.9534713925547416</v>
      </c>
      <c r="G1406">
        <f t="shared" si="89"/>
        <v>-2.564431479563777</v>
      </c>
      <c r="I1406">
        <f t="shared" si="87"/>
        <v>-2.2589514360592595</v>
      </c>
    </row>
    <row r="1407" spans="1:9">
      <c r="A1407" t="s">
        <v>24</v>
      </c>
      <c r="B1407" s="2">
        <f t="shared" si="86"/>
        <v>68</v>
      </c>
      <c r="C1407">
        <v>291</v>
      </c>
      <c r="D1407">
        <v>4</v>
      </c>
      <c r="E1407">
        <v>10</v>
      </c>
      <c r="F1407">
        <f t="shared" si="88"/>
        <v>-2.4202693721840562</v>
      </c>
      <c r="G1407">
        <f t="shared" si="89"/>
        <v>-1.8551382001374104</v>
      </c>
      <c r="I1407">
        <f t="shared" si="87"/>
        <v>-2.1377037861607331</v>
      </c>
    </row>
    <row r="1408" spans="1:9">
      <c r="A1408" t="s">
        <v>25</v>
      </c>
      <c r="B1408" s="2">
        <f t="shared" si="86"/>
        <v>68</v>
      </c>
      <c r="C1408">
        <v>458</v>
      </c>
      <c r="D1408">
        <v>5</v>
      </c>
      <c r="E1408">
        <v>4</v>
      </c>
      <c r="F1408">
        <f t="shared" si="88"/>
        <v>-2.5203318481939618</v>
      </c>
      <c r="G1408">
        <f t="shared" si="89"/>
        <v>-2.4500506978274097</v>
      </c>
      <c r="I1408">
        <f t="shared" si="87"/>
        <v>-2.4851912730106855</v>
      </c>
    </row>
    <row r="1409" spans="1:9">
      <c r="A1409" t="s">
        <v>7</v>
      </c>
      <c r="B1409" s="2">
        <f t="shared" si="86"/>
        <v>69</v>
      </c>
      <c r="C1409">
        <v>372</v>
      </c>
      <c r="D1409">
        <v>10</v>
      </c>
      <c r="E1409">
        <v>2</v>
      </c>
      <c r="F1409">
        <f t="shared" si="88"/>
        <v>-2.1289793144080087</v>
      </c>
      <c r="G1409">
        <f t="shared" si="89"/>
        <v>-2.6607581553694195</v>
      </c>
      <c r="I1409">
        <f t="shared" si="87"/>
        <v>-2.3948687348887141</v>
      </c>
    </row>
    <row r="1410" spans="1:9">
      <c r="A1410" t="s">
        <v>8</v>
      </c>
      <c r="B1410" s="2">
        <f t="shared" si="86"/>
        <v>69</v>
      </c>
      <c r="C1410">
        <v>356</v>
      </c>
      <c r="D1410">
        <v>12</v>
      </c>
      <c r="E1410">
        <v>3</v>
      </c>
      <c r="F1410">
        <f t="shared" si="88"/>
        <v>-2.0307051264513616</v>
      </c>
      <c r="G1410">
        <f t="shared" si="89"/>
        <v>-2.4655739544047157</v>
      </c>
      <c r="I1410">
        <f t="shared" si="87"/>
        <v>-2.2481395404280384</v>
      </c>
    </row>
    <row r="1411" spans="1:9">
      <c r="A1411" t="s">
        <v>5</v>
      </c>
      <c r="B1411" s="2">
        <f t="shared" ref="B1411:B1474" si="90">1+INT((ROW()-2)/21)+1</f>
        <v>69</v>
      </c>
      <c r="C1411">
        <v>150</v>
      </c>
      <c r="D1411">
        <v>4</v>
      </c>
      <c r="E1411">
        <v>2</v>
      </c>
      <c r="F1411">
        <f t="shared" si="88"/>
        <v>-2.1324676422538302</v>
      </c>
      <c r="G1411">
        <f t="shared" si="89"/>
        <v>-2.2663064745432031</v>
      </c>
      <c r="I1411">
        <f t="shared" ref="I1411:I1474" si="91">AVERAGE(F1411:G1411)</f>
        <v>-2.1993870583985169</v>
      </c>
    </row>
    <row r="1412" spans="1:9">
      <c r="A1412" t="s">
        <v>6</v>
      </c>
      <c r="B1412" s="2">
        <f t="shared" si="90"/>
        <v>69</v>
      </c>
      <c r="C1412">
        <v>509</v>
      </c>
      <c r="D1412">
        <v>10</v>
      </c>
      <c r="E1412">
        <v>13</v>
      </c>
      <c r="F1412">
        <f t="shared" si="88"/>
        <v>-2.2651541568628701</v>
      </c>
      <c r="G1412">
        <f t="shared" si="89"/>
        <v>-1.984019641181425</v>
      </c>
      <c r="I1412">
        <f t="shared" si="91"/>
        <v>-2.1245868990221477</v>
      </c>
    </row>
    <row r="1413" spans="1:9">
      <c r="A1413" t="s">
        <v>10</v>
      </c>
      <c r="B1413" s="2">
        <f t="shared" si="90"/>
        <v>69</v>
      </c>
      <c r="C1413">
        <v>512</v>
      </c>
      <c r="D1413">
        <v>23</v>
      </c>
      <c r="E1413">
        <v>2</v>
      </c>
      <c r="F1413">
        <f t="shared" si="88"/>
        <v>-1.9059784994843492</v>
      </c>
      <c r="G1413">
        <f t="shared" si="89"/>
        <v>-2.7994851764633526</v>
      </c>
      <c r="I1413">
        <f t="shared" si="91"/>
        <v>-2.3527318379738507</v>
      </c>
    </row>
    <row r="1414" spans="1:9">
      <c r="A1414" t="s">
        <v>11</v>
      </c>
      <c r="B1414" s="2">
        <f t="shared" si="90"/>
        <v>69</v>
      </c>
      <c r="C1414">
        <v>300</v>
      </c>
      <c r="D1414">
        <v>42</v>
      </c>
      <c r="E1414">
        <v>24</v>
      </c>
      <c r="F1414">
        <f t="shared" si="88"/>
        <v>-1.4123083388478732</v>
      </c>
      <c r="G1414">
        <f t="shared" si="89"/>
        <v>-1.4881552241595595</v>
      </c>
      <c r="I1414">
        <f t="shared" si="91"/>
        <v>-1.4502317815037165</v>
      </c>
    </row>
    <row r="1415" spans="1:9">
      <c r="A1415" t="s">
        <v>12</v>
      </c>
      <c r="B1415" s="2">
        <f t="shared" si="90"/>
        <v>69</v>
      </c>
      <c r="C1415">
        <v>330</v>
      </c>
      <c r="D1415">
        <v>13</v>
      </c>
      <c r="E1415">
        <v>1</v>
      </c>
      <c r="F1415">
        <f t="shared" si="88"/>
        <v>-1.963006962097162</v>
      </c>
      <c r="G1415">
        <f t="shared" si="89"/>
        <v>-2.9097591510293905</v>
      </c>
      <c r="I1415">
        <f t="shared" si="91"/>
        <v>-2.436383056563276</v>
      </c>
    </row>
    <row r="1416" spans="1:9">
      <c r="A1416" t="s">
        <v>9</v>
      </c>
      <c r="B1416" s="2">
        <f t="shared" si="90"/>
        <v>69</v>
      </c>
      <c r="C1416">
        <v>306</v>
      </c>
      <c r="D1416">
        <v>12</v>
      </c>
      <c r="E1416">
        <v>17</v>
      </c>
      <c r="F1416">
        <f t="shared" si="88"/>
        <v>-1.9649765549600664</v>
      </c>
      <c r="G1416">
        <f t="shared" si="89"/>
        <v>-1.646517716254809</v>
      </c>
      <c r="I1416">
        <f t="shared" si="91"/>
        <v>-1.8057471356074377</v>
      </c>
    </row>
    <row r="1417" spans="1:9">
      <c r="A1417" t="s">
        <v>13</v>
      </c>
      <c r="B1417" s="2">
        <f t="shared" si="90"/>
        <v>69</v>
      </c>
      <c r="C1417">
        <v>710</v>
      </c>
      <c r="D1417">
        <v>59</v>
      </c>
      <c r="E1417">
        <v>23</v>
      </c>
      <c r="F1417">
        <f t="shared" si="88"/>
        <v>-1.6388427116030422</v>
      </c>
      <c r="G1417">
        <f t="shared" si="89"/>
        <v>-1.8807757238529854</v>
      </c>
      <c r="I1417">
        <f t="shared" si="91"/>
        <v>-1.7598092177280138</v>
      </c>
    </row>
    <row r="1418" spans="1:9">
      <c r="A1418" t="s">
        <v>14</v>
      </c>
      <c r="B1418" s="2">
        <f t="shared" si="90"/>
        <v>69</v>
      </c>
      <c r="C1418">
        <v>176</v>
      </c>
      <c r="D1418">
        <v>53</v>
      </c>
      <c r="E1418">
        <v>11</v>
      </c>
      <c r="F1418">
        <f t="shared" si="88"/>
        <v>-1.0796731727394722</v>
      </c>
      <c r="G1418">
        <f t="shared" si="89"/>
        <v>-1.5953651938074278</v>
      </c>
      <c r="I1418">
        <f t="shared" si="91"/>
        <v>-1.3375191832734501</v>
      </c>
    </row>
    <row r="1419" spans="1:9">
      <c r="A1419" t="s">
        <v>15</v>
      </c>
      <c r="B1419" s="2">
        <f t="shared" si="90"/>
        <v>69</v>
      </c>
      <c r="C1419">
        <v>22</v>
      </c>
      <c r="D1419">
        <v>44</v>
      </c>
      <c r="E1419">
        <v>25</v>
      </c>
      <c r="F1419">
        <f t="shared" si="88"/>
        <v>-0.25740637886213008</v>
      </c>
      <c r="G1419">
        <f t="shared" si="89"/>
        <v>-0.33572788330167158</v>
      </c>
      <c r="I1419">
        <f t="shared" si="91"/>
        <v>-0.2965671310819008</v>
      </c>
    </row>
    <row r="1420" spans="1:9">
      <c r="A1420" t="s">
        <v>16</v>
      </c>
      <c r="B1420" s="2">
        <f t="shared" si="90"/>
        <v>69</v>
      </c>
      <c r="C1420">
        <v>535</v>
      </c>
      <c r="D1420">
        <v>22</v>
      </c>
      <c r="E1420">
        <v>15</v>
      </c>
      <c r="F1420">
        <f t="shared" si="88"/>
        <v>-1.9443674757251337</v>
      </c>
      <c r="G1420">
        <f t="shared" si="89"/>
        <v>-1.9435077341170501</v>
      </c>
      <c r="I1420">
        <f t="shared" si="91"/>
        <v>-1.9439376049210919</v>
      </c>
    </row>
    <row r="1421" spans="1:9">
      <c r="A1421" t="s">
        <v>17</v>
      </c>
      <c r="B1421" s="2">
        <f t="shared" si="90"/>
        <v>69</v>
      </c>
      <c r="C1421">
        <v>299</v>
      </c>
      <c r="D1421">
        <v>10</v>
      </c>
      <c r="E1421">
        <v>2</v>
      </c>
      <c r="F1421">
        <f t="shared" si="88"/>
        <v>-2.034107562850541</v>
      </c>
      <c r="G1421">
        <f t="shared" si="89"/>
        <v>-2.5658864038119513</v>
      </c>
      <c r="I1421">
        <f t="shared" si="91"/>
        <v>-2.2999969833312459</v>
      </c>
    </row>
    <row r="1422" spans="1:9">
      <c r="A1422" t="s">
        <v>18</v>
      </c>
      <c r="B1422" s="2">
        <f t="shared" si="90"/>
        <v>69</v>
      </c>
      <c r="C1422">
        <v>557</v>
      </c>
      <c r="D1422">
        <v>264</v>
      </c>
      <c r="E1422">
        <v>1035</v>
      </c>
      <c r="F1422">
        <f t="shared" si="88"/>
        <v>-0.88268764283000911</v>
      </c>
      <c r="G1422">
        <f t="shared" si="89"/>
        <v>-0.12216005653229539</v>
      </c>
      <c r="I1422">
        <f t="shared" si="91"/>
        <v>-0.50242384968115228</v>
      </c>
    </row>
    <row r="1423" spans="1:9">
      <c r="A1423" t="s">
        <v>19</v>
      </c>
      <c r="B1423" s="2">
        <f t="shared" si="90"/>
        <v>69</v>
      </c>
      <c r="C1423">
        <v>296</v>
      </c>
      <c r="D1423">
        <v>35</v>
      </c>
      <c r="E1423">
        <v>4</v>
      </c>
      <c r="F1423">
        <f t="shared" si="88"/>
        <v>-1.4856600412347742</v>
      </c>
      <c r="G1423">
        <f t="shared" si="89"/>
        <v>-2.2604769308824793</v>
      </c>
      <c r="I1423">
        <f t="shared" si="91"/>
        <v>-1.8730684860586266</v>
      </c>
    </row>
    <row r="1424" spans="1:9">
      <c r="A1424" t="s">
        <v>20</v>
      </c>
      <c r="B1424" s="2">
        <f t="shared" si="90"/>
        <v>69</v>
      </c>
      <c r="C1424">
        <v>259</v>
      </c>
      <c r="D1424">
        <v>10</v>
      </c>
      <c r="E1424">
        <v>2</v>
      </c>
      <c r="F1424">
        <f t="shared" si="88"/>
        <v>-1.9717361386073633</v>
      </c>
      <c r="G1424">
        <f t="shared" si="89"/>
        <v>-2.5035149795687737</v>
      </c>
      <c r="I1424">
        <f t="shared" si="91"/>
        <v>-2.2376255590880687</v>
      </c>
    </row>
    <row r="1425" spans="1:9">
      <c r="A1425" t="s">
        <v>21</v>
      </c>
      <c r="B1425" s="2">
        <f t="shared" si="90"/>
        <v>69</v>
      </c>
      <c r="C1425">
        <v>466</v>
      </c>
      <c r="D1425">
        <v>29</v>
      </c>
      <c r="E1425">
        <v>48</v>
      </c>
      <c r="F1425">
        <f t="shared" si="88"/>
        <v>-1.7644242933171554</v>
      </c>
      <c r="G1425">
        <f t="shared" si="89"/>
        <v>-1.378389890465916</v>
      </c>
      <c r="I1425">
        <f t="shared" si="91"/>
        <v>-1.5714070918915357</v>
      </c>
    </row>
    <row r="1426" spans="1:9">
      <c r="A1426" t="s">
        <v>22</v>
      </c>
      <c r="B1426" s="2">
        <f t="shared" si="90"/>
        <v>69</v>
      </c>
      <c r="C1426">
        <v>217</v>
      </c>
      <c r="D1426">
        <v>15</v>
      </c>
      <c r="E1426">
        <v>5</v>
      </c>
      <c r="F1426">
        <f t="shared" si="88"/>
        <v>-1.7188048493189596</v>
      </c>
      <c r="G1426">
        <f t="shared" si="89"/>
        <v>-2.0287349406640134</v>
      </c>
      <c r="I1426">
        <f t="shared" si="91"/>
        <v>-1.8737698949914865</v>
      </c>
    </row>
    <row r="1427" spans="1:9">
      <c r="A1427" t="s">
        <v>23</v>
      </c>
      <c r="B1427" s="2">
        <f t="shared" si="90"/>
        <v>69</v>
      </c>
      <c r="C1427">
        <v>410</v>
      </c>
      <c r="D1427">
        <v>8</v>
      </c>
      <c r="E1427">
        <v>5</v>
      </c>
      <c r="F1427">
        <f t="shared" si="88"/>
        <v>-2.2681302442539031</v>
      </c>
      <c r="G1427">
        <f t="shared" si="89"/>
        <v>-2.3050590635352197</v>
      </c>
      <c r="I1427">
        <f t="shared" si="91"/>
        <v>-2.2865946538945616</v>
      </c>
    </row>
    <row r="1428" spans="1:9">
      <c r="A1428" t="s">
        <v>24</v>
      </c>
      <c r="B1428" s="2">
        <f t="shared" si="90"/>
        <v>69</v>
      </c>
      <c r="C1428">
        <v>582</v>
      </c>
      <c r="D1428">
        <v>62</v>
      </c>
      <c r="E1428">
        <v>10</v>
      </c>
      <c r="F1428">
        <f t="shared" si="88"/>
        <v>-1.5309676696777459</v>
      </c>
      <c r="G1428">
        <f t="shared" si="89"/>
        <v>-2.1561681958013912</v>
      </c>
      <c r="I1428">
        <f t="shared" si="91"/>
        <v>-1.8435679327395684</v>
      </c>
    </row>
    <row r="1429" spans="1:9">
      <c r="A1429" t="s">
        <v>25</v>
      </c>
      <c r="B1429" s="2">
        <f t="shared" si="90"/>
        <v>69</v>
      </c>
      <c r="C1429">
        <v>500</v>
      </c>
      <c r="D1429">
        <v>6</v>
      </c>
      <c r="E1429">
        <v>2</v>
      </c>
      <c r="F1429">
        <f t="shared" si="88"/>
        <v>-2.4792551284784863</v>
      </c>
      <c r="G1429">
        <f t="shared" si="89"/>
        <v>-2.7891852198235405</v>
      </c>
      <c r="I1429">
        <f t="shared" si="91"/>
        <v>-2.6342201741510136</v>
      </c>
    </row>
    <row r="1430" spans="1:9">
      <c r="A1430" t="s">
        <v>7</v>
      </c>
      <c r="B1430" s="2">
        <f t="shared" si="90"/>
        <v>70</v>
      </c>
      <c r="C1430">
        <v>74916</v>
      </c>
      <c r="D1430">
        <v>271026</v>
      </c>
      <c r="E1430">
        <v>184425</v>
      </c>
      <c r="F1430">
        <f t="shared" si="88"/>
        <v>0</v>
      </c>
      <c r="G1430">
        <f t="shared" si="89"/>
        <v>0</v>
      </c>
      <c r="I1430">
        <f t="shared" si="91"/>
        <v>0</v>
      </c>
    </row>
    <row r="1431" spans="1:9">
      <c r="A1431" t="s">
        <v>8</v>
      </c>
      <c r="B1431" s="2">
        <f t="shared" si="90"/>
        <v>70</v>
      </c>
      <c r="C1431">
        <v>777</v>
      </c>
      <c r="D1431">
        <v>277</v>
      </c>
      <c r="E1431">
        <v>330</v>
      </c>
      <c r="F1431">
        <f t="shared" si="88"/>
        <v>-1.006377624262577</v>
      </c>
      <c r="G1431">
        <f t="shared" si="89"/>
        <v>-0.76315229007452978</v>
      </c>
      <c r="I1431">
        <f t="shared" si="91"/>
        <v>-0.88476495716855341</v>
      </c>
    </row>
    <row r="1432" spans="1:9">
      <c r="A1432" t="s">
        <v>5</v>
      </c>
      <c r="B1432" s="2">
        <f t="shared" si="90"/>
        <v>70</v>
      </c>
      <c r="C1432">
        <v>341</v>
      </c>
      <c r="D1432">
        <v>113</v>
      </c>
      <c r="E1432">
        <v>84</v>
      </c>
      <c r="F1432">
        <f t="shared" si="88"/>
        <v>-1.0381123100351892</v>
      </c>
      <c r="G1432">
        <f t="shared" si="89"/>
        <v>-0.99972030408211909</v>
      </c>
      <c r="I1432">
        <f t="shared" si="91"/>
        <v>-1.0189163070586542</v>
      </c>
    </row>
    <row r="1433" spans="1:9">
      <c r="A1433" t="s">
        <v>6</v>
      </c>
      <c r="B1433" s="2">
        <f t="shared" si="90"/>
        <v>70</v>
      </c>
      <c r="C1433">
        <v>334</v>
      </c>
      <c r="D1433">
        <v>4</v>
      </c>
      <c r="E1433">
        <v>3</v>
      </c>
      <c r="F1433">
        <f t="shared" si="88"/>
        <v>-2.4801228500097134</v>
      </c>
      <c r="G1433">
        <f t="shared" si="89"/>
        <v>-2.437870423243405</v>
      </c>
      <c r="I1433">
        <f t="shared" si="91"/>
        <v>-2.4589966366265594</v>
      </c>
    </row>
    <row r="1434" spans="1:9">
      <c r="A1434" t="s">
        <v>10</v>
      </c>
      <c r="B1434" s="2">
        <f t="shared" si="90"/>
        <v>70</v>
      </c>
      <c r="C1434">
        <v>476</v>
      </c>
      <c r="D1434">
        <v>10</v>
      </c>
      <c r="E1434">
        <v>6</v>
      </c>
      <c r="F1434">
        <f t="shared" si="88"/>
        <v>-2.2360433272466045</v>
      </c>
      <c r="G1434">
        <f t="shared" si="89"/>
        <v>-2.2907009134883527</v>
      </c>
      <c r="I1434">
        <f t="shared" si="91"/>
        <v>-2.2633721203674786</v>
      </c>
    </row>
    <row r="1435" spans="1:9">
      <c r="A1435" t="s">
        <v>11</v>
      </c>
      <c r="B1435" s="2">
        <f t="shared" si="90"/>
        <v>70</v>
      </c>
      <c r="C1435">
        <v>719</v>
      </c>
      <c r="D1435">
        <v>17</v>
      </c>
      <c r="E1435">
        <v>7</v>
      </c>
      <c r="F1435">
        <f t="shared" si="88"/>
        <v>-2.1847163435307198</v>
      </c>
      <c r="G1435">
        <f t="shared" si="89"/>
        <v>-2.402876061520129</v>
      </c>
      <c r="I1435">
        <f t="shared" si="91"/>
        <v>-2.2937962025254244</v>
      </c>
    </row>
    <row r="1436" spans="1:9">
      <c r="A1436" t="s">
        <v>12</v>
      </c>
      <c r="B1436" s="2">
        <f t="shared" si="90"/>
        <v>70</v>
      </c>
      <c r="C1436">
        <v>577</v>
      </c>
      <c r="D1436">
        <v>46</v>
      </c>
      <c r="E1436">
        <v>32</v>
      </c>
      <c r="F1436">
        <f t="shared" si="88"/>
        <v>-1.6568543560002689</v>
      </c>
      <c r="G1436">
        <f t="shared" si="89"/>
        <v>-1.6472710459873285</v>
      </c>
      <c r="I1436">
        <f t="shared" si="91"/>
        <v>-1.6520627009937987</v>
      </c>
    </row>
    <row r="1437" spans="1:9">
      <c r="A1437" t="s">
        <v>9</v>
      </c>
      <c r="B1437" s="2">
        <f t="shared" si="90"/>
        <v>70</v>
      </c>
      <c r="C1437">
        <v>365</v>
      </c>
      <c r="D1437">
        <v>30</v>
      </c>
      <c r="E1437">
        <v>2</v>
      </c>
      <c r="F1437">
        <f t="shared" si="88"/>
        <v>-1.6436079842629234</v>
      </c>
      <c r="G1437">
        <f t="shared" si="89"/>
        <v>-2.6525080799439964</v>
      </c>
      <c r="I1437">
        <f t="shared" si="91"/>
        <v>-2.1480580321034601</v>
      </c>
    </row>
    <row r="1438" spans="1:9">
      <c r="A1438" t="s">
        <v>13</v>
      </c>
      <c r="B1438" s="2">
        <f t="shared" si="90"/>
        <v>70</v>
      </c>
      <c r="C1438">
        <v>674</v>
      </c>
      <c r="D1438">
        <v>58</v>
      </c>
      <c r="E1438">
        <v>51</v>
      </c>
      <c r="F1438">
        <f t="shared" si="88"/>
        <v>-1.6236682774984939</v>
      </c>
      <c r="G1438">
        <f t="shared" si="89"/>
        <v>-1.5123349315888865</v>
      </c>
      <c r="I1438">
        <f t="shared" si="91"/>
        <v>-1.5680016045436902</v>
      </c>
    </row>
    <row r="1439" spans="1:9">
      <c r="A1439" t="s">
        <v>14</v>
      </c>
      <c r="B1439" s="2">
        <f t="shared" si="90"/>
        <v>70</v>
      </c>
      <c r="C1439">
        <v>678</v>
      </c>
      <c r="D1439">
        <v>30</v>
      </c>
      <c r="E1439">
        <v>8</v>
      </c>
      <c r="F1439">
        <f t="shared" si="88"/>
        <v>-1.9125448136735121</v>
      </c>
      <c r="G1439">
        <f t="shared" si="89"/>
        <v>-2.3193849180266231</v>
      </c>
      <c r="I1439">
        <f t="shared" si="91"/>
        <v>-2.1159648658500676</v>
      </c>
    </row>
    <row r="1440" spans="1:9">
      <c r="A1440" t="s">
        <v>15</v>
      </c>
      <c r="B1440" s="2">
        <f t="shared" si="90"/>
        <v>70</v>
      </c>
      <c r="C1440">
        <v>522</v>
      </c>
      <c r="D1440">
        <v>17</v>
      </c>
      <c r="E1440">
        <v>13</v>
      </c>
      <c r="F1440">
        <f t="shared" si="88"/>
        <v>-2.0456579561500994</v>
      </c>
      <c r="G1440">
        <f t="shared" si="89"/>
        <v>-1.9949723618469284</v>
      </c>
      <c r="I1440">
        <f t="shared" si="91"/>
        <v>-2.020315158998514</v>
      </c>
    </row>
    <row r="1441" spans="1:9">
      <c r="A1441" t="s">
        <v>16</v>
      </c>
      <c r="B1441" s="2">
        <f t="shared" si="90"/>
        <v>70</v>
      </c>
      <c r="C1441">
        <v>199</v>
      </c>
      <c r="D1441">
        <v>10</v>
      </c>
      <c r="E1441">
        <v>4</v>
      </c>
      <c r="F1441">
        <f t="shared" si="88"/>
        <v>-1.8572894509358178</v>
      </c>
      <c r="G1441">
        <f t="shared" si="89"/>
        <v>-2.0880382962332473</v>
      </c>
      <c r="I1441">
        <f t="shared" si="91"/>
        <v>-1.9726638735845325</v>
      </c>
    </row>
    <row r="1442" spans="1:9">
      <c r="A1442" t="s">
        <v>17</v>
      </c>
      <c r="B1442" s="2">
        <f t="shared" si="90"/>
        <v>70</v>
      </c>
      <c r="C1442">
        <v>490</v>
      </c>
      <c r="D1442">
        <v>15</v>
      </c>
      <c r="E1442">
        <v>1</v>
      </c>
      <c r="F1442">
        <f t="shared" si="88"/>
        <v>-2.0725411954989439</v>
      </c>
      <c r="G1442">
        <f t="shared" si="89"/>
        <v>-3.0814412911800164</v>
      </c>
      <c r="I1442">
        <f t="shared" si="91"/>
        <v>-2.5769912433394802</v>
      </c>
    </row>
    <row r="1443" spans="1:9">
      <c r="A1443" t="s">
        <v>18</v>
      </c>
      <c r="B1443" s="2">
        <f t="shared" si="90"/>
        <v>70</v>
      </c>
      <c r="C1443">
        <v>576</v>
      </c>
      <c r="D1443">
        <v>14</v>
      </c>
      <c r="E1443">
        <v>2</v>
      </c>
      <c r="F1443">
        <f t="shared" si="88"/>
        <v>-2.1727308222710855</v>
      </c>
      <c r="G1443">
        <f t="shared" si="89"/>
        <v>-2.850637698910734</v>
      </c>
      <c r="I1443">
        <f t="shared" si="91"/>
        <v>-2.5116842605909095</v>
      </c>
    </row>
    <row r="1444" spans="1:9">
      <c r="A1444" t="s">
        <v>19</v>
      </c>
      <c r="B1444" s="2">
        <f t="shared" si="90"/>
        <v>70</v>
      </c>
      <c r="C1444">
        <v>409</v>
      </c>
      <c r="D1444">
        <v>9</v>
      </c>
      <c r="E1444">
        <v>13</v>
      </c>
      <c r="F1444">
        <f t="shared" si="88"/>
        <v>-2.2159171730941281</v>
      </c>
      <c r="G1444">
        <f t="shared" si="89"/>
        <v>-1.8890251668520079</v>
      </c>
      <c r="I1444">
        <f t="shared" si="91"/>
        <v>-2.0524711699730682</v>
      </c>
    </row>
    <row r="1445" spans="1:9">
      <c r="A1445" t="s">
        <v>20</v>
      </c>
      <c r="B1445" s="2">
        <f t="shared" si="90"/>
        <v>70</v>
      </c>
      <c r="C1445">
        <v>526</v>
      </c>
      <c r="D1445">
        <v>20</v>
      </c>
      <c r="E1445">
        <v>2</v>
      </c>
      <c r="F1445">
        <f t="shared" si="88"/>
        <v>-1.978392123015869</v>
      </c>
      <c r="G1445">
        <f t="shared" si="89"/>
        <v>-2.811200959641261</v>
      </c>
      <c r="I1445">
        <f t="shared" si="91"/>
        <v>-2.394796541328565</v>
      </c>
    </row>
    <row r="1446" spans="1:9">
      <c r="A1446" t="s">
        <v>21</v>
      </c>
      <c r="B1446" s="2">
        <f t="shared" si="90"/>
        <v>70</v>
      </c>
      <c r="C1446">
        <v>837</v>
      </c>
      <c r="D1446">
        <v>35</v>
      </c>
      <c r="E1446">
        <v>14</v>
      </c>
      <c r="F1446">
        <f t="shared" si="88"/>
        <v>-1.9370937881690957</v>
      </c>
      <c r="G1446">
        <f t="shared" si="89"/>
        <v>-2.1678426334665248</v>
      </c>
      <c r="I1446">
        <f t="shared" si="91"/>
        <v>-2.0524682108178105</v>
      </c>
    </row>
    <row r="1447" spans="1:9">
      <c r="A1447" t="s">
        <v>22</v>
      </c>
      <c r="B1447" s="2">
        <f t="shared" si="90"/>
        <v>70</v>
      </c>
      <c r="C1447">
        <v>266</v>
      </c>
      <c r="D1447">
        <v>4</v>
      </c>
      <c r="E1447">
        <v>2</v>
      </c>
      <c r="F1447">
        <f t="shared" si="88"/>
        <v>-2.3812580198292159</v>
      </c>
      <c r="G1447">
        <f t="shared" si="89"/>
        <v>-2.5150968521185888</v>
      </c>
      <c r="I1447">
        <f t="shared" si="91"/>
        <v>-2.4481774359739026</v>
      </c>
    </row>
    <row r="1448" spans="1:9">
      <c r="A1448" t="s">
        <v>23</v>
      </c>
      <c r="B1448" s="2">
        <f t="shared" si="90"/>
        <v>70</v>
      </c>
      <c r="C1448">
        <v>755</v>
      </c>
      <c r="D1448">
        <v>30</v>
      </c>
      <c r="E1448">
        <v>4</v>
      </c>
      <c r="F1448">
        <f t="shared" si="88"/>
        <v>-1.9592620714356372</v>
      </c>
      <c r="G1448">
        <f t="shared" si="89"/>
        <v>-2.667132171452729</v>
      </c>
      <c r="I1448">
        <f t="shared" si="91"/>
        <v>-2.3131971214441833</v>
      </c>
    </row>
    <row r="1449" spans="1:9">
      <c r="A1449" t="s">
        <v>24</v>
      </c>
      <c r="B1449" s="2">
        <f t="shared" si="90"/>
        <v>70</v>
      </c>
      <c r="C1449">
        <v>509</v>
      </c>
      <c r="D1449">
        <v>43</v>
      </c>
      <c r="E1449">
        <v>13</v>
      </c>
      <c r="F1449">
        <f t="shared" si="88"/>
        <v>-1.6316857012832835</v>
      </c>
      <c r="G1449">
        <f t="shared" si="89"/>
        <v>-1.984019641181425</v>
      </c>
      <c r="I1449">
        <f t="shared" si="91"/>
        <v>-1.8078526712323542</v>
      </c>
    </row>
    <row r="1450" spans="1:9">
      <c r="A1450" t="s">
        <v>25</v>
      </c>
      <c r="B1450" s="2">
        <f t="shared" si="90"/>
        <v>70</v>
      </c>
      <c r="C1450">
        <v>627</v>
      </c>
      <c r="D1450">
        <v>22</v>
      </c>
      <c r="E1450">
        <v>6</v>
      </c>
      <c r="F1450">
        <f t="shared" si="88"/>
        <v>-2.0132812345346216</v>
      </c>
      <c r="G1450">
        <f t="shared" si="89"/>
        <v>-2.410361501598576</v>
      </c>
      <c r="I1450">
        <f t="shared" si="91"/>
        <v>-2.211821368066599</v>
      </c>
    </row>
    <row r="1451" spans="1:9">
      <c r="A1451" t="s">
        <v>7</v>
      </c>
      <c r="B1451" s="2">
        <f t="shared" si="90"/>
        <v>71</v>
      </c>
      <c r="C1451">
        <v>341</v>
      </c>
      <c r="D1451">
        <v>15</v>
      </c>
      <c r="E1451">
        <v>7</v>
      </c>
      <c r="F1451">
        <f t="shared" si="88"/>
        <v>-1.9150994944629276</v>
      </c>
      <c r="G1451">
        <f t="shared" si="89"/>
        <v>-2.0789015501297436</v>
      </c>
      <c r="I1451">
        <f t="shared" si="91"/>
        <v>-1.9970005222963356</v>
      </c>
    </row>
    <row r="1452" spans="1:9">
      <c r="A1452" t="s">
        <v>8</v>
      </c>
      <c r="B1452" s="2">
        <f t="shared" si="90"/>
        <v>71</v>
      </c>
      <c r="C1452">
        <v>241</v>
      </c>
      <c r="D1452">
        <v>2</v>
      </c>
      <c r="E1452">
        <v>16</v>
      </c>
      <c r="F1452">
        <f t="shared" si="88"/>
        <v>-2.6394234214369985</v>
      </c>
      <c r="G1452">
        <f t="shared" si="89"/>
        <v>-1.5691422710704466</v>
      </c>
      <c r="I1452">
        <f t="shared" si="91"/>
        <v>-2.1042828462537226</v>
      </c>
    </row>
    <row r="1453" spans="1:9">
      <c r="A1453" t="s">
        <v>5</v>
      </c>
      <c r="B1453" s="2">
        <f t="shared" si="90"/>
        <v>71</v>
      </c>
      <c r="C1453">
        <v>274</v>
      </c>
      <c r="D1453">
        <v>10</v>
      </c>
      <c r="E1453">
        <v>0</v>
      </c>
      <c r="F1453">
        <f t="shared" si="88"/>
        <v>-1.9961869373464993</v>
      </c>
      <c r="G1453" t="e">
        <f t="shared" si="89"/>
        <v>#NUM!</v>
      </c>
      <c r="I1453" t="e">
        <f t="shared" si="91"/>
        <v>#NUM!</v>
      </c>
    </row>
    <row r="1454" spans="1:9">
      <c r="A1454" t="s">
        <v>6</v>
      </c>
      <c r="B1454" s="2">
        <f t="shared" si="90"/>
        <v>71</v>
      </c>
      <c r="C1454">
        <v>331</v>
      </c>
      <c r="D1454">
        <v>9</v>
      </c>
      <c r="E1454">
        <v>3</v>
      </c>
      <c r="F1454">
        <f t="shared" si="88"/>
        <v>-2.1240218588625051</v>
      </c>
      <c r="G1454">
        <f t="shared" si="89"/>
        <v>-2.4339519502075593</v>
      </c>
      <c r="I1454">
        <f t="shared" si="91"/>
        <v>-2.2789869045350324</v>
      </c>
    </row>
    <row r="1455" spans="1:9">
      <c r="A1455" t="s">
        <v>10</v>
      </c>
      <c r="B1455" s="2">
        <f t="shared" si="90"/>
        <v>71</v>
      </c>
      <c r="C1455">
        <v>294</v>
      </c>
      <c r="D1455">
        <v>321</v>
      </c>
      <c r="E1455">
        <v>124</v>
      </c>
      <c r="F1455">
        <f t="shared" si="88"/>
        <v>-0.52027867253339655</v>
      </c>
      <c r="G1455">
        <f t="shared" si="89"/>
        <v>-0.76617085640142524</v>
      </c>
      <c r="I1455">
        <f t="shared" si="91"/>
        <v>-0.64322476446741095</v>
      </c>
    </row>
    <row r="1456" spans="1:9">
      <c r="A1456" t="s">
        <v>11</v>
      </c>
      <c r="B1456" s="2">
        <f t="shared" si="90"/>
        <v>71</v>
      </c>
      <c r="C1456">
        <v>230</v>
      </c>
      <c r="D1456">
        <v>37</v>
      </c>
      <c r="E1456">
        <v>25</v>
      </c>
      <c r="F1456">
        <f t="shared" si="88"/>
        <v>-1.3519624864767092</v>
      </c>
      <c r="G1456">
        <f t="shared" si="89"/>
        <v>-1.3550330384970581</v>
      </c>
      <c r="I1456">
        <f t="shared" si="91"/>
        <v>-1.3534977624868838</v>
      </c>
    </row>
    <row r="1457" spans="1:9">
      <c r="A1457" t="s">
        <v>12</v>
      </c>
      <c r="B1457" s="2">
        <f t="shared" si="90"/>
        <v>71</v>
      </c>
      <c r="C1457">
        <v>422</v>
      </c>
      <c r="D1457">
        <v>18</v>
      </c>
      <c r="E1457">
        <v>44</v>
      </c>
      <c r="F1457">
        <f t="shared" si="88"/>
        <v>-1.9284763203844792</v>
      </c>
      <c r="G1457">
        <f t="shared" si="89"/>
        <v>-1.3731049856269895</v>
      </c>
      <c r="I1457">
        <f t="shared" si="91"/>
        <v>-1.6507906530057344</v>
      </c>
    </row>
    <row r="1458" spans="1:9">
      <c r="A1458" t="s">
        <v>9</v>
      </c>
      <c r="B1458" s="2">
        <f t="shared" si="90"/>
        <v>71</v>
      </c>
      <c r="C1458">
        <v>190</v>
      </c>
      <c r="D1458">
        <v>49</v>
      </c>
      <c r="E1458">
        <v>4</v>
      </c>
      <c r="F1458">
        <f t="shared" si="88"/>
        <v>-1.1469938954504264</v>
      </c>
      <c r="G1458">
        <f t="shared" si="89"/>
        <v>-2.0679388207763694</v>
      </c>
      <c r="I1458">
        <f t="shared" si="91"/>
        <v>-1.6074663581133979</v>
      </c>
    </row>
    <row r="1459" spans="1:9">
      <c r="A1459" t="s">
        <v>13</v>
      </c>
      <c r="B1459" s="2">
        <f t="shared" si="90"/>
        <v>71</v>
      </c>
      <c r="C1459">
        <v>540</v>
      </c>
      <c r="D1459">
        <v>1219</v>
      </c>
      <c r="E1459">
        <v>409</v>
      </c>
      <c r="F1459">
        <f t="shared" ref="F1459:F1513" si="92">LOG10(D1459/C1459)-LOG10(271026/74916)</f>
        <v>-0.20482642873069784</v>
      </c>
      <c r="G1459">
        <f t="shared" ref="G1459:G1513" si="93">LOG10(E1459/C1459)-LOG10(184425/74916)</f>
        <v>-0.51191566296712976</v>
      </c>
      <c r="I1459">
        <f t="shared" si="91"/>
        <v>-0.35837104584891377</v>
      </c>
    </row>
    <row r="1460" spans="1:9">
      <c r="A1460" t="s">
        <v>14</v>
      </c>
      <c r="B1460" s="2">
        <f t="shared" si="90"/>
        <v>71</v>
      </c>
      <c r="C1460">
        <v>399</v>
      </c>
      <c r="D1460">
        <v>164</v>
      </c>
      <c r="E1460">
        <v>85</v>
      </c>
      <c r="F1460">
        <f t="shared" si="92"/>
        <v>-0.94456542216516159</v>
      </c>
      <c r="G1460">
        <f t="shared" si="93"/>
        <v>-1.0627991811239585</v>
      </c>
      <c r="I1460">
        <f t="shared" si="91"/>
        <v>-1.00368230164456</v>
      </c>
    </row>
    <row r="1461" spans="1:9">
      <c r="A1461" t="s">
        <v>15</v>
      </c>
      <c r="B1461" s="2">
        <f t="shared" si="90"/>
        <v>71</v>
      </c>
      <c r="C1461">
        <v>788</v>
      </c>
      <c r="D1461">
        <v>615</v>
      </c>
      <c r="E1461">
        <v>922</v>
      </c>
      <c r="F1461">
        <f t="shared" si="92"/>
        <v>-0.66608747624024989</v>
      </c>
      <c r="G1461">
        <f t="shared" si="93"/>
        <v>-0.32304050758742897</v>
      </c>
      <c r="I1461">
        <f t="shared" si="91"/>
        <v>-0.49456399191383943</v>
      </c>
    </row>
    <row r="1462" spans="1:9">
      <c r="A1462" t="s">
        <v>16</v>
      </c>
      <c r="B1462" s="2">
        <f t="shared" si="90"/>
        <v>71</v>
      </c>
      <c r="C1462">
        <v>0</v>
      </c>
      <c r="D1462">
        <v>0</v>
      </c>
      <c r="E1462">
        <v>0</v>
      </c>
      <c r="F1462" t="e">
        <f t="shared" si="92"/>
        <v>#DIV/0!</v>
      </c>
      <c r="G1462" t="e">
        <f t="shared" si="93"/>
        <v>#DIV/0!</v>
      </c>
      <c r="I1462" t="e">
        <f t="shared" si="91"/>
        <v>#DIV/0!</v>
      </c>
    </row>
    <row r="1463" spans="1:9">
      <c r="A1463" t="s">
        <v>17</v>
      </c>
      <c r="B1463" s="2">
        <f t="shared" si="90"/>
        <v>71</v>
      </c>
      <c r="C1463">
        <v>313</v>
      </c>
      <c r="D1463">
        <v>70</v>
      </c>
      <c r="E1463">
        <v>249</v>
      </c>
      <c r="F1463">
        <f t="shared" si="92"/>
        <v>-1.2088826720583028</v>
      </c>
      <c r="G1463">
        <f t="shared" si="93"/>
        <v>-0.49059020160221517</v>
      </c>
      <c r="I1463">
        <f t="shared" si="91"/>
        <v>-0.84973643683025901</v>
      </c>
    </row>
    <row r="1464" spans="1:9">
      <c r="A1464" t="s">
        <v>18</v>
      </c>
      <c r="B1464" s="2">
        <f t="shared" si="90"/>
        <v>71</v>
      </c>
      <c r="C1464">
        <v>361</v>
      </c>
      <c r="D1464">
        <v>1412</v>
      </c>
      <c r="E1464">
        <v>305</v>
      </c>
      <c r="F1464">
        <f t="shared" si="92"/>
        <v>3.3891120284015752E-2</v>
      </c>
      <c r="G1464">
        <f t="shared" si="93"/>
        <v>-0.46445257371037507</v>
      </c>
      <c r="I1464">
        <f t="shared" si="91"/>
        <v>-0.21528072671317966</v>
      </c>
    </row>
    <row r="1465" spans="1:9">
      <c r="A1465" t="s">
        <v>19</v>
      </c>
      <c r="B1465" s="2">
        <f t="shared" si="90"/>
        <v>71</v>
      </c>
      <c r="C1465">
        <v>259</v>
      </c>
      <c r="D1465">
        <v>1467</v>
      </c>
      <c r="E1465">
        <v>6340</v>
      </c>
      <c r="F1465">
        <f t="shared" si="92"/>
        <v>0.19469397523591958</v>
      </c>
      <c r="G1465">
        <f t="shared" si="93"/>
        <v>0.99754428264897776</v>
      </c>
      <c r="I1465">
        <f t="shared" si="91"/>
        <v>0.59611912894244867</v>
      </c>
    </row>
    <row r="1466" spans="1:9">
      <c r="A1466" t="s">
        <v>20</v>
      </c>
      <c r="B1466" s="2">
        <f t="shared" si="90"/>
        <v>71</v>
      </c>
      <c r="C1466">
        <v>194</v>
      </c>
      <c r="D1466">
        <v>14</v>
      </c>
      <c r="E1466">
        <v>19</v>
      </c>
      <c r="F1466">
        <f t="shared" si="92"/>
        <v>-1.7001100687780992</v>
      </c>
      <c r="G1466">
        <f t="shared" si="93"/>
        <v>-1.4002933401289002</v>
      </c>
      <c r="I1466">
        <f t="shared" si="91"/>
        <v>-1.5502017044534997</v>
      </c>
    </row>
    <row r="1467" spans="1:9">
      <c r="A1467" t="s">
        <v>21</v>
      </c>
      <c r="B1467" s="2">
        <f t="shared" si="90"/>
        <v>71</v>
      </c>
      <c r="C1467">
        <v>571</v>
      </c>
      <c r="D1467">
        <v>1356</v>
      </c>
      <c r="E1467">
        <v>426</v>
      </c>
      <c r="F1467">
        <f t="shared" si="92"/>
        <v>-0.18281279324091476</v>
      </c>
      <c r="G1467">
        <f t="shared" si="93"/>
        <v>-0.51847172029463207</v>
      </c>
      <c r="I1467">
        <f t="shared" si="91"/>
        <v>-0.35064225676777339</v>
      </c>
    </row>
    <row r="1468" spans="1:9">
      <c r="A1468" t="s">
        <v>22</v>
      </c>
      <c r="B1468" s="2">
        <f t="shared" si="90"/>
        <v>71</v>
      </c>
      <c r="C1468">
        <v>342</v>
      </c>
      <c r="D1468">
        <v>314</v>
      </c>
      <c r="E1468">
        <v>326</v>
      </c>
      <c r="F1468">
        <f t="shared" si="92"/>
        <v>-0.59553283250903133</v>
      </c>
      <c r="G1468">
        <f t="shared" si="93"/>
        <v>-0.41205371713969902</v>
      </c>
      <c r="I1468">
        <f t="shared" si="91"/>
        <v>-0.5037932748243652</v>
      </c>
    </row>
    <row r="1469" spans="1:9">
      <c r="A1469" t="s">
        <v>23</v>
      </c>
      <c r="B1469" s="2">
        <f t="shared" si="90"/>
        <v>71</v>
      </c>
      <c r="C1469">
        <v>13</v>
      </c>
      <c r="D1469">
        <v>55</v>
      </c>
      <c r="E1469">
        <v>57</v>
      </c>
      <c r="F1469">
        <f t="shared" si="92"/>
        <v>6.7982962661295776E-2</v>
      </c>
      <c r="G1469">
        <f t="shared" si="93"/>
        <v>0.25068629221415162</v>
      </c>
      <c r="I1469">
        <f t="shared" si="91"/>
        <v>0.1593346274377237</v>
      </c>
    </row>
    <row r="1470" spans="1:9">
      <c r="A1470" t="s">
        <v>24</v>
      </c>
      <c r="B1470" s="2">
        <f t="shared" si="90"/>
        <v>71</v>
      </c>
      <c r="C1470">
        <v>521</v>
      </c>
      <c r="D1470">
        <v>568</v>
      </c>
      <c r="E1470">
        <v>81</v>
      </c>
      <c r="F1470">
        <f t="shared" si="92"/>
        <v>-0.52092576211461683</v>
      </c>
      <c r="G1470">
        <f t="shared" si="93"/>
        <v>-1.1995979155723777</v>
      </c>
      <c r="I1470">
        <f t="shared" si="91"/>
        <v>-0.86026183884349727</v>
      </c>
    </row>
    <row r="1471" spans="1:9">
      <c r="A1471" t="s">
        <v>25</v>
      </c>
      <c r="B1471" s="2">
        <f t="shared" si="90"/>
        <v>71</v>
      </c>
      <c r="C1471">
        <v>558</v>
      </c>
      <c r="D1471">
        <v>35</v>
      </c>
      <c r="E1471">
        <v>22</v>
      </c>
      <c r="F1471">
        <f t="shared" si="92"/>
        <v>-1.7610025291134144</v>
      </c>
      <c r="G1471">
        <f t="shared" si="93"/>
        <v>-1.7954567292668755</v>
      </c>
      <c r="I1471">
        <f t="shared" si="91"/>
        <v>-1.7782296291901449</v>
      </c>
    </row>
    <row r="1472" spans="1:9">
      <c r="A1472" t="s">
        <v>7</v>
      </c>
      <c r="B1472" s="2">
        <f t="shared" si="90"/>
        <v>72</v>
      </c>
      <c r="C1472">
        <v>146</v>
      </c>
      <c r="D1472">
        <v>3</v>
      </c>
      <c r="E1472">
        <v>0</v>
      </c>
      <c r="F1472">
        <f t="shared" si="92"/>
        <v>-2.2456679755908859</v>
      </c>
      <c r="G1472" t="e">
        <f t="shared" si="93"/>
        <v>#NUM!</v>
      </c>
      <c r="I1472" t="e">
        <f t="shared" si="91"/>
        <v>#NUM!</v>
      </c>
    </row>
    <row r="1473" spans="1:9">
      <c r="A1473" t="s">
        <v>8</v>
      </c>
      <c r="B1473" s="2">
        <f t="shared" si="90"/>
        <v>72</v>
      </c>
      <c r="C1473">
        <v>62</v>
      </c>
      <c r="D1473">
        <v>3</v>
      </c>
      <c r="E1473">
        <v>2</v>
      </c>
      <c r="F1473">
        <f t="shared" si="92"/>
        <v>-1.8737068093047027</v>
      </c>
      <c r="G1473">
        <f t="shared" si="93"/>
        <v>-1.8826069049857757</v>
      </c>
      <c r="I1473">
        <f t="shared" si="91"/>
        <v>-1.8781568571452392</v>
      </c>
    </row>
    <row r="1474" spans="1:9">
      <c r="A1474" t="s">
        <v>5</v>
      </c>
      <c r="B1474" s="2">
        <f t="shared" si="90"/>
        <v>72</v>
      </c>
      <c r="C1474">
        <v>61</v>
      </c>
      <c r="D1474">
        <v>2</v>
      </c>
      <c r="E1474">
        <v>0</v>
      </c>
      <c r="F1474">
        <f t="shared" si="92"/>
        <v>-2.0427362138728973</v>
      </c>
      <c r="G1474" t="e">
        <f t="shared" si="93"/>
        <v>#NUM!</v>
      </c>
      <c r="I1474" t="e">
        <f t="shared" si="91"/>
        <v>#NUM!</v>
      </c>
    </row>
    <row r="1475" spans="1:9">
      <c r="A1475" t="s">
        <v>6</v>
      </c>
      <c r="B1475" s="2">
        <f t="shared" ref="B1475:B1538" si="94">1+INT((ROW()-2)/21)+1</f>
        <v>72</v>
      </c>
      <c r="C1475">
        <v>152</v>
      </c>
      <c r="D1475">
        <v>4</v>
      </c>
      <c r="E1475">
        <v>3</v>
      </c>
      <c r="F1475">
        <f t="shared" si="92"/>
        <v>-2.1382199711429215</v>
      </c>
      <c r="G1475">
        <f t="shared" si="93"/>
        <v>-2.095967544376613</v>
      </c>
      <c r="I1475">
        <f t="shared" ref="I1475:I1538" si="95">AVERAGE(F1475:G1475)</f>
        <v>-2.1170937577597675</v>
      </c>
    </row>
    <row r="1476" spans="1:9">
      <c r="A1476" t="s">
        <v>10</v>
      </c>
      <c r="B1476" s="2">
        <f t="shared" si="94"/>
        <v>72</v>
      </c>
      <c r="C1476">
        <v>175</v>
      </c>
      <c r="D1476">
        <v>2</v>
      </c>
      <c r="E1476">
        <v>10</v>
      </c>
      <c r="F1476">
        <f t="shared" si="92"/>
        <v>-2.5004444275484246</v>
      </c>
      <c r="G1476">
        <f t="shared" si="93"/>
        <v>-1.6342832598377974</v>
      </c>
      <c r="I1476">
        <f t="shared" si="95"/>
        <v>-2.0673638436931112</v>
      </c>
    </row>
    <row r="1477" spans="1:9">
      <c r="A1477" t="s">
        <v>11</v>
      </c>
      <c r="B1477" s="2">
        <f t="shared" si="94"/>
        <v>72</v>
      </c>
      <c r="C1477">
        <v>104</v>
      </c>
      <c r="D1477">
        <v>3</v>
      </c>
      <c r="E1477">
        <v>0</v>
      </c>
      <c r="F1477">
        <f t="shared" si="92"/>
        <v>-2.098348459105229</v>
      </c>
      <c r="G1477" t="e">
        <f t="shared" si="93"/>
        <v>#NUM!</v>
      </c>
      <c r="I1477" t="e">
        <f t="shared" si="95"/>
        <v>#NUM!</v>
      </c>
    </row>
    <row r="1478" spans="1:9">
      <c r="A1478" t="s">
        <v>12</v>
      </c>
      <c r="B1478" s="2">
        <f t="shared" si="94"/>
        <v>72</v>
      </c>
      <c r="C1478">
        <v>180</v>
      </c>
      <c r="D1478">
        <v>46</v>
      </c>
      <c r="E1478">
        <v>42</v>
      </c>
      <c r="F1478">
        <f t="shared" si="92"/>
        <v>-1.1509510479478433</v>
      </c>
      <c r="G1478">
        <f t="shared" si="93"/>
        <v>-1.0232684258569087</v>
      </c>
      <c r="I1478">
        <f t="shared" si="95"/>
        <v>-1.0871097369023759</v>
      </c>
    </row>
    <row r="1479" spans="1:9">
      <c r="A1479" t="s">
        <v>9</v>
      </c>
      <c r="B1479" s="2">
        <f t="shared" si="94"/>
        <v>72</v>
      </c>
      <c r="C1479">
        <v>38</v>
      </c>
      <c r="D1479">
        <v>2</v>
      </c>
      <c r="E1479">
        <v>0</v>
      </c>
      <c r="F1479">
        <f t="shared" si="92"/>
        <v>-1.8371899754789403</v>
      </c>
      <c r="G1479" t="e">
        <f t="shared" si="93"/>
        <v>#NUM!</v>
      </c>
      <c r="I1479" t="e">
        <f t="shared" si="95"/>
        <v>#NUM!</v>
      </c>
    </row>
    <row r="1480" spans="1:9">
      <c r="A1480" t="s">
        <v>13</v>
      </c>
      <c r="B1480" s="2">
        <f t="shared" si="94"/>
        <v>72</v>
      </c>
      <c r="C1480">
        <v>112</v>
      </c>
      <c r="D1480">
        <v>6</v>
      </c>
      <c r="E1480">
        <v>0</v>
      </c>
      <c r="F1480">
        <f t="shared" si="92"/>
        <v>-1.8295031468126495</v>
      </c>
      <c r="G1480" t="e">
        <f t="shared" si="93"/>
        <v>#NUM!</v>
      </c>
      <c r="I1480" t="e">
        <f t="shared" si="95"/>
        <v>#NUM!</v>
      </c>
    </row>
    <row r="1481" spans="1:9">
      <c r="A1481" t="s">
        <v>14</v>
      </c>
      <c r="B1481" s="2">
        <f t="shared" si="94"/>
        <v>72</v>
      </c>
      <c r="C1481">
        <v>103</v>
      </c>
      <c r="D1481">
        <v>22</v>
      </c>
      <c r="E1481">
        <v>17</v>
      </c>
      <c r="F1481">
        <f t="shared" si="92"/>
        <v>-1.2288509184090772</v>
      </c>
      <c r="G1481">
        <f t="shared" si="93"/>
        <v>-1.1736335144784014</v>
      </c>
      <c r="I1481">
        <f t="shared" si="95"/>
        <v>-1.2012422164437393</v>
      </c>
    </row>
    <row r="1482" spans="1:9">
      <c r="A1482" t="s">
        <v>15</v>
      </c>
      <c r="B1482" s="2">
        <f t="shared" si="94"/>
        <v>72</v>
      </c>
      <c r="C1482">
        <v>93</v>
      </c>
      <c r="D1482">
        <v>1</v>
      </c>
      <c r="E1482">
        <v>0</v>
      </c>
      <c r="F1482">
        <f t="shared" si="92"/>
        <v>-2.5269193230800462</v>
      </c>
      <c r="G1482" t="e">
        <f t="shared" si="93"/>
        <v>#NUM!</v>
      </c>
      <c r="I1482" t="e">
        <f t="shared" si="95"/>
        <v>#NUM!</v>
      </c>
    </row>
    <row r="1483" spans="1:9">
      <c r="A1483" t="s">
        <v>16</v>
      </c>
      <c r="B1483" s="2">
        <f t="shared" si="94"/>
        <v>72</v>
      </c>
      <c r="C1483">
        <v>197</v>
      </c>
      <c r="D1483">
        <v>9</v>
      </c>
      <c r="E1483">
        <v>2</v>
      </c>
      <c r="F1483">
        <f t="shared" si="92"/>
        <v>-1.8986600912483795</v>
      </c>
      <c r="G1483">
        <f t="shared" si="93"/>
        <v>-2.3846814416491151</v>
      </c>
      <c r="I1483">
        <f t="shared" si="95"/>
        <v>-2.1416707664487475</v>
      </c>
    </row>
    <row r="1484" spans="1:9">
      <c r="A1484" t="s">
        <v>17</v>
      </c>
      <c r="B1484" s="2">
        <f t="shared" si="94"/>
        <v>72</v>
      </c>
      <c r="C1484">
        <v>139</v>
      </c>
      <c r="D1484">
        <v>882</v>
      </c>
      <c r="E1484">
        <v>202</v>
      </c>
      <c r="F1484">
        <f t="shared" si="92"/>
        <v>0.2440174103516134</v>
      </c>
      <c r="G1484">
        <f t="shared" si="93"/>
        <v>-0.22890864195897431</v>
      </c>
      <c r="I1484">
        <f t="shared" si="95"/>
        <v>7.5543841963195413E-3</v>
      </c>
    </row>
    <row r="1485" spans="1:9">
      <c r="A1485" t="s">
        <v>18</v>
      </c>
      <c r="B1485" s="2">
        <f t="shared" si="94"/>
        <v>72</v>
      </c>
      <c r="C1485">
        <v>85</v>
      </c>
      <c r="D1485">
        <v>10</v>
      </c>
      <c r="E1485">
        <v>6</v>
      </c>
      <c r="F1485">
        <f t="shared" si="92"/>
        <v>-1.487855300240404</v>
      </c>
      <c r="G1485">
        <f t="shared" si="93"/>
        <v>-1.542512886482152</v>
      </c>
      <c r="I1485">
        <f t="shared" si="95"/>
        <v>-1.5151840933612779</v>
      </c>
    </row>
    <row r="1486" spans="1:9">
      <c r="A1486" t="s">
        <v>19</v>
      </c>
      <c r="B1486" s="2">
        <f t="shared" si="94"/>
        <v>72</v>
      </c>
      <c r="C1486">
        <v>211</v>
      </c>
      <c r="D1486">
        <v>4</v>
      </c>
      <c r="E1486">
        <v>0</v>
      </c>
      <c r="F1486">
        <f t="shared" si="92"/>
        <v>-2.2806588384958415</v>
      </c>
      <c r="G1486" t="e">
        <f t="shared" si="93"/>
        <v>#NUM!</v>
      </c>
      <c r="I1486" t="e">
        <f t="shared" si="95"/>
        <v>#NUM!</v>
      </c>
    </row>
    <row r="1487" spans="1:9">
      <c r="A1487" t="s">
        <v>20</v>
      </c>
      <c r="B1487" s="2">
        <f t="shared" si="94"/>
        <v>72</v>
      </c>
      <c r="C1487">
        <v>211</v>
      </c>
      <c r="D1487">
        <v>138</v>
      </c>
      <c r="E1487">
        <v>37</v>
      </c>
      <c r="F1487">
        <f t="shared" si="92"/>
        <v>-0.74283974342256742</v>
      </c>
      <c r="G1487">
        <f t="shared" si="93"/>
        <v>-1.1473259423822006</v>
      </c>
      <c r="I1487">
        <f t="shared" si="95"/>
        <v>-0.94508284290238409</v>
      </c>
    </row>
    <row r="1488" spans="1:9">
      <c r="A1488" t="s">
        <v>21</v>
      </c>
      <c r="B1488" s="2">
        <f t="shared" si="94"/>
        <v>72</v>
      </c>
      <c r="C1488">
        <v>2</v>
      </c>
      <c r="D1488">
        <v>5</v>
      </c>
      <c r="E1488">
        <v>1</v>
      </c>
      <c r="F1488">
        <f t="shared" si="92"/>
        <v>-0.16049636585407367</v>
      </c>
      <c r="G1488">
        <f t="shared" si="93"/>
        <v>-0.69227520681548427</v>
      </c>
      <c r="I1488">
        <f t="shared" si="95"/>
        <v>-0.42638578633477897</v>
      </c>
    </row>
    <row r="1489" spans="1:9">
      <c r="A1489" t="s">
        <v>22</v>
      </c>
      <c r="B1489" s="2">
        <f t="shared" si="94"/>
        <v>72</v>
      </c>
      <c r="C1489">
        <v>108</v>
      </c>
      <c r="D1489">
        <v>2</v>
      </c>
      <c r="E1489">
        <v>1</v>
      </c>
      <c r="F1489">
        <f t="shared" si="92"/>
        <v>-2.29083013434908</v>
      </c>
      <c r="G1489">
        <f t="shared" si="93"/>
        <v>-2.4246689666384529</v>
      </c>
      <c r="I1489">
        <f t="shared" si="95"/>
        <v>-2.3577495504937662</v>
      </c>
    </row>
    <row r="1490" spans="1:9">
      <c r="A1490" t="s">
        <v>23</v>
      </c>
      <c r="B1490" s="2">
        <f t="shared" si="94"/>
        <v>72</v>
      </c>
      <c r="C1490">
        <v>9</v>
      </c>
      <c r="D1490">
        <v>2</v>
      </c>
      <c r="E1490">
        <v>0</v>
      </c>
      <c r="F1490">
        <f t="shared" si="92"/>
        <v>-1.2116488883014549</v>
      </c>
      <c r="G1490" t="e">
        <f t="shared" si="93"/>
        <v>#NUM!</v>
      </c>
      <c r="I1490" t="e">
        <f t="shared" si="95"/>
        <v>#NUM!</v>
      </c>
    </row>
    <row r="1491" spans="1:9">
      <c r="A1491" t="s">
        <v>24</v>
      </c>
      <c r="B1491" s="2">
        <f t="shared" si="94"/>
        <v>72</v>
      </c>
      <c r="C1491">
        <v>152</v>
      </c>
      <c r="D1491">
        <v>13</v>
      </c>
      <c r="E1491">
        <v>3</v>
      </c>
      <c r="F1491">
        <f t="shared" si="92"/>
        <v>-1.6263366101640471</v>
      </c>
      <c r="G1491">
        <f t="shared" si="93"/>
        <v>-2.095967544376613</v>
      </c>
      <c r="I1491">
        <f t="shared" si="95"/>
        <v>-1.8611520772703301</v>
      </c>
    </row>
    <row r="1492" spans="1:9">
      <c r="A1492" t="s">
        <v>25</v>
      </c>
      <c r="B1492" s="2">
        <f t="shared" si="94"/>
        <v>72</v>
      </c>
      <c r="C1492">
        <v>112</v>
      </c>
      <c r="D1492">
        <v>6</v>
      </c>
      <c r="E1492">
        <v>2</v>
      </c>
      <c r="F1492">
        <f t="shared" si="92"/>
        <v>-1.8295031468126495</v>
      </c>
      <c r="G1492">
        <f t="shared" si="93"/>
        <v>-2.1394332381577037</v>
      </c>
      <c r="I1492">
        <f t="shared" si="95"/>
        <v>-1.9844681924851766</v>
      </c>
    </row>
    <row r="1493" spans="1:9">
      <c r="A1493" t="s">
        <v>7</v>
      </c>
      <c r="B1493" s="2">
        <f t="shared" si="94"/>
        <v>73</v>
      </c>
      <c r="C1493">
        <v>31</v>
      </c>
      <c r="D1493">
        <v>1</v>
      </c>
      <c r="E1493">
        <v>0</v>
      </c>
      <c r="F1493">
        <f t="shared" si="92"/>
        <v>-2.049798068360384</v>
      </c>
      <c r="G1493" t="e">
        <f t="shared" si="93"/>
        <v>#NUM!</v>
      </c>
      <c r="I1493" t="e">
        <f t="shared" si="95"/>
        <v>#NUM!</v>
      </c>
    </row>
    <row r="1494" spans="1:9">
      <c r="A1494" t="s">
        <v>8</v>
      </c>
      <c r="B1494" s="2">
        <f t="shared" si="94"/>
        <v>73</v>
      </c>
      <c r="C1494">
        <v>76</v>
      </c>
      <c r="D1494">
        <v>0</v>
      </c>
      <c r="E1494">
        <v>0</v>
      </c>
      <c r="F1494" t="e">
        <f t="shared" si="92"/>
        <v>#NUM!</v>
      </c>
      <c r="G1494" t="e">
        <f t="shared" si="93"/>
        <v>#NUM!</v>
      </c>
      <c r="I1494" t="e">
        <f t="shared" si="95"/>
        <v>#NUM!</v>
      </c>
    </row>
    <row r="1495" spans="1:9">
      <c r="A1495" t="s">
        <v>5</v>
      </c>
      <c r="B1495" s="2">
        <f t="shared" si="94"/>
        <v>73</v>
      </c>
      <c r="C1495">
        <v>127</v>
      </c>
      <c r="D1495">
        <v>0</v>
      </c>
      <c r="E1495">
        <v>4</v>
      </c>
      <c r="F1495" t="e">
        <f t="shared" si="92"/>
        <v>#NUM!</v>
      </c>
      <c r="G1495">
        <f t="shared" si="93"/>
        <v>-1.8929889407794975</v>
      </c>
      <c r="I1495" t="e">
        <f t="shared" si="95"/>
        <v>#NUM!</v>
      </c>
    </row>
    <row r="1496" spans="1:9">
      <c r="A1496" t="s">
        <v>6</v>
      </c>
      <c r="B1496" s="2">
        <f t="shared" si="94"/>
        <v>73</v>
      </c>
      <c r="C1496">
        <v>155</v>
      </c>
      <c r="D1496">
        <v>1</v>
      </c>
      <c r="E1496">
        <v>1</v>
      </c>
      <c r="F1496">
        <f t="shared" si="92"/>
        <v>-2.7487680726964028</v>
      </c>
      <c r="G1496">
        <f t="shared" si="93"/>
        <v>-2.5815769093217944</v>
      </c>
      <c r="I1496">
        <f t="shared" si="95"/>
        <v>-2.6651724910090984</v>
      </c>
    </row>
    <row r="1497" spans="1:9">
      <c r="A1497" t="s">
        <v>10</v>
      </c>
      <c r="B1497" s="2">
        <f t="shared" si="94"/>
        <v>73</v>
      </c>
      <c r="C1497">
        <v>37</v>
      </c>
      <c r="D1497">
        <v>0</v>
      </c>
      <c r="E1497">
        <v>1</v>
      </c>
      <c r="F1497" t="e">
        <f t="shared" si="92"/>
        <v>#NUM!</v>
      </c>
      <c r="G1497">
        <f t="shared" si="93"/>
        <v>-1.959446935218498</v>
      </c>
      <c r="I1497" t="e">
        <f t="shared" si="95"/>
        <v>#NUM!</v>
      </c>
    </row>
    <row r="1498" spans="1:9">
      <c r="A1498" t="s">
        <v>11</v>
      </c>
      <c r="B1498" s="2">
        <f t="shared" si="94"/>
        <v>73</v>
      </c>
      <c r="C1498">
        <v>109</v>
      </c>
      <c r="D1498">
        <v>1</v>
      </c>
      <c r="E1498">
        <v>3</v>
      </c>
      <c r="F1498">
        <f t="shared" si="92"/>
        <v>-2.5958628724667352</v>
      </c>
      <c r="G1498">
        <f t="shared" si="93"/>
        <v>-1.9515504543724642</v>
      </c>
      <c r="I1498">
        <f t="shared" si="95"/>
        <v>-2.2737066634195999</v>
      </c>
    </row>
    <row r="1499" spans="1:9">
      <c r="A1499" t="s">
        <v>12</v>
      </c>
      <c r="B1499" s="2">
        <f t="shared" si="94"/>
        <v>73</v>
      </c>
      <c r="C1499">
        <v>183</v>
      </c>
      <c r="D1499">
        <v>28</v>
      </c>
      <c r="E1499">
        <v>4</v>
      </c>
      <c r="F1499">
        <f t="shared" si="92"/>
        <v>-1.3737294329143215</v>
      </c>
      <c r="G1499">
        <f t="shared" si="93"/>
        <v>-2.0516363095539702</v>
      </c>
      <c r="I1499">
        <f t="shared" si="95"/>
        <v>-1.7126828712341458</v>
      </c>
    </row>
    <row r="1500" spans="1:9">
      <c r="A1500" t="s">
        <v>9</v>
      </c>
      <c r="B1500" s="2">
        <f t="shared" si="94"/>
        <v>73</v>
      </c>
      <c r="C1500">
        <v>92</v>
      </c>
      <c r="D1500">
        <v>4</v>
      </c>
      <c r="E1500">
        <v>1</v>
      </c>
      <c r="F1500">
        <f t="shared" si="92"/>
        <v>-1.920164210543704</v>
      </c>
      <c r="G1500">
        <f t="shared" si="93"/>
        <v>-2.3550330384970586</v>
      </c>
      <c r="I1500">
        <f t="shared" si="95"/>
        <v>-2.1375986245203813</v>
      </c>
    </row>
    <row r="1501" spans="1:9">
      <c r="A1501" t="s">
        <v>13</v>
      </c>
      <c r="B1501" s="2">
        <f t="shared" si="94"/>
        <v>73</v>
      </c>
      <c r="C1501">
        <v>50</v>
      </c>
      <c r="D1501">
        <v>0</v>
      </c>
      <c r="E1501">
        <v>0</v>
      </c>
      <c r="F1501" t="e">
        <f t="shared" si="92"/>
        <v>#NUM!</v>
      </c>
      <c r="G1501" t="e">
        <f t="shared" si="93"/>
        <v>#NUM!</v>
      </c>
      <c r="I1501" t="e">
        <f t="shared" si="95"/>
        <v>#NUM!</v>
      </c>
    </row>
    <row r="1502" spans="1:9">
      <c r="A1502" t="s">
        <v>14</v>
      </c>
      <c r="B1502" s="2">
        <f t="shared" si="94"/>
        <v>73</v>
      </c>
      <c r="C1502">
        <v>62</v>
      </c>
      <c r="D1502">
        <v>22</v>
      </c>
      <c r="E1502">
        <v>13</v>
      </c>
      <c r="F1502">
        <f t="shared" si="92"/>
        <v>-1.0084053832021589</v>
      </c>
      <c r="G1502">
        <f t="shared" si="93"/>
        <v>-1.06969354834292</v>
      </c>
      <c r="I1502">
        <f t="shared" si="95"/>
        <v>-1.0390494657725395</v>
      </c>
    </row>
    <row r="1503" spans="1:9">
      <c r="A1503" t="s">
        <v>15</v>
      </c>
      <c r="B1503" s="2">
        <f t="shared" si="94"/>
        <v>73</v>
      </c>
      <c r="C1503">
        <v>163</v>
      </c>
      <c r="D1503">
        <v>1</v>
      </c>
      <c r="E1503">
        <v>2</v>
      </c>
      <c r="F1503">
        <f t="shared" si="92"/>
        <v>-2.7706239789300691</v>
      </c>
      <c r="G1503">
        <f t="shared" si="93"/>
        <v>-2.3024028198914799</v>
      </c>
      <c r="I1503">
        <f t="shared" si="95"/>
        <v>-2.5365133994107745</v>
      </c>
    </row>
    <row r="1504" spans="1:9">
      <c r="A1504" t="s">
        <v>16</v>
      </c>
      <c r="B1504" s="2">
        <f t="shared" si="94"/>
        <v>73</v>
      </c>
      <c r="C1504">
        <v>76</v>
      </c>
      <c r="D1504">
        <v>0</v>
      </c>
      <c r="E1504">
        <v>0</v>
      </c>
      <c r="F1504" t="e">
        <f t="shared" si="92"/>
        <v>#NUM!</v>
      </c>
      <c r="G1504" t="e">
        <f t="shared" si="93"/>
        <v>#NUM!</v>
      </c>
      <c r="I1504" t="e">
        <f t="shared" si="95"/>
        <v>#NUM!</v>
      </c>
    </row>
    <row r="1505" spans="1:9">
      <c r="A1505" t="s">
        <v>17</v>
      </c>
      <c r="B1505" s="2">
        <f t="shared" si="94"/>
        <v>73</v>
      </c>
      <c r="C1505">
        <v>49</v>
      </c>
      <c r="D1505">
        <v>4</v>
      </c>
      <c r="E1505">
        <v>0</v>
      </c>
      <c r="F1505">
        <f t="shared" si="92"/>
        <v>-1.6465724632266627</v>
      </c>
      <c r="G1505" t="e">
        <f t="shared" si="93"/>
        <v>#NUM!</v>
      </c>
      <c r="I1505" t="e">
        <f t="shared" si="95"/>
        <v>#NUM!</v>
      </c>
    </row>
    <row r="1506" spans="1:9">
      <c r="A1506" t="s">
        <v>18</v>
      </c>
      <c r="B1506" s="2">
        <f t="shared" si="94"/>
        <v>73</v>
      </c>
      <c r="C1506">
        <v>61</v>
      </c>
      <c r="D1506">
        <v>35</v>
      </c>
      <c r="E1506">
        <v>29</v>
      </c>
      <c r="F1506">
        <f t="shared" si="92"/>
        <v>-0.79969816518660264</v>
      </c>
      <c r="G1506">
        <f t="shared" si="93"/>
        <v>-0.71417704826331396</v>
      </c>
      <c r="I1506">
        <f t="shared" si="95"/>
        <v>-0.75693760672495825</v>
      </c>
    </row>
    <row r="1507" spans="1:9">
      <c r="A1507" t="s">
        <v>19</v>
      </c>
      <c r="B1507" s="2">
        <f t="shared" si="94"/>
        <v>73</v>
      </c>
      <c r="C1507">
        <v>177</v>
      </c>
      <c r="D1507">
        <v>35</v>
      </c>
      <c r="E1507">
        <v>10</v>
      </c>
      <c r="F1507">
        <f t="shared" si="92"/>
        <v>-1.2623415965376421</v>
      </c>
      <c r="G1507">
        <f t="shared" si="93"/>
        <v>-1.6392184775133096</v>
      </c>
      <c r="I1507">
        <f t="shared" si="95"/>
        <v>-1.450780037025476</v>
      </c>
    </row>
    <row r="1508" spans="1:9">
      <c r="A1508" t="s">
        <v>20</v>
      </c>
      <c r="B1508" s="2">
        <f t="shared" si="94"/>
        <v>73</v>
      </c>
      <c r="C1508">
        <v>144</v>
      </c>
      <c r="D1508">
        <v>27</v>
      </c>
      <c r="E1508">
        <v>18</v>
      </c>
      <c r="F1508">
        <f t="shared" si="92"/>
        <v>-1.2854351024623736</v>
      </c>
      <c r="G1508">
        <f t="shared" si="93"/>
        <v>-1.2943351981434466</v>
      </c>
      <c r="I1508">
        <f t="shared" si="95"/>
        <v>-1.2898851503029101</v>
      </c>
    </row>
    <row r="1509" spans="1:9">
      <c r="A1509" t="s">
        <v>21</v>
      </c>
      <c r="B1509" s="2">
        <f t="shared" si="94"/>
        <v>73</v>
      </c>
      <c r="C1509">
        <v>255</v>
      </c>
      <c r="D1509">
        <v>2</v>
      </c>
      <c r="E1509">
        <v>3</v>
      </c>
      <c r="F1509">
        <f t="shared" si="92"/>
        <v>-2.6639465592960856</v>
      </c>
      <c r="G1509">
        <f t="shared" si="93"/>
        <v>-2.3206641368657959</v>
      </c>
      <c r="I1509">
        <f t="shared" si="95"/>
        <v>-2.492305348080941</v>
      </c>
    </row>
    <row r="1510" spans="1:9">
      <c r="A1510" t="s">
        <v>22</v>
      </c>
      <c r="B1510" s="2">
        <f t="shared" si="94"/>
        <v>73</v>
      </c>
      <c r="C1510">
        <v>69</v>
      </c>
      <c r="D1510">
        <v>30</v>
      </c>
      <c r="E1510">
        <v>29</v>
      </c>
      <c r="F1510">
        <f t="shared" si="92"/>
        <v>-0.92016421054370423</v>
      </c>
      <c r="G1510">
        <f t="shared" si="93"/>
        <v>-0.76769630398980226</v>
      </c>
      <c r="I1510">
        <f t="shared" si="95"/>
        <v>-0.8439302572667533</v>
      </c>
    </row>
    <row r="1511" spans="1:9">
      <c r="A1511" t="s">
        <v>23</v>
      </c>
      <c r="B1511" s="2">
        <f t="shared" si="94"/>
        <v>73</v>
      </c>
      <c r="C1511">
        <v>74916</v>
      </c>
      <c r="D1511">
        <v>271026</v>
      </c>
      <c r="E1511">
        <v>184425</v>
      </c>
      <c r="F1511">
        <f t="shared" si="92"/>
        <v>0</v>
      </c>
      <c r="G1511">
        <f t="shared" si="93"/>
        <v>0</v>
      </c>
      <c r="I1511">
        <f t="shared" si="95"/>
        <v>0</v>
      </c>
    </row>
    <row r="1512" spans="1:9">
      <c r="A1512" t="s">
        <v>24</v>
      </c>
      <c r="B1512" s="2">
        <f t="shared" si="94"/>
        <v>73</v>
      </c>
      <c r="C1512">
        <v>84</v>
      </c>
      <c r="D1512">
        <v>3</v>
      </c>
      <c r="E1512">
        <v>0</v>
      </c>
      <c r="F1512">
        <f t="shared" si="92"/>
        <v>-2.0055944058683304</v>
      </c>
      <c r="G1512" t="e">
        <f t="shared" si="93"/>
        <v>#NUM!</v>
      </c>
      <c r="I1512" t="e">
        <f t="shared" si="95"/>
        <v>#NUM!</v>
      </c>
    </row>
    <row r="1513" spans="1:9">
      <c r="A1513" t="s">
        <v>25</v>
      </c>
      <c r="B1513" s="2">
        <f t="shared" si="94"/>
        <v>73</v>
      </c>
      <c r="C1513">
        <v>86</v>
      </c>
      <c r="D1513">
        <v>4</v>
      </c>
      <c r="E1513">
        <v>1</v>
      </c>
      <c r="F1513">
        <f t="shared" si="92"/>
        <v>-1.8908748344417168</v>
      </c>
      <c r="G1513">
        <f t="shared" si="93"/>
        <v>-2.3257436623950705</v>
      </c>
      <c r="I1513">
        <f t="shared" si="95"/>
        <v>-2.1083092484183936</v>
      </c>
    </row>
    <row r="1514" spans="1:9">
      <c r="A1514" t="s">
        <v>7</v>
      </c>
      <c r="B1514" s="2">
        <f t="shared" si="94"/>
        <v>74</v>
      </c>
      <c r="C1514">
        <v>110</v>
      </c>
      <c r="D1514">
        <v>4</v>
      </c>
      <c r="E1514">
        <v>3</v>
      </c>
      <c r="F1514">
        <f>LOG10(D1514/C1514)-LOG10(230727/117033)</f>
        <v>-1.7341227752898494</v>
      </c>
      <c r="G1514">
        <f>LOG10(E1514/C1514)-LOG10(210581/117033)</f>
        <v>-1.8193822763668495</v>
      </c>
      <c r="I1514">
        <f t="shared" si="95"/>
        <v>-1.7767525258283494</v>
      </c>
    </row>
    <row r="1515" spans="1:9">
      <c r="A1515" t="s">
        <v>8</v>
      </c>
      <c r="B1515" s="2">
        <f t="shared" si="94"/>
        <v>74</v>
      </c>
      <c r="C1515">
        <v>168</v>
      </c>
      <c r="D1515">
        <v>16</v>
      </c>
      <c r="E1515">
        <v>12</v>
      </c>
      <c r="F1515">
        <f t="shared" ref="F1515:F1578" si="96">LOG10(D1515/C1515)-LOG10(230727/117033)</f>
        <v>-1.3159793805295248</v>
      </c>
      <c r="G1515">
        <f t="shared" ref="G1515:G1578" si="97">LOG10(E1515/C1515)-LOG10(210581/117033)</f>
        <v>-1.4012388816065249</v>
      </c>
      <c r="I1515">
        <f t="shared" si="95"/>
        <v>-1.3586091310680248</v>
      </c>
    </row>
    <row r="1516" spans="1:9">
      <c r="A1516" t="s">
        <v>5</v>
      </c>
      <c r="B1516" s="2">
        <f t="shared" si="94"/>
        <v>74</v>
      </c>
      <c r="C1516">
        <v>50</v>
      </c>
      <c r="D1516">
        <v>6</v>
      </c>
      <c r="E1516">
        <v>7</v>
      </c>
      <c r="F1516">
        <f t="shared" si="96"/>
        <v>-1.2156088354119619</v>
      </c>
      <c r="G1516">
        <f t="shared" si="97"/>
        <v>-1.108982810250049</v>
      </c>
      <c r="I1516">
        <f t="shared" si="95"/>
        <v>-1.1622958228310054</v>
      </c>
    </row>
    <row r="1517" spans="1:9">
      <c r="A1517" t="s">
        <v>6</v>
      </c>
      <c r="B1517" s="2">
        <f t="shared" si="94"/>
        <v>74</v>
      </c>
      <c r="C1517">
        <v>116</v>
      </c>
      <c r="D1517">
        <v>19</v>
      </c>
      <c r="E1517">
        <v>11</v>
      </c>
      <c r="F1517">
        <f t="shared" si="96"/>
        <v>-1.0804944697336762</v>
      </c>
      <c r="G1517">
        <f t="shared" si="97"/>
        <v>-1.2781761499969804</v>
      </c>
      <c r="I1517">
        <f t="shared" si="95"/>
        <v>-1.1793353098653283</v>
      </c>
    </row>
    <row r="1518" spans="1:9">
      <c r="A1518" t="s">
        <v>10</v>
      </c>
      <c r="B1518" s="2">
        <f t="shared" si="94"/>
        <v>74</v>
      </c>
      <c r="C1518">
        <v>101</v>
      </c>
      <c r="D1518">
        <v>0</v>
      </c>
      <c r="E1518">
        <v>0</v>
      </c>
      <c r="F1518" t="e">
        <f t="shared" si="96"/>
        <v>#NUM!</v>
      </c>
      <c r="G1518" t="e">
        <f t="shared" si="97"/>
        <v>#NUM!</v>
      </c>
      <c r="I1518" t="e">
        <f t="shared" si="95"/>
        <v>#NUM!</v>
      </c>
    </row>
    <row r="1519" spans="1:9">
      <c r="A1519" t="s">
        <v>11</v>
      </c>
      <c r="B1519" s="2">
        <f t="shared" si="94"/>
        <v>74</v>
      </c>
      <c r="C1519">
        <v>111</v>
      </c>
      <c r="D1519">
        <v>24</v>
      </c>
      <c r="E1519">
        <v>5</v>
      </c>
      <c r="F1519">
        <f t="shared" si="96"/>
        <v>-0.95990181853463796</v>
      </c>
      <c r="G1519">
        <f t="shared" si="97"/>
        <v>-1.6014638203789255</v>
      </c>
      <c r="I1519">
        <f t="shared" si="95"/>
        <v>-1.2806828194567816</v>
      </c>
    </row>
    <row r="1520" spans="1:9">
      <c r="A1520" t="s">
        <v>12</v>
      </c>
      <c r="B1520" s="2">
        <f t="shared" si="94"/>
        <v>74</v>
      </c>
      <c r="C1520">
        <v>120</v>
      </c>
      <c r="D1520">
        <v>0</v>
      </c>
      <c r="E1520">
        <v>2</v>
      </c>
      <c r="F1520" t="e">
        <f t="shared" si="96"/>
        <v>#NUM!</v>
      </c>
      <c r="G1520">
        <f t="shared" si="97"/>
        <v>-2.0332620963119306</v>
      </c>
      <c r="I1520" t="e">
        <f t="shared" si="95"/>
        <v>#NUM!</v>
      </c>
    </row>
    <row r="1521" spans="1:9">
      <c r="A1521" t="s">
        <v>9</v>
      </c>
      <c r="B1521" s="2">
        <f t="shared" si="94"/>
        <v>74</v>
      </c>
      <c r="C1521">
        <v>43</v>
      </c>
      <c r="D1521">
        <v>1</v>
      </c>
      <c r="E1521">
        <v>2</v>
      </c>
      <c r="F1521">
        <f t="shared" si="96"/>
        <v>-1.9282585370391732</v>
      </c>
      <c r="G1521">
        <f t="shared" si="97"/>
        <v>-1.5875493058438923</v>
      </c>
      <c r="I1521">
        <f t="shared" si="95"/>
        <v>-1.7579039214415326</v>
      </c>
    </row>
    <row r="1522" spans="1:9">
      <c r="A1522" t="s">
        <v>13</v>
      </c>
      <c r="B1522" s="2">
        <f t="shared" si="94"/>
        <v>74</v>
      </c>
      <c r="C1522">
        <v>84</v>
      </c>
      <c r="D1522">
        <v>15</v>
      </c>
      <c r="E1522">
        <v>42</v>
      </c>
      <c r="F1522">
        <f t="shared" si="96"/>
        <v>-1.042978108465787</v>
      </c>
      <c r="G1522">
        <f t="shared" si="97"/>
        <v>-0.55614084159226818</v>
      </c>
      <c r="I1522">
        <f t="shared" si="95"/>
        <v>-0.79955947502902758</v>
      </c>
    </row>
    <row r="1523" spans="1:9">
      <c r="A1523" t="s">
        <v>14</v>
      </c>
      <c r="B1523" s="2">
        <f t="shared" si="94"/>
        <v>74</v>
      </c>
      <c r="C1523">
        <v>65</v>
      </c>
      <c r="D1523">
        <v>0</v>
      </c>
      <c r="E1523">
        <v>0</v>
      </c>
      <c r="F1523" t="e">
        <f t="shared" si="96"/>
        <v>#NUM!</v>
      </c>
      <c r="G1523" t="e">
        <f t="shared" si="97"/>
        <v>#NUM!</v>
      </c>
      <c r="I1523" t="e">
        <f t="shared" si="95"/>
        <v>#NUM!</v>
      </c>
    </row>
    <row r="1524" spans="1:9">
      <c r="A1524" t="s">
        <v>15</v>
      </c>
      <c r="B1524" s="2">
        <f t="shared" si="94"/>
        <v>74</v>
      </c>
      <c r="C1524">
        <v>85</v>
      </c>
      <c r="D1524">
        <v>1</v>
      </c>
      <c r="E1524">
        <v>3</v>
      </c>
      <c r="F1524">
        <f t="shared" si="96"/>
        <v>-2.2242090071738794</v>
      </c>
      <c r="G1524">
        <f t="shared" si="97"/>
        <v>-1.7074085169229172</v>
      </c>
      <c r="I1524">
        <f t="shared" si="95"/>
        <v>-1.9658087620483982</v>
      </c>
    </row>
    <row r="1525" spans="1:9">
      <c r="A1525" t="s">
        <v>16</v>
      </c>
      <c r="B1525" s="2">
        <f t="shared" si="94"/>
        <v>74</v>
      </c>
      <c r="C1525">
        <v>211</v>
      </c>
      <c r="D1525">
        <v>7</v>
      </c>
      <c r="E1525">
        <v>11</v>
      </c>
      <c r="F1525">
        <f t="shared" si="96"/>
        <v>-1.7739744967430222</v>
      </c>
      <c r="G1525">
        <f t="shared" si="97"/>
        <v>-1.5380006160677546</v>
      </c>
      <c r="I1525">
        <f t="shared" si="95"/>
        <v>-1.6559875564053885</v>
      </c>
    </row>
    <row r="1526" spans="1:9">
      <c r="A1526" t="s">
        <v>17</v>
      </c>
      <c r="B1526" s="2">
        <f t="shared" si="94"/>
        <v>74</v>
      </c>
      <c r="C1526">
        <v>81</v>
      </c>
      <c r="D1526">
        <v>3</v>
      </c>
      <c r="E1526">
        <v>2</v>
      </c>
      <c r="F1526">
        <f t="shared" si="96"/>
        <v>-1.7261538456185739</v>
      </c>
      <c r="G1526">
        <f t="shared" si="97"/>
        <v>-1.8625658691429554</v>
      </c>
      <c r="I1526">
        <f t="shared" si="95"/>
        <v>-1.7943598573807646</v>
      </c>
    </row>
    <row r="1527" spans="1:9">
      <c r="A1527" t="s">
        <v>18</v>
      </c>
      <c r="B1527" s="2">
        <f t="shared" si="94"/>
        <v>74</v>
      </c>
      <c r="C1527">
        <v>125</v>
      </c>
      <c r="D1527">
        <v>14</v>
      </c>
      <c r="E1527">
        <v>17</v>
      </c>
      <c r="F1527">
        <f t="shared" si="96"/>
        <v>-1.245572058789405</v>
      </c>
      <c r="G1527">
        <f t="shared" si="97"/>
        <v>-1.1215719375580693</v>
      </c>
      <c r="I1527">
        <f t="shared" si="95"/>
        <v>-1.1835719981737371</v>
      </c>
    </row>
    <row r="1528" spans="1:9">
      <c r="A1528" t="s">
        <v>19</v>
      </c>
      <c r="B1528" s="2">
        <f t="shared" si="94"/>
        <v>74</v>
      </c>
      <c r="C1528">
        <v>117033</v>
      </c>
      <c r="D1528">
        <v>230727</v>
      </c>
      <c r="E1528">
        <v>210581</v>
      </c>
      <c r="F1528">
        <f t="shared" si="96"/>
        <v>0</v>
      </c>
      <c r="G1528">
        <f t="shared" si="97"/>
        <v>0</v>
      </c>
      <c r="I1528">
        <f t="shared" si="95"/>
        <v>0</v>
      </c>
    </row>
    <row r="1529" spans="1:9">
      <c r="A1529" t="s">
        <v>20</v>
      </c>
      <c r="B1529" s="2">
        <f t="shared" si="94"/>
        <v>74</v>
      </c>
      <c r="C1529">
        <v>103</v>
      </c>
      <c r="D1529">
        <v>54</v>
      </c>
      <c r="E1529">
        <v>69</v>
      </c>
      <c r="F1529">
        <f t="shared" si="96"/>
        <v>-0.57523354634179036</v>
      </c>
      <c r="G1529">
        <f t="shared" si="97"/>
        <v>-0.42909897989620382</v>
      </c>
      <c r="I1529">
        <f t="shared" si="95"/>
        <v>-0.50216626311899715</v>
      </c>
    </row>
    <row r="1530" spans="1:9">
      <c r="A1530" t="s">
        <v>21</v>
      </c>
      <c r="B1530" s="2">
        <f t="shared" si="94"/>
        <v>74</v>
      </c>
      <c r="C1530">
        <v>152</v>
      </c>
      <c r="D1530">
        <v>7</v>
      </c>
      <c r="E1530">
        <v>6</v>
      </c>
      <c r="F1530">
        <f t="shared" si="96"/>
        <v>-1.6315356293901022</v>
      </c>
      <c r="G1530">
        <f t="shared" si="97"/>
        <v>-1.6588031834894159</v>
      </c>
      <c r="I1530">
        <f t="shared" si="95"/>
        <v>-1.6451694064397591</v>
      </c>
    </row>
    <row r="1531" spans="1:9">
      <c r="A1531" t="s">
        <v>22</v>
      </c>
      <c r="B1531" s="2">
        <f t="shared" si="94"/>
        <v>74</v>
      </c>
      <c r="C1531">
        <v>71</v>
      </c>
      <c r="D1531">
        <v>8</v>
      </c>
      <c r="E1531">
        <v>2</v>
      </c>
      <c r="F1531">
        <f t="shared" si="96"/>
        <v>-1.2429584431867182</v>
      </c>
      <c r="G1531">
        <f t="shared" si="97"/>
        <v>-1.8053391989833809</v>
      </c>
      <c r="I1531">
        <f t="shared" si="95"/>
        <v>-1.5241488210850496</v>
      </c>
    </row>
    <row r="1532" spans="1:9">
      <c r="A1532" t="s">
        <v>23</v>
      </c>
      <c r="B1532" s="2">
        <f t="shared" si="94"/>
        <v>74</v>
      </c>
      <c r="C1532">
        <v>189</v>
      </c>
      <c r="D1532">
        <v>31</v>
      </c>
      <c r="E1532">
        <v>33</v>
      </c>
      <c r="F1532">
        <f t="shared" si="96"/>
        <v>-1.0798901917985582</v>
      </c>
      <c r="G1532">
        <f t="shared" si="97"/>
        <v>-1.0130587102236435</v>
      </c>
      <c r="I1532">
        <f t="shared" si="95"/>
        <v>-1.0464744510111008</v>
      </c>
    </row>
    <row r="1533" spans="1:9">
      <c r="A1533" t="s">
        <v>24</v>
      </c>
      <c r="B1533" s="2">
        <f t="shared" si="94"/>
        <v>74</v>
      </c>
      <c r="C1533">
        <v>98</v>
      </c>
      <c r="D1533">
        <v>2</v>
      </c>
      <c r="E1533">
        <v>5</v>
      </c>
      <c r="F1533">
        <f t="shared" si="96"/>
        <v>-1.9849861614881004</v>
      </c>
      <c r="G1533">
        <f t="shared" si="97"/>
        <v>-1.5473669172847631</v>
      </c>
      <c r="I1533">
        <f t="shared" si="95"/>
        <v>-1.7661765393864317</v>
      </c>
    </row>
    <row r="1534" spans="1:9">
      <c r="A1534" t="s">
        <v>25</v>
      </c>
      <c r="B1534" s="2">
        <f t="shared" si="94"/>
        <v>74</v>
      </c>
      <c r="C1534">
        <v>112</v>
      </c>
      <c r="D1534">
        <v>4</v>
      </c>
      <c r="E1534">
        <v>5</v>
      </c>
      <c r="F1534">
        <f t="shared" si="96"/>
        <v>-1.7419481128018059</v>
      </c>
      <c r="G1534">
        <f t="shared" si="97"/>
        <v>-1.6053588642624497</v>
      </c>
      <c r="I1534">
        <f t="shared" si="95"/>
        <v>-1.6736534885321279</v>
      </c>
    </row>
    <row r="1535" spans="1:9">
      <c r="A1535" t="s">
        <v>7</v>
      </c>
      <c r="B1535" s="2">
        <f t="shared" si="94"/>
        <v>75</v>
      </c>
      <c r="C1535">
        <v>146</v>
      </c>
      <c r="D1535">
        <v>41</v>
      </c>
      <c r="E1535">
        <v>30</v>
      </c>
      <c r="F1535">
        <f t="shared" si="96"/>
        <v>-0.84635908052428821</v>
      </c>
      <c r="G1535">
        <f t="shared" si="97"/>
        <v>-0.94234244699306158</v>
      </c>
      <c r="I1535">
        <f t="shared" si="95"/>
        <v>-0.89435076375867495</v>
      </c>
    </row>
    <row r="1536" spans="1:9">
      <c r="A1536" t="s">
        <v>8</v>
      </c>
      <c r="B1536" s="2">
        <f t="shared" si="94"/>
        <v>75</v>
      </c>
      <c r="C1536">
        <v>219</v>
      </c>
      <c r="D1536">
        <v>6</v>
      </c>
      <c r="E1536">
        <v>6</v>
      </c>
      <c r="F1536">
        <f t="shared" si="96"/>
        <v>-1.8570829459160612</v>
      </c>
      <c r="G1536">
        <f t="shared" si="97"/>
        <v>-1.8174037103847616</v>
      </c>
      <c r="I1536">
        <f t="shared" si="95"/>
        <v>-1.8372433281504112</v>
      </c>
    </row>
    <row r="1537" spans="1:9">
      <c r="A1537" t="s">
        <v>5</v>
      </c>
      <c r="B1537" s="2">
        <f t="shared" si="94"/>
        <v>75</v>
      </c>
      <c r="C1537">
        <v>190</v>
      </c>
      <c r="D1537">
        <v>30</v>
      </c>
      <c r="E1537">
        <v>19</v>
      </c>
      <c r="F1537">
        <f t="shared" si="96"/>
        <v>-1.0964224276927532</v>
      </c>
      <c r="G1537">
        <f t="shared" si="97"/>
        <v>-1.2551108459282869</v>
      </c>
      <c r="I1537">
        <f t="shared" si="95"/>
        <v>-1.1757666368105202</v>
      </c>
    </row>
    <row r="1538" spans="1:9">
      <c r="A1538" t="s">
        <v>6</v>
      </c>
      <c r="B1538" s="2">
        <f t="shared" si="94"/>
        <v>75</v>
      </c>
      <c r="C1538">
        <v>374</v>
      </c>
      <c r="D1538">
        <v>402</v>
      </c>
      <c r="E1538">
        <v>392</v>
      </c>
      <c r="F1538">
        <f t="shared" si="96"/>
        <v>-0.26343563057559671</v>
      </c>
      <c r="G1538">
        <f t="shared" si="97"/>
        <v>-0.23469638110830984</v>
      </c>
      <c r="I1538">
        <f t="shared" si="95"/>
        <v>-0.24906600584195326</v>
      </c>
    </row>
    <row r="1539" spans="1:9">
      <c r="A1539" t="s">
        <v>10</v>
      </c>
      <c r="B1539" s="2">
        <f t="shared" ref="B1539:B1602" si="98">1+INT((ROW()-2)/21)+1</f>
        <v>75</v>
      </c>
      <c r="C1539">
        <v>314</v>
      </c>
      <c r="D1539">
        <v>56</v>
      </c>
      <c r="E1539">
        <v>39</v>
      </c>
      <c r="F1539">
        <f t="shared" si="96"/>
        <v>-1.0435317025266011</v>
      </c>
      <c r="G1539">
        <f t="shared" si="97"/>
        <v>-1.1609758869750026</v>
      </c>
      <c r="I1539">
        <f t="shared" ref="I1539:I1602" si="99">AVERAGE(F1539:G1539)</f>
        <v>-1.1022537947508018</v>
      </c>
    </row>
    <row r="1540" spans="1:9">
      <c r="A1540" t="s">
        <v>11</v>
      </c>
      <c r="B1540" s="2">
        <f t="shared" si="98"/>
        <v>75</v>
      </c>
      <c r="C1540">
        <v>195</v>
      </c>
      <c r="D1540">
        <v>16</v>
      </c>
      <c r="E1540">
        <v>8</v>
      </c>
      <c r="F1540">
        <f t="shared" si="96"/>
        <v>-1.3807047101661798</v>
      </c>
      <c r="G1540">
        <f t="shared" si="97"/>
        <v>-1.6420554702988615</v>
      </c>
      <c r="I1540">
        <f t="shared" si="99"/>
        <v>-1.5113800902325205</v>
      </c>
    </row>
    <row r="1541" spans="1:9">
      <c r="A1541" t="s">
        <v>12</v>
      </c>
      <c r="B1541" s="2">
        <f t="shared" si="98"/>
        <v>75</v>
      </c>
      <c r="C1541">
        <v>202</v>
      </c>
      <c r="D1541">
        <v>18</v>
      </c>
      <c r="E1541">
        <v>30</v>
      </c>
      <c r="F1541">
        <f t="shared" si="96"/>
        <v>-1.3448689458029044</v>
      </c>
      <c r="G1541">
        <f t="shared" si="97"/>
        <v>-1.0833409606552484</v>
      </c>
      <c r="I1541">
        <f t="shared" si="99"/>
        <v>-1.2141049532290764</v>
      </c>
    </row>
    <row r="1542" spans="1:9">
      <c r="A1542" t="s">
        <v>9</v>
      </c>
      <c r="B1542" s="2">
        <f t="shared" si="98"/>
        <v>75</v>
      </c>
      <c r="C1542">
        <v>31</v>
      </c>
      <c r="D1542">
        <v>83</v>
      </c>
      <c r="E1542">
        <v>62</v>
      </c>
      <c r="F1542">
        <f t="shared" si="96"/>
        <v>0.13292631708221458</v>
      </c>
      <c r="G1542">
        <f t="shared" si="97"/>
        <v>4.5919149735694276E-2</v>
      </c>
      <c r="I1542">
        <f t="shared" si="99"/>
        <v>8.942273340895443E-2</v>
      </c>
    </row>
    <row r="1543" spans="1:9">
      <c r="A1543" t="s">
        <v>13</v>
      </c>
      <c r="B1543" s="2">
        <f t="shared" si="98"/>
        <v>75</v>
      </c>
      <c r="C1543">
        <v>234</v>
      </c>
      <c r="D1543">
        <v>24</v>
      </c>
      <c r="E1543">
        <v>17</v>
      </c>
      <c r="F1543">
        <f t="shared" si="96"/>
        <v>-1.2837946971581236</v>
      </c>
      <c r="G1543">
        <f t="shared" si="97"/>
        <v>-1.3938777819601558</v>
      </c>
      <c r="I1543">
        <f t="shared" si="99"/>
        <v>-1.3388362395591398</v>
      </c>
    </row>
    <row r="1544" spans="1:9">
      <c r="A1544" t="s">
        <v>14</v>
      </c>
      <c r="B1544" s="2">
        <f t="shared" si="98"/>
        <v>75</v>
      </c>
      <c r="C1544">
        <v>199</v>
      </c>
      <c r="D1544">
        <v>3</v>
      </c>
      <c r="E1544">
        <v>0</v>
      </c>
      <c r="F1544">
        <f t="shared" si="96"/>
        <v>-2.1165219031496307</v>
      </c>
      <c r="G1544" t="e">
        <f t="shared" si="97"/>
        <v>#NUM!</v>
      </c>
      <c r="I1544" t="e">
        <f t="shared" si="99"/>
        <v>#NUM!</v>
      </c>
    </row>
    <row r="1545" spans="1:9">
      <c r="A1545" t="s">
        <v>15</v>
      </c>
      <c r="B1545" s="2">
        <f t="shared" si="98"/>
        <v>75</v>
      </c>
      <c r="C1545">
        <v>159</v>
      </c>
      <c r="D1545">
        <v>9</v>
      </c>
      <c r="E1545">
        <v>9</v>
      </c>
      <c r="F1545">
        <f t="shared" si="96"/>
        <v>-1.5419446963407131</v>
      </c>
      <c r="G1545">
        <f t="shared" si="97"/>
        <v>-1.5022654608094135</v>
      </c>
      <c r="I1545">
        <f t="shared" si="99"/>
        <v>-1.5221050785750632</v>
      </c>
    </row>
    <row r="1546" spans="1:9">
      <c r="A1546" t="s">
        <v>16</v>
      </c>
      <c r="B1546" s="2">
        <f t="shared" si="98"/>
        <v>75</v>
      </c>
      <c r="C1546">
        <v>304</v>
      </c>
      <c r="D1546">
        <v>13</v>
      </c>
      <c r="E1546">
        <v>14</v>
      </c>
      <c r="F1546">
        <f t="shared" si="96"/>
        <v>-1.6637203127615035</v>
      </c>
      <c r="G1546">
        <f t="shared" si="97"/>
        <v>-1.5918563938588026</v>
      </c>
      <c r="I1546">
        <f t="shared" si="99"/>
        <v>-1.6277883533101529</v>
      </c>
    </row>
    <row r="1547" spans="1:9">
      <c r="A1547" t="s">
        <v>17</v>
      </c>
      <c r="B1547" s="2">
        <f t="shared" si="98"/>
        <v>75</v>
      </c>
      <c r="C1547">
        <v>248</v>
      </c>
      <c r="D1547">
        <v>13</v>
      </c>
      <c r="E1547">
        <v>27</v>
      </c>
      <c r="F1547">
        <f t="shared" si="96"/>
        <v>-1.575298409978966</v>
      </c>
      <c r="G1547">
        <f t="shared" si="97"/>
        <v>-1.2181987625955157</v>
      </c>
      <c r="I1547">
        <f t="shared" si="99"/>
        <v>-1.3967485862872409</v>
      </c>
    </row>
    <row r="1548" spans="1:9">
      <c r="A1548" t="s">
        <v>18</v>
      </c>
      <c r="B1548" s="2">
        <f t="shared" si="98"/>
        <v>75</v>
      </c>
      <c r="C1548">
        <v>217</v>
      </c>
      <c r="D1548">
        <v>12</v>
      </c>
      <c r="E1548">
        <v>11</v>
      </c>
      <c r="F1548">
        <f t="shared" si="96"/>
        <v>-1.5520685692604914</v>
      </c>
      <c r="G1548">
        <f t="shared" si="97"/>
        <v>-1.5501778946185913</v>
      </c>
      <c r="I1548">
        <f t="shared" si="99"/>
        <v>-1.5511232319395414</v>
      </c>
    </row>
    <row r="1549" spans="1:9">
      <c r="A1549" t="s">
        <v>19</v>
      </c>
      <c r="B1549" s="2">
        <f t="shared" si="98"/>
        <v>75</v>
      </c>
      <c r="C1549">
        <v>230</v>
      </c>
      <c r="D1549">
        <v>36</v>
      </c>
      <c r="E1549">
        <v>30</v>
      </c>
      <c r="F1549">
        <f t="shared" si="96"/>
        <v>-1.1002154167098923</v>
      </c>
      <c r="G1549">
        <f t="shared" si="97"/>
        <v>-1.1397174272262174</v>
      </c>
      <c r="I1549">
        <f t="shared" si="99"/>
        <v>-1.119966421968055</v>
      </c>
    </row>
    <row r="1550" spans="1:9">
      <c r="A1550" t="s">
        <v>20</v>
      </c>
      <c r="B1550" s="2">
        <f t="shared" si="98"/>
        <v>75</v>
      </c>
      <c r="C1550">
        <v>161</v>
      </c>
      <c r="D1550">
        <v>4</v>
      </c>
      <c r="E1550">
        <v>0</v>
      </c>
      <c r="F1550">
        <f t="shared" si="96"/>
        <v>-1.899555966163474</v>
      </c>
      <c r="G1550" t="e">
        <f t="shared" si="97"/>
        <v>#NUM!</v>
      </c>
      <c r="I1550" t="e">
        <f t="shared" si="99"/>
        <v>#NUM!</v>
      </c>
    </row>
    <row r="1551" spans="1:9">
      <c r="A1551" t="s">
        <v>21</v>
      </c>
      <c r="B1551" s="2">
        <f t="shared" si="98"/>
        <v>75</v>
      </c>
      <c r="C1551">
        <v>249</v>
      </c>
      <c r="D1551">
        <v>15</v>
      </c>
      <c r="E1551">
        <v>12</v>
      </c>
      <c r="F1551">
        <f t="shared" si="96"/>
        <v>-1.5148981694996415</v>
      </c>
      <c r="G1551">
        <f t="shared" si="97"/>
        <v>-1.5721289469763984</v>
      </c>
      <c r="I1551">
        <f t="shared" si="99"/>
        <v>-1.5435135582380199</v>
      </c>
    </row>
    <row r="1552" spans="1:9">
      <c r="A1552" t="s">
        <v>22</v>
      </c>
      <c r="B1552" s="2">
        <f t="shared" si="98"/>
        <v>75</v>
      </c>
      <c r="C1552">
        <v>121</v>
      </c>
      <c r="D1552">
        <v>10</v>
      </c>
      <c r="E1552">
        <v>14</v>
      </c>
      <c r="F1552">
        <f t="shared" si="96"/>
        <v>-1.3775754517760368</v>
      </c>
      <c r="G1552">
        <f t="shared" si="97"/>
        <v>-1.1917681805664988</v>
      </c>
      <c r="I1552">
        <f t="shared" si="99"/>
        <v>-1.2846718161712678</v>
      </c>
    </row>
    <row r="1553" spans="1:9">
      <c r="A1553" t="s">
        <v>23</v>
      </c>
      <c r="B1553" s="2">
        <f t="shared" si="98"/>
        <v>75</v>
      </c>
      <c r="C1553">
        <v>161</v>
      </c>
      <c r="D1553">
        <v>12</v>
      </c>
      <c r="E1553">
        <v>4</v>
      </c>
      <c r="F1553">
        <f t="shared" si="96"/>
        <v>-1.4224347114438114</v>
      </c>
      <c r="G1553">
        <f t="shared" si="97"/>
        <v>-1.8598767306321742</v>
      </c>
      <c r="I1553">
        <f t="shared" si="99"/>
        <v>-1.6411557210379928</v>
      </c>
    </row>
    <row r="1554" spans="1:9">
      <c r="A1554" t="s">
        <v>24</v>
      </c>
      <c r="B1554" s="2">
        <f t="shared" si="98"/>
        <v>75</v>
      </c>
      <c r="C1554">
        <v>219</v>
      </c>
      <c r="D1554">
        <v>6</v>
      </c>
      <c r="E1554">
        <v>7</v>
      </c>
      <c r="F1554">
        <f t="shared" si="96"/>
        <v>-1.8570829459160612</v>
      </c>
      <c r="G1554">
        <f t="shared" si="97"/>
        <v>-1.7504569207541485</v>
      </c>
      <c r="I1554">
        <f t="shared" si="99"/>
        <v>-1.8037699333351047</v>
      </c>
    </row>
    <row r="1555" spans="1:9">
      <c r="A1555" t="s">
        <v>25</v>
      </c>
      <c r="B1555" s="2">
        <f t="shared" si="98"/>
        <v>75</v>
      </c>
      <c r="C1555">
        <v>227</v>
      </c>
      <c r="D1555">
        <v>18</v>
      </c>
      <c r="E1555">
        <v>13</v>
      </c>
      <c r="F1555">
        <f t="shared" si="96"/>
        <v>-1.3955434335494035</v>
      </c>
      <c r="G1555">
        <f t="shared" si="97"/>
        <v>-1.4971933508145729</v>
      </c>
      <c r="I1555">
        <f t="shared" si="99"/>
        <v>-1.4463683921819883</v>
      </c>
    </row>
    <row r="1556" spans="1:9">
      <c r="A1556" t="s">
        <v>7</v>
      </c>
      <c r="B1556" s="2">
        <f t="shared" si="98"/>
        <v>76</v>
      </c>
      <c r="C1556">
        <v>138</v>
      </c>
      <c r="D1556">
        <v>46</v>
      </c>
      <c r="E1556">
        <v>30</v>
      </c>
      <c r="F1556">
        <f t="shared" si="96"/>
        <v>-0.77191133617924912</v>
      </c>
      <c r="G1556">
        <f t="shared" si="97"/>
        <v>-0.91786867760986102</v>
      </c>
      <c r="I1556">
        <f t="shared" si="99"/>
        <v>-0.84489000689455507</v>
      </c>
    </row>
    <row r="1557" spans="1:9">
      <c r="A1557" t="s">
        <v>8</v>
      </c>
      <c r="B1557" s="2">
        <f t="shared" si="98"/>
        <v>76</v>
      </c>
      <c r="C1557">
        <v>256</v>
      </c>
      <c r="D1557">
        <v>5</v>
      </c>
      <c r="E1557">
        <v>8</v>
      </c>
      <c r="F1557">
        <f t="shared" si="96"/>
        <v>-2.0040600424354174</v>
      </c>
      <c r="G1557">
        <f t="shared" si="97"/>
        <v>-1.760260824248193</v>
      </c>
      <c r="I1557">
        <f t="shared" si="99"/>
        <v>-1.8821604333418052</v>
      </c>
    </row>
    <row r="1558" spans="1:9">
      <c r="A1558" t="s">
        <v>5</v>
      </c>
      <c r="B1558" s="2">
        <f t="shared" si="98"/>
        <v>76</v>
      </c>
      <c r="C1558">
        <v>353</v>
      </c>
      <c r="D1558">
        <v>53</v>
      </c>
      <c r="E1558">
        <v>37</v>
      </c>
      <c r="F1558">
        <f t="shared" si="96"/>
        <v>-1.1182889172466202</v>
      </c>
      <c r="G1558">
        <f t="shared" si="97"/>
        <v>-1.2346838272491145</v>
      </c>
      <c r="I1558">
        <f t="shared" si="99"/>
        <v>-1.1764863722478673</v>
      </c>
    </row>
    <row r="1559" spans="1:9">
      <c r="A1559" t="s">
        <v>6</v>
      </c>
      <c r="B1559" s="2">
        <f t="shared" si="98"/>
        <v>76</v>
      </c>
      <c r="C1559">
        <v>850</v>
      </c>
      <c r="D1559">
        <v>62</v>
      </c>
      <c r="E1559">
        <v>23</v>
      </c>
      <c r="F1559">
        <f t="shared" si="96"/>
        <v>-1.4318173176756255</v>
      </c>
      <c r="G1559">
        <f t="shared" si="97"/>
        <v>-1.8228019356249867</v>
      </c>
      <c r="I1559">
        <f t="shared" si="99"/>
        <v>-1.6273096266503062</v>
      </c>
    </row>
    <row r="1560" spans="1:9">
      <c r="A1560" t="s">
        <v>10</v>
      </c>
      <c r="B1560" s="2">
        <f t="shared" si="98"/>
        <v>76</v>
      </c>
      <c r="C1560">
        <v>399</v>
      </c>
      <c r="D1560">
        <v>5</v>
      </c>
      <c r="E1560">
        <v>9</v>
      </c>
      <c r="F1560">
        <f t="shared" si="96"/>
        <v>-2.1967929728103162</v>
      </c>
      <c r="G1560">
        <f t="shared" si="97"/>
        <v>-1.9018412321757103</v>
      </c>
      <c r="I1560">
        <f t="shared" si="99"/>
        <v>-2.0493171024930135</v>
      </c>
    </row>
    <row r="1561" spans="1:9">
      <c r="A1561" t="s">
        <v>11</v>
      </c>
      <c r="B1561" s="2">
        <f t="shared" si="98"/>
        <v>76</v>
      </c>
      <c r="C1561">
        <v>263</v>
      </c>
      <c r="D1561">
        <v>34</v>
      </c>
      <c r="E1561">
        <v>4</v>
      </c>
      <c r="F1561">
        <f t="shared" si="96"/>
        <v>-1.1832669129070894</v>
      </c>
      <c r="G1561">
        <f t="shared" si="97"/>
        <v>-2.0730066030900822</v>
      </c>
      <c r="I1561">
        <f t="shared" si="99"/>
        <v>-1.6281367579985857</v>
      </c>
    </row>
    <row r="1562" spans="1:9">
      <c r="A1562" t="s">
        <v>12</v>
      </c>
      <c r="B1562" s="2">
        <f t="shared" si="98"/>
        <v>76</v>
      </c>
      <c r="C1562">
        <v>295</v>
      </c>
      <c r="D1562">
        <v>8</v>
      </c>
      <c r="E1562">
        <v>9</v>
      </c>
      <c r="F1562">
        <f t="shared" si="96"/>
        <v>-1.8615221104458062</v>
      </c>
      <c r="G1562">
        <f t="shared" si="97"/>
        <v>-1.7706903524671249</v>
      </c>
      <c r="I1562">
        <f t="shared" si="99"/>
        <v>-1.8161062314564655</v>
      </c>
    </row>
    <row r="1563" spans="1:9">
      <c r="A1563" t="s">
        <v>9</v>
      </c>
      <c r="B1563" s="2">
        <f t="shared" si="98"/>
        <v>76</v>
      </c>
      <c r="C1563">
        <v>282</v>
      </c>
      <c r="D1563">
        <v>7</v>
      </c>
      <c r="E1563">
        <v>14</v>
      </c>
      <c r="F1563">
        <f t="shared" si="96"/>
        <v>-1.899941149764691</v>
      </c>
      <c r="G1563">
        <f t="shared" si="97"/>
        <v>-1.5592319185694099</v>
      </c>
      <c r="I1563">
        <f t="shared" si="99"/>
        <v>-1.7295865341670504</v>
      </c>
    </row>
    <row r="1564" spans="1:9">
      <c r="A1564" t="s">
        <v>13</v>
      </c>
      <c r="B1564" s="2">
        <f t="shared" si="98"/>
        <v>76</v>
      </c>
      <c r="C1564">
        <v>363</v>
      </c>
      <c r="D1564">
        <v>12</v>
      </c>
      <c r="E1564">
        <v>6</v>
      </c>
      <c r="F1564">
        <f t="shared" si="96"/>
        <v>-1.7755154604480743</v>
      </c>
      <c r="G1564">
        <f t="shared" si="97"/>
        <v>-2.0368662205807557</v>
      </c>
      <c r="I1564">
        <f t="shared" si="99"/>
        <v>-1.906190840514415</v>
      </c>
    </row>
    <row r="1565" spans="1:9">
      <c r="A1565" t="s">
        <v>14</v>
      </c>
      <c r="B1565" s="2">
        <f t="shared" si="98"/>
        <v>76</v>
      </c>
      <c r="C1565">
        <v>320</v>
      </c>
      <c r="D1565">
        <v>38</v>
      </c>
      <c r="E1565">
        <v>23</v>
      </c>
      <c r="F1565">
        <f t="shared" si="96"/>
        <v>-1.2201564631626824</v>
      </c>
      <c r="G1565">
        <f t="shared" si="97"/>
        <v>-1.3985329882306001</v>
      </c>
      <c r="I1565">
        <f t="shared" si="99"/>
        <v>-1.3093447256966413</v>
      </c>
    </row>
    <row r="1566" spans="1:9">
      <c r="A1566" t="s">
        <v>15</v>
      </c>
      <c r="B1566" s="2">
        <f t="shared" si="98"/>
        <v>76</v>
      </c>
      <c r="C1566">
        <v>460</v>
      </c>
      <c r="D1566">
        <v>30</v>
      </c>
      <c r="E1566">
        <v>39</v>
      </c>
      <c r="F1566">
        <f t="shared" si="96"/>
        <v>-1.4804266584214982</v>
      </c>
      <c r="G1566">
        <f t="shared" si="97"/>
        <v>-1.3268040705833619</v>
      </c>
      <c r="I1566">
        <f t="shared" si="99"/>
        <v>-1.4036153645024301</v>
      </c>
    </row>
    <row r="1567" spans="1:9">
      <c r="A1567" t="s">
        <v>16</v>
      </c>
      <c r="B1567" s="2">
        <f t="shared" si="98"/>
        <v>76</v>
      </c>
      <c r="C1567">
        <v>21</v>
      </c>
      <c r="D1567">
        <v>29</v>
      </c>
      <c r="E1567">
        <v>28</v>
      </c>
      <c r="F1567">
        <f t="shared" si="96"/>
        <v>-0.15461137829454982</v>
      </c>
      <c r="G1567">
        <f t="shared" si="97"/>
        <v>-0.13017210931998699</v>
      </c>
      <c r="I1567">
        <f t="shared" si="99"/>
        <v>-0.14239174380726841</v>
      </c>
    </row>
    <row r="1568" spans="1:9">
      <c r="A1568" t="s">
        <v>17</v>
      </c>
      <c r="B1568" s="2">
        <f t="shared" si="98"/>
        <v>76</v>
      </c>
      <c r="C1568">
        <v>422</v>
      </c>
      <c r="D1568">
        <v>27</v>
      </c>
      <c r="E1568">
        <v>21</v>
      </c>
      <c r="F1568">
        <f t="shared" si="96"/>
        <v>-1.488738768262273</v>
      </c>
      <c r="G1568">
        <f t="shared" si="97"/>
        <v>-1.5582040021560415</v>
      </c>
      <c r="I1568">
        <f t="shared" si="99"/>
        <v>-1.5234713852091573</v>
      </c>
    </row>
    <row r="1569" spans="1:9">
      <c r="A1569" t="s">
        <v>18</v>
      </c>
      <c r="B1569" s="2">
        <f t="shared" si="98"/>
        <v>76</v>
      </c>
      <c r="C1569">
        <v>460</v>
      </c>
      <c r="D1569">
        <v>20</v>
      </c>
      <c r="E1569">
        <v>12</v>
      </c>
      <c r="F1569">
        <f t="shared" si="96"/>
        <v>-1.6565179174771796</v>
      </c>
      <c r="G1569">
        <f t="shared" si="97"/>
        <v>-1.8386874315622361</v>
      </c>
      <c r="I1569">
        <f t="shared" si="99"/>
        <v>-1.7476026745197077</v>
      </c>
    </row>
    <row r="1570" spans="1:9">
      <c r="A1570" t="s">
        <v>19</v>
      </c>
      <c r="B1570" s="2">
        <f t="shared" si="98"/>
        <v>76</v>
      </c>
      <c r="C1570">
        <v>467</v>
      </c>
      <c r="D1570">
        <v>25</v>
      </c>
      <c r="E1570">
        <v>8</v>
      </c>
      <c r="F1570">
        <f t="shared" si="96"/>
        <v>-1.5661669533536613</v>
      </c>
      <c r="G1570">
        <f t="shared" si="97"/>
        <v>-2.0213377395024557</v>
      </c>
      <c r="I1570">
        <f t="shared" si="99"/>
        <v>-1.7937523464280585</v>
      </c>
    </row>
    <row r="1571" spans="1:9">
      <c r="A1571" t="s">
        <v>20</v>
      </c>
      <c r="B1571" s="2">
        <f t="shared" si="98"/>
        <v>76</v>
      </c>
      <c r="C1571">
        <v>308</v>
      </c>
      <c r="D1571">
        <v>38</v>
      </c>
      <c r="E1571">
        <v>33</v>
      </c>
      <c r="F1571">
        <f t="shared" si="96"/>
        <v>-1.2035572013432208</v>
      </c>
      <c r="G1571">
        <f t="shared" si="97"/>
        <v>-1.2251476225508438</v>
      </c>
      <c r="I1571">
        <f t="shared" si="99"/>
        <v>-1.2143524119470324</v>
      </c>
    </row>
    <row r="1572" spans="1:9">
      <c r="A1572" t="s">
        <v>21</v>
      </c>
      <c r="B1572" s="2">
        <f t="shared" si="98"/>
        <v>76</v>
      </c>
      <c r="C1572">
        <v>366</v>
      </c>
      <c r="D1572">
        <v>12</v>
      </c>
      <c r="E1572">
        <v>12</v>
      </c>
      <c r="F1572">
        <f t="shared" si="96"/>
        <v>-1.7790899208063724</v>
      </c>
      <c r="G1572">
        <f t="shared" si="97"/>
        <v>-1.7394106852750728</v>
      </c>
      <c r="I1572">
        <f t="shared" si="99"/>
        <v>-1.7592503030407225</v>
      </c>
    </row>
    <row r="1573" spans="1:9">
      <c r="A1573" t="s">
        <v>22</v>
      </c>
      <c r="B1573" s="2">
        <f t="shared" si="98"/>
        <v>76</v>
      </c>
      <c r="C1573">
        <v>553</v>
      </c>
      <c r="D1573">
        <v>74</v>
      </c>
      <c r="E1573">
        <v>50</v>
      </c>
      <c r="F1573">
        <f t="shared" si="96"/>
        <v>-1.1682834930333086</v>
      </c>
      <c r="G1573">
        <f t="shared" si="97"/>
        <v>-1.2988659728969665</v>
      </c>
      <c r="I1573">
        <f t="shared" si="99"/>
        <v>-1.2335747329651374</v>
      </c>
    </row>
    <row r="1574" spans="1:9">
      <c r="A1574" t="s">
        <v>23</v>
      </c>
      <c r="B1574" s="2">
        <f t="shared" si="98"/>
        <v>76</v>
      </c>
      <c r="C1574">
        <v>337</v>
      </c>
      <c r="D1574">
        <v>3</v>
      </c>
      <c r="E1574">
        <v>7</v>
      </c>
      <c r="F1574">
        <f t="shared" si="96"/>
        <v>-2.3452987276112629</v>
      </c>
      <c r="G1574">
        <f t="shared" si="97"/>
        <v>-1.9376427067853688</v>
      </c>
      <c r="I1574">
        <f t="shared" si="99"/>
        <v>-2.1414707171983158</v>
      </c>
    </row>
    <row r="1575" spans="1:9">
      <c r="A1575" t="s">
        <v>24</v>
      </c>
      <c r="B1575" s="2">
        <f t="shared" si="98"/>
        <v>76</v>
      </c>
      <c r="C1575">
        <v>259</v>
      </c>
      <c r="D1575">
        <v>17</v>
      </c>
      <c r="E1575">
        <v>21</v>
      </c>
      <c r="F1575">
        <f t="shared" si="96"/>
        <v>-1.4776409241625648</v>
      </c>
      <c r="G1575">
        <f t="shared" si="97"/>
        <v>-1.3461913152756195</v>
      </c>
      <c r="I1575">
        <f t="shared" si="99"/>
        <v>-1.4119161197190921</v>
      </c>
    </row>
    <row r="1576" spans="1:9">
      <c r="A1576" t="s">
        <v>25</v>
      </c>
      <c r="B1576" s="2">
        <f t="shared" si="98"/>
        <v>76</v>
      </c>
      <c r="C1576">
        <v>396</v>
      </c>
      <c r="D1576">
        <v>18</v>
      </c>
      <c r="E1576">
        <v>23</v>
      </c>
      <c r="F1576">
        <f t="shared" si="96"/>
        <v>-1.6372127622817927</v>
      </c>
      <c r="G1576">
        <f t="shared" si="97"/>
        <v>-1.4910781958362063</v>
      </c>
      <c r="I1576">
        <f t="shared" si="99"/>
        <v>-1.5641454790589995</v>
      </c>
    </row>
    <row r="1577" spans="1:9">
      <c r="A1577" t="s">
        <v>7</v>
      </c>
      <c r="B1577" s="2">
        <f t="shared" si="98"/>
        <v>77</v>
      </c>
      <c r="C1577">
        <v>196</v>
      </c>
      <c r="D1577">
        <v>16</v>
      </c>
      <c r="E1577">
        <v>6</v>
      </c>
      <c r="F1577">
        <f t="shared" si="96"/>
        <v>-1.3829261701601379</v>
      </c>
      <c r="G1577">
        <f t="shared" si="97"/>
        <v>-1.7692156669011194</v>
      </c>
      <c r="I1577">
        <f t="shared" si="99"/>
        <v>-1.5760709185306285</v>
      </c>
    </row>
    <row r="1578" spans="1:9">
      <c r="A1578" t="s">
        <v>8</v>
      </c>
      <c r="B1578" s="2">
        <f t="shared" si="98"/>
        <v>77</v>
      </c>
      <c r="C1578">
        <v>376</v>
      </c>
      <c r="D1578">
        <v>28</v>
      </c>
      <c r="E1578">
        <v>24</v>
      </c>
      <c r="F1578">
        <f t="shared" si="96"/>
        <v>-1.4228198950450284</v>
      </c>
      <c r="G1578">
        <f t="shared" si="97"/>
        <v>-1.4500874491443421</v>
      </c>
      <c r="I1578">
        <f t="shared" si="99"/>
        <v>-1.4364536720946852</v>
      </c>
    </row>
    <row r="1579" spans="1:9">
      <c r="A1579" t="s">
        <v>5</v>
      </c>
      <c r="B1579" s="2">
        <f t="shared" si="98"/>
        <v>77</v>
      </c>
      <c r="C1579">
        <v>260</v>
      </c>
      <c r="D1579">
        <v>5</v>
      </c>
      <c r="E1579">
        <v>10</v>
      </c>
      <c r="F1579">
        <f t="shared" ref="F1579:F1642" si="100">LOG10(D1579/C1579)-LOG10(230727/117033)</f>
        <v>-2.010793425094386</v>
      </c>
      <c r="G1579">
        <f t="shared" ref="G1579:G1642" si="101">LOG10(E1579/C1579)-LOG10(210581/117033)</f>
        <v>-1.6700841938991049</v>
      </c>
      <c r="I1579">
        <f t="shared" si="99"/>
        <v>-1.8404388094967454</v>
      </c>
    </row>
    <row r="1580" spans="1:9">
      <c r="A1580" t="s">
        <v>6</v>
      </c>
      <c r="B1580" s="2">
        <f t="shared" si="98"/>
        <v>77</v>
      </c>
      <c r="C1580">
        <v>513</v>
      </c>
      <c r="D1580">
        <v>13</v>
      </c>
      <c r="E1580">
        <v>9</v>
      </c>
      <c r="F1580">
        <f t="shared" si="100"/>
        <v>-1.8909640942645662</v>
      </c>
      <c r="G1580">
        <f t="shared" si="101"/>
        <v>-2.0109857016007782</v>
      </c>
      <c r="I1580">
        <f t="shared" si="99"/>
        <v>-1.9509748979326722</v>
      </c>
    </row>
    <row r="1581" spans="1:9">
      <c r="A1581" t="s">
        <v>10</v>
      </c>
      <c r="B1581" s="2">
        <f t="shared" si="98"/>
        <v>77</v>
      </c>
      <c r="C1581">
        <v>410</v>
      </c>
      <c r="D1581">
        <v>5</v>
      </c>
      <c r="E1581">
        <v>8</v>
      </c>
      <c r="F1581">
        <f t="shared" si="100"/>
        <v>-2.2086039338433032</v>
      </c>
      <c r="G1581">
        <f t="shared" si="101"/>
        <v>-1.9648047156560788</v>
      </c>
      <c r="I1581">
        <f t="shared" si="99"/>
        <v>-2.0867043247496913</v>
      </c>
    </row>
    <row r="1582" spans="1:9">
      <c r="A1582" t="s">
        <v>11</v>
      </c>
      <c r="B1582" s="2">
        <f t="shared" si="98"/>
        <v>77</v>
      </c>
      <c r="C1582">
        <v>443</v>
      </c>
      <c r="D1582">
        <v>20</v>
      </c>
      <c r="E1582">
        <v>9</v>
      </c>
      <c r="F1582">
        <f t="shared" si="100"/>
        <v>-1.6401638120186748</v>
      </c>
      <c r="G1582">
        <f t="shared" si="101"/>
        <v>-1.9472720627120317</v>
      </c>
      <c r="I1582">
        <f t="shared" si="99"/>
        <v>-1.7937179373653533</v>
      </c>
    </row>
    <row r="1583" spans="1:9">
      <c r="A1583" t="s">
        <v>12</v>
      </c>
      <c r="B1583" s="2">
        <f t="shared" si="98"/>
        <v>77</v>
      </c>
      <c r="C1583">
        <v>460</v>
      </c>
      <c r="D1583">
        <v>29</v>
      </c>
      <c r="E1583">
        <v>36</v>
      </c>
      <c r="F1583">
        <f t="shared" si="100"/>
        <v>-1.4951499152422048</v>
      </c>
      <c r="G1583">
        <f t="shared" si="101"/>
        <v>-1.3615661768425737</v>
      </c>
      <c r="I1583">
        <f t="shared" si="99"/>
        <v>-1.4283580460423893</v>
      </c>
    </row>
    <row r="1584" spans="1:9">
      <c r="A1584" t="s">
        <v>9</v>
      </c>
      <c r="B1584" s="2">
        <f t="shared" si="98"/>
        <v>77</v>
      </c>
      <c r="C1584">
        <v>253</v>
      </c>
      <c r="D1584">
        <v>1</v>
      </c>
      <c r="E1584">
        <v>4</v>
      </c>
      <c r="F1584">
        <f t="shared" si="100"/>
        <v>-2.6979106026354045</v>
      </c>
      <c r="G1584">
        <f t="shared" si="101"/>
        <v>-2.0561713757761426</v>
      </c>
      <c r="I1584">
        <f t="shared" si="99"/>
        <v>-2.3770409892057733</v>
      </c>
    </row>
    <row r="1585" spans="1:9">
      <c r="A1585" t="s">
        <v>13</v>
      </c>
      <c r="B1585" s="2">
        <f t="shared" si="98"/>
        <v>77</v>
      </c>
      <c r="C1585">
        <v>292</v>
      </c>
      <c r="D1585">
        <v>81</v>
      </c>
      <c r="E1585">
        <v>70</v>
      </c>
      <c r="F1585">
        <f t="shared" si="100"/>
        <v>-0.85168791402935518</v>
      </c>
      <c r="G1585">
        <f t="shared" si="101"/>
        <v>-0.8753956573624484</v>
      </c>
      <c r="I1585">
        <f t="shared" si="99"/>
        <v>-0.86354178569590179</v>
      </c>
    </row>
    <row r="1586" spans="1:9">
      <c r="A1586" t="s">
        <v>14</v>
      </c>
      <c r="B1586" s="2">
        <f t="shared" si="98"/>
        <v>77</v>
      </c>
      <c r="C1586">
        <v>347</v>
      </c>
      <c r="D1586">
        <v>469</v>
      </c>
      <c r="E1586">
        <v>123</v>
      </c>
      <c r="F1586">
        <f t="shared" si="100"/>
        <v>-0.1639467135353771</v>
      </c>
      <c r="G1586">
        <f t="shared" si="101"/>
        <v>-0.70553520927976265</v>
      </c>
      <c r="I1586">
        <f t="shared" si="99"/>
        <v>-0.4347409614075699</v>
      </c>
    </row>
    <row r="1587" spans="1:9">
      <c r="A1587" t="s">
        <v>15</v>
      </c>
      <c r="B1587" s="2">
        <f t="shared" si="98"/>
        <v>77</v>
      </c>
      <c r="C1587">
        <v>12</v>
      </c>
      <c r="D1587">
        <v>5</v>
      </c>
      <c r="E1587">
        <v>2</v>
      </c>
      <c r="F1587">
        <f t="shared" si="100"/>
        <v>-0.67500132317119266</v>
      </c>
      <c r="G1587">
        <f t="shared" si="101"/>
        <v>-1.0332620963119306</v>
      </c>
      <c r="I1587">
        <f t="shared" si="99"/>
        <v>-0.85413170974156161</v>
      </c>
    </row>
    <row r="1588" spans="1:9">
      <c r="A1588" t="s">
        <v>16</v>
      </c>
      <c r="B1588" s="2">
        <f t="shared" si="98"/>
        <v>77</v>
      </c>
      <c r="C1588">
        <v>306</v>
      </c>
      <c r="D1588">
        <v>178</v>
      </c>
      <c r="E1588">
        <v>96</v>
      </c>
      <c r="F1588">
        <f t="shared" si="100"/>
        <v>-0.53009150563227259</v>
      </c>
      <c r="G1588">
        <f t="shared" si="101"/>
        <v>-0.75856103937029851</v>
      </c>
      <c r="I1588">
        <f t="shared" si="99"/>
        <v>-0.64432627250128549</v>
      </c>
    </row>
    <row r="1589" spans="1:9">
      <c r="A1589" t="s">
        <v>17</v>
      </c>
      <c r="B1589" s="2">
        <f t="shared" si="98"/>
        <v>77</v>
      </c>
      <c r="C1589">
        <v>417</v>
      </c>
      <c r="D1589">
        <v>29</v>
      </c>
      <c r="E1589">
        <v>31</v>
      </c>
      <c r="F1589">
        <f t="shared" si="100"/>
        <v>-1.452528138534388</v>
      </c>
      <c r="G1589">
        <f t="shared" si="101"/>
        <v>-1.3838852070677718</v>
      </c>
      <c r="I1589">
        <f t="shared" si="99"/>
        <v>-1.4182066728010798</v>
      </c>
    </row>
    <row r="1590" spans="1:9">
      <c r="A1590" t="s">
        <v>18</v>
      </c>
      <c r="B1590" s="2">
        <f t="shared" si="98"/>
        <v>77</v>
      </c>
      <c r="C1590">
        <v>379</v>
      </c>
      <c r="D1590">
        <v>118</v>
      </c>
      <c r="E1590">
        <v>71</v>
      </c>
      <c r="F1590">
        <f t="shared" si="100"/>
        <v>-0.80154728412153353</v>
      </c>
      <c r="G1590">
        <f t="shared" si="101"/>
        <v>-0.98249170717728396</v>
      </c>
      <c r="I1590">
        <f t="shared" si="99"/>
        <v>-0.89201949564940874</v>
      </c>
    </row>
    <row r="1591" spans="1:9">
      <c r="A1591" t="s">
        <v>19</v>
      </c>
      <c r="B1591" s="2">
        <f t="shared" si="98"/>
        <v>77</v>
      </c>
      <c r="C1591">
        <v>289</v>
      </c>
      <c r="D1591">
        <v>74</v>
      </c>
      <c r="E1591">
        <v>51</v>
      </c>
      <c r="F1591">
        <f t="shared" si="100"/>
        <v>-0.88645620448515827</v>
      </c>
      <c r="G1591">
        <f t="shared" si="101"/>
        <v>-1.0084385125868984</v>
      </c>
      <c r="I1591">
        <f t="shared" si="99"/>
        <v>-0.94744735853602835</v>
      </c>
    </row>
    <row r="1592" spans="1:9">
      <c r="A1592" t="s">
        <v>20</v>
      </c>
      <c r="B1592" s="2">
        <f t="shared" si="98"/>
        <v>77</v>
      </c>
      <c r="C1592">
        <v>261</v>
      </c>
      <c r="D1592">
        <v>6</v>
      </c>
      <c r="E1592">
        <v>12</v>
      </c>
      <c r="F1592">
        <f t="shared" si="100"/>
        <v>-1.9332793384142239</v>
      </c>
      <c r="G1592">
        <f t="shared" si="101"/>
        <v>-1.5925701072189431</v>
      </c>
      <c r="I1592">
        <f t="shared" si="99"/>
        <v>-1.7629247228165834</v>
      </c>
    </row>
    <row r="1593" spans="1:9">
      <c r="A1593" t="s">
        <v>21</v>
      </c>
      <c r="B1593" s="2">
        <f t="shared" si="98"/>
        <v>77</v>
      </c>
      <c r="C1593">
        <v>448</v>
      </c>
      <c r="D1593">
        <v>127</v>
      </c>
      <c r="E1593">
        <v>92</v>
      </c>
      <c r="F1593">
        <f t="shared" si="100"/>
        <v>-0.84226437450177383</v>
      </c>
      <c r="G1593">
        <f t="shared" si="101"/>
        <v>-0.94260103258087569</v>
      </c>
      <c r="I1593">
        <f t="shared" si="99"/>
        <v>-0.89243270354132476</v>
      </c>
    </row>
    <row r="1594" spans="1:9">
      <c r="A1594" t="s">
        <v>22</v>
      </c>
      <c r="B1594" s="2">
        <f t="shared" si="98"/>
        <v>77</v>
      </c>
      <c r="C1594">
        <v>325</v>
      </c>
      <c r="D1594">
        <v>36</v>
      </c>
      <c r="E1594">
        <v>12</v>
      </c>
      <c r="F1594">
        <f t="shared" si="100"/>
        <v>-1.2503709416711737</v>
      </c>
      <c r="G1594">
        <f t="shared" si="101"/>
        <v>-1.6878129608595365</v>
      </c>
      <c r="I1594">
        <f t="shared" si="99"/>
        <v>-1.4690919512653551</v>
      </c>
    </row>
    <row r="1595" spans="1:9">
      <c r="A1595" t="s">
        <v>23</v>
      </c>
      <c r="B1595" s="2">
        <f t="shared" si="98"/>
        <v>77</v>
      </c>
      <c r="C1595">
        <v>408</v>
      </c>
      <c r="D1595">
        <v>46</v>
      </c>
      <c r="E1595">
        <v>39</v>
      </c>
      <c r="F1595">
        <f t="shared" si="100"/>
        <v>-1.2426924128678924</v>
      </c>
      <c r="G1595">
        <f t="shared" si="101"/>
        <v>-1.2747064019916676</v>
      </c>
      <c r="I1595">
        <f t="shared" si="99"/>
        <v>-1.2586994074297801</v>
      </c>
    </row>
    <row r="1596" spans="1:9">
      <c r="A1596" t="s">
        <v>24</v>
      </c>
      <c r="B1596" s="2">
        <f t="shared" si="98"/>
        <v>77</v>
      </c>
      <c r="C1596">
        <v>631</v>
      </c>
      <c r="D1596">
        <v>46</v>
      </c>
      <c r="E1596">
        <v>38</v>
      </c>
      <c r="F1596">
        <f t="shared" si="100"/>
        <v>-1.432061609022147</v>
      </c>
      <c r="G1596">
        <f t="shared" si="101"/>
        <v>-1.4753566085556111</v>
      </c>
      <c r="I1596">
        <f t="shared" si="99"/>
        <v>-1.4537091087888792</v>
      </c>
    </row>
    <row r="1597" spans="1:9">
      <c r="A1597" t="s">
        <v>25</v>
      </c>
      <c r="B1597" s="2">
        <f t="shared" si="98"/>
        <v>77</v>
      </c>
      <c r="C1597">
        <v>416</v>
      </c>
      <c r="D1597">
        <v>40</v>
      </c>
      <c r="E1597">
        <v>14</v>
      </c>
      <c r="F1597">
        <f t="shared" si="100"/>
        <v>-1.3118234207583668</v>
      </c>
      <c r="G1597">
        <f t="shared" si="101"/>
        <v>-1.7280761408767917</v>
      </c>
      <c r="I1597">
        <f t="shared" si="99"/>
        <v>-1.5199497808175793</v>
      </c>
    </row>
    <row r="1598" spans="1:9">
      <c r="A1598" t="s">
        <v>7</v>
      </c>
      <c r="B1598" s="2">
        <f t="shared" si="98"/>
        <v>78</v>
      </c>
      <c r="C1598">
        <v>460</v>
      </c>
      <c r="D1598">
        <v>47</v>
      </c>
      <c r="E1598">
        <v>105</v>
      </c>
      <c r="F1598">
        <f t="shared" si="100"/>
        <v>-1.2854500552054433</v>
      </c>
      <c r="G1598">
        <f t="shared" si="101"/>
        <v>-0.89667937853992297</v>
      </c>
      <c r="I1598">
        <f t="shared" si="99"/>
        <v>-1.0910647168726832</v>
      </c>
    </row>
    <row r="1599" spans="1:9">
      <c r="A1599" t="s">
        <v>8</v>
      </c>
      <c r="B1599" s="2">
        <f t="shared" si="98"/>
        <v>78</v>
      </c>
      <c r="C1599">
        <v>46</v>
      </c>
      <c r="D1599">
        <v>92</v>
      </c>
      <c r="E1599">
        <v>115</v>
      </c>
      <c r="F1599">
        <f t="shared" si="100"/>
        <v>6.2399142043945699E-3</v>
      </c>
      <c r="G1599">
        <f t="shared" si="101"/>
        <v>0.14282916274375068</v>
      </c>
      <c r="I1599">
        <f t="shared" si="99"/>
        <v>7.4534538474072626E-2</v>
      </c>
    </row>
    <row r="1600" spans="1:9">
      <c r="A1600" t="s">
        <v>5</v>
      </c>
      <c r="B1600" s="2">
        <f t="shared" si="98"/>
        <v>78</v>
      </c>
      <c r="C1600">
        <v>332</v>
      </c>
      <c r="D1600">
        <v>11</v>
      </c>
      <c r="E1600">
        <v>13</v>
      </c>
      <c r="F1600">
        <f t="shared" si="100"/>
        <v>-1.7745354800053978</v>
      </c>
      <c r="G1600">
        <f t="shared" si="101"/>
        <v>-1.6623055773254864</v>
      </c>
      <c r="I1600">
        <f t="shared" si="99"/>
        <v>-1.7184205286654421</v>
      </c>
    </row>
    <row r="1601" spans="1:9">
      <c r="A1601" t="s">
        <v>6</v>
      </c>
      <c r="B1601" s="2">
        <f t="shared" si="98"/>
        <v>78</v>
      </c>
      <c r="C1601">
        <v>0</v>
      </c>
      <c r="D1601">
        <v>0</v>
      </c>
      <c r="E1601">
        <v>0</v>
      </c>
      <c r="F1601" t="e">
        <f t="shared" si="100"/>
        <v>#DIV/0!</v>
      </c>
      <c r="G1601" t="e">
        <f t="shared" si="101"/>
        <v>#DIV/0!</v>
      </c>
      <c r="I1601" t="e">
        <f t="shared" si="99"/>
        <v>#DIV/0!</v>
      </c>
    </row>
    <row r="1602" spans="1:9">
      <c r="A1602" t="s">
        <v>10</v>
      </c>
      <c r="B1602" s="2">
        <f t="shared" si="98"/>
        <v>78</v>
      </c>
      <c r="C1602">
        <v>0</v>
      </c>
      <c r="D1602">
        <v>0</v>
      </c>
      <c r="E1602">
        <v>0</v>
      </c>
      <c r="F1602" t="e">
        <f t="shared" si="100"/>
        <v>#DIV/0!</v>
      </c>
      <c r="G1602" t="e">
        <f t="shared" si="101"/>
        <v>#DIV/0!</v>
      </c>
      <c r="I1602" t="e">
        <f t="shared" si="99"/>
        <v>#DIV/0!</v>
      </c>
    </row>
    <row r="1603" spans="1:9">
      <c r="A1603" t="s">
        <v>11</v>
      </c>
      <c r="B1603" s="2">
        <f t="shared" ref="B1603:B1666" si="102">1+INT((ROW()-2)/21)+1</f>
        <v>78</v>
      </c>
      <c r="C1603">
        <v>0</v>
      </c>
      <c r="D1603">
        <v>0</v>
      </c>
      <c r="E1603">
        <v>0</v>
      </c>
      <c r="F1603" t="e">
        <f t="shared" si="100"/>
        <v>#DIV/0!</v>
      </c>
      <c r="G1603" t="e">
        <f t="shared" si="101"/>
        <v>#DIV/0!</v>
      </c>
      <c r="I1603" t="e">
        <f t="shared" ref="I1603:I1666" si="103">AVERAGE(F1603:G1603)</f>
        <v>#DIV/0!</v>
      </c>
    </row>
    <row r="1604" spans="1:9">
      <c r="A1604" t="s">
        <v>12</v>
      </c>
      <c r="B1604" s="2">
        <f t="shared" si="102"/>
        <v>78</v>
      </c>
      <c r="C1604">
        <v>3</v>
      </c>
      <c r="D1604">
        <v>0</v>
      </c>
      <c r="E1604">
        <v>0</v>
      </c>
      <c r="F1604" t="e">
        <f t="shared" si="100"/>
        <v>#NUM!</v>
      </c>
      <c r="G1604" t="e">
        <f t="shared" si="101"/>
        <v>#NUM!</v>
      </c>
      <c r="I1604" t="e">
        <f t="shared" si="103"/>
        <v>#NUM!</v>
      </c>
    </row>
    <row r="1605" spans="1:9">
      <c r="A1605" t="s">
        <v>9</v>
      </c>
      <c r="B1605" s="2">
        <f t="shared" si="102"/>
        <v>78</v>
      </c>
      <c r="C1605">
        <v>198</v>
      </c>
      <c r="D1605">
        <v>11</v>
      </c>
      <c r="E1605">
        <v>5</v>
      </c>
      <c r="F1605">
        <f t="shared" si="100"/>
        <v>-1.5500625865628925</v>
      </c>
      <c r="G1605">
        <f t="shared" si="101"/>
        <v>-1.8528060318537993</v>
      </c>
      <c r="I1605">
        <f t="shared" si="103"/>
        <v>-1.7014343092083459</v>
      </c>
    </row>
    <row r="1606" spans="1:9">
      <c r="A1606" t="s">
        <v>13</v>
      </c>
      <c r="B1606" s="2">
        <f t="shared" si="102"/>
        <v>78</v>
      </c>
      <c r="C1606">
        <v>251</v>
      </c>
      <c r="D1606">
        <v>4</v>
      </c>
      <c r="E1606">
        <v>2</v>
      </c>
      <c r="F1606">
        <f t="shared" si="100"/>
        <v>-2.0924038116126624</v>
      </c>
      <c r="G1606">
        <f t="shared" si="101"/>
        <v>-2.3537545717453439</v>
      </c>
      <c r="I1606">
        <f t="shared" si="103"/>
        <v>-2.2230791916790031</v>
      </c>
    </row>
    <row r="1607" spans="1:9">
      <c r="A1607" t="s">
        <v>14</v>
      </c>
      <c r="B1607" s="2">
        <f t="shared" si="102"/>
        <v>78</v>
      </c>
      <c r="C1607">
        <v>254</v>
      </c>
      <c r="D1607">
        <v>3</v>
      </c>
      <c r="E1607">
        <v>5</v>
      </c>
      <c r="F1607">
        <f t="shared" si="100"/>
        <v>-2.2225025433598624</v>
      </c>
      <c r="G1607">
        <f t="shared" si="101"/>
        <v>-1.9609745582122062</v>
      </c>
      <c r="I1607">
        <f t="shared" si="103"/>
        <v>-2.0917385507860344</v>
      </c>
    </row>
    <row r="1608" spans="1:9">
      <c r="A1608" t="s">
        <v>15</v>
      </c>
      <c r="B1608" s="2">
        <f t="shared" si="102"/>
        <v>78</v>
      </c>
      <c r="C1608">
        <v>346</v>
      </c>
      <c r="D1608">
        <v>22</v>
      </c>
      <c r="E1608">
        <v>21</v>
      </c>
      <c r="F1608">
        <f t="shared" si="100"/>
        <v>-1.4914434994301571</v>
      </c>
      <c r="G1608">
        <f t="shared" si="101"/>
        <v>-1.4719676499871444</v>
      </c>
      <c r="I1608">
        <f t="shared" si="103"/>
        <v>-1.4817055747086507</v>
      </c>
    </row>
    <row r="1609" spans="1:9">
      <c r="A1609" t="s">
        <v>16</v>
      </c>
      <c r="B1609" s="2">
        <f t="shared" si="102"/>
        <v>78</v>
      </c>
      <c r="C1609">
        <v>333</v>
      </c>
      <c r="D1609">
        <v>40</v>
      </c>
      <c r="E1609">
        <v>23</v>
      </c>
      <c r="F1609">
        <f t="shared" si="100"/>
        <v>-1.2151743236379442</v>
      </c>
      <c r="G1609">
        <f t="shared" si="101"/>
        <v>-1.4158272434170138</v>
      </c>
      <c r="I1609">
        <f t="shared" si="103"/>
        <v>-1.315500783527479</v>
      </c>
    </row>
    <row r="1610" spans="1:9">
      <c r="A1610" t="s">
        <v>17</v>
      </c>
      <c r="B1610" s="2">
        <f t="shared" si="102"/>
        <v>78</v>
      </c>
      <c r="C1610">
        <v>343</v>
      </c>
      <c r="D1610">
        <v>12</v>
      </c>
      <c r="E1610">
        <v>7</v>
      </c>
      <c r="F1610">
        <f t="shared" si="100"/>
        <v>-1.7509029554547322</v>
      </c>
      <c r="G1610">
        <f t="shared" si="101"/>
        <v>-1.9453069259568005</v>
      </c>
      <c r="I1610">
        <f t="shared" si="103"/>
        <v>-1.8481049407057664</v>
      </c>
    </row>
    <row r="1611" spans="1:9">
      <c r="A1611" t="s">
        <v>18</v>
      </c>
      <c r="B1611" s="2">
        <f t="shared" si="102"/>
        <v>78</v>
      </c>
      <c r="C1611">
        <v>370</v>
      </c>
      <c r="D1611">
        <v>17</v>
      </c>
      <c r="E1611">
        <v>10</v>
      </c>
      <c r="F1611">
        <f t="shared" si="100"/>
        <v>-1.6325428841483078</v>
      </c>
      <c r="G1611">
        <f t="shared" si="101"/>
        <v>-1.8233125699952819</v>
      </c>
      <c r="I1611">
        <f t="shared" si="103"/>
        <v>-1.727927727071795</v>
      </c>
    </row>
    <row r="1612" spans="1:9">
      <c r="A1612" t="s">
        <v>19</v>
      </c>
      <c r="B1612" s="2">
        <f t="shared" si="102"/>
        <v>78</v>
      </c>
      <c r="C1612">
        <v>221</v>
      </c>
      <c r="D1612">
        <v>2</v>
      </c>
      <c r="E1612">
        <v>5</v>
      </c>
      <c r="F1612">
        <f t="shared" si="100"/>
        <v>-2.3381523594807159</v>
      </c>
      <c r="G1612">
        <f t="shared" si="101"/>
        <v>-1.9005331152773788</v>
      </c>
      <c r="I1612">
        <f t="shared" si="103"/>
        <v>-2.1193427373790472</v>
      </c>
    </row>
    <row r="1613" spans="1:9">
      <c r="A1613" t="s">
        <v>20</v>
      </c>
      <c r="B1613" s="2">
        <f t="shared" si="102"/>
        <v>78</v>
      </c>
      <c r="C1613">
        <v>247</v>
      </c>
      <c r="D1613">
        <v>11</v>
      </c>
      <c r="E1613">
        <v>1</v>
      </c>
      <c r="F1613">
        <f t="shared" si="100"/>
        <v>-1.6460943495610274</v>
      </c>
      <c r="G1613">
        <f t="shared" si="101"/>
        <v>-2.6478077991879525</v>
      </c>
      <c r="I1613">
        <f t="shared" si="103"/>
        <v>-2.1469510743744902</v>
      </c>
    </row>
    <row r="1614" spans="1:9">
      <c r="A1614" t="s">
        <v>21</v>
      </c>
      <c r="B1614" s="2">
        <f t="shared" si="102"/>
        <v>78</v>
      </c>
      <c r="C1614">
        <v>0</v>
      </c>
      <c r="D1614">
        <v>0</v>
      </c>
      <c r="E1614">
        <v>1</v>
      </c>
      <c r="F1614" t="e">
        <f t="shared" si="100"/>
        <v>#DIV/0!</v>
      </c>
      <c r="G1614" t="e">
        <f t="shared" si="101"/>
        <v>#DIV/0!</v>
      </c>
      <c r="I1614" t="e">
        <f t="shared" si="103"/>
        <v>#DIV/0!</v>
      </c>
    </row>
    <row r="1615" spans="1:9">
      <c r="A1615" t="s">
        <v>22</v>
      </c>
      <c r="B1615" s="2">
        <f t="shared" si="102"/>
        <v>78</v>
      </c>
      <c r="C1615">
        <v>243</v>
      </c>
      <c r="D1615">
        <v>8</v>
      </c>
      <c r="E1615">
        <v>4</v>
      </c>
      <c r="F1615">
        <f t="shared" si="100"/>
        <v>-1.7773063680659553</v>
      </c>
      <c r="G1615">
        <f t="shared" si="101"/>
        <v>-2.0386571281986368</v>
      </c>
      <c r="I1615">
        <f t="shared" si="103"/>
        <v>-1.907981748132296</v>
      </c>
    </row>
    <row r="1616" spans="1:9">
      <c r="A1616" t="s">
        <v>23</v>
      </c>
      <c r="B1616" s="2">
        <f t="shared" si="102"/>
        <v>78</v>
      </c>
      <c r="C1616">
        <v>199</v>
      </c>
      <c r="D1616">
        <v>30</v>
      </c>
      <c r="E1616">
        <v>14</v>
      </c>
      <c r="F1616">
        <f t="shared" si="100"/>
        <v>-1.1165219031496307</v>
      </c>
      <c r="G1616">
        <f t="shared" si="101"/>
        <v>-1.4078358866597556</v>
      </c>
      <c r="I1616">
        <f t="shared" si="103"/>
        <v>-1.262178894904693</v>
      </c>
    </row>
    <row r="1617" spans="1:9">
      <c r="A1617" t="s">
        <v>24</v>
      </c>
      <c r="B1617" s="2">
        <f t="shared" si="102"/>
        <v>78</v>
      </c>
      <c r="C1617">
        <v>301</v>
      </c>
      <c r="D1617">
        <v>9</v>
      </c>
      <c r="E1617">
        <v>12</v>
      </c>
      <c r="F1617">
        <f t="shared" si="100"/>
        <v>-1.8191140676141049</v>
      </c>
      <c r="G1617">
        <f t="shared" si="101"/>
        <v>-1.6544960954745054</v>
      </c>
      <c r="I1617">
        <f t="shared" si="103"/>
        <v>-1.736805081544305</v>
      </c>
    </row>
    <row r="1618" spans="1:9">
      <c r="A1618" t="s">
        <v>25</v>
      </c>
      <c r="B1618" s="2">
        <f t="shared" si="102"/>
        <v>78</v>
      </c>
      <c r="C1618">
        <v>449</v>
      </c>
      <c r="D1618">
        <v>10</v>
      </c>
      <c r="E1618">
        <v>13</v>
      </c>
      <c r="F1618">
        <f t="shared" si="100"/>
        <v>-1.9470364224629098</v>
      </c>
      <c r="G1618">
        <f t="shared" si="101"/>
        <v>-1.7934138346247734</v>
      </c>
      <c r="I1618">
        <f t="shared" si="103"/>
        <v>-1.8702251285438416</v>
      </c>
    </row>
    <row r="1619" spans="1:9">
      <c r="A1619" t="s">
        <v>7</v>
      </c>
      <c r="B1619" s="2">
        <f t="shared" si="102"/>
        <v>79</v>
      </c>
      <c r="C1619">
        <v>47</v>
      </c>
      <c r="D1619">
        <v>3</v>
      </c>
      <c r="E1619">
        <v>21</v>
      </c>
      <c r="F1619">
        <f t="shared" si="100"/>
        <v>-1.4897666846756419</v>
      </c>
      <c r="G1619">
        <f t="shared" si="101"/>
        <v>-0.60498940913008514</v>
      </c>
      <c r="I1619">
        <f t="shared" si="103"/>
        <v>-1.0473780469028635</v>
      </c>
    </row>
    <row r="1620" spans="1:9">
      <c r="A1620" t="s">
        <v>8</v>
      </c>
      <c r="B1620" s="2">
        <f t="shared" si="102"/>
        <v>79</v>
      </c>
      <c r="C1620">
        <v>113</v>
      </c>
      <c r="D1620">
        <v>3</v>
      </c>
      <c r="E1620">
        <v>1</v>
      </c>
      <c r="F1620">
        <f t="shared" si="100"/>
        <v>-1.8707472702233439</v>
      </c>
      <c r="G1620">
        <f t="shared" si="101"/>
        <v>-2.3081892894117066</v>
      </c>
      <c r="I1620">
        <f t="shared" si="103"/>
        <v>-2.0894682798175253</v>
      </c>
    </row>
    <row r="1621" spans="1:9">
      <c r="A1621" t="s">
        <v>5</v>
      </c>
      <c r="B1621" s="2">
        <f t="shared" si="102"/>
        <v>79</v>
      </c>
      <c r="C1621">
        <v>40</v>
      </c>
      <c r="D1621">
        <v>3</v>
      </c>
      <c r="E1621">
        <v>2</v>
      </c>
      <c r="F1621">
        <f t="shared" si="100"/>
        <v>-1.4197288180678864</v>
      </c>
      <c r="G1621">
        <f t="shared" si="101"/>
        <v>-1.5561408415922682</v>
      </c>
      <c r="I1621">
        <f t="shared" si="103"/>
        <v>-1.4879348298300772</v>
      </c>
    </row>
    <row r="1622" spans="1:9">
      <c r="A1622" t="s">
        <v>6</v>
      </c>
      <c r="B1622" s="2">
        <f t="shared" si="102"/>
        <v>79</v>
      </c>
      <c r="C1622">
        <v>160</v>
      </c>
      <c r="D1622">
        <v>3</v>
      </c>
      <c r="E1622">
        <v>2</v>
      </c>
      <c r="F1622">
        <f t="shared" si="100"/>
        <v>-2.0217888093958489</v>
      </c>
      <c r="G1622">
        <f t="shared" si="101"/>
        <v>-2.1582008329202305</v>
      </c>
      <c r="I1622">
        <f t="shared" si="103"/>
        <v>-2.0899948211580397</v>
      </c>
    </row>
    <row r="1623" spans="1:9">
      <c r="A1623" t="s">
        <v>10</v>
      </c>
      <c r="B1623" s="2">
        <f t="shared" si="102"/>
        <v>79</v>
      </c>
      <c r="C1623">
        <v>77</v>
      </c>
      <c r="D1623">
        <v>0</v>
      </c>
      <c r="E1623">
        <v>3</v>
      </c>
      <c r="F1623" t="e">
        <f t="shared" si="100"/>
        <v>#NUM!</v>
      </c>
      <c r="G1623">
        <f t="shared" si="101"/>
        <v>-1.6644803163811064</v>
      </c>
      <c r="I1623" t="e">
        <f t="shared" si="103"/>
        <v>#NUM!</v>
      </c>
    </row>
    <row r="1624" spans="1:9">
      <c r="A1624" t="s">
        <v>11</v>
      </c>
      <c r="B1624" s="2">
        <f t="shared" si="102"/>
        <v>79</v>
      </c>
      <c r="C1624">
        <v>43</v>
      </c>
      <c r="D1624">
        <v>13</v>
      </c>
      <c r="E1624">
        <v>6</v>
      </c>
      <c r="F1624">
        <f t="shared" si="100"/>
        <v>-0.81431518473233644</v>
      </c>
      <c r="G1624">
        <f t="shared" si="101"/>
        <v>-1.1104280511242299</v>
      </c>
      <c r="I1624">
        <f t="shared" si="103"/>
        <v>-0.96237161792828319</v>
      </c>
    </row>
    <row r="1625" spans="1:9">
      <c r="A1625" t="s">
        <v>12</v>
      </c>
      <c r="B1625" s="2">
        <f t="shared" si="102"/>
        <v>79</v>
      </c>
      <c r="C1625">
        <v>61</v>
      </c>
      <c r="D1625">
        <v>4</v>
      </c>
      <c r="E1625">
        <v>2</v>
      </c>
      <c r="F1625">
        <f t="shared" si="100"/>
        <v>-1.4780599251423912</v>
      </c>
      <c r="G1625">
        <f t="shared" si="101"/>
        <v>-1.7394106852750728</v>
      </c>
      <c r="I1625">
        <f t="shared" si="103"/>
        <v>-1.6087353052087319</v>
      </c>
    </row>
    <row r="1626" spans="1:9">
      <c r="A1626" t="s">
        <v>9</v>
      </c>
      <c r="B1626" s="2">
        <f t="shared" si="102"/>
        <v>79</v>
      </c>
      <c r="C1626">
        <v>42</v>
      </c>
      <c r="D1626">
        <v>2</v>
      </c>
      <c r="E1626">
        <v>1</v>
      </c>
      <c r="F1626">
        <f t="shared" si="100"/>
        <v>-1.617009376193506</v>
      </c>
      <c r="G1626">
        <f t="shared" si="101"/>
        <v>-1.8783601363261875</v>
      </c>
      <c r="I1626">
        <f t="shared" si="103"/>
        <v>-1.7476847562598468</v>
      </c>
    </row>
    <row r="1627" spans="1:9">
      <c r="A1627" t="s">
        <v>13</v>
      </c>
      <c r="B1627" s="2">
        <f t="shared" si="102"/>
        <v>79</v>
      </c>
      <c r="C1627">
        <v>45</v>
      </c>
      <c r="D1627">
        <v>2</v>
      </c>
      <c r="E1627">
        <v>1</v>
      </c>
      <c r="F1627">
        <f t="shared" si="100"/>
        <v>-1.6469725995709492</v>
      </c>
      <c r="G1627">
        <f t="shared" si="101"/>
        <v>-1.9083233597036307</v>
      </c>
      <c r="I1627">
        <f t="shared" si="103"/>
        <v>-1.7776479796372899</v>
      </c>
    </row>
    <row r="1628" spans="1:9">
      <c r="A1628" t="s">
        <v>14</v>
      </c>
      <c r="B1628" s="2">
        <f t="shared" si="102"/>
        <v>79</v>
      </c>
      <c r="C1628">
        <v>47</v>
      </c>
      <c r="D1628">
        <v>6</v>
      </c>
      <c r="E1628">
        <v>4</v>
      </c>
      <c r="F1628">
        <f t="shared" si="100"/>
        <v>-1.1887366890116606</v>
      </c>
      <c r="G1628">
        <f t="shared" si="101"/>
        <v>-1.3251487125360419</v>
      </c>
      <c r="I1628">
        <f t="shared" si="103"/>
        <v>-1.2569427007738514</v>
      </c>
    </row>
    <row r="1629" spans="1:9">
      <c r="A1629" t="s">
        <v>15</v>
      </c>
      <c r="B1629" s="2">
        <f t="shared" si="102"/>
        <v>79</v>
      </c>
      <c r="C1629">
        <v>53</v>
      </c>
      <c r="D1629">
        <v>149</v>
      </c>
      <c r="E1629">
        <v>90</v>
      </c>
      <c r="F1629">
        <f t="shared" si="100"/>
        <v>0.15412031735189835</v>
      </c>
      <c r="G1629">
        <f t="shared" si="101"/>
        <v>-2.514420608975107E-2</v>
      </c>
      <c r="I1629">
        <f t="shared" si="103"/>
        <v>6.448805563107364E-2</v>
      </c>
    </row>
    <row r="1630" spans="1:9">
      <c r="A1630" t="s">
        <v>16</v>
      </c>
      <c r="B1630" s="2">
        <f t="shared" si="102"/>
        <v>79</v>
      </c>
      <c r="C1630">
        <v>144</v>
      </c>
      <c r="D1630">
        <v>6</v>
      </c>
      <c r="E1630">
        <v>7</v>
      </c>
      <c r="F1630">
        <f t="shared" si="100"/>
        <v>-1.6750013231711929</v>
      </c>
      <c r="G1630">
        <f t="shared" si="101"/>
        <v>-1.5683752980092798</v>
      </c>
      <c r="I1630">
        <f t="shared" si="103"/>
        <v>-1.6216883105902364</v>
      </c>
    </row>
    <row r="1631" spans="1:9">
      <c r="A1631" t="s">
        <v>17</v>
      </c>
      <c r="B1631" s="2">
        <f t="shared" si="102"/>
        <v>79</v>
      </c>
      <c r="C1631">
        <v>262</v>
      </c>
      <c r="D1631">
        <v>8</v>
      </c>
      <c r="E1631">
        <v>15</v>
      </c>
      <c r="F1631">
        <f t="shared" si="100"/>
        <v>-1.8100013857873885</v>
      </c>
      <c r="G1631">
        <f t="shared" si="101"/>
        <v>-1.497320878192351</v>
      </c>
      <c r="I1631">
        <f t="shared" si="103"/>
        <v>-1.6536611319898697</v>
      </c>
    </row>
    <row r="1632" spans="1:9">
      <c r="A1632" t="s">
        <v>18</v>
      </c>
      <c r="B1632" s="2">
        <f t="shared" si="102"/>
        <v>79</v>
      </c>
      <c r="C1632">
        <v>85</v>
      </c>
      <c r="D1632">
        <v>11</v>
      </c>
      <c r="E1632">
        <v>82</v>
      </c>
      <c r="F1632">
        <f t="shared" si="100"/>
        <v>-1.1828163220156542</v>
      </c>
      <c r="G1632">
        <f t="shared" si="101"/>
        <v>-0.27071591925886296</v>
      </c>
      <c r="I1632">
        <f t="shared" si="103"/>
        <v>-0.72676612063725865</v>
      </c>
    </row>
    <row r="1633" spans="1:9">
      <c r="A1633" t="s">
        <v>19</v>
      </c>
      <c r="B1633" s="2">
        <f t="shared" si="102"/>
        <v>79</v>
      </c>
      <c r="C1633">
        <v>70</v>
      </c>
      <c r="D1633">
        <v>2</v>
      </c>
      <c r="E1633">
        <v>1</v>
      </c>
      <c r="F1633">
        <f t="shared" si="100"/>
        <v>-1.8388581258098622</v>
      </c>
      <c r="G1633">
        <f t="shared" si="101"/>
        <v>-2.1002088859425436</v>
      </c>
      <c r="I1633">
        <f t="shared" si="103"/>
        <v>-1.9695335058762029</v>
      </c>
    </row>
    <row r="1634" spans="1:9">
      <c r="A1634" t="s">
        <v>20</v>
      </c>
      <c r="B1634" s="2">
        <f t="shared" si="102"/>
        <v>79</v>
      </c>
      <c r="C1634">
        <v>41</v>
      </c>
      <c r="D1634">
        <v>0</v>
      </c>
      <c r="E1634">
        <v>2</v>
      </c>
      <c r="F1634" t="e">
        <f t="shared" si="100"/>
        <v>#NUM!</v>
      </c>
      <c r="G1634">
        <f t="shared" si="101"/>
        <v>-1.5668647069840411</v>
      </c>
      <c r="I1634" t="e">
        <f t="shared" si="103"/>
        <v>#NUM!</v>
      </c>
    </row>
    <row r="1635" spans="1:9">
      <c r="A1635" t="s">
        <v>21</v>
      </c>
      <c r="B1635" s="2">
        <f t="shared" si="102"/>
        <v>79</v>
      </c>
      <c r="C1635">
        <v>235</v>
      </c>
      <c r="D1635">
        <v>5</v>
      </c>
      <c r="E1635">
        <v>10</v>
      </c>
      <c r="F1635">
        <f t="shared" si="100"/>
        <v>-1.966887939395304</v>
      </c>
      <c r="G1635">
        <f t="shared" si="101"/>
        <v>-1.6261787082000232</v>
      </c>
      <c r="I1635">
        <f t="shared" si="103"/>
        <v>-1.7965333237976635</v>
      </c>
    </row>
    <row r="1636" spans="1:9">
      <c r="A1636" t="s">
        <v>22</v>
      </c>
      <c r="B1636" s="2">
        <f t="shared" si="102"/>
        <v>79</v>
      </c>
      <c r="C1636">
        <v>58</v>
      </c>
      <c r="D1636">
        <v>3</v>
      </c>
      <c r="E1636">
        <v>0</v>
      </c>
      <c r="F1636">
        <f t="shared" si="100"/>
        <v>-1.5810968203028617</v>
      </c>
      <c r="G1636" t="e">
        <f t="shared" si="101"/>
        <v>#NUM!</v>
      </c>
      <c r="I1636" t="e">
        <f t="shared" si="103"/>
        <v>#NUM!</v>
      </c>
    </row>
    <row r="1637" spans="1:9">
      <c r="A1637" t="s">
        <v>23</v>
      </c>
      <c r="B1637" s="2">
        <f t="shared" si="102"/>
        <v>79</v>
      </c>
      <c r="C1637">
        <v>131</v>
      </c>
      <c r="D1637">
        <v>0</v>
      </c>
      <c r="E1637">
        <v>0</v>
      </c>
      <c r="F1637" t="e">
        <f t="shared" si="100"/>
        <v>#NUM!</v>
      </c>
      <c r="G1637" t="e">
        <f t="shared" si="101"/>
        <v>#NUM!</v>
      </c>
      <c r="I1637" t="e">
        <f t="shared" si="103"/>
        <v>#NUM!</v>
      </c>
    </row>
    <row r="1638" spans="1:9">
      <c r="A1638" t="s">
        <v>24</v>
      </c>
      <c r="B1638" s="2">
        <f t="shared" si="102"/>
        <v>79</v>
      </c>
      <c r="C1638">
        <v>276</v>
      </c>
      <c r="D1638">
        <v>17</v>
      </c>
      <c r="E1638">
        <v>7</v>
      </c>
      <c r="F1638">
        <f t="shared" si="100"/>
        <v>-1.5052502421465306</v>
      </c>
      <c r="G1638">
        <f t="shared" si="101"/>
        <v>-1.8509218879792477</v>
      </c>
      <c r="I1638">
        <f t="shared" si="103"/>
        <v>-1.6780860650628893</v>
      </c>
    </row>
    <row r="1639" spans="1:9">
      <c r="A1639" t="s">
        <v>25</v>
      </c>
      <c r="B1639" s="2">
        <f t="shared" si="102"/>
        <v>79</v>
      </c>
      <c r="C1639">
        <v>271</v>
      </c>
      <c r="D1639">
        <v>43</v>
      </c>
      <c r="E1639">
        <v>25</v>
      </c>
      <c r="F1639">
        <f t="shared" si="100"/>
        <v>-1.0942909167544057</v>
      </c>
      <c r="G1639">
        <f t="shared" si="101"/>
        <v>-1.290140128130655</v>
      </c>
      <c r="I1639">
        <f t="shared" si="103"/>
        <v>-1.1922155224425304</v>
      </c>
    </row>
    <row r="1640" spans="1:9">
      <c r="A1640" t="s">
        <v>7</v>
      </c>
      <c r="B1640" s="2">
        <f t="shared" si="102"/>
        <v>80</v>
      </c>
      <c r="C1640">
        <v>35</v>
      </c>
      <c r="D1640">
        <v>27</v>
      </c>
      <c r="E1640">
        <v>43</v>
      </c>
      <c r="F1640">
        <f t="shared" si="100"/>
        <v>-0.40749436165087494</v>
      </c>
      <c r="G1640">
        <f t="shared" si="101"/>
        <v>-0.16571043469897601</v>
      </c>
      <c r="I1640">
        <f t="shared" si="103"/>
        <v>-0.2866023981749255</v>
      </c>
    </row>
    <row r="1641" spans="1:9">
      <c r="A1641" t="s">
        <v>8</v>
      </c>
      <c r="B1641" s="2">
        <f t="shared" si="102"/>
        <v>80</v>
      </c>
      <c r="C1641">
        <v>76</v>
      </c>
      <c r="D1641">
        <v>3</v>
      </c>
      <c r="E1641">
        <v>1</v>
      </c>
      <c r="F1641">
        <f t="shared" si="100"/>
        <v>-1.6984824190207157</v>
      </c>
      <c r="G1641">
        <f t="shared" si="101"/>
        <v>-2.1359244382090781</v>
      </c>
      <c r="I1641">
        <f t="shared" si="103"/>
        <v>-1.9172034286148969</v>
      </c>
    </row>
    <row r="1642" spans="1:9">
      <c r="A1642" t="s">
        <v>5</v>
      </c>
      <c r="B1642" s="2">
        <f t="shared" si="102"/>
        <v>80</v>
      </c>
      <c r="C1642">
        <v>117033</v>
      </c>
      <c r="D1642">
        <v>230727</v>
      </c>
      <c r="E1642">
        <v>210581</v>
      </c>
      <c r="F1642">
        <f t="shared" si="100"/>
        <v>0</v>
      </c>
      <c r="G1642">
        <f t="shared" si="101"/>
        <v>0</v>
      </c>
      <c r="I1642">
        <f t="shared" si="103"/>
        <v>0</v>
      </c>
    </row>
    <row r="1643" spans="1:9">
      <c r="A1643" t="s">
        <v>6</v>
      </c>
      <c r="B1643" s="2">
        <f t="shared" si="102"/>
        <v>80</v>
      </c>
      <c r="C1643">
        <v>102</v>
      </c>
      <c r="D1643">
        <v>25</v>
      </c>
      <c r="E1643">
        <v>14</v>
      </c>
      <c r="F1643">
        <f t="shared" ref="F1643:F1706" si="104">LOG10(D1643/C1643)-LOG10(230727/117033)</f>
        <v>-0.90545024454946654</v>
      </c>
      <c r="G1643">
        <f t="shared" ref="G1643:G1706" si="105">LOG10(E1643/C1643)-LOG10(210581/117033)</f>
        <v>-1.1175829820119665</v>
      </c>
      <c r="I1643">
        <f t="shared" si="103"/>
        <v>-1.0115166132807165</v>
      </c>
    </row>
    <row r="1644" spans="1:9">
      <c r="A1644" t="s">
        <v>10</v>
      </c>
      <c r="B1644" s="2">
        <f t="shared" si="102"/>
        <v>80</v>
      </c>
      <c r="C1644">
        <v>85</v>
      </c>
      <c r="D1644">
        <v>1</v>
      </c>
      <c r="E1644">
        <v>1</v>
      </c>
      <c r="F1644">
        <f t="shared" si="104"/>
        <v>-2.2242090071738794</v>
      </c>
      <c r="G1644">
        <f t="shared" si="105"/>
        <v>-2.1845297716425796</v>
      </c>
      <c r="I1644">
        <f t="shared" si="103"/>
        <v>-2.2043693894082295</v>
      </c>
    </row>
    <row r="1645" spans="1:9">
      <c r="A1645" t="s">
        <v>11</v>
      </c>
      <c r="B1645" s="2">
        <f t="shared" si="102"/>
        <v>80</v>
      </c>
      <c r="C1645">
        <v>77</v>
      </c>
      <c r="D1645">
        <v>2</v>
      </c>
      <c r="E1645">
        <v>4</v>
      </c>
      <c r="F1645">
        <f t="shared" si="104"/>
        <v>-1.8802508109680871</v>
      </c>
      <c r="G1645">
        <f t="shared" si="105"/>
        <v>-1.5395415797728065</v>
      </c>
      <c r="I1645">
        <f t="shared" si="103"/>
        <v>-1.7098961953704468</v>
      </c>
    </row>
    <row r="1646" spans="1:9">
      <c r="A1646" t="s">
        <v>12</v>
      </c>
      <c r="B1646" s="2">
        <f t="shared" si="102"/>
        <v>80</v>
      </c>
      <c r="C1646">
        <v>123</v>
      </c>
      <c r="D1646">
        <v>18</v>
      </c>
      <c r="E1646">
        <v>11</v>
      </c>
      <c r="F1646">
        <f t="shared" si="104"/>
        <v>-1.1294226877956786</v>
      </c>
      <c r="G1646">
        <f t="shared" si="105"/>
        <v>-1.3036232722094598</v>
      </c>
      <c r="I1646">
        <f t="shared" si="103"/>
        <v>-1.2165229800025692</v>
      </c>
    </row>
    <row r="1647" spans="1:9">
      <c r="A1647" t="s">
        <v>9</v>
      </c>
      <c r="B1647" s="2">
        <f t="shared" si="102"/>
        <v>80</v>
      </c>
      <c r="C1647">
        <v>25</v>
      </c>
      <c r="D1647">
        <v>12</v>
      </c>
      <c r="E1647">
        <v>11</v>
      </c>
      <c r="F1647">
        <f t="shared" si="104"/>
        <v>-0.61354884408399935</v>
      </c>
      <c r="G1647">
        <f t="shared" si="105"/>
        <v>-0.6116581694420995</v>
      </c>
      <c r="I1647">
        <f t="shared" si="103"/>
        <v>-0.61260350676304942</v>
      </c>
    </row>
    <row r="1648" spans="1:9">
      <c r="A1648" t="s">
        <v>13</v>
      </c>
      <c r="B1648" s="2">
        <f t="shared" si="102"/>
        <v>80</v>
      </c>
      <c r="C1648">
        <v>24</v>
      </c>
      <c r="D1648">
        <v>1</v>
      </c>
      <c r="E1648">
        <v>1</v>
      </c>
      <c r="F1648">
        <f t="shared" si="104"/>
        <v>-1.6750013231711929</v>
      </c>
      <c r="G1648">
        <f t="shared" si="105"/>
        <v>-1.6353220876398931</v>
      </c>
      <c r="I1648">
        <f t="shared" si="103"/>
        <v>-1.655161705405543</v>
      </c>
    </row>
    <row r="1649" spans="1:9">
      <c r="A1649" t="s">
        <v>14</v>
      </c>
      <c r="B1649" s="2">
        <f t="shared" si="102"/>
        <v>80</v>
      </c>
      <c r="C1649">
        <v>42</v>
      </c>
      <c r="D1649">
        <v>2</v>
      </c>
      <c r="E1649">
        <v>2</v>
      </c>
      <c r="F1649">
        <f t="shared" si="104"/>
        <v>-1.617009376193506</v>
      </c>
      <c r="G1649">
        <f t="shared" si="105"/>
        <v>-1.5773301406622062</v>
      </c>
      <c r="I1649">
        <f t="shared" si="103"/>
        <v>-1.5971697584278561</v>
      </c>
    </row>
    <row r="1650" spans="1:9">
      <c r="A1650" t="s">
        <v>15</v>
      </c>
      <c r="B1650" s="2">
        <f t="shared" si="102"/>
        <v>80</v>
      </c>
      <c r="C1650">
        <v>98</v>
      </c>
      <c r="D1650">
        <v>19</v>
      </c>
      <c r="E1650">
        <v>30</v>
      </c>
      <c r="F1650">
        <f t="shared" si="104"/>
        <v>-1.0072625561992525</v>
      </c>
      <c r="G1650">
        <f t="shared" si="105"/>
        <v>-0.76921566690111931</v>
      </c>
      <c r="I1650">
        <f t="shared" si="103"/>
        <v>-0.88823911155018598</v>
      </c>
    </row>
    <row r="1651" spans="1:9">
      <c r="A1651" t="s">
        <v>16</v>
      </c>
      <c r="B1651" s="2">
        <f t="shared" si="102"/>
        <v>80</v>
      </c>
      <c r="C1651">
        <v>118</v>
      </c>
      <c r="D1651">
        <v>1</v>
      </c>
      <c r="E1651">
        <v>1</v>
      </c>
      <c r="F1651">
        <f t="shared" si="104"/>
        <v>-2.366672088765712</v>
      </c>
      <c r="G1651">
        <f t="shared" si="105"/>
        <v>-2.3269928532344126</v>
      </c>
      <c r="I1651">
        <f t="shared" si="103"/>
        <v>-2.3468324710000621</v>
      </c>
    </row>
    <row r="1652" spans="1:9">
      <c r="A1652" t="s">
        <v>17</v>
      </c>
      <c r="B1652" s="2">
        <f t="shared" si="102"/>
        <v>80</v>
      </c>
      <c r="C1652">
        <v>62</v>
      </c>
      <c r="D1652">
        <v>1</v>
      </c>
      <c r="E1652">
        <v>3</v>
      </c>
      <c r="F1652">
        <f t="shared" si="104"/>
        <v>-2.0871817709578404</v>
      </c>
      <c r="G1652">
        <f t="shared" si="105"/>
        <v>-1.5703812807068784</v>
      </c>
      <c r="I1652">
        <f t="shared" si="103"/>
        <v>-1.8287815258323594</v>
      </c>
    </row>
    <row r="1653" spans="1:9">
      <c r="A1653" t="s">
        <v>18</v>
      </c>
      <c r="B1653" s="2">
        <f t="shared" si="102"/>
        <v>80</v>
      </c>
      <c r="C1653">
        <v>143</v>
      </c>
      <c r="D1653">
        <v>4</v>
      </c>
      <c r="E1653">
        <v>3</v>
      </c>
      <c r="F1653">
        <f t="shared" si="104"/>
        <v>-1.8480661275966859</v>
      </c>
      <c r="G1653">
        <f t="shared" si="105"/>
        <v>-1.9333256286736862</v>
      </c>
      <c r="I1653">
        <f t="shared" si="103"/>
        <v>-1.8906958781351859</v>
      </c>
    </row>
    <row r="1654" spans="1:9">
      <c r="A1654" t="s">
        <v>19</v>
      </c>
      <c r="B1654" s="2">
        <f t="shared" si="102"/>
        <v>80</v>
      </c>
      <c r="C1654">
        <v>75</v>
      </c>
      <c r="D1654">
        <v>8</v>
      </c>
      <c r="E1654">
        <v>0</v>
      </c>
      <c r="F1654">
        <f t="shared" si="104"/>
        <v>-1.2667613578593431</v>
      </c>
      <c r="G1654" t="e">
        <f t="shared" si="105"/>
        <v>#NUM!</v>
      </c>
      <c r="I1654" t="e">
        <f t="shared" si="103"/>
        <v>#NUM!</v>
      </c>
    </row>
    <row r="1655" spans="1:9">
      <c r="A1655" t="s">
        <v>20</v>
      </c>
      <c r="B1655" s="2">
        <f t="shared" si="102"/>
        <v>80</v>
      </c>
      <c r="C1655">
        <v>49</v>
      </c>
      <c r="D1655">
        <v>5</v>
      </c>
      <c r="E1655">
        <v>3</v>
      </c>
      <c r="F1655">
        <f t="shared" si="104"/>
        <v>-1.2860161571520816</v>
      </c>
      <c r="G1655">
        <f t="shared" si="105"/>
        <v>-1.4681856712371382</v>
      </c>
      <c r="I1655">
        <f t="shared" si="103"/>
        <v>-1.3771009141946098</v>
      </c>
    </row>
    <row r="1656" spans="1:9">
      <c r="A1656" t="s">
        <v>21</v>
      </c>
      <c r="B1656" s="2">
        <f t="shared" si="102"/>
        <v>80</v>
      </c>
      <c r="C1656">
        <v>63</v>
      </c>
      <c r="D1656">
        <v>4</v>
      </c>
      <c r="E1656">
        <v>2</v>
      </c>
      <c r="F1656">
        <f t="shared" si="104"/>
        <v>-1.4920706395852061</v>
      </c>
      <c r="G1656">
        <f t="shared" si="105"/>
        <v>-1.7534213997178874</v>
      </c>
      <c r="I1656">
        <f t="shared" si="103"/>
        <v>-1.6227460196515469</v>
      </c>
    </row>
    <row r="1657" spans="1:9">
      <c r="A1657" t="s">
        <v>22</v>
      </c>
      <c r="B1657" s="2">
        <f t="shared" si="102"/>
        <v>80</v>
      </c>
      <c r="C1657">
        <v>70</v>
      </c>
      <c r="D1657">
        <v>17</v>
      </c>
      <c r="E1657">
        <v>11</v>
      </c>
      <c r="F1657">
        <f t="shared" si="104"/>
        <v>-0.90943920009556956</v>
      </c>
      <c r="G1657">
        <f t="shared" si="105"/>
        <v>-1.0588162007843187</v>
      </c>
      <c r="I1657">
        <f t="shared" si="103"/>
        <v>-0.98412770043994413</v>
      </c>
    </row>
    <row r="1658" spans="1:9">
      <c r="A1658" t="s">
        <v>23</v>
      </c>
      <c r="B1658" s="2">
        <f t="shared" si="102"/>
        <v>80</v>
      </c>
      <c r="C1658">
        <v>106</v>
      </c>
      <c r="D1658">
        <v>1</v>
      </c>
      <c r="E1658">
        <v>2</v>
      </c>
      <c r="F1658">
        <f t="shared" si="104"/>
        <v>-2.3200959467243569</v>
      </c>
      <c r="G1658">
        <f t="shared" si="105"/>
        <v>-1.9793867155290761</v>
      </c>
      <c r="I1658">
        <f t="shared" si="103"/>
        <v>-2.1497413311267164</v>
      </c>
    </row>
    <row r="1659" spans="1:9">
      <c r="A1659" t="s">
        <v>24</v>
      </c>
      <c r="B1659" s="2">
        <f t="shared" si="102"/>
        <v>80</v>
      </c>
      <c r="C1659">
        <v>109</v>
      </c>
      <c r="D1659">
        <v>2</v>
      </c>
      <c r="E1659">
        <v>0</v>
      </c>
      <c r="F1659">
        <f t="shared" si="104"/>
        <v>-2.0311865837362291</v>
      </c>
      <c r="G1659" t="e">
        <f t="shared" si="105"/>
        <v>#NUM!</v>
      </c>
      <c r="I1659" t="e">
        <f t="shared" si="103"/>
        <v>#NUM!</v>
      </c>
    </row>
    <row r="1660" spans="1:9">
      <c r="A1660" t="s">
        <v>25</v>
      </c>
      <c r="B1660" s="2">
        <f t="shared" si="102"/>
        <v>80</v>
      </c>
      <c r="C1660">
        <v>52</v>
      </c>
      <c r="D1660">
        <v>1</v>
      </c>
      <c r="E1660">
        <v>0</v>
      </c>
      <c r="F1660">
        <f t="shared" si="104"/>
        <v>-2.010793425094386</v>
      </c>
      <c r="G1660" t="e">
        <f t="shared" si="105"/>
        <v>#NUM!</v>
      </c>
      <c r="I1660" t="e">
        <f t="shared" si="103"/>
        <v>#NUM!</v>
      </c>
    </row>
    <row r="1661" spans="1:9">
      <c r="A1661" t="s">
        <v>7</v>
      </c>
      <c r="B1661" s="2">
        <f t="shared" si="102"/>
        <v>81</v>
      </c>
      <c r="C1661">
        <v>10</v>
      </c>
      <c r="D1661">
        <v>0</v>
      </c>
      <c r="E1661">
        <v>2</v>
      </c>
      <c r="F1661" t="e">
        <f t="shared" si="104"/>
        <v>#NUM!</v>
      </c>
      <c r="G1661">
        <f t="shared" si="105"/>
        <v>-0.95408085026430567</v>
      </c>
      <c r="I1661" t="e">
        <f t="shared" si="103"/>
        <v>#NUM!</v>
      </c>
    </row>
    <row r="1662" spans="1:9">
      <c r="A1662" t="s">
        <v>8</v>
      </c>
      <c r="B1662" s="2">
        <f t="shared" si="102"/>
        <v>81</v>
      </c>
      <c r="C1662">
        <v>9</v>
      </c>
      <c r="D1662">
        <v>0</v>
      </c>
      <c r="E1662">
        <v>0</v>
      </c>
      <c r="F1662" t="e">
        <f t="shared" si="104"/>
        <v>#NUM!</v>
      </c>
      <c r="G1662" t="e">
        <f t="shared" si="105"/>
        <v>#NUM!</v>
      </c>
      <c r="I1662" t="e">
        <f t="shared" si="103"/>
        <v>#NUM!</v>
      </c>
    </row>
    <row r="1663" spans="1:9">
      <c r="A1663" t="s">
        <v>5</v>
      </c>
      <c r="B1663" s="2">
        <f t="shared" si="102"/>
        <v>81</v>
      </c>
      <c r="C1663">
        <v>8</v>
      </c>
      <c r="D1663">
        <v>0</v>
      </c>
      <c r="E1663">
        <v>0</v>
      </c>
      <c r="F1663" t="e">
        <f t="shared" si="104"/>
        <v>#NUM!</v>
      </c>
      <c r="G1663" t="e">
        <f t="shared" si="105"/>
        <v>#NUM!</v>
      </c>
      <c r="I1663" t="e">
        <f t="shared" si="103"/>
        <v>#NUM!</v>
      </c>
    </row>
    <row r="1664" spans="1:9">
      <c r="A1664" t="s">
        <v>6</v>
      </c>
      <c r="B1664" s="2">
        <f t="shared" si="102"/>
        <v>81</v>
      </c>
      <c r="C1664">
        <v>9</v>
      </c>
      <c r="D1664">
        <v>2</v>
      </c>
      <c r="E1664">
        <v>0</v>
      </c>
      <c r="F1664">
        <f t="shared" si="104"/>
        <v>-0.94800259523493036</v>
      </c>
      <c r="G1664" t="e">
        <f t="shared" si="105"/>
        <v>#NUM!</v>
      </c>
      <c r="I1664" t="e">
        <f t="shared" si="103"/>
        <v>#NUM!</v>
      </c>
    </row>
    <row r="1665" spans="1:9">
      <c r="A1665" t="s">
        <v>10</v>
      </c>
      <c r="B1665" s="2">
        <f t="shared" si="102"/>
        <v>81</v>
      </c>
      <c r="C1665">
        <v>7</v>
      </c>
      <c r="D1665">
        <v>0</v>
      </c>
      <c r="E1665">
        <v>0</v>
      </c>
      <c r="F1665" t="e">
        <f t="shared" si="104"/>
        <v>#NUM!</v>
      </c>
      <c r="G1665" t="e">
        <f t="shared" si="105"/>
        <v>#NUM!</v>
      </c>
      <c r="I1665" t="e">
        <f t="shared" si="103"/>
        <v>#NUM!</v>
      </c>
    </row>
    <row r="1666" spans="1:9">
      <c r="A1666" t="s">
        <v>11</v>
      </c>
      <c r="B1666" s="2">
        <f t="shared" si="102"/>
        <v>81</v>
      </c>
      <c r="C1666">
        <v>6</v>
      </c>
      <c r="D1666">
        <v>0</v>
      </c>
      <c r="E1666">
        <v>0</v>
      </c>
      <c r="F1666" t="e">
        <f t="shared" si="104"/>
        <v>#NUM!</v>
      </c>
      <c r="G1666" t="e">
        <f t="shared" si="105"/>
        <v>#NUM!</v>
      </c>
      <c r="I1666" t="e">
        <f t="shared" si="103"/>
        <v>#NUM!</v>
      </c>
    </row>
    <row r="1667" spans="1:9">
      <c r="A1667" t="s">
        <v>12</v>
      </c>
      <c r="B1667" s="2">
        <f t="shared" ref="B1667:B1730" si="106">1+INT((ROW()-2)/21)+1</f>
        <v>81</v>
      </c>
      <c r="C1667">
        <v>17</v>
      </c>
      <c r="D1667">
        <v>0</v>
      </c>
      <c r="E1667">
        <v>0</v>
      </c>
      <c r="F1667" t="e">
        <f t="shared" si="104"/>
        <v>#NUM!</v>
      </c>
      <c r="G1667" t="e">
        <f t="shared" si="105"/>
        <v>#NUM!</v>
      </c>
      <c r="I1667" t="e">
        <f t="shared" ref="I1667:I1730" si="107">AVERAGE(F1667:G1667)</f>
        <v>#NUM!</v>
      </c>
    </row>
    <row r="1668" spans="1:9">
      <c r="A1668" t="s">
        <v>9</v>
      </c>
      <c r="B1668" s="2">
        <f t="shared" si="106"/>
        <v>81</v>
      </c>
      <c r="C1668">
        <v>3</v>
      </c>
      <c r="D1668">
        <v>0</v>
      </c>
      <c r="E1668">
        <v>0</v>
      </c>
      <c r="F1668" t="e">
        <f t="shared" si="104"/>
        <v>#NUM!</v>
      </c>
      <c r="G1668" t="e">
        <f t="shared" si="105"/>
        <v>#NUM!</v>
      </c>
      <c r="I1668" t="e">
        <f t="shared" si="107"/>
        <v>#NUM!</v>
      </c>
    </row>
    <row r="1669" spans="1:9">
      <c r="A1669" t="s">
        <v>13</v>
      </c>
      <c r="B1669" s="2">
        <f t="shared" si="106"/>
        <v>81</v>
      </c>
      <c r="C1669">
        <v>4</v>
      </c>
      <c r="D1669">
        <v>0</v>
      </c>
      <c r="E1669">
        <v>0</v>
      </c>
      <c r="F1669" t="e">
        <f t="shared" si="104"/>
        <v>#NUM!</v>
      </c>
      <c r="G1669" t="e">
        <f t="shared" si="105"/>
        <v>#NUM!</v>
      </c>
      <c r="I1669" t="e">
        <f t="shared" si="107"/>
        <v>#NUM!</v>
      </c>
    </row>
    <row r="1670" spans="1:9">
      <c r="A1670" t="s">
        <v>14</v>
      </c>
      <c r="B1670" s="2">
        <f t="shared" si="106"/>
        <v>81</v>
      </c>
      <c r="C1670">
        <v>5</v>
      </c>
      <c r="D1670">
        <v>1</v>
      </c>
      <c r="E1670">
        <v>0</v>
      </c>
      <c r="F1670">
        <f t="shared" si="104"/>
        <v>-0.99376008579560537</v>
      </c>
      <c r="G1670" t="e">
        <f t="shared" si="105"/>
        <v>#NUM!</v>
      </c>
      <c r="I1670" t="e">
        <f t="shared" si="107"/>
        <v>#NUM!</v>
      </c>
    </row>
    <row r="1671" spans="1:9">
      <c r="A1671" t="s">
        <v>15</v>
      </c>
      <c r="B1671" s="2">
        <f t="shared" si="106"/>
        <v>81</v>
      </c>
      <c r="C1671">
        <v>8</v>
      </c>
      <c r="D1671">
        <v>0</v>
      </c>
      <c r="E1671">
        <v>0</v>
      </c>
      <c r="F1671" t="e">
        <f t="shared" si="104"/>
        <v>#NUM!</v>
      </c>
      <c r="G1671" t="e">
        <f t="shared" si="105"/>
        <v>#NUM!</v>
      </c>
      <c r="I1671" t="e">
        <f t="shared" si="107"/>
        <v>#NUM!</v>
      </c>
    </row>
    <row r="1672" spans="1:9">
      <c r="A1672" t="s">
        <v>16</v>
      </c>
      <c r="B1672" s="2">
        <f t="shared" si="106"/>
        <v>81</v>
      </c>
      <c r="C1672">
        <v>5</v>
      </c>
      <c r="D1672">
        <v>0</v>
      </c>
      <c r="E1672">
        <v>0</v>
      </c>
      <c r="F1672" t="e">
        <f t="shared" si="104"/>
        <v>#NUM!</v>
      </c>
      <c r="G1672" t="e">
        <f t="shared" si="105"/>
        <v>#NUM!</v>
      </c>
      <c r="I1672" t="e">
        <f t="shared" si="107"/>
        <v>#NUM!</v>
      </c>
    </row>
    <row r="1673" spans="1:9">
      <c r="A1673" t="s">
        <v>17</v>
      </c>
      <c r="B1673" s="2">
        <f t="shared" si="106"/>
        <v>81</v>
      </c>
      <c r="C1673">
        <v>6</v>
      </c>
      <c r="D1673">
        <v>2</v>
      </c>
      <c r="E1673">
        <v>2</v>
      </c>
      <c r="F1673">
        <f t="shared" si="104"/>
        <v>-0.77191133617924912</v>
      </c>
      <c r="G1673">
        <f t="shared" si="105"/>
        <v>-0.7322321006479493</v>
      </c>
      <c r="I1673">
        <f t="shared" si="107"/>
        <v>-0.75207171841359921</v>
      </c>
    </row>
    <row r="1674" spans="1:9">
      <c r="A1674" t="s">
        <v>18</v>
      </c>
      <c r="B1674" s="2">
        <f t="shared" si="106"/>
        <v>81</v>
      </c>
      <c r="C1674">
        <v>12</v>
      </c>
      <c r="D1674">
        <v>0</v>
      </c>
      <c r="E1674">
        <v>0</v>
      </c>
      <c r="F1674" t="e">
        <f t="shared" si="104"/>
        <v>#NUM!</v>
      </c>
      <c r="G1674" t="e">
        <f t="shared" si="105"/>
        <v>#NUM!</v>
      </c>
      <c r="I1674" t="e">
        <f t="shared" si="107"/>
        <v>#NUM!</v>
      </c>
    </row>
    <row r="1675" spans="1:9">
      <c r="A1675" t="s">
        <v>19</v>
      </c>
      <c r="B1675" s="2">
        <f t="shared" si="106"/>
        <v>81</v>
      </c>
      <c r="C1675">
        <v>5</v>
      </c>
      <c r="D1675">
        <v>0</v>
      </c>
      <c r="E1675">
        <v>0</v>
      </c>
      <c r="F1675" t="e">
        <f t="shared" si="104"/>
        <v>#NUM!</v>
      </c>
      <c r="G1675" t="e">
        <f t="shared" si="105"/>
        <v>#NUM!</v>
      </c>
      <c r="I1675" t="e">
        <f t="shared" si="107"/>
        <v>#NUM!</v>
      </c>
    </row>
    <row r="1676" spans="1:9">
      <c r="A1676" t="s">
        <v>20</v>
      </c>
      <c r="B1676" s="2">
        <f t="shared" si="106"/>
        <v>81</v>
      </c>
      <c r="C1676">
        <v>22</v>
      </c>
      <c r="D1676">
        <v>63</v>
      </c>
      <c r="E1676">
        <v>59</v>
      </c>
      <c r="F1676">
        <f t="shared" si="104"/>
        <v>0.16212778717178888</v>
      </c>
      <c r="G1676">
        <f t="shared" si="105"/>
        <v>0.17331848489165103</v>
      </c>
      <c r="I1676">
        <f t="shared" si="107"/>
        <v>0.16772313603171995</v>
      </c>
    </row>
    <row r="1677" spans="1:9">
      <c r="A1677" t="s">
        <v>21</v>
      </c>
      <c r="B1677" s="2">
        <f t="shared" si="106"/>
        <v>81</v>
      </c>
      <c r="C1677">
        <v>10</v>
      </c>
      <c r="D1677">
        <v>0</v>
      </c>
      <c r="E1677">
        <v>2</v>
      </c>
      <c r="F1677" t="e">
        <f t="shared" si="104"/>
        <v>#NUM!</v>
      </c>
      <c r="G1677">
        <f t="shared" si="105"/>
        <v>-0.95408085026430567</v>
      </c>
      <c r="I1677" t="e">
        <f t="shared" si="107"/>
        <v>#NUM!</v>
      </c>
    </row>
    <row r="1678" spans="1:9">
      <c r="A1678" t="s">
        <v>22</v>
      </c>
      <c r="B1678" s="2">
        <f t="shared" si="106"/>
        <v>81</v>
      </c>
      <c r="C1678">
        <v>7</v>
      </c>
      <c r="D1678">
        <v>0</v>
      </c>
      <c r="E1678">
        <v>2</v>
      </c>
      <c r="F1678" t="e">
        <f t="shared" si="104"/>
        <v>#NUM!</v>
      </c>
      <c r="G1678">
        <f t="shared" si="105"/>
        <v>-0.79917889027856259</v>
      </c>
      <c r="I1678" t="e">
        <f t="shared" si="107"/>
        <v>#NUM!</v>
      </c>
    </row>
    <row r="1679" spans="1:9">
      <c r="A1679" t="s">
        <v>23</v>
      </c>
      <c r="B1679" s="2">
        <f t="shared" si="106"/>
        <v>81</v>
      </c>
      <c r="C1679">
        <v>13</v>
      </c>
      <c r="D1679">
        <v>0</v>
      </c>
      <c r="E1679">
        <v>0</v>
      </c>
      <c r="F1679" t="e">
        <f t="shared" si="104"/>
        <v>#NUM!</v>
      </c>
      <c r="G1679" t="e">
        <f t="shared" si="105"/>
        <v>#NUM!</v>
      </c>
      <c r="I1679" t="e">
        <f t="shared" si="107"/>
        <v>#NUM!</v>
      </c>
    </row>
    <row r="1680" spans="1:9">
      <c r="A1680" t="s">
        <v>24</v>
      </c>
      <c r="B1680" s="2">
        <f t="shared" si="106"/>
        <v>81</v>
      </c>
      <c r="C1680">
        <v>10</v>
      </c>
      <c r="D1680">
        <v>0</v>
      </c>
      <c r="E1680">
        <v>0</v>
      </c>
      <c r="F1680" t="e">
        <f t="shared" si="104"/>
        <v>#NUM!</v>
      </c>
      <c r="G1680" t="e">
        <f t="shared" si="105"/>
        <v>#NUM!</v>
      </c>
      <c r="I1680" t="e">
        <f t="shared" si="107"/>
        <v>#NUM!</v>
      </c>
    </row>
    <row r="1681" spans="1:9">
      <c r="A1681" t="s">
        <v>25</v>
      </c>
      <c r="B1681" s="2">
        <f t="shared" si="106"/>
        <v>81</v>
      </c>
      <c r="C1681">
        <v>8</v>
      </c>
      <c r="D1681">
        <v>1</v>
      </c>
      <c r="E1681">
        <v>0</v>
      </c>
      <c r="F1681">
        <f t="shared" si="104"/>
        <v>-1.1978800684515303</v>
      </c>
      <c r="G1681" t="e">
        <f t="shared" si="105"/>
        <v>#NUM!</v>
      </c>
      <c r="I1681" t="e">
        <f t="shared" si="107"/>
        <v>#NUM!</v>
      </c>
    </row>
    <row r="1682" spans="1:9">
      <c r="A1682" t="s">
        <v>7</v>
      </c>
      <c r="B1682" s="2">
        <f t="shared" si="106"/>
        <v>82</v>
      </c>
      <c r="C1682">
        <v>10</v>
      </c>
      <c r="D1682">
        <v>17</v>
      </c>
      <c r="E1682">
        <v>8</v>
      </c>
      <c r="F1682">
        <f t="shared" si="104"/>
        <v>-6.4341160081312715E-2</v>
      </c>
      <c r="G1682">
        <f t="shared" si="105"/>
        <v>-0.35202085893634333</v>
      </c>
      <c r="I1682">
        <f t="shared" si="107"/>
        <v>-0.20818100950882801</v>
      </c>
    </row>
    <row r="1683" spans="1:9">
      <c r="A1683" t="s">
        <v>8</v>
      </c>
      <c r="B1683" s="2">
        <f t="shared" si="106"/>
        <v>82</v>
      </c>
      <c r="C1683">
        <v>20</v>
      </c>
      <c r="D1683">
        <v>49</v>
      </c>
      <c r="E1683">
        <v>55</v>
      </c>
      <c r="F1683">
        <f t="shared" si="104"/>
        <v>9.4376002904945855E-2</v>
      </c>
      <c r="G1683">
        <f t="shared" si="105"/>
        <v>0.18422184790197571</v>
      </c>
      <c r="I1683">
        <f t="shared" si="107"/>
        <v>0.13929892540346078</v>
      </c>
    </row>
    <row r="1684" spans="1:9">
      <c r="A1684" t="s">
        <v>5</v>
      </c>
      <c r="B1684" s="2">
        <f t="shared" si="106"/>
        <v>82</v>
      </c>
      <c r="C1684">
        <v>3</v>
      </c>
      <c r="D1684">
        <v>0</v>
      </c>
      <c r="E1684">
        <v>0</v>
      </c>
      <c r="F1684" t="e">
        <f t="shared" si="104"/>
        <v>#NUM!</v>
      </c>
      <c r="G1684" t="e">
        <f t="shared" si="105"/>
        <v>#NUM!</v>
      </c>
      <c r="I1684" t="e">
        <f t="shared" si="107"/>
        <v>#NUM!</v>
      </c>
    </row>
    <row r="1685" spans="1:9">
      <c r="A1685" t="s">
        <v>6</v>
      </c>
      <c r="B1685" s="2">
        <f t="shared" si="106"/>
        <v>82</v>
      </c>
      <c r="C1685">
        <v>0</v>
      </c>
      <c r="D1685">
        <v>0</v>
      </c>
      <c r="E1685">
        <v>0</v>
      </c>
      <c r="F1685" t="e">
        <f t="shared" si="104"/>
        <v>#DIV/0!</v>
      </c>
      <c r="G1685" t="e">
        <f t="shared" si="105"/>
        <v>#DIV/0!</v>
      </c>
      <c r="I1685" t="e">
        <f t="shared" si="107"/>
        <v>#DIV/0!</v>
      </c>
    </row>
    <row r="1686" spans="1:9">
      <c r="A1686" t="s">
        <v>10</v>
      </c>
      <c r="B1686" s="2">
        <f t="shared" si="106"/>
        <v>82</v>
      </c>
      <c r="C1686">
        <v>4</v>
      </c>
      <c r="D1686">
        <v>0</v>
      </c>
      <c r="E1686">
        <v>0</v>
      </c>
      <c r="F1686" t="e">
        <f t="shared" si="104"/>
        <v>#NUM!</v>
      </c>
      <c r="G1686" t="e">
        <f t="shared" si="105"/>
        <v>#NUM!</v>
      </c>
      <c r="I1686" t="e">
        <f t="shared" si="107"/>
        <v>#NUM!</v>
      </c>
    </row>
    <row r="1687" spans="1:9">
      <c r="A1687" t="s">
        <v>11</v>
      </c>
      <c r="B1687" s="2">
        <f t="shared" si="106"/>
        <v>82</v>
      </c>
      <c r="C1687">
        <v>3</v>
      </c>
      <c r="D1687">
        <v>0</v>
      </c>
      <c r="E1687">
        <v>1</v>
      </c>
      <c r="F1687" t="e">
        <f t="shared" si="104"/>
        <v>#NUM!</v>
      </c>
      <c r="G1687">
        <f t="shared" si="105"/>
        <v>-0.7322321006479493</v>
      </c>
      <c r="I1687" t="e">
        <f t="shared" si="107"/>
        <v>#NUM!</v>
      </c>
    </row>
    <row r="1688" spans="1:9">
      <c r="A1688" t="s">
        <v>12</v>
      </c>
      <c r="B1688" s="2">
        <f t="shared" si="106"/>
        <v>82</v>
      </c>
      <c r="C1688">
        <v>1</v>
      </c>
      <c r="D1688">
        <v>0</v>
      </c>
      <c r="E1688">
        <v>0</v>
      </c>
      <c r="F1688" t="e">
        <f t="shared" si="104"/>
        <v>#NUM!</v>
      </c>
      <c r="G1688" t="e">
        <f t="shared" si="105"/>
        <v>#NUM!</v>
      </c>
      <c r="I1688" t="e">
        <f t="shared" si="107"/>
        <v>#NUM!</v>
      </c>
    </row>
    <row r="1689" spans="1:9">
      <c r="A1689" t="s">
        <v>9</v>
      </c>
      <c r="B1689" s="2">
        <f t="shared" si="106"/>
        <v>82</v>
      </c>
      <c r="C1689">
        <v>5</v>
      </c>
      <c r="D1689">
        <v>0</v>
      </c>
      <c r="E1689">
        <v>1</v>
      </c>
      <c r="F1689" t="e">
        <f t="shared" si="104"/>
        <v>#NUM!</v>
      </c>
      <c r="G1689">
        <f t="shared" si="105"/>
        <v>-0.95408085026430567</v>
      </c>
      <c r="I1689" t="e">
        <f t="shared" si="107"/>
        <v>#NUM!</v>
      </c>
    </row>
    <row r="1690" spans="1:9">
      <c r="A1690" t="s">
        <v>13</v>
      </c>
      <c r="B1690" s="2">
        <f t="shared" si="106"/>
        <v>82</v>
      </c>
      <c r="C1690">
        <v>3</v>
      </c>
      <c r="D1690">
        <v>1</v>
      </c>
      <c r="E1690">
        <v>0</v>
      </c>
      <c r="F1690">
        <f t="shared" si="104"/>
        <v>-0.77191133617924912</v>
      </c>
      <c r="G1690" t="e">
        <f t="shared" si="105"/>
        <v>#NUM!</v>
      </c>
      <c r="I1690" t="e">
        <f t="shared" si="107"/>
        <v>#NUM!</v>
      </c>
    </row>
    <row r="1691" spans="1:9">
      <c r="A1691" t="s">
        <v>14</v>
      </c>
      <c r="B1691" s="2">
        <f t="shared" si="106"/>
        <v>82</v>
      </c>
      <c r="C1691">
        <v>0</v>
      </c>
      <c r="D1691">
        <v>0</v>
      </c>
      <c r="E1691">
        <v>2</v>
      </c>
      <c r="F1691" t="e">
        <f t="shared" si="104"/>
        <v>#DIV/0!</v>
      </c>
      <c r="G1691" t="e">
        <f t="shared" si="105"/>
        <v>#DIV/0!</v>
      </c>
      <c r="I1691" t="e">
        <f t="shared" si="107"/>
        <v>#DIV/0!</v>
      </c>
    </row>
    <row r="1692" spans="1:9">
      <c r="A1692" t="s">
        <v>15</v>
      </c>
      <c r="B1692" s="2">
        <f t="shared" si="106"/>
        <v>82</v>
      </c>
      <c r="C1692">
        <v>0</v>
      </c>
      <c r="D1692">
        <v>0</v>
      </c>
      <c r="E1692">
        <v>2</v>
      </c>
      <c r="F1692" t="e">
        <f t="shared" si="104"/>
        <v>#DIV/0!</v>
      </c>
      <c r="G1692" t="e">
        <f t="shared" si="105"/>
        <v>#DIV/0!</v>
      </c>
      <c r="I1692" t="e">
        <f t="shared" si="107"/>
        <v>#DIV/0!</v>
      </c>
    </row>
    <row r="1693" spans="1:9">
      <c r="A1693" t="s">
        <v>16</v>
      </c>
      <c r="B1693" s="2">
        <f t="shared" si="106"/>
        <v>82</v>
      </c>
      <c r="C1693">
        <v>0</v>
      </c>
      <c r="D1693">
        <v>1</v>
      </c>
      <c r="E1693">
        <v>1</v>
      </c>
      <c r="F1693" t="e">
        <f t="shared" si="104"/>
        <v>#DIV/0!</v>
      </c>
      <c r="G1693" t="e">
        <f t="shared" si="105"/>
        <v>#DIV/0!</v>
      </c>
      <c r="I1693" t="e">
        <f t="shared" si="107"/>
        <v>#DIV/0!</v>
      </c>
    </row>
    <row r="1694" spans="1:9">
      <c r="A1694" t="s">
        <v>17</v>
      </c>
      <c r="B1694" s="2">
        <f t="shared" si="106"/>
        <v>82</v>
      </c>
      <c r="C1694">
        <v>5</v>
      </c>
      <c r="D1694">
        <v>0</v>
      </c>
      <c r="E1694">
        <v>0</v>
      </c>
      <c r="F1694" t="e">
        <f t="shared" si="104"/>
        <v>#NUM!</v>
      </c>
      <c r="G1694" t="e">
        <f t="shared" si="105"/>
        <v>#NUM!</v>
      </c>
      <c r="I1694" t="e">
        <f t="shared" si="107"/>
        <v>#NUM!</v>
      </c>
    </row>
    <row r="1695" spans="1:9">
      <c r="A1695" t="s">
        <v>18</v>
      </c>
      <c r="B1695" s="2">
        <f t="shared" si="106"/>
        <v>82</v>
      </c>
      <c r="C1695">
        <v>2</v>
      </c>
      <c r="D1695">
        <v>0</v>
      </c>
      <c r="E1695">
        <v>0</v>
      </c>
      <c r="F1695" t="e">
        <f t="shared" si="104"/>
        <v>#NUM!</v>
      </c>
      <c r="G1695" t="e">
        <f t="shared" si="105"/>
        <v>#NUM!</v>
      </c>
      <c r="I1695" t="e">
        <f t="shared" si="107"/>
        <v>#NUM!</v>
      </c>
    </row>
    <row r="1696" spans="1:9">
      <c r="A1696" t="s">
        <v>19</v>
      </c>
      <c r="B1696" s="2">
        <f t="shared" si="106"/>
        <v>82</v>
      </c>
      <c r="C1696">
        <v>5</v>
      </c>
      <c r="D1696">
        <v>1</v>
      </c>
      <c r="E1696">
        <v>0</v>
      </c>
      <c r="F1696">
        <f t="shared" si="104"/>
        <v>-0.99376008579560537</v>
      </c>
      <c r="G1696" t="e">
        <f t="shared" si="105"/>
        <v>#NUM!</v>
      </c>
      <c r="I1696" t="e">
        <f t="shared" si="107"/>
        <v>#NUM!</v>
      </c>
    </row>
    <row r="1697" spans="1:9">
      <c r="A1697" t="s">
        <v>20</v>
      </c>
      <c r="B1697" s="2">
        <f t="shared" si="106"/>
        <v>82</v>
      </c>
      <c r="C1697">
        <v>2</v>
      </c>
      <c r="D1697">
        <v>0</v>
      </c>
      <c r="E1697">
        <v>0</v>
      </c>
      <c r="F1697" t="e">
        <f t="shared" si="104"/>
        <v>#NUM!</v>
      </c>
      <c r="G1697" t="e">
        <f t="shared" si="105"/>
        <v>#NUM!</v>
      </c>
      <c r="I1697" t="e">
        <f t="shared" si="107"/>
        <v>#NUM!</v>
      </c>
    </row>
    <row r="1698" spans="1:9">
      <c r="A1698" t="s">
        <v>21</v>
      </c>
      <c r="B1698" s="2">
        <f t="shared" si="106"/>
        <v>82</v>
      </c>
      <c r="C1698">
        <v>0</v>
      </c>
      <c r="D1698">
        <v>0</v>
      </c>
      <c r="E1698">
        <v>0</v>
      </c>
      <c r="F1698" t="e">
        <f t="shared" si="104"/>
        <v>#DIV/0!</v>
      </c>
      <c r="G1698" t="e">
        <f t="shared" si="105"/>
        <v>#DIV/0!</v>
      </c>
      <c r="I1698" t="e">
        <f t="shared" si="107"/>
        <v>#DIV/0!</v>
      </c>
    </row>
    <row r="1699" spans="1:9">
      <c r="A1699" t="s">
        <v>22</v>
      </c>
      <c r="B1699" s="2">
        <f t="shared" si="106"/>
        <v>82</v>
      </c>
      <c r="C1699">
        <v>2</v>
      </c>
      <c r="D1699">
        <v>0</v>
      </c>
      <c r="E1699">
        <v>0</v>
      </c>
      <c r="F1699" t="e">
        <f t="shared" si="104"/>
        <v>#NUM!</v>
      </c>
      <c r="G1699" t="e">
        <f t="shared" si="105"/>
        <v>#NUM!</v>
      </c>
      <c r="I1699" t="e">
        <f t="shared" si="107"/>
        <v>#NUM!</v>
      </c>
    </row>
    <row r="1700" spans="1:9">
      <c r="A1700" t="s">
        <v>23</v>
      </c>
      <c r="B1700" s="2">
        <f t="shared" si="106"/>
        <v>82</v>
      </c>
      <c r="C1700">
        <v>0</v>
      </c>
      <c r="D1700">
        <v>0</v>
      </c>
      <c r="E1700">
        <v>0</v>
      </c>
      <c r="F1700" t="e">
        <f t="shared" si="104"/>
        <v>#DIV/0!</v>
      </c>
      <c r="G1700" t="e">
        <f t="shared" si="105"/>
        <v>#DIV/0!</v>
      </c>
      <c r="I1700" t="e">
        <f t="shared" si="107"/>
        <v>#DIV/0!</v>
      </c>
    </row>
    <row r="1701" spans="1:9">
      <c r="A1701" t="s">
        <v>24</v>
      </c>
      <c r="B1701" s="2">
        <f t="shared" si="106"/>
        <v>82</v>
      </c>
      <c r="C1701">
        <v>1</v>
      </c>
      <c r="D1701">
        <v>1</v>
      </c>
      <c r="E1701">
        <v>0</v>
      </c>
      <c r="F1701">
        <f t="shared" si="104"/>
        <v>-0.29479008145958663</v>
      </c>
      <c r="G1701" t="e">
        <f t="shared" si="105"/>
        <v>#NUM!</v>
      </c>
      <c r="I1701" t="e">
        <f t="shared" si="107"/>
        <v>#NUM!</v>
      </c>
    </row>
    <row r="1702" spans="1:9">
      <c r="A1702" t="s">
        <v>25</v>
      </c>
      <c r="B1702" s="2">
        <f t="shared" si="106"/>
        <v>82</v>
      </c>
      <c r="C1702">
        <v>3</v>
      </c>
      <c r="D1702">
        <v>0</v>
      </c>
      <c r="E1702">
        <v>0</v>
      </c>
      <c r="F1702" t="e">
        <f t="shared" si="104"/>
        <v>#NUM!</v>
      </c>
      <c r="G1702" t="e">
        <f t="shared" si="105"/>
        <v>#NUM!</v>
      </c>
      <c r="I1702" t="e">
        <f t="shared" si="107"/>
        <v>#NUM!</v>
      </c>
    </row>
    <row r="1703" spans="1:9">
      <c r="A1703" t="s">
        <v>7</v>
      </c>
      <c r="B1703" s="2">
        <f t="shared" si="106"/>
        <v>83</v>
      </c>
      <c r="C1703">
        <v>0</v>
      </c>
      <c r="D1703">
        <v>0</v>
      </c>
      <c r="E1703">
        <v>0</v>
      </c>
      <c r="F1703" t="e">
        <f t="shared" si="104"/>
        <v>#DIV/0!</v>
      </c>
      <c r="G1703" t="e">
        <f t="shared" si="105"/>
        <v>#DIV/0!</v>
      </c>
      <c r="I1703" t="e">
        <f t="shared" si="107"/>
        <v>#DIV/0!</v>
      </c>
    </row>
    <row r="1704" spans="1:9">
      <c r="A1704" t="s">
        <v>8</v>
      </c>
      <c r="B1704" s="2">
        <f t="shared" si="106"/>
        <v>83</v>
      </c>
      <c r="C1704">
        <v>2</v>
      </c>
      <c r="D1704">
        <v>0</v>
      </c>
      <c r="E1704">
        <v>0</v>
      </c>
      <c r="F1704" t="e">
        <f t="shared" si="104"/>
        <v>#NUM!</v>
      </c>
      <c r="G1704" t="e">
        <f t="shared" si="105"/>
        <v>#NUM!</v>
      </c>
      <c r="I1704" t="e">
        <f t="shared" si="107"/>
        <v>#NUM!</v>
      </c>
    </row>
    <row r="1705" spans="1:9">
      <c r="A1705" t="s">
        <v>5</v>
      </c>
      <c r="B1705" s="2">
        <f t="shared" si="106"/>
        <v>83</v>
      </c>
      <c r="C1705">
        <v>0</v>
      </c>
      <c r="D1705">
        <v>0</v>
      </c>
      <c r="E1705">
        <v>0</v>
      </c>
      <c r="F1705" t="e">
        <f t="shared" si="104"/>
        <v>#DIV/0!</v>
      </c>
      <c r="G1705" t="e">
        <f t="shared" si="105"/>
        <v>#DIV/0!</v>
      </c>
      <c r="I1705" t="e">
        <f t="shared" si="107"/>
        <v>#DIV/0!</v>
      </c>
    </row>
    <row r="1706" spans="1:9">
      <c r="A1706" t="s">
        <v>6</v>
      </c>
      <c r="B1706" s="2">
        <f t="shared" si="106"/>
        <v>83</v>
      </c>
      <c r="C1706">
        <v>2</v>
      </c>
      <c r="D1706">
        <v>0</v>
      </c>
      <c r="E1706">
        <v>0</v>
      </c>
      <c r="F1706" t="e">
        <f t="shared" si="104"/>
        <v>#NUM!</v>
      </c>
      <c r="G1706" t="e">
        <f t="shared" si="105"/>
        <v>#NUM!</v>
      </c>
      <c r="I1706" t="e">
        <f t="shared" si="107"/>
        <v>#NUM!</v>
      </c>
    </row>
    <row r="1707" spans="1:9">
      <c r="A1707" t="s">
        <v>10</v>
      </c>
      <c r="B1707" s="2">
        <f t="shared" si="106"/>
        <v>83</v>
      </c>
      <c r="C1707">
        <v>0</v>
      </c>
      <c r="D1707">
        <v>0</v>
      </c>
      <c r="E1707">
        <v>0</v>
      </c>
      <c r="F1707" t="e">
        <f t="shared" ref="F1707:F1770" si="108">LOG10(D1707/C1707)-LOG10(230727/117033)</f>
        <v>#DIV/0!</v>
      </c>
      <c r="G1707" t="e">
        <f t="shared" ref="G1707:G1770" si="109">LOG10(E1707/C1707)-LOG10(210581/117033)</f>
        <v>#DIV/0!</v>
      </c>
      <c r="I1707" t="e">
        <f t="shared" si="107"/>
        <v>#DIV/0!</v>
      </c>
    </row>
    <row r="1708" spans="1:9">
      <c r="A1708" t="s">
        <v>11</v>
      </c>
      <c r="B1708" s="2">
        <f t="shared" si="106"/>
        <v>83</v>
      </c>
      <c r="C1708">
        <v>1</v>
      </c>
      <c r="D1708">
        <v>0</v>
      </c>
      <c r="E1708">
        <v>0</v>
      </c>
      <c r="F1708" t="e">
        <f t="shared" si="108"/>
        <v>#NUM!</v>
      </c>
      <c r="G1708" t="e">
        <f t="shared" si="109"/>
        <v>#NUM!</v>
      </c>
      <c r="I1708" t="e">
        <f t="shared" si="107"/>
        <v>#NUM!</v>
      </c>
    </row>
    <row r="1709" spans="1:9">
      <c r="A1709" t="s">
        <v>12</v>
      </c>
      <c r="B1709" s="2">
        <f t="shared" si="106"/>
        <v>83</v>
      </c>
      <c r="C1709">
        <v>0</v>
      </c>
      <c r="D1709">
        <v>1</v>
      </c>
      <c r="E1709">
        <v>0</v>
      </c>
      <c r="F1709" t="e">
        <f t="shared" si="108"/>
        <v>#DIV/0!</v>
      </c>
      <c r="G1709" t="e">
        <f t="shared" si="109"/>
        <v>#DIV/0!</v>
      </c>
      <c r="I1709" t="e">
        <f t="shared" si="107"/>
        <v>#DIV/0!</v>
      </c>
    </row>
    <row r="1710" spans="1:9">
      <c r="A1710" t="s">
        <v>9</v>
      </c>
      <c r="B1710" s="2">
        <f t="shared" si="106"/>
        <v>83</v>
      </c>
      <c r="C1710">
        <v>0</v>
      </c>
      <c r="D1710">
        <v>0</v>
      </c>
      <c r="E1710">
        <v>0</v>
      </c>
      <c r="F1710" t="e">
        <f t="shared" si="108"/>
        <v>#DIV/0!</v>
      </c>
      <c r="G1710" t="e">
        <f t="shared" si="109"/>
        <v>#DIV/0!</v>
      </c>
      <c r="I1710" t="e">
        <f t="shared" si="107"/>
        <v>#DIV/0!</v>
      </c>
    </row>
    <row r="1711" spans="1:9">
      <c r="A1711" t="s">
        <v>13</v>
      </c>
      <c r="B1711" s="2">
        <f t="shared" si="106"/>
        <v>83</v>
      </c>
      <c r="C1711">
        <v>4</v>
      </c>
      <c r="D1711">
        <v>0</v>
      </c>
      <c r="E1711">
        <v>0</v>
      </c>
      <c r="F1711" t="e">
        <f t="shared" si="108"/>
        <v>#NUM!</v>
      </c>
      <c r="G1711" t="e">
        <f t="shared" si="109"/>
        <v>#NUM!</v>
      </c>
      <c r="I1711" t="e">
        <f t="shared" si="107"/>
        <v>#NUM!</v>
      </c>
    </row>
    <row r="1712" spans="1:9">
      <c r="A1712" t="s">
        <v>14</v>
      </c>
      <c r="B1712" s="2">
        <f t="shared" si="106"/>
        <v>83</v>
      </c>
      <c r="C1712">
        <v>18</v>
      </c>
      <c r="D1712">
        <v>20</v>
      </c>
      <c r="E1712">
        <v>22</v>
      </c>
      <c r="F1712">
        <f t="shared" si="108"/>
        <v>-0.2490325908989115</v>
      </c>
      <c r="G1712">
        <f t="shared" si="109"/>
        <v>-0.16796067020938671</v>
      </c>
      <c r="I1712">
        <f t="shared" si="107"/>
        <v>-0.2084966305541491</v>
      </c>
    </row>
    <row r="1713" spans="1:9">
      <c r="A1713" t="s">
        <v>15</v>
      </c>
      <c r="B1713" s="2">
        <f t="shared" si="106"/>
        <v>83</v>
      </c>
      <c r="C1713">
        <v>1</v>
      </c>
      <c r="D1713">
        <v>0</v>
      </c>
      <c r="E1713">
        <v>3</v>
      </c>
      <c r="F1713" t="e">
        <f t="shared" si="108"/>
        <v>#NUM!</v>
      </c>
      <c r="G1713">
        <f t="shared" si="109"/>
        <v>0.22201040879137551</v>
      </c>
      <c r="I1713" t="e">
        <f t="shared" si="107"/>
        <v>#NUM!</v>
      </c>
    </row>
    <row r="1714" spans="1:9">
      <c r="A1714" t="s">
        <v>16</v>
      </c>
      <c r="B1714" s="2">
        <f t="shared" si="106"/>
        <v>83</v>
      </c>
      <c r="C1714">
        <v>0</v>
      </c>
      <c r="D1714">
        <v>0</v>
      </c>
      <c r="E1714">
        <v>0</v>
      </c>
      <c r="F1714" t="e">
        <f t="shared" si="108"/>
        <v>#DIV/0!</v>
      </c>
      <c r="G1714" t="e">
        <f t="shared" si="109"/>
        <v>#DIV/0!</v>
      </c>
      <c r="I1714" t="e">
        <f t="shared" si="107"/>
        <v>#DIV/0!</v>
      </c>
    </row>
    <row r="1715" spans="1:9">
      <c r="A1715" t="s">
        <v>17</v>
      </c>
      <c r="B1715" s="2">
        <f t="shared" si="106"/>
        <v>83</v>
      </c>
      <c r="C1715">
        <v>3</v>
      </c>
      <c r="D1715">
        <v>0</v>
      </c>
      <c r="E1715">
        <v>0</v>
      </c>
      <c r="F1715" t="e">
        <f t="shared" si="108"/>
        <v>#NUM!</v>
      </c>
      <c r="G1715" t="e">
        <f t="shared" si="109"/>
        <v>#NUM!</v>
      </c>
      <c r="I1715" t="e">
        <f t="shared" si="107"/>
        <v>#NUM!</v>
      </c>
    </row>
    <row r="1716" spans="1:9">
      <c r="A1716" t="s">
        <v>18</v>
      </c>
      <c r="B1716" s="2">
        <f t="shared" si="106"/>
        <v>83</v>
      </c>
      <c r="C1716">
        <v>2</v>
      </c>
      <c r="D1716">
        <v>4</v>
      </c>
      <c r="E1716">
        <v>3</v>
      </c>
      <c r="F1716">
        <f t="shared" si="108"/>
        <v>6.2399142043945699E-3</v>
      </c>
      <c r="G1716">
        <f t="shared" si="109"/>
        <v>-7.9019586872605685E-2</v>
      </c>
      <c r="I1716">
        <f t="shared" si="107"/>
        <v>-3.6389836334105558E-2</v>
      </c>
    </row>
    <row r="1717" spans="1:9">
      <c r="A1717" t="s">
        <v>19</v>
      </c>
      <c r="B1717" s="2">
        <f t="shared" si="106"/>
        <v>83</v>
      </c>
      <c r="C1717">
        <v>5</v>
      </c>
      <c r="D1717">
        <v>3</v>
      </c>
      <c r="E1717">
        <v>5</v>
      </c>
      <c r="F1717">
        <f t="shared" si="108"/>
        <v>-0.51663883107594299</v>
      </c>
      <c r="G1717">
        <f t="shared" si="109"/>
        <v>-0.25511084592828692</v>
      </c>
      <c r="I1717">
        <f t="shared" si="107"/>
        <v>-0.38587483850211496</v>
      </c>
    </row>
    <row r="1718" spans="1:9">
      <c r="A1718" t="s">
        <v>20</v>
      </c>
      <c r="B1718" s="2">
        <f t="shared" si="106"/>
        <v>83</v>
      </c>
      <c r="C1718">
        <v>10</v>
      </c>
      <c r="D1718">
        <v>4</v>
      </c>
      <c r="E1718">
        <v>5</v>
      </c>
      <c r="F1718">
        <f t="shared" si="108"/>
        <v>-0.69273009013162423</v>
      </c>
      <c r="G1718">
        <f t="shared" si="109"/>
        <v>-0.55614084159226818</v>
      </c>
      <c r="I1718">
        <f t="shared" si="107"/>
        <v>-0.6244354658619462</v>
      </c>
    </row>
    <row r="1719" spans="1:9">
      <c r="A1719" t="s">
        <v>21</v>
      </c>
      <c r="B1719" s="2">
        <f t="shared" si="106"/>
        <v>83</v>
      </c>
      <c r="C1719">
        <v>1</v>
      </c>
      <c r="D1719">
        <v>0</v>
      </c>
      <c r="E1719">
        <v>0</v>
      </c>
      <c r="F1719" t="e">
        <f t="shared" si="108"/>
        <v>#NUM!</v>
      </c>
      <c r="G1719" t="e">
        <f t="shared" si="109"/>
        <v>#NUM!</v>
      </c>
      <c r="I1719" t="e">
        <f t="shared" si="107"/>
        <v>#NUM!</v>
      </c>
    </row>
    <row r="1720" spans="1:9">
      <c r="A1720" t="s">
        <v>22</v>
      </c>
      <c r="B1720" s="2">
        <f t="shared" si="106"/>
        <v>83</v>
      </c>
      <c r="C1720">
        <v>13</v>
      </c>
      <c r="D1720">
        <v>15</v>
      </c>
      <c r="E1720">
        <v>12</v>
      </c>
      <c r="F1720">
        <f t="shared" si="108"/>
        <v>-0.23264217471074219</v>
      </c>
      <c r="G1720">
        <f t="shared" si="109"/>
        <v>-0.28987295218749887</v>
      </c>
      <c r="I1720">
        <f t="shared" si="107"/>
        <v>-0.26125756344912054</v>
      </c>
    </row>
    <row r="1721" spans="1:9">
      <c r="A1721" t="s">
        <v>23</v>
      </c>
      <c r="B1721" s="2">
        <f t="shared" si="106"/>
        <v>83</v>
      </c>
      <c r="C1721">
        <v>117033</v>
      </c>
      <c r="D1721">
        <v>230727</v>
      </c>
      <c r="E1721">
        <v>210581</v>
      </c>
      <c r="F1721">
        <f t="shared" si="108"/>
        <v>0</v>
      </c>
      <c r="G1721">
        <f t="shared" si="109"/>
        <v>0</v>
      </c>
      <c r="I1721">
        <f t="shared" si="107"/>
        <v>0</v>
      </c>
    </row>
    <row r="1722" spans="1:9">
      <c r="A1722" t="s">
        <v>24</v>
      </c>
      <c r="B1722" s="2">
        <f t="shared" si="106"/>
        <v>83</v>
      </c>
      <c r="C1722">
        <v>2</v>
      </c>
      <c r="D1722">
        <v>0</v>
      </c>
      <c r="E1722">
        <v>0</v>
      </c>
      <c r="F1722" t="e">
        <f t="shared" si="108"/>
        <v>#NUM!</v>
      </c>
      <c r="G1722" t="e">
        <f t="shared" si="109"/>
        <v>#NUM!</v>
      </c>
      <c r="I1722" t="e">
        <f t="shared" si="107"/>
        <v>#NUM!</v>
      </c>
    </row>
    <row r="1723" spans="1:9">
      <c r="A1723" t="s">
        <v>25</v>
      </c>
      <c r="B1723" s="2">
        <f t="shared" si="106"/>
        <v>83</v>
      </c>
      <c r="C1723">
        <v>1</v>
      </c>
      <c r="D1723">
        <v>0</v>
      </c>
      <c r="E1723">
        <v>0</v>
      </c>
      <c r="F1723" t="e">
        <f t="shared" si="108"/>
        <v>#NUM!</v>
      </c>
      <c r="G1723" t="e">
        <f t="shared" si="109"/>
        <v>#NUM!</v>
      </c>
      <c r="I1723" t="e">
        <f t="shared" si="107"/>
        <v>#NUM!</v>
      </c>
    </row>
    <row r="1724" spans="1:9">
      <c r="A1724" t="s">
        <v>7</v>
      </c>
      <c r="B1724" s="2">
        <f t="shared" si="106"/>
        <v>84</v>
      </c>
      <c r="C1724">
        <v>0</v>
      </c>
      <c r="D1724">
        <v>0</v>
      </c>
      <c r="E1724">
        <v>0</v>
      </c>
      <c r="F1724" t="e">
        <f t="shared" si="108"/>
        <v>#DIV/0!</v>
      </c>
      <c r="G1724" t="e">
        <f t="shared" si="109"/>
        <v>#DIV/0!</v>
      </c>
      <c r="I1724" t="e">
        <f t="shared" si="107"/>
        <v>#DIV/0!</v>
      </c>
    </row>
    <row r="1725" spans="1:9">
      <c r="A1725" t="s">
        <v>8</v>
      </c>
      <c r="B1725" s="2">
        <f t="shared" si="106"/>
        <v>84</v>
      </c>
      <c r="C1725">
        <v>18</v>
      </c>
      <c r="D1725">
        <v>33</v>
      </c>
      <c r="E1725">
        <v>28</v>
      </c>
      <c r="F1725">
        <f t="shared" si="108"/>
        <v>-3.1548646685005233E-2</v>
      </c>
      <c r="G1725">
        <f t="shared" si="109"/>
        <v>-6.3225319689373755E-2</v>
      </c>
      <c r="I1725">
        <f t="shared" si="107"/>
        <v>-4.7386983187189494E-2</v>
      </c>
    </row>
    <row r="1726" spans="1:9">
      <c r="A1726" t="s">
        <v>5</v>
      </c>
      <c r="B1726" s="2">
        <f t="shared" si="106"/>
        <v>84</v>
      </c>
      <c r="C1726">
        <v>0</v>
      </c>
      <c r="D1726">
        <v>0</v>
      </c>
      <c r="E1726">
        <v>0</v>
      </c>
      <c r="F1726" t="e">
        <f t="shared" si="108"/>
        <v>#DIV/0!</v>
      </c>
      <c r="G1726" t="e">
        <f t="shared" si="109"/>
        <v>#DIV/0!</v>
      </c>
      <c r="I1726" t="e">
        <f t="shared" si="107"/>
        <v>#DIV/0!</v>
      </c>
    </row>
    <row r="1727" spans="1:9">
      <c r="A1727" t="s">
        <v>6</v>
      </c>
      <c r="B1727" s="2">
        <f t="shared" si="106"/>
        <v>84</v>
      </c>
      <c r="C1727">
        <v>0</v>
      </c>
      <c r="D1727">
        <v>0</v>
      </c>
      <c r="E1727">
        <v>0</v>
      </c>
      <c r="F1727" t="e">
        <f t="shared" si="108"/>
        <v>#DIV/0!</v>
      </c>
      <c r="G1727" t="e">
        <f t="shared" si="109"/>
        <v>#DIV/0!</v>
      </c>
      <c r="I1727" t="e">
        <f t="shared" si="107"/>
        <v>#DIV/0!</v>
      </c>
    </row>
    <row r="1728" spans="1:9">
      <c r="A1728" t="s">
        <v>10</v>
      </c>
      <c r="B1728" s="2">
        <f t="shared" si="106"/>
        <v>84</v>
      </c>
      <c r="C1728">
        <v>0</v>
      </c>
      <c r="D1728">
        <v>0</v>
      </c>
      <c r="E1728">
        <v>0</v>
      </c>
      <c r="F1728" t="e">
        <f t="shared" si="108"/>
        <v>#DIV/0!</v>
      </c>
      <c r="G1728" t="e">
        <f t="shared" si="109"/>
        <v>#DIV/0!</v>
      </c>
      <c r="I1728" t="e">
        <f t="shared" si="107"/>
        <v>#DIV/0!</v>
      </c>
    </row>
    <row r="1729" spans="1:9">
      <c r="A1729" t="s">
        <v>11</v>
      </c>
      <c r="B1729" s="2">
        <f t="shared" si="106"/>
        <v>84</v>
      </c>
      <c r="C1729">
        <v>0</v>
      </c>
      <c r="D1729">
        <v>0</v>
      </c>
      <c r="E1729">
        <v>0</v>
      </c>
      <c r="F1729" t="e">
        <f t="shared" si="108"/>
        <v>#DIV/0!</v>
      </c>
      <c r="G1729" t="e">
        <f t="shared" si="109"/>
        <v>#DIV/0!</v>
      </c>
      <c r="I1729" t="e">
        <f t="shared" si="107"/>
        <v>#DIV/0!</v>
      </c>
    </row>
    <row r="1730" spans="1:9">
      <c r="A1730" t="s">
        <v>12</v>
      </c>
      <c r="B1730" s="2">
        <f t="shared" si="106"/>
        <v>84</v>
      </c>
      <c r="C1730">
        <v>0</v>
      </c>
      <c r="D1730">
        <v>0</v>
      </c>
      <c r="E1730">
        <v>0</v>
      </c>
      <c r="F1730" t="e">
        <f t="shared" si="108"/>
        <v>#DIV/0!</v>
      </c>
      <c r="G1730" t="e">
        <f t="shared" si="109"/>
        <v>#DIV/0!</v>
      </c>
      <c r="I1730" t="e">
        <f t="shared" si="107"/>
        <v>#DIV/0!</v>
      </c>
    </row>
    <row r="1731" spans="1:9">
      <c r="A1731" t="s">
        <v>9</v>
      </c>
      <c r="B1731" s="2">
        <f t="shared" ref="B1731:B1794" si="110">1+INT((ROW()-2)/21)+1</f>
        <v>84</v>
      </c>
      <c r="C1731">
        <v>0</v>
      </c>
      <c r="D1731">
        <v>0</v>
      </c>
      <c r="E1731">
        <v>0</v>
      </c>
      <c r="F1731" t="e">
        <f t="shared" si="108"/>
        <v>#DIV/0!</v>
      </c>
      <c r="G1731" t="e">
        <f t="shared" si="109"/>
        <v>#DIV/0!</v>
      </c>
      <c r="I1731" t="e">
        <f t="shared" ref="I1731:I1794" si="111">AVERAGE(F1731:G1731)</f>
        <v>#DIV/0!</v>
      </c>
    </row>
    <row r="1732" spans="1:9">
      <c r="A1732" t="s">
        <v>13</v>
      </c>
      <c r="B1732" s="2">
        <f t="shared" si="110"/>
        <v>84</v>
      </c>
      <c r="C1732">
        <v>0</v>
      </c>
      <c r="D1732">
        <v>0</v>
      </c>
      <c r="E1732">
        <v>0</v>
      </c>
      <c r="F1732" t="e">
        <f t="shared" si="108"/>
        <v>#DIV/0!</v>
      </c>
      <c r="G1732" t="e">
        <f t="shared" si="109"/>
        <v>#DIV/0!</v>
      </c>
      <c r="I1732" t="e">
        <f t="shared" si="111"/>
        <v>#DIV/0!</v>
      </c>
    </row>
    <row r="1733" spans="1:9">
      <c r="A1733" t="s">
        <v>14</v>
      </c>
      <c r="B1733" s="2">
        <f t="shared" si="110"/>
        <v>84</v>
      </c>
      <c r="C1733">
        <v>0</v>
      </c>
      <c r="D1733">
        <v>0</v>
      </c>
      <c r="E1733">
        <v>0</v>
      </c>
      <c r="F1733" t="e">
        <f t="shared" si="108"/>
        <v>#DIV/0!</v>
      </c>
      <c r="G1733" t="e">
        <f t="shared" si="109"/>
        <v>#DIV/0!</v>
      </c>
      <c r="I1733" t="e">
        <f t="shared" si="111"/>
        <v>#DIV/0!</v>
      </c>
    </row>
    <row r="1734" spans="1:9">
      <c r="A1734" t="s">
        <v>15</v>
      </c>
      <c r="B1734" s="2">
        <f t="shared" si="110"/>
        <v>84</v>
      </c>
      <c r="C1734">
        <v>0</v>
      </c>
      <c r="D1734">
        <v>0</v>
      </c>
      <c r="E1734">
        <v>0</v>
      </c>
      <c r="F1734" t="e">
        <f t="shared" si="108"/>
        <v>#DIV/0!</v>
      </c>
      <c r="G1734" t="e">
        <f t="shared" si="109"/>
        <v>#DIV/0!</v>
      </c>
      <c r="I1734" t="e">
        <f t="shared" si="111"/>
        <v>#DIV/0!</v>
      </c>
    </row>
    <row r="1735" spans="1:9">
      <c r="A1735" t="s">
        <v>16</v>
      </c>
      <c r="B1735" s="2">
        <f t="shared" si="110"/>
        <v>84</v>
      </c>
      <c r="C1735">
        <v>4</v>
      </c>
      <c r="D1735">
        <v>3</v>
      </c>
      <c r="E1735">
        <v>4</v>
      </c>
      <c r="F1735">
        <f t="shared" si="108"/>
        <v>-0.41972881806788659</v>
      </c>
      <c r="G1735">
        <f t="shared" si="109"/>
        <v>-0.25511084592828692</v>
      </c>
      <c r="I1735">
        <f t="shared" si="111"/>
        <v>-0.33741983199808678</v>
      </c>
    </row>
    <row r="1736" spans="1:9">
      <c r="A1736" t="s">
        <v>17</v>
      </c>
      <c r="B1736" s="2">
        <f t="shared" si="110"/>
        <v>84</v>
      </c>
      <c r="C1736">
        <v>0</v>
      </c>
      <c r="D1736">
        <v>0</v>
      </c>
      <c r="E1736">
        <v>0</v>
      </c>
      <c r="F1736" t="e">
        <f t="shared" si="108"/>
        <v>#DIV/0!</v>
      </c>
      <c r="G1736" t="e">
        <f t="shared" si="109"/>
        <v>#DIV/0!</v>
      </c>
      <c r="I1736" t="e">
        <f t="shared" si="111"/>
        <v>#DIV/0!</v>
      </c>
    </row>
    <row r="1737" spans="1:9">
      <c r="A1737" t="s">
        <v>18</v>
      </c>
      <c r="B1737" s="2">
        <f t="shared" si="110"/>
        <v>84</v>
      </c>
      <c r="C1737">
        <v>0</v>
      </c>
      <c r="D1737">
        <v>0</v>
      </c>
      <c r="E1737">
        <v>0</v>
      </c>
      <c r="F1737" t="e">
        <f t="shared" si="108"/>
        <v>#DIV/0!</v>
      </c>
      <c r="G1737" t="e">
        <f t="shared" si="109"/>
        <v>#DIV/0!</v>
      </c>
      <c r="I1737" t="e">
        <f t="shared" si="111"/>
        <v>#DIV/0!</v>
      </c>
    </row>
    <row r="1738" spans="1:9">
      <c r="A1738" t="s">
        <v>19</v>
      </c>
      <c r="B1738" s="2">
        <f t="shared" si="110"/>
        <v>84</v>
      </c>
      <c r="C1738">
        <v>117033</v>
      </c>
      <c r="D1738">
        <v>230727</v>
      </c>
      <c r="E1738">
        <v>210581</v>
      </c>
      <c r="F1738">
        <f t="shared" si="108"/>
        <v>0</v>
      </c>
      <c r="G1738">
        <f t="shared" si="109"/>
        <v>0</v>
      </c>
      <c r="I1738">
        <f t="shared" si="111"/>
        <v>0</v>
      </c>
    </row>
    <row r="1739" spans="1:9">
      <c r="A1739" t="s">
        <v>20</v>
      </c>
      <c r="B1739" s="2">
        <f t="shared" si="110"/>
        <v>84</v>
      </c>
      <c r="C1739">
        <v>27</v>
      </c>
      <c r="D1739">
        <v>43</v>
      </c>
      <c r="E1739">
        <v>40</v>
      </c>
      <c r="F1739">
        <f t="shared" si="108"/>
        <v>-9.2685390038987431E-2</v>
      </c>
      <c r="G1739">
        <f t="shared" si="109"/>
        <v>-8.441461875931186E-2</v>
      </c>
      <c r="I1739">
        <f t="shared" si="111"/>
        <v>-8.8550004399149645E-2</v>
      </c>
    </row>
    <row r="1740" spans="1:9">
      <c r="A1740" t="s">
        <v>21</v>
      </c>
      <c r="B1740" s="2">
        <f t="shared" si="110"/>
        <v>84</v>
      </c>
      <c r="C1740">
        <v>0</v>
      </c>
      <c r="D1740">
        <v>0</v>
      </c>
      <c r="E1740">
        <v>0</v>
      </c>
      <c r="F1740" t="e">
        <f t="shared" si="108"/>
        <v>#DIV/0!</v>
      </c>
      <c r="G1740" t="e">
        <f t="shared" si="109"/>
        <v>#DIV/0!</v>
      </c>
      <c r="I1740" t="e">
        <f t="shared" si="111"/>
        <v>#DIV/0!</v>
      </c>
    </row>
    <row r="1741" spans="1:9">
      <c r="A1741" t="s">
        <v>22</v>
      </c>
      <c r="B1741" s="2">
        <f t="shared" si="110"/>
        <v>84</v>
      </c>
      <c r="C1741">
        <v>0</v>
      </c>
      <c r="D1741">
        <v>0</v>
      </c>
      <c r="E1741">
        <v>0</v>
      </c>
      <c r="F1741" t="e">
        <f t="shared" si="108"/>
        <v>#DIV/0!</v>
      </c>
      <c r="G1741" t="e">
        <f t="shared" si="109"/>
        <v>#DIV/0!</v>
      </c>
      <c r="I1741" t="e">
        <f t="shared" si="111"/>
        <v>#DIV/0!</v>
      </c>
    </row>
    <row r="1742" spans="1:9">
      <c r="A1742" t="s">
        <v>23</v>
      </c>
      <c r="B1742" s="2">
        <f t="shared" si="110"/>
        <v>84</v>
      </c>
      <c r="C1742">
        <v>20</v>
      </c>
      <c r="D1742">
        <v>33</v>
      </c>
      <c r="E1742">
        <v>25</v>
      </c>
      <c r="F1742">
        <f t="shared" si="108"/>
        <v>-7.7306137245680362E-2</v>
      </c>
      <c r="G1742">
        <f t="shared" si="109"/>
        <v>-0.15820083292023052</v>
      </c>
      <c r="I1742">
        <f t="shared" si="111"/>
        <v>-0.11775348508295544</v>
      </c>
    </row>
    <row r="1743" spans="1:9">
      <c r="A1743" t="s">
        <v>24</v>
      </c>
      <c r="B1743" s="2">
        <f t="shared" si="110"/>
        <v>84</v>
      </c>
      <c r="C1743">
        <v>0</v>
      </c>
      <c r="D1743">
        <v>0</v>
      </c>
      <c r="E1743">
        <v>0</v>
      </c>
      <c r="F1743" t="e">
        <f t="shared" si="108"/>
        <v>#DIV/0!</v>
      </c>
      <c r="G1743" t="e">
        <f t="shared" si="109"/>
        <v>#DIV/0!</v>
      </c>
      <c r="I1743" t="e">
        <f t="shared" si="111"/>
        <v>#DIV/0!</v>
      </c>
    </row>
    <row r="1744" spans="1:9">
      <c r="A1744" t="s">
        <v>25</v>
      </c>
      <c r="B1744" s="2">
        <f t="shared" si="110"/>
        <v>84</v>
      </c>
      <c r="C1744">
        <v>0</v>
      </c>
      <c r="D1744">
        <v>0</v>
      </c>
      <c r="E1744">
        <v>0</v>
      </c>
      <c r="F1744" t="e">
        <f t="shared" si="108"/>
        <v>#DIV/0!</v>
      </c>
      <c r="G1744" t="e">
        <f t="shared" si="109"/>
        <v>#DIV/0!</v>
      </c>
      <c r="I1744" t="e">
        <f t="shared" si="111"/>
        <v>#DIV/0!</v>
      </c>
    </row>
    <row r="1745" spans="1:9">
      <c r="A1745" t="s">
        <v>7</v>
      </c>
      <c r="B1745" s="2">
        <f t="shared" si="110"/>
        <v>85</v>
      </c>
      <c r="C1745">
        <v>0</v>
      </c>
      <c r="D1745">
        <v>0</v>
      </c>
      <c r="E1745">
        <v>0</v>
      </c>
      <c r="F1745" t="e">
        <f t="shared" si="108"/>
        <v>#DIV/0!</v>
      </c>
      <c r="G1745" t="e">
        <f t="shared" si="109"/>
        <v>#DIV/0!</v>
      </c>
      <c r="I1745" t="e">
        <f t="shared" si="111"/>
        <v>#DIV/0!</v>
      </c>
    </row>
    <row r="1746" spans="1:9">
      <c r="A1746" t="s">
        <v>8</v>
      </c>
      <c r="B1746" s="2">
        <f t="shared" si="110"/>
        <v>85</v>
      </c>
      <c r="C1746">
        <v>0</v>
      </c>
      <c r="D1746">
        <v>0</v>
      </c>
      <c r="E1746">
        <v>0</v>
      </c>
      <c r="F1746" t="e">
        <f t="shared" si="108"/>
        <v>#DIV/0!</v>
      </c>
      <c r="G1746" t="e">
        <f t="shared" si="109"/>
        <v>#DIV/0!</v>
      </c>
      <c r="I1746" t="e">
        <f t="shared" si="111"/>
        <v>#DIV/0!</v>
      </c>
    </row>
    <row r="1747" spans="1:9">
      <c r="A1747" t="s">
        <v>5</v>
      </c>
      <c r="B1747" s="2">
        <f t="shared" si="110"/>
        <v>85</v>
      </c>
      <c r="C1747">
        <v>0</v>
      </c>
      <c r="D1747">
        <v>0</v>
      </c>
      <c r="E1747">
        <v>0</v>
      </c>
      <c r="F1747" t="e">
        <f t="shared" si="108"/>
        <v>#DIV/0!</v>
      </c>
      <c r="G1747" t="e">
        <f t="shared" si="109"/>
        <v>#DIV/0!</v>
      </c>
      <c r="I1747" t="e">
        <f t="shared" si="111"/>
        <v>#DIV/0!</v>
      </c>
    </row>
    <row r="1748" spans="1:9">
      <c r="A1748" t="s">
        <v>6</v>
      </c>
      <c r="B1748" s="2">
        <f t="shared" si="110"/>
        <v>85</v>
      </c>
      <c r="C1748">
        <v>117033</v>
      </c>
      <c r="D1748">
        <v>230727</v>
      </c>
      <c r="E1748">
        <v>210581</v>
      </c>
      <c r="F1748">
        <f t="shared" si="108"/>
        <v>0</v>
      </c>
      <c r="G1748">
        <f t="shared" si="109"/>
        <v>0</v>
      </c>
      <c r="I1748">
        <f t="shared" si="111"/>
        <v>0</v>
      </c>
    </row>
    <row r="1749" spans="1:9">
      <c r="A1749" t="s">
        <v>10</v>
      </c>
      <c r="B1749" s="2">
        <f t="shared" si="110"/>
        <v>85</v>
      </c>
      <c r="C1749">
        <v>36</v>
      </c>
      <c r="D1749">
        <v>59</v>
      </c>
      <c r="E1749">
        <v>55</v>
      </c>
      <c r="F1749">
        <f t="shared" si="108"/>
        <v>-8.024057058472972E-2</v>
      </c>
      <c r="G1749">
        <f t="shared" si="109"/>
        <v>-7.1050657201330358E-2</v>
      </c>
      <c r="I1749">
        <f t="shared" si="111"/>
        <v>-7.5645613893030039E-2</v>
      </c>
    </row>
    <row r="1750" spans="1:9">
      <c r="A1750" t="s">
        <v>11</v>
      </c>
      <c r="B1750" s="2">
        <f t="shared" si="110"/>
        <v>85</v>
      </c>
      <c r="C1750">
        <v>0</v>
      </c>
      <c r="D1750">
        <v>0</v>
      </c>
      <c r="E1750">
        <v>0</v>
      </c>
      <c r="F1750" t="e">
        <f t="shared" si="108"/>
        <v>#DIV/0!</v>
      </c>
      <c r="G1750" t="e">
        <f t="shared" si="109"/>
        <v>#DIV/0!</v>
      </c>
      <c r="I1750" t="e">
        <f t="shared" si="111"/>
        <v>#DIV/0!</v>
      </c>
    </row>
    <row r="1751" spans="1:9">
      <c r="A1751" t="s">
        <v>12</v>
      </c>
      <c r="B1751" s="2">
        <f t="shared" si="110"/>
        <v>85</v>
      </c>
      <c r="C1751">
        <v>0</v>
      </c>
      <c r="D1751">
        <v>0</v>
      </c>
      <c r="E1751">
        <v>0</v>
      </c>
      <c r="F1751" t="e">
        <f t="shared" si="108"/>
        <v>#DIV/0!</v>
      </c>
      <c r="G1751" t="e">
        <f t="shared" si="109"/>
        <v>#DIV/0!</v>
      </c>
      <c r="I1751" t="e">
        <f t="shared" si="111"/>
        <v>#DIV/0!</v>
      </c>
    </row>
    <row r="1752" spans="1:9">
      <c r="A1752" t="s">
        <v>9</v>
      </c>
      <c r="B1752" s="2">
        <f t="shared" si="110"/>
        <v>85</v>
      </c>
      <c r="C1752">
        <v>0</v>
      </c>
      <c r="D1752">
        <v>0</v>
      </c>
      <c r="E1752">
        <v>0</v>
      </c>
      <c r="F1752" t="e">
        <f t="shared" si="108"/>
        <v>#DIV/0!</v>
      </c>
      <c r="G1752" t="e">
        <f t="shared" si="109"/>
        <v>#DIV/0!</v>
      </c>
      <c r="I1752" t="e">
        <f t="shared" si="111"/>
        <v>#DIV/0!</v>
      </c>
    </row>
    <row r="1753" spans="1:9">
      <c r="A1753" t="s">
        <v>13</v>
      </c>
      <c r="B1753" s="2">
        <f t="shared" si="110"/>
        <v>85</v>
      </c>
      <c r="C1753">
        <v>0</v>
      </c>
      <c r="D1753">
        <v>0</v>
      </c>
      <c r="E1753">
        <v>0</v>
      </c>
      <c r="F1753" t="e">
        <f t="shared" si="108"/>
        <v>#DIV/0!</v>
      </c>
      <c r="G1753" t="e">
        <f t="shared" si="109"/>
        <v>#DIV/0!</v>
      </c>
      <c r="I1753" t="e">
        <f t="shared" si="111"/>
        <v>#DIV/0!</v>
      </c>
    </row>
    <row r="1754" spans="1:9">
      <c r="A1754" t="s">
        <v>14</v>
      </c>
      <c r="B1754" s="2">
        <f t="shared" si="110"/>
        <v>85</v>
      </c>
      <c r="C1754">
        <v>0</v>
      </c>
      <c r="D1754">
        <v>0</v>
      </c>
      <c r="E1754">
        <v>1</v>
      </c>
      <c r="F1754" t="e">
        <f t="shared" si="108"/>
        <v>#DIV/0!</v>
      </c>
      <c r="G1754" t="e">
        <f t="shared" si="109"/>
        <v>#DIV/0!</v>
      </c>
      <c r="I1754" t="e">
        <f t="shared" si="111"/>
        <v>#DIV/0!</v>
      </c>
    </row>
    <row r="1755" spans="1:9">
      <c r="A1755" t="s">
        <v>15</v>
      </c>
      <c r="B1755" s="2">
        <f t="shared" si="110"/>
        <v>85</v>
      </c>
      <c r="C1755">
        <v>0</v>
      </c>
      <c r="D1755">
        <v>0</v>
      </c>
      <c r="E1755">
        <v>0</v>
      </c>
      <c r="F1755" t="e">
        <f t="shared" si="108"/>
        <v>#DIV/0!</v>
      </c>
      <c r="G1755" t="e">
        <f t="shared" si="109"/>
        <v>#DIV/0!</v>
      </c>
      <c r="I1755" t="e">
        <f t="shared" si="111"/>
        <v>#DIV/0!</v>
      </c>
    </row>
    <row r="1756" spans="1:9">
      <c r="A1756" t="s">
        <v>16</v>
      </c>
      <c r="B1756" s="2">
        <f t="shared" si="110"/>
        <v>85</v>
      </c>
      <c r="C1756">
        <v>2</v>
      </c>
      <c r="D1756">
        <v>3</v>
      </c>
      <c r="E1756">
        <v>2</v>
      </c>
      <c r="F1756">
        <f t="shared" si="108"/>
        <v>-0.11869882240390539</v>
      </c>
      <c r="G1756">
        <f t="shared" si="109"/>
        <v>-0.25511084592828692</v>
      </c>
      <c r="I1756">
        <f t="shared" si="111"/>
        <v>-0.18690483416609616</v>
      </c>
    </row>
    <row r="1757" spans="1:9">
      <c r="A1757" t="s">
        <v>17</v>
      </c>
      <c r="B1757" s="2">
        <f t="shared" si="110"/>
        <v>85</v>
      </c>
      <c r="C1757">
        <v>0</v>
      </c>
      <c r="D1757">
        <v>0</v>
      </c>
      <c r="E1757">
        <v>0</v>
      </c>
      <c r="F1757" t="e">
        <f t="shared" si="108"/>
        <v>#DIV/0!</v>
      </c>
      <c r="G1757" t="e">
        <f t="shared" si="109"/>
        <v>#DIV/0!</v>
      </c>
      <c r="I1757" t="e">
        <f t="shared" si="111"/>
        <v>#DIV/0!</v>
      </c>
    </row>
    <row r="1758" spans="1:9">
      <c r="A1758" t="s">
        <v>18</v>
      </c>
      <c r="B1758" s="2">
        <f t="shared" si="110"/>
        <v>85</v>
      </c>
      <c r="C1758">
        <v>32</v>
      </c>
      <c r="D1758">
        <v>84</v>
      </c>
      <c r="E1758">
        <v>85</v>
      </c>
      <c r="F1758">
        <f t="shared" si="108"/>
        <v>0.12433922628238908</v>
      </c>
      <c r="G1758">
        <f t="shared" si="109"/>
        <v>0.16915810146609983</v>
      </c>
      <c r="I1758">
        <f t="shared" si="111"/>
        <v>0.14674866387424446</v>
      </c>
    </row>
    <row r="1759" spans="1:9">
      <c r="A1759" t="s">
        <v>19</v>
      </c>
      <c r="B1759" s="2">
        <f t="shared" si="110"/>
        <v>85</v>
      </c>
      <c r="C1759">
        <v>0</v>
      </c>
      <c r="D1759">
        <v>0</v>
      </c>
      <c r="E1759">
        <v>0</v>
      </c>
      <c r="F1759" t="e">
        <f t="shared" si="108"/>
        <v>#DIV/0!</v>
      </c>
      <c r="G1759" t="e">
        <f t="shared" si="109"/>
        <v>#DIV/0!</v>
      </c>
      <c r="I1759" t="e">
        <f t="shared" si="111"/>
        <v>#DIV/0!</v>
      </c>
    </row>
    <row r="1760" spans="1:9">
      <c r="A1760" t="s">
        <v>20</v>
      </c>
      <c r="B1760" s="2">
        <f t="shared" si="110"/>
        <v>85</v>
      </c>
      <c r="C1760">
        <v>0</v>
      </c>
      <c r="D1760">
        <v>0</v>
      </c>
      <c r="E1760">
        <v>0</v>
      </c>
      <c r="F1760" t="e">
        <f t="shared" si="108"/>
        <v>#DIV/0!</v>
      </c>
      <c r="G1760" t="e">
        <f t="shared" si="109"/>
        <v>#DIV/0!</v>
      </c>
      <c r="I1760" t="e">
        <f t="shared" si="111"/>
        <v>#DIV/0!</v>
      </c>
    </row>
    <row r="1761" spans="1:9">
      <c r="A1761" t="s">
        <v>21</v>
      </c>
      <c r="B1761" s="2">
        <f t="shared" si="110"/>
        <v>85</v>
      </c>
      <c r="C1761">
        <v>0</v>
      </c>
      <c r="D1761">
        <v>0</v>
      </c>
      <c r="E1761">
        <v>0</v>
      </c>
      <c r="F1761" t="e">
        <f t="shared" si="108"/>
        <v>#DIV/0!</v>
      </c>
      <c r="G1761" t="e">
        <f t="shared" si="109"/>
        <v>#DIV/0!</v>
      </c>
      <c r="I1761" t="e">
        <f t="shared" si="111"/>
        <v>#DIV/0!</v>
      </c>
    </row>
    <row r="1762" spans="1:9">
      <c r="A1762" t="s">
        <v>22</v>
      </c>
      <c r="B1762" s="2">
        <f t="shared" si="110"/>
        <v>85</v>
      </c>
      <c r="C1762">
        <v>0</v>
      </c>
      <c r="D1762">
        <v>0</v>
      </c>
      <c r="E1762">
        <v>0</v>
      </c>
      <c r="F1762" t="e">
        <f t="shared" si="108"/>
        <v>#DIV/0!</v>
      </c>
      <c r="G1762" t="e">
        <f t="shared" si="109"/>
        <v>#DIV/0!</v>
      </c>
      <c r="I1762" t="e">
        <f t="shared" si="111"/>
        <v>#DIV/0!</v>
      </c>
    </row>
    <row r="1763" spans="1:9">
      <c r="A1763" t="s">
        <v>23</v>
      </c>
      <c r="B1763" s="2">
        <f t="shared" si="110"/>
        <v>85</v>
      </c>
      <c r="C1763">
        <v>0</v>
      </c>
      <c r="D1763">
        <v>0</v>
      </c>
      <c r="E1763">
        <v>0</v>
      </c>
      <c r="F1763" t="e">
        <f t="shared" si="108"/>
        <v>#DIV/0!</v>
      </c>
      <c r="G1763" t="e">
        <f t="shared" si="109"/>
        <v>#DIV/0!</v>
      </c>
      <c r="I1763" t="e">
        <f t="shared" si="111"/>
        <v>#DIV/0!</v>
      </c>
    </row>
    <row r="1764" spans="1:9">
      <c r="A1764" t="s">
        <v>24</v>
      </c>
      <c r="B1764" s="2">
        <f t="shared" si="110"/>
        <v>85</v>
      </c>
      <c r="C1764">
        <v>0</v>
      </c>
      <c r="D1764">
        <v>0</v>
      </c>
      <c r="E1764">
        <v>0</v>
      </c>
      <c r="F1764" t="e">
        <f t="shared" si="108"/>
        <v>#DIV/0!</v>
      </c>
      <c r="G1764" t="e">
        <f t="shared" si="109"/>
        <v>#DIV/0!</v>
      </c>
      <c r="I1764" t="e">
        <f t="shared" si="111"/>
        <v>#DIV/0!</v>
      </c>
    </row>
    <row r="1765" spans="1:9">
      <c r="A1765" t="s">
        <v>25</v>
      </c>
      <c r="B1765" s="2">
        <f t="shared" si="110"/>
        <v>85</v>
      </c>
      <c r="C1765">
        <v>0</v>
      </c>
      <c r="D1765">
        <v>0</v>
      </c>
      <c r="E1765">
        <v>0</v>
      </c>
      <c r="F1765" t="e">
        <f t="shared" si="108"/>
        <v>#DIV/0!</v>
      </c>
      <c r="G1765" t="e">
        <f t="shared" si="109"/>
        <v>#DIV/0!</v>
      </c>
      <c r="I1765" t="e">
        <f t="shared" si="111"/>
        <v>#DIV/0!</v>
      </c>
    </row>
    <row r="1766" spans="1:9">
      <c r="A1766" t="s">
        <v>7</v>
      </c>
      <c r="B1766" s="2">
        <f t="shared" si="110"/>
        <v>86</v>
      </c>
      <c r="C1766">
        <v>8</v>
      </c>
      <c r="D1766">
        <v>0</v>
      </c>
      <c r="E1766">
        <v>0</v>
      </c>
      <c r="F1766" t="e">
        <f t="shared" si="108"/>
        <v>#NUM!</v>
      </c>
      <c r="G1766" t="e">
        <f t="shared" si="109"/>
        <v>#NUM!</v>
      </c>
      <c r="I1766" t="e">
        <f t="shared" si="111"/>
        <v>#NUM!</v>
      </c>
    </row>
    <row r="1767" spans="1:9">
      <c r="A1767" t="s">
        <v>8</v>
      </c>
      <c r="B1767" s="2">
        <f t="shared" si="110"/>
        <v>86</v>
      </c>
      <c r="C1767">
        <v>14</v>
      </c>
      <c r="D1767">
        <v>6</v>
      </c>
      <c r="E1767">
        <v>7</v>
      </c>
      <c r="F1767">
        <f t="shared" si="108"/>
        <v>-0.66276686675418106</v>
      </c>
      <c r="G1767">
        <f t="shared" si="109"/>
        <v>-0.55614084159226818</v>
      </c>
      <c r="I1767">
        <f t="shared" si="111"/>
        <v>-0.60945385417322462</v>
      </c>
    </row>
    <row r="1768" spans="1:9">
      <c r="A1768" t="s">
        <v>5</v>
      </c>
      <c r="B1768" s="2">
        <f t="shared" si="110"/>
        <v>86</v>
      </c>
      <c r="C1768">
        <v>0</v>
      </c>
      <c r="D1768">
        <v>0</v>
      </c>
      <c r="E1768">
        <v>0</v>
      </c>
      <c r="F1768" t="e">
        <f t="shared" si="108"/>
        <v>#DIV/0!</v>
      </c>
      <c r="G1768" t="e">
        <f t="shared" si="109"/>
        <v>#DIV/0!</v>
      </c>
      <c r="I1768" t="e">
        <f t="shared" si="111"/>
        <v>#DIV/0!</v>
      </c>
    </row>
    <row r="1769" spans="1:9">
      <c r="A1769" t="s">
        <v>6</v>
      </c>
      <c r="B1769" s="2">
        <f t="shared" si="110"/>
        <v>86</v>
      </c>
      <c r="C1769">
        <v>28</v>
      </c>
      <c r="D1769">
        <v>32</v>
      </c>
      <c r="E1769">
        <v>24</v>
      </c>
      <c r="F1769">
        <f t="shared" si="108"/>
        <v>-0.2367981344818999</v>
      </c>
      <c r="G1769">
        <f t="shared" si="109"/>
        <v>-0.32205763555890016</v>
      </c>
      <c r="I1769">
        <f t="shared" si="111"/>
        <v>-0.27942788502040006</v>
      </c>
    </row>
    <row r="1770" spans="1:9">
      <c r="A1770" t="s">
        <v>10</v>
      </c>
      <c r="B1770" s="2">
        <f t="shared" si="110"/>
        <v>86</v>
      </c>
      <c r="C1770">
        <v>117033</v>
      </c>
      <c r="D1770">
        <v>230727</v>
      </c>
      <c r="E1770">
        <v>210581</v>
      </c>
      <c r="F1770">
        <f t="shared" si="108"/>
        <v>0</v>
      </c>
      <c r="G1770">
        <f t="shared" si="109"/>
        <v>0</v>
      </c>
      <c r="I1770">
        <f t="shared" si="111"/>
        <v>0</v>
      </c>
    </row>
    <row r="1771" spans="1:9">
      <c r="A1771" t="s">
        <v>11</v>
      </c>
      <c r="B1771" s="2">
        <f t="shared" si="110"/>
        <v>86</v>
      </c>
      <c r="C1771">
        <v>11</v>
      </c>
      <c r="D1771">
        <v>0</v>
      </c>
      <c r="E1771">
        <v>1</v>
      </c>
      <c r="F1771" t="e">
        <f t="shared" ref="F1771:F1834" si="112">LOG10(D1771/C1771)-LOG10(230727/117033)</f>
        <v>#NUM!</v>
      </c>
      <c r="G1771">
        <f t="shared" ref="G1771:G1834" si="113">LOG10(E1771/C1771)-LOG10(210581/117033)</f>
        <v>-1.2965035310865118</v>
      </c>
      <c r="I1771" t="e">
        <f t="shared" si="111"/>
        <v>#NUM!</v>
      </c>
    </row>
    <row r="1772" spans="1:9">
      <c r="A1772" t="s">
        <v>12</v>
      </c>
      <c r="B1772" s="2">
        <f t="shared" si="110"/>
        <v>86</v>
      </c>
      <c r="C1772">
        <v>9</v>
      </c>
      <c r="D1772">
        <v>14</v>
      </c>
      <c r="E1772">
        <v>5</v>
      </c>
      <c r="F1772">
        <f t="shared" si="112"/>
        <v>-0.10290455522067346</v>
      </c>
      <c r="G1772">
        <f t="shared" si="113"/>
        <v>-0.51038335103159294</v>
      </c>
      <c r="I1772">
        <f t="shared" si="111"/>
        <v>-0.30664395312613318</v>
      </c>
    </row>
    <row r="1773" spans="1:9">
      <c r="A1773" t="s">
        <v>9</v>
      </c>
      <c r="B1773" s="2">
        <f t="shared" si="110"/>
        <v>86</v>
      </c>
      <c r="C1773">
        <v>41</v>
      </c>
      <c r="D1773">
        <v>43</v>
      </c>
      <c r="E1773">
        <v>33</v>
      </c>
      <c r="F1773">
        <f t="shared" si="112"/>
        <v>-0.27410548259973555</v>
      </c>
      <c r="G1773">
        <f t="shared" si="113"/>
        <v>-0.34938076277013491</v>
      </c>
      <c r="I1773">
        <f t="shared" si="111"/>
        <v>-0.3117431226849352</v>
      </c>
    </row>
    <row r="1774" spans="1:9">
      <c r="A1774" t="s">
        <v>13</v>
      </c>
      <c r="B1774" s="2">
        <f t="shared" si="110"/>
        <v>86</v>
      </c>
      <c r="C1774">
        <v>13</v>
      </c>
      <c r="D1774">
        <v>3</v>
      </c>
      <c r="E1774">
        <v>0</v>
      </c>
      <c r="F1774">
        <f t="shared" si="112"/>
        <v>-0.93161217904676097</v>
      </c>
      <c r="G1774" t="e">
        <f t="shared" si="113"/>
        <v>#NUM!</v>
      </c>
      <c r="I1774" t="e">
        <f t="shared" si="111"/>
        <v>#NUM!</v>
      </c>
    </row>
    <row r="1775" spans="1:9">
      <c r="A1775" t="s">
        <v>14</v>
      </c>
      <c r="B1775" s="2">
        <f t="shared" si="110"/>
        <v>86</v>
      </c>
      <c r="C1775">
        <v>6</v>
      </c>
      <c r="D1775">
        <v>0</v>
      </c>
      <c r="E1775">
        <v>1</v>
      </c>
      <c r="F1775" t="e">
        <f t="shared" si="112"/>
        <v>#NUM!</v>
      </c>
      <c r="G1775">
        <f t="shared" si="113"/>
        <v>-1.0332620963119306</v>
      </c>
      <c r="I1775" t="e">
        <f t="shared" si="111"/>
        <v>#NUM!</v>
      </c>
    </row>
    <row r="1776" spans="1:9">
      <c r="A1776" t="s">
        <v>15</v>
      </c>
      <c r="B1776" s="2">
        <f t="shared" si="110"/>
        <v>86</v>
      </c>
      <c r="C1776">
        <v>10</v>
      </c>
      <c r="D1776">
        <v>0</v>
      </c>
      <c r="E1776">
        <v>0</v>
      </c>
      <c r="F1776" t="e">
        <f t="shared" si="112"/>
        <v>#NUM!</v>
      </c>
      <c r="G1776" t="e">
        <f t="shared" si="113"/>
        <v>#NUM!</v>
      </c>
      <c r="I1776" t="e">
        <f t="shared" si="111"/>
        <v>#NUM!</v>
      </c>
    </row>
    <row r="1777" spans="1:9">
      <c r="A1777" t="s">
        <v>16</v>
      </c>
      <c r="B1777" s="2">
        <f t="shared" si="110"/>
        <v>86</v>
      </c>
      <c r="C1777">
        <v>12</v>
      </c>
      <c r="D1777">
        <v>2</v>
      </c>
      <c r="E1777">
        <v>1</v>
      </c>
      <c r="F1777">
        <f t="shared" si="112"/>
        <v>-1.0729413318432304</v>
      </c>
      <c r="G1777">
        <f t="shared" si="113"/>
        <v>-1.3342920919759118</v>
      </c>
      <c r="I1777">
        <f t="shared" si="111"/>
        <v>-1.2036167119095711</v>
      </c>
    </row>
    <row r="1778" spans="1:9">
      <c r="A1778" t="s">
        <v>17</v>
      </c>
      <c r="B1778" s="2">
        <f t="shared" si="110"/>
        <v>86</v>
      </c>
      <c r="C1778">
        <v>9</v>
      </c>
      <c r="D1778">
        <v>1</v>
      </c>
      <c r="E1778">
        <v>0</v>
      </c>
      <c r="F1778">
        <f t="shared" si="112"/>
        <v>-1.2490325908989115</v>
      </c>
      <c r="G1778" t="e">
        <f t="shared" si="113"/>
        <v>#NUM!</v>
      </c>
      <c r="I1778" t="e">
        <f t="shared" si="111"/>
        <v>#NUM!</v>
      </c>
    </row>
    <row r="1779" spans="1:9">
      <c r="A1779" t="s">
        <v>18</v>
      </c>
      <c r="B1779" s="2">
        <f t="shared" si="110"/>
        <v>86</v>
      </c>
      <c r="C1779">
        <v>10</v>
      </c>
      <c r="D1779">
        <v>0</v>
      </c>
      <c r="E1779">
        <v>1</v>
      </c>
      <c r="F1779" t="e">
        <f t="shared" si="112"/>
        <v>#NUM!</v>
      </c>
      <c r="G1779">
        <f t="shared" si="113"/>
        <v>-1.2551108459282869</v>
      </c>
      <c r="I1779" t="e">
        <f t="shared" si="111"/>
        <v>#NUM!</v>
      </c>
    </row>
    <row r="1780" spans="1:9">
      <c r="A1780" t="s">
        <v>19</v>
      </c>
      <c r="B1780" s="2">
        <f t="shared" si="110"/>
        <v>86</v>
      </c>
      <c r="C1780">
        <v>13</v>
      </c>
      <c r="D1780">
        <v>0</v>
      </c>
      <c r="E1780">
        <v>0</v>
      </c>
      <c r="F1780" t="e">
        <f t="shared" si="112"/>
        <v>#NUM!</v>
      </c>
      <c r="G1780" t="e">
        <f t="shared" si="113"/>
        <v>#NUM!</v>
      </c>
      <c r="I1780" t="e">
        <f t="shared" si="111"/>
        <v>#NUM!</v>
      </c>
    </row>
    <row r="1781" spans="1:9">
      <c r="A1781" t="s">
        <v>20</v>
      </c>
      <c r="B1781" s="2">
        <f t="shared" si="110"/>
        <v>86</v>
      </c>
      <c r="C1781">
        <v>8</v>
      </c>
      <c r="D1781">
        <v>0</v>
      </c>
      <c r="E1781">
        <v>0</v>
      </c>
      <c r="F1781" t="e">
        <f t="shared" si="112"/>
        <v>#NUM!</v>
      </c>
      <c r="G1781" t="e">
        <f t="shared" si="113"/>
        <v>#NUM!</v>
      </c>
      <c r="I1781" t="e">
        <f t="shared" si="111"/>
        <v>#NUM!</v>
      </c>
    </row>
    <row r="1782" spans="1:9">
      <c r="A1782" t="s">
        <v>21</v>
      </c>
      <c r="B1782" s="2">
        <f t="shared" si="110"/>
        <v>86</v>
      </c>
      <c r="C1782">
        <v>12</v>
      </c>
      <c r="D1782">
        <v>0</v>
      </c>
      <c r="E1782">
        <v>0</v>
      </c>
      <c r="F1782" t="e">
        <f t="shared" si="112"/>
        <v>#NUM!</v>
      </c>
      <c r="G1782" t="e">
        <f t="shared" si="113"/>
        <v>#NUM!</v>
      </c>
      <c r="I1782" t="e">
        <f t="shared" si="111"/>
        <v>#NUM!</v>
      </c>
    </row>
    <row r="1783" spans="1:9">
      <c r="A1783" t="s">
        <v>22</v>
      </c>
      <c r="B1783" s="2">
        <f t="shared" si="110"/>
        <v>86</v>
      </c>
      <c r="C1783">
        <v>28</v>
      </c>
      <c r="D1783">
        <v>51</v>
      </c>
      <c r="E1783">
        <v>56</v>
      </c>
      <c r="F1783">
        <f t="shared" si="112"/>
        <v>-3.4377936703869516E-2</v>
      </c>
      <c r="G1783">
        <f t="shared" si="113"/>
        <v>4.5919149735694276E-2</v>
      </c>
      <c r="I1783">
        <f t="shared" si="111"/>
        <v>5.7706065159123798E-3</v>
      </c>
    </row>
    <row r="1784" spans="1:9">
      <c r="A1784" t="s">
        <v>23</v>
      </c>
      <c r="B1784" s="2">
        <f t="shared" si="110"/>
        <v>86</v>
      </c>
      <c r="C1784">
        <v>9</v>
      </c>
      <c r="D1784">
        <v>2</v>
      </c>
      <c r="E1784">
        <v>0</v>
      </c>
      <c r="F1784">
        <f t="shared" si="112"/>
        <v>-0.94800259523493036</v>
      </c>
      <c r="G1784" t="e">
        <f t="shared" si="113"/>
        <v>#NUM!</v>
      </c>
      <c r="I1784" t="e">
        <f t="shared" si="111"/>
        <v>#NUM!</v>
      </c>
    </row>
    <row r="1785" spans="1:9">
      <c r="A1785" t="s">
        <v>24</v>
      </c>
      <c r="B1785" s="2">
        <f t="shared" si="110"/>
        <v>86</v>
      </c>
      <c r="C1785">
        <v>6</v>
      </c>
      <c r="D1785">
        <v>0</v>
      </c>
      <c r="E1785">
        <v>2</v>
      </c>
      <c r="F1785" t="e">
        <f t="shared" si="112"/>
        <v>#NUM!</v>
      </c>
      <c r="G1785">
        <f t="shared" si="113"/>
        <v>-0.7322321006479493</v>
      </c>
      <c r="I1785" t="e">
        <f t="shared" si="111"/>
        <v>#NUM!</v>
      </c>
    </row>
    <row r="1786" spans="1:9">
      <c r="A1786" t="s">
        <v>25</v>
      </c>
      <c r="B1786" s="2">
        <f t="shared" si="110"/>
        <v>86</v>
      </c>
      <c r="C1786">
        <v>13</v>
      </c>
      <c r="D1786">
        <v>0</v>
      </c>
      <c r="E1786">
        <v>0</v>
      </c>
      <c r="F1786" t="e">
        <f t="shared" si="112"/>
        <v>#NUM!</v>
      </c>
      <c r="G1786" t="e">
        <f t="shared" si="113"/>
        <v>#NUM!</v>
      </c>
      <c r="I1786" t="e">
        <f t="shared" si="111"/>
        <v>#NUM!</v>
      </c>
    </row>
    <row r="1787" spans="1:9">
      <c r="A1787" t="s">
        <v>7</v>
      </c>
      <c r="B1787" s="2">
        <f t="shared" si="110"/>
        <v>87</v>
      </c>
      <c r="C1787">
        <v>9</v>
      </c>
      <c r="D1787">
        <v>14</v>
      </c>
      <c r="E1787">
        <v>14</v>
      </c>
      <c r="F1787">
        <f t="shared" si="112"/>
        <v>-0.10290455522067346</v>
      </c>
      <c r="G1787">
        <f t="shared" si="113"/>
        <v>-6.3225319689373755E-2</v>
      </c>
      <c r="I1787">
        <f t="shared" si="111"/>
        <v>-8.3064937455023607E-2</v>
      </c>
    </row>
    <row r="1788" spans="1:9">
      <c r="A1788" t="s">
        <v>8</v>
      </c>
      <c r="B1788" s="2">
        <f t="shared" si="110"/>
        <v>87</v>
      </c>
      <c r="C1788">
        <v>0</v>
      </c>
      <c r="D1788">
        <v>0</v>
      </c>
      <c r="E1788">
        <v>0</v>
      </c>
      <c r="F1788" t="e">
        <f t="shared" si="112"/>
        <v>#DIV/0!</v>
      </c>
      <c r="G1788" t="e">
        <f t="shared" si="113"/>
        <v>#DIV/0!</v>
      </c>
      <c r="I1788" t="e">
        <f t="shared" si="111"/>
        <v>#DIV/0!</v>
      </c>
    </row>
    <row r="1789" spans="1:9">
      <c r="A1789" t="s">
        <v>5</v>
      </c>
      <c r="B1789" s="2">
        <f t="shared" si="110"/>
        <v>87</v>
      </c>
      <c r="C1789">
        <v>0</v>
      </c>
      <c r="D1789">
        <v>0</v>
      </c>
      <c r="E1789">
        <v>0</v>
      </c>
      <c r="F1789" t="e">
        <f t="shared" si="112"/>
        <v>#DIV/0!</v>
      </c>
      <c r="G1789" t="e">
        <f t="shared" si="113"/>
        <v>#DIV/0!</v>
      </c>
      <c r="I1789" t="e">
        <f t="shared" si="111"/>
        <v>#DIV/0!</v>
      </c>
    </row>
    <row r="1790" spans="1:9">
      <c r="A1790" t="s">
        <v>6</v>
      </c>
      <c r="B1790" s="2">
        <f t="shared" si="110"/>
        <v>87</v>
      </c>
      <c r="C1790">
        <v>0</v>
      </c>
      <c r="D1790">
        <v>0</v>
      </c>
      <c r="E1790">
        <v>0</v>
      </c>
      <c r="F1790" t="e">
        <f t="shared" si="112"/>
        <v>#DIV/0!</v>
      </c>
      <c r="G1790" t="e">
        <f t="shared" si="113"/>
        <v>#DIV/0!</v>
      </c>
      <c r="I1790" t="e">
        <f t="shared" si="111"/>
        <v>#DIV/0!</v>
      </c>
    </row>
    <row r="1791" spans="1:9">
      <c r="A1791" t="s">
        <v>10</v>
      </c>
      <c r="B1791" s="2">
        <f t="shared" si="110"/>
        <v>87</v>
      </c>
      <c r="C1791">
        <v>0</v>
      </c>
      <c r="D1791">
        <v>0</v>
      </c>
      <c r="E1791">
        <v>0</v>
      </c>
      <c r="F1791" t="e">
        <f t="shared" si="112"/>
        <v>#DIV/0!</v>
      </c>
      <c r="G1791" t="e">
        <f t="shared" si="113"/>
        <v>#DIV/0!</v>
      </c>
      <c r="I1791" t="e">
        <f t="shared" si="111"/>
        <v>#DIV/0!</v>
      </c>
    </row>
    <row r="1792" spans="1:9">
      <c r="A1792" t="s">
        <v>11</v>
      </c>
      <c r="B1792" s="2">
        <f t="shared" si="110"/>
        <v>87</v>
      </c>
      <c r="C1792">
        <v>0</v>
      </c>
      <c r="D1792">
        <v>0</v>
      </c>
      <c r="E1792">
        <v>0</v>
      </c>
      <c r="F1792" t="e">
        <f t="shared" si="112"/>
        <v>#DIV/0!</v>
      </c>
      <c r="G1792" t="e">
        <f t="shared" si="113"/>
        <v>#DIV/0!</v>
      </c>
      <c r="I1792" t="e">
        <f t="shared" si="111"/>
        <v>#DIV/0!</v>
      </c>
    </row>
    <row r="1793" spans="1:9">
      <c r="A1793" t="s">
        <v>12</v>
      </c>
      <c r="B1793" s="2">
        <f t="shared" si="110"/>
        <v>87</v>
      </c>
      <c r="C1793">
        <v>0</v>
      </c>
      <c r="D1793">
        <v>0</v>
      </c>
      <c r="E1793">
        <v>0</v>
      </c>
      <c r="F1793" t="e">
        <f t="shared" si="112"/>
        <v>#DIV/0!</v>
      </c>
      <c r="G1793" t="e">
        <f t="shared" si="113"/>
        <v>#DIV/0!</v>
      </c>
      <c r="I1793" t="e">
        <f t="shared" si="111"/>
        <v>#DIV/0!</v>
      </c>
    </row>
    <row r="1794" spans="1:9">
      <c r="A1794" t="s">
        <v>9</v>
      </c>
      <c r="B1794" s="2">
        <f t="shared" si="110"/>
        <v>87</v>
      </c>
      <c r="C1794">
        <v>0</v>
      </c>
      <c r="D1794">
        <v>0</v>
      </c>
      <c r="E1794">
        <v>0</v>
      </c>
      <c r="F1794" t="e">
        <f t="shared" si="112"/>
        <v>#DIV/0!</v>
      </c>
      <c r="G1794" t="e">
        <f t="shared" si="113"/>
        <v>#DIV/0!</v>
      </c>
      <c r="I1794" t="e">
        <f t="shared" si="111"/>
        <v>#DIV/0!</v>
      </c>
    </row>
    <row r="1795" spans="1:9">
      <c r="A1795" t="s">
        <v>13</v>
      </c>
      <c r="B1795" s="2">
        <f t="shared" ref="B1795:B1858" si="114">1+INT((ROW()-2)/21)+1</f>
        <v>87</v>
      </c>
      <c r="C1795">
        <v>0</v>
      </c>
      <c r="D1795">
        <v>0</v>
      </c>
      <c r="E1795">
        <v>0</v>
      </c>
      <c r="F1795" t="e">
        <f t="shared" si="112"/>
        <v>#DIV/0!</v>
      </c>
      <c r="G1795" t="e">
        <f t="shared" si="113"/>
        <v>#DIV/0!</v>
      </c>
      <c r="I1795" t="e">
        <f t="shared" ref="I1795:I1858" si="115">AVERAGE(F1795:G1795)</f>
        <v>#DIV/0!</v>
      </c>
    </row>
    <row r="1796" spans="1:9">
      <c r="A1796" t="s">
        <v>14</v>
      </c>
      <c r="B1796" s="2">
        <f t="shared" si="114"/>
        <v>87</v>
      </c>
      <c r="C1796">
        <v>0</v>
      </c>
      <c r="D1796">
        <v>0</v>
      </c>
      <c r="E1796">
        <v>0</v>
      </c>
      <c r="F1796" t="e">
        <f t="shared" si="112"/>
        <v>#DIV/0!</v>
      </c>
      <c r="G1796" t="e">
        <f t="shared" si="113"/>
        <v>#DIV/0!</v>
      </c>
      <c r="I1796" t="e">
        <f t="shared" si="115"/>
        <v>#DIV/0!</v>
      </c>
    </row>
    <row r="1797" spans="1:9">
      <c r="A1797" t="s">
        <v>15</v>
      </c>
      <c r="B1797" s="2">
        <f t="shared" si="114"/>
        <v>87</v>
      </c>
      <c r="C1797">
        <v>32</v>
      </c>
      <c r="D1797">
        <v>70</v>
      </c>
      <c r="E1797">
        <v>60</v>
      </c>
      <c r="F1797">
        <f t="shared" si="112"/>
        <v>4.515798023476425E-2</v>
      </c>
      <c r="G1797">
        <f t="shared" si="113"/>
        <v>1.7890426135450721E-2</v>
      </c>
      <c r="I1797">
        <f t="shared" si="115"/>
        <v>3.1524203185107486E-2</v>
      </c>
    </row>
    <row r="1798" spans="1:9">
      <c r="A1798" t="s">
        <v>16</v>
      </c>
      <c r="B1798" s="2">
        <f t="shared" si="114"/>
        <v>87</v>
      </c>
      <c r="C1798">
        <v>0</v>
      </c>
      <c r="D1798">
        <v>0</v>
      </c>
      <c r="E1798">
        <v>0</v>
      </c>
      <c r="F1798" t="e">
        <f t="shared" si="112"/>
        <v>#DIV/0!</v>
      </c>
      <c r="G1798" t="e">
        <f t="shared" si="113"/>
        <v>#DIV/0!</v>
      </c>
      <c r="I1798" t="e">
        <f t="shared" si="115"/>
        <v>#DIV/0!</v>
      </c>
    </row>
    <row r="1799" spans="1:9">
      <c r="A1799" t="s">
        <v>17</v>
      </c>
      <c r="B1799" s="2">
        <f t="shared" si="114"/>
        <v>87</v>
      </c>
      <c r="C1799">
        <v>0</v>
      </c>
      <c r="D1799">
        <v>0</v>
      </c>
      <c r="E1799">
        <v>0</v>
      </c>
      <c r="F1799" t="e">
        <f t="shared" si="112"/>
        <v>#DIV/0!</v>
      </c>
      <c r="G1799" t="e">
        <f t="shared" si="113"/>
        <v>#DIV/0!</v>
      </c>
      <c r="I1799" t="e">
        <f t="shared" si="115"/>
        <v>#DIV/0!</v>
      </c>
    </row>
    <row r="1800" spans="1:9">
      <c r="A1800" t="s">
        <v>18</v>
      </c>
      <c r="B1800" s="2">
        <f t="shared" si="114"/>
        <v>87</v>
      </c>
      <c r="C1800">
        <v>0</v>
      </c>
      <c r="D1800">
        <v>0</v>
      </c>
      <c r="E1800">
        <v>0</v>
      </c>
      <c r="F1800" t="e">
        <f t="shared" si="112"/>
        <v>#DIV/0!</v>
      </c>
      <c r="G1800" t="e">
        <f t="shared" si="113"/>
        <v>#DIV/0!</v>
      </c>
      <c r="I1800" t="e">
        <f t="shared" si="115"/>
        <v>#DIV/0!</v>
      </c>
    </row>
    <row r="1801" spans="1:9">
      <c r="A1801" t="s">
        <v>19</v>
      </c>
      <c r="B1801" s="2">
        <f t="shared" si="114"/>
        <v>87</v>
      </c>
      <c r="C1801">
        <v>12</v>
      </c>
      <c r="D1801">
        <v>18</v>
      </c>
      <c r="E1801">
        <v>16</v>
      </c>
      <c r="F1801">
        <f t="shared" si="112"/>
        <v>-0.11869882240390539</v>
      </c>
      <c r="G1801">
        <f t="shared" si="113"/>
        <v>-0.13017210931998699</v>
      </c>
      <c r="I1801">
        <f t="shared" si="115"/>
        <v>-0.12443546586194619</v>
      </c>
    </row>
    <row r="1802" spans="1:9">
      <c r="A1802" t="s">
        <v>20</v>
      </c>
      <c r="B1802" s="2">
        <f t="shared" si="114"/>
        <v>87</v>
      </c>
      <c r="C1802">
        <v>1</v>
      </c>
      <c r="D1802">
        <v>0</v>
      </c>
      <c r="E1802">
        <v>0</v>
      </c>
      <c r="F1802" t="e">
        <f t="shared" si="112"/>
        <v>#NUM!</v>
      </c>
      <c r="G1802" t="e">
        <f t="shared" si="113"/>
        <v>#NUM!</v>
      </c>
      <c r="I1802" t="e">
        <f t="shared" si="115"/>
        <v>#NUM!</v>
      </c>
    </row>
    <row r="1803" spans="1:9">
      <c r="A1803" t="s">
        <v>21</v>
      </c>
      <c r="B1803" s="2">
        <f t="shared" si="114"/>
        <v>87</v>
      </c>
      <c r="C1803">
        <v>0</v>
      </c>
      <c r="D1803">
        <v>0</v>
      </c>
      <c r="E1803">
        <v>0</v>
      </c>
      <c r="F1803" t="e">
        <f t="shared" si="112"/>
        <v>#DIV/0!</v>
      </c>
      <c r="G1803" t="e">
        <f t="shared" si="113"/>
        <v>#DIV/0!</v>
      </c>
      <c r="I1803" t="e">
        <f t="shared" si="115"/>
        <v>#DIV/0!</v>
      </c>
    </row>
    <row r="1804" spans="1:9">
      <c r="A1804" t="s">
        <v>22</v>
      </c>
      <c r="B1804" s="2">
        <f t="shared" si="114"/>
        <v>87</v>
      </c>
      <c r="C1804">
        <v>0</v>
      </c>
      <c r="D1804">
        <v>0</v>
      </c>
      <c r="E1804">
        <v>0</v>
      </c>
      <c r="F1804" t="e">
        <f t="shared" si="112"/>
        <v>#DIV/0!</v>
      </c>
      <c r="G1804" t="e">
        <f t="shared" si="113"/>
        <v>#DIV/0!</v>
      </c>
      <c r="I1804" t="e">
        <f t="shared" si="115"/>
        <v>#DIV/0!</v>
      </c>
    </row>
    <row r="1805" spans="1:9">
      <c r="A1805" t="s">
        <v>23</v>
      </c>
      <c r="B1805" s="2">
        <f t="shared" si="114"/>
        <v>87</v>
      </c>
      <c r="C1805">
        <v>0</v>
      </c>
      <c r="D1805">
        <v>0</v>
      </c>
      <c r="E1805">
        <v>0</v>
      </c>
      <c r="F1805" t="e">
        <f t="shared" si="112"/>
        <v>#DIV/0!</v>
      </c>
      <c r="G1805" t="e">
        <f t="shared" si="113"/>
        <v>#DIV/0!</v>
      </c>
      <c r="I1805" t="e">
        <f t="shared" si="115"/>
        <v>#DIV/0!</v>
      </c>
    </row>
    <row r="1806" spans="1:9">
      <c r="A1806" t="s">
        <v>24</v>
      </c>
      <c r="B1806" s="2">
        <f t="shared" si="114"/>
        <v>87</v>
      </c>
      <c r="C1806">
        <v>0</v>
      </c>
      <c r="D1806">
        <v>0</v>
      </c>
      <c r="E1806">
        <v>0</v>
      </c>
      <c r="F1806" t="e">
        <f t="shared" si="112"/>
        <v>#DIV/0!</v>
      </c>
      <c r="G1806" t="e">
        <f t="shared" si="113"/>
        <v>#DIV/0!</v>
      </c>
      <c r="I1806" t="e">
        <f t="shared" si="115"/>
        <v>#DIV/0!</v>
      </c>
    </row>
    <row r="1807" spans="1:9">
      <c r="A1807" t="s">
        <v>25</v>
      </c>
      <c r="B1807" s="2">
        <f t="shared" si="114"/>
        <v>87</v>
      </c>
      <c r="C1807">
        <v>0</v>
      </c>
      <c r="D1807">
        <v>0</v>
      </c>
      <c r="E1807">
        <v>0</v>
      </c>
      <c r="F1807" t="e">
        <f t="shared" si="112"/>
        <v>#DIV/0!</v>
      </c>
      <c r="G1807" t="e">
        <f t="shared" si="113"/>
        <v>#DIV/0!</v>
      </c>
      <c r="I1807" t="e">
        <f t="shared" si="115"/>
        <v>#DIV/0!</v>
      </c>
    </row>
    <row r="1808" spans="1:9">
      <c r="A1808" t="s">
        <v>7</v>
      </c>
      <c r="B1808" s="2">
        <f t="shared" si="114"/>
        <v>88</v>
      </c>
      <c r="C1808">
        <v>0</v>
      </c>
      <c r="D1808">
        <v>0</v>
      </c>
      <c r="E1808">
        <v>0</v>
      </c>
      <c r="F1808" t="e">
        <f t="shared" si="112"/>
        <v>#DIV/0!</v>
      </c>
      <c r="G1808" t="e">
        <f t="shared" si="113"/>
        <v>#DIV/0!</v>
      </c>
      <c r="I1808" t="e">
        <f t="shared" si="115"/>
        <v>#DIV/0!</v>
      </c>
    </row>
    <row r="1809" spans="1:9">
      <c r="A1809" t="s">
        <v>8</v>
      </c>
      <c r="B1809" s="2">
        <f t="shared" si="114"/>
        <v>88</v>
      </c>
      <c r="C1809">
        <v>0</v>
      </c>
      <c r="D1809">
        <v>0</v>
      </c>
      <c r="E1809">
        <v>0</v>
      </c>
      <c r="F1809" t="e">
        <f t="shared" si="112"/>
        <v>#DIV/0!</v>
      </c>
      <c r="G1809" t="e">
        <f t="shared" si="113"/>
        <v>#DIV/0!</v>
      </c>
      <c r="I1809" t="e">
        <f t="shared" si="115"/>
        <v>#DIV/0!</v>
      </c>
    </row>
    <row r="1810" spans="1:9">
      <c r="A1810" t="s">
        <v>5</v>
      </c>
      <c r="B1810" s="2">
        <f t="shared" si="114"/>
        <v>88</v>
      </c>
      <c r="C1810">
        <v>0</v>
      </c>
      <c r="D1810">
        <v>0</v>
      </c>
      <c r="E1810">
        <v>0</v>
      </c>
      <c r="F1810" t="e">
        <f t="shared" si="112"/>
        <v>#DIV/0!</v>
      </c>
      <c r="G1810" t="e">
        <f t="shared" si="113"/>
        <v>#DIV/0!</v>
      </c>
      <c r="I1810" t="e">
        <f t="shared" si="115"/>
        <v>#DIV/0!</v>
      </c>
    </row>
    <row r="1811" spans="1:9">
      <c r="A1811" t="s">
        <v>6</v>
      </c>
      <c r="B1811" s="2">
        <f t="shared" si="114"/>
        <v>88</v>
      </c>
      <c r="C1811">
        <v>0</v>
      </c>
      <c r="D1811">
        <v>0</v>
      </c>
      <c r="E1811">
        <v>0</v>
      </c>
      <c r="F1811" t="e">
        <f t="shared" si="112"/>
        <v>#DIV/0!</v>
      </c>
      <c r="G1811" t="e">
        <f t="shared" si="113"/>
        <v>#DIV/0!</v>
      </c>
      <c r="I1811" t="e">
        <f t="shared" si="115"/>
        <v>#DIV/0!</v>
      </c>
    </row>
    <row r="1812" spans="1:9">
      <c r="A1812" t="s">
        <v>10</v>
      </c>
      <c r="B1812" s="2">
        <f t="shared" si="114"/>
        <v>88</v>
      </c>
      <c r="C1812">
        <v>0</v>
      </c>
      <c r="D1812">
        <v>0</v>
      </c>
      <c r="E1812">
        <v>0</v>
      </c>
      <c r="F1812" t="e">
        <f t="shared" si="112"/>
        <v>#DIV/0!</v>
      </c>
      <c r="G1812" t="e">
        <f t="shared" si="113"/>
        <v>#DIV/0!</v>
      </c>
      <c r="I1812" t="e">
        <f t="shared" si="115"/>
        <v>#DIV/0!</v>
      </c>
    </row>
    <row r="1813" spans="1:9">
      <c r="A1813" t="s">
        <v>11</v>
      </c>
      <c r="B1813" s="2">
        <f t="shared" si="114"/>
        <v>88</v>
      </c>
      <c r="C1813">
        <v>0</v>
      </c>
      <c r="D1813">
        <v>0</v>
      </c>
      <c r="E1813">
        <v>0</v>
      </c>
      <c r="F1813" t="e">
        <f t="shared" si="112"/>
        <v>#DIV/0!</v>
      </c>
      <c r="G1813" t="e">
        <f t="shared" si="113"/>
        <v>#DIV/0!</v>
      </c>
      <c r="I1813" t="e">
        <f t="shared" si="115"/>
        <v>#DIV/0!</v>
      </c>
    </row>
    <row r="1814" spans="1:9">
      <c r="A1814" t="s">
        <v>12</v>
      </c>
      <c r="B1814" s="2">
        <f t="shared" si="114"/>
        <v>88</v>
      </c>
      <c r="C1814">
        <v>0</v>
      </c>
      <c r="D1814">
        <v>0</v>
      </c>
      <c r="E1814">
        <v>0</v>
      </c>
      <c r="F1814" t="e">
        <f t="shared" si="112"/>
        <v>#DIV/0!</v>
      </c>
      <c r="G1814" t="e">
        <f t="shared" si="113"/>
        <v>#DIV/0!</v>
      </c>
      <c r="I1814" t="e">
        <f t="shared" si="115"/>
        <v>#DIV/0!</v>
      </c>
    </row>
    <row r="1815" spans="1:9">
      <c r="A1815" t="s">
        <v>9</v>
      </c>
      <c r="B1815" s="2">
        <f t="shared" si="114"/>
        <v>88</v>
      </c>
      <c r="C1815">
        <v>0</v>
      </c>
      <c r="D1815">
        <v>0</v>
      </c>
      <c r="E1815">
        <v>0</v>
      </c>
      <c r="F1815" t="e">
        <f t="shared" si="112"/>
        <v>#DIV/0!</v>
      </c>
      <c r="G1815" t="e">
        <f t="shared" si="113"/>
        <v>#DIV/0!</v>
      </c>
      <c r="I1815" t="e">
        <f t="shared" si="115"/>
        <v>#DIV/0!</v>
      </c>
    </row>
    <row r="1816" spans="1:9">
      <c r="A1816" t="s">
        <v>13</v>
      </c>
      <c r="B1816" s="2">
        <f t="shared" si="114"/>
        <v>88</v>
      </c>
      <c r="C1816">
        <v>1</v>
      </c>
      <c r="D1816">
        <v>0</v>
      </c>
      <c r="E1816">
        <v>0</v>
      </c>
      <c r="F1816" t="e">
        <f t="shared" si="112"/>
        <v>#NUM!</v>
      </c>
      <c r="G1816" t="e">
        <f t="shared" si="113"/>
        <v>#NUM!</v>
      </c>
      <c r="I1816" t="e">
        <f t="shared" si="115"/>
        <v>#NUM!</v>
      </c>
    </row>
    <row r="1817" spans="1:9">
      <c r="A1817" t="s">
        <v>14</v>
      </c>
      <c r="B1817" s="2">
        <f t="shared" si="114"/>
        <v>88</v>
      </c>
      <c r="C1817">
        <v>0</v>
      </c>
      <c r="D1817">
        <v>0</v>
      </c>
      <c r="E1817">
        <v>0</v>
      </c>
      <c r="F1817" t="e">
        <f t="shared" si="112"/>
        <v>#DIV/0!</v>
      </c>
      <c r="G1817" t="e">
        <f t="shared" si="113"/>
        <v>#DIV/0!</v>
      </c>
      <c r="I1817" t="e">
        <f t="shared" si="115"/>
        <v>#DIV/0!</v>
      </c>
    </row>
    <row r="1818" spans="1:9">
      <c r="A1818" t="s">
        <v>15</v>
      </c>
      <c r="B1818" s="2">
        <f t="shared" si="114"/>
        <v>88</v>
      </c>
      <c r="C1818">
        <v>0</v>
      </c>
      <c r="D1818">
        <v>0</v>
      </c>
      <c r="E1818">
        <v>0</v>
      </c>
      <c r="F1818" t="e">
        <f t="shared" si="112"/>
        <v>#DIV/0!</v>
      </c>
      <c r="G1818" t="e">
        <f t="shared" si="113"/>
        <v>#DIV/0!</v>
      </c>
      <c r="I1818" t="e">
        <f t="shared" si="115"/>
        <v>#DIV/0!</v>
      </c>
    </row>
    <row r="1819" spans="1:9">
      <c r="A1819" t="s">
        <v>16</v>
      </c>
      <c r="B1819" s="2">
        <f t="shared" si="114"/>
        <v>88</v>
      </c>
      <c r="C1819">
        <v>0</v>
      </c>
      <c r="D1819">
        <v>0</v>
      </c>
      <c r="E1819">
        <v>0</v>
      </c>
      <c r="F1819" t="e">
        <f t="shared" si="112"/>
        <v>#DIV/0!</v>
      </c>
      <c r="G1819" t="e">
        <f t="shared" si="113"/>
        <v>#DIV/0!</v>
      </c>
      <c r="I1819" t="e">
        <f t="shared" si="115"/>
        <v>#DIV/0!</v>
      </c>
    </row>
    <row r="1820" spans="1:9">
      <c r="A1820" t="s">
        <v>17</v>
      </c>
      <c r="B1820" s="2">
        <f t="shared" si="114"/>
        <v>88</v>
      </c>
      <c r="C1820">
        <v>117033</v>
      </c>
      <c r="D1820">
        <v>230727</v>
      </c>
      <c r="E1820">
        <v>210581</v>
      </c>
      <c r="F1820">
        <f t="shared" si="112"/>
        <v>0</v>
      </c>
      <c r="G1820">
        <f t="shared" si="113"/>
        <v>0</v>
      </c>
      <c r="I1820">
        <f t="shared" si="115"/>
        <v>0</v>
      </c>
    </row>
    <row r="1821" spans="1:9">
      <c r="A1821" t="s">
        <v>18</v>
      </c>
      <c r="B1821" s="2">
        <f t="shared" si="114"/>
        <v>88</v>
      </c>
      <c r="C1821">
        <v>0</v>
      </c>
      <c r="D1821">
        <v>0</v>
      </c>
      <c r="E1821">
        <v>0</v>
      </c>
      <c r="F1821" t="e">
        <f t="shared" si="112"/>
        <v>#DIV/0!</v>
      </c>
      <c r="G1821" t="e">
        <f t="shared" si="113"/>
        <v>#DIV/0!</v>
      </c>
      <c r="I1821" t="e">
        <f t="shared" si="115"/>
        <v>#DIV/0!</v>
      </c>
    </row>
    <row r="1822" spans="1:9">
      <c r="A1822" t="s">
        <v>19</v>
      </c>
      <c r="B1822" s="2">
        <f t="shared" si="114"/>
        <v>88</v>
      </c>
      <c r="C1822">
        <v>0</v>
      </c>
      <c r="D1822">
        <v>0</v>
      </c>
      <c r="E1822">
        <v>0</v>
      </c>
      <c r="F1822" t="e">
        <f t="shared" si="112"/>
        <v>#DIV/0!</v>
      </c>
      <c r="G1822" t="e">
        <f t="shared" si="113"/>
        <v>#DIV/0!</v>
      </c>
      <c r="I1822" t="e">
        <f t="shared" si="115"/>
        <v>#DIV/0!</v>
      </c>
    </row>
    <row r="1823" spans="1:9">
      <c r="A1823" t="s">
        <v>20</v>
      </c>
      <c r="B1823" s="2">
        <f t="shared" si="114"/>
        <v>88</v>
      </c>
      <c r="C1823">
        <v>23</v>
      </c>
      <c r="D1823">
        <v>40</v>
      </c>
      <c r="E1823">
        <v>38</v>
      </c>
      <c r="F1823">
        <f t="shared" si="112"/>
        <v>-5.4457926149217128E-2</v>
      </c>
      <c r="G1823">
        <f t="shared" si="113"/>
        <v>-3.7055085329069648E-2</v>
      </c>
      <c r="I1823">
        <f t="shared" si="115"/>
        <v>-4.5756505739143388E-2</v>
      </c>
    </row>
    <row r="1824" spans="1:9">
      <c r="A1824" t="s">
        <v>21</v>
      </c>
      <c r="B1824" s="2">
        <f t="shared" si="114"/>
        <v>88</v>
      </c>
      <c r="C1824">
        <v>2</v>
      </c>
      <c r="D1824">
        <v>1</v>
      </c>
      <c r="E1824">
        <v>1</v>
      </c>
      <c r="F1824">
        <f t="shared" si="112"/>
        <v>-0.59582007712356777</v>
      </c>
      <c r="G1824">
        <f t="shared" si="113"/>
        <v>-0.55614084159226818</v>
      </c>
      <c r="I1824">
        <f t="shared" si="115"/>
        <v>-0.57598045935791797</v>
      </c>
    </row>
    <row r="1825" spans="1:9">
      <c r="A1825" t="s">
        <v>22</v>
      </c>
      <c r="B1825" s="2">
        <f t="shared" si="114"/>
        <v>88</v>
      </c>
      <c r="C1825">
        <v>0</v>
      </c>
      <c r="D1825">
        <v>0</v>
      </c>
      <c r="E1825">
        <v>0</v>
      </c>
      <c r="F1825" t="e">
        <f t="shared" si="112"/>
        <v>#DIV/0!</v>
      </c>
      <c r="G1825" t="e">
        <f t="shared" si="113"/>
        <v>#DIV/0!</v>
      </c>
      <c r="I1825" t="e">
        <f t="shared" si="115"/>
        <v>#DIV/0!</v>
      </c>
    </row>
    <row r="1826" spans="1:9">
      <c r="A1826" t="s">
        <v>23</v>
      </c>
      <c r="B1826" s="2">
        <f t="shared" si="114"/>
        <v>88</v>
      </c>
      <c r="C1826">
        <v>0</v>
      </c>
      <c r="D1826">
        <v>0</v>
      </c>
      <c r="E1826">
        <v>0</v>
      </c>
      <c r="F1826" t="e">
        <f t="shared" si="112"/>
        <v>#DIV/0!</v>
      </c>
      <c r="G1826" t="e">
        <f t="shared" si="113"/>
        <v>#DIV/0!</v>
      </c>
      <c r="I1826" t="e">
        <f t="shared" si="115"/>
        <v>#DIV/0!</v>
      </c>
    </row>
    <row r="1827" spans="1:9">
      <c r="A1827" t="s">
        <v>24</v>
      </c>
      <c r="B1827" s="2">
        <f t="shared" si="114"/>
        <v>88</v>
      </c>
      <c r="C1827">
        <v>0</v>
      </c>
      <c r="D1827">
        <v>0</v>
      </c>
      <c r="E1827">
        <v>0</v>
      </c>
      <c r="F1827" t="e">
        <f t="shared" si="112"/>
        <v>#DIV/0!</v>
      </c>
      <c r="G1827" t="e">
        <f t="shared" si="113"/>
        <v>#DIV/0!</v>
      </c>
      <c r="I1827" t="e">
        <f t="shared" si="115"/>
        <v>#DIV/0!</v>
      </c>
    </row>
    <row r="1828" spans="1:9">
      <c r="A1828" t="s">
        <v>25</v>
      </c>
      <c r="B1828" s="2">
        <f t="shared" si="114"/>
        <v>88</v>
      </c>
      <c r="C1828">
        <v>0</v>
      </c>
      <c r="D1828">
        <v>0</v>
      </c>
      <c r="E1828">
        <v>0</v>
      </c>
      <c r="F1828" t="e">
        <f t="shared" si="112"/>
        <v>#DIV/0!</v>
      </c>
      <c r="G1828" t="e">
        <f t="shared" si="113"/>
        <v>#DIV/0!</v>
      </c>
      <c r="I1828" t="e">
        <f t="shared" si="115"/>
        <v>#DIV/0!</v>
      </c>
    </row>
    <row r="1829" spans="1:9">
      <c r="A1829" t="s">
        <v>7</v>
      </c>
      <c r="B1829" s="2">
        <f t="shared" si="114"/>
        <v>89</v>
      </c>
      <c r="C1829">
        <v>0</v>
      </c>
      <c r="D1829">
        <v>0</v>
      </c>
      <c r="E1829">
        <v>0</v>
      </c>
      <c r="F1829" t="e">
        <f t="shared" si="112"/>
        <v>#DIV/0!</v>
      </c>
      <c r="G1829" t="e">
        <f t="shared" si="113"/>
        <v>#DIV/0!</v>
      </c>
      <c r="I1829" t="e">
        <f t="shared" si="115"/>
        <v>#DIV/0!</v>
      </c>
    </row>
    <row r="1830" spans="1:9">
      <c r="A1830" t="s">
        <v>8</v>
      </c>
      <c r="B1830" s="2">
        <f t="shared" si="114"/>
        <v>89</v>
      </c>
      <c r="C1830">
        <v>0</v>
      </c>
      <c r="D1830">
        <v>0</v>
      </c>
      <c r="E1830">
        <v>0</v>
      </c>
      <c r="F1830" t="e">
        <f t="shared" si="112"/>
        <v>#DIV/0!</v>
      </c>
      <c r="G1830" t="e">
        <f t="shared" si="113"/>
        <v>#DIV/0!</v>
      </c>
      <c r="I1830" t="e">
        <f t="shared" si="115"/>
        <v>#DIV/0!</v>
      </c>
    </row>
    <row r="1831" spans="1:9">
      <c r="A1831" t="s">
        <v>5</v>
      </c>
      <c r="B1831" s="2">
        <f t="shared" si="114"/>
        <v>89</v>
      </c>
      <c r="C1831">
        <v>0</v>
      </c>
      <c r="D1831">
        <v>0</v>
      </c>
      <c r="E1831">
        <v>0</v>
      </c>
      <c r="F1831" t="e">
        <f t="shared" si="112"/>
        <v>#DIV/0!</v>
      </c>
      <c r="G1831" t="e">
        <f t="shared" si="113"/>
        <v>#DIV/0!</v>
      </c>
      <c r="I1831" t="e">
        <f t="shared" si="115"/>
        <v>#DIV/0!</v>
      </c>
    </row>
    <row r="1832" spans="1:9">
      <c r="A1832" t="s">
        <v>6</v>
      </c>
      <c r="B1832" s="2">
        <f t="shared" si="114"/>
        <v>89</v>
      </c>
      <c r="C1832">
        <v>2</v>
      </c>
      <c r="D1832">
        <v>0</v>
      </c>
      <c r="E1832">
        <v>0</v>
      </c>
      <c r="F1832" t="e">
        <f t="shared" si="112"/>
        <v>#NUM!</v>
      </c>
      <c r="G1832" t="e">
        <f t="shared" si="113"/>
        <v>#NUM!</v>
      </c>
      <c r="I1832" t="e">
        <f t="shared" si="115"/>
        <v>#NUM!</v>
      </c>
    </row>
    <row r="1833" spans="1:9">
      <c r="A1833" t="s">
        <v>10</v>
      </c>
      <c r="B1833" s="2">
        <f t="shared" si="114"/>
        <v>89</v>
      </c>
      <c r="C1833">
        <v>0</v>
      </c>
      <c r="D1833">
        <v>0</v>
      </c>
      <c r="E1833">
        <v>0</v>
      </c>
      <c r="F1833" t="e">
        <f t="shared" si="112"/>
        <v>#DIV/0!</v>
      </c>
      <c r="G1833" t="e">
        <f t="shared" si="113"/>
        <v>#DIV/0!</v>
      </c>
      <c r="I1833" t="e">
        <f t="shared" si="115"/>
        <v>#DIV/0!</v>
      </c>
    </row>
    <row r="1834" spans="1:9">
      <c r="A1834" t="s">
        <v>11</v>
      </c>
      <c r="B1834" s="2">
        <f t="shared" si="114"/>
        <v>89</v>
      </c>
      <c r="C1834">
        <v>3</v>
      </c>
      <c r="D1834">
        <v>0</v>
      </c>
      <c r="E1834">
        <v>0</v>
      </c>
      <c r="F1834" t="e">
        <f t="shared" si="112"/>
        <v>#NUM!</v>
      </c>
      <c r="G1834" t="e">
        <f t="shared" si="113"/>
        <v>#NUM!</v>
      </c>
      <c r="I1834" t="e">
        <f t="shared" si="115"/>
        <v>#NUM!</v>
      </c>
    </row>
    <row r="1835" spans="1:9">
      <c r="A1835" t="s">
        <v>12</v>
      </c>
      <c r="B1835" s="2">
        <f t="shared" si="114"/>
        <v>89</v>
      </c>
      <c r="C1835">
        <v>1</v>
      </c>
      <c r="D1835">
        <v>0</v>
      </c>
      <c r="E1835">
        <v>0</v>
      </c>
      <c r="F1835" t="e">
        <f t="shared" ref="F1835:F1898" si="116">LOG10(D1835/C1835)-LOG10(230727/117033)</f>
        <v>#NUM!</v>
      </c>
      <c r="G1835" t="e">
        <f t="shared" ref="G1835:G1898" si="117">LOG10(E1835/C1835)-LOG10(210581/117033)</f>
        <v>#NUM!</v>
      </c>
      <c r="I1835" t="e">
        <f t="shared" si="115"/>
        <v>#NUM!</v>
      </c>
    </row>
    <row r="1836" spans="1:9">
      <c r="A1836" t="s">
        <v>9</v>
      </c>
      <c r="B1836" s="2">
        <f t="shared" si="114"/>
        <v>89</v>
      </c>
      <c r="C1836">
        <v>1</v>
      </c>
      <c r="D1836">
        <v>0</v>
      </c>
      <c r="E1836">
        <v>0</v>
      </c>
      <c r="F1836" t="e">
        <f t="shared" si="116"/>
        <v>#NUM!</v>
      </c>
      <c r="G1836" t="e">
        <f t="shared" si="117"/>
        <v>#NUM!</v>
      </c>
      <c r="I1836" t="e">
        <f t="shared" si="115"/>
        <v>#NUM!</v>
      </c>
    </row>
    <row r="1837" spans="1:9">
      <c r="A1837" t="s">
        <v>13</v>
      </c>
      <c r="B1837" s="2">
        <f t="shared" si="114"/>
        <v>89</v>
      </c>
      <c r="C1837">
        <v>24</v>
      </c>
      <c r="D1837">
        <v>26</v>
      </c>
      <c r="E1837">
        <v>20</v>
      </c>
      <c r="F1837">
        <f t="shared" si="116"/>
        <v>-0.26002797520037474</v>
      </c>
      <c r="G1837">
        <f t="shared" si="117"/>
        <v>-0.3342920919759117</v>
      </c>
      <c r="I1837">
        <f t="shared" si="115"/>
        <v>-0.29716003358814325</v>
      </c>
    </row>
    <row r="1838" spans="1:9">
      <c r="A1838" t="s">
        <v>14</v>
      </c>
      <c r="B1838" s="2">
        <f t="shared" si="114"/>
        <v>89</v>
      </c>
      <c r="C1838">
        <v>2</v>
      </c>
      <c r="D1838">
        <v>0</v>
      </c>
      <c r="E1838">
        <v>1</v>
      </c>
      <c r="F1838" t="e">
        <f t="shared" si="116"/>
        <v>#NUM!</v>
      </c>
      <c r="G1838">
        <f t="shared" si="117"/>
        <v>-0.55614084159226818</v>
      </c>
      <c r="I1838" t="e">
        <f t="shared" si="115"/>
        <v>#NUM!</v>
      </c>
    </row>
    <row r="1839" spans="1:9">
      <c r="A1839" t="s">
        <v>15</v>
      </c>
      <c r="B1839" s="2">
        <f t="shared" si="114"/>
        <v>89</v>
      </c>
      <c r="C1839">
        <v>0</v>
      </c>
      <c r="D1839">
        <v>1</v>
      </c>
      <c r="E1839">
        <v>0</v>
      </c>
      <c r="F1839" t="e">
        <f t="shared" si="116"/>
        <v>#DIV/0!</v>
      </c>
      <c r="G1839" t="e">
        <f t="shared" si="117"/>
        <v>#DIV/0!</v>
      </c>
      <c r="I1839" t="e">
        <f t="shared" si="115"/>
        <v>#DIV/0!</v>
      </c>
    </row>
    <row r="1840" spans="1:9">
      <c r="A1840" t="s">
        <v>16</v>
      </c>
      <c r="B1840" s="2">
        <f t="shared" si="114"/>
        <v>89</v>
      </c>
      <c r="C1840">
        <v>1</v>
      </c>
      <c r="D1840">
        <v>0</v>
      </c>
      <c r="E1840">
        <v>0</v>
      </c>
      <c r="F1840" t="e">
        <f t="shared" si="116"/>
        <v>#NUM!</v>
      </c>
      <c r="G1840" t="e">
        <f t="shared" si="117"/>
        <v>#NUM!</v>
      </c>
      <c r="I1840" t="e">
        <f t="shared" si="115"/>
        <v>#NUM!</v>
      </c>
    </row>
    <row r="1841" spans="1:9">
      <c r="A1841" t="s">
        <v>17</v>
      </c>
      <c r="B1841" s="2">
        <f t="shared" si="114"/>
        <v>89</v>
      </c>
      <c r="C1841">
        <v>39</v>
      </c>
      <c r="D1841">
        <v>90</v>
      </c>
      <c r="E1841">
        <v>89</v>
      </c>
      <c r="F1841">
        <f t="shared" si="116"/>
        <v>6.8387820953238976E-2</v>
      </c>
      <c r="G1841">
        <f t="shared" si="117"/>
        <v>0.10321455369012661</v>
      </c>
      <c r="I1841">
        <f t="shared" si="115"/>
        <v>8.5801187321682792E-2</v>
      </c>
    </row>
    <row r="1842" spans="1:9">
      <c r="A1842" t="s">
        <v>18</v>
      </c>
      <c r="B1842" s="2">
        <f t="shared" si="114"/>
        <v>89</v>
      </c>
      <c r="C1842">
        <v>0</v>
      </c>
      <c r="D1842">
        <v>0</v>
      </c>
      <c r="E1842">
        <v>1</v>
      </c>
      <c r="F1842" t="e">
        <f t="shared" si="116"/>
        <v>#DIV/0!</v>
      </c>
      <c r="G1842" t="e">
        <f t="shared" si="117"/>
        <v>#DIV/0!</v>
      </c>
      <c r="I1842" t="e">
        <f t="shared" si="115"/>
        <v>#DIV/0!</v>
      </c>
    </row>
    <row r="1843" spans="1:9">
      <c r="A1843" t="s">
        <v>19</v>
      </c>
      <c r="B1843" s="2">
        <f t="shared" si="114"/>
        <v>89</v>
      </c>
      <c r="C1843">
        <v>1</v>
      </c>
      <c r="D1843">
        <v>0</v>
      </c>
      <c r="E1843">
        <v>0</v>
      </c>
      <c r="F1843" t="e">
        <f t="shared" si="116"/>
        <v>#NUM!</v>
      </c>
      <c r="G1843" t="e">
        <f t="shared" si="117"/>
        <v>#NUM!</v>
      </c>
      <c r="I1843" t="e">
        <f t="shared" si="115"/>
        <v>#NUM!</v>
      </c>
    </row>
    <row r="1844" spans="1:9">
      <c r="A1844" t="s">
        <v>20</v>
      </c>
      <c r="B1844" s="2">
        <f t="shared" si="114"/>
        <v>89</v>
      </c>
      <c r="C1844">
        <v>0</v>
      </c>
      <c r="D1844">
        <v>0</v>
      </c>
      <c r="E1844">
        <v>0</v>
      </c>
      <c r="F1844" t="e">
        <f t="shared" si="116"/>
        <v>#DIV/0!</v>
      </c>
      <c r="G1844" t="e">
        <f t="shared" si="117"/>
        <v>#DIV/0!</v>
      </c>
      <c r="I1844" t="e">
        <f t="shared" si="115"/>
        <v>#DIV/0!</v>
      </c>
    </row>
    <row r="1845" spans="1:9">
      <c r="A1845" t="s">
        <v>21</v>
      </c>
      <c r="B1845" s="2">
        <f t="shared" si="114"/>
        <v>89</v>
      </c>
      <c r="C1845">
        <v>0</v>
      </c>
      <c r="D1845">
        <v>1</v>
      </c>
      <c r="E1845">
        <v>0</v>
      </c>
      <c r="F1845" t="e">
        <f t="shared" si="116"/>
        <v>#DIV/0!</v>
      </c>
      <c r="G1845" t="e">
        <f t="shared" si="117"/>
        <v>#DIV/0!</v>
      </c>
      <c r="I1845" t="e">
        <f t="shared" si="115"/>
        <v>#DIV/0!</v>
      </c>
    </row>
    <row r="1846" spans="1:9">
      <c r="A1846" t="s">
        <v>22</v>
      </c>
      <c r="B1846" s="2">
        <f t="shared" si="114"/>
        <v>89</v>
      </c>
      <c r="C1846">
        <v>0</v>
      </c>
      <c r="D1846">
        <v>0</v>
      </c>
      <c r="E1846">
        <v>0</v>
      </c>
      <c r="F1846" t="e">
        <f t="shared" si="116"/>
        <v>#DIV/0!</v>
      </c>
      <c r="G1846" t="e">
        <f t="shared" si="117"/>
        <v>#DIV/0!</v>
      </c>
      <c r="I1846" t="e">
        <f t="shared" si="115"/>
        <v>#DIV/0!</v>
      </c>
    </row>
    <row r="1847" spans="1:9">
      <c r="A1847" t="s">
        <v>23</v>
      </c>
      <c r="B1847" s="2">
        <f t="shared" si="114"/>
        <v>89</v>
      </c>
      <c r="C1847">
        <v>2</v>
      </c>
      <c r="D1847">
        <v>0</v>
      </c>
      <c r="E1847">
        <v>0</v>
      </c>
      <c r="F1847" t="e">
        <f t="shared" si="116"/>
        <v>#NUM!</v>
      </c>
      <c r="G1847" t="e">
        <f t="shared" si="117"/>
        <v>#NUM!</v>
      </c>
      <c r="I1847" t="e">
        <f t="shared" si="115"/>
        <v>#NUM!</v>
      </c>
    </row>
    <row r="1848" spans="1:9">
      <c r="A1848" t="s">
        <v>24</v>
      </c>
      <c r="B1848" s="2">
        <f t="shared" si="114"/>
        <v>89</v>
      </c>
      <c r="C1848">
        <v>2</v>
      </c>
      <c r="D1848">
        <v>0</v>
      </c>
      <c r="E1848">
        <v>0</v>
      </c>
      <c r="F1848" t="e">
        <f t="shared" si="116"/>
        <v>#NUM!</v>
      </c>
      <c r="G1848" t="e">
        <f t="shared" si="117"/>
        <v>#NUM!</v>
      </c>
      <c r="I1848" t="e">
        <f t="shared" si="115"/>
        <v>#NUM!</v>
      </c>
    </row>
    <row r="1849" spans="1:9">
      <c r="A1849" t="s">
        <v>25</v>
      </c>
      <c r="B1849" s="2">
        <f t="shared" si="114"/>
        <v>89</v>
      </c>
      <c r="C1849">
        <v>0</v>
      </c>
      <c r="D1849">
        <v>0</v>
      </c>
      <c r="E1849">
        <v>0</v>
      </c>
      <c r="F1849" t="e">
        <f t="shared" si="116"/>
        <v>#DIV/0!</v>
      </c>
      <c r="G1849" t="e">
        <f t="shared" si="117"/>
        <v>#DIV/0!</v>
      </c>
      <c r="I1849" t="e">
        <f t="shared" si="115"/>
        <v>#DIV/0!</v>
      </c>
    </row>
    <row r="1850" spans="1:9">
      <c r="A1850" t="s">
        <v>7</v>
      </c>
      <c r="B1850" s="2">
        <f t="shared" si="114"/>
        <v>90</v>
      </c>
      <c r="C1850">
        <v>1</v>
      </c>
      <c r="D1850">
        <v>0</v>
      </c>
      <c r="E1850">
        <v>0</v>
      </c>
      <c r="F1850" t="e">
        <f t="shared" si="116"/>
        <v>#NUM!</v>
      </c>
      <c r="G1850" t="e">
        <f t="shared" si="117"/>
        <v>#NUM!</v>
      </c>
      <c r="I1850" t="e">
        <f t="shared" si="115"/>
        <v>#NUM!</v>
      </c>
    </row>
    <row r="1851" spans="1:9">
      <c r="A1851" t="s">
        <v>8</v>
      </c>
      <c r="B1851" s="2">
        <f t="shared" si="114"/>
        <v>90</v>
      </c>
      <c r="C1851">
        <v>2</v>
      </c>
      <c r="D1851">
        <v>0</v>
      </c>
      <c r="E1851">
        <v>0</v>
      </c>
      <c r="F1851" t="e">
        <f t="shared" si="116"/>
        <v>#NUM!</v>
      </c>
      <c r="G1851" t="e">
        <f t="shared" si="117"/>
        <v>#NUM!</v>
      </c>
      <c r="I1851" t="e">
        <f t="shared" si="115"/>
        <v>#NUM!</v>
      </c>
    </row>
    <row r="1852" spans="1:9">
      <c r="A1852" t="s">
        <v>5</v>
      </c>
      <c r="B1852" s="2">
        <f t="shared" si="114"/>
        <v>90</v>
      </c>
      <c r="C1852">
        <v>3</v>
      </c>
      <c r="D1852">
        <v>0</v>
      </c>
      <c r="E1852">
        <v>0</v>
      </c>
      <c r="F1852" t="e">
        <f t="shared" si="116"/>
        <v>#NUM!</v>
      </c>
      <c r="G1852" t="e">
        <f t="shared" si="117"/>
        <v>#NUM!</v>
      </c>
      <c r="I1852" t="e">
        <f t="shared" si="115"/>
        <v>#NUM!</v>
      </c>
    </row>
    <row r="1853" spans="1:9">
      <c r="A1853" t="s">
        <v>6</v>
      </c>
      <c r="B1853" s="2">
        <f t="shared" si="114"/>
        <v>90</v>
      </c>
      <c r="C1853">
        <v>6</v>
      </c>
      <c r="D1853">
        <v>0</v>
      </c>
      <c r="E1853">
        <v>1</v>
      </c>
      <c r="F1853" t="e">
        <f t="shared" si="116"/>
        <v>#NUM!</v>
      </c>
      <c r="G1853">
        <f t="shared" si="117"/>
        <v>-1.0332620963119306</v>
      </c>
      <c r="I1853" t="e">
        <f t="shared" si="115"/>
        <v>#NUM!</v>
      </c>
    </row>
    <row r="1854" spans="1:9">
      <c r="A1854" t="s">
        <v>10</v>
      </c>
      <c r="B1854" s="2">
        <f t="shared" si="114"/>
        <v>90</v>
      </c>
      <c r="C1854">
        <v>8</v>
      </c>
      <c r="D1854">
        <v>2</v>
      </c>
      <c r="E1854">
        <v>0</v>
      </c>
      <c r="F1854">
        <f t="shared" si="116"/>
        <v>-0.89685007278754902</v>
      </c>
      <c r="G1854" t="e">
        <f t="shared" si="117"/>
        <v>#NUM!</v>
      </c>
      <c r="I1854" t="e">
        <f t="shared" si="115"/>
        <v>#NUM!</v>
      </c>
    </row>
    <row r="1855" spans="1:9">
      <c r="A1855" t="s">
        <v>11</v>
      </c>
      <c r="B1855" s="2">
        <f t="shared" si="114"/>
        <v>90</v>
      </c>
      <c r="C1855">
        <v>40</v>
      </c>
      <c r="D1855">
        <v>91</v>
      </c>
      <c r="E1855">
        <v>66</v>
      </c>
      <c r="F1855">
        <f t="shared" si="116"/>
        <v>6.2191319533544565E-2</v>
      </c>
      <c r="G1855">
        <f t="shared" si="117"/>
        <v>-3.7626901714380656E-2</v>
      </c>
      <c r="I1855">
        <f t="shared" si="115"/>
        <v>1.2282208909581954E-2</v>
      </c>
    </row>
    <row r="1856" spans="1:9">
      <c r="A1856" t="s">
        <v>12</v>
      </c>
      <c r="B1856" s="2">
        <f t="shared" si="114"/>
        <v>90</v>
      </c>
      <c r="C1856">
        <v>5</v>
      </c>
      <c r="D1856">
        <v>0</v>
      </c>
      <c r="E1856">
        <v>0</v>
      </c>
      <c r="F1856" t="e">
        <f t="shared" si="116"/>
        <v>#NUM!</v>
      </c>
      <c r="G1856" t="e">
        <f t="shared" si="117"/>
        <v>#NUM!</v>
      </c>
      <c r="I1856" t="e">
        <f t="shared" si="115"/>
        <v>#NUM!</v>
      </c>
    </row>
    <row r="1857" spans="1:9">
      <c r="A1857" t="s">
        <v>9</v>
      </c>
      <c r="B1857" s="2">
        <f t="shared" si="114"/>
        <v>90</v>
      </c>
      <c r="C1857">
        <v>1</v>
      </c>
      <c r="D1857">
        <v>0</v>
      </c>
      <c r="E1857">
        <v>0</v>
      </c>
      <c r="F1857" t="e">
        <f t="shared" si="116"/>
        <v>#NUM!</v>
      </c>
      <c r="G1857" t="e">
        <f t="shared" si="117"/>
        <v>#NUM!</v>
      </c>
      <c r="I1857" t="e">
        <f t="shared" si="115"/>
        <v>#NUM!</v>
      </c>
    </row>
    <row r="1858" spans="1:9">
      <c r="A1858" t="s">
        <v>13</v>
      </c>
      <c r="B1858" s="2">
        <f t="shared" si="114"/>
        <v>90</v>
      </c>
      <c r="C1858">
        <v>7</v>
      </c>
      <c r="D1858">
        <v>0</v>
      </c>
      <c r="E1858">
        <v>0</v>
      </c>
      <c r="F1858" t="e">
        <f t="shared" si="116"/>
        <v>#NUM!</v>
      </c>
      <c r="G1858" t="e">
        <f t="shared" si="117"/>
        <v>#NUM!</v>
      </c>
      <c r="I1858" t="e">
        <f t="shared" si="115"/>
        <v>#NUM!</v>
      </c>
    </row>
    <row r="1859" spans="1:9">
      <c r="A1859" t="s">
        <v>14</v>
      </c>
      <c r="B1859" s="2">
        <f t="shared" ref="B1859:B1922" si="118">1+INT((ROW()-2)/21)+1</f>
        <v>90</v>
      </c>
      <c r="C1859">
        <v>6</v>
      </c>
      <c r="D1859">
        <v>1</v>
      </c>
      <c r="E1859">
        <v>0</v>
      </c>
      <c r="F1859">
        <f t="shared" si="116"/>
        <v>-1.0729413318432304</v>
      </c>
      <c r="G1859" t="e">
        <f t="shared" si="117"/>
        <v>#NUM!</v>
      </c>
      <c r="I1859" t="e">
        <f t="shared" ref="I1859:I1922" si="119">AVERAGE(F1859:G1859)</f>
        <v>#NUM!</v>
      </c>
    </row>
    <row r="1860" spans="1:9">
      <c r="A1860" t="s">
        <v>15</v>
      </c>
      <c r="B1860" s="2">
        <f t="shared" si="118"/>
        <v>90</v>
      </c>
      <c r="C1860">
        <v>6</v>
      </c>
      <c r="D1860">
        <v>0</v>
      </c>
      <c r="E1860">
        <v>0</v>
      </c>
      <c r="F1860" t="e">
        <f t="shared" si="116"/>
        <v>#NUM!</v>
      </c>
      <c r="G1860" t="e">
        <f t="shared" si="117"/>
        <v>#NUM!</v>
      </c>
      <c r="I1860" t="e">
        <f t="shared" si="119"/>
        <v>#NUM!</v>
      </c>
    </row>
    <row r="1861" spans="1:9">
      <c r="A1861" t="s">
        <v>16</v>
      </c>
      <c r="B1861" s="2">
        <f t="shared" si="118"/>
        <v>90</v>
      </c>
      <c r="C1861">
        <v>5</v>
      </c>
      <c r="D1861">
        <v>0</v>
      </c>
      <c r="E1861">
        <v>0</v>
      </c>
      <c r="F1861" t="e">
        <f t="shared" si="116"/>
        <v>#NUM!</v>
      </c>
      <c r="G1861" t="e">
        <f t="shared" si="117"/>
        <v>#NUM!</v>
      </c>
      <c r="I1861" t="e">
        <f t="shared" si="119"/>
        <v>#NUM!</v>
      </c>
    </row>
    <row r="1862" spans="1:9">
      <c r="A1862" t="s">
        <v>17</v>
      </c>
      <c r="B1862" s="2">
        <f t="shared" si="118"/>
        <v>90</v>
      </c>
      <c r="C1862">
        <v>3</v>
      </c>
      <c r="D1862">
        <v>0</v>
      </c>
      <c r="E1862">
        <v>0</v>
      </c>
      <c r="F1862" t="e">
        <f t="shared" si="116"/>
        <v>#NUM!</v>
      </c>
      <c r="G1862" t="e">
        <f t="shared" si="117"/>
        <v>#NUM!</v>
      </c>
      <c r="I1862" t="e">
        <f t="shared" si="119"/>
        <v>#NUM!</v>
      </c>
    </row>
    <row r="1863" spans="1:9">
      <c r="A1863" t="s">
        <v>18</v>
      </c>
      <c r="B1863" s="2">
        <f t="shared" si="118"/>
        <v>90</v>
      </c>
      <c r="C1863">
        <v>6</v>
      </c>
      <c r="D1863">
        <v>0</v>
      </c>
      <c r="E1863">
        <v>0</v>
      </c>
      <c r="F1863" t="e">
        <f t="shared" si="116"/>
        <v>#NUM!</v>
      </c>
      <c r="G1863" t="e">
        <f t="shared" si="117"/>
        <v>#NUM!</v>
      </c>
      <c r="I1863" t="e">
        <f t="shared" si="119"/>
        <v>#NUM!</v>
      </c>
    </row>
    <row r="1864" spans="1:9">
      <c r="A1864" t="s">
        <v>19</v>
      </c>
      <c r="B1864" s="2">
        <f t="shared" si="118"/>
        <v>90</v>
      </c>
      <c r="C1864">
        <v>4</v>
      </c>
      <c r="D1864">
        <v>0</v>
      </c>
      <c r="E1864">
        <v>0</v>
      </c>
      <c r="F1864" t="e">
        <f t="shared" si="116"/>
        <v>#NUM!</v>
      </c>
      <c r="G1864" t="e">
        <f t="shared" si="117"/>
        <v>#NUM!</v>
      </c>
      <c r="I1864" t="e">
        <f t="shared" si="119"/>
        <v>#NUM!</v>
      </c>
    </row>
    <row r="1865" spans="1:9">
      <c r="A1865" t="s">
        <v>20</v>
      </c>
      <c r="B1865" s="2">
        <f t="shared" si="118"/>
        <v>90</v>
      </c>
      <c r="C1865">
        <v>4</v>
      </c>
      <c r="D1865">
        <v>1</v>
      </c>
      <c r="E1865">
        <v>0</v>
      </c>
      <c r="F1865">
        <f t="shared" si="116"/>
        <v>-0.89685007278754902</v>
      </c>
      <c r="G1865" t="e">
        <f t="shared" si="117"/>
        <v>#NUM!</v>
      </c>
      <c r="I1865" t="e">
        <f t="shared" si="119"/>
        <v>#NUM!</v>
      </c>
    </row>
    <row r="1866" spans="1:9">
      <c r="A1866" t="s">
        <v>21</v>
      </c>
      <c r="B1866" s="2">
        <f t="shared" si="118"/>
        <v>90</v>
      </c>
      <c r="C1866">
        <v>24</v>
      </c>
      <c r="D1866">
        <v>95</v>
      </c>
      <c r="E1866">
        <v>70</v>
      </c>
      <c r="F1866">
        <f t="shared" si="116"/>
        <v>0.30272228211765517</v>
      </c>
      <c r="G1866">
        <f t="shared" si="117"/>
        <v>0.20977595237436386</v>
      </c>
      <c r="I1866">
        <f t="shared" si="119"/>
        <v>0.25624911724600952</v>
      </c>
    </row>
    <row r="1867" spans="1:9">
      <c r="A1867" t="s">
        <v>22</v>
      </c>
      <c r="B1867" s="2">
        <f t="shared" si="118"/>
        <v>90</v>
      </c>
      <c r="C1867">
        <v>2</v>
      </c>
      <c r="D1867">
        <v>0</v>
      </c>
      <c r="E1867">
        <v>0</v>
      </c>
      <c r="F1867" t="e">
        <f t="shared" si="116"/>
        <v>#NUM!</v>
      </c>
      <c r="G1867" t="e">
        <f t="shared" si="117"/>
        <v>#NUM!</v>
      </c>
      <c r="I1867" t="e">
        <f t="shared" si="119"/>
        <v>#NUM!</v>
      </c>
    </row>
    <row r="1868" spans="1:9">
      <c r="A1868" t="s">
        <v>23</v>
      </c>
      <c r="B1868" s="2">
        <f t="shared" si="118"/>
        <v>90</v>
      </c>
      <c r="C1868">
        <v>2</v>
      </c>
      <c r="D1868">
        <v>0</v>
      </c>
      <c r="E1868">
        <v>0</v>
      </c>
      <c r="F1868" t="e">
        <f t="shared" si="116"/>
        <v>#NUM!</v>
      </c>
      <c r="G1868" t="e">
        <f t="shared" si="117"/>
        <v>#NUM!</v>
      </c>
      <c r="I1868" t="e">
        <f t="shared" si="119"/>
        <v>#NUM!</v>
      </c>
    </row>
    <row r="1869" spans="1:9">
      <c r="A1869" t="s">
        <v>24</v>
      </c>
      <c r="B1869" s="2">
        <f t="shared" si="118"/>
        <v>90</v>
      </c>
      <c r="C1869">
        <v>6</v>
      </c>
      <c r="D1869">
        <v>0</v>
      </c>
      <c r="E1869">
        <v>1</v>
      </c>
      <c r="F1869" t="e">
        <f t="shared" si="116"/>
        <v>#NUM!</v>
      </c>
      <c r="G1869">
        <f t="shared" si="117"/>
        <v>-1.0332620963119306</v>
      </c>
      <c r="I1869" t="e">
        <f t="shared" si="119"/>
        <v>#NUM!</v>
      </c>
    </row>
    <row r="1870" spans="1:9">
      <c r="A1870" t="s">
        <v>25</v>
      </c>
      <c r="B1870" s="2">
        <f t="shared" si="118"/>
        <v>90</v>
      </c>
      <c r="C1870">
        <v>3</v>
      </c>
      <c r="D1870">
        <v>0</v>
      </c>
      <c r="E1870">
        <v>0</v>
      </c>
      <c r="F1870" t="e">
        <f t="shared" si="116"/>
        <v>#NUM!</v>
      </c>
      <c r="G1870" t="e">
        <f t="shared" si="117"/>
        <v>#NUM!</v>
      </c>
      <c r="I1870" t="e">
        <f t="shared" si="119"/>
        <v>#NUM!</v>
      </c>
    </row>
    <row r="1871" spans="1:9">
      <c r="A1871" t="s">
        <v>7</v>
      </c>
      <c r="B1871" s="2">
        <f t="shared" si="118"/>
        <v>91</v>
      </c>
      <c r="C1871">
        <v>2</v>
      </c>
      <c r="D1871">
        <v>0</v>
      </c>
      <c r="E1871">
        <v>0</v>
      </c>
      <c r="F1871" t="e">
        <f t="shared" si="116"/>
        <v>#NUM!</v>
      </c>
      <c r="G1871" t="e">
        <f t="shared" si="117"/>
        <v>#NUM!</v>
      </c>
      <c r="I1871" t="e">
        <f t="shared" si="119"/>
        <v>#NUM!</v>
      </c>
    </row>
    <row r="1872" spans="1:9">
      <c r="A1872" t="s">
        <v>8</v>
      </c>
      <c r="B1872" s="2">
        <f t="shared" si="118"/>
        <v>91</v>
      </c>
      <c r="C1872">
        <v>4</v>
      </c>
      <c r="D1872">
        <v>0</v>
      </c>
      <c r="E1872">
        <v>1</v>
      </c>
      <c r="F1872" t="e">
        <f t="shared" si="116"/>
        <v>#NUM!</v>
      </c>
      <c r="G1872">
        <f t="shared" si="117"/>
        <v>-0.85717083725624932</v>
      </c>
      <c r="I1872" t="e">
        <f t="shared" si="119"/>
        <v>#NUM!</v>
      </c>
    </row>
    <row r="1873" spans="1:9">
      <c r="A1873" t="s">
        <v>5</v>
      </c>
      <c r="B1873" s="2">
        <f t="shared" si="118"/>
        <v>91</v>
      </c>
      <c r="C1873">
        <v>6</v>
      </c>
      <c r="D1873">
        <v>0</v>
      </c>
      <c r="E1873">
        <v>0</v>
      </c>
      <c r="F1873" t="e">
        <f t="shared" si="116"/>
        <v>#NUM!</v>
      </c>
      <c r="G1873" t="e">
        <f t="shared" si="117"/>
        <v>#NUM!</v>
      </c>
      <c r="I1873" t="e">
        <f t="shared" si="119"/>
        <v>#NUM!</v>
      </c>
    </row>
    <row r="1874" spans="1:9">
      <c r="A1874" t="s">
        <v>6</v>
      </c>
      <c r="B1874" s="2">
        <f t="shared" si="118"/>
        <v>91</v>
      </c>
      <c r="C1874">
        <v>13</v>
      </c>
      <c r="D1874">
        <v>1</v>
      </c>
      <c r="E1874">
        <v>0</v>
      </c>
      <c r="F1874">
        <f t="shared" si="116"/>
        <v>-1.4087334337664235</v>
      </c>
      <c r="G1874" t="e">
        <f t="shared" si="117"/>
        <v>#NUM!</v>
      </c>
      <c r="I1874" t="e">
        <f t="shared" si="119"/>
        <v>#NUM!</v>
      </c>
    </row>
    <row r="1875" spans="1:9">
      <c r="A1875" t="s">
        <v>10</v>
      </c>
      <c r="B1875" s="2">
        <f t="shared" si="118"/>
        <v>91</v>
      </c>
      <c r="C1875">
        <v>8</v>
      </c>
      <c r="D1875">
        <v>3</v>
      </c>
      <c r="E1875">
        <v>0</v>
      </c>
      <c r="F1875">
        <f t="shared" si="116"/>
        <v>-0.72075881373186779</v>
      </c>
      <c r="G1875" t="e">
        <f t="shared" si="117"/>
        <v>#NUM!</v>
      </c>
      <c r="I1875" t="e">
        <f t="shared" si="119"/>
        <v>#NUM!</v>
      </c>
    </row>
    <row r="1876" spans="1:9">
      <c r="A1876" t="s">
        <v>11</v>
      </c>
      <c r="B1876" s="2">
        <f t="shared" si="118"/>
        <v>91</v>
      </c>
      <c r="C1876">
        <v>4</v>
      </c>
      <c r="D1876">
        <v>0</v>
      </c>
      <c r="E1876">
        <v>0</v>
      </c>
      <c r="F1876" t="e">
        <f t="shared" si="116"/>
        <v>#NUM!</v>
      </c>
      <c r="G1876" t="e">
        <f t="shared" si="117"/>
        <v>#NUM!</v>
      </c>
      <c r="I1876" t="e">
        <f t="shared" si="119"/>
        <v>#NUM!</v>
      </c>
    </row>
    <row r="1877" spans="1:9">
      <c r="A1877" t="s">
        <v>12</v>
      </c>
      <c r="B1877" s="2">
        <f t="shared" si="118"/>
        <v>91</v>
      </c>
      <c r="C1877">
        <v>6</v>
      </c>
      <c r="D1877">
        <v>4</v>
      </c>
      <c r="E1877">
        <v>0</v>
      </c>
      <c r="F1877">
        <f t="shared" si="116"/>
        <v>-0.47088134051526787</v>
      </c>
      <c r="G1877" t="e">
        <f t="shared" si="117"/>
        <v>#NUM!</v>
      </c>
      <c r="I1877" t="e">
        <f t="shared" si="119"/>
        <v>#NUM!</v>
      </c>
    </row>
    <row r="1878" spans="1:9">
      <c r="A1878" t="s">
        <v>9</v>
      </c>
      <c r="B1878" s="2">
        <f t="shared" si="118"/>
        <v>91</v>
      </c>
      <c r="C1878">
        <v>3</v>
      </c>
      <c r="D1878">
        <v>0</v>
      </c>
      <c r="E1878">
        <v>0</v>
      </c>
      <c r="F1878" t="e">
        <f t="shared" si="116"/>
        <v>#NUM!</v>
      </c>
      <c r="G1878" t="e">
        <f t="shared" si="117"/>
        <v>#NUM!</v>
      </c>
      <c r="I1878" t="e">
        <f t="shared" si="119"/>
        <v>#NUM!</v>
      </c>
    </row>
    <row r="1879" spans="1:9">
      <c r="A1879" t="s">
        <v>13</v>
      </c>
      <c r="B1879" s="2">
        <f t="shared" si="118"/>
        <v>91</v>
      </c>
      <c r="C1879">
        <v>7</v>
      </c>
      <c r="D1879">
        <v>0</v>
      </c>
      <c r="E1879">
        <v>0</v>
      </c>
      <c r="F1879" t="e">
        <f t="shared" si="116"/>
        <v>#NUM!</v>
      </c>
      <c r="G1879" t="e">
        <f t="shared" si="117"/>
        <v>#NUM!</v>
      </c>
      <c r="I1879" t="e">
        <f t="shared" si="119"/>
        <v>#NUM!</v>
      </c>
    </row>
    <row r="1880" spans="1:9">
      <c r="A1880" t="s">
        <v>14</v>
      </c>
      <c r="B1880" s="2">
        <f t="shared" si="118"/>
        <v>91</v>
      </c>
      <c r="C1880">
        <v>18</v>
      </c>
      <c r="D1880">
        <v>26</v>
      </c>
      <c r="E1880">
        <v>17</v>
      </c>
      <c r="F1880">
        <f t="shared" si="116"/>
        <v>-0.13508923859207475</v>
      </c>
      <c r="G1880">
        <f t="shared" si="117"/>
        <v>-0.27993442965331905</v>
      </c>
      <c r="I1880">
        <f t="shared" si="119"/>
        <v>-0.20751183412269691</v>
      </c>
    </row>
    <row r="1881" spans="1:9">
      <c r="A1881" t="s">
        <v>15</v>
      </c>
      <c r="B1881" s="2">
        <f t="shared" si="118"/>
        <v>91</v>
      </c>
      <c r="C1881">
        <v>5</v>
      </c>
      <c r="D1881">
        <v>0</v>
      </c>
      <c r="E1881">
        <v>0</v>
      </c>
      <c r="F1881" t="e">
        <f t="shared" si="116"/>
        <v>#NUM!</v>
      </c>
      <c r="G1881" t="e">
        <f t="shared" si="117"/>
        <v>#NUM!</v>
      </c>
      <c r="I1881" t="e">
        <f t="shared" si="119"/>
        <v>#NUM!</v>
      </c>
    </row>
    <row r="1882" spans="1:9">
      <c r="A1882" t="s">
        <v>16</v>
      </c>
      <c r="B1882" s="2">
        <f t="shared" si="118"/>
        <v>91</v>
      </c>
      <c r="C1882">
        <v>6</v>
      </c>
      <c r="D1882">
        <v>0</v>
      </c>
      <c r="E1882">
        <v>0</v>
      </c>
      <c r="F1882" t="e">
        <f t="shared" si="116"/>
        <v>#NUM!</v>
      </c>
      <c r="G1882" t="e">
        <f t="shared" si="117"/>
        <v>#NUM!</v>
      </c>
      <c r="I1882" t="e">
        <f t="shared" si="119"/>
        <v>#NUM!</v>
      </c>
    </row>
    <row r="1883" spans="1:9">
      <c r="A1883" t="s">
        <v>17</v>
      </c>
      <c r="B1883" s="2">
        <f t="shared" si="118"/>
        <v>91</v>
      </c>
      <c r="C1883">
        <v>4</v>
      </c>
      <c r="D1883">
        <v>5</v>
      </c>
      <c r="E1883">
        <v>5</v>
      </c>
      <c r="F1883">
        <f t="shared" si="116"/>
        <v>-0.19788006845153022</v>
      </c>
      <c r="G1883">
        <f t="shared" si="117"/>
        <v>-0.15820083292023052</v>
      </c>
      <c r="I1883">
        <f t="shared" si="119"/>
        <v>-0.17804045068588037</v>
      </c>
    </row>
    <row r="1884" spans="1:9">
      <c r="A1884" t="s">
        <v>18</v>
      </c>
      <c r="B1884" s="2">
        <f t="shared" si="118"/>
        <v>91</v>
      </c>
      <c r="C1884">
        <v>37</v>
      </c>
      <c r="D1884">
        <v>9</v>
      </c>
      <c r="E1884">
        <v>12</v>
      </c>
      <c r="F1884">
        <f t="shared" si="116"/>
        <v>-0.90874929608725674</v>
      </c>
      <c r="G1884">
        <f t="shared" si="117"/>
        <v>-0.74413132394765702</v>
      </c>
      <c r="I1884">
        <f t="shared" si="119"/>
        <v>-0.82644031001745688</v>
      </c>
    </row>
    <row r="1885" spans="1:9">
      <c r="A1885" t="s">
        <v>19</v>
      </c>
      <c r="B1885" s="2">
        <f t="shared" si="118"/>
        <v>91</v>
      </c>
      <c r="C1885">
        <v>11</v>
      </c>
      <c r="D1885">
        <v>6</v>
      </c>
      <c r="E1885">
        <v>10</v>
      </c>
      <c r="F1885">
        <f t="shared" si="116"/>
        <v>-0.55803151623416802</v>
      </c>
      <c r="G1885">
        <f t="shared" si="117"/>
        <v>-0.29650353108651195</v>
      </c>
      <c r="I1885">
        <f t="shared" si="119"/>
        <v>-0.42726752366033999</v>
      </c>
    </row>
    <row r="1886" spans="1:9">
      <c r="A1886" t="s">
        <v>20</v>
      </c>
      <c r="B1886" s="2">
        <f t="shared" si="118"/>
        <v>91</v>
      </c>
      <c r="C1886">
        <v>14</v>
      </c>
      <c r="D1886">
        <v>10</v>
      </c>
      <c r="E1886">
        <v>13</v>
      </c>
      <c r="F1886">
        <f t="shared" si="116"/>
        <v>-0.44091811713782464</v>
      </c>
      <c r="G1886">
        <f t="shared" si="117"/>
        <v>-0.28729552929968816</v>
      </c>
      <c r="I1886">
        <f t="shared" si="119"/>
        <v>-0.36410682321875643</v>
      </c>
    </row>
    <row r="1887" spans="1:9">
      <c r="A1887" t="s">
        <v>21</v>
      </c>
      <c r="B1887" s="2">
        <f t="shared" si="118"/>
        <v>91</v>
      </c>
      <c r="C1887">
        <v>8</v>
      </c>
      <c r="D1887">
        <v>0</v>
      </c>
      <c r="E1887">
        <v>0</v>
      </c>
      <c r="F1887" t="e">
        <f t="shared" si="116"/>
        <v>#NUM!</v>
      </c>
      <c r="G1887" t="e">
        <f t="shared" si="117"/>
        <v>#NUM!</v>
      </c>
      <c r="I1887" t="e">
        <f t="shared" si="119"/>
        <v>#NUM!</v>
      </c>
    </row>
    <row r="1888" spans="1:9">
      <c r="A1888" t="s">
        <v>22</v>
      </c>
      <c r="B1888" s="2">
        <f t="shared" si="118"/>
        <v>91</v>
      </c>
      <c r="C1888">
        <v>17</v>
      </c>
      <c r="D1888">
        <v>18</v>
      </c>
      <c r="E1888">
        <v>8</v>
      </c>
      <c r="F1888">
        <f t="shared" si="116"/>
        <v>-0.2699664977345545</v>
      </c>
      <c r="G1888">
        <f t="shared" si="117"/>
        <v>-0.58246978031461727</v>
      </c>
      <c r="I1888">
        <f t="shared" si="119"/>
        <v>-0.42621813902458588</v>
      </c>
    </row>
    <row r="1889" spans="1:9">
      <c r="A1889" t="s">
        <v>23</v>
      </c>
      <c r="B1889" s="2">
        <f t="shared" si="118"/>
        <v>91</v>
      </c>
      <c r="C1889">
        <v>117033</v>
      </c>
      <c r="D1889">
        <v>230727</v>
      </c>
      <c r="E1889">
        <v>210581</v>
      </c>
      <c r="F1889">
        <f t="shared" si="116"/>
        <v>0</v>
      </c>
      <c r="G1889">
        <f t="shared" si="117"/>
        <v>0</v>
      </c>
      <c r="I1889">
        <f t="shared" si="119"/>
        <v>0</v>
      </c>
    </row>
    <row r="1890" spans="1:9">
      <c r="A1890" t="s">
        <v>24</v>
      </c>
      <c r="B1890" s="2">
        <f t="shared" si="118"/>
        <v>91</v>
      </c>
      <c r="C1890">
        <v>17</v>
      </c>
      <c r="D1890">
        <v>0</v>
      </c>
      <c r="E1890">
        <v>0</v>
      </c>
      <c r="F1890" t="e">
        <f t="shared" si="116"/>
        <v>#NUM!</v>
      </c>
      <c r="G1890" t="e">
        <f t="shared" si="117"/>
        <v>#NUM!</v>
      </c>
      <c r="I1890" t="e">
        <f t="shared" si="119"/>
        <v>#NUM!</v>
      </c>
    </row>
    <row r="1891" spans="1:9">
      <c r="A1891" t="s">
        <v>25</v>
      </c>
      <c r="B1891" s="2">
        <f t="shared" si="118"/>
        <v>91</v>
      </c>
      <c r="C1891">
        <v>13</v>
      </c>
      <c r="D1891">
        <v>1</v>
      </c>
      <c r="E1891">
        <v>1</v>
      </c>
      <c r="F1891">
        <f t="shared" si="116"/>
        <v>-1.4087334337664235</v>
      </c>
      <c r="G1891">
        <f t="shared" si="117"/>
        <v>-1.3690541982351236</v>
      </c>
      <c r="I1891">
        <f t="shared" si="119"/>
        <v>-1.3888938160007736</v>
      </c>
    </row>
    <row r="1892" spans="1:9">
      <c r="A1892" t="s">
        <v>7</v>
      </c>
      <c r="B1892" s="2">
        <f t="shared" si="118"/>
        <v>92</v>
      </c>
      <c r="C1892">
        <v>347</v>
      </c>
      <c r="D1892">
        <v>10</v>
      </c>
      <c r="E1892">
        <v>5</v>
      </c>
      <c r="F1892">
        <f t="shared" si="116"/>
        <v>-1.8351195562504605</v>
      </c>
      <c r="G1892">
        <f t="shared" si="117"/>
        <v>-2.096470316383142</v>
      </c>
      <c r="I1892">
        <f t="shared" si="119"/>
        <v>-1.9657949363168012</v>
      </c>
    </row>
    <row r="1893" spans="1:9">
      <c r="A1893" t="s">
        <v>8</v>
      </c>
      <c r="B1893" s="2">
        <f t="shared" si="118"/>
        <v>92</v>
      </c>
      <c r="C1893">
        <v>230</v>
      </c>
      <c r="D1893">
        <v>8</v>
      </c>
      <c r="E1893">
        <v>14</v>
      </c>
      <c r="F1893">
        <f t="shared" si="116"/>
        <v>-1.7534279304852358</v>
      </c>
      <c r="G1893">
        <f t="shared" si="117"/>
        <v>-1.4707106462676418</v>
      </c>
      <c r="I1893">
        <f t="shared" si="119"/>
        <v>-1.6120692883764387</v>
      </c>
    </row>
    <row r="1894" spans="1:9">
      <c r="A1894" t="s">
        <v>5</v>
      </c>
      <c r="B1894" s="2">
        <f t="shared" si="118"/>
        <v>92</v>
      </c>
      <c r="C1894">
        <v>118</v>
      </c>
      <c r="D1894">
        <v>6</v>
      </c>
      <c r="E1894">
        <v>6</v>
      </c>
      <c r="F1894">
        <f t="shared" si="116"/>
        <v>-1.5885208383820681</v>
      </c>
      <c r="G1894">
        <f t="shared" si="117"/>
        <v>-1.5488416028507686</v>
      </c>
      <c r="I1894">
        <f t="shared" si="119"/>
        <v>-1.5686812206164182</v>
      </c>
    </row>
    <row r="1895" spans="1:9">
      <c r="A1895" t="s">
        <v>6</v>
      </c>
      <c r="B1895" s="2">
        <f t="shared" si="118"/>
        <v>92</v>
      </c>
      <c r="C1895">
        <v>224</v>
      </c>
      <c r="D1895">
        <v>19</v>
      </c>
      <c r="E1895">
        <v>4</v>
      </c>
      <c r="F1895">
        <f t="shared" si="116"/>
        <v>-1.3662844988409204</v>
      </c>
      <c r="G1895">
        <f t="shared" si="117"/>
        <v>-2.0032988729344874</v>
      </c>
      <c r="I1895">
        <f t="shared" si="119"/>
        <v>-1.6847916858877039</v>
      </c>
    </row>
    <row r="1896" spans="1:9">
      <c r="A1896" t="s">
        <v>10</v>
      </c>
      <c r="B1896" s="2">
        <f t="shared" si="118"/>
        <v>92</v>
      </c>
      <c r="C1896">
        <v>135</v>
      </c>
      <c r="D1896">
        <v>14</v>
      </c>
      <c r="E1896">
        <v>2</v>
      </c>
      <c r="F1896">
        <f t="shared" si="116"/>
        <v>-1.2789958142763549</v>
      </c>
      <c r="G1896">
        <f t="shared" si="117"/>
        <v>-2.084414618759312</v>
      </c>
      <c r="I1896">
        <f t="shared" si="119"/>
        <v>-1.6817052165178334</v>
      </c>
    </row>
    <row r="1897" spans="1:9">
      <c r="A1897" t="s">
        <v>11</v>
      </c>
      <c r="B1897" s="2">
        <f t="shared" si="118"/>
        <v>92</v>
      </c>
      <c r="C1897">
        <v>170</v>
      </c>
      <c r="D1897">
        <v>5</v>
      </c>
      <c r="E1897">
        <v>4</v>
      </c>
      <c r="F1897">
        <f t="shared" si="116"/>
        <v>-1.8262689985018419</v>
      </c>
      <c r="G1897">
        <f t="shared" si="117"/>
        <v>-1.8834997759785985</v>
      </c>
      <c r="I1897">
        <f t="shared" si="119"/>
        <v>-1.8548843872402201</v>
      </c>
    </row>
    <row r="1898" spans="1:9">
      <c r="A1898" t="s">
        <v>12</v>
      </c>
      <c r="B1898" s="2">
        <f t="shared" si="118"/>
        <v>92</v>
      </c>
      <c r="C1898">
        <v>218</v>
      </c>
      <c r="D1898">
        <v>2</v>
      </c>
      <c r="E1898">
        <v>7</v>
      </c>
      <c r="F1898">
        <f t="shared" si="116"/>
        <v>-2.3322165794002103</v>
      </c>
      <c r="G1898">
        <f t="shared" si="117"/>
        <v>-1.7484692995186348</v>
      </c>
      <c r="I1898">
        <f t="shared" si="119"/>
        <v>-2.0403429394594226</v>
      </c>
    </row>
    <row r="1899" spans="1:9">
      <c r="A1899" t="s">
        <v>9</v>
      </c>
      <c r="B1899" s="2">
        <f t="shared" si="118"/>
        <v>92</v>
      </c>
      <c r="C1899">
        <v>89</v>
      </c>
      <c r="D1899">
        <v>4</v>
      </c>
      <c r="E1899">
        <v>1</v>
      </c>
      <c r="F1899">
        <f t="shared" ref="F1899:F1962" si="120">LOG10(D1899/C1899)-LOG10(230727/117033)</f>
        <v>-1.6421200967765373</v>
      </c>
      <c r="G1899">
        <f t="shared" ref="G1899:G1962" si="121">LOG10(E1899/C1899)-LOG10(210581/117033)</f>
        <v>-2.2045008525731999</v>
      </c>
      <c r="I1899">
        <f t="shared" si="119"/>
        <v>-1.9233104746748686</v>
      </c>
    </row>
    <row r="1900" spans="1:9">
      <c r="A1900" t="s">
        <v>13</v>
      </c>
      <c r="B1900" s="2">
        <f t="shared" si="118"/>
        <v>92</v>
      </c>
      <c r="C1900">
        <v>83</v>
      </c>
      <c r="D1900">
        <v>1</v>
      </c>
      <c r="E1900">
        <v>3</v>
      </c>
      <c r="F1900">
        <f t="shared" si="120"/>
        <v>-2.2138681738356607</v>
      </c>
      <c r="G1900">
        <f t="shared" si="121"/>
        <v>-1.6970676835846985</v>
      </c>
      <c r="I1900">
        <f t="shared" si="119"/>
        <v>-1.9554679287101795</v>
      </c>
    </row>
    <row r="1901" spans="1:9">
      <c r="A1901" t="s">
        <v>14</v>
      </c>
      <c r="B1901" s="2">
        <f t="shared" si="118"/>
        <v>92</v>
      </c>
      <c r="C1901">
        <v>58</v>
      </c>
      <c r="D1901">
        <v>0</v>
      </c>
      <c r="E1901">
        <v>0</v>
      </c>
      <c r="F1901" t="e">
        <f t="shared" si="120"/>
        <v>#NUM!</v>
      </c>
      <c r="G1901" t="e">
        <f t="shared" si="121"/>
        <v>#NUM!</v>
      </c>
      <c r="I1901" t="e">
        <f t="shared" si="119"/>
        <v>#NUM!</v>
      </c>
    </row>
    <row r="1902" spans="1:9">
      <c r="A1902" t="s">
        <v>15</v>
      </c>
      <c r="B1902" s="2">
        <f t="shared" si="118"/>
        <v>92</v>
      </c>
      <c r="C1902">
        <v>16</v>
      </c>
      <c r="D1902">
        <v>87</v>
      </c>
      <c r="E1902">
        <v>24</v>
      </c>
      <c r="F1902">
        <f t="shared" si="120"/>
        <v>0.44060918850310715</v>
      </c>
      <c r="G1902">
        <f t="shared" si="121"/>
        <v>-7.9019586872605685E-2</v>
      </c>
      <c r="I1902">
        <f t="shared" si="119"/>
        <v>0.18079480081525073</v>
      </c>
    </row>
    <row r="1903" spans="1:9">
      <c r="A1903" t="s">
        <v>16</v>
      </c>
      <c r="B1903" s="2">
        <f t="shared" si="118"/>
        <v>92</v>
      </c>
      <c r="C1903">
        <v>480</v>
      </c>
      <c r="D1903">
        <v>32</v>
      </c>
      <c r="E1903">
        <v>14</v>
      </c>
      <c r="F1903">
        <f t="shared" si="120"/>
        <v>-1.4708813405152679</v>
      </c>
      <c r="G1903">
        <f t="shared" si="121"/>
        <v>-1.7902240476256361</v>
      </c>
      <c r="I1903">
        <f t="shared" si="119"/>
        <v>-1.630552694070452</v>
      </c>
    </row>
    <row r="1904" spans="1:9">
      <c r="A1904" t="s">
        <v>17</v>
      </c>
      <c r="B1904" s="2">
        <f t="shared" si="118"/>
        <v>92</v>
      </c>
      <c r="C1904">
        <v>529</v>
      </c>
      <c r="D1904">
        <v>25</v>
      </c>
      <c r="E1904">
        <v>24</v>
      </c>
      <c r="F1904">
        <f t="shared" si="120"/>
        <v>-1.6203057448227347</v>
      </c>
      <c r="G1904">
        <f t="shared" si="121"/>
        <v>-1.5983552762518667</v>
      </c>
      <c r="I1904">
        <f t="shared" si="119"/>
        <v>-1.6093305105373008</v>
      </c>
    </row>
    <row r="1905" spans="1:9">
      <c r="A1905" t="s">
        <v>18</v>
      </c>
      <c r="B1905" s="2">
        <f t="shared" si="118"/>
        <v>92</v>
      </c>
      <c r="C1905">
        <v>154</v>
      </c>
      <c r="D1905">
        <v>3</v>
      </c>
      <c r="E1905">
        <v>3</v>
      </c>
      <c r="F1905">
        <f t="shared" si="120"/>
        <v>-2.0051895475763875</v>
      </c>
      <c r="G1905">
        <f t="shared" si="121"/>
        <v>-1.9655103120450876</v>
      </c>
      <c r="I1905">
        <f t="shared" si="119"/>
        <v>-1.9853499298107375</v>
      </c>
    </row>
    <row r="1906" spans="1:9">
      <c r="A1906" t="s">
        <v>19</v>
      </c>
      <c r="B1906" s="2">
        <f t="shared" si="118"/>
        <v>92</v>
      </c>
      <c r="C1906">
        <v>292</v>
      </c>
      <c r="D1906">
        <v>34</v>
      </c>
      <c r="E1906">
        <v>24</v>
      </c>
      <c r="F1906">
        <f t="shared" si="120"/>
        <v>-1.2286940158657498</v>
      </c>
      <c r="G1906">
        <f t="shared" si="121"/>
        <v>-1.3402824556650992</v>
      </c>
      <c r="I1906">
        <f t="shared" si="119"/>
        <v>-1.2844882357654246</v>
      </c>
    </row>
    <row r="1907" spans="1:9">
      <c r="A1907" t="s">
        <v>20</v>
      </c>
      <c r="B1907" s="2">
        <f t="shared" si="118"/>
        <v>92</v>
      </c>
      <c r="C1907">
        <v>61</v>
      </c>
      <c r="D1907">
        <v>2</v>
      </c>
      <c r="E1907">
        <v>1</v>
      </c>
      <c r="F1907">
        <f t="shared" si="120"/>
        <v>-1.7790899208063724</v>
      </c>
      <c r="G1907">
        <f t="shared" si="121"/>
        <v>-2.0404406809390538</v>
      </c>
      <c r="I1907">
        <f t="shared" si="119"/>
        <v>-1.9097653008727131</v>
      </c>
    </row>
    <row r="1908" spans="1:9">
      <c r="A1908" t="s">
        <v>21</v>
      </c>
      <c r="B1908" s="2">
        <f t="shared" si="118"/>
        <v>92</v>
      </c>
      <c r="C1908">
        <v>116</v>
      </c>
      <c r="D1908">
        <v>11</v>
      </c>
      <c r="E1908">
        <v>3</v>
      </c>
      <c r="F1908">
        <f t="shared" si="120"/>
        <v>-1.3178553855282802</v>
      </c>
      <c r="G1908">
        <f t="shared" si="121"/>
        <v>-1.8424475804355429</v>
      </c>
      <c r="I1908">
        <f t="shared" si="119"/>
        <v>-1.5801514829819117</v>
      </c>
    </row>
    <row r="1909" spans="1:9">
      <c r="A1909" t="s">
        <v>22</v>
      </c>
      <c r="B1909" s="2">
        <f t="shared" si="118"/>
        <v>92</v>
      </c>
      <c r="C1909">
        <v>93</v>
      </c>
      <c r="D1909">
        <v>7</v>
      </c>
      <c r="E1909">
        <v>1</v>
      </c>
      <c r="F1909">
        <f t="shared" si="120"/>
        <v>-1.4181749899992648</v>
      </c>
      <c r="G1909">
        <f t="shared" si="121"/>
        <v>-2.2235937944822219</v>
      </c>
      <c r="I1909">
        <f t="shared" si="119"/>
        <v>-1.8208843922407434</v>
      </c>
    </row>
    <row r="1910" spans="1:9">
      <c r="A1910" t="s">
        <v>23</v>
      </c>
      <c r="B1910" s="2">
        <f t="shared" si="118"/>
        <v>92</v>
      </c>
      <c r="C1910">
        <v>26</v>
      </c>
      <c r="D1910">
        <v>0</v>
      </c>
      <c r="E1910">
        <v>0</v>
      </c>
      <c r="F1910" t="e">
        <f t="shared" si="120"/>
        <v>#NUM!</v>
      </c>
      <c r="G1910" t="e">
        <f t="shared" si="121"/>
        <v>#NUM!</v>
      </c>
      <c r="I1910" t="e">
        <f t="shared" si="119"/>
        <v>#NUM!</v>
      </c>
    </row>
    <row r="1911" spans="1:9">
      <c r="A1911" t="s">
        <v>24</v>
      </c>
      <c r="B1911" s="2">
        <f t="shared" si="118"/>
        <v>92</v>
      </c>
      <c r="C1911">
        <v>200</v>
      </c>
      <c r="D1911">
        <v>0</v>
      </c>
      <c r="E1911">
        <v>0</v>
      </c>
      <c r="F1911" t="e">
        <f t="shared" si="120"/>
        <v>#NUM!</v>
      </c>
      <c r="G1911" t="e">
        <f t="shared" si="121"/>
        <v>#NUM!</v>
      </c>
      <c r="I1911" t="e">
        <f t="shared" si="119"/>
        <v>#NUM!</v>
      </c>
    </row>
    <row r="1912" spans="1:9">
      <c r="A1912" t="s">
        <v>25</v>
      </c>
      <c r="B1912" s="2">
        <f t="shared" si="118"/>
        <v>92</v>
      </c>
      <c r="C1912">
        <v>138</v>
      </c>
      <c r="D1912">
        <v>7</v>
      </c>
      <c r="E1912">
        <v>6</v>
      </c>
      <c r="F1912">
        <f t="shared" si="120"/>
        <v>-1.5895711278465661</v>
      </c>
      <c r="G1912">
        <f t="shared" si="121"/>
        <v>-1.6168386819458798</v>
      </c>
      <c r="I1912">
        <f t="shared" si="119"/>
        <v>-1.6032049048962229</v>
      </c>
    </row>
    <row r="1913" spans="1:9">
      <c r="A1913" t="s">
        <v>7</v>
      </c>
      <c r="B1913" s="2">
        <f t="shared" si="118"/>
        <v>93</v>
      </c>
      <c r="C1913">
        <v>269</v>
      </c>
      <c r="D1913">
        <v>20</v>
      </c>
      <c r="E1913">
        <v>9</v>
      </c>
      <c r="F1913">
        <f t="shared" si="120"/>
        <v>-1.4235123657980133</v>
      </c>
      <c r="G1913">
        <f t="shared" si="121"/>
        <v>-1.73062061649137</v>
      </c>
      <c r="I1913">
        <f t="shared" si="119"/>
        <v>-1.5770664911446917</v>
      </c>
    </row>
    <row r="1914" spans="1:9">
      <c r="A1914" t="s">
        <v>8</v>
      </c>
      <c r="B1914" s="2">
        <f t="shared" si="118"/>
        <v>93</v>
      </c>
      <c r="C1914">
        <v>257</v>
      </c>
      <c r="D1914">
        <v>14</v>
      </c>
      <c r="E1914">
        <v>6</v>
      </c>
      <c r="F1914">
        <f t="shared" si="120"/>
        <v>-1.558595169112643</v>
      </c>
      <c r="G1914">
        <f t="shared" si="121"/>
        <v>-1.8868927188759379</v>
      </c>
      <c r="I1914">
        <f t="shared" si="119"/>
        <v>-1.7227439439942904</v>
      </c>
    </row>
    <row r="1915" spans="1:9">
      <c r="A1915" t="s">
        <v>5</v>
      </c>
      <c r="B1915" s="2">
        <f t="shared" si="118"/>
        <v>93</v>
      </c>
      <c r="C1915">
        <v>162</v>
      </c>
      <c r="D1915">
        <v>11</v>
      </c>
      <c r="E1915">
        <v>4</v>
      </c>
      <c r="F1915">
        <f t="shared" si="120"/>
        <v>-1.4629124108439924</v>
      </c>
      <c r="G1915">
        <f t="shared" si="121"/>
        <v>-1.8625658691429554</v>
      </c>
      <c r="I1915">
        <f t="shared" si="119"/>
        <v>-1.6627391399934739</v>
      </c>
    </row>
    <row r="1916" spans="1:9">
      <c r="A1916" t="s">
        <v>6</v>
      </c>
      <c r="B1916" s="2">
        <f t="shared" si="118"/>
        <v>93</v>
      </c>
      <c r="C1916">
        <v>394</v>
      </c>
      <c r="D1916">
        <v>34</v>
      </c>
      <c r="E1916">
        <v>27</v>
      </c>
      <c r="F1916">
        <f t="shared" si="120"/>
        <v>-1.3588073862429058</v>
      </c>
      <c r="G1916">
        <f t="shared" si="121"/>
        <v>-1.4192433035948737</v>
      </c>
      <c r="I1916">
        <f t="shared" si="119"/>
        <v>-1.3890253449188896</v>
      </c>
    </row>
    <row r="1917" spans="1:9">
      <c r="A1917" t="s">
        <v>10</v>
      </c>
      <c r="B1917" s="2">
        <f t="shared" si="118"/>
        <v>93</v>
      </c>
      <c r="C1917">
        <v>400</v>
      </c>
      <c r="D1917">
        <v>16</v>
      </c>
      <c r="E1917">
        <v>19</v>
      </c>
      <c r="F1917">
        <f t="shared" si="120"/>
        <v>-1.692730090131624</v>
      </c>
      <c r="G1917">
        <f t="shared" si="121"/>
        <v>-1.5784172363034203</v>
      </c>
      <c r="I1917">
        <f t="shared" si="119"/>
        <v>-1.6355736632175222</v>
      </c>
    </row>
    <row r="1918" spans="1:9">
      <c r="A1918" t="s">
        <v>11</v>
      </c>
      <c r="B1918" s="2">
        <f t="shared" si="118"/>
        <v>93</v>
      </c>
      <c r="C1918">
        <v>428</v>
      </c>
      <c r="D1918">
        <v>29</v>
      </c>
      <c r="E1918">
        <v>23</v>
      </c>
      <c r="F1918">
        <f t="shared" si="120"/>
        <v>-1.4638358525738027</v>
      </c>
      <c r="G1918">
        <f t="shared" si="121"/>
        <v>-1.5248267789238661</v>
      </c>
      <c r="I1918">
        <f t="shared" si="119"/>
        <v>-1.4943313157488345</v>
      </c>
    </row>
    <row r="1919" spans="1:9">
      <c r="A1919" t="s">
        <v>12</v>
      </c>
      <c r="B1919" s="2">
        <f t="shared" si="118"/>
        <v>93</v>
      </c>
      <c r="C1919">
        <v>321</v>
      </c>
      <c r="D1919">
        <v>11</v>
      </c>
      <c r="E1919">
        <v>4</v>
      </c>
      <c r="F1919">
        <f t="shared" si="120"/>
        <v>-1.7599024287062339</v>
      </c>
      <c r="G1919">
        <f t="shared" si="121"/>
        <v>-2.1595558870051965</v>
      </c>
      <c r="I1919">
        <f t="shared" si="119"/>
        <v>-1.9597291578557152</v>
      </c>
    </row>
    <row r="1920" spans="1:9">
      <c r="A1920" t="s">
        <v>9</v>
      </c>
      <c r="B1920" s="2">
        <f t="shared" si="118"/>
        <v>93</v>
      </c>
      <c r="C1920">
        <v>195</v>
      </c>
      <c r="D1920">
        <v>57</v>
      </c>
      <c r="E1920">
        <v>60</v>
      </c>
      <c r="F1920">
        <f t="shared" si="120"/>
        <v>-0.82894983714961323</v>
      </c>
      <c r="G1920">
        <f t="shared" si="121"/>
        <v>-0.76699420690716125</v>
      </c>
      <c r="I1920">
        <f t="shared" si="119"/>
        <v>-0.79797202202838724</v>
      </c>
    </row>
    <row r="1921" spans="1:9">
      <c r="A1921" t="s">
        <v>13</v>
      </c>
      <c r="B1921" s="2">
        <f t="shared" si="118"/>
        <v>93</v>
      </c>
      <c r="C1921">
        <v>426</v>
      </c>
      <c r="D1921">
        <v>309</v>
      </c>
      <c r="E1921">
        <v>389</v>
      </c>
      <c r="F1921">
        <f t="shared" si="120"/>
        <v>-0.43424120113747089</v>
      </c>
      <c r="G1921">
        <f t="shared" si="121"/>
        <v>-0.29457084370529812</v>
      </c>
      <c r="I1921">
        <f t="shared" si="119"/>
        <v>-0.36440602242138453</v>
      </c>
    </row>
    <row r="1922" spans="1:9">
      <c r="A1922" t="s">
        <v>14</v>
      </c>
      <c r="B1922" s="2">
        <f t="shared" si="118"/>
        <v>93</v>
      </c>
      <c r="C1922">
        <v>0</v>
      </c>
      <c r="D1922">
        <v>0</v>
      </c>
      <c r="E1922">
        <v>0</v>
      </c>
      <c r="F1922" t="e">
        <f t="shared" si="120"/>
        <v>#DIV/0!</v>
      </c>
      <c r="G1922" t="e">
        <f t="shared" si="121"/>
        <v>#DIV/0!</v>
      </c>
      <c r="I1922" t="e">
        <f t="shared" si="119"/>
        <v>#DIV/0!</v>
      </c>
    </row>
    <row r="1923" spans="1:9">
      <c r="A1923" t="s">
        <v>15</v>
      </c>
      <c r="B1923" s="2">
        <f t="shared" ref="B1923:B1986" si="122">1+INT((ROW()-2)/21)+1</f>
        <v>93</v>
      </c>
      <c r="C1923">
        <v>355</v>
      </c>
      <c r="D1923">
        <v>21</v>
      </c>
      <c r="E1923">
        <v>20</v>
      </c>
      <c r="F1923">
        <f t="shared" si="120"/>
        <v>-1.5227991397807616</v>
      </c>
      <c r="G1923">
        <f t="shared" si="121"/>
        <v>-1.5043092033193999</v>
      </c>
      <c r="I1923">
        <f t="shared" ref="I1923:I1986" si="123">AVERAGE(F1923:G1923)</f>
        <v>-1.5135541715500809</v>
      </c>
    </row>
    <row r="1924" spans="1:9">
      <c r="A1924" t="s">
        <v>16</v>
      </c>
      <c r="B1924" s="2">
        <f t="shared" si="122"/>
        <v>93</v>
      </c>
      <c r="C1924">
        <v>529</v>
      </c>
      <c r="D1924">
        <v>56</v>
      </c>
      <c r="E1924">
        <v>46</v>
      </c>
      <c r="F1924">
        <f t="shared" si="120"/>
        <v>-1.270057726488572</v>
      </c>
      <c r="G1924">
        <f t="shared" si="121"/>
        <v>-1.3158086862818985</v>
      </c>
      <c r="I1924">
        <f t="shared" si="123"/>
        <v>-1.2929332063852352</v>
      </c>
    </row>
    <row r="1925" spans="1:9">
      <c r="A1925" t="s">
        <v>17</v>
      </c>
      <c r="B1925" s="2">
        <f t="shared" si="122"/>
        <v>93</v>
      </c>
      <c r="C1925">
        <v>430</v>
      </c>
      <c r="D1925">
        <v>65</v>
      </c>
      <c r="E1925">
        <v>14</v>
      </c>
      <c r="F1925">
        <f t="shared" si="120"/>
        <v>-1.1153451803963175</v>
      </c>
      <c r="G1925">
        <f t="shared" si="121"/>
        <v>-1.7424512658296354</v>
      </c>
      <c r="I1925">
        <f t="shared" si="123"/>
        <v>-1.4288982231129763</v>
      </c>
    </row>
    <row r="1926" spans="1:9">
      <c r="A1926" t="s">
        <v>18</v>
      </c>
      <c r="B1926" s="2">
        <f t="shared" si="122"/>
        <v>93</v>
      </c>
      <c r="C1926">
        <v>533</v>
      </c>
      <c r="D1926">
        <v>146</v>
      </c>
      <c r="E1926">
        <v>115</v>
      </c>
      <c r="F1926">
        <f t="shared" si="120"/>
        <v>-0.85716443470172177</v>
      </c>
      <c r="G1926">
        <f t="shared" si="121"/>
        <v>-0.92114021460124751</v>
      </c>
      <c r="I1926">
        <f t="shared" si="123"/>
        <v>-0.88915232465148464</v>
      </c>
    </row>
    <row r="1927" spans="1:9">
      <c r="A1927" t="s">
        <v>19</v>
      </c>
      <c r="B1927" s="2">
        <f t="shared" si="122"/>
        <v>93</v>
      </c>
      <c r="C1927">
        <v>347</v>
      </c>
      <c r="D1927">
        <v>34</v>
      </c>
      <c r="E1927">
        <v>20</v>
      </c>
      <c r="F1927">
        <f t="shared" si="120"/>
        <v>-1.3036406392082052</v>
      </c>
      <c r="G1927">
        <f t="shared" si="121"/>
        <v>-1.4944103250551795</v>
      </c>
      <c r="I1927">
        <f t="shared" si="123"/>
        <v>-1.3990254821316923</v>
      </c>
    </row>
    <row r="1928" spans="1:9">
      <c r="A1928" t="s">
        <v>20</v>
      </c>
      <c r="B1928" s="2">
        <f t="shared" si="122"/>
        <v>93</v>
      </c>
      <c r="C1928">
        <v>360</v>
      </c>
      <c r="D1928">
        <v>42</v>
      </c>
      <c r="E1928">
        <v>24</v>
      </c>
      <c r="F1928">
        <f t="shared" si="120"/>
        <v>-1.2278432918289734</v>
      </c>
      <c r="G1928">
        <f t="shared" si="121"/>
        <v>-1.4312021049839683</v>
      </c>
      <c r="I1928">
        <f t="shared" si="123"/>
        <v>-1.3295226984064707</v>
      </c>
    </row>
    <row r="1929" spans="1:9">
      <c r="A1929" t="s">
        <v>21</v>
      </c>
      <c r="B1929" s="2">
        <f t="shared" si="122"/>
        <v>93</v>
      </c>
      <c r="C1929">
        <v>448</v>
      </c>
      <c r="D1929">
        <v>16</v>
      </c>
      <c r="E1929">
        <v>21</v>
      </c>
      <c r="F1929">
        <f t="shared" si="120"/>
        <v>-1.7419481128018059</v>
      </c>
      <c r="G1929">
        <f t="shared" si="121"/>
        <v>-1.5841695651925116</v>
      </c>
      <c r="I1929">
        <f t="shared" si="123"/>
        <v>-1.6630588389971588</v>
      </c>
    </row>
    <row r="1930" spans="1:9">
      <c r="A1930" t="s">
        <v>22</v>
      </c>
      <c r="B1930" s="2">
        <f t="shared" si="122"/>
        <v>93</v>
      </c>
      <c r="C1930">
        <v>257</v>
      </c>
      <c r="D1930">
        <v>102</v>
      </c>
      <c r="E1930">
        <v>91</v>
      </c>
      <c r="F1930">
        <f t="shared" si="120"/>
        <v>-0.69612303302896361</v>
      </c>
      <c r="G1930">
        <f t="shared" si="121"/>
        <v>-0.70600257693848789</v>
      </c>
      <c r="I1930">
        <f t="shared" si="123"/>
        <v>-0.70106280498372575</v>
      </c>
    </row>
    <row r="1931" spans="1:9">
      <c r="A1931" t="s">
        <v>23</v>
      </c>
      <c r="B1931" s="2">
        <f t="shared" si="122"/>
        <v>93</v>
      </c>
      <c r="C1931">
        <v>304</v>
      </c>
      <c r="D1931">
        <v>36</v>
      </c>
      <c r="E1931">
        <v>32</v>
      </c>
      <c r="F1931">
        <f t="shared" si="120"/>
        <v>-1.2213611643010531</v>
      </c>
      <c r="G1931">
        <f t="shared" si="121"/>
        <v>-1.2328344512171348</v>
      </c>
      <c r="I1931">
        <f t="shared" si="123"/>
        <v>-1.2270978077590939</v>
      </c>
    </row>
    <row r="1932" spans="1:9">
      <c r="A1932" t="s">
        <v>24</v>
      </c>
      <c r="B1932" s="2">
        <f t="shared" si="122"/>
        <v>93</v>
      </c>
      <c r="C1932">
        <v>424</v>
      </c>
      <c r="D1932">
        <v>10</v>
      </c>
      <c r="E1932">
        <v>16</v>
      </c>
      <c r="F1932">
        <f t="shared" si="120"/>
        <v>-1.9221559380523194</v>
      </c>
      <c r="G1932">
        <f t="shared" si="121"/>
        <v>-1.6783567198650948</v>
      </c>
      <c r="I1932">
        <f t="shared" si="123"/>
        <v>-1.800256328958707</v>
      </c>
    </row>
    <row r="1933" spans="1:9">
      <c r="A1933" t="s">
        <v>25</v>
      </c>
      <c r="B1933" s="2">
        <f t="shared" si="122"/>
        <v>93</v>
      </c>
      <c r="C1933">
        <v>424</v>
      </c>
      <c r="D1933">
        <v>11</v>
      </c>
      <c r="E1933">
        <v>21</v>
      </c>
      <c r="F1933">
        <f t="shared" si="120"/>
        <v>-1.8807632528940941</v>
      </c>
      <c r="G1933">
        <f t="shared" si="121"/>
        <v>-1.5602574077871003</v>
      </c>
      <c r="I1933">
        <f t="shared" si="123"/>
        <v>-1.7205103303405971</v>
      </c>
    </row>
    <row r="1934" spans="1:9">
      <c r="A1934" t="s">
        <v>7</v>
      </c>
      <c r="B1934" s="2">
        <f t="shared" si="122"/>
        <v>94</v>
      </c>
      <c r="C1934">
        <v>591</v>
      </c>
      <c r="D1934">
        <v>36</v>
      </c>
      <c r="E1934">
        <v>89</v>
      </c>
      <c r="F1934">
        <f t="shared" si="120"/>
        <v>-1.5100750615735548</v>
      </c>
      <c r="G1934">
        <f t="shared" si="121"/>
        <v>-1.0773083201646294</v>
      </c>
      <c r="I1934">
        <f t="shared" si="123"/>
        <v>-1.2936916908690921</v>
      </c>
    </row>
    <row r="1935" spans="1:9">
      <c r="A1935" t="s">
        <v>8</v>
      </c>
      <c r="B1935" s="2">
        <f t="shared" si="122"/>
        <v>94</v>
      </c>
      <c r="C1935">
        <v>569</v>
      </c>
      <c r="D1935">
        <v>80</v>
      </c>
      <c r="E1935">
        <v>28</v>
      </c>
      <c r="F1935">
        <f t="shared" si="120"/>
        <v>-1.1468123608627141</v>
      </c>
      <c r="G1935">
        <f t="shared" si="121"/>
        <v>-1.5630650809811388</v>
      </c>
      <c r="I1935">
        <f t="shared" si="123"/>
        <v>-1.3549387209219264</v>
      </c>
    </row>
    <row r="1936" spans="1:9">
      <c r="A1936" t="s">
        <v>5</v>
      </c>
      <c r="B1936" s="2">
        <f t="shared" si="122"/>
        <v>94</v>
      </c>
      <c r="C1936">
        <v>225</v>
      </c>
      <c r="D1936">
        <v>26</v>
      </c>
      <c r="E1936">
        <v>9</v>
      </c>
      <c r="F1936">
        <f t="shared" si="120"/>
        <v>-1.231999251600131</v>
      </c>
      <c r="G1936">
        <f t="shared" si="121"/>
        <v>-1.6530508546003244</v>
      </c>
      <c r="I1936">
        <f t="shared" si="123"/>
        <v>-1.4425250531002276</v>
      </c>
    </row>
    <row r="1937" spans="1:9">
      <c r="A1937" t="s">
        <v>6</v>
      </c>
      <c r="B1937" s="2">
        <f t="shared" si="122"/>
        <v>94</v>
      </c>
      <c r="C1937">
        <v>472</v>
      </c>
      <c r="D1937">
        <v>20</v>
      </c>
      <c r="E1937">
        <v>17</v>
      </c>
      <c r="F1937">
        <f t="shared" si="120"/>
        <v>-1.6677020844296933</v>
      </c>
      <c r="G1937">
        <f t="shared" si="121"/>
        <v>-1.6986039231841008</v>
      </c>
      <c r="I1937">
        <f t="shared" si="123"/>
        <v>-1.6831530038068969</v>
      </c>
    </row>
    <row r="1938" spans="1:9">
      <c r="A1938" t="s">
        <v>10</v>
      </c>
      <c r="B1938" s="2">
        <f t="shared" si="122"/>
        <v>94</v>
      </c>
      <c r="C1938">
        <v>445</v>
      </c>
      <c r="D1938">
        <v>13</v>
      </c>
      <c r="E1938">
        <v>38</v>
      </c>
      <c r="F1938">
        <f t="shared" si="120"/>
        <v>-1.8292067401336816</v>
      </c>
      <c r="G1938">
        <f t="shared" si="121"/>
        <v>-1.3236872602924084</v>
      </c>
      <c r="I1938">
        <f t="shared" si="123"/>
        <v>-1.5764470002130451</v>
      </c>
    </row>
    <row r="1939" spans="1:9">
      <c r="A1939" t="s">
        <v>11</v>
      </c>
      <c r="B1939" s="2">
        <f t="shared" si="122"/>
        <v>94</v>
      </c>
      <c r="C1939">
        <v>268</v>
      </c>
      <c r="D1939">
        <v>74</v>
      </c>
      <c r="E1939">
        <v>41</v>
      </c>
      <c r="F1939">
        <f t="shared" si="120"/>
        <v>-0.85369315575739924</v>
      </c>
      <c r="G1939">
        <f t="shared" si="121"/>
        <v>-1.0704617832373402</v>
      </c>
      <c r="I1939">
        <f t="shared" si="123"/>
        <v>-0.96207746949736972</v>
      </c>
    </row>
    <row r="1940" spans="1:9">
      <c r="A1940" t="s">
        <v>12</v>
      </c>
      <c r="B1940" s="2">
        <f t="shared" si="122"/>
        <v>94</v>
      </c>
      <c r="C1940">
        <v>270</v>
      </c>
      <c r="D1940">
        <v>8</v>
      </c>
      <c r="E1940">
        <v>4</v>
      </c>
      <c r="F1940">
        <f t="shared" si="120"/>
        <v>-1.8230638586266301</v>
      </c>
      <c r="G1940">
        <f t="shared" si="121"/>
        <v>-2.084414618759312</v>
      </c>
      <c r="I1940">
        <f t="shared" si="123"/>
        <v>-1.9537392386929711</v>
      </c>
    </row>
    <row r="1941" spans="1:9">
      <c r="A1941" t="s">
        <v>9</v>
      </c>
      <c r="B1941" s="2">
        <f t="shared" si="122"/>
        <v>94</v>
      </c>
      <c r="C1941">
        <v>304</v>
      </c>
      <c r="D1941">
        <v>23</v>
      </c>
      <c r="E1941">
        <v>20</v>
      </c>
      <c r="F1941">
        <f t="shared" si="120"/>
        <v>-1.4159358290507473</v>
      </c>
      <c r="G1941">
        <f t="shared" si="121"/>
        <v>-1.4369544338730595</v>
      </c>
      <c r="I1941">
        <f t="shared" si="123"/>
        <v>-1.4264451314619033</v>
      </c>
    </row>
    <row r="1942" spans="1:9">
      <c r="A1942" t="s">
        <v>13</v>
      </c>
      <c r="B1942" s="2">
        <f t="shared" si="122"/>
        <v>94</v>
      </c>
      <c r="C1942">
        <v>359</v>
      </c>
      <c r="D1942">
        <v>32</v>
      </c>
      <c r="E1942">
        <v>53</v>
      </c>
      <c r="F1942">
        <f t="shared" si="120"/>
        <v>-1.3447345517179996</v>
      </c>
      <c r="G1942">
        <f t="shared" si="121"/>
        <v>-1.0859294249058169</v>
      </c>
      <c r="I1942">
        <f t="shared" si="123"/>
        <v>-1.2153319883119083</v>
      </c>
    </row>
    <row r="1943" spans="1:9">
      <c r="A1943" t="s">
        <v>14</v>
      </c>
      <c r="B1943" s="2">
        <f t="shared" si="122"/>
        <v>94</v>
      </c>
      <c r="C1943">
        <v>10</v>
      </c>
      <c r="D1943">
        <v>16</v>
      </c>
      <c r="E1943">
        <v>16</v>
      </c>
      <c r="F1943">
        <f t="shared" si="120"/>
        <v>-9.0670098803661836E-2</v>
      </c>
      <c r="G1943">
        <f t="shared" si="121"/>
        <v>-5.099086327236213E-2</v>
      </c>
      <c r="I1943">
        <f t="shared" si="123"/>
        <v>-7.0830481038011983E-2</v>
      </c>
    </row>
    <row r="1944" spans="1:9">
      <c r="A1944" t="s">
        <v>15</v>
      </c>
      <c r="B1944" s="2">
        <f t="shared" si="122"/>
        <v>94</v>
      </c>
      <c r="C1944">
        <v>451</v>
      </c>
      <c r="D1944">
        <v>138</v>
      </c>
      <c r="E1944">
        <v>98</v>
      </c>
      <c r="F1944">
        <f t="shared" si="120"/>
        <v>-0.80908753693631064</v>
      </c>
      <c r="G1944">
        <f t="shared" si="121"/>
        <v>-0.91806131211375264</v>
      </c>
      <c r="I1944">
        <f t="shared" si="123"/>
        <v>-0.86357442452503164</v>
      </c>
    </row>
    <row r="1945" spans="1:9">
      <c r="A1945" t="s">
        <v>16</v>
      </c>
      <c r="B1945" s="2">
        <f t="shared" si="122"/>
        <v>94</v>
      </c>
      <c r="C1945">
        <v>556</v>
      </c>
      <c r="D1945">
        <v>81</v>
      </c>
      <c r="E1945">
        <v>81</v>
      </c>
      <c r="F1945">
        <f t="shared" si="120"/>
        <v>-1.1313798541629945</v>
      </c>
      <c r="G1945">
        <f t="shared" si="121"/>
        <v>-1.0917006186316947</v>
      </c>
      <c r="I1945">
        <f t="shared" si="123"/>
        <v>-1.1115402363973446</v>
      </c>
    </row>
    <row r="1946" spans="1:9">
      <c r="A1946" t="s">
        <v>17</v>
      </c>
      <c r="B1946" s="2">
        <f t="shared" si="122"/>
        <v>94</v>
      </c>
      <c r="C1946">
        <v>419</v>
      </c>
      <c r="D1946">
        <v>14</v>
      </c>
      <c r="E1946">
        <v>37</v>
      </c>
      <c r="F1946">
        <f t="shared" si="120"/>
        <v>-1.7708760687476439</v>
      </c>
      <c r="G1946">
        <f t="shared" si="121"/>
        <v>-1.3091231448275873</v>
      </c>
      <c r="I1946">
        <f t="shared" si="123"/>
        <v>-1.5399996067876156</v>
      </c>
    </row>
    <row r="1947" spans="1:9">
      <c r="A1947" t="s">
        <v>18</v>
      </c>
      <c r="B1947" s="2">
        <f t="shared" si="122"/>
        <v>94</v>
      </c>
      <c r="C1947">
        <v>372</v>
      </c>
      <c r="D1947">
        <v>33</v>
      </c>
      <c r="E1947">
        <v>28</v>
      </c>
      <c r="F1947">
        <f t="shared" si="120"/>
        <v>-1.3468190814635967</v>
      </c>
      <c r="G1947">
        <f t="shared" si="121"/>
        <v>-1.3784957544679652</v>
      </c>
      <c r="I1947">
        <f t="shared" si="123"/>
        <v>-1.3626574179657811</v>
      </c>
    </row>
    <row r="1948" spans="1:9">
      <c r="A1948" t="s">
        <v>19</v>
      </c>
      <c r="B1948" s="2">
        <f t="shared" si="122"/>
        <v>94</v>
      </c>
      <c r="C1948">
        <v>434</v>
      </c>
      <c r="D1948">
        <v>39</v>
      </c>
      <c r="E1948">
        <v>108</v>
      </c>
      <c r="F1948">
        <f t="shared" si="120"/>
        <v>-1.3412152039455982</v>
      </c>
      <c r="G1948">
        <f t="shared" si="121"/>
        <v>-0.85917681995384787</v>
      </c>
      <c r="I1948">
        <f t="shared" si="123"/>
        <v>-1.1001960119497229</v>
      </c>
    </row>
    <row r="1949" spans="1:9">
      <c r="A1949" t="s">
        <v>20</v>
      </c>
      <c r="B1949" s="2">
        <f t="shared" si="122"/>
        <v>94</v>
      </c>
      <c r="C1949">
        <v>314</v>
      </c>
      <c r="D1949">
        <v>44</v>
      </c>
      <c r="E1949">
        <v>42</v>
      </c>
      <c r="F1949">
        <f t="shared" si="120"/>
        <v>-1.1482670530466141</v>
      </c>
      <c r="G1949">
        <f t="shared" si="121"/>
        <v>-1.1287912036036014</v>
      </c>
      <c r="I1949">
        <f t="shared" si="123"/>
        <v>-1.1385291283251078</v>
      </c>
    </row>
    <row r="1950" spans="1:9">
      <c r="A1950" t="s">
        <v>21</v>
      </c>
      <c r="B1950" s="2">
        <f t="shared" si="122"/>
        <v>94</v>
      </c>
      <c r="C1950">
        <v>568</v>
      </c>
      <c r="D1950">
        <v>42</v>
      </c>
      <c r="E1950">
        <v>36</v>
      </c>
      <c r="F1950">
        <f t="shared" si="120"/>
        <v>-1.425889126772705</v>
      </c>
      <c r="G1950">
        <f t="shared" si="121"/>
        <v>-1.4531566808720184</v>
      </c>
      <c r="I1950">
        <f t="shared" si="123"/>
        <v>-1.4395229038223616</v>
      </c>
    </row>
    <row r="1951" spans="1:9">
      <c r="A1951" t="s">
        <v>22</v>
      </c>
      <c r="B1951" s="2">
        <f t="shared" si="122"/>
        <v>94</v>
      </c>
      <c r="C1951">
        <v>322</v>
      </c>
      <c r="D1951">
        <v>5</v>
      </c>
      <c r="E1951">
        <v>2</v>
      </c>
      <c r="F1951">
        <f t="shared" si="120"/>
        <v>-2.1036759488193986</v>
      </c>
      <c r="G1951">
        <f t="shared" si="121"/>
        <v>-2.4619367219601367</v>
      </c>
      <c r="I1951">
        <f t="shared" si="123"/>
        <v>-2.2828063353897674</v>
      </c>
    </row>
    <row r="1952" spans="1:9">
      <c r="A1952" t="s">
        <v>23</v>
      </c>
      <c r="B1952" s="2">
        <f t="shared" si="122"/>
        <v>94</v>
      </c>
      <c r="C1952">
        <v>336</v>
      </c>
      <c r="D1952">
        <v>11</v>
      </c>
      <c r="E1952">
        <v>5</v>
      </c>
      <c r="F1952">
        <f t="shared" si="120"/>
        <v>-1.7797366736912057</v>
      </c>
      <c r="G1952">
        <f t="shared" si="121"/>
        <v>-2.0824801189821125</v>
      </c>
      <c r="I1952">
        <f t="shared" si="123"/>
        <v>-1.9311083963366591</v>
      </c>
    </row>
    <row r="1953" spans="1:9">
      <c r="A1953" t="s">
        <v>24</v>
      </c>
      <c r="B1953" s="2">
        <f t="shared" si="122"/>
        <v>94</v>
      </c>
      <c r="C1953">
        <v>576</v>
      </c>
      <c r="D1953">
        <v>17</v>
      </c>
      <c r="E1953">
        <v>20</v>
      </c>
      <c r="F1953">
        <f t="shared" si="120"/>
        <v>-1.8247636435045247</v>
      </c>
      <c r="G1953">
        <f t="shared" si="121"/>
        <v>-1.7145033336875177</v>
      </c>
      <c r="I1953">
        <f t="shared" si="123"/>
        <v>-1.7696334885960212</v>
      </c>
    </row>
    <row r="1954" spans="1:9">
      <c r="A1954" t="s">
        <v>25</v>
      </c>
      <c r="B1954" s="2">
        <f t="shared" si="122"/>
        <v>94</v>
      </c>
      <c r="C1954">
        <v>378</v>
      </c>
      <c r="D1954">
        <v>10</v>
      </c>
      <c r="E1954">
        <v>23</v>
      </c>
      <c r="F1954">
        <f t="shared" si="120"/>
        <v>-1.8722818812968121</v>
      </c>
      <c r="G1954">
        <f t="shared" si="121"/>
        <v>-1.4708748097479194</v>
      </c>
      <c r="I1954">
        <f t="shared" si="123"/>
        <v>-1.6715783455223656</v>
      </c>
    </row>
    <row r="1955" spans="1:9">
      <c r="A1955" t="s">
        <v>7</v>
      </c>
      <c r="B1955" s="2">
        <f t="shared" si="122"/>
        <v>95</v>
      </c>
      <c r="C1955">
        <v>403</v>
      </c>
      <c r="D1955">
        <v>53</v>
      </c>
      <c r="E1955">
        <v>41</v>
      </c>
      <c r="F1955">
        <f t="shared" si="120"/>
        <v>-1.1758192579999069</v>
      </c>
      <c r="G1955">
        <f t="shared" si="121"/>
        <v>-1.2476320353496608</v>
      </c>
      <c r="I1955">
        <f t="shared" si="123"/>
        <v>-1.2117256466747839</v>
      </c>
    </row>
    <row r="1956" spans="1:9">
      <c r="A1956" t="s">
        <v>8</v>
      </c>
      <c r="B1956" s="2">
        <f t="shared" si="122"/>
        <v>95</v>
      </c>
      <c r="C1956">
        <v>685</v>
      </c>
      <c r="D1956">
        <v>28</v>
      </c>
      <c r="E1956">
        <v>39</v>
      </c>
      <c r="F1956">
        <f t="shared" si="120"/>
        <v>-1.683322621609793</v>
      </c>
      <c r="G1956">
        <f t="shared" si="121"/>
        <v>-1.4997368103942132</v>
      </c>
      <c r="I1956">
        <f t="shared" si="123"/>
        <v>-1.591529716002003</v>
      </c>
    </row>
    <row r="1957" spans="1:9">
      <c r="A1957" t="s">
        <v>5</v>
      </c>
      <c r="B1957" s="2">
        <f t="shared" si="122"/>
        <v>95</v>
      </c>
      <c r="C1957">
        <v>117033</v>
      </c>
      <c r="D1957">
        <v>230727</v>
      </c>
      <c r="E1957">
        <v>210581</v>
      </c>
      <c r="F1957">
        <f t="shared" si="120"/>
        <v>0</v>
      </c>
      <c r="G1957">
        <f t="shared" si="121"/>
        <v>0</v>
      </c>
      <c r="I1957">
        <f t="shared" si="123"/>
        <v>0</v>
      </c>
    </row>
    <row r="1958" spans="1:9">
      <c r="A1958" t="s">
        <v>6</v>
      </c>
      <c r="B1958" s="2">
        <f t="shared" si="122"/>
        <v>95</v>
      </c>
      <c r="C1958">
        <v>1055</v>
      </c>
      <c r="D1958">
        <v>1046</v>
      </c>
      <c r="E1958">
        <v>1595</v>
      </c>
      <c r="F1958">
        <f t="shared" si="120"/>
        <v>-0.29851085656204268</v>
      </c>
      <c r="G1958">
        <f t="shared" si="121"/>
        <v>-7.5602618168798486E-2</v>
      </c>
      <c r="I1958">
        <f t="shared" si="123"/>
        <v>-0.18705673736542058</v>
      </c>
    </row>
    <row r="1959" spans="1:9">
      <c r="A1959" t="s">
        <v>10</v>
      </c>
      <c r="B1959" s="2">
        <f t="shared" si="122"/>
        <v>95</v>
      </c>
      <c r="C1959">
        <v>635</v>
      </c>
      <c r="D1959">
        <v>61</v>
      </c>
      <c r="E1959">
        <v>67</v>
      </c>
      <c r="F1959">
        <f t="shared" si="120"/>
        <v>-1.3122339717407954</v>
      </c>
      <c r="G1959">
        <f t="shared" si="121"/>
        <v>-1.2318097685194362</v>
      </c>
      <c r="I1959">
        <f t="shared" si="123"/>
        <v>-1.2720218701301158</v>
      </c>
    </row>
    <row r="1960" spans="1:9">
      <c r="A1960" t="s">
        <v>11</v>
      </c>
      <c r="B1960" s="2">
        <f t="shared" si="122"/>
        <v>95</v>
      </c>
      <c r="C1960">
        <v>363</v>
      </c>
      <c r="D1960">
        <v>10</v>
      </c>
      <c r="E1960">
        <v>17</v>
      </c>
      <c r="F1960">
        <f t="shared" si="120"/>
        <v>-1.854696706495699</v>
      </c>
      <c r="G1960">
        <f t="shared" si="121"/>
        <v>-1.5845685495861255</v>
      </c>
      <c r="I1960">
        <f t="shared" si="123"/>
        <v>-1.7196326280409122</v>
      </c>
    </row>
    <row r="1961" spans="1:9">
      <c r="A1961" t="s">
        <v>12</v>
      </c>
      <c r="B1961" s="2">
        <f t="shared" si="122"/>
        <v>95</v>
      </c>
      <c r="C1961">
        <v>396</v>
      </c>
      <c r="D1961">
        <v>401</v>
      </c>
      <c r="E1961">
        <v>4242</v>
      </c>
      <c r="F1961">
        <f t="shared" si="120"/>
        <v>-0.28934089476491665</v>
      </c>
      <c r="G1961">
        <f t="shared" si="121"/>
        <v>0.77476463232674386</v>
      </c>
      <c r="I1961">
        <f t="shared" si="123"/>
        <v>0.24271186878091361</v>
      </c>
    </row>
    <row r="1962" spans="1:9">
      <c r="A1962" t="s">
        <v>9</v>
      </c>
      <c r="B1962" s="2">
        <f t="shared" si="122"/>
        <v>95</v>
      </c>
      <c r="C1962">
        <v>450</v>
      </c>
      <c r="D1962">
        <v>523</v>
      </c>
      <c r="E1962">
        <v>368</v>
      </c>
      <c r="F1962">
        <f t="shared" si="120"/>
        <v>-0.22950090636765605</v>
      </c>
      <c r="G1962">
        <f t="shared" si="121"/>
        <v>-0.34247554103011291</v>
      </c>
      <c r="I1962">
        <f t="shared" si="123"/>
        <v>-0.28598822369888449</v>
      </c>
    </row>
    <row r="1963" spans="1:9">
      <c r="A1963" t="s">
        <v>13</v>
      </c>
      <c r="B1963" s="2">
        <f t="shared" si="122"/>
        <v>95</v>
      </c>
      <c r="C1963">
        <v>638</v>
      </c>
      <c r="D1963">
        <v>15036</v>
      </c>
      <c r="E1963">
        <v>16014</v>
      </c>
      <c r="F1963">
        <f t="shared" ref="F1963:F2017" si="124">LOG10(D1963/C1963)-LOG10(230727/117033)</f>
        <v>1.0775215568610257</v>
      </c>
      <c r="G1963">
        <f t="shared" ref="G1963:G2017" si="125">LOG10(E1963/C1963)-LOG10(210581/117033)</f>
        <v>1.1445682995217021</v>
      </c>
      <c r="I1963">
        <f t="shared" si="123"/>
        <v>1.1110449281913639</v>
      </c>
    </row>
    <row r="1964" spans="1:9">
      <c r="A1964" t="s">
        <v>14</v>
      </c>
      <c r="B1964" s="2">
        <f t="shared" si="122"/>
        <v>95</v>
      </c>
      <c r="C1964">
        <v>897</v>
      </c>
      <c r="D1964">
        <v>5048</v>
      </c>
      <c r="E1964">
        <v>1631</v>
      </c>
      <c r="F1964">
        <f t="shared" si="124"/>
        <v>0.45553682173239918</v>
      </c>
      <c r="G1964">
        <f t="shared" si="125"/>
        <v>4.5506720678968327E-3</v>
      </c>
      <c r="I1964">
        <f t="shared" si="123"/>
        <v>0.23004374690014801</v>
      </c>
    </row>
    <row r="1965" spans="1:9">
      <c r="A1965" t="s">
        <v>15</v>
      </c>
      <c r="B1965" s="2">
        <f t="shared" si="122"/>
        <v>95</v>
      </c>
      <c r="C1965">
        <v>570</v>
      </c>
      <c r="D1965">
        <v>269</v>
      </c>
      <c r="E1965">
        <v>221</v>
      </c>
      <c r="F1965">
        <f t="shared" si="124"/>
        <v>-0.62091265712967003</v>
      </c>
      <c r="G1965">
        <f t="shared" si="125"/>
        <v>-0.66659342791566767</v>
      </c>
      <c r="I1965">
        <f t="shared" si="123"/>
        <v>-0.64375304252266885</v>
      </c>
    </row>
    <row r="1966" spans="1:9">
      <c r="A1966" t="s">
        <v>16</v>
      </c>
      <c r="B1966" s="2">
        <f t="shared" si="122"/>
        <v>95</v>
      </c>
      <c r="C1966">
        <v>1045</v>
      </c>
      <c r="D1966">
        <v>266</v>
      </c>
      <c r="E1966">
        <v>188</v>
      </c>
      <c r="F1966">
        <f t="shared" si="124"/>
        <v>-0.88902473527559245</v>
      </c>
      <c r="G1966">
        <f t="shared" si="125"/>
        <v>-1.0000692871116799</v>
      </c>
      <c r="I1966">
        <f t="shared" si="123"/>
        <v>-0.94454701119363615</v>
      </c>
    </row>
    <row r="1967" spans="1:9">
      <c r="A1967" t="s">
        <v>17</v>
      </c>
      <c r="B1967" s="2">
        <f t="shared" si="122"/>
        <v>95</v>
      </c>
      <c r="C1967">
        <v>571</v>
      </c>
      <c r="D1967">
        <v>586</v>
      </c>
      <c r="E1967">
        <v>427</v>
      </c>
      <c r="F1967">
        <f t="shared" si="124"/>
        <v>-0.28352857368734402</v>
      </c>
      <c r="G1967">
        <f t="shared" si="125"/>
        <v>-0.38131907914911112</v>
      </c>
      <c r="I1967">
        <f t="shared" si="123"/>
        <v>-0.33242382641822754</v>
      </c>
    </row>
    <row r="1968" spans="1:9">
      <c r="A1968" t="s">
        <v>18</v>
      </c>
      <c r="B1968" s="2">
        <f t="shared" si="122"/>
        <v>95</v>
      </c>
      <c r="C1968">
        <v>843</v>
      </c>
      <c r="D1968">
        <v>1981</v>
      </c>
      <c r="E1968">
        <v>19965</v>
      </c>
      <c r="F1968">
        <f t="shared" si="124"/>
        <v>7.6266819454218093E-2</v>
      </c>
      <c r="G1968">
        <f t="shared" si="125"/>
        <v>1.1193308939773272</v>
      </c>
      <c r="I1968">
        <f t="shared" si="123"/>
        <v>0.5977988567157726</v>
      </c>
    </row>
    <row r="1969" spans="1:9">
      <c r="A1969" t="s">
        <v>19</v>
      </c>
      <c r="B1969" s="2">
        <f t="shared" si="122"/>
        <v>95</v>
      </c>
      <c r="C1969">
        <v>811</v>
      </c>
      <c r="D1969">
        <v>1213</v>
      </c>
      <c r="E1969">
        <v>893</v>
      </c>
      <c r="F1969">
        <f t="shared" si="124"/>
        <v>-0.11995013480416966</v>
      </c>
      <c r="G1969">
        <f t="shared" si="125"/>
        <v>-0.21328024125089656</v>
      </c>
      <c r="I1969">
        <f t="shared" si="123"/>
        <v>-0.16661518802753311</v>
      </c>
    </row>
    <row r="1970" spans="1:9">
      <c r="A1970" t="s">
        <v>20</v>
      </c>
      <c r="B1970" s="2">
        <f t="shared" si="122"/>
        <v>95</v>
      </c>
      <c r="C1970">
        <v>478</v>
      </c>
      <c r="D1970">
        <v>316</v>
      </c>
      <c r="E1970">
        <v>277</v>
      </c>
      <c r="F1970">
        <f t="shared" si="124"/>
        <v>-0.47453089545330174</v>
      </c>
      <c r="G1970">
        <f t="shared" si="125"/>
        <v>-0.49205897347595723</v>
      </c>
      <c r="I1970">
        <f t="shared" si="123"/>
        <v>-0.48329493446462946</v>
      </c>
    </row>
    <row r="1971" spans="1:9">
      <c r="A1971" t="s">
        <v>21</v>
      </c>
      <c r="B1971" s="2">
        <f t="shared" si="122"/>
        <v>95</v>
      </c>
      <c r="C1971">
        <v>747</v>
      </c>
      <c r="D1971">
        <v>70</v>
      </c>
      <c r="E1971">
        <v>90</v>
      </c>
      <c r="F1971">
        <f t="shared" si="124"/>
        <v>-1.3230126432607285</v>
      </c>
      <c r="G1971">
        <f t="shared" si="125"/>
        <v>-1.1741889383043609</v>
      </c>
      <c r="I1971">
        <f t="shared" si="123"/>
        <v>-1.2486007907825447</v>
      </c>
    </row>
    <row r="1972" spans="1:9">
      <c r="A1972" t="s">
        <v>22</v>
      </c>
      <c r="B1972" s="2">
        <f t="shared" si="122"/>
        <v>95</v>
      </c>
      <c r="C1972">
        <v>436</v>
      </c>
      <c r="D1972">
        <v>54</v>
      </c>
      <c r="E1972">
        <v>88</v>
      </c>
      <c r="F1972">
        <f t="shared" si="124"/>
        <v>-1.2018828109052042</v>
      </c>
      <c r="G1972">
        <f t="shared" si="125"/>
        <v>-0.95011466304670433</v>
      </c>
      <c r="I1972">
        <f t="shared" si="123"/>
        <v>-1.0759987369759543</v>
      </c>
    </row>
    <row r="1973" spans="1:9">
      <c r="A1973" t="s">
        <v>23</v>
      </c>
      <c r="B1973" s="2">
        <f t="shared" si="122"/>
        <v>95</v>
      </c>
      <c r="C1973">
        <v>714</v>
      </c>
      <c r="D1973">
        <v>64</v>
      </c>
      <c r="E1973">
        <v>58</v>
      </c>
      <c r="F1973">
        <f t="shared" si="124"/>
        <v>-1.3423083192518739</v>
      </c>
      <c r="G1973">
        <f t="shared" si="125"/>
        <v>-1.345381064141524</v>
      </c>
      <c r="I1973">
        <f t="shared" si="123"/>
        <v>-1.3438446916966988</v>
      </c>
    </row>
    <row r="1974" spans="1:9">
      <c r="A1974" t="s">
        <v>24</v>
      </c>
      <c r="B1974" s="2">
        <f t="shared" si="122"/>
        <v>95</v>
      </c>
      <c r="C1974">
        <v>756</v>
      </c>
      <c r="D1974">
        <v>42</v>
      </c>
      <c r="E1974">
        <v>23</v>
      </c>
      <c r="F1974">
        <f t="shared" si="124"/>
        <v>-1.5500625865628925</v>
      </c>
      <c r="G1974">
        <f t="shared" si="125"/>
        <v>-1.7719048054119007</v>
      </c>
      <c r="I1974">
        <f t="shared" si="123"/>
        <v>-1.6609836959873965</v>
      </c>
    </row>
    <row r="1975" spans="1:9">
      <c r="A1975" t="s">
        <v>25</v>
      </c>
      <c r="B1975" s="2">
        <f t="shared" si="122"/>
        <v>95</v>
      </c>
      <c r="C1975">
        <v>609</v>
      </c>
      <c r="D1975">
        <v>78</v>
      </c>
      <c r="E1975">
        <v>52</v>
      </c>
      <c r="F1975">
        <f t="shared" si="124"/>
        <v>-1.1873127714019815</v>
      </c>
      <c r="G1975">
        <f t="shared" si="125"/>
        <v>-1.3237247949263631</v>
      </c>
      <c r="I1975">
        <f t="shared" si="123"/>
        <v>-1.2555187831641723</v>
      </c>
    </row>
    <row r="1976" spans="1:9">
      <c r="A1976" t="s">
        <v>7</v>
      </c>
      <c r="B1976" s="2">
        <f t="shared" si="122"/>
        <v>96</v>
      </c>
      <c r="C1976">
        <v>195</v>
      </c>
      <c r="D1976">
        <v>17</v>
      </c>
      <c r="E1976">
        <v>11</v>
      </c>
      <c r="F1976">
        <f t="shared" si="124"/>
        <v>-1.3543757714438307</v>
      </c>
      <c r="G1976">
        <f t="shared" si="125"/>
        <v>-1.5037527721325799</v>
      </c>
      <c r="I1976">
        <f t="shared" si="123"/>
        <v>-1.4290642717882052</v>
      </c>
    </row>
    <row r="1977" spans="1:9">
      <c r="A1977" t="s">
        <v>8</v>
      </c>
      <c r="B1977" s="2">
        <f t="shared" si="122"/>
        <v>96</v>
      </c>
      <c r="C1977">
        <v>190</v>
      </c>
      <c r="D1977">
        <v>6</v>
      </c>
      <c r="E1977">
        <v>8</v>
      </c>
      <c r="F1977">
        <f t="shared" si="124"/>
        <v>-1.795392432028772</v>
      </c>
      <c r="G1977">
        <f t="shared" si="125"/>
        <v>-1.6307744598891722</v>
      </c>
      <c r="I1977">
        <f t="shared" si="123"/>
        <v>-1.7130834459589721</v>
      </c>
    </row>
    <row r="1978" spans="1:9">
      <c r="A1978" t="s">
        <v>5</v>
      </c>
      <c r="B1978" s="2">
        <f t="shared" si="122"/>
        <v>96</v>
      </c>
      <c r="C1978">
        <v>143</v>
      </c>
      <c r="D1978">
        <v>3</v>
      </c>
      <c r="E1978">
        <v>11</v>
      </c>
      <c r="F1978">
        <f t="shared" si="124"/>
        <v>-1.9730048642049858</v>
      </c>
      <c r="G1978">
        <f t="shared" si="125"/>
        <v>-1.3690541982351236</v>
      </c>
      <c r="I1978">
        <f t="shared" si="123"/>
        <v>-1.6710295312200547</v>
      </c>
    </row>
    <row r="1979" spans="1:9">
      <c r="A1979" t="s">
        <v>6</v>
      </c>
      <c r="B1979" s="2">
        <f t="shared" si="122"/>
        <v>96</v>
      </c>
      <c r="C1979">
        <v>439</v>
      </c>
      <c r="D1979">
        <v>11</v>
      </c>
      <c r="E1979">
        <v>12</v>
      </c>
      <c r="F1979">
        <f t="shared" si="124"/>
        <v>-1.8958619165434829</v>
      </c>
      <c r="G1979">
        <f t="shared" si="125"/>
        <v>-1.8183941201227836</v>
      </c>
      <c r="I1979">
        <f t="shared" si="123"/>
        <v>-1.8571280183331331</v>
      </c>
    </row>
    <row r="1980" spans="1:9">
      <c r="A1980" t="s">
        <v>10</v>
      </c>
      <c r="B1980" s="2">
        <f t="shared" si="122"/>
        <v>96</v>
      </c>
      <c r="C1980">
        <v>348</v>
      </c>
      <c r="D1980">
        <v>13</v>
      </c>
      <c r="E1980">
        <v>20</v>
      </c>
      <c r="F1980">
        <f t="shared" si="124"/>
        <v>-1.7224259730993308</v>
      </c>
      <c r="G1980">
        <f t="shared" si="125"/>
        <v>-1.4956600942108866</v>
      </c>
      <c r="I1980">
        <f t="shared" si="123"/>
        <v>-1.6090430336551087</v>
      </c>
    </row>
    <row r="1981" spans="1:9">
      <c r="A1981" t="s">
        <v>11</v>
      </c>
      <c r="B1981" s="2">
        <f t="shared" si="122"/>
        <v>96</v>
      </c>
      <c r="C1981">
        <v>339</v>
      </c>
      <c r="D1981">
        <v>16</v>
      </c>
      <c r="E1981">
        <v>26</v>
      </c>
      <c r="F1981">
        <f t="shared" si="124"/>
        <v>-1.6208697970067441</v>
      </c>
      <c r="G1981">
        <f t="shared" si="125"/>
        <v>-1.3703371961605511</v>
      </c>
      <c r="I1981">
        <f t="shared" si="123"/>
        <v>-1.4956034965836476</v>
      </c>
    </row>
    <row r="1982" spans="1:9">
      <c r="A1982" t="s">
        <v>12</v>
      </c>
      <c r="B1982" s="2">
        <f t="shared" si="122"/>
        <v>96</v>
      </c>
      <c r="C1982">
        <v>274</v>
      </c>
      <c r="D1982">
        <v>19</v>
      </c>
      <c r="E1982">
        <v>13</v>
      </c>
      <c r="F1982">
        <f t="shared" si="124"/>
        <v>-1.4537870433271456</v>
      </c>
      <c r="G1982">
        <f t="shared" si="125"/>
        <v>-1.5789180564418381</v>
      </c>
      <c r="I1982">
        <f t="shared" si="123"/>
        <v>-1.5163525498844919</v>
      </c>
    </row>
    <row r="1983" spans="1:9">
      <c r="A1983" t="s">
        <v>9</v>
      </c>
      <c r="B1983" s="2">
        <f t="shared" si="122"/>
        <v>96</v>
      </c>
      <c r="C1983">
        <v>107</v>
      </c>
      <c r="D1983">
        <v>4</v>
      </c>
      <c r="E1983">
        <v>1</v>
      </c>
      <c r="F1983">
        <f t="shared" si="124"/>
        <v>-1.7221138678168337</v>
      </c>
      <c r="G1983">
        <f t="shared" si="125"/>
        <v>-2.2844946236134964</v>
      </c>
      <c r="I1983">
        <f t="shared" si="123"/>
        <v>-2.0033042457151651</v>
      </c>
    </row>
    <row r="1984" spans="1:9">
      <c r="A1984" t="s">
        <v>13</v>
      </c>
      <c r="B1984" s="2">
        <f t="shared" si="122"/>
        <v>96</v>
      </c>
      <c r="C1984">
        <v>28</v>
      </c>
      <c r="D1984">
        <v>41</v>
      </c>
      <c r="E1984">
        <v>47</v>
      </c>
      <c r="F1984">
        <f t="shared" si="124"/>
        <v>-0.12916425608207038</v>
      </c>
      <c r="G1984">
        <f t="shared" si="125"/>
        <v>-3.0171019334788662E-2</v>
      </c>
      <c r="I1984">
        <f t="shared" si="123"/>
        <v>-7.9667637708429523E-2</v>
      </c>
    </row>
    <row r="1985" spans="1:9">
      <c r="A1985" t="s">
        <v>14</v>
      </c>
      <c r="B1985" s="2">
        <f t="shared" si="122"/>
        <v>96</v>
      </c>
      <c r="C1985">
        <v>248</v>
      </c>
      <c r="D1985">
        <v>45</v>
      </c>
      <c r="E1985">
        <v>32</v>
      </c>
      <c r="F1985">
        <f t="shared" si="124"/>
        <v>-1.0360292485104592</v>
      </c>
      <c r="G1985">
        <f t="shared" si="125"/>
        <v>-1.1444125484345973</v>
      </c>
      <c r="I1985">
        <f t="shared" si="123"/>
        <v>-1.0902208984725283</v>
      </c>
    </row>
    <row r="1986" spans="1:9">
      <c r="A1986" t="s">
        <v>15</v>
      </c>
      <c r="B1986" s="2">
        <f t="shared" si="122"/>
        <v>96</v>
      </c>
      <c r="C1986">
        <v>403</v>
      </c>
      <c r="D1986">
        <v>24</v>
      </c>
      <c r="E1986">
        <v>16</v>
      </c>
      <c r="F1986">
        <f t="shared" si="124"/>
        <v>-1.5198838858890902</v>
      </c>
      <c r="G1986">
        <f t="shared" si="125"/>
        <v>-1.6562959094134715</v>
      </c>
      <c r="I1986">
        <f t="shared" si="123"/>
        <v>-1.5880898976512809</v>
      </c>
    </row>
    <row r="1987" spans="1:9">
      <c r="A1987" t="s">
        <v>16</v>
      </c>
      <c r="B1987" s="2">
        <f t="shared" ref="B1987:B2050" si="126">1+INT((ROW()-2)/21)+1</f>
        <v>96</v>
      </c>
      <c r="C1987">
        <v>455</v>
      </c>
      <c r="D1987">
        <v>19</v>
      </c>
      <c r="E1987">
        <v>26</v>
      </c>
      <c r="F1987">
        <f t="shared" si="124"/>
        <v>-1.6740478771638703</v>
      </c>
      <c r="G1987">
        <f t="shared" si="125"/>
        <v>-1.4981488946145813</v>
      </c>
      <c r="I1987">
        <f t="shared" ref="I1987:I2050" si="127">AVERAGE(F1987:G1987)</f>
        <v>-1.5860983858892257</v>
      </c>
    </row>
    <row r="1988" spans="1:9">
      <c r="A1988" t="s">
        <v>17</v>
      </c>
      <c r="B1988" s="2">
        <f t="shared" si="126"/>
        <v>96</v>
      </c>
      <c r="C1988">
        <v>261</v>
      </c>
      <c r="D1988">
        <v>81</v>
      </c>
      <c r="E1988">
        <v>63</v>
      </c>
      <c r="F1988">
        <f t="shared" si="124"/>
        <v>-0.80294556991921784</v>
      </c>
      <c r="G1988">
        <f t="shared" si="125"/>
        <v>-0.87241080381298619</v>
      </c>
      <c r="I1988">
        <f t="shared" si="127"/>
        <v>-0.83767818686610207</v>
      </c>
    </row>
    <row r="1989" spans="1:9">
      <c r="A1989" t="s">
        <v>18</v>
      </c>
      <c r="B1989" s="2">
        <f t="shared" si="126"/>
        <v>96</v>
      </c>
      <c r="C1989">
        <v>374</v>
      </c>
      <c r="D1989">
        <v>100</v>
      </c>
      <c r="E1989">
        <v>64</v>
      </c>
      <c r="F1989">
        <f t="shared" si="124"/>
        <v>-0.8676616836600668</v>
      </c>
      <c r="G1989">
        <f t="shared" si="125"/>
        <v>-1.0218024741448799</v>
      </c>
      <c r="I1989">
        <f t="shared" si="127"/>
        <v>-0.94473207890247335</v>
      </c>
    </row>
    <row r="1990" spans="1:9">
      <c r="A1990" t="s">
        <v>19</v>
      </c>
      <c r="B1990" s="2">
        <f t="shared" si="126"/>
        <v>96</v>
      </c>
      <c r="C1990">
        <v>238</v>
      </c>
      <c r="D1990">
        <v>9</v>
      </c>
      <c r="E1990">
        <v>8</v>
      </c>
      <c r="F1990">
        <f t="shared" si="124"/>
        <v>-1.7171245290767736</v>
      </c>
      <c r="G1990">
        <f t="shared" si="125"/>
        <v>-1.7285978159928552</v>
      </c>
      <c r="I1990">
        <f t="shared" si="127"/>
        <v>-1.7228611725348144</v>
      </c>
    </row>
    <row r="1991" spans="1:9">
      <c r="A1991" t="s">
        <v>20</v>
      </c>
      <c r="B1991" s="2">
        <f t="shared" si="126"/>
        <v>96</v>
      </c>
      <c r="C1991">
        <v>129</v>
      </c>
      <c r="D1991">
        <v>18</v>
      </c>
      <c r="E1991">
        <v>15</v>
      </c>
      <c r="F1991">
        <f t="shared" si="124"/>
        <v>-1.1501072866555295</v>
      </c>
      <c r="G1991">
        <f t="shared" si="125"/>
        <v>-1.1896092971718546</v>
      </c>
      <c r="I1991">
        <f t="shared" si="127"/>
        <v>-1.169858291913692</v>
      </c>
    </row>
    <row r="1992" spans="1:9">
      <c r="A1992" t="s">
        <v>21</v>
      </c>
      <c r="B1992" s="2">
        <f t="shared" si="126"/>
        <v>96</v>
      </c>
      <c r="C1992">
        <v>464</v>
      </c>
      <c r="D1992">
        <v>6</v>
      </c>
      <c r="E1992">
        <v>16</v>
      </c>
      <c r="F1992">
        <f t="shared" si="124"/>
        <v>-2.1831568116308238</v>
      </c>
      <c r="G1992">
        <f t="shared" si="125"/>
        <v>-1.717508843827243</v>
      </c>
      <c r="I1992">
        <f t="shared" si="127"/>
        <v>-1.9503328277290333</v>
      </c>
    </row>
    <row r="1993" spans="1:9">
      <c r="A1993" t="s">
        <v>22</v>
      </c>
      <c r="B1993" s="2">
        <f t="shared" si="126"/>
        <v>96</v>
      </c>
      <c r="C1993">
        <v>176</v>
      </c>
      <c r="D1993">
        <v>12</v>
      </c>
      <c r="E1993">
        <v>5</v>
      </c>
      <c r="F1993">
        <f t="shared" si="124"/>
        <v>-1.4611215032261118</v>
      </c>
      <c r="G1993">
        <f t="shared" si="125"/>
        <v>-1.8016535094064179</v>
      </c>
      <c r="I1993">
        <f t="shared" si="127"/>
        <v>-1.6313875063162648</v>
      </c>
    </row>
    <row r="1994" spans="1:9">
      <c r="A1994" t="s">
        <v>23</v>
      </c>
      <c r="B1994" s="2">
        <f t="shared" si="126"/>
        <v>96</v>
      </c>
      <c r="C1994">
        <v>180</v>
      </c>
      <c r="D1994">
        <v>17</v>
      </c>
      <c r="E1994">
        <v>12</v>
      </c>
      <c r="F1994">
        <f t="shared" si="124"/>
        <v>-1.3196136651846189</v>
      </c>
      <c r="G1994">
        <f t="shared" si="125"/>
        <v>-1.4312021049839683</v>
      </c>
      <c r="I1994">
        <f t="shared" si="127"/>
        <v>-1.3754078850842935</v>
      </c>
    </row>
    <row r="1995" spans="1:9">
      <c r="A1995" t="s">
        <v>24</v>
      </c>
      <c r="B1995" s="2">
        <f t="shared" si="126"/>
        <v>96</v>
      </c>
      <c r="C1995">
        <v>599</v>
      </c>
      <c r="D1995">
        <v>13</v>
      </c>
      <c r="E1995">
        <v>17</v>
      </c>
      <c r="F1995">
        <f t="shared" si="124"/>
        <v>-1.9582735515420611</v>
      </c>
      <c r="G1995">
        <f t="shared" si="125"/>
        <v>-1.8020887469393243</v>
      </c>
      <c r="I1995">
        <f t="shared" si="127"/>
        <v>-1.8801811492406926</v>
      </c>
    </row>
    <row r="1996" spans="1:9">
      <c r="A1996" t="s">
        <v>25</v>
      </c>
      <c r="B1996" s="2">
        <f t="shared" si="126"/>
        <v>96</v>
      </c>
      <c r="C1996">
        <v>439</v>
      </c>
      <c r="D1996">
        <v>40</v>
      </c>
      <c r="E1996">
        <v>15</v>
      </c>
      <c r="F1996">
        <f t="shared" si="124"/>
        <v>-1.3351946103737458</v>
      </c>
      <c r="G1996">
        <f t="shared" si="125"/>
        <v>-1.7214841071147271</v>
      </c>
      <c r="I1996">
        <f t="shared" si="127"/>
        <v>-1.5283393587442364</v>
      </c>
    </row>
    <row r="1997" spans="1:9">
      <c r="A1997" t="s">
        <v>7</v>
      </c>
      <c r="B1997" s="2">
        <f t="shared" si="126"/>
        <v>97</v>
      </c>
      <c r="C1997">
        <v>577</v>
      </c>
      <c r="D1997">
        <v>103</v>
      </c>
      <c r="E1997">
        <v>54</v>
      </c>
      <c r="F1997">
        <f t="shared" si="124"/>
        <v>-1.0431286699101459</v>
      </c>
      <c r="G1997">
        <f t="shared" si="125"/>
        <v>-1.2838928992610499</v>
      </c>
      <c r="I1997">
        <f t="shared" si="127"/>
        <v>-1.1635107845855979</v>
      </c>
    </row>
    <row r="1998" spans="1:9">
      <c r="A1998" t="s">
        <v>8</v>
      </c>
      <c r="B1998" s="2">
        <f t="shared" si="126"/>
        <v>97</v>
      </c>
      <c r="C1998">
        <v>367</v>
      </c>
      <c r="D1998">
        <v>259</v>
      </c>
      <c r="E1998">
        <v>124</v>
      </c>
      <c r="F1998">
        <f t="shared" si="124"/>
        <v>-0.44615638163042415</v>
      </c>
      <c r="G1998">
        <f t="shared" si="125"/>
        <v>-0.7263552250181412</v>
      </c>
      <c r="I1998">
        <f t="shared" si="127"/>
        <v>-0.58625580332428262</v>
      </c>
    </row>
    <row r="1999" spans="1:9">
      <c r="A1999" t="s">
        <v>5</v>
      </c>
      <c r="B1999" s="2">
        <f t="shared" si="126"/>
        <v>97</v>
      </c>
      <c r="C1999">
        <v>557</v>
      </c>
      <c r="D1999">
        <v>61</v>
      </c>
      <c r="E1999">
        <v>80</v>
      </c>
      <c r="F1999">
        <f t="shared" si="124"/>
        <v>-1.2553154416225485</v>
      </c>
      <c r="G1999">
        <f t="shared" si="125"/>
        <v>-1.0978760541100723</v>
      </c>
      <c r="I1999">
        <f t="shared" si="127"/>
        <v>-1.1765957478663105</v>
      </c>
    </row>
    <row r="2000" spans="1:9">
      <c r="A2000" t="s">
        <v>6</v>
      </c>
      <c r="B2000" s="2">
        <f t="shared" si="126"/>
        <v>97</v>
      </c>
      <c r="C2000">
        <v>481</v>
      </c>
      <c r="D2000">
        <v>151</v>
      </c>
      <c r="E2000">
        <v>122</v>
      </c>
      <c r="F2000">
        <f t="shared" si="124"/>
        <v>-0.79795821054024896</v>
      </c>
      <c r="G2000">
        <f t="shared" si="125"/>
        <v>-0.85089609162737045</v>
      </c>
      <c r="I2000">
        <f t="shared" si="127"/>
        <v>-0.82442715108380971</v>
      </c>
    </row>
    <row r="2001" spans="1:9">
      <c r="A2001" t="s">
        <v>10</v>
      </c>
      <c r="B2001" s="2">
        <f t="shared" si="126"/>
        <v>97</v>
      </c>
      <c r="C2001">
        <v>345</v>
      </c>
      <c r="D2001">
        <v>147</v>
      </c>
      <c r="E2001">
        <v>492</v>
      </c>
      <c r="F2001">
        <f t="shared" si="124"/>
        <v>-0.6652918417846847</v>
      </c>
      <c r="G2001">
        <f t="shared" si="125"/>
        <v>-0.10096483823420072</v>
      </c>
      <c r="I2001">
        <f t="shared" si="127"/>
        <v>-0.38312834000944274</v>
      </c>
    </row>
    <row r="2002" spans="1:9">
      <c r="A2002" t="s">
        <v>11</v>
      </c>
      <c r="B2002" s="2">
        <f t="shared" si="126"/>
        <v>97</v>
      </c>
      <c r="C2002">
        <v>435</v>
      </c>
      <c r="D2002">
        <v>126</v>
      </c>
      <c r="E2002">
        <v>90</v>
      </c>
      <c r="F2002">
        <f t="shared" si="124"/>
        <v>-0.83290879329666101</v>
      </c>
      <c r="G2002">
        <f t="shared" si="125"/>
        <v>-0.93935759344359937</v>
      </c>
      <c r="I2002">
        <f t="shared" si="127"/>
        <v>-0.88613319337013019</v>
      </c>
    </row>
    <row r="2003" spans="1:9">
      <c r="A2003" t="s">
        <v>12</v>
      </c>
      <c r="B2003" s="2">
        <f t="shared" si="126"/>
        <v>97</v>
      </c>
      <c r="C2003">
        <v>718</v>
      </c>
      <c r="D2003">
        <v>713</v>
      </c>
      <c r="E2003">
        <v>266</v>
      </c>
      <c r="F2003">
        <f t="shared" si="124"/>
        <v>-0.29782499585002142</v>
      </c>
      <c r="G2003">
        <f t="shared" si="125"/>
        <v>-0.68635365353952027</v>
      </c>
      <c r="I2003">
        <f t="shared" si="127"/>
        <v>-0.49208932469477085</v>
      </c>
    </row>
    <row r="2004" spans="1:9">
      <c r="A2004" t="s">
        <v>9</v>
      </c>
      <c r="B2004" s="2">
        <f t="shared" si="126"/>
        <v>97</v>
      </c>
      <c r="C2004">
        <v>353</v>
      </c>
      <c r="D2004">
        <v>214</v>
      </c>
      <c r="E2004">
        <v>193</v>
      </c>
      <c r="F2004">
        <f t="shared" si="124"/>
        <v>-0.51215101349821834</v>
      </c>
      <c r="G2004">
        <f t="shared" si="125"/>
        <v>-0.51732824230833574</v>
      </c>
      <c r="I2004">
        <f t="shared" si="127"/>
        <v>-0.51473962790327699</v>
      </c>
    </row>
    <row r="2005" spans="1:9">
      <c r="A2005" t="s">
        <v>13</v>
      </c>
      <c r="B2005" s="2">
        <f t="shared" si="126"/>
        <v>97</v>
      </c>
      <c r="C2005">
        <v>898</v>
      </c>
      <c r="D2005">
        <v>106</v>
      </c>
      <c r="E2005">
        <v>101</v>
      </c>
      <c r="F2005">
        <f t="shared" si="124"/>
        <v>-1.2227605528621206</v>
      </c>
      <c r="G2005">
        <f t="shared" si="125"/>
        <v>-1.2040658088129486</v>
      </c>
      <c r="I2005">
        <f t="shared" si="127"/>
        <v>-1.2134131808375346</v>
      </c>
    </row>
    <row r="2006" spans="1:9">
      <c r="A2006" t="s">
        <v>14</v>
      </c>
      <c r="B2006" s="2">
        <f t="shared" si="126"/>
        <v>97</v>
      </c>
      <c r="C2006">
        <v>242</v>
      </c>
      <c r="D2006">
        <v>172</v>
      </c>
      <c r="E2006">
        <v>88</v>
      </c>
      <c r="F2006">
        <f t="shared" si="124"/>
        <v>-0.44307700053246901</v>
      </c>
      <c r="G2006">
        <f t="shared" si="125"/>
        <v>-0.69444353975854956</v>
      </c>
      <c r="I2006">
        <f t="shared" si="127"/>
        <v>-0.56876027014550923</v>
      </c>
    </row>
    <row r="2007" spans="1:9">
      <c r="A2007" t="s">
        <v>15</v>
      </c>
      <c r="B2007" s="2">
        <f t="shared" si="126"/>
        <v>97</v>
      </c>
      <c r="C2007">
        <v>529</v>
      </c>
      <c r="D2007">
        <v>610</v>
      </c>
      <c r="E2007">
        <v>359</v>
      </c>
      <c r="F2007">
        <f t="shared" si="124"/>
        <v>-0.23291591848400539</v>
      </c>
      <c r="G2007">
        <f t="shared" si="125"/>
        <v>-0.42347206938515347</v>
      </c>
      <c r="I2007">
        <f t="shared" si="127"/>
        <v>-0.32819399393457943</v>
      </c>
    </row>
    <row r="2008" spans="1:9">
      <c r="A2008" t="s">
        <v>16</v>
      </c>
      <c r="B2008" s="2">
        <f t="shared" si="126"/>
        <v>97</v>
      </c>
      <c r="C2008">
        <v>583</v>
      </c>
      <c r="D2008">
        <v>178</v>
      </c>
      <c r="E2008">
        <v>181</v>
      </c>
      <c r="F2008">
        <f t="shared" si="124"/>
        <v>-0.81003863390970676</v>
      </c>
      <c r="G2008">
        <f t="shared" si="125"/>
        <v>-0.76310082581811645</v>
      </c>
      <c r="I2008">
        <f t="shared" si="127"/>
        <v>-0.7865697298639116</v>
      </c>
    </row>
    <row r="2009" spans="1:9">
      <c r="A2009" t="s">
        <v>17</v>
      </c>
      <c r="B2009" s="2">
        <f t="shared" si="126"/>
        <v>97</v>
      </c>
      <c r="C2009">
        <v>438</v>
      </c>
      <c r="D2009">
        <v>8440</v>
      </c>
      <c r="E2009">
        <v>573</v>
      </c>
      <c r="F2009">
        <f t="shared" si="124"/>
        <v>0.99007825466196875</v>
      </c>
      <c r="G2009">
        <f t="shared" si="125"/>
        <v>-0.13843033446499653</v>
      </c>
      <c r="I2009">
        <f t="shared" si="127"/>
        <v>0.42582396009848611</v>
      </c>
    </row>
    <row r="2010" spans="1:9">
      <c r="A2010" t="s">
        <v>18</v>
      </c>
      <c r="B2010" s="2">
        <f t="shared" si="126"/>
        <v>97</v>
      </c>
      <c r="C2010">
        <v>344</v>
      </c>
      <c r="D2010">
        <v>865</v>
      </c>
      <c r="E2010">
        <v>239</v>
      </c>
      <c r="F2010">
        <f t="shared" si="124"/>
        <v>0.10566758343369742</v>
      </c>
      <c r="G2010">
        <f t="shared" si="125"/>
        <v>-0.41327138755167936</v>
      </c>
      <c r="I2010">
        <f t="shared" si="127"/>
        <v>-0.15380190205899097</v>
      </c>
    </row>
    <row r="2011" spans="1:9">
      <c r="A2011" t="s">
        <v>19</v>
      </c>
      <c r="B2011" s="2">
        <f t="shared" si="126"/>
        <v>97</v>
      </c>
      <c r="C2011">
        <v>431</v>
      </c>
      <c r="D2011">
        <v>191</v>
      </c>
      <c r="E2011">
        <v>581</v>
      </c>
      <c r="F2011">
        <f t="shared" si="124"/>
        <v>-0.64823398437259061</v>
      </c>
      <c r="G2011">
        <f t="shared" si="125"/>
        <v>-0.12541198369868781</v>
      </c>
      <c r="I2011">
        <f t="shared" si="127"/>
        <v>-0.38682298403563919</v>
      </c>
    </row>
    <row r="2012" spans="1:9">
      <c r="A2012" t="s">
        <v>20</v>
      </c>
      <c r="B2012" s="2">
        <f t="shared" si="126"/>
        <v>97</v>
      </c>
      <c r="C2012">
        <v>270</v>
      </c>
      <c r="D2012">
        <v>75</v>
      </c>
      <c r="E2012">
        <v>57</v>
      </c>
      <c r="F2012">
        <f t="shared" si="124"/>
        <v>-0.85109258222687389</v>
      </c>
      <c r="G2012">
        <f t="shared" si="125"/>
        <v>-0.93059975441478282</v>
      </c>
      <c r="I2012">
        <f t="shared" si="127"/>
        <v>-0.89084616832082841</v>
      </c>
    </row>
    <row r="2013" spans="1:9">
      <c r="A2013" t="s">
        <v>21</v>
      </c>
      <c r="B2013" s="2">
        <f t="shared" si="126"/>
        <v>97</v>
      </c>
      <c r="C2013">
        <v>384</v>
      </c>
      <c r="D2013">
        <v>132</v>
      </c>
      <c r="E2013">
        <v>150</v>
      </c>
      <c r="F2013">
        <f t="shared" si="124"/>
        <v>-0.75854737462126764</v>
      </c>
      <c r="G2013">
        <f t="shared" si="125"/>
        <v>-0.66335081124013651</v>
      </c>
      <c r="I2013">
        <f t="shared" si="127"/>
        <v>-0.71094909293070208</v>
      </c>
    </row>
    <row r="2014" spans="1:9">
      <c r="A2014" t="s">
        <v>22</v>
      </c>
      <c r="B2014" s="2">
        <f t="shared" si="126"/>
        <v>97</v>
      </c>
      <c r="C2014">
        <v>364</v>
      </c>
      <c r="D2014">
        <v>105</v>
      </c>
      <c r="E2014">
        <v>44</v>
      </c>
      <c r="F2014">
        <f t="shared" si="124"/>
        <v>-0.83470216603870462</v>
      </c>
      <c r="G2014">
        <f t="shared" si="125"/>
        <v>-1.1727595530911554</v>
      </c>
      <c r="I2014">
        <f t="shared" si="127"/>
        <v>-1.0037308595649299</v>
      </c>
    </row>
    <row r="2015" spans="1:9">
      <c r="A2015" t="s">
        <v>23</v>
      </c>
      <c r="B2015" s="2">
        <f t="shared" si="126"/>
        <v>97</v>
      </c>
      <c r="C2015">
        <v>42</v>
      </c>
      <c r="D2015">
        <v>49</v>
      </c>
      <c r="E2015">
        <v>50</v>
      </c>
      <c r="F2015">
        <f t="shared" si="124"/>
        <v>-0.22784329182897339</v>
      </c>
      <c r="G2015">
        <f t="shared" si="125"/>
        <v>-0.17939013199016857</v>
      </c>
      <c r="I2015">
        <f t="shared" si="127"/>
        <v>-0.20361671190957098</v>
      </c>
    </row>
    <row r="2016" spans="1:9">
      <c r="A2016" t="s">
        <v>24</v>
      </c>
      <c r="B2016" s="2">
        <f t="shared" si="126"/>
        <v>97</v>
      </c>
      <c r="C2016">
        <v>297</v>
      </c>
      <c r="D2016">
        <v>171</v>
      </c>
      <c r="E2016">
        <v>121</v>
      </c>
      <c r="F2016">
        <f t="shared" si="124"/>
        <v>-0.53455042038464518</v>
      </c>
      <c r="G2016">
        <f t="shared" si="125"/>
        <v>-0.64508192492904914</v>
      </c>
      <c r="I2016">
        <f t="shared" si="127"/>
        <v>-0.58981617265684716</v>
      </c>
    </row>
    <row r="2017" spans="1:9">
      <c r="A2017" t="s">
        <v>25</v>
      </c>
      <c r="B2017" s="2">
        <f t="shared" si="126"/>
        <v>97</v>
      </c>
      <c r="C2017">
        <v>440</v>
      </c>
      <c r="D2017">
        <v>31</v>
      </c>
      <c r="E2017">
        <v>40</v>
      </c>
      <c r="F2017">
        <f t="shared" si="124"/>
        <v>-1.4468810641115013</v>
      </c>
      <c r="G2017">
        <f t="shared" si="125"/>
        <v>-1.2965035310865118</v>
      </c>
      <c r="I2017">
        <f t="shared" si="127"/>
        <v>-1.3716922975990067</v>
      </c>
    </row>
    <row r="2018" spans="1:9">
      <c r="A2018" t="s">
        <v>7</v>
      </c>
      <c r="B2018" s="2">
        <f t="shared" si="126"/>
        <v>98</v>
      </c>
      <c r="C2018">
        <v>136</v>
      </c>
      <c r="D2018">
        <v>20</v>
      </c>
      <c r="E2018">
        <v>7</v>
      </c>
      <c r="F2018">
        <f>LOG10(D2018/C2018)-LOG10(175971/42113)</f>
        <v>-1.4535338344186677</v>
      </c>
      <c r="G2018">
        <f>LOG10(E2018/C2018)-LOG10(177642/42113)</f>
        <v>-1.9135703421131478</v>
      </c>
      <c r="I2018">
        <f t="shared" si="127"/>
        <v>-1.6835520882659076</v>
      </c>
    </row>
    <row r="2019" spans="1:9">
      <c r="A2019" t="s">
        <v>8</v>
      </c>
      <c r="B2019" s="2">
        <f t="shared" si="126"/>
        <v>98</v>
      </c>
      <c r="C2019">
        <v>108</v>
      </c>
      <c r="D2019">
        <v>22</v>
      </c>
      <c r="E2019">
        <v>1</v>
      </c>
      <c r="F2019">
        <f t="shared" ref="F2019:F2082" si="128">LOG10(D2019/C2019)-LOG10(175971/42113)</f>
        <v>-1.3120259963771748</v>
      </c>
      <c r="G2019">
        <f t="shared" ref="G2019:G2082" si="129">LOG10(E2019/C2019)-LOG10(177642/42113)</f>
        <v>-2.658553229244137</v>
      </c>
      <c r="I2019">
        <f t="shared" si="127"/>
        <v>-1.9852896128106559</v>
      </c>
    </row>
    <row r="2020" spans="1:9">
      <c r="A2020" t="s">
        <v>5</v>
      </c>
      <c r="B2020" s="2">
        <f t="shared" si="126"/>
        <v>98</v>
      </c>
      <c r="C2020">
        <v>90</v>
      </c>
      <c r="D2020">
        <v>3304</v>
      </c>
      <c r="E2020">
        <v>261</v>
      </c>
      <c r="F2020">
        <f t="shared" si="128"/>
        <v>0.94377260749658842</v>
      </c>
      <c r="G2020">
        <f t="shared" si="129"/>
        <v>-0.162731475858231</v>
      </c>
      <c r="I2020">
        <f t="shared" si="127"/>
        <v>0.39052056581917871</v>
      </c>
    </row>
    <row r="2021" spans="1:9">
      <c r="A2021" t="s">
        <v>6</v>
      </c>
      <c r="B2021" s="2">
        <f t="shared" si="126"/>
        <v>98</v>
      </c>
      <c r="C2021">
        <v>144</v>
      </c>
      <c r="D2021">
        <v>1455</v>
      </c>
      <c r="E2021">
        <v>8572</v>
      </c>
      <c r="F2021">
        <f t="shared" si="128"/>
        <v>0.38347557951424505</v>
      </c>
      <c r="G2021">
        <f t="shared" si="129"/>
        <v>1.1495901965173543</v>
      </c>
      <c r="I2021">
        <f t="shared" si="127"/>
        <v>0.76653288801579966</v>
      </c>
    </row>
    <row r="2022" spans="1:9">
      <c r="A2022" t="s">
        <v>10</v>
      </c>
      <c r="B2022" s="2">
        <f t="shared" si="126"/>
        <v>98</v>
      </c>
      <c r="C2022">
        <v>76</v>
      </c>
      <c r="D2022">
        <v>1628</v>
      </c>
      <c r="E2022">
        <v>1022</v>
      </c>
      <c r="F2022">
        <f t="shared" si="128"/>
        <v>0.70981588655995975</v>
      </c>
      <c r="G2022">
        <f t="shared" si="129"/>
        <v>0.5035078297607154</v>
      </c>
      <c r="I2022">
        <f t="shared" si="127"/>
        <v>0.60666185816033757</v>
      </c>
    </row>
    <row r="2023" spans="1:9">
      <c r="A2023" t="s">
        <v>11</v>
      </c>
      <c r="B2023" s="2">
        <f t="shared" si="126"/>
        <v>98</v>
      </c>
      <c r="C2023">
        <v>167</v>
      </c>
      <c r="D2023">
        <v>6</v>
      </c>
      <c r="E2023">
        <v>7</v>
      </c>
      <c r="F2023">
        <f t="shared" si="128"/>
        <v>-2.065590142476371</v>
      </c>
      <c r="G2023">
        <f t="shared" si="129"/>
        <v>-2.0027479048905135</v>
      </c>
      <c r="I2023">
        <f t="shared" si="127"/>
        <v>-2.0341690236834422</v>
      </c>
    </row>
    <row r="2024" spans="1:9">
      <c r="A2024" t="s">
        <v>12</v>
      </c>
      <c r="B2024" s="2">
        <f t="shared" si="126"/>
        <v>98</v>
      </c>
      <c r="C2024">
        <v>82</v>
      </c>
      <c r="D2024">
        <v>406</v>
      </c>
      <c r="E2024">
        <v>78</v>
      </c>
      <c r="F2024">
        <f t="shared" si="128"/>
        <v>7.3687259481046152E-2</v>
      </c>
      <c r="G2024">
        <f t="shared" si="129"/>
        <v>-0.64684872345042344</v>
      </c>
      <c r="I2024">
        <f t="shared" si="127"/>
        <v>-0.28658073198468864</v>
      </c>
    </row>
    <row r="2025" spans="1:9">
      <c r="A2025" t="s">
        <v>9</v>
      </c>
      <c r="B2025" s="2">
        <f t="shared" si="126"/>
        <v>98</v>
      </c>
      <c r="C2025">
        <v>87</v>
      </c>
      <c r="D2025">
        <v>1968</v>
      </c>
      <c r="E2025">
        <v>711</v>
      </c>
      <c r="F2025">
        <f t="shared" si="128"/>
        <v>0.73348091976427288</v>
      </c>
      <c r="G2025">
        <f t="shared" si="129"/>
        <v>0.28722087435396071</v>
      </c>
      <c r="I2025">
        <f t="shared" si="127"/>
        <v>0.51035089705911685</v>
      </c>
    </row>
    <row r="2026" spans="1:9">
      <c r="A2026" t="s">
        <v>13</v>
      </c>
      <c r="B2026" s="2">
        <f t="shared" si="126"/>
        <v>98</v>
      </c>
      <c r="C2026">
        <v>136</v>
      </c>
      <c r="D2026">
        <v>44</v>
      </c>
      <c r="E2026">
        <v>7</v>
      </c>
      <c r="F2026">
        <f t="shared" si="128"/>
        <v>-1.1111111535964613</v>
      </c>
      <c r="G2026">
        <f t="shared" si="129"/>
        <v>-1.9135703421131478</v>
      </c>
      <c r="I2026">
        <f t="shared" si="127"/>
        <v>-1.5123407478548045</v>
      </c>
    </row>
    <row r="2027" spans="1:9">
      <c r="A2027" t="s">
        <v>14</v>
      </c>
      <c r="B2027" s="2">
        <f t="shared" si="126"/>
        <v>98</v>
      </c>
      <c r="C2027">
        <v>103</v>
      </c>
      <c r="D2027">
        <v>773</v>
      </c>
      <c r="E2027">
        <v>188</v>
      </c>
      <c r="F2027">
        <f t="shared" si="128"/>
        <v>0.25431734750072144</v>
      </c>
      <c r="G2027">
        <f t="shared" si="129"/>
        <v>-0.3638088491986794</v>
      </c>
      <c r="I2027">
        <f t="shared" si="127"/>
        <v>-5.474575084897898E-2</v>
      </c>
    </row>
    <row r="2028" spans="1:9">
      <c r="A2028" t="s">
        <v>15</v>
      </c>
      <c r="B2028" s="2">
        <f t="shared" si="126"/>
        <v>98</v>
      </c>
      <c r="C2028">
        <v>162</v>
      </c>
      <c r="D2028">
        <v>515</v>
      </c>
      <c r="E2028">
        <v>1310</v>
      </c>
      <c r="F2028">
        <f t="shared" si="128"/>
        <v>-0.11873270721387119</v>
      </c>
      <c r="G2028">
        <f t="shared" si="129"/>
        <v>0.28262680735594625</v>
      </c>
      <c r="I2028">
        <f t="shared" si="127"/>
        <v>8.194705007103753E-2</v>
      </c>
    </row>
    <row r="2029" spans="1:9">
      <c r="A2029" t="s">
        <v>16</v>
      </c>
      <c r="B2029" s="2">
        <f t="shared" si="126"/>
        <v>98</v>
      </c>
      <c r="C2029">
        <v>120</v>
      </c>
      <c r="D2029">
        <v>32</v>
      </c>
      <c r="E2029">
        <v>16</v>
      </c>
      <c r="F2029">
        <f t="shared" si="128"/>
        <v>-1.1950561894401501</v>
      </c>
      <c r="G2029">
        <f t="shared" si="129"/>
        <v>-1.5001907371488872</v>
      </c>
      <c r="I2029">
        <f t="shared" si="127"/>
        <v>-1.3476234632945188</v>
      </c>
    </row>
    <row r="2030" spans="1:9">
      <c r="A2030" t="s">
        <v>17</v>
      </c>
      <c r="B2030" s="2">
        <f t="shared" si="126"/>
        <v>98</v>
      </c>
      <c r="C2030">
        <v>167</v>
      </c>
      <c r="D2030">
        <v>130</v>
      </c>
      <c r="E2030">
        <v>88</v>
      </c>
      <c r="F2030">
        <f t="shared" si="128"/>
        <v>-0.72979804055317776</v>
      </c>
      <c r="G2030">
        <f t="shared" si="129"/>
        <v>-0.90336327275460171</v>
      </c>
      <c r="I2030">
        <f t="shared" si="127"/>
        <v>-0.81658065665388979</v>
      </c>
    </row>
    <row r="2031" spans="1:9">
      <c r="A2031" t="s">
        <v>18</v>
      </c>
      <c r="B2031" s="2">
        <f t="shared" si="126"/>
        <v>98</v>
      </c>
      <c r="C2031">
        <v>11</v>
      </c>
      <c r="D2031">
        <v>46</v>
      </c>
      <c r="E2031">
        <v>77</v>
      </c>
      <c r="F2031">
        <f t="shared" si="128"/>
        <v>3.4022481091777745E-4</v>
      </c>
      <c r="G2031">
        <f t="shared" si="129"/>
        <v>0.21996856625706973</v>
      </c>
      <c r="I2031">
        <f t="shared" si="127"/>
        <v>0.11015439553399375</v>
      </c>
    </row>
    <row r="2032" spans="1:9">
      <c r="A2032" t="s">
        <v>19</v>
      </c>
      <c r="B2032" s="2">
        <f t="shared" si="126"/>
        <v>98</v>
      </c>
      <c r="C2032">
        <v>206</v>
      </c>
      <c r="D2032">
        <v>12</v>
      </c>
      <c r="E2032">
        <v>7</v>
      </c>
      <c r="F2032">
        <f t="shared" si="128"/>
        <v>-1.8557108960339599</v>
      </c>
      <c r="G2032">
        <f t="shared" si="129"/>
        <v>-2.0938986541120839</v>
      </c>
      <c r="I2032">
        <f t="shared" si="127"/>
        <v>-1.974804775073022</v>
      </c>
    </row>
    <row r="2033" spans="1:9">
      <c r="A2033" t="s">
        <v>20</v>
      </c>
      <c r="B2033" s="2">
        <f t="shared" si="126"/>
        <v>98</v>
      </c>
      <c r="C2033">
        <v>130</v>
      </c>
      <c r="D2033">
        <v>34</v>
      </c>
      <c r="E2033">
        <v>33</v>
      </c>
      <c r="F2033">
        <f t="shared" si="128"/>
        <v>-1.2034893569770129</v>
      </c>
      <c r="G2033">
        <f t="shared" si="129"/>
        <v>-1.2205588861861365</v>
      </c>
      <c r="I2033">
        <f t="shared" si="127"/>
        <v>-1.2120241215815746</v>
      </c>
    </row>
    <row r="2034" spans="1:9">
      <c r="A2034" t="s">
        <v>21</v>
      </c>
      <c r="B2034" s="2">
        <f t="shared" si="126"/>
        <v>98</v>
      </c>
      <c r="C2034">
        <v>116</v>
      </c>
      <c r="D2034">
        <v>30</v>
      </c>
      <c r="E2034">
        <v>10</v>
      </c>
      <c r="F2034">
        <f t="shared" si="128"/>
        <v>-1.2083616562196873</v>
      </c>
      <c r="G2034">
        <f t="shared" si="129"/>
        <v>-1.6895874629841054</v>
      </c>
      <c r="I2034">
        <f t="shared" si="127"/>
        <v>-1.4489745596018964</v>
      </c>
    </row>
    <row r="2035" spans="1:9">
      <c r="A2035" t="s">
        <v>22</v>
      </c>
      <c r="B2035" s="2">
        <f t="shared" si="126"/>
        <v>98</v>
      </c>
      <c r="C2035">
        <v>51</v>
      </c>
      <c r="D2035">
        <v>116</v>
      </c>
      <c r="E2035">
        <v>75</v>
      </c>
      <c r="F2035">
        <f t="shared" si="128"/>
        <v>-0.26413710858344919</v>
      </c>
      <c r="G2035">
        <f t="shared" si="129"/>
        <v>-0.45763838646342336</v>
      </c>
      <c r="I2035">
        <f t="shared" si="127"/>
        <v>-0.36088774752343628</v>
      </c>
    </row>
    <row r="2036" spans="1:9">
      <c r="A2036" t="s">
        <v>23</v>
      </c>
      <c r="B2036" s="2">
        <f t="shared" si="126"/>
        <v>98</v>
      </c>
      <c r="C2036">
        <v>112</v>
      </c>
      <c r="D2036">
        <v>11</v>
      </c>
      <c r="E2036">
        <v>10</v>
      </c>
      <c r="F2036">
        <f t="shared" si="128"/>
        <v>-1.6288502592243879</v>
      </c>
      <c r="G2036">
        <f t="shared" si="129"/>
        <v>-1.6743474964273686</v>
      </c>
      <c r="I2036">
        <f t="shared" si="127"/>
        <v>-1.6515988778258781</v>
      </c>
    </row>
    <row r="2037" spans="1:9">
      <c r="A2037" t="s">
        <v>24</v>
      </c>
      <c r="B2037" s="2">
        <f t="shared" si="126"/>
        <v>98</v>
      </c>
      <c r="C2037">
        <v>132</v>
      </c>
      <c r="D2037">
        <v>20</v>
      </c>
      <c r="E2037">
        <v>11</v>
      </c>
      <c r="F2037">
        <f t="shared" si="128"/>
        <v>-1.4405688572542998</v>
      </c>
      <c r="G2037">
        <f t="shared" si="129"/>
        <v>-1.704310719804812</v>
      </c>
      <c r="I2037">
        <f t="shared" si="127"/>
        <v>-1.572439788529556</v>
      </c>
    </row>
    <row r="2038" spans="1:9">
      <c r="A2038" t="s">
        <v>25</v>
      </c>
      <c r="B2038" s="2">
        <f t="shared" si="126"/>
        <v>98</v>
      </c>
      <c r="C2038">
        <v>105</v>
      </c>
      <c r="D2038">
        <v>4</v>
      </c>
      <c r="E2038">
        <v>3</v>
      </c>
      <c r="F2038">
        <f t="shared" si="128"/>
        <v>-2.0401542294544068</v>
      </c>
      <c r="G2038">
        <f t="shared" si="129"/>
        <v>-2.1691975181074628</v>
      </c>
      <c r="I2038">
        <f t="shared" si="127"/>
        <v>-2.104675873780935</v>
      </c>
    </row>
    <row r="2039" spans="1:9">
      <c r="A2039" t="s">
        <v>7</v>
      </c>
      <c r="B2039" s="2">
        <f t="shared" si="126"/>
        <v>99</v>
      </c>
      <c r="C2039">
        <v>181</v>
      </c>
      <c r="D2039">
        <v>155</v>
      </c>
      <c r="E2039">
        <v>42</v>
      </c>
      <c r="F2039">
        <f t="shared" si="128"/>
        <v>-0.68837179841132434</v>
      </c>
      <c r="G2039">
        <f t="shared" si="129"/>
        <v>-1.2595587582284713</v>
      </c>
      <c r="I2039">
        <f t="shared" si="127"/>
        <v>-0.97396527831989776</v>
      </c>
    </row>
    <row r="2040" spans="1:9">
      <c r="A2040" t="s">
        <v>8</v>
      </c>
      <c r="B2040" s="2">
        <f t="shared" si="126"/>
        <v>99</v>
      </c>
      <c r="C2040">
        <v>263</v>
      </c>
      <c r="D2040">
        <v>126</v>
      </c>
      <c r="E2040">
        <v>140</v>
      </c>
      <c r="F2040">
        <f t="shared" si="128"/>
        <v>-0.94061012508462627</v>
      </c>
      <c r="G2040">
        <f t="shared" si="129"/>
        <v>-0.89895718656870693</v>
      </c>
      <c r="I2040">
        <f t="shared" si="127"/>
        <v>-0.91978365582666655</v>
      </c>
    </row>
    <row r="2041" spans="1:9">
      <c r="A2041" t="s">
        <v>5</v>
      </c>
      <c r="B2041" s="2">
        <f t="shared" si="126"/>
        <v>99</v>
      </c>
      <c r="C2041">
        <v>42113</v>
      </c>
      <c r="D2041">
        <v>175971</v>
      </c>
      <c r="E2041">
        <v>177642</v>
      </c>
      <c r="F2041">
        <f t="shared" si="128"/>
        <v>0</v>
      </c>
      <c r="G2041">
        <f t="shared" si="129"/>
        <v>0</v>
      </c>
      <c r="I2041">
        <f t="shared" si="127"/>
        <v>0</v>
      </c>
    </row>
    <row r="2042" spans="1:9">
      <c r="A2042" t="s">
        <v>6</v>
      </c>
      <c r="B2042" s="2">
        <f t="shared" si="126"/>
        <v>99</v>
      </c>
      <c r="C2042">
        <v>248</v>
      </c>
      <c r="D2042">
        <v>730</v>
      </c>
      <c r="E2042">
        <v>173</v>
      </c>
      <c r="F2042">
        <f t="shared" si="128"/>
        <v>-0.15215374241819168</v>
      </c>
      <c r="G2042">
        <f t="shared" si="129"/>
        <v>-0.78153505145460789</v>
      </c>
      <c r="I2042">
        <f t="shared" si="127"/>
        <v>-0.46684439693639979</v>
      </c>
    </row>
    <row r="2043" spans="1:9">
      <c r="A2043" t="s">
        <v>10</v>
      </c>
      <c r="B2043" s="2">
        <f t="shared" si="126"/>
        <v>99</v>
      </c>
      <c r="C2043">
        <v>201</v>
      </c>
      <c r="D2043">
        <v>65</v>
      </c>
      <c r="E2043">
        <v>192</v>
      </c>
      <c r="F2043">
        <f t="shared" si="128"/>
        <v>-1.1113076224900644</v>
      </c>
      <c r="G2043">
        <f t="shared" si="129"/>
        <v>-0.64502430247412634</v>
      </c>
      <c r="I2043">
        <f t="shared" si="127"/>
        <v>-0.87816596248209544</v>
      </c>
    </row>
    <row r="2044" spans="1:9">
      <c r="A2044" t="s">
        <v>11</v>
      </c>
      <c r="B2044" s="2">
        <f t="shared" si="126"/>
        <v>99</v>
      </c>
      <c r="C2044">
        <v>355</v>
      </c>
      <c r="D2044">
        <v>628</v>
      </c>
      <c r="E2044">
        <v>271</v>
      </c>
      <c r="F2044">
        <f t="shared" si="128"/>
        <v>-0.3732936310303292</v>
      </c>
      <c r="G2044">
        <f t="shared" si="129"/>
        <v>-0.74238853593787546</v>
      </c>
      <c r="I2044">
        <f t="shared" si="127"/>
        <v>-0.55784108348410233</v>
      </c>
    </row>
    <row r="2045" spans="1:9">
      <c r="A2045" t="s">
        <v>12</v>
      </c>
      <c r="B2045" s="2">
        <f t="shared" si="126"/>
        <v>99</v>
      </c>
      <c r="C2045">
        <v>230</v>
      </c>
      <c r="D2045">
        <v>140</v>
      </c>
      <c r="E2045">
        <v>512</v>
      </c>
      <c r="F2045">
        <f t="shared" si="128"/>
        <v>-0.83662472205178617</v>
      </c>
      <c r="G2045">
        <f t="shared" si="129"/>
        <v>-0.2775873487989492</v>
      </c>
      <c r="I2045">
        <f t="shared" si="127"/>
        <v>-0.55710603542536763</v>
      </c>
    </row>
    <row r="2046" spans="1:9">
      <c r="A2046" t="s">
        <v>9</v>
      </c>
      <c r="B2046" s="2">
        <f t="shared" si="126"/>
        <v>99</v>
      </c>
      <c r="C2046">
        <v>175</v>
      </c>
      <c r="D2046">
        <v>138</v>
      </c>
      <c r="E2046">
        <v>62</v>
      </c>
      <c r="F2046">
        <f t="shared" si="128"/>
        <v>-0.72418388399748923</v>
      </c>
      <c r="G2046">
        <f t="shared" si="129"/>
        <v>-1.0757758329452276</v>
      </c>
      <c r="I2046">
        <f t="shared" si="127"/>
        <v>-0.89997985847135842</v>
      </c>
    </row>
    <row r="2047" spans="1:9">
      <c r="A2047" t="s">
        <v>13</v>
      </c>
      <c r="B2047" s="2">
        <f t="shared" si="126"/>
        <v>99</v>
      </c>
      <c r="C2047">
        <v>252</v>
      </c>
      <c r="D2047">
        <v>464</v>
      </c>
      <c r="E2047">
        <v>92</v>
      </c>
      <c r="F2047">
        <f t="shared" si="128"/>
        <v>-0.35590748193909455</v>
      </c>
      <c r="G2047">
        <f t="shared" si="129"/>
        <v>-1.0627421871931759</v>
      </c>
      <c r="I2047">
        <f t="shared" si="127"/>
        <v>-0.70932483456613526</v>
      </c>
    </row>
    <row r="2048" spans="1:9">
      <c r="A2048" t="s">
        <v>14</v>
      </c>
      <c r="B2048" s="2">
        <f t="shared" si="126"/>
        <v>99</v>
      </c>
      <c r="C2048">
        <v>259</v>
      </c>
      <c r="D2048">
        <v>229</v>
      </c>
      <c r="E2048">
        <v>525</v>
      </c>
      <c r="F2048">
        <f t="shared" si="128"/>
        <v>-0.67448920345379515</v>
      </c>
      <c r="G2048">
        <f t="shared" si="129"/>
        <v>-0.31826993443248197</v>
      </c>
      <c r="I2048">
        <f t="shared" si="127"/>
        <v>-0.49637956894313856</v>
      </c>
    </row>
    <row r="2049" spans="1:9">
      <c r="A2049" t="s">
        <v>15</v>
      </c>
      <c r="B2049" s="2">
        <f t="shared" si="126"/>
        <v>99</v>
      </c>
      <c r="C2049">
        <v>229</v>
      </c>
      <c r="D2049">
        <v>241</v>
      </c>
      <c r="E2049">
        <v>360</v>
      </c>
      <c r="F2049">
        <f t="shared" si="128"/>
        <v>-0.59884336147745099</v>
      </c>
      <c r="G2049">
        <f t="shared" si="129"/>
        <v>-0.42866245532978786</v>
      </c>
      <c r="I2049">
        <f t="shared" si="127"/>
        <v>-0.51375290840361942</v>
      </c>
    </row>
    <row r="2050" spans="1:9">
      <c r="A2050" t="s">
        <v>16</v>
      </c>
      <c r="B2050" s="2">
        <f t="shared" si="126"/>
        <v>99</v>
      </c>
      <c r="C2050">
        <v>259</v>
      </c>
      <c r="D2050">
        <v>45</v>
      </c>
      <c r="E2050">
        <v>42</v>
      </c>
      <c r="F2050">
        <f t="shared" si="128"/>
        <v>-1.3811121720183395</v>
      </c>
      <c r="G2050">
        <f t="shared" si="129"/>
        <v>-1.4151799474405384</v>
      </c>
      <c r="I2050">
        <f t="shared" si="127"/>
        <v>-1.3981460597294388</v>
      </c>
    </row>
    <row r="2051" spans="1:9">
      <c r="A2051" t="s">
        <v>17</v>
      </c>
      <c r="B2051" s="2">
        <f t="shared" ref="B2051:B2114" si="130">1+INT((ROW()-2)/21)+1</f>
        <v>99</v>
      </c>
      <c r="C2051">
        <v>116</v>
      </c>
      <c r="D2051">
        <v>12</v>
      </c>
      <c r="E2051">
        <v>11</v>
      </c>
      <c r="F2051">
        <f t="shared" si="128"/>
        <v>-1.606301664891725</v>
      </c>
      <c r="G2051">
        <f t="shared" si="129"/>
        <v>-1.6481947778258805</v>
      </c>
      <c r="I2051">
        <f t="shared" ref="I2051:I2114" si="131">AVERAGE(F2051:G2051)</f>
        <v>-1.6272482213588026</v>
      </c>
    </row>
    <row r="2052" spans="1:9">
      <c r="A2052" t="s">
        <v>18</v>
      </c>
      <c r="B2052" s="2">
        <f t="shared" si="130"/>
        <v>99</v>
      </c>
      <c r="C2052">
        <v>246</v>
      </c>
      <c r="D2052">
        <v>88</v>
      </c>
      <c r="E2052">
        <v>2</v>
      </c>
      <c r="F2052">
        <f t="shared" si="128"/>
        <v>-1.0674773566656417</v>
      </c>
      <c r="G2052">
        <f t="shared" si="129"/>
        <v>-2.7150345851965851</v>
      </c>
      <c r="I2052">
        <f t="shared" si="131"/>
        <v>-1.8912559709311134</v>
      </c>
    </row>
    <row r="2053" spans="1:9">
      <c r="A2053" t="s">
        <v>19</v>
      </c>
      <c r="B2053" s="2">
        <f t="shared" si="130"/>
        <v>99</v>
      </c>
      <c r="C2053">
        <v>263</v>
      </c>
      <c r="D2053">
        <v>15</v>
      </c>
      <c r="E2053">
        <v>2</v>
      </c>
      <c r="F2053">
        <f t="shared" si="128"/>
        <v>-1.864889411146508</v>
      </c>
      <c r="G2053">
        <f t="shared" si="129"/>
        <v>-2.7440552265829639</v>
      </c>
      <c r="I2053">
        <f t="shared" si="131"/>
        <v>-2.304472318864736</v>
      </c>
    </row>
    <row r="2054" spans="1:9">
      <c r="A2054" t="s">
        <v>20</v>
      </c>
      <c r="B2054" s="2">
        <f t="shared" si="130"/>
        <v>99</v>
      </c>
      <c r="C2054">
        <v>198</v>
      </c>
      <c r="D2054">
        <v>23</v>
      </c>
      <c r="E2054">
        <v>7</v>
      </c>
      <c r="F2054">
        <f t="shared" si="128"/>
        <v>-1.5559622759563694</v>
      </c>
      <c r="G2054">
        <f t="shared" si="129"/>
        <v>-2.0766966240044615</v>
      </c>
      <c r="I2054">
        <f t="shared" si="131"/>
        <v>-1.8163294499804155</v>
      </c>
    </row>
    <row r="2055" spans="1:9">
      <c r="A2055" t="s">
        <v>21</v>
      </c>
      <c r="B2055" s="2">
        <f t="shared" si="130"/>
        <v>99</v>
      </c>
      <c r="C2055">
        <v>215</v>
      </c>
      <c r="D2055">
        <v>15</v>
      </c>
      <c r="E2055">
        <v>7</v>
      </c>
      <c r="F2055">
        <f t="shared" si="128"/>
        <v>-1.7773721225723553</v>
      </c>
      <c r="G2055">
        <f t="shared" si="129"/>
        <v>-2.1124698936585355</v>
      </c>
      <c r="I2055">
        <f t="shared" si="131"/>
        <v>-1.9449210081154455</v>
      </c>
    </row>
    <row r="2056" spans="1:9">
      <c r="A2056" t="s">
        <v>22</v>
      </c>
      <c r="B2056" s="2">
        <f t="shared" si="130"/>
        <v>99</v>
      </c>
      <c r="C2056">
        <v>209</v>
      </c>
      <c r="D2056">
        <v>13</v>
      </c>
      <c r="E2056">
        <v>0</v>
      </c>
      <c r="F2056">
        <f t="shared" si="128"/>
        <v>-1.8272278555166486</v>
      </c>
      <c r="G2056" t="e">
        <f t="shared" si="129"/>
        <v>#NUM!</v>
      </c>
      <c r="I2056" t="e">
        <f t="shared" si="131"/>
        <v>#NUM!</v>
      </c>
    </row>
    <row r="2057" spans="1:9">
      <c r="A2057" t="s">
        <v>23</v>
      </c>
      <c r="B2057" s="2">
        <f t="shared" si="130"/>
        <v>99</v>
      </c>
      <c r="C2057">
        <v>226</v>
      </c>
      <c r="D2057">
        <v>105</v>
      </c>
      <c r="E2057">
        <v>79</v>
      </c>
      <c r="F2057">
        <f t="shared" si="128"/>
        <v>-0.95394406178989422</v>
      </c>
      <c r="G2057">
        <f t="shared" si="129"/>
        <v>-1.0816108216141465</v>
      </c>
      <c r="I2057">
        <f t="shared" si="131"/>
        <v>-1.0177774417020204</v>
      </c>
    </row>
    <row r="2058" spans="1:9">
      <c r="A2058" t="s">
        <v>24</v>
      </c>
      <c r="B2058" s="2">
        <f t="shared" si="130"/>
        <v>99</v>
      </c>
      <c r="C2058">
        <v>166</v>
      </c>
      <c r="D2058">
        <v>10</v>
      </c>
      <c r="E2058">
        <v>26</v>
      </c>
      <c r="F2058">
        <f t="shared" si="128"/>
        <v>-1.8411330097524863</v>
      </c>
      <c r="G2058">
        <f t="shared" si="129"/>
        <v>-1.4302642138264243</v>
      </c>
      <c r="I2058">
        <f t="shared" si="131"/>
        <v>-1.6356986117894552</v>
      </c>
    </row>
    <row r="2059" spans="1:9">
      <c r="A2059" t="s">
        <v>25</v>
      </c>
      <c r="B2059" s="2">
        <f t="shared" si="130"/>
        <v>99</v>
      </c>
      <c r="C2059">
        <v>137</v>
      </c>
      <c r="D2059">
        <v>7</v>
      </c>
      <c r="E2059">
        <v>4</v>
      </c>
      <c r="F2059">
        <f t="shared" si="128"/>
        <v>-1.9126474488545813</v>
      </c>
      <c r="G2059">
        <f t="shared" si="129"/>
        <v>-2.1597900495856317</v>
      </c>
      <c r="I2059">
        <f t="shared" si="131"/>
        <v>-2.0362187492201063</v>
      </c>
    </row>
    <row r="2060" spans="1:9">
      <c r="A2060" t="s">
        <v>7</v>
      </c>
      <c r="B2060" s="2">
        <f t="shared" si="130"/>
        <v>100</v>
      </c>
      <c r="C2060">
        <v>112</v>
      </c>
      <c r="D2060">
        <v>2</v>
      </c>
      <c r="E2060">
        <v>2</v>
      </c>
      <c r="F2060">
        <f t="shared" si="128"/>
        <v>-2.3692129487186318</v>
      </c>
      <c r="G2060">
        <f t="shared" si="129"/>
        <v>-2.3733175007633873</v>
      </c>
      <c r="I2060">
        <f t="shared" si="131"/>
        <v>-2.3712652247410095</v>
      </c>
    </row>
    <row r="2061" spans="1:9">
      <c r="A2061" t="s">
        <v>8</v>
      </c>
      <c r="B2061" s="2">
        <f t="shared" si="130"/>
        <v>100</v>
      </c>
      <c r="C2061">
        <v>136</v>
      </c>
      <c r="D2061">
        <v>55</v>
      </c>
      <c r="E2061">
        <v>49</v>
      </c>
      <c r="F2061">
        <f t="shared" si="128"/>
        <v>-1.0142011405884048</v>
      </c>
      <c r="G2061">
        <f t="shared" si="129"/>
        <v>-1.0684723020988909</v>
      </c>
      <c r="I2061">
        <f t="shared" si="131"/>
        <v>-1.0413367213436477</v>
      </c>
    </row>
    <row r="2062" spans="1:9">
      <c r="A2062" t="s">
        <v>5</v>
      </c>
      <c r="B2062" s="2">
        <f t="shared" si="130"/>
        <v>100</v>
      </c>
      <c r="C2062">
        <v>136</v>
      </c>
      <c r="D2062">
        <v>6</v>
      </c>
      <c r="E2062">
        <v>1</v>
      </c>
      <c r="F2062">
        <f t="shared" si="128"/>
        <v>-1.9764125796990051</v>
      </c>
      <c r="G2062">
        <f t="shared" si="129"/>
        <v>-2.7586683821274045</v>
      </c>
      <c r="I2062">
        <f t="shared" si="131"/>
        <v>-2.3675404809132048</v>
      </c>
    </row>
    <row r="2063" spans="1:9">
      <c r="A2063" t="s">
        <v>6</v>
      </c>
      <c r="B2063" s="2">
        <f t="shared" si="130"/>
        <v>100</v>
      </c>
      <c r="C2063">
        <v>141</v>
      </c>
      <c r="D2063">
        <v>25</v>
      </c>
      <c r="E2063">
        <v>5</v>
      </c>
      <c r="F2063">
        <f t="shared" si="128"/>
        <v>-1.3723040256957737</v>
      </c>
      <c r="G2063">
        <f t="shared" si="129"/>
        <v>-2.0753785820765485</v>
      </c>
      <c r="I2063">
        <f t="shared" si="131"/>
        <v>-1.7238413038861611</v>
      </c>
    </row>
    <row r="2064" spans="1:9">
      <c r="A2064" t="s">
        <v>10</v>
      </c>
      <c r="B2064" s="2">
        <f t="shared" si="130"/>
        <v>100</v>
      </c>
      <c r="C2064">
        <v>117</v>
      </c>
      <c r="D2064">
        <v>6</v>
      </c>
      <c r="E2064">
        <v>3</v>
      </c>
      <c r="F2064">
        <f t="shared" si="128"/>
        <v>-1.9110595330749494</v>
      </c>
      <c r="G2064">
        <f t="shared" si="129"/>
        <v>-2.2161940807836862</v>
      </c>
      <c r="I2064">
        <f t="shared" si="131"/>
        <v>-2.0636268069293178</v>
      </c>
    </row>
    <row r="2065" spans="1:9">
      <c r="A2065" t="s">
        <v>11</v>
      </c>
      <c r="B2065" s="2">
        <f t="shared" si="130"/>
        <v>100</v>
      </c>
      <c r="C2065">
        <v>205</v>
      </c>
      <c r="D2065">
        <v>7</v>
      </c>
      <c r="E2065">
        <v>4</v>
      </c>
      <c r="F2065">
        <f t="shared" si="128"/>
        <v>-2.0876807427539288</v>
      </c>
      <c r="G2065">
        <f t="shared" si="129"/>
        <v>-2.3348233434849792</v>
      </c>
      <c r="I2065">
        <f t="shared" si="131"/>
        <v>-2.2112520431194538</v>
      </c>
    </row>
    <row r="2066" spans="1:9">
      <c r="A2066" t="s">
        <v>12</v>
      </c>
      <c r="B2066" s="2">
        <f t="shared" si="130"/>
        <v>100</v>
      </c>
      <c r="C2066">
        <v>193</v>
      </c>
      <c r="D2066">
        <v>17</v>
      </c>
      <c r="E2066">
        <v>19</v>
      </c>
      <c r="F2066">
        <f t="shared" si="128"/>
        <v>-1.6761333093419311</v>
      </c>
      <c r="G2066">
        <f t="shared" si="129"/>
        <v>-1.6319331818121319</v>
      </c>
      <c r="I2066">
        <f t="shared" si="131"/>
        <v>-1.6540332455770315</v>
      </c>
    </row>
    <row r="2067" spans="1:9">
      <c r="A2067" t="s">
        <v>9</v>
      </c>
      <c r="B2067" s="2">
        <f t="shared" si="130"/>
        <v>100</v>
      </c>
      <c r="C2067">
        <v>102</v>
      </c>
      <c r="D2067">
        <v>73</v>
      </c>
      <c r="E2067">
        <v>23</v>
      </c>
      <c r="F2067">
        <f t="shared" si="128"/>
        <v>-0.76630223335389291</v>
      </c>
      <c r="G2067">
        <f t="shared" si="129"/>
        <v>-1.2720018095015118</v>
      </c>
      <c r="I2067">
        <f t="shared" si="131"/>
        <v>-1.0191520214277023</v>
      </c>
    </row>
    <row r="2068" spans="1:9">
      <c r="A2068" t="s">
        <v>13</v>
      </c>
      <c r="B2068" s="2">
        <f t="shared" si="130"/>
        <v>100</v>
      </c>
      <c r="C2068">
        <v>117</v>
      </c>
      <c r="D2068">
        <v>11</v>
      </c>
      <c r="E2068">
        <v>12</v>
      </c>
      <c r="F2068">
        <f t="shared" si="128"/>
        <v>-1.6478180983003679</v>
      </c>
      <c r="G2068">
        <f t="shared" si="129"/>
        <v>-1.6141340894557239</v>
      </c>
      <c r="I2068">
        <f t="shared" si="131"/>
        <v>-1.6309760938780458</v>
      </c>
    </row>
    <row r="2069" spans="1:9">
      <c r="A2069" t="s">
        <v>14</v>
      </c>
      <c r="B2069" s="2">
        <f t="shared" si="130"/>
        <v>100</v>
      </c>
      <c r="C2069">
        <v>212</v>
      </c>
      <c r="D2069">
        <v>146</v>
      </c>
      <c r="E2069">
        <v>36</v>
      </c>
      <c r="F2069">
        <f t="shared" si="128"/>
        <v>-0.7830079268567457</v>
      </c>
      <c r="G2069">
        <f t="shared" si="129"/>
        <v>-1.3951628339186513</v>
      </c>
      <c r="I2069">
        <f t="shared" si="131"/>
        <v>-1.0890853803876985</v>
      </c>
    </row>
    <row r="2070" spans="1:9">
      <c r="A2070" t="s">
        <v>15</v>
      </c>
      <c r="B2070" s="2">
        <f t="shared" si="130"/>
        <v>100</v>
      </c>
      <c r="C2070">
        <v>150</v>
      </c>
      <c r="D2070">
        <v>58</v>
      </c>
      <c r="E2070">
        <v>16</v>
      </c>
      <c r="F2070">
        <f t="shared" si="128"/>
        <v>-1.0336881872051753</v>
      </c>
      <c r="G2070">
        <f t="shared" si="129"/>
        <v>-1.5971007501569434</v>
      </c>
      <c r="I2070">
        <f t="shared" si="131"/>
        <v>-1.3153944686810592</v>
      </c>
    </row>
    <row r="2071" spans="1:9">
      <c r="A2071" t="s">
        <v>16</v>
      </c>
      <c r="B2071" s="2">
        <f t="shared" si="130"/>
        <v>100</v>
      </c>
      <c r="C2071">
        <v>42113</v>
      </c>
      <c r="D2071">
        <v>175971</v>
      </c>
      <c r="E2071">
        <v>177642</v>
      </c>
      <c r="F2071">
        <f t="shared" si="128"/>
        <v>0</v>
      </c>
      <c r="G2071">
        <f t="shared" si="129"/>
        <v>0</v>
      </c>
      <c r="I2071">
        <f t="shared" si="131"/>
        <v>0</v>
      </c>
    </row>
    <row r="2072" spans="1:9">
      <c r="A2072" t="s">
        <v>17</v>
      </c>
      <c r="B2072" s="2">
        <f t="shared" si="130"/>
        <v>100</v>
      </c>
      <c r="C2072">
        <v>101</v>
      </c>
      <c r="D2072">
        <v>2</v>
      </c>
      <c r="E2072">
        <v>1</v>
      </c>
      <c r="F2072">
        <f t="shared" si="128"/>
        <v>-2.3243162998310929</v>
      </c>
      <c r="G2072">
        <f t="shared" si="129"/>
        <v>-2.6294508475398297</v>
      </c>
      <c r="I2072">
        <f t="shared" si="131"/>
        <v>-2.4768835736854613</v>
      </c>
    </row>
    <row r="2073" spans="1:9">
      <c r="A2073" t="s">
        <v>18</v>
      </c>
      <c r="B2073" s="2">
        <f t="shared" si="130"/>
        <v>100</v>
      </c>
      <c r="C2073">
        <v>131</v>
      </c>
      <c r="D2073">
        <v>43</v>
      </c>
      <c r="E2073">
        <v>53</v>
      </c>
      <c r="F2073">
        <f t="shared" si="128"/>
        <v>-1.1048277617886091</v>
      </c>
      <c r="G2073">
        <f t="shared" si="129"/>
        <v>-1.0181248998121624</v>
      </c>
      <c r="I2073">
        <f t="shared" si="131"/>
        <v>-1.0614763308003856</v>
      </c>
    </row>
    <row r="2074" spans="1:9">
      <c r="A2074" t="s">
        <v>19</v>
      </c>
      <c r="B2074" s="2">
        <f t="shared" si="130"/>
        <v>100</v>
      </c>
      <c r="C2074">
        <v>86</v>
      </c>
      <c r="D2074">
        <v>10</v>
      </c>
      <c r="E2074">
        <v>15</v>
      </c>
      <c r="F2074">
        <f t="shared" si="128"/>
        <v>-1.555523372955999</v>
      </c>
      <c r="G2074">
        <f t="shared" si="129"/>
        <v>-1.3835366659450736</v>
      </c>
      <c r="I2074">
        <f t="shared" si="131"/>
        <v>-1.4695300194505363</v>
      </c>
    </row>
    <row r="2075" spans="1:9">
      <c r="A2075" t="s">
        <v>20</v>
      </c>
      <c r="B2075" s="2">
        <f t="shared" si="130"/>
        <v>100</v>
      </c>
      <c r="C2075">
        <v>117</v>
      </c>
      <c r="D2075">
        <v>102</v>
      </c>
      <c r="E2075">
        <v>3</v>
      </c>
      <c r="F2075">
        <f t="shared" si="128"/>
        <v>-0.68061061169667536</v>
      </c>
      <c r="G2075">
        <f t="shared" si="129"/>
        <v>-2.2161940807836862</v>
      </c>
      <c r="I2075">
        <f t="shared" si="131"/>
        <v>-1.4484023462401807</v>
      </c>
    </row>
    <row r="2076" spans="1:9">
      <c r="A2076" t="s">
        <v>21</v>
      </c>
      <c r="B2076" s="2">
        <f t="shared" si="130"/>
        <v>100</v>
      </c>
      <c r="C2076">
        <v>178</v>
      </c>
      <c r="D2076">
        <v>5</v>
      </c>
      <c r="E2076">
        <v>8</v>
      </c>
      <c r="F2076">
        <f t="shared" si="128"/>
        <v>-2.1724749196853064</v>
      </c>
      <c r="G2076">
        <f t="shared" si="129"/>
        <v>-1.9724594890741376</v>
      </c>
      <c r="I2076">
        <f t="shared" si="131"/>
        <v>-2.0724672043797221</v>
      </c>
    </row>
    <row r="2077" spans="1:9">
      <c r="A2077" t="s">
        <v>22</v>
      </c>
      <c r="B2077" s="2">
        <f t="shared" si="130"/>
        <v>100</v>
      </c>
      <c r="C2077">
        <v>90</v>
      </c>
      <c r="D2077">
        <v>6</v>
      </c>
      <c r="E2077">
        <v>2</v>
      </c>
      <c r="F2077">
        <f t="shared" si="128"/>
        <v>-1.7971161807681126</v>
      </c>
      <c r="G2077">
        <f t="shared" si="129"/>
        <v>-2.2783419875325306</v>
      </c>
      <c r="I2077">
        <f t="shared" si="131"/>
        <v>-2.0377290841503215</v>
      </c>
    </row>
    <row r="2078" spans="1:9">
      <c r="A2078" t="s">
        <v>23</v>
      </c>
      <c r="B2078" s="2">
        <f t="shared" si="130"/>
        <v>100</v>
      </c>
      <c r="C2078">
        <v>65</v>
      </c>
      <c r="D2078">
        <v>10</v>
      </c>
      <c r="E2078">
        <v>10</v>
      </c>
      <c r="F2078">
        <f t="shared" si="128"/>
        <v>-1.4339382783552868</v>
      </c>
      <c r="G2078">
        <f t="shared" si="129"/>
        <v>-1.4380428304000428</v>
      </c>
      <c r="I2078">
        <f t="shared" si="131"/>
        <v>-1.4359905543776648</v>
      </c>
    </row>
    <row r="2079" spans="1:9">
      <c r="A2079" t="s">
        <v>24</v>
      </c>
      <c r="B2079" s="2">
        <f t="shared" si="130"/>
        <v>100</v>
      </c>
      <c r="C2079">
        <v>78</v>
      </c>
      <c r="D2079">
        <v>5</v>
      </c>
      <c r="E2079">
        <v>7</v>
      </c>
      <c r="F2079">
        <f t="shared" si="128"/>
        <v>-1.8141495200668929</v>
      </c>
      <c r="G2079">
        <f t="shared" si="129"/>
        <v>-1.6721260364334107</v>
      </c>
      <c r="I2079">
        <f t="shared" si="131"/>
        <v>-1.7431377782501518</v>
      </c>
    </row>
    <row r="2080" spans="1:9">
      <c r="A2080" t="s">
        <v>25</v>
      </c>
      <c r="B2080" s="2">
        <f t="shared" si="130"/>
        <v>100</v>
      </c>
      <c r="C2080">
        <v>145</v>
      </c>
      <c r="D2080">
        <v>7</v>
      </c>
      <c r="E2080">
        <v>4</v>
      </c>
      <c r="F2080">
        <f t="shared" si="128"/>
        <v>-1.9372948839331494</v>
      </c>
      <c r="G2080">
        <f t="shared" si="129"/>
        <v>-2.1844374846641994</v>
      </c>
      <c r="I2080">
        <f t="shared" si="131"/>
        <v>-2.0608661842986744</v>
      </c>
    </row>
    <row r="2081" spans="1:9">
      <c r="A2081" t="s">
        <v>7</v>
      </c>
      <c r="B2081" s="2">
        <f t="shared" si="130"/>
        <v>101</v>
      </c>
      <c r="C2081">
        <v>157</v>
      </c>
      <c r="D2081">
        <v>9</v>
      </c>
      <c r="E2081">
        <v>0</v>
      </c>
      <c r="F2081">
        <f t="shared" si="128"/>
        <v>-1.8626820646823401</v>
      </c>
      <c r="G2081" t="e">
        <f t="shared" si="129"/>
        <v>#NUM!</v>
      </c>
      <c r="I2081" t="e">
        <f t="shared" si="131"/>
        <v>#NUM!</v>
      </c>
    </row>
    <row r="2082" spans="1:9">
      <c r="A2082" t="s">
        <v>8</v>
      </c>
      <c r="B2082" s="2">
        <f t="shared" si="130"/>
        <v>101</v>
      </c>
      <c r="C2082">
        <v>123</v>
      </c>
      <c r="D2082">
        <v>46</v>
      </c>
      <c r="E2082">
        <v>34</v>
      </c>
      <c r="F2082">
        <f t="shared" si="128"/>
        <v>-1.0481722014702552</v>
      </c>
      <c r="G2082">
        <f t="shared" si="129"/>
        <v>-1.1835556681543298</v>
      </c>
      <c r="I2082">
        <f t="shared" si="131"/>
        <v>-1.1158639348122925</v>
      </c>
    </row>
    <row r="2083" spans="1:9">
      <c r="A2083" t="s">
        <v>5</v>
      </c>
      <c r="B2083" s="2">
        <f t="shared" si="130"/>
        <v>101</v>
      </c>
      <c r="C2083">
        <v>136</v>
      </c>
      <c r="D2083">
        <v>34</v>
      </c>
      <c r="E2083">
        <v>11</v>
      </c>
      <c r="F2083">
        <f t="shared" ref="F2083:F2146" si="132">LOG10(D2083/C2083)-LOG10(175971/42113)</f>
        <v>-1.2230849130403936</v>
      </c>
      <c r="G2083">
        <f t="shared" ref="G2083:G2146" si="133">LOG10(E2083/C2083)-LOG10(177642/42113)</f>
        <v>-1.7172756969691796</v>
      </c>
      <c r="I2083">
        <f t="shared" si="131"/>
        <v>-1.4701803050047866</v>
      </c>
    </row>
    <row r="2084" spans="1:9">
      <c r="A2084" t="s">
        <v>6</v>
      </c>
      <c r="B2084" s="2">
        <f t="shared" si="130"/>
        <v>101</v>
      </c>
      <c r="C2084">
        <v>198</v>
      </c>
      <c r="D2084">
        <v>116</v>
      </c>
      <c r="E2084">
        <v>54</v>
      </c>
      <c r="F2084">
        <f t="shared" si="132"/>
        <v>-0.85323212274704396</v>
      </c>
      <c r="G2084">
        <f t="shared" si="133"/>
        <v>-1.1894009041957498</v>
      </c>
      <c r="I2084">
        <f t="shared" si="131"/>
        <v>-1.0213165134713968</v>
      </c>
    </row>
    <row r="2085" spans="1:9">
      <c r="A2085" t="s">
        <v>10</v>
      </c>
      <c r="B2085" s="2">
        <f t="shared" si="130"/>
        <v>101</v>
      </c>
      <c r="C2085">
        <v>135</v>
      </c>
      <c r="D2085">
        <v>32</v>
      </c>
      <c r="E2085">
        <v>7</v>
      </c>
      <c r="F2085">
        <f t="shared" si="132"/>
        <v>-1.2462087118875314</v>
      </c>
      <c r="G2085">
        <f t="shared" si="133"/>
        <v>-1.9103652022379365</v>
      </c>
      <c r="I2085">
        <f t="shared" si="131"/>
        <v>-1.5782869570627338</v>
      </c>
    </row>
    <row r="2086" spans="1:9">
      <c r="A2086" t="s">
        <v>11</v>
      </c>
      <c r="B2086" s="2">
        <f t="shared" si="130"/>
        <v>101</v>
      </c>
      <c r="C2086">
        <v>115</v>
      </c>
      <c r="D2086">
        <v>7</v>
      </c>
      <c r="E2086">
        <v>6</v>
      </c>
      <c r="F2086">
        <f t="shared" si="132"/>
        <v>-1.8366247220517862</v>
      </c>
      <c r="G2086">
        <f t="shared" si="133"/>
        <v>-1.9076760637271553</v>
      </c>
      <c r="I2086">
        <f t="shared" si="131"/>
        <v>-1.8721503928894707</v>
      </c>
    </row>
    <row r="2087" spans="1:9">
      <c r="A2087" t="s">
        <v>12</v>
      </c>
      <c r="B2087" s="2">
        <f t="shared" si="130"/>
        <v>101</v>
      </c>
      <c r="C2087">
        <v>228</v>
      </c>
      <c r="D2087">
        <v>19</v>
      </c>
      <c r="E2087">
        <v>6</v>
      </c>
      <c r="F2087">
        <f t="shared" si="132"/>
        <v>-1.7002061677600562</v>
      </c>
      <c r="G2087">
        <f t="shared" si="133"/>
        <v>-2.2049130703739972</v>
      </c>
      <c r="I2087">
        <f t="shared" si="131"/>
        <v>-1.9525596190670267</v>
      </c>
    </row>
    <row r="2088" spans="1:9">
      <c r="A2088" t="s">
        <v>9</v>
      </c>
      <c r="B2088" s="2">
        <f t="shared" si="130"/>
        <v>101</v>
      </c>
      <c r="C2088">
        <v>104</v>
      </c>
      <c r="D2088">
        <v>6</v>
      </c>
      <c r="E2088">
        <v>5</v>
      </c>
      <c r="F2088">
        <f t="shared" si="132"/>
        <v>-1.8599070106275679</v>
      </c>
      <c r="G2088">
        <f t="shared" si="133"/>
        <v>-1.9431928087199486</v>
      </c>
      <c r="I2088">
        <f t="shared" si="131"/>
        <v>-1.9015499096737583</v>
      </c>
    </row>
    <row r="2089" spans="1:9">
      <c r="A2089" t="s">
        <v>13</v>
      </c>
      <c r="B2089" s="2">
        <f t="shared" si="130"/>
        <v>101</v>
      </c>
      <c r="C2089">
        <v>204</v>
      </c>
      <c r="D2089">
        <v>10</v>
      </c>
      <c r="E2089">
        <v>1</v>
      </c>
      <c r="F2089">
        <f t="shared" si="132"/>
        <v>-1.9306550891383301</v>
      </c>
      <c r="G2089">
        <f t="shared" si="133"/>
        <v>-2.9347596411830859</v>
      </c>
      <c r="I2089">
        <f t="shared" si="131"/>
        <v>-2.4327073651607081</v>
      </c>
    </row>
    <row r="2090" spans="1:9">
      <c r="A2090" t="s">
        <v>14</v>
      </c>
      <c r="B2090" s="2">
        <f t="shared" si="130"/>
        <v>101</v>
      </c>
      <c r="C2090">
        <v>127</v>
      </c>
      <c r="D2090">
        <v>270</v>
      </c>
      <c r="E2090">
        <v>43</v>
      </c>
      <c r="F2090">
        <f t="shared" si="132"/>
        <v>-0.29346487850940078</v>
      </c>
      <c r="G2090">
        <f t="shared" si="133"/>
        <v>-1.0954647391335575</v>
      </c>
      <c r="I2090">
        <f t="shared" si="131"/>
        <v>-0.6944648088214791</v>
      </c>
    </row>
    <row r="2091" spans="1:9">
      <c r="A2091" t="s">
        <v>15</v>
      </c>
      <c r="B2091" s="2">
        <f t="shared" si="130"/>
        <v>101</v>
      </c>
      <c r="C2091">
        <v>210</v>
      </c>
      <c r="D2091">
        <v>19</v>
      </c>
      <c r="E2091">
        <v>1</v>
      </c>
      <c r="F2091">
        <f t="shared" si="132"/>
        <v>-1.6644906154935215</v>
      </c>
      <c r="G2091">
        <f t="shared" si="133"/>
        <v>-2.9473487684911062</v>
      </c>
      <c r="I2091">
        <f t="shared" si="131"/>
        <v>-2.3059196919923139</v>
      </c>
    </row>
    <row r="2092" spans="1:9">
      <c r="A2092" t="s">
        <v>16</v>
      </c>
      <c r="B2092" s="2">
        <f t="shared" si="130"/>
        <v>101</v>
      </c>
      <c r="C2092">
        <v>42113</v>
      </c>
      <c r="D2092">
        <v>175971</v>
      </c>
      <c r="E2092">
        <v>177642</v>
      </c>
      <c r="F2092">
        <f t="shared" si="132"/>
        <v>0</v>
      </c>
      <c r="G2092">
        <f t="shared" si="133"/>
        <v>0</v>
      </c>
      <c r="I2092">
        <f t="shared" si="131"/>
        <v>0</v>
      </c>
    </row>
    <row r="2093" spans="1:9">
      <c r="A2093" t="s">
        <v>17</v>
      </c>
      <c r="B2093" s="2">
        <f t="shared" si="130"/>
        <v>101</v>
      </c>
      <c r="C2093">
        <v>149</v>
      </c>
      <c r="D2093">
        <v>14</v>
      </c>
      <c r="E2093">
        <v>11</v>
      </c>
      <c r="F2093">
        <f t="shared" si="132"/>
        <v>-1.6480831544464674</v>
      </c>
      <c r="G2093">
        <f t="shared" si="133"/>
        <v>-1.756923057011236</v>
      </c>
      <c r="I2093">
        <f t="shared" si="131"/>
        <v>-1.7025031057288516</v>
      </c>
    </row>
    <row r="2094" spans="1:9">
      <c r="A2094" t="s">
        <v>18</v>
      </c>
      <c r="B2094" s="2">
        <f t="shared" si="130"/>
        <v>101</v>
      </c>
      <c r="C2094">
        <v>219</v>
      </c>
      <c r="D2094">
        <v>62</v>
      </c>
      <c r="E2094">
        <v>51</v>
      </c>
      <c r="F2094">
        <f t="shared" si="132"/>
        <v>-1.1690773470542957</v>
      </c>
      <c r="G2094">
        <f t="shared" si="133"/>
        <v>-1.2580034124993691</v>
      </c>
      <c r="I2094">
        <f t="shared" si="131"/>
        <v>-1.2135403797768323</v>
      </c>
    </row>
    <row r="2095" spans="1:9">
      <c r="A2095" t="s">
        <v>19</v>
      </c>
      <c r="B2095" s="2">
        <f t="shared" si="130"/>
        <v>101</v>
      </c>
      <c r="C2095">
        <v>177</v>
      </c>
      <c r="D2095">
        <v>38</v>
      </c>
      <c r="E2095">
        <v>30</v>
      </c>
      <c r="F2095">
        <f t="shared" si="132"/>
        <v>-1.2892145914574278</v>
      </c>
      <c r="G2095">
        <f t="shared" si="133"/>
        <v>-1.3959814853993313</v>
      </c>
      <c r="I2095">
        <f t="shared" si="131"/>
        <v>-1.3425980384283795</v>
      </c>
    </row>
    <row r="2096" spans="1:9">
      <c r="A2096" t="s">
        <v>20</v>
      </c>
      <c r="B2096" s="2">
        <f t="shared" si="130"/>
        <v>101</v>
      </c>
      <c r="C2096">
        <v>68</v>
      </c>
      <c r="D2096">
        <v>2</v>
      </c>
      <c r="E2096">
        <v>1</v>
      </c>
      <c r="F2096">
        <f t="shared" si="132"/>
        <v>-2.1525038387546864</v>
      </c>
      <c r="G2096">
        <f t="shared" si="133"/>
        <v>-2.4576383864634233</v>
      </c>
      <c r="I2096">
        <f t="shared" si="131"/>
        <v>-2.3050711126090548</v>
      </c>
    </row>
    <row r="2097" spans="1:9">
      <c r="A2097" t="s">
        <v>21</v>
      </c>
      <c r="B2097" s="2">
        <f t="shared" si="130"/>
        <v>101</v>
      </c>
      <c r="C2097">
        <v>131</v>
      </c>
      <c r="D2097">
        <v>4</v>
      </c>
      <c r="E2097">
        <v>2</v>
      </c>
      <c r="F2097">
        <f t="shared" si="132"/>
        <v>-2.136236226040233</v>
      </c>
      <c r="G2097">
        <f t="shared" si="133"/>
        <v>-2.4413707737489703</v>
      </c>
      <c r="I2097">
        <f t="shared" si="131"/>
        <v>-2.2888034998946019</v>
      </c>
    </row>
    <row r="2098" spans="1:9">
      <c r="A2098" t="s">
        <v>22</v>
      </c>
      <c r="B2098" s="2">
        <f t="shared" si="130"/>
        <v>101</v>
      </c>
      <c r="C2098">
        <v>78</v>
      </c>
      <c r="D2098">
        <v>4</v>
      </c>
      <c r="E2098">
        <v>1</v>
      </c>
      <c r="F2098">
        <f t="shared" si="132"/>
        <v>-1.9110595330749494</v>
      </c>
      <c r="G2098">
        <f t="shared" si="133"/>
        <v>-2.5172240764476674</v>
      </c>
      <c r="I2098">
        <f t="shared" si="131"/>
        <v>-2.2141418047613084</v>
      </c>
    </row>
    <row r="2099" spans="1:9">
      <c r="A2099" t="s">
        <v>23</v>
      </c>
      <c r="B2099" s="2">
        <f t="shared" si="130"/>
        <v>101</v>
      </c>
      <c r="C2099">
        <v>84</v>
      </c>
      <c r="D2099">
        <v>2</v>
      </c>
      <c r="E2099">
        <v>1</v>
      </c>
      <c r="F2099">
        <f t="shared" si="132"/>
        <v>-2.2442742121103318</v>
      </c>
      <c r="G2099">
        <f t="shared" si="133"/>
        <v>-2.5494087598190687</v>
      </c>
      <c r="I2099">
        <f t="shared" si="131"/>
        <v>-2.3968414859647003</v>
      </c>
    </row>
    <row r="2100" spans="1:9">
      <c r="A2100" t="s">
        <v>24</v>
      </c>
      <c r="B2100" s="2">
        <f t="shared" si="130"/>
        <v>101</v>
      </c>
      <c r="C2100">
        <v>140</v>
      </c>
      <c r="D2100">
        <v>4</v>
      </c>
      <c r="E2100">
        <v>0</v>
      </c>
      <c r="F2100">
        <f t="shared" si="132"/>
        <v>-2.1650929660627067</v>
      </c>
      <c r="G2100" t="e">
        <f t="shared" si="133"/>
        <v>#NUM!</v>
      </c>
      <c r="I2100" t="e">
        <f t="shared" si="131"/>
        <v>#NUM!</v>
      </c>
    </row>
    <row r="2101" spans="1:9">
      <c r="A2101" t="s">
        <v>25</v>
      </c>
      <c r="B2101" s="2">
        <f t="shared" si="130"/>
        <v>101</v>
      </c>
      <c r="C2101">
        <v>143</v>
      </c>
      <c r="D2101">
        <v>7</v>
      </c>
      <c r="E2101">
        <v>18</v>
      </c>
      <c r="F2101">
        <f t="shared" si="132"/>
        <v>-1.9312629191632362</v>
      </c>
      <c r="G2101">
        <f t="shared" si="133"/>
        <v>-1.5251930061189429</v>
      </c>
      <c r="I2101">
        <f t="shared" si="131"/>
        <v>-1.7282279626410895</v>
      </c>
    </row>
    <row r="2102" spans="1:9">
      <c r="A2102" t="s">
        <v>7</v>
      </c>
      <c r="B2102" s="2">
        <f t="shared" si="130"/>
        <v>102</v>
      </c>
      <c r="C2102">
        <v>153</v>
      </c>
      <c r="D2102">
        <v>3</v>
      </c>
      <c r="E2102">
        <v>3</v>
      </c>
      <c r="F2102">
        <f t="shared" si="132"/>
        <v>-2.3285950978103678</v>
      </c>
      <c r="G2102">
        <f t="shared" si="133"/>
        <v>-2.3326996498551233</v>
      </c>
      <c r="I2102">
        <f t="shared" si="131"/>
        <v>-2.3306473738327456</v>
      </c>
    </row>
    <row r="2103" spans="1:9">
      <c r="A2103" t="s">
        <v>8</v>
      </c>
      <c r="B2103" s="2">
        <f t="shared" si="130"/>
        <v>102</v>
      </c>
      <c r="C2103">
        <v>190</v>
      </c>
      <c r="D2103">
        <v>8</v>
      </c>
      <c r="E2103">
        <v>2</v>
      </c>
      <c r="F2103">
        <f t="shared" si="132"/>
        <v>-1.9966885356733166</v>
      </c>
      <c r="G2103">
        <f t="shared" si="133"/>
        <v>-2.6028530790460351</v>
      </c>
      <c r="I2103">
        <f t="shared" si="131"/>
        <v>-2.2997708073596757</v>
      </c>
    </row>
    <row r="2104" spans="1:9">
      <c r="A2104" t="s">
        <v>5</v>
      </c>
      <c r="B2104" s="2">
        <f t="shared" si="130"/>
        <v>102</v>
      </c>
      <c r="C2104">
        <v>13</v>
      </c>
      <c r="D2104">
        <v>37</v>
      </c>
      <c r="E2104">
        <v>39</v>
      </c>
      <c r="F2104">
        <f t="shared" si="132"/>
        <v>-0.16676654995227302</v>
      </c>
      <c r="G2104">
        <f t="shared" si="133"/>
        <v>-0.14800821903752465</v>
      </c>
      <c r="I2104">
        <f t="shared" si="131"/>
        <v>-0.15738738449489884</v>
      </c>
    </row>
    <row r="2105" spans="1:9">
      <c r="A2105" t="s">
        <v>6</v>
      </c>
      <c r="B2105" s="2">
        <f t="shared" si="130"/>
        <v>102</v>
      </c>
      <c r="C2105">
        <v>243</v>
      </c>
      <c r="D2105">
        <v>15</v>
      </c>
      <c r="E2105">
        <v>63</v>
      </c>
      <c r="F2105">
        <f t="shared" si="132"/>
        <v>-1.8305399362550623</v>
      </c>
      <c r="G2105">
        <f t="shared" si="133"/>
        <v>-1.2113951979019175</v>
      </c>
      <c r="I2105">
        <f t="shared" si="131"/>
        <v>-1.5209675670784899</v>
      </c>
    </row>
    <row r="2106" spans="1:9">
      <c r="A2106" t="s">
        <v>10</v>
      </c>
      <c r="B2106" s="2">
        <f t="shared" si="130"/>
        <v>102</v>
      </c>
      <c r="C2106">
        <v>267</v>
      </c>
      <c r="D2106">
        <v>9</v>
      </c>
      <c r="E2106">
        <v>2</v>
      </c>
      <c r="F2106">
        <f t="shared" si="132"/>
        <v>-2.0932936736376817</v>
      </c>
      <c r="G2106">
        <f t="shared" si="133"/>
        <v>-2.7506107394577812</v>
      </c>
      <c r="I2106">
        <f t="shared" si="131"/>
        <v>-2.4219522065477315</v>
      </c>
    </row>
    <row r="2107" spans="1:9">
      <c r="A2107" t="s">
        <v>11</v>
      </c>
      <c r="B2107" s="2">
        <f t="shared" si="130"/>
        <v>102</v>
      </c>
      <c r="C2107">
        <v>292</v>
      </c>
      <c r="D2107">
        <v>64</v>
      </c>
      <c r="E2107">
        <v>27</v>
      </c>
      <c r="F2107">
        <f t="shared" si="132"/>
        <v>-1.2802277991769624</v>
      </c>
      <c r="G2107">
        <f t="shared" si="133"/>
        <v>-1.6591485610466181</v>
      </c>
      <c r="I2107">
        <f t="shared" si="131"/>
        <v>-1.4696881801117903</v>
      </c>
    </row>
    <row r="2108" spans="1:9">
      <c r="A2108" t="s">
        <v>12</v>
      </c>
      <c r="B2108" s="2">
        <f t="shared" si="130"/>
        <v>102</v>
      </c>
      <c r="C2108">
        <v>134</v>
      </c>
      <c r="D2108">
        <v>8</v>
      </c>
      <c r="E2108">
        <v>10</v>
      </c>
      <c r="F2108">
        <f t="shared" si="132"/>
        <v>-1.8450397330852952</v>
      </c>
      <c r="G2108">
        <f t="shared" si="133"/>
        <v>-1.7522342721219948</v>
      </c>
      <c r="I2108">
        <f t="shared" si="131"/>
        <v>-1.7986370026036451</v>
      </c>
    </row>
    <row r="2109" spans="1:9">
      <c r="A2109" t="s">
        <v>9</v>
      </c>
      <c r="B2109" s="2">
        <f t="shared" si="130"/>
        <v>102</v>
      </c>
      <c r="C2109">
        <v>167</v>
      </c>
      <c r="D2109">
        <v>49</v>
      </c>
      <c r="E2109">
        <v>53</v>
      </c>
      <c r="F2109">
        <f t="shared" si="132"/>
        <v>-1.153545312831501</v>
      </c>
      <c r="G2109">
        <f t="shared" si="133"/>
        <v>-1.1235700753039812</v>
      </c>
      <c r="I2109">
        <f t="shared" si="131"/>
        <v>-1.1385576940677411</v>
      </c>
    </row>
    <row r="2110" spans="1:9">
      <c r="A2110" t="s">
        <v>13</v>
      </c>
      <c r="B2110" s="2">
        <f t="shared" si="130"/>
        <v>102</v>
      </c>
      <c r="C2110">
        <v>197</v>
      </c>
      <c r="D2110">
        <v>2</v>
      </c>
      <c r="E2110">
        <v>4</v>
      </c>
      <c r="F2110">
        <f t="shared" si="132"/>
        <v>-2.6144611522100432</v>
      </c>
      <c r="G2110">
        <f t="shared" si="133"/>
        <v>-2.3175357085908175</v>
      </c>
      <c r="I2110">
        <f t="shared" si="131"/>
        <v>-2.4659984304004303</v>
      </c>
    </row>
    <row r="2111" spans="1:9">
      <c r="A2111" t="s">
        <v>14</v>
      </c>
      <c r="B2111" s="2">
        <f t="shared" si="130"/>
        <v>102</v>
      </c>
      <c r="C2111">
        <v>200</v>
      </c>
      <c r="D2111">
        <v>13</v>
      </c>
      <c r="E2111">
        <v>7</v>
      </c>
      <c r="F2111">
        <f t="shared" si="132"/>
        <v>-1.8081115650695756</v>
      </c>
      <c r="G2111">
        <f t="shared" si="133"/>
        <v>-2.0810614294069114</v>
      </c>
      <c r="I2111">
        <f t="shared" si="131"/>
        <v>-1.9445864972382436</v>
      </c>
    </row>
    <row r="2112" spans="1:9">
      <c r="A2112" t="s">
        <v>15</v>
      </c>
      <c r="B2112" s="2">
        <f t="shared" si="130"/>
        <v>102</v>
      </c>
      <c r="C2112">
        <v>242</v>
      </c>
      <c r="D2112">
        <v>24</v>
      </c>
      <c r="E2112">
        <v>20</v>
      </c>
      <c r="F2112">
        <f t="shared" si="132"/>
        <v>-1.6246290459812565</v>
      </c>
      <c r="G2112">
        <f t="shared" si="133"/>
        <v>-1.7079148440736371</v>
      </c>
      <c r="I2112">
        <f t="shared" si="131"/>
        <v>-1.6662719450274468</v>
      </c>
    </row>
    <row r="2113" spans="1:9">
      <c r="A2113" t="s">
        <v>16</v>
      </c>
      <c r="B2113" s="2">
        <f t="shared" si="130"/>
        <v>102</v>
      </c>
      <c r="C2113">
        <v>213</v>
      </c>
      <c r="D2113">
        <v>15</v>
      </c>
      <c r="E2113">
        <v>5</v>
      </c>
      <c r="F2113">
        <f t="shared" si="132"/>
        <v>-1.7733132660954878</v>
      </c>
      <c r="G2113">
        <f t="shared" si="133"/>
        <v>-2.254539072859906</v>
      </c>
      <c r="I2113">
        <f t="shared" si="131"/>
        <v>-2.0139261694776969</v>
      </c>
    </row>
    <row r="2114" spans="1:9">
      <c r="A2114" t="s">
        <v>17</v>
      </c>
      <c r="B2114" s="2">
        <f t="shared" si="130"/>
        <v>102</v>
      </c>
      <c r="C2114">
        <v>167</v>
      </c>
      <c r="D2114">
        <v>57</v>
      </c>
      <c r="E2114">
        <v>44</v>
      </c>
      <c r="F2114">
        <f t="shared" si="132"/>
        <v>-1.0878665371875231</v>
      </c>
      <c r="G2114">
        <f t="shared" si="133"/>
        <v>-1.204393268418583</v>
      </c>
      <c r="I2114">
        <f t="shared" si="131"/>
        <v>-1.1461299028030529</v>
      </c>
    </row>
    <row r="2115" spans="1:9">
      <c r="A2115" t="s">
        <v>18</v>
      </c>
      <c r="B2115" s="2">
        <f t="shared" ref="B2115:B2178" si="134">1+INT((ROW()-2)/21)+1</f>
        <v>102</v>
      </c>
      <c r="C2115">
        <v>169</v>
      </c>
      <c r="D2115">
        <v>21</v>
      </c>
      <c r="E2115">
        <v>23</v>
      </c>
      <c r="F2115">
        <f t="shared" si="132"/>
        <v>-1.5266923315921854</v>
      </c>
      <c r="G2115">
        <f t="shared" si="133"/>
        <v>-1.4912883423532679</v>
      </c>
      <c r="I2115">
        <f t="shared" ref="I2115:I2178" si="135">AVERAGE(F2115:G2115)</f>
        <v>-1.5089903369727267</v>
      </c>
    </row>
    <row r="2116" spans="1:9">
      <c r="A2116" t="s">
        <v>19</v>
      </c>
      <c r="B2116" s="2">
        <f t="shared" si="134"/>
        <v>102</v>
      </c>
      <c r="C2116">
        <v>300</v>
      </c>
      <c r="D2116">
        <v>16</v>
      </c>
      <c r="E2116">
        <v>5</v>
      </c>
      <c r="F2116">
        <f t="shared" si="132"/>
        <v>-1.8940261937761689</v>
      </c>
      <c r="G2116">
        <f t="shared" si="133"/>
        <v>-2.4032807241408305</v>
      </c>
      <c r="I2116">
        <f t="shared" si="135"/>
        <v>-2.1486534589584996</v>
      </c>
    </row>
    <row r="2117" spans="1:9">
      <c r="A2117" t="s">
        <v>20</v>
      </c>
      <c r="B2117" s="2">
        <f t="shared" si="134"/>
        <v>102</v>
      </c>
      <c r="C2117">
        <v>134</v>
      </c>
      <c r="D2117">
        <v>14</v>
      </c>
      <c r="E2117">
        <v>1</v>
      </c>
      <c r="F2117">
        <f t="shared" si="132"/>
        <v>-1.602001684399001</v>
      </c>
      <c r="G2117">
        <f t="shared" si="133"/>
        <v>-2.7522342721219948</v>
      </c>
      <c r="I2117">
        <f t="shared" si="135"/>
        <v>-2.1771179782604979</v>
      </c>
    </row>
    <row r="2118" spans="1:9">
      <c r="A2118" t="s">
        <v>21</v>
      </c>
      <c r="B2118" s="2">
        <f t="shared" si="134"/>
        <v>102</v>
      </c>
      <c r="C2118">
        <v>249</v>
      </c>
      <c r="D2118">
        <v>47</v>
      </c>
      <c r="E2118">
        <v>24</v>
      </c>
      <c r="F2118">
        <f t="shared" si="132"/>
        <v>-1.3451264108724503</v>
      </c>
      <c r="G2118">
        <f t="shared" si="133"/>
        <v>-1.6411175791413173</v>
      </c>
      <c r="I2118">
        <f t="shared" si="135"/>
        <v>-1.4931219950068839</v>
      </c>
    </row>
    <row r="2119" spans="1:9">
      <c r="A2119" t="s">
        <v>22</v>
      </c>
      <c r="B2119" s="2">
        <f t="shared" si="134"/>
        <v>102</v>
      </c>
      <c r="C2119">
        <v>190</v>
      </c>
      <c r="D2119">
        <v>7</v>
      </c>
      <c r="E2119">
        <v>4</v>
      </c>
      <c r="F2119">
        <f t="shared" si="132"/>
        <v>-2.0546804826510034</v>
      </c>
      <c r="G2119">
        <f t="shared" si="133"/>
        <v>-2.3018230833820539</v>
      </c>
      <c r="I2119">
        <f t="shared" si="135"/>
        <v>-2.1782517830165284</v>
      </c>
    </row>
    <row r="2120" spans="1:9">
      <c r="A2120" t="s">
        <v>23</v>
      </c>
      <c r="B2120" s="2">
        <f t="shared" si="134"/>
        <v>102</v>
      </c>
      <c r="C2120">
        <v>147</v>
      </c>
      <c r="D2120">
        <v>5</v>
      </c>
      <c r="E2120">
        <v>6</v>
      </c>
      <c r="F2120">
        <f t="shared" si="132"/>
        <v>-2.0893722521245888</v>
      </c>
      <c r="G2120">
        <f t="shared" si="133"/>
        <v>-2.0142955581217197</v>
      </c>
      <c r="I2120">
        <f t="shared" si="135"/>
        <v>-2.0518339051231544</v>
      </c>
    </row>
    <row r="2121" spans="1:9">
      <c r="A2121" t="s">
        <v>24</v>
      </c>
      <c r="B2121" s="2">
        <f t="shared" si="134"/>
        <v>102</v>
      </c>
      <c r="C2121">
        <v>186</v>
      </c>
      <c r="D2121">
        <v>5</v>
      </c>
      <c r="E2121">
        <v>2</v>
      </c>
      <c r="F2121">
        <f t="shared" si="132"/>
        <v>-2.1915678615943288</v>
      </c>
      <c r="G2121">
        <f t="shared" si="133"/>
        <v>-2.5936124223111223</v>
      </c>
      <c r="I2121">
        <f t="shared" si="135"/>
        <v>-2.3925901419527253</v>
      </c>
    </row>
    <row r="2122" spans="1:9">
      <c r="A2122" t="s">
        <v>25</v>
      </c>
      <c r="B2122" s="2">
        <f t="shared" si="134"/>
        <v>102</v>
      </c>
      <c r="C2122">
        <v>307</v>
      </c>
      <c r="D2122">
        <v>38</v>
      </c>
      <c r="E2122">
        <v>19</v>
      </c>
      <c r="F2122">
        <f t="shared" si="132"/>
        <v>-1.5283797005728075</v>
      </c>
      <c r="G2122">
        <f t="shared" si="133"/>
        <v>-1.8335142482815445</v>
      </c>
      <c r="I2122">
        <f t="shared" si="135"/>
        <v>-1.6809469744271759</v>
      </c>
    </row>
    <row r="2123" spans="1:9">
      <c r="A2123" t="s">
        <v>7</v>
      </c>
      <c r="B2123" s="2">
        <f t="shared" si="134"/>
        <v>103</v>
      </c>
      <c r="C2123">
        <v>177</v>
      </c>
      <c r="D2123">
        <v>18</v>
      </c>
      <c r="E2123">
        <v>15</v>
      </c>
      <c r="F2123">
        <f t="shared" si="132"/>
        <v>-1.6137256829709319</v>
      </c>
      <c r="G2123">
        <f t="shared" si="133"/>
        <v>-1.6970114810633126</v>
      </c>
      <c r="I2123">
        <f t="shared" si="135"/>
        <v>-1.6553685820171222</v>
      </c>
    </row>
    <row r="2124" spans="1:9">
      <c r="A2124" t="s">
        <v>8</v>
      </c>
      <c r="B2124" s="2">
        <f t="shared" si="134"/>
        <v>103</v>
      </c>
      <c r="C2124">
        <v>238</v>
      </c>
      <c r="D2124">
        <v>14</v>
      </c>
      <c r="E2124">
        <v>5</v>
      </c>
      <c r="F2124">
        <f t="shared" si="132"/>
        <v>-1.8514738430907052</v>
      </c>
      <c r="G2124">
        <f t="shared" si="133"/>
        <v>-2.3027364264776802</v>
      </c>
      <c r="I2124">
        <f t="shared" si="135"/>
        <v>-2.0771051347841927</v>
      </c>
    </row>
    <row r="2125" spans="1:9">
      <c r="A2125" t="s">
        <v>5</v>
      </c>
      <c r="B2125" s="2">
        <f t="shared" si="134"/>
        <v>103</v>
      </c>
      <c r="C2125">
        <v>99</v>
      </c>
      <c r="D2125">
        <v>6</v>
      </c>
      <c r="E2125">
        <v>1</v>
      </c>
      <c r="F2125">
        <f t="shared" si="132"/>
        <v>-1.8385088659263376</v>
      </c>
      <c r="G2125">
        <f t="shared" si="133"/>
        <v>-2.6207646683547372</v>
      </c>
      <c r="I2125">
        <f t="shared" si="135"/>
        <v>-2.2296367671405375</v>
      </c>
    </row>
    <row r="2126" spans="1:9">
      <c r="A2126" t="s">
        <v>6</v>
      </c>
      <c r="B2126" s="2">
        <f t="shared" si="134"/>
        <v>103</v>
      </c>
      <c r="C2126">
        <v>355</v>
      </c>
      <c r="D2126">
        <v>27</v>
      </c>
      <c r="E2126">
        <v>6</v>
      </c>
      <c r="F2126">
        <f t="shared" si="132"/>
        <v>-1.7398895106085381</v>
      </c>
      <c r="G2126">
        <f t="shared" si="133"/>
        <v>-2.3972065764286379</v>
      </c>
      <c r="I2126">
        <f t="shared" si="135"/>
        <v>-2.0685480435185881</v>
      </c>
    </row>
    <row r="2127" spans="1:9">
      <c r="A2127" t="s">
        <v>10</v>
      </c>
      <c r="B2127" s="2">
        <f t="shared" si="134"/>
        <v>103</v>
      </c>
      <c r="C2127">
        <v>306</v>
      </c>
      <c r="D2127">
        <v>4</v>
      </c>
      <c r="E2127">
        <v>21</v>
      </c>
      <c r="F2127">
        <f t="shared" si="132"/>
        <v>-2.5046863568660491</v>
      </c>
      <c r="G2127">
        <f t="shared" si="133"/>
        <v>-1.7886316055048477</v>
      </c>
      <c r="I2127">
        <f t="shared" si="135"/>
        <v>-2.1466589811854484</v>
      </c>
    </row>
    <row r="2128" spans="1:9">
      <c r="A2128" t="s">
        <v>11</v>
      </c>
      <c r="B2128" s="2">
        <f t="shared" si="134"/>
        <v>103</v>
      </c>
      <c r="C2128">
        <v>250</v>
      </c>
      <c r="D2128">
        <v>13</v>
      </c>
      <c r="E2128">
        <v>8</v>
      </c>
      <c r="F2128">
        <f t="shared" si="132"/>
        <v>-1.9050215780776321</v>
      </c>
      <c r="G2128">
        <f t="shared" si="133"/>
        <v>-2.1199794954372813</v>
      </c>
      <c r="I2128">
        <f t="shared" si="135"/>
        <v>-2.0125005367574564</v>
      </c>
    </row>
    <row r="2129" spans="1:9">
      <c r="A2129" t="s">
        <v>12</v>
      </c>
      <c r="B2129" s="2">
        <f t="shared" si="134"/>
        <v>103</v>
      </c>
      <c r="C2129">
        <v>229</v>
      </c>
      <c r="D2129">
        <v>13</v>
      </c>
      <c r="E2129">
        <v>1</v>
      </c>
      <c r="F2129">
        <f t="shared" si="132"/>
        <v>-1.8669170517454825</v>
      </c>
      <c r="G2129">
        <f t="shared" si="133"/>
        <v>-2.984964956097075</v>
      </c>
      <c r="I2129">
        <f t="shared" si="135"/>
        <v>-2.4259410039212788</v>
      </c>
    </row>
    <row r="2130" spans="1:9">
      <c r="A2130" t="s">
        <v>9</v>
      </c>
      <c r="B2130" s="2">
        <f t="shared" si="134"/>
        <v>103</v>
      </c>
      <c r="C2130">
        <v>116</v>
      </c>
      <c r="D2130">
        <v>7</v>
      </c>
      <c r="E2130">
        <v>4</v>
      </c>
      <c r="F2130">
        <f t="shared" si="132"/>
        <v>-1.840384870925093</v>
      </c>
      <c r="G2130">
        <f t="shared" si="133"/>
        <v>-2.0875274716561432</v>
      </c>
      <c r="I2130">
        <f t="shared" si="135"/>
        <v>-1.9639561712906182</v>
      </c>
    </row>
    <row r="2131" spans="1:9">
      <c r="A2131" t="s">
        <v>13</v>
      </c>
      <c r="B2131" s="2">
        <f t="shared" si="134"/>
        <v>103</v>
      </c>
      <c r="C2131">
        <v>190</v>
      </c>
      <c r="D2131">
        <v>7</v>
      </c>
      <c r="E2131">
        <v>2</v>
      </c>
      <c r="F2131">
        <f t="shared" si="132"/>
        <v>-2.0546804826510034</v>
      </c>
      <c r="G2131">
        <f t="shared" si="133"/>
        <v>-2.6028530790460351</v>
      </c>
      <c r="I2131">
        <f t="shared" si="135"/>
        <v>-2.3287667808485191</v>
      </c>
    </row>
    <row r="2132" spans="1:9">
      <c r="A2132" t="s">
        <v>14</v>
      </c>
      <c r="B2132" s="2">
        <f t="shared" si="134"/>
        <v>103</v>
      </c>
      <c r="C2132">
        <v>201</v>
      </c>
      <c r="D2132">
        <v>8</v>
      </c>
      <c r="E2132">
        <v>22</v>
      </c>
      <c r="F2132">
        <f t="shared" si="132"/>
        <v>-2.0211309921409768</v>
      </c>
      <c r="G2132">
        <f t="shared" si="133"/>
        <v>-1.5859028503554697</v>
      </c>
      <c r="I2132">
        <f t="shared" si="135"/>
        <v>-1.8035169212482232</v>
      </c>
    </row>
    <row r="2133" spans="1:9">
      <c r="A2133" t="s">
        <v>15</v>
      </c>
      <c r="B2133" s="2">
        <f t="shared" si="134"/>
        <v>103</v>
      </c>
      <c r="C2133">
        <v>207</v>
      </c>
      <c r="D2133">
        <v>26</v>
      </c>
      <c r="E2133">
        <v>24</v>
      </c>
      <c r="F2133">
        <f t="shared" si="132"/>
        <v>-1.5220219191985311</v>
      </c>
      <c r="G2133">
        <f t="shared" si="133"/>
        <v>-1.5608885775024988</v>
      </c>
      <c r="I2133">
        <f t="shared" si="135"/>
        <v>-1.5414552483505148</v>
      </c>
    </row>
    <row r="2134" spans="1:9">
      <c r="A2134" t="s">
        <v>16</v>
      </c>
      <c r="B2134" s="2">
        <f t="shared" si="134"/>
        <v>103</v>
      </c>
      <c r="C2134">
        <v>194</v>
      </c>
      <c r="D2134">
        <v>3</v>
      </c>
      <c r="E2134">
        <v>2</v>
      </c>
      <c r="F2134">
        <f t="shared" si="132"/>
        <v>-2.4317053969229949</v>
      </c>
      <c r="G2134">
        <f t="shared" si="133"/>
        <v>-2.6119012080234318</v>
      </c>
      <c r="I2134">
        <f t="shared" si="135"/>
        <v>-2.5218033024732134</v>
      </c>
    </row>
    <row r="2135" spans="1:9">
      <c r="A2135" t="s">
        <v>17</v>
      </c>
      <c r="B2135" s="2">
        <f t="shared" si="134"/>
        <v>103</v>
      </c>
      <c r="C2135">
        <v>239</v>
      </c>
      <c r="D2135">
        <v>7</v>
      </c>
      <c r="E2135">
        <v>1</v>
      </c>
      <c r="F2135">
        <f t="shared" si="132"/>
        <v>-2.1543247826463121</v>
      </c>
      <c r="G2135">
        <f t="shared" si="133"/>
        <v>-3.0035273747053246</v>
      </c>
      <c r="I2135">
        <f t="shared" si="135"/>
        <v>-2.5789260786758184</v>
      </c>
    </row>
    <row r="2136" spans="1:9">
      <c r="A2136" t="s">
        <v>18</v>
      </c>
      <c r="B2136" s="2">
        <f t="shared" si="134"/>
        <v>103</v>
      </c>
      <c r="C2136">
        <v>236</v>
      </c>
      <c r="D2136">
        <v>26</v>
      </c>
      <c r="E2136">
        <v>23</v>
      </c>
      <c r="F2136">
        <f t="shared" si="132"/>
        <v>-1.5789635767117201</v>
      </c>
      <c r="G2136">
        <f t="shared" si="133"/>
        <v>-1.6363136407097008</v>
      </c>
      <c r="I2136">
        <f t="shared" si="135"/>
        <v>-1.6076386087107104</v>
      </c>
    </row>
    <row r="2137" spans="1:9">
      <c r="A2137" t="s">
        <v>19</v>
      </c>
      <c r="B2137" s="2">
        <f t="shared" si="134"/>
        <v>103</v>
      </c>
      <c r="C2137">
        <v>5</v>
      </c>
      <c r="D2137">
        <v>22</v>
      </c>
      <c r="E2137">
        <v>25</v>
      </c>
      <c r="F2137">
        <f t="shared" si="132"/>
        <v>2.2427754773756137E-2</v>
      </c>
      <c r="G2137">
        <f t="shared" si="133"/>
        <v>7.3840530578831776E-2</v>
      </c>
      <c r="I2137">
        <f t="shared" si="135"/>
        <v>4.8134142676293956E-2</v>
      </c>
    </row>
    <row r="2138" spans="1:9">
      <c r="A2138" t="s">
        <v>20</v>
      </c>
      <c r="B2138" s="2">
        <f t="shared" si="134"/>
        <v>103</v>
      </c>
      <c r="C2138">
        <v>134</v>
      </c>
      <c r="D2138">
        <v>7</v>
      </c>
      <c r="E2138">
        <v>3</v>
      </c>
      <c r="F2138">
        <f t="shared" si="132"/>
        <v>-1.9030316800629821</v>
      </c>
      <c r="G2138">
        <f t="shared" si="133"/>
        <v>-2.2751130174023322</v>
      </c>
      <c r="I2138">
        <f t="shared" si="135"/>
        <v>-2.0890723487326572</v>
      </c>
    </row>
    <row r="2139" spans="1:9">
      <c r="A2139" t="s">
        <v>21</v>
      </c>
      <c r="B2139" s="2">
        <f t="shared" si="134"/>
        <v>103</v>
      </c>
      <c r="C2139">
        <v>309</v>
      </c>
      <c r="D2139">
        <v>11</v>
      </c>
      <c r="E2139">
        <v>7</v>
      </c>
      <c r="F2139">
        <f t="shared" si="132"/>
        <v>-2.0695907159790412</v>
      </c>
      <c r="G2139">
        <f t="shared" si="133"/>
        <v>-2.2699899131677648</v>
      </c>
      <c r="I2139">
        <f t="shared" si="135"/>
        <v>-2.1697903145734028</v>
      </c>
    </row>
    <row r="2140" spans="1:9">
      <c r="A2140" t="s">
        <v>22</v>
      </c>
      <c r="B2140" s="2">
        <f t="shared" si="134"/>
        <v>103</v>
      </c>
      <c r="C2140">
        <v>177</v>
      </c>
      <c r="D2140">
        <v>3</v>
      </c>
      <c r="E2140">
        <v>2</v>
      </c>
      <c r="F2140">
        <f t="shared" si="132"/>
        <v>-2.3918769333545757</v>
      </c>
      <c r="G2140">
        <f t="shared" si="133"/>
        <v>-2.5720727444550127</v>
      </c>
      <c r="I2140">
        <f t="shared" si="135"/>
        <v>-2.4819748389047942</v>
      </c>
    </row>
    <row r="2141" spans="1:9">
      <c r="A2141" t="s">
        <v>23</v>
      </c>
      <c r="B2141" s="2">
        <f t="shared" si="134"/>
        <v>103</v>
      </c>
      <c r="C2141">
        <v>139</v>
      </c>
      <c r="D2141">
        <v>4</v>
      </c>
      <c r="E2141">
        <v>2</v>
      </c>
      <c r="F2141">
        <f t="shared" si="132"/>
        <v>-2.161979730638564</v>
      </c>
      <c r="G2141">
        <f t="shared" si="133"/>
        <v>-2.4671142783473012</v>
      </c>
      <c r="I2141">
        <f t="shared" si="135"/>
        <v>-2.3145470044929324</v>
      </c>
    </row>
    <row r="2142" spans="1:9">
      <c r="A2142" t="s">
        <v>24</v>
      </c>
      <c r="B2142" s="2">
        <f t="shared" si="134"/>
        <v>103</v>
      </c>
      <c r="C2142">
        <v>296</v>
      </c>
      <c r="D2142">
        <v>49</v>
      </c>
      <c r="E2142">
        <v>41</v>
      </c>
      <c r="F2142">
        <f t="shared" si="132"/>
        <v>-1.4021205527428562</v>
      </c>
      <c r="G2142">
        <f t="shared" si="133"/>
        <v>-1.4836373280963902</v>
      </c>
      <c r="I2142">
        <f t="shared" si="135"/>
        <v>-1.4428789404196232</v>
      </c>
    </row>
    <row r="2143" spans="1:9">
      <c r="A2143" t="s">
        <v>25</v>
      </c>
      <c r="B2143" s="2">
        <f t="shared" si="134"/>
        <v>103</v>
      </c>
      <c r="C2143">
        <v>240</v>
      </c>
      <c r="D2143">
        <v>13</v>
      </c>
      <c r="E2143">
        <v>5</v>
      </c>
      <c r="F2143">
        <f t="shared" si="132"/>
        <v>-1.8872928111172005</v>
      </c>
      <c r="G2143">
        <f t="shared" si="133"/>
        <v>-2.3063707111327743</v>
      </c>
      <c r="I2143">
        <f t="shared" si="135"/>
        <v>-2.0968317611249874</v>
      </c>
    </row>
    <row r="2144" spans="1:9">
      <c r="A2144" t="s">
        <v>7</v>
      </c>
      <c r="B2144" s="2">
        <f t="shared" si="134"/>
        <v>104</v>
      </c>
      <c r="C2144">
        <v>200</v>
      </c>
      <c r="D2144">
        <v>9</v>
      </c>
      <c r="E2144">
        <v>2</v>
      </c>
      <c r="F2144">
        <f t="shared" si="132"/>
        <v>-1.9678124079370876</v>
      </c>
      <c r="G2144">
        <f t="shared" si="133"/>
        <v>-2.6251294737571871</v>
      </c>
      <c r="I2144">
        <f t="shared" si="135"/>
        <v>-2.2964709408471373</v>
      </c>
    </row>
    <row r="2145" spans="1:9">
      <c r="A2145" t="s">
        <v>8</v>
      </c>
      <c r="B2145" s="2">
        <f t="shared" si="134"/>
        <v>104</v>
      </c>
      <c r="C2145">
        <v>243</v>
      </c>
      <c r="D2145">
        <v>15</v>
      </c>
      <c r="E2145">
        <v>10</v>
      </c>
      <c r="F2145">
        <f t="shared" si="132"/>
        <v>-1.8305399362550623</v>
      </c>
      <c r="G2145">
        <f t="shared" si="133"/>
        <v>-2.0107357473554992</v>
      </c>
      <c r="I2145">
        <f t="shared" si="135"/>
        <v>-1.9206378418052807</v>
      </c>
    </row>
    <row r="2146" spans="1:9">
      <c r="A2146" t="s">
        <v>5</v>
      </c>
      <c r="B2146" s="2">
        <f t="shared" si="134"/>
        <v>104</v>
      </c>
      <c r="C2146">
        <v>124</v>
      </c>
      <c r="D2146">
        <v>10</v>
      </c>
      <c r="E2146">
        <v>3</v>
      </c>
      <c r="F2146">
        <f t="shared" si="132"/>
        <v>-1.7144466068746664</v>
      </c>
      <c r="G2146">
        <f t="shared" si="133"/>
        <v>-2.2414299041997596</v>
      </c>
      <c r="I2146">
        <f t="shared" si="135"/>
        <v>-1.9779382555372131</v>
      </c>
    </row>
    <row r="2147" spans="1:9">
      <c r="A2147" t="s">
        <v>6</v>
      </c>
      <c r="B2147" s="2">
        <f t="shared" si="134"/>
        <v>104</v>
      </c>
      <c r="C2147">
        <v>372</v>
      </c>
      <c r="D2147">
        <v>18</v>
      </c>
      <c r="E2147">
        <v>6</v>
      </c>
      <c r="F2147">
        <f t="shared" ref="F2147:F2210" si="136">LOG10(D2147/C2147)-LOG10(175971/42113)</f>
        <v>-1.9362953564910228</v>
      </c>
      <c r="G2147">
        <f t="shared" ref="G2147:G2210" si="137">LOG10(E2147/C2147)-LOG10(177642/42113)</f>
        <v>-2.417521163255441</v>
      </c>
      <c r="I2147">
        <f t="shared" si="135"/>
        <v>-2.1769082598732319</v>
      </c>
    </row>
    <row r="2148" spans="1:9">
      <c r="A2148" t="s">
        <v>10</v>
      </c>
      <c r="B2148" s="2">
        <f t="shared" si="134"/>
        <v>104</v>
      </c>
      <c r="C2148">
        <v>354</v>
      </c>
      <c r="D2148">
        <v>11</v>
      </c>
      <c r="E2148">
        <v>10</v>
      </c>
      <c r="F2148">
        <f t="shared" si="136"/>
        <v>-2.1286354985799942</v>
      </c>
      <c r="G2148">
        <f t="shared" si="137"/>
        <v>-2.1741327357829752</v>
      </c>
      <c r="I2148">
        <f t="shared" si="135"/>
        <v>-2.1513841171814847</v>
      </c>
    </row>
    <row r="2149" spans="1:9">
      <c r="A2149" t="s">
        <v>11</v>
      </c>
      <c r="B2149" s="2">
        <f t="shared" si="134"/>
        <v>104</v>
      </c>
      <c r="C2149">
        <v>309</v>
      </c>
      <c r="D2149">
        <v>7</v>
      </c>
      <c r="E2149">
        <v>5</v>
      </c>
      <c r="F2149">
        <f t="shared" si="136"/>
        <v>-2.2658853611230088</v>
      </c>
      <c r="G2149">
        <f t="shared" si="137"/>
        <v>-2.4161179488460029</v>
      </c>
      <c r="I2149">
        <f t="shared" si="135"/>
        <v>-2.3410016549845061</v>
      </c>
    </row>
    <row r="2150" spans="1:9">
      <c r="A2150" t="s">
        <v>12</v>
      </c>
      <c r="B2150" s="2">
        <f t="shared" si="134"/>
        <v>104</v>
      </c>
      <c r="C2150">
        <v>334</v>
      </c>
      <c r="D2150">
        <v>26</v>
      </c>
      <c r="E2150">
        <v>6</v>
      </c>
      <c r="F2150">
        <f t="shared" si="136"/>
        <v>-1.7297980405531779</v>
      </c>
      <c r="G2150">
        <f t="shared" si="137"/>
        <v>-2.3707246901851082</v>
      </c>
      <c r="I2150">
        <f t="shared" si="135"/>
        <v>-2.0502613653691428</v>
      </c>
    </row>
    <row r="2151" spans="1:9">
      <c r="A2151" t="s">
        <v>9</v>
      </c>
      <c r="B2151" s="2">
        <f t="shared" si="134"/>
        <v>104</v>
      </c>
      <c r="C2151">
        <v>175</v>
      </c>
      <c r="D2151">
        <v>24</v>
      </c>
      <c r="E2151">
        <v>23</v>
      </c>
      <c r="F2151">
        <f t="shared" si="136"/>
        <v>-1.4838517286871196</v>
      </c>
      <c r="G2151">
        <f t="shared" si="137"/>
        <v>-1.5064396864258887</v>
      </c>
      <c r="I2151">
        <f t="shared" si="135"/>
        <v>-1.495145707556504</v>
      </c>
    </row>
    <row r="2152" spans="1:9">
      <c r="A2152" t="s">
        <v>13</v>
      </c>
      <c r="B2152" s="2">
        <f t="shared" si="134"/>
        <v>104</v>
      </c>
      <c r="C2152">
        <v>190</v>
      </c>
      <c r="D2152">
        <v>24</v>
      </c>
      <c r="E2152">
        <v>57</v>
      </c>
      <c r="F2152">
        <f t="shared" si="136"/>
        <v>-1.5195672809536542</v>
      </c>
      <c r="G2152">
        <f t="shared" si="137"/>
        <v>-1.1480082190375247</v>
      </c>
      <c r="I2152">
        <f t="shared" si="135"/>
        <v>-1.3337877499955895</v>
      </c>
    </row>
    <row r="2153" spans="1:9">
      <c r="A2153" t="s">
        <v>14</v>
      </c>
      <c r="B2153" s="2">
        <f t="shared" si="134"/>
        <v>104</v>
      </c>
      <c r="C2153">
        <v>218</v>
      </c>
      <c r="D2153">
        <v>13</v>
      </c>
      <c r="E2153">
        <v>11</v>
      </c>
      <c r="F2153">
        <f t="shared" si="136"/>
        <v>-1.8455380630101994</v>
      </c>
      <c r="G2153">
        <f t="shared" si="137"/>
        <v>-1.9221932822035668</v>
      </c>
      <c r="I2153">
        <f t="shared" si="135"/>
        <v>-1.8838656726068832</v>
      </c>
    </row>
    <row r="2154" spans="1:9">
      <c r="A2154" t="s">
        <v>15</v>
      </c>
      <c r="B2154" s="2">
        <f t="shared" si="134"/>
        <v>104</v>
      </c>
      <c r="C2154">
        <v>228</v>
      </c>
      <c r="D2154">
        <v>8</v>
      </c>
      <c r="E2154">
        <v>4</v>
      </c>
      <c r="F2154">
        <f t="shared" si="136"/>
        <v>-2.0758697817209413</v>
      </c>
      <c r="G2154">
        <f t="shared" si="137"/>
        <v>-2.3810043294296785</v>
      </c>
      <c r="I2154">
        <f t="shared" si="135"/>
        <v>-2.2284370555753101</v>
      </c>
    </row>
    <row r="2155" spans="1:9">
      <c r="A2155" t="s">
        <v>16</v>
      </c>
      <c r="B2155" s="2">
        <f t="shared" si="134"/>
        <v>104</v>
      </c>
      <c r="C2155">
        <v>321</v>
      </c>
      <c r="D2155">
        <v>19</v>
      </c>
      <c r="E2155">
        <v>3</v>
      </c>
      <c r="F2155">
        <f t="shared" si="136"/>
        <v>-1.8487763531644743</v>
      </c>
      <c r="G2155">
        <f t="shared" si="137"/>
        <v>-2.6545132514423968</v>
      </c>
      <c r="I2155">
        <f t="shared" si="135"/>
        <v>-2.2516448023034354</v>
      </c>
    </row>
    <row r="2156" spans="1:9">
      <c r="A2156" t="s">
        <v>17</v>
      </c>
      <c r="B2156" s="2">
        <f t="shared" si="134"/>
        <v>104</v>
      </c>
      <c r="C2156">
        <v>237</v>
      </c>
      <c r="D2156">
        <v>18</v>
      </c>
      <c r="E2156">
        <v>14</v>
      </c>
      <c r="F2156">
        <f t="shared" si="136"/>
        <v>-1.740500762619229</v>
      </c>
      <c r="G2156">
        <f t="shared" si="137"/>
        <v>-1.8537497840890529</v>
      </c>
      <c r="I2156">
        <f t="shared" si="135"/>
        <v>-1.797125273354141</v>
      </c>
    </row>
    <row r="2157" spans="1:9">
      <c r="A2157" t="s">
        <v>18</v>
      </c>
      <c r="B2157" s="2">
        <f t="shared" si="134"/>
        <v>104</v>
      </c>
      <c r="C2157">
        <v>279</v>
      </c>
      <c r="D2157">
        <v>89</v>
      </c>
      <c r="E2157">
        <v>62</v>
      </c>
      <c r="F2157">
        <f t="shared" si="136"/>
        <v>-1.1172391183411161</v>
      </c>
      <c r="G2157">
        <f t="shared" si="137"/>
        <v>-1.2783419875325308</v>
      </c>
      <c r="I2157">
        <f t="shared" si="135"/>
        <v>-1.1977905529368233</v>
      </c>
    </row>
    <row r="2158" spans="1:9">
      <c r="A2158" t="s">
        <v>19</v>
      </c>
      <c r="B2158" s="2">
        <f t="shared" si="134"/>
        <v>104</v>
      </c>
      <c r="C2158">
        <v>286</v>
      </c>
      <c r="D2158">
        <v>44</v>
      </c>
      <c r="E2158">
        <v>23</v>
      </c>
      <c r="F2158">
        <f t="shared" si="136"/>
        <v>-1.4339382783552868</v>
      </c>
      <c r="G2158">
        <f t="shared" si="137"/>
        <v>-1.7197676708686371</v>
      </c>
      <c r="I2158">
        <f t="shared" si="135"/>
        <v>-1.5768529746119619</v>
      </c>
    </row>
    <row r="2159" spans="1:9">
      <c r="A2159" t="s">
        <v>20</v>
      </c>
      <c r="B2159" s="2">
        <f t="shared" si="134"/>
        <v>104</v>
      </c>
      <c r="C2159">
        <v>42113</v>
      </c>
      <c r="D2159">
        <v>175971</v>
      </c>
      <c r="E2159">
        <v>177642</v>
      </c>
      <c r="F2159">
        <f t="shared" si="136"/>
        <v>0</v>
      </c>
      <c r="G2159">
        <f t="shared" si="137"/>
        <v>0</v>
      </c>
      <c r="I2159">
        <f t="shared" si="135"/>
        <v>0</v>
      </c>
    </row>
    <row r="2160" spans="1:9">
      <c r="A2160" t="s">
        <v>21</v>
      </c>
      <c r="B2160" s="2">
        <f t="shared" si="134"/>
        <v>104</v>
      </c>
      <c r="C2160">
        <v>229</v>
      </c>
      <c r="D2160">
        <v>5</v>
      </c>
      <c r="E2160">
        <v>5</v>
      </c>
      <c r="F2160">
        <f t="shared" si="136"/>
        <v>-2.2818903997163007</v>
      </c>
      <c r="G2160">
        <f t="shared" si="137"/>
        <v>-2.2859949517610563</v>
      </c>
      <c r="I2160">
        <f t="shared" si="135"/>
        <v>-2.2839426757386785</v>
      </c>
    </row>
    <row r="2161" spans="1:9">
      <c r="A2161" t="s">
        <v>22</v>
      </c>
      <c r="B2161" s="2">
        <f t="shared" si="134"/>
        <v>104</v>
      </c>
      <c r="C2161">
        <v>150</v>
      </c>
      <c r="D2161">
        <v>4</v>
      </c>
      <c r="E2161">
        <v>0</v>
      </c>
      <c r="F2161">
        <f t="shared" si="136"/>
        <v>-2.1950561894401499</v>
      </c>
      <c r="G2161" t="e">
        <f t="shared" si="137"/>
        <v>#NUM!</v>
      </c>
      <c r="I2161" t="e">
        <f t="shared" si="135"/>
        <v>#NUM!</v>
      </c>
    </row>
    <row r="2162" spans="1:9">
      <c r="A2162" t="s">
        <v>23</v>
      </c>
      <c r="B2162" s="2">
        <f t="shared" si="134"/>
        <v>104</v>
      </c>
      <c r="C2162">
        <v>129</v>
      </c>
      <c r="D2162">
        <v>42</v>
      </c>
      <c r="E2162">
        <v>21</v>
      </c>
      <c r="F2162">
        <f t="shared" si="136"/>
        <v>-1.1083653416137798</v>
      </c>
      <c r="G2162">
        <f t="shared" si="137"/>
        <v>-1.4134998893225168</v>
      </c>
      <c r="I2162">
        <f t="shared" si="135"/>
        <v>-1.2609326154681484</v>
      </c>
    </row>
    <row r="2163" spans="1:9">
      <c r="A2163" t="s">
        <v>24</v>
      </c>
      <c r="B2163" s="2">
        <f t="shared" si="134"/>
        <v>104</v>
      </c>
      <c r="C2163">
        <v>392</v>
      </c>
      <c r="D2163">
        <v>17</v>
      </c>
      <c r="E2163">
        <v>5</v>
      </c>
      <c r="F2163">
        <f t="shared" si="136"/>
        <v>-1.9838620673546146</v>
      </c>
      <c r="G2163">
        <f t="shared" si="137"/>
        <v>-2.5194455364416255</v>
      </c>
      <c r="I2163">
        <f t="shared" si="135"/>
        <v>-2.25165380189812</v>
      </c>
    </row>
    <row r="2164" spans="1:9">
      <c r="A2164" t="s">
        <v>25</v>
      </c>
      <c r="B2164" s="2">
        <f t="shared" si="134"/>
        <v>104</v>
      </c>
      <c r="C2164">
        <v>300</v>
      </c>
      <c r="D2164">
        <v>13</v>
      </c>
      <c r="E2164">
        <v>1</v>
      </c>
      <c r="F2164">
        <f t="shared" si="136"/>
        <v>-1.9842028241252569</v>
      </c>
      <c r="G2164">
        <f t="shared" si="137"/>
        <v>-3.1022507284768497</v>
      </c>
      <c r="I2164">
        <f t="shared" si="135"/>
        <v>-2.5432267763010534</v>
      </c>
    </row>
    <row r="2165" spans="1:9">
      <c r="A2165" t="s">
        <v>7</v>
      </c>
      <c r="B2165" s="2">
        <f t="shared" si="134"/>
        <v>105</v>
      </c>
      <c r="C2165">
        <v>283</v>
      </c>
      <c r="D2165">
        <v>11</v>
      </c>
      <c r="E2165">
        <v>7</v>
      </c>
      <c r="F2165">
        <f t="shared" si="136"/>
        <v>-2.0314186720784964</v>
      </c>
      <c r="G2165">
        <f t="shared" si="137"/>
        <v>-2.2318178692672204</v>
      </c>
      <c r="I2165">
        <f t="shared" si="135"/>
        <v>-2.1316182706728584</v>
      </c>
    </row>
    <row r="2166" spans="1:9">
      <c r="A2166" t="s">
        <v>8</v>
      </c>
      <c r="B2166" s="2">
        <f t="shared" si="134"/>
        <v>105</v>
      </c>
      <c r="C2166">
        <v>236</v>
      </c>
      <c r="D2166">
        <v>3</v>
      </c>
      <c r="E2166">
        <v>9</v>
      </c>
      <c r="F2166">
        <f t="shared" si="136"/>
        <v>-2.5168156699628756</v>
      </c>
      <c r="G2166">
        <f t="shared" si="137"/>
        <v>-2.0437989672879686</v>
      </c>
      <c r="I2166">
        <f t="shared" si="135"/>
        <v>-2.2803073186254221</v>
      </c>
    </row>
    <row r="2167" spans="1:9">
      <c r="A2167" t="s">
        <v>5</v>
      </c>
      <c r="B2167" s="2">
        <f t="shared" si="134"/>
        <v>105</v>
      </c>
      <c r="C2167">
        <v>195</v>
      </c>
      <c r="D2167">
        <v>4</v>
      </c>
      <c r="E2167">
        <v>0</v>
      </c>
      <c r="F2167">
        <f t="shared" si="136"/>
        <v>-2.3089995417469868</v>
      </c>
      <c r="G2167" t="e">
        <f t="shared" si="137"/>
        <v>#NUM!</v>
      </c>
      <c r="I2167" t="e">
        <f t="shared" si="135"/>
        <v>#NUM!</v>
      </c>
    </row>
    <row r="2168" spans="1:9">
      <c r="A2168" t="s">
        <v>6</v>
      </c>
      <c r="B2168" s="2">
        <f t="shared" si="134"/>
        <v>105</v>
      </c>
      <c r="C2168">
        <v>293</v>
      </c>
      <c r="D2168">
        <v>12</v>
      </c>
      <c r="E2168">
        <v>5</v>
      </c>
      <c r="F2168">
        <f t="shared" si="136"/>
        <v>-2.008711296018916</v>
      </c>
      <c r="G2168">
        <f t="shared" si="137"/>
        <v>-2.3930270897752779</v>
      </c>
      <c r="I2168">
        <f t="shared" si="135"/>
        <v>-2.2008691928970969</v>
      </c>
    </row>
    <row r="2169" spans="1:9">
      <c r="A2169" t="s">
        <v>10</v>
      </c>
      <c r="B2169" s="2">
        <f t="shared" si="134"/>
        <v>105</v>
      </c>
      <c r="C2169">
        <v>230</v>
      </c>
      <c r="D2169">
        <v>29</v>
      </c>
      <c r="E2169">
        <v>17</v>
      </c>
      <c r="F2169">
        <f t="shared" si="136"/>
        <v>-1.520354759831068</v>
      </c>
      <c r="G2169">
        <f t="shared" si="137"/>
        <v>-1.756408388396506</v>
      </c>
      <c r="I2169">
        <f t="shared" si="135"/>
        <v>-1.638381574113787</v>
      </c>
    </row>
    <row r="2170" spans="1:9">
      <c r="A2170" t="s">
        <v>11</v>
      </c>
      <c r="B2170" s="2">
        <f t="shared" si="134"/>
        <v>105</v>
      </c>
      <c r="C2170">
        <v>194</v>
      </c>
      <c r="D2170">
        <v>2</v>
      </c>
      <c r="E2170">
        <v>2</v>
      </c>
      <c r="F2170">
        <f t="shared" si="136"/>
        <v>-2.6077966559786763</v>
      </c>
      <c r="G2170">
        <f t="shared" si="137"/>
        <v>-2.6119012080234318</v>
      </c>
      <c r="I2170">
        <f t="shared" si="135"/>
        <v>-2.6098489320010541</v>
      </c>
    </row>
    <row r="2171" spans="1:9">
      <c r="A2171" t="s">
        <v>12</v>
      </c>
      <c r="B2171" s="2">
        <f t="shared" si="134"/>
        <v>105</v>
      </c>
      <c r="C2171">
        <v>269</v>
      </c>
      <c r="D2171">
        <v>21</v>
      </c>
      <c r="E2171">
        <v>12</v>
      </c>
      <c r="F2171">
        <f t="shared" si="136"/>
        <v>-1.72855790698092</v>
      </c>
      <c r="G2171">
        <f t="shared" si="137"/>
        <v>-1.9757005077119703</v>
      </c>
      <c r="I2171">
        <f t="shared" si="135"/>
        <v>-1.852129207346445</v>
      </c>
    </row>
    <row r="2172" spans="1:9">
      <c r="A2172" t="s">
        <v>9</v>
      </c>
      <c r="B2172" s="2">
        <f t="shared" si="134"/>
        <v>105</v>
      </c>
      <c r="C2172">
        <v>152</v>
      </c>
      <c r="D2172">
        <v>7</v>
      </c>
      <c r="E2172">
        <v>7</v>
      </c>
      <c r="F2172">
        <f t="shared" si="136"/>
        <v>-1.957770469642947</v>
      </c>
      <c r="G2172">
        <f t="shared" si="137"/>
        <v>-1.9618750216877028</v>
      </c>
      <c r="I2172">
        <f t="shared" si="135"/>
        <v>-1.959822745665325</v>
      </c>
    </row>
    <row r="2173" spans="1:9">
      <c r="A2173" t="s">
        <v>13</v>
      </c>
      <c r="B2173" s="2">
        <f t="shared" si="134"/>
        <v>105</v>
      </c>
      <c r="C2173">
        <v>203</v>
      </c>
      <c r="D2173">
        <v>13</v>
      </c>
      <c r="E2173">
        <v>31</v>
      </c>
      <c r="F2173">
        <f t="shared" si="136"/>
        <v>-1.8145776073188074</v>
      </c>
      <c r="G2173">
        <f t="shared" si="137"/>
        <v>-1.4412638178361274</v>
      </c>
      <c r="I2173">
        <f t="shared" si="135"/>
        <v>-1.6279207125774673</v>
      </c>
    </row>
    <row r="2174" spans="1:9">
      <c r="A2174" t="s">
        <v>14</v>
      </c>
      <c r="B2174" s="2">
        <f t="shared" si="134"/>
        <v>105</v>
      </c>
      <c r="C2174">
        <v>149</v>
      </c>
      <c r="D2174">
        <v>30</v>
      </c>
      <c r="E2174">
        <v>4</v>
      </c>
      <c r="F2174">
        <f t="shared" si="136"/>
        <v>-1.3170899354050429</v>
      </c>
      <c r="G2174">
        <f t="shared" si="137"/>
        <v>-2.196255750841499</v>
      </c>
      <c r="I2174">
        <f t="shared" si="135"/>
        <v>-1.756672843123271</v>
      </c>
    </row>
    <row r="2175" spans="1:9">
      <c r="A2175" t="s">
        <v>15</v>
      </c>
      <c r="B2175" s="2">
        <f t="shared" si="134"/>
        <v>105</v>
      </c>
      <c r="C2175">
        <v>307</v>
      </c>
      <c r="D2175">
        <v>16</v>
      </c>
      <c r="E2175">
        <v>9</v>
      </c>
      <c r="F2175">
        <f t="shared" si="136"/>
        <v>-1.904043314533693</v>
      </c>
      <c r="G2175">
        <f t="shared" si="137"/>
        <v>-2.1580253397950484</v>
      </c>
      <c r="I2175">
        <f t="shared" si="135"/>
        <v>-2.0310343271643707</v>
      </c>
    </row>
    <row r="2176" spans="1:9">
      <c r="A2176" t="s">
        <v>16</v>
      </c>
      <c r="B2176" s="2">
        <f t="shared" si="134"/>
        <v>105</v>
      </c>
      <c r="C2176">
        <v>322</v>
      </c>
      <c r="D2176">
        <v>13</v>
      </c>
      <c r="E2176">
        <v>8</v>
      </c>
      <c r="F2176">
        <f t="shared" si="136"/>
        <v>-2.0149374411014254</v>
      </c>
      <c r="G2176">
        <f t="shared" si="137"/>
        <v>-2.2298953584610741</v>
      </c>
      <c r="I2176">
        <f t="shared" si="135"/>
        <v>-2.1224163997812497</v>
      </c>
    </row>
    <row r="2177" spans="1:9">
      <c r="A2177" t="s">
        <v>17</v>
      </c>
      <c r="B2177" s="2">
        <f t="shared" si="134"/>
        <v>105</v>
      </c>
      <c r="C2177">
        <v>348</v>
      </c>
      <c r="D2177">
        <v>29</v>
      </c>
      <c r="E2177">
        <v>15</v>
      </c>
      <c r="F2177">
        <f t="shared" si="136"/>
        <v>-1.7002061677600562</v>
      </c>
      <c r="G2177">
        <f t="shared" si="137"/>
        <v>-1.9906174586480867</v>
      </c>
      <c r="I2177">
        <f t="shared" si="135"/>
        <v>-1.8454118132040715</v>
      </c>
    </row>
    <row r="2178" spans="1:9">
      <c r="A2178" t="s">
        <v>18</v>
      </c>
      <c r="B2178" s="2">
        <f t="shared" si="134"/>
        <v>105</v>
      </c>
      <c r="C2178">
        <v>276</v>
      </c>
      <c r="D2178">
        <v>12</v>
      </c>
      <c r="E2178">
        <v>3</v>
      </c>
      <c r="F2178">
        <f t="shared" si="136"/>
        <v>-1.9827527577300241</v>
      </c>
      <c r="G2178">
        <f t="shared" si="137"/>
        <v>-2.5889173011027422</v>
      </c>
      <c r="I2178">
        <f t="shared" si="135"/>
        <v>-2.2858350294163832</v>
      </c>
    </row>
    <row r="2179" spans="1:9">
      <c r="A2179" t="s">
        <v>19</v>
      </c>
      <c r="B2179" s="2">
        <f t="shared" ref="B2179:B2242" si="138">1+INT((ROW()-2)/21)+1</f>
        <v>105</v>
      </c>
      <c r="C2179">
        <v>281</v>
      </c>
      <c r="D2179">
        <v>35</v>
      </c>
      <c r="E2179">
        <v>17</v>
      </c>
      <c r="F2179">
        <f t="shared" si="136"/>
        <v>-1.5256631972672356</v>
      </c>
      <c r="G2179">
        <f t="shared" si="137"/>
        <v>-1.843386872283993</v>
      </c>
      <c r="I2179">
        <f t="shared" ref="I2179:I2242" si="139">AVERAGE(F2179:G2179)</f>
        <v>-1.6845250347756142</v>
      </c>
    </row>
    <row r="2180" spans="1:9">
      <c r="A2180" t="s">
        <v>20</v>
      </c>
      <c r="B2180" s="2">
        <f t="shared" si="138"/>
        <v>105</v>
      </c>
      <c r="C2180">
        <v>17</v>
      </c>
      <c r="D2180">
        <v>39</v>
      </c>
      <c r="E2180">
        <v>58</v>
      </c>
      <c r="F2180">
        <f t="shared" si="136"/>
        <v>-0.26040923606420602</v>
      </c>
      <c r="G2180">
        <f t="shared" si="137"/>
        <v>-9.2150401572523744E-2</v>
      </c>
      <c r="I2180">
        <f t="shared" si="139"/>
        <v>-0.17627981881836488</v>
      </c>
    </row>
    <row r="2181" spans="1:9">
      <c r="A2181" t="s">
        <v>21</v>
      </c>
      <c r="B2181" s="2">
        <f t="shared" si="138"/>
        <v>105</v>
      </c>
      <c r="C2181">
        <v>253</v>
      </c>
      <c r="D2181">
        <v>15</v>
      </c>
      <c r="E2181">
        <v>171</v>
      </c>
      <c r="F2181">
        <f t="shared" si="136"/>
        <v>-1.8480541838325679</v>
      </c>
      <c r="G2181">
        <f t="shared" si="137"/>
        <v>-0.79525388454085122</v>
      </c>
      <c r="I2181">
        <f t="shared" si="139"/>
        <v>-1.3216540341867096</v>
      </c>
    </row>
    <row r="2182" spans="1:9">
      <c r="A2182" t="s">
        <v>22</v>
      </c>
      <c r="B2182" s="2">
        <f t="shared" si="138"/>
        <v>105</v>
      </c>
      <c r="C2182">
        <v>159</v>
      </c>
      <c r="D2182">
        <v>30</v>
      </c>
      <c r="E2182">
        <v>25</v>
      </c>
      <c r="F2182">
        <f t="shared" si="136"/>
        <v>-1.3453007913132202</v>
      </c>
      <c r="G2182">
        <f t="shared" si="137"/>
        <v>-1.4285865894056009</v>
      </c>
      <c r="I2182">
        <f t="shared" si="139"/>
        <v>-1.3869436903594106</v>
      </c>
    </row>
    <row r="2183" spans="1:9">
      <c r="A2183" t="s">
        <v>23</v>
      </c>
      <c r="B2183" s="2">
        <f t="shared" si="138"/>
        <v>105</v>
      </c>
      <c r="C2183">
        <v>153</v>
      </c>
      <c r="D2183">
        <v>20</v>
      </c>
      <c r="E2183">
        <v>2</v>
      </c>
      <c r="F2183">
        <f t="shared" si="136"/>
        <v>-1.5046863568660489</v>
      </c>
      <c r="G2183">
        <f t="shared" si="137"/>
        <v>-2.5087909089108047</v>
      </c>
      <c r="I2183">
        <f t="shared" si="139"/>
        <v>-2.0067386328884269</v>
      </c>
    </row>
    <row r="2184" spans="1:9">
      <c r="A2184" t="s">
        <v>24</v>
      </c>
      <c r="B2184" s="2">
        <f t="shared" si="138"/>
        <v>105</v>
      </c>
      <c r="C2184">
        <v>309</v>
      </c>
      <c r="D2184">
        <v>10</v>
      </c>
      <c r="E2184">
        <v>6</v>
      </c>
      <c r="F2184">
        <f t="shared" si="136"/>
        <v>-2.1109834011372657</v>
      </c>
      <c r="G2184">
        <f t="shared" si="137"/>
        <v>-2.3369367027983783</v>
      </c>
      <c r="I2184">
        <f t="shared" si="139"/>
        <v>-2.223960051967822</v>
      </c>
    </row>
    <row r="2185" spans="1:9">
      <c r="A2185" t="s">
        <v>25</v>
      </c>
      <c r="B2185" s="2">
        <f t="shared" si="138"/>
        <v>105</v>
      </c>
      <c r="C2185">
        <v>225</v>
      </c>
      <c r="D2185">
        <v>8</v>
      </c>
      <c r="E2185">
        <v>2</v>
      </c>
      <c r="F2185">
        <f t="shared" si="136"/>
        <v>-2.07011745283185</v>
      </c>
      <c r="G2185">
        <f t="shared" si="137"/>
        <v>-2.6762819962045685</v>
      </c>
      <c r="I2185">
        <f t="shared" si="139"/>
        <v>-2.3731997245182095</v>
      </c>
    </row>
    <row r="2186" spans="1:9">
      <c r="A2186" t="s">
        <v>7</v>
      </c>
      <c r="B2186" s="2">
        <f t="shared" si="138"/>
        <v>106</v>
      </c>
      <c r="C2186">
        <v>163</v>
      </c>
      <c r="D2186">
        <v>9</v>
      </c>
      <c r="E2186">
        <v>2</v>
      </c>
      <c r="F2186">
        <f t="shared" si="136"/>
        <v>-1.8789700166770642</v>
      </c>
      <c r="G2186">
        <f t="shared" si="137"/>
        <v>-2.5362870824971635</v>
      </c>
      <c r="I2186">
        <f t="shared" si="139"/>
        <v>-2.2076285495871137</v>
      </c>
    </row>
    <row r="2187" spans="1:9">
      <c r="A2187" t="s">
        <v>8</v>
      </c>
      <c r="B2187" s="2">
        <f t="shared" si="138"/>
        <v>106</v>
      </c>
      <c r="C2187">
        <v>211</v>
      </c>
      <c r="D2187">
        <v>17</v>
      </c>
      <c r="E2187">
        <v>13</v>
      </c>
      <c r="F2187">
        <f t="shared" si="136"/>
        <v>-1.71485845563185</v>
      </c>
      <c r="G2187">
        <f t="shared" si="137"/>
        <v>-1.835468576748043</v>
      </c>
      <c r="I2187">
        <f t="shared" si="139"/>
        <v>-1.7751635161899464</v>
      </c>
    </row>
    <row r="2188" spans="1:9">
      <c r="A2188" t="s">
        <v>5</v>
      </c>
      <c r="B2188" s="2">
        <f t="shared" si="138"/>
        <v>106</v>
      </c>
      <c r="C2188">
        <v>158</v>
      </c>
      <c r="D2188">
        <v>3</v>
      </c>
      <c r="E2188">
        <v>0</v>
      </c>
      <c r="F2188">
        <f t="shared" si="136"/>
        <v>-2.3425607539471915</v>
      </c>
      <c r="G2188" t="e">
        <f t="shared" si="137"/>
        <v>#NUM!</v>
      </c>
      <c r="I2188" t="e">
        <f t="shared" si="139"/>
        <v>#NUM!</v>
      </c>
    </row>
    <row r="2189" spans="1:9">
      <c r="A2189" t="s">
        <v>6</v>
      </c>
      <c r="B2189" s="2">
        <f t="shared" si="138"/>
        <v>106</v>
      </c>
      <c r="C2189">
        <v>193</v>
      </c>
      <c r="D2189">
        <v>5</v>
      </c>
      <c r="E2189">
        <v>3</v>
      </c>
      <c r="F2189">
        <f t="shared" si="136"/>
        <v>-2.2076122263841862</v>
      </c>
      <c r="G2189">
        <f t="shared" si="137"/>
        <v>-2.4335655280452984</v>
      </c>
      <c r="I2189">
        <f t="shared" si="139"/>
        <v>-2.3205888772147425</v>
      </c>
    </row>
    <row r="2190" spans="1:9">
      <c r="A2190" t="s">
        <v>10</v>
      </c>
      <c r="B2190" s="2">
        <f t="shared" si="138"/>
        <v>106</v>
      </c>
      <c r="C2190">
        <v>180</v>
      </c>
      <c r="D2190">
        <v>62</v>
      </c>
      <c r="E2190">
        <v>89</v>
      </c>
      <c r="F2190">
        <f t="shared" si="136"/>
        <v>-1.0839057373174834</v>
      </c>
      <c r="G2190">
        <f t="shared" si="137"/>
        <v>-0.9310119722155803</v>
      </c>
      <c r="I2190">
        <f t="shared" si="139"/>
        <v>-1.007458854766532</v>
      </c>
    </row>
    <row r="2191" spans="1:9">
      <c r="A2191" t="s">
        <v>11</v>
      </c>
      <c r="B2191" s="2">
        <f t="shared" si="138"/>
        <v>106</v>
      </c>
      <c r="C2191">
        <v>115</v>
      </c>
      <c r="D2191">
        <v>7</v>
      </c>
      <c r="E2191">
        <v>1</v>
      </c>
      <c r="F2191">
        <f t="shared" si="136"/>
        <v>-1.8366247220517862</v>
      </c>
      <c r="G2191">
        <f t="shared" si="137"/>
        <v>-2.6858273141107989</v>
      </c>
      <c r="I2191">
        <f t="shared" si="139"/>
        <v>-2.2612260180812926</v>
      </c>
    </row>
    <row r="2192" spans="1:9">
      <c r="A2192" t="s">
        <v>12</v>
      </c>
      <c r="B2192" s="2">
        <f t="shared" si="138"/>
        <v>106</v>
      </c>
      <c r="C2192">
        <v>130</v>
      </c>
      <c r="D2192">
        <v>1</v>
      </c>
      <c r="E2192">
        <v>0</v>
      </c>
      <c r="F2192">
        <f t="shared" si="136"/>
        <v>-2.734968274019268</v>
      </c>
      <c r="G2192" t="e">
        <f t="shared" si="137"/>
        <v>#NUM!</v>
      </c>
      <c r="I2192" t="e">
        <f t="shared" si="139"/>
        <v>#NUM!</v>
      </c>
    </row>
    <row r="2193" spans="1:9">
      <c r="A2193" t="s">
        <v>9</v>
      </c>
      <c r="B2193" s="2">
        <f t="shared" si="138"/>
        <v>106</v>
      </c>
      <c r="C2193">
        <v>141</v>
      </c>
      <c r="D2193">
        <v>10</v>
      </c>
      <c r="E2193">
        <v>3</v>
      </c>
      <c r="F2193">
        <f t="shared" si="136"/>
        <v>-1.7702440343678112</v>
      </c>
      <c r="G2193">
        <f t="shared" si="137"/>
        <v>-2.2972273316929046</v>
      </c>
      <c r="I2193">
        <f t="shared" si="139"/>
        <v>-2.0337356830303577</v>
      </c>
    </row>
    <row r="2194" spans="1:9">
      <c r="A2194" t="s">
        <v>13</v>
      </c>
      <c r="B2194" s="2">
        <f t="shared" si="138"/>
        <v>106</v>
      </c>
      <c r="C2194">
        <v>197</v>
      </c>
      <c r="D2194">
        <v>3</v>
      </c>
      <c r="E2194">
        <v>1</v>
      </c>
      <c r="F2194">
        <f t="shared" si="136"/>
        <v>-2.4383698931543618</v>
      </c>
      <c r="G2194">
        <f t="shared" si="137"/>
        <v>-2.91959569991878</v>
      </c>
      <c r="I2194">
        <f t="shared" si="139"/>
        <v>-2.6789827965365709</v>
      </c>
    </row>
    <row r="2195" spans="1:9">
      <c r="A2195" t="s">
        <v>14</v>
      </c>
      <c r="B2195" s="2">
        <f t="shared" si="138"/>
        <v>106</v>
      </c>
      <c r="C2195">
        <v>170</v>
      </c>
      <c r="D2195">
        <v>7</v>
      </c>
      <c r="E2195">
        <v>8</v>
      </c>
      <c r="F2195">
        <f t="shared" si="136"/>
        <v>-2.0063758030764482</v>
      </c>
      <c r="G2195">
        <f t="shared" si="137"/>
        <v>-1.9524884081435174</v>
      </c>
      <c r="I2195">
        <f t="shared" si="139"/>
        <v>-1.9794321056099828</v>
      </c>
    </row>
    <row r="2196" spans="1:9">
      <c r="A2196" t="s">
        <v>15</v>
      </c>
      <c r="B2196" s="2">
        <f t="shared" si="138"/>
        <v>106</v>
      </c>
      <c r="C2196">
        <v>193</v>
      </c>
      <c r="D2196">
        <v>7</v>
      </c>
      <c r="E2196">
        <v>4</v>
      </c>
      <c r="F2196">
        <f t="shared" si="136"/>
        <v>-2.061484190705948</v>
      </c>
      <c r="G2196">
        <f t="shared" si="137"/>
        <v>-2.3086267914369984</v>
      </c>
      <c r="I2196">
        <f t="shared" si="139"/>
        <v>-2.1850554910714735</v>
      </c>
    </row>
    <row r="2197" spans="1:9">
      <c r="A2197" t="s">
        <v>16</v>
      </c>
      <c r="B2197" s="2">
        <f t="shared" si="138"/>
        <v>106</v>
      </c>
      <c r="C2197">
        <v>317</v>
      </c>
      <c r="D2197">
        <v>24</v>
      </c>
      <c r="E2197">
        <v>17</v>
      </c>
      <c r="F2197">
        <f t="shared" si="136"/>
        <v>-1.7418729422185768</v>
      </c>
      <c r="G2197">
        <f t="shared" si="137"/>
        <v>-1.8957398145966646</v>
      </c>
      <c r="I2197">
        <f t="shared" si="139"/>
        <v>-1.8188063784076207</v>
      </c>
    </row>
    <row r="2198" spans="1:9">
      <c r="A2198" t="s">
        <v>17</v>
      </c>
      <c r="B2198" s="2">
        <f t="shared" si="138"/>
        <v>106</v>
      </c>
      <c r="C2198">
        <v>155</v>
      </c>
      <c r="D2198">
        <v>46</v>
      </c>
      <c r="E2198">
        <v>12</v>
      </c>
      <c r="F2198">
        <f t="shared" si="136"/>
        <v>-1.1485987882011486</v>
      </c>
      <c r="G2198">
        <f t="shared" si="137"/>
        <v>-1.7362799258798538</v>
      </c>
      <c r="I2198">
        <f t="shared" si="139"/>
        <v>-1.4424393570405012</v>
      </c>
    </row>
    <row r="2199" spans="1:9">
      <c r="A2199" t="s">
        <v>18</v>
      </c>
      <c r="B2199" s="2">
        <f t="shared" si="138"/>
        <v>106</v>
      </c>
      <c r="C2199">
        <v>140</v>
      </c>
      <c r="D2199">
        <v>10</v>
      </c>
      <c r="E2199">
        <v>1</v>
      </c>
      <c r="F2199">
        <f t="shared" si="136"/>
        <v>-1.7671529573906692</v>
      </c>
      <c r="G2199">
        <f t="shared" si="137"/>
        <v>-2.7712575094354253</v>
      </c>
      <c r="I2199">
        <f t="shared" si="139"/>
        <v>-2.2692052334130475</v>
      </c>
    </row>
    <row r="2200" spans="1:9">
      <c r="A2200" t="s">
        <v>19</v>
      </c>
      <c r="B2200" s="2">
        <f t="shared" si="138"/>
        <v>106</v>
      </c>
      <c r="C2200">
        <v>42113</v>
      </c>
      <c r="D2200">
        <v>175971</v>
      </c>
      <c r="E2200">
        <v>177642</v>
      </c>
      <c r="F2200">
        <f t="shared" si="136"/>
        <v>0</v>
      </c>
      <c r="G2200">
        <f t="shared" si="137"/>
        <v>0</v>
      </c>
      <c r="I2200">
        <f t="shared" si="139"/>
        <v>0</v>
      </c>
    </row>
    <row r="2201" spans="1:9">
      <c r="A2201" t="s">
        <v>20</v>
      </c>
      <c r="B2201" s="2">
        <f t="shared" si="138"/>
        <v>106</v>
      </c>
      <c r="C2201">
        <v>174</v>
      </c>
      <c r="D2201">
        <v>1450</v>
      </c>
      <c r="E2201">
        <v>2756</v>
      </c>
      <c r="F2201">
        <f t="shared" si="136"/>
        <v>0.29979383223994394</v>
      </c>
      <c r="G2201">
        <f t="shared" si="137"/>
        <v>0.57460049119580137</v>
      </c>
      <c r="I2201">
        <f t="shared" si="139"/>
        <v>0.43719716171787265</v>
      </c>
    </row>
    <row r="2202" spans="1:9">
      <c r="A2202" t="s">
        <v>21</v>
      </c>
      <c r="B2202" s="2">
        <f t="shared" si="138"/>
        <v>106</v>
      </c>
      <c r="C2202">
        <v>168</v>
      </c>
      <c r="D2202">
        <v>3981</v>
      </c>
      <c r="E2202">
        <v>1133</v>
      </c>
      <c r="F2202">
        <f t="shared" si="136"/>
        <v>0.75365797414580382</v>
      </c>
      <c r="G2202">
        <f t="shared" si="137"/>
        <v>0.20379115438034723</v>
      </c>
      <c r="I2202">
        <f t="shared" si="139"/>
        <v>0.47872456426307552</v>
      </c>
    </row>
    <row r="2203" spans="1:9">
      <c r="A2203" t="s">
        <v>22</v>
      </c>
      <c r="B2203" s="2">
        <f t="shared" si="138"/>
        <v>106</v>
      </c>
      <c r="C2203">
        <v>108</v>
      </c>
      <c r="D2203">
        <v>4</v>
      </c>
      <c r="E2203">
        <v>3</v>
      </c>
      <c r="F2203">
        <f t="shared" si="136"/>
        <v>-2.0523886858714189</v>
      </c>
      <c r="G2203">
        <f t="shared" si="137"/>
        <v>-2.1814319745244743</v>
      </c>
      <c r="I2203">
        <f t="shared" si="139"/>
        <v>-2.1169103301979466</v>
      </c>
    </row>
    <row r="2204" spans="1:9">
      <c r="A2204" t="s">
        <v>23</v>
      </c>
      <c r="B2204" s="2">
        <f t="shared" si="138"/>
        <v>106</v>
      </c>
      <c r="C2204">
        <v>202</v>
      </c>
      <c r="D2204">
        <v>19</v>
      </c>
      <c r="E2204">
        <v>26</v>
      </c>
      <c r="F2204">
        <f t="shared" si="136"/>
        <v>-1.6476226902062261</v>
      </c>
      <c r="G2204">
        <f t="shared" si="137"/>
        <v>-1.5155074952329928</v>
      </c>
      <c r="I2204">
        <f t="shared" si="139"/>
        <v>-1.5815650927196094</v>
      </c>
    </row>
    <row r="2205" spans="1:9">
      <c r="A2205" t="s">
        <v>24</v>
      </c>
      <c r="B2205" s="2">
        <f t="shared" si="138"/>
        <v>106</v>
      </c>
      <c r="C2205">
        <v>126</v>
      </c>
      <c r="D2205">
        <v>9</v>
      </c>
      <c r="E2205">
        <v>5</v>
      </c>
      <c r="F2205">
        <f t="shared" si="136"/>
        <v>-1.7671529573906692</v>
      </c>
      <c r="G2205">
        <f t="shared" si="137"/>
        <v>-2.0265300145387313</v>
      </c>
      <c r="I2205">
        <f t="shared" si="139"/>
        <v>-1.8968414859647003</v>
      </c>
    </row>
    <row r="2206" spans="1:9">
      <c r="A2206" t="s">
        <v>25</v>
      </c>
      <c r="B2206" s="2">
        <f t="shared" si="138"/>
        <v>106</v>
      </c>
      <c r="C2206">
        <v>263</v>
      </c>
      <c r="D2206">
        <v>7</v>
      </c>
      <c r="E2206">
        <v>12</v>
      </c>
      <c r="F2206">
        <f t="shared" si="136"/>
        <v>-2.1958826301879322</v>
      </c>
      <c r="G2206">
        <f t="shared" si="137"/>
        <v>-1.96590397619932</v>
      </c>
      <c r="I2206">
        <f t="shared" si="139"/>
        <v>-2.0808933031936263</v>
      </c>
    </row>
    <row r="2207" spans="1:9">
      <c r="A2207" t="s">
        <v>7</v>
      </c>
      <c r="B2207" s="2">
        <f t="shared" si="138"/>
        <v>107</v>
      </c>
      <c r="C2207">
        <v>182</v>
      </c>
      <c r="D2207">
        <v>17</v>
      </c>
      <c r="E2207">
        <v>11</v>
      </c>
      <c r="F2207">
        <f t="shared" si="136"/>
        <v>-1.6506473883192321</v>
      </c>
      <c r="G2207">
        <f t="shared" si="137"/>
        <v>-1.8438081765840368</v>
      </c>
      <c r="I2207">
        <f t="shared" si="139"/>
        <v>-1.7472277824516345</v>
      </c>
    </row>
    <row r="2208" spans="1:9">
      <c r="A2208" t="s">
        <v>8</v>
      </c>
      <c r="B2208" s="2">
        <f t="shared" si="138"/>
        <v>107</v>
      </c>
      <c r="C2208">
        <v>42113</v>
      </c>
      <c r="D2208">
        <v>175971</v>
      </c>
      <c r="E2208">
        <v>177642</v>
      </c>
      <c r="F2208">
        <f t="shared" si="136"/>
        <v>0</v>
      </c>
      <c r="G2208">
        <f t="shared" si="137"/>
        <v>0</v>
      </c>
      <c r="I2208">
        <f t="shared" si="139"/>
        <v>0</v>
      </c>
    </row>
    <row r="2209" spans="1:9">
      <c r="A2209" t="s">
        <v>5</v>
      </c>
      <c r="B2209" s="2">
        <f t="shared" si="138"/>
        <v>107</v>
      </c>
      <c r="C2209">
        <v>112</v>
      </c>
      <c r="D2209">
        <v>19</v>
      </c>
      <c r="E2209">
        <v>2</v>
      </c>
      <c r="F2209">
        <f t="shared" si="136"/>
        <v>-1.3914893434297839</v>
      </c>
      <c r="G2209">
        <f t="shared" si="137"/>
        <v>-2.3733175007633873</v>
      </c>
      <c r="I2209">
        <f t="shared" si="139"/>
        <v>-1.8824034220965857</v>
      </c>
    </row>
    <row r="2210" spans="1:9">
      <c r="A2210" t="s">
        <v>6</v>
      </c>
      <c r="B2210" s="2">
        <f t="shared" si="138"/>
        <v>107</v>
      </c>
      <c r="C2210">
        <v>209</v>
      </c>
      <c r="D2210">
        <v>8</v>
      </c>
      <c r="E2210">
        <v>0</v>
      </c>
      <c r="F2210">
        <f t="shared" si="136"/>
        <v>-2.0380812208315415</v>
      </c>
      <c r="G2210" t="e">
        <f t="shared" si="137"/>
        <v>#NUM!</v>
      </c>
      <c r="I2210" t="e">
        <f t="shared" si="139"/>
        <v>#NUM!</v>
      </c>
    </row>
    <row r="2211" spans="1:9">
      <c r="A2211" t="s">
        <v>10</v>
      </c>
      <c r="B2211" s="2">
        <f t="shared" si="138"/>
        <v>107</v>
      </c>
      <c r="C2211">
        <v>448</v>
      </c>
      <c r="D2211">
        <v>37</v>
      </c>
      <c r="E2211">
        <v>12</v>
      </c>
      <c r="F2211">
        <f t="shared" ref="F2211:F2274" si="140">LOG10(D2211/C2211)-LOG10(175971/42113)</f>
        <v>-1.7041012116435803</v>
      </c>
      <c r="G2211">
        <f t="shared" ref="G2211:G2274" si="141">LOG10(E2211/C2211)-LOG10(177642/42113)</f>
        <v>-2.197226241707706</v>
      </c>
      <c r="I2211">
        <f t="shared" si="139"/>
        <v>-1.9506637266756433</v>
      </c>
    </row>
    <row r="2212" spans="1:9">
      <c r="A2212" t="s">
        <v>11</v>
      </c>
      <c r="B2212" s="2">
        <f t="shared" si="138"/>
        <v>107</v>
      </c>
      <c r="C2212">
        <v>169</v>
      </c>
      <c r="D2212">
        <v>4</v>
      </c>
      <c r="E2212">
        <v>1</v>
      </c>
      <c r="F2212">
        <f t="shared" si="140"/>
        <v>-2.2468516349981424</v>
      </c>
      <c r="G2212">
        <f t="shared" si="141"/>
        <v>-2.8530161783708605</v>
      </c>
      <c r="I2212">
        <f t="shared" si="139"/>
        <v>-2.5499339066845015</v>
      </c>
    </row>
    <row r="2213" spans="1:9">
      <c r="A2213" t="s">
        <v>12</v>
      </c>
      <c r="B2213" s="2">
        <f t="shared" si="138"/>
        <v>107</v>
      </c>
      <c r="C2213">
        <v>197</v>
      </c>
      <c r="D2213">
        <v>33</v>
      </c>
      <c r="E2213">
        <v>26</v>
      </c>
      <c r="F2213">
        <f t="shared" si="140"/>
        <v>-1.3969772079961369</v>
      </c>
      <c r="G2213">
        <f t="shared" si="141"/>
        <v>-1.504622351947962</v>
      </c>
      <c r="I2213">
        <f t="shared" si="139"/>
        <v>-1.4507997799720496</v>
      </c>
    </row>
    <row r="2214" spans="1:9">
      <c r="A2214" t="s">
        <v>9</v>
      </c>
      <c r="B2214" s="2">
        <f t="shared" si="138"/>
        <v>107</v>
      </c>
      <c r="C2214">
        <v>192</v>
      </c>
      <c r="D2214">
        <v>44</v>
      </c>
      <c r="E2214">
        <v>56</v>
      </c>
      <c r="F2214">
        <f t="shared" si="140"/>
        <v>-1.2608734739297933</v>
      </c>
      <c r="G2214">
        <f t="shared" si="141"/>
        <v>-1.1602426754545363</v>
      </c>
      <c r="I2214">
        <f t="shared" si="139"/>
        <v>-1.2105580746921647</v>
      </c>
    </row>
    <row r="2215" spans="1:9">
      <c r="A2215" t="s">
        <v>13</v>
      </c>
      <c r="B2215" s="2">
        <f t="shared" si="138"/>
        <v>107</v>
      </c>
      <c r="C2215">
        <v>165</v>
      </c>
      <c r="D2215">
        <v>7</v>
      </c>
      <c r="E2215">
        <v>3</v>
      </c>
      <c r="F2215">
        <f t="shared" si="140"/>
        <v>-1.9934108259120806</v>
      </c>
      <c r="G2215">
        <f t="shared" si="141"/>
        <v>-2.3654921632514307</v>
      </c>
      <c r="I2215">
        <f t="shared" si="139"/>
        <v>-2.1794514945817558</v>
      </c>
    </row>
    <row r="2216" spans="1:9">
      <c r="A2216" t="s">
        <v>14</v>
      </c>
      <c r="B2216" s="2">
        <f t="shared" si="138"/>
        <v>107</v>
      </c>
      <c r="C2216">
        <v>235</v>
      </c>
      <c r="D2216">
        <v>32</v>
      </c>
      <c r="E2216">
        <v>31</v>
      </c>
      <c r="F2216">
        <f t="shared" si="140"/>
        <v>-1.4869428056642615</v>
      </c>
      <c r="G2216">
        <f t="shared" si="141"/>
        <v>-1.5048356421946507</v>
      </c>
      <c r="I2216">
        <f t="shared" si="139"/>
        <v>-1.4958892239294561</v>
      </c>
    </row>
    <row r="2217" spans="1:9">
      <c r="A2217" t="s">
        <v>15</v>
      </c>
      <c r="B2217" s="2">
        <f t="shared" si="138"/>
        <v>107</v>
      </c>
      <c r="C2217">
        <v>225</v>
      </c>
      <c r="D2217">
        <v>6</v>
      </c>
      <c r="E2217">
        <v>7</v>
      </c>
      <c r="F2217">
        <f t="shared" si="140"/>
        <v>-2.1950561894401499</v>
      </c>
      <c r="G2217">
        <f t="shared" si="141"/>
        <v>-2.1322139518542929</v>
      </c>
      <c r="I2217">
        <f t="shared" si="139"/>
        <v>-2.1636350706472216</v>
      </c>
    </row>
    <row r="2218" spans="1:9">
      <c r="A2218" t="s">
        <v>16</v>
      </c>
      <c r="B2218" s="2">
        <f t="shared" si="138"/>
        <v>107</v>
      </c>
      <c r="C2218">
        <v>350</v>
      </c>
      <c r="D2218">
        <v>34</v>
      </c>
      <c r="E2218">
        <v>73</v>
      </c>
      <c r="F2218">
        <f t="shared" si="140"/>
        <v>-1.6336140490204518</v>
      </c>
      <c r="G2218">
        <f t="shared" si="141"/>
        <v>-1.3058746579870069</v>
      </c>
      <c r="I2218">
        <f t="shared" si="139"/>
        <v>-1.4697443535037293</v>
      </c>
    </row>
    <row r="2219" spans="1:9">
      <c r="A2219" t="s">
        <v>17</v>
      </c>
      <c r="B2219" s="2">
        <f t="shared" si="138"/>
        <v>107</v>
      </c>
      <c r="C2219">
        <v>203</v>
      </c>
      <c r="D2219">
        <v>6</v>
      </c>
      <c r="E2219">
        <v>2</v>
      </c>
      <c r="F2219">
        <f t="shared" si="140"/>
        <v>-2.1503697092420007</v>
      </c>
      <c r="G2219">
        <f t="shared" si="141"/>
        <v>-2.6315955160064188</v>
      </c>
      <c r="I2219">
        <f t="shared" si="139"/>
        <v>-2.3909826126242097</v>
      </c>
    </row>
    <row r="2220" spans="1:9">
      <c r="A2220" t="s">
        <v>18</v>
      </c>
      <c r="B2220" s="2">
        <f t="shared" si="138"/>
        <v>107</v>
      </c>
      <c r="C2220">
        <v>300</v>
      </c>
      <c r="D2220">
        <v>9</v>
      </c>
      <c r="E2220">
        <v>2</v>
      </c>
      <c r="F2220">
        <f t="shared" si="140"/>
        <v>-2.1439036669927689</v>
      </c>
      <c r="G2220">
        <f t="shared" si="141"/>
        <v>-2.8012207328128684</v>
      </c>
      <c r="I2220">
        <f t="shared" si="139"/>
        <v>-2.4725621999028187</v>
      </c>
    </row>
    <row r="2221" spans="1:9">
      <c r="A2221" t="s">
        <v>19</v>
      </c>
      <c r="B2221" s="2">
        <f t="shared" si="138"/>
        <v>107</v>
      </c>
      <c r="C2221">
        <v>203</v>
      </c>
      <c r="D2221">
        <v>34</v>
      </c>
      <c r="E2221">
        <v>25</v>
      </c>
      <c r="F2221">
        <f t="shared" si="140"/>
        <v>-1.3970420425833892</v>
      </c>
      <c r="G2221">
        <f t="shared" si="141"/>
        <v>-1.5346855029983624</v>
      </c>
      <c r="I2221">
        <f t="shared" si="139"/>
        <v>-1.4658637727908759</v>
      </c>
    </row>
    <row r="2222" spans="1:9">
      <c r="A2222" t="s">
        <v>20</v>
      </c>
      <c r="B2222" s="2">
        <f t="shared" si="138"/>
        <v>107</v>
      </c>
      <c r="C2222">
        <v>115</v>
      </c>
      <c r="D2222">
        <v>23</v>
      </c>
      <c r="E2222">
        <v>11</v>
      </c>
      <c r="F2222">
        <f t="shared" si="140"/>
        <v>-1.31999492604845</v>
      </c>
      <c r="G2222">
        <f t="shared" si="141"/>
        <v>-1.6444346289525738</v>
      </c>
      <c r="I2222">
        <f t="shared" si="139"/>
        <v>-1.4822147775005119</v>
      </c>
    </row>
    <row r="2223" spans="1:9">
      <c r="A2223" t="s">
        <v>21</v>
      </c>
      <c r="B2223" s="2">
        <f t="shared" si="138"/>
        <v>107</v>
      </c>
      <c r="C2223">
        <v>166</v>
      </c>
      <c r="D2223">
        <v>8</v>
      </c>
      <c r="E2223">
        <v>6</v>
      </c>
      <c r="F2223">
        <f t="shared" si="140"/>
        <v>-1.9380430227605427</v>
      </c>
      <c r="G2223">
        <f t="shared" si="141"/>
        <v>-2.0670863114135987</v>
      </c>
      <c r="I2223">
        <f t="shared" si="139"/>
        <v>-2.0025646670870705</v>
      </c>
    </row>
    <row r="2224" spans="1:9">
      <c r="A2224" t="s">
        <v>22</v>
      </c>
      <c r="B2224" s="2">
        <f t="shared" si="138"/>
        <v>107</v>
      </c>
      <c r="C2224">
        <v>218</v>
      </c>
      <c r="D2224">
        <v>20</v>
      </c>
      <c r="E2224">
        <v>19</v>
      </c>
      <c r="F2224">
        <f t="shared" si="140"/>
        <v>-1.6584514196530549</v>
      </c>
      <c r="G2224">
        <f t="shared" si="141"/>
        <v>-1.6848323664089628</v>
      </c>
      <c r="I2224">
        <f t="shared" si="139"/>
        <v>-1.6716418930310089</v>
      </c>
    </row>
    <row r="2225" spans="1:9">
      <c r="A2225" t="s">
        <v>23</v>
      </c>
      <c r="B2225" s="2">
        <f t="shared" si="138"/>
        <v>107</v>
      </c>
      <c r="C2225">
        <v>119</v>
      </c>
      <c r="D2225">
        <v>4</v>
      </c>
      <c r="E2225">
        <v>1</v>
      </c>
      <c r="F2225">
        <f t="shared" si="140"/>
        <v>-2.0945118917769996</v>
      </c>
      <c r="G2225">
        <f t="shared" si="141"/>
        <v>-2.7006764351497177</v>
      </c>
      <c r="I2225">
        <f t="shared" si="139"/>
        <v>-2.3975941634633586</v>
      </c>
    </row>
    <row r="2226" spans="1:9">
      <c r="A2226" t="s">
        <v>24</v>
      </c>
      <c r="B2226" s="2">
        <f t="shared" si="138"/>
        <v>107</v>
      </c>
      <c r="C2226">
        <v>164</v>
      </c>
      <c r="D2226">
        <v>2</v>
      </c>
      <c r="E2226">
        <v>3</v>
      </c>
      <c r="F2226">
        <f t="shared" si="140"/>
        <v>-2.5348387740961478</v>
      </c>
      <c r="G2226">
        <f t="shared" si="141"/>
        <v>-2.3628520670852229</v>
      </c>
      <c r="I2226">
        <f t="shared" si="139"/>
        <v>-2.4488454205906853</v>
      </c>
    </row>
    <row r="2227" spans="1:9">
      <c r="A2227" t="s">
        <v>25</v>
      </c>
      <c r="B2227" s="2">
        <f t="shared" si="138"/>
        <v>107</v>
      </c>
      <c r="C2227">
        <v>277</v>
      </c>
      <c r="D2227">
        <v>13</v>
      </c>
      <c r="E2227">
        <v>18</v>
      </c>
      <c r="F2227">
        <f t="shared" si="140"/>
        <v>-1.949561338470043</v>
      </c>
      <c r="G2227">
        <f t="shared" si="141"/>
        <v>-1.8123367377183297</v>
      </c>
      <c r="I2227">
        <f t="shared" si="139"/>
        <v>-1.8809490380941862</v>
      </c>
    </row>
    <row r="2228" spans="1:9">
      <c r="A2228" t="s">
        <v>7</v>
      </c>
      <c r="B2228" s="2">
        <f t="shared" si="138"/>
        <v>108</v>
      </c>
      <c r="C2228">
        <v>42113</v>
      </c>
      <c r="D2228">
        <v>175971</v>
      </c>
      <c r="E2228">
        <v>177642</v>
      </c>
      <c r="F2228">
        <f t="shared" si="140"/>
        <v>0</v>
      </c>
      <c r="G2228">
        <f t="shared" si="141"/>
        <v>0</v>
      </c>
      <c r="I2228">
        <f t="shared" si="139"/>
        <v>0</v>
      </c>
    </row>
    <row r="2229" spans="1:9">
      <c r="A2229" t="s">
        <v>8</v>
      </c>
      <c r="B2229" s="2">
        <f t="shared" si="138"/>
        <v>108</v>
      </c>
      <c r="C2229">
        <v>256</v>
      </c>
      <c r="D2229">
        <v>15</v>
      </c>
      <c r="E2229">
        <v>16</v>
      </c>
      <c r="F2229">
        <f t="shared" si="140"/>
        <v>-1.8531736279685995</v>
      </c>
      <c r="G2229">
        <f t="shared" si="141"/>
        <v>-1.8292494564131119</v>
      </c>
      <c r="I2229">
        <f t="shared" si="139"/>
        <v>-1.8412115421908557</v>
      </c>
    </row>
    <row r="2230" spans="1:9">
      <c r="A2230" t="s">
        <v>5</v>
      </c>
      <c r="B2230" s="2">
        <f t="shared" si="138"/>
        <v>108</v>
      </c>
      <c r="C2230">
        <v>148</v>
      </c>
      <c r="D2230">
        <v>47</v>
      </c>
      <c r="E2230">
        <v>34</v>
      </c>
      <c r="F2230">
        <f t="shared" si="140"/>
        <v>-1.1191887791716713</v>
      </c>
      <c r="G2230">
        <f t="shared" si="141"/>
        <v>-1.2639122721098892</v>
      </c>
      <c r="I2230">
        <f t="shared" si="139"/>
        <v>-1.1915505256407801</v>
      </c>
    </row>
    <row r="2231" spans="1:9">
      <c r="A2231" t="s">
        <v>6</v>
      </c>
      <c r="B2231" s="2">
        <f t="shared" si="138"/>
        <v>108</v>
      </c>
      <c r="C2231">
        <v>283</v>
      </c>
      <c r="D2231">
        <v>20</v>
      </c>
      <c r="E2231">
        <v>11</v>
      </c>
      <c r="F2231">
        <f t="shared" si="140"/>
        <v>-1.7717813615727402</v>
      </c>
      <c r="G2231">
        <f t="shared" si="141"/>
        <v>-2.0355232241232524</v>
      </c>
      <c r="I2231">
        <f t="shared" si="139"/>
        <v>-1.9036522928479962</v>
      </c>
    </row>
    <row r="2232" spans="1:9">
      <c r="A2232" t="s">
        <v>10</v>
      </c>
      <c r="B2232" s="2">
        <f t="shared" si="138"/>
        <v>108</v>
      </c>
      <c r="C2232">
        <v>87</v>
      </c>
      <c r="D2232">
        <v>1</v>
      </c>
      <c r="E2232">
        <v>0</v>
      </c>
      <c r="F2232">
        <f t="shared" si="140"/>
        <v>-2.5605441743310497</v>
      </c>
      <c r="G2232" t="e">
        <f t="shared" si="141"/>
        <v>#NUM!</v>
      </c>
      <c r="I2232" t="e">
        <f t="shared" si="139"/>
        <v>#NUM!</v>
      </c>
    </row>
    <row r="2233" spans="1:9">
      <c r="A2233" t="s">
        <v>11</v>
      </c>
      <c r="B2233" s="2">
        <f t="shared" si="138"/>
        <v>108</v>
      </c>
      <c r="C2233">
        <v>367</v>
      </c>
      <c r="D2233">
        <v>31</v>
      </c>
      <c r="E2233">
        <v>8</v>
      </c>
      <c r="F2233">
        <f t="shared" si="140"/>
        <v>-1.694329292130248</v>
      </c>
      <c r="G2233">
        <f t="shared" si="141"/>
        <v>-2.2867055510173326</v>
      </c>
      <c r="I2233">
        <f t="shared" si="139"/>
        <v>-1.9905174215737902</v>
      </c>
    </row>
    <row r="2234" spans="1:9">
      <c r="A2234" t="s">
        <v>12</v>
      </c>
      <c r="B2234" s="2">
        <f t="shared" si="138"/>
        <v>108</v>
      </c>
      <c r="C2234">
        <v>292</v>
      </c>
      <c r="D2234">
        <v>13</v>
      </c>
      <c r="E2234">
        <v>8</v>
      </c>
      <c r="F2234">
        <f t="shared" si="140"/>
        <v>-1.9724644208540127</v>
      </c>
      <c r="G2234">
        <f t="shared" si="141"/>
        <v>-2.1874223382136617</v>
      </c>
      <c r="I2234">
        <f t="shared" si="139"/>
        <v>-2.0799433795338373</v>
      </c>
    </row>
    <row r="2235" spans="1:9">
      <c r="A2235" t="s">
        <v>9</v>
      </c>
      <c r="B2235" s="2">
        <f t="shared" si="138"/>
        <v>108</v>
      </c>
      <c r="C2235">
        <v>15</v>
      </c>
      <c r="D2235">
        <v>1</v>
      </c>
      <c r="E2235">
        <v>0</v>
      </c>
      <c r="F2235">
        <f t="shared" si="140"/>
        <v>-1.7971161807681126</v>
      </c>
      <c r="G2235" t="e">
        <f t="shared" si="141"/>
        <v>#NUM!</v>
      </c>
      <c r="I2235" t="e">
        <f t="shared" si="139"/>
        <v>#NUM!</v>
      </c>
    </row>
    <row r="2236" spans="1:9">
      <c r="A2236" t="s">
        <v>13</v>
      </c>
      <c r="B2236" s="2">
        <f t="shared" si="138"/>
        <v>108</v>
      </c>
      <c r="C2236">
        <v>249</v>
      </c>
      <c r="D2236">
        <v>4</v>
      </c>
      <c r="E2236">
        <v>2</v>
      </c>
      <c r="F2236">
        <f t="shared" si="140"/>
        <v>-2.4151642774802053</v>
      </c>
      <c r="G2236">
        <f t="shared" si="141"/>
        <v>-2.7202988251889422</v>
      </c>
      <c r="I2236">
        <f t="shared" si="139"/>
        <v>-2.5677315513345738</v>
      </c>
    </row>
    <row r="2237" spans="1:9">
      <c r="A2237" t="s">
        <v>14</v>
      </c>
      <c r="B2237" s="2">
        <f t="shared" si="138"/>
        <v>108</v>
      </c>
      <c r="C2237">
        <v>19</v>
      </c>
      <c r="D2237">
        <v>3</v>
      </c>
      <c r="E2237">
        <v>0</v>
      </c>
      <c r="F2237">
        <f t="shared" si="140"/>
        <v>-1.4226572679455978</v>
      </c>
      <c r="G2237" t="e">
        <f t="shared" si="141"/>
        <v>#NUM!</v>
      </c>
      <c r="I2237" t="e">
        <f t="shared" si="139"/>
        <v>#NUM!</v>
      </c>
    </row>
    <row r="2238" spans="1:9">
      <c r="A2238" t="s">
        <v>15</v>
      </c>
      <c r="B2238" s="2">
        <f t="shared" si="138"/>
        <v>108</v>
      </c>
      <c r="C2238">
        <v>36</v>
      </c>
      <c r="D2238">
        <v>3</v>
      </c>
      <c r="E2238">
        <v>1</v>
      </c>
      <c r="F2238">
        <f t="shared" si="140"/>
        <v>-1.7002061677600562</v>
      </c>
      <c r="G2238">
        <f t="shared" si="141"/>
        <v>-2.1814319745244743</v>
      </c>
      <c r="I2238">
        <f t="shared" si="139"/>
        <v>-1.9408190711422653</v>
      </c>
    </row>
    <row r="2239" spans="1:9">
      <c r="A2239" t="s">
        <v>16</v>
      </c>
      <c r="B2239" s="2">
        <f t="shared" si="138"/>
        <v>108</v>
      </c>
      <c r="C2239">
        <v>21</v>
      </c>
      <c r="D2239">
        <v>1</v>
      </c>
      <c r="E2239">
        <v>0</v>
      </c>
      <c r="F2239">
        <f t="shared" si="140"/>
        <v>-1.9432442164463506</v>
      </c>
      <c r="G2239" t="e">
        <f t="shared" si="141"/>
        <v>#NUM!</v>
      </c>
      <c r="I2239" t="e">
        <f t="shared" si="139"/>
        <v>#NUM!</v>
      </c>
    </row>
    <row r="2240" spans="1:9">
      <c r="A2240" t="s">
        <v>17</v>
      </c>
      <c r="B2240" s="2">
        <f t="shared" si="138"/>
        <v>108</v>
      </c>
      <c r="C2240">
        <v>303</v>
      </c>
      <c r="D2240">
        <v>5</v>
      </c>
      <c r="E2240">
        <v>123</v>
      </c>
      <c r="F2240">
        <f t="shared" si="140"/>
        <v>-2.4034975458787176</v>
      </c>
      <c r="G2240">
        <f t="shared" si="141"/>
        <v>-1.0166669908200943</v>
      </c>
      <c r="I2240">
        <f t="shared" si="139"/>
        <v>-1.7100822683494059</v>
      </c>
    </row>
    <row r="2241" spans="1:9">
      <c r="A2241" t="s">
        <v>18</v>
      </c>
      <c r="B2241" s="2">
        <f t="shared" si="138"/>
        <v>108</v>
      </c>
      <c r="C2241">
        <v>34</v>
      </c>
      <c r="D2241">
        <v>1</v>
      </c>
      <c r="E2241">
        <v>0</v>
      </c>
      <c r="F2241">
        <f t="shared" si="140"/>
        <v>-2.1525038387546864</v>
      </c>
      <c r="G2241" t="e">
        <f t="shared" si="141"/>
        <v>#NUM!</v>
      </c>
      <c r="I2241" t="e">
        <f t="shared" si="139"/>
        <v>#NUM!</v>
      </c>
    </row>
    <row r="2242" spans="1:9">
      <c r="A2242" t="s">
        <v>19</v>
      </c>
      <c r="B2242" s="2">
        <f t="shared" si="138"/>
        <v>108</v>
      </c>
      <c r="C2242">
        <v>259</v>
      </c>
      <c r="D2242">
        <v>12</v>
      </c>
      <c r="E2242">
        <v>3</v>
      </c>
      <c r="F2242">
        <f t="shared" si="140"/>
        <v>-1.9551434397460583</v>
      </c>
      <c r="G2242">
        <f t="shared" si="141"/>
        <v>-2.5613079831187764</v>
      </c>
      <c r="I2242">
        <f t="shared" si="139"/>
        <v>-2.2582257114324173</v>
      </c>
    </row>
    <row r="2243" spans="1:9">
      <c r="A2243" t="s">
        <v>20</v>
      </c>
      <c r="B2243" s="2">
        <f t="shared" ref="B2243:B2306" si="142">1+INT((ROW()-2)/21)+1</f>
        <v>108</v>
      </c>
      <c r="C2243">
        <v>208</v>
      </c>
      <c r="D2243">
        <v>6</v>
      </c>
      <c r="E2243">
        <v>7</v>
      </c>
      <c r="F2243">
        <f t="shared" si="140"/>
        <v>-2.1609370062915492</v>
      </c>
      <c r="G2243">
        <f t="shared" si="141"/>
        <v>-2.0980947687056917</v>
      </c>
      <c r="I2243">
        <f t="shared" ref="I2243:I2306" si="143">AVERAGE(F2243:G2243)</f>
        <v>-2.1295158874986204</v>
      </c>
    </row>
    <row r="2244" spans="1:9">
      <c r="A2244" t="s">
        <v>21</v>
      </c>
      <c r="B2244" s="2">
        <f t="shared" si="142"/>
        <v>108</v>
      </c>
      <c r="C2244">
        <v>385</v>
      </c>
      <c r="D2244">
        <v>9</v>
      </c>
      <c r="E2244">
        <v>3</v>
      </c>
      <c r="F2244">
        <f t="shared" si="140"/>
        <v>-2.2522431417816069</v>
      </c>
      <c r="G2244">
        <f t="shared" si="141"/>
        <v>-2.7334689485460255</v>
      </c>
      <c r="I2244">
        <f t="shared" si="143"/>
        <v>-2.4928560451638164</v>
      </c>
    </row>
    <row r="2245" spans="1:9">
      <c r="A2245" t="s">
        <v>22</v>
      </c>
      <c r="B2245" s="2">
        <f t="shared" si="142"/>
        <v>108</v>
      </c>
      <c r="C2245">
        <v>203</v>
      </c>
      <c r="D2245">
        <v>15</v>
      </c>
      <c r="E2245">
        <v>8</v>
      </c>
      <c r="F2245">
        <f t="shared" si="140"/>
        <v>-1.7524297005699629</v>
      </c>
      <c r="G2245">
        <f t="shared" si="141"/>
        <v>-2.0295355246784563</v>
      </c>
      <c r="I2245">
        <f t="shared" si="143"/>
        <v>-1.8909826126242097</v>
      </c>
    </row>
    <row r="2246" spans="1:9">
      <c r="A2246" t="s">
        <v>23</v>
      </c>
      <c r="B2246" s="2">
        <f t="shared" si="142"/>
        <v>108</v>
      </c>
      <c r="C2246">
        <v>236</v>
      </c>
      <c r="D2246">
        <v>11</v>
      </c>
      <c r="E2246">
        <v>5</v>
      </c>
      <c r="F2246">
        <f t="shared" si="140"/>
        <v>-1.9525442395243129</v>
      </c>
      <c r="G2246">
        <f t="shared" si="141"/>
        <v>-2.2990714723912751</v>
      </c>
      <c r="I2246">
        <f t="shared" si="143"/>
        <v>-2.125807855957794</v>
      </c>
    </row>
    <row r="2247" spans="1:9">
      <c r="A2247" t="s">
        <v>24</v>
      </c>
      <c r="B2247" s="2">
        <f t="shared" si="142"/>
        <v>108</v>
      </c>
      <c r="C2247">
        <v>260</v>
      </c>
      <c r="D2247">
        <v>13</v>
      </c>
      <c r="E2247">
        <v>15</v>
      </c>
      <c r="F2247">
        <f t="shared" si="140"/>
        <v>-1.9220549173764125</v>
      </c>
      <c r="G2247">
        <f t="shared" si="141"/>
        <v>-1.8640115626723237</v>
      </c>
      <c r="I2247">
        <f t="shared" si="143"/>
        <v>-1.8930332400243681</v>
      </c>
    </row>
    <row r="2248" spans="1:9">
      <c r="A2248" t="s">
        <v>25</v>
      </c>
      <c r="B2248" s="2">
        <f t="shared" si="142"/>
        <v>108</v>
      </c>
      <c r="C2248">
        <v>270</v>
      </c>
      <c r="D2248">
        <v>23</v>
      </c>
      <c r="E2248">
        <v>5</v>
      </c>
      <c r="F2248">
        <f t="shared" si="140"/>
        <v>-1.6906608498538258</v>
      </c>
      <c r="G2248">
        <f t="shared" si="141"/>
        <v>-2.3575232335801557</v>
      </c>
      <c r="I2248">
        <f t="shared" si="143"/>
        <v>-2.0240920417169908</v>
      </c>
    </row>
    <row r="2249" spans="1:9">
      <c r="A2249" t="s">
        <v>7</v>
      </c>
      <c r="B2249" s="2">
        <f t="shared" si="142"/>
        <v>109</v>
      </c>
      <c r="C2249">
        <v>252</v>
      </c>
      <c r="D2249">
        <v>7</v>
      </c>
      <c r="E2249">
        <v>5</v>
      </c>
      <c r="F2249">
        <f t="shared" si="140"/>
        <v>-2.1773274224797188</v>
      </c>
      <c r="G2249">
        <f t="shared" si="141"/>
        <v>-2.3275600102027125</v>
      </c>
      <c r="I2249">
        <f t="shared" si="143"/>
        <v>-2.2524437163412157</v>
      </c>
    </row>
    <row r="2250" spans="1:9">
      <c r="A2250" t="s">
        <v>8</v>
      </c>
      <c r="B2250" s="2">
        <f t="shared" si="142"/>
        <v>109</v>
      </c>
      <c r="C2250">
        <v>276</v>
      </c>
      <c r="D2250">
        <v>6</v>
      </c>
      <c r="E2250">
        <v>4</v>
      </c>
      <c r="F2250">
        <f t="shared" si="140"/>
        <v>-2.2837827533940054</v>
      </c>
      <c r="G2250">
        <f t="shared" si="141"/>
        <v>-2.4639785644944423</v>
      </c>
      <c r="I2250">
        <f t="shared" si="143"/>
        <v>-2.3738806589442238</v>
      </c>
    </row>
    <row r="2251" spans="1:9">
      <c r="A2251" t="s">
        <v>5</v>
      </c>
      <c r="B2251" s="2">
        <f t="shared" si="142"/>
        <v>109</v>
      </c>
      <c r="C2251">
        <v>217</v>
      </c>
      <c r="D2251">
        <v>8</v>
      </c>
      <c r="E2251">
        <v>4</v>
      </c>
      <c r="F2251">
        <f t="shared" si="140"/>
        <v>-2.0543946685690173</v>
      </c>
      <c r="G2251">
        <f t="shared" si="141"/>
        <v>-2.3595292162777541</v>
      </c>
      <c r="I2251">
        <f t="shared" si="143"/>
        <v>-2.2069619424233857</v>
      </c>
    </row>
    <row r="2252" spans="1:9">
      <c r="A2252" t="s">
        <v>6</v>
      </c>
      <c r="B2252" s="2">
        <f t="shared" si="142"/>
        <v>109</v>
      </c>
      <c r="C2252">
        <v>483</v>
      </c>
      <c r="D2252">
        <v>26</v>
      </c>
      <c r="E2252">
        <v>22</v>
      </c>
      <c r="F2252">
        <f t="shared" si="140"/>
        <v>-1.8899987044931255</v>
      </c>
      <c r="G2252">
        <f t="shared" si="141"/>
        <v>-1.9666539236864931</v>
      </c>
      <c r="I2252">
        <f t="shared" si="143"/>
        <v>-1.9283263140898093</v>
      </c>
    </row>
    <row r="2253" spans="1:9">
      <c r="A2253" t="s">
        <v>10</v>
      </c>
      <c r="B2253" s="2">
        <f t="shared" si="142"/>
        <v>109</v>
      </c>
      <c r="C2253">
        <v>352</v>
      </c>
      <c r="D2253">
        <v>23</v>
      </c>
      <c r="E2253">
        <v>4</v>
      </c>
      <c r="F2253">
        <f t="shared" si="140"/>
        <v>-1.8058397491729694</v>
      </c>
      <c r="G2253">
        <f t="shared" si="141"/>
        <v>-2.5696121459073558</v>
      </c>
      <c r="I2253">
        <f t="shared" si="143"/>
        <v>-2.1877259475401627</v>
      </c>
    </row>
    <row r="2254" spans="1:9">
      <c r="A2254" t="s">
        <v>11</v>
      </c>
      <c r="B2254" s="2">
        <f t="shared" si="142"/>
        <v>109</v>
      </c>
      <c r="C2254">
        <v>382</v>
      </c>
      <c r="D2254">
        <v>49</v>
      </c>
      <c r="E2254">
        <v>37</v>
      </c>
      <c r="F2254">
        <f t="shared" si="140"/>
        <v>-1.5128922045956263</v>
      </c>
      <c r="G2254">
        <f t="shared" si="141"/>
        <v>-1.6389911126019008</v>
      </c>
      <c r="I2254">
        <f t="shared" si="143"/>
        <v>-1.5759416585987636</v>
      </c>
    </row>
    <row r="2255" spans="1:9">
      <c r="A2255" t="s">
        <v>12</v>
      </c>
      <c r="B2255" s="2">
        <f t="shared" si="142"/>
        <v>109</v>
      </c>
      <c r="C2255">
        <v>343</v>
      </c>
      <c r="D2255">
        <v>10</v>
      </c>
      <c r="E2255">
        <v>3</v>
      </c>
      <c r="F2255">
        <f t="shared" si="140"/>
        <v>-2.1563190417552018</v>
      </c>
      <c r="G2255">
        <f t="shared" si="141"/>
        <v>-2.6833023390802953</v>
      </c>
      <c r="I2255">
        <f t="shared" si="143"/>
        <v>-2.4198106904177488</v>
      </c>
    </row>
    <row r="2256" spans="1:9">
      <c r="A2256" t="s">
        <v>9</v>
      </c>
      <c r="B2256" s="2">
        <f t="shared" si="142"/>
        <v>109</v>
      </c>
      <c r="C2256">
        <v>295</v>
      </c>
      <c r="D2256">
        <v>5</v>
      </c>
      <c r="E2256">
        <v>2</v>
      </c>
      <c r="F2256">
        <f t="shared" si="140"/>
        <v>-2.3918769333545757</v>
      </c>
      <c r="G2256">
        <f t="shared" si="141"/>
        <v>-2.7939214940713688</v>
      </c>
      <c r="I2256">
        <f t="shared" si="143"/>
        <v>-2.5928992137129723</v>
      </c>
    </row>
    <row r="2257" spans="1:9">
      <c r="A2257" t="s">
        <v>13</v>
      </c>
      <c r="B2257" s="2">
        <f t="shared" si="142"/>
        <v>109</v>
      </c>
      <c r="C2257">
        <v>282</v>
      </c>
      <c r="D2257">
        <v>40</v>
      </c>
      <c r="E2257">
        <v>30</v>
      </c>
      <c r="F2257">
        <f t="shared" si="140"/>
        <v>-1.4692140387038299</v>
      </c>
      <c r="G2257">
        <f t="shared" si="141"/>
        <v>-1.5982573273568859</v>
      </c>
      <c r="I2257">
        <f t="shared" si="143"/>
        <v>-1.5337356830303579</v>
      </c>
    </row>
    <row r="2258" spans="1:9">
      <c r="A2258" t="s">
        <v>14</v>
      </c>
      <c r="B2258" s="2">
        <f t="shared" si="142"/>
        <v>109</v>
      </c>
      <c r="C2258">
        <v>157</v>
      </c>
      <c r="D2258">
        <v>6</v>
      </c>
      <c r="E2258">
        <v>8</v>
      </c>
      <c r="F2258">
        <f t="shared" si="140"/>
        <v>-2.0387733237380212</v>
      </c>
      <c r="G2258">
        <f t="shared" si="141"/>
        <v>-1.9179391391744771</v>
      </c>
      <c r="I2258">
        <f t="shared" si="143"/>
        <v>-1.9783562314562491</v>
      </c>
    </row>
    <row r="2259" spans="1:9">
      <c r="A2259" t="s">
        <v>15</v>
      </c>
      <c r="B2259" s="2">
        <f t="shared" si="142"/>
        <v>109</v>
      </c>
      <c r="C2259">
        <v>572</v>
      </c>
      <c r="D2259">
        <v>17</v>
      </c>
      <c r="E2259">
        <v>10</v>
      </c>
      <c r="F2259">
        <f t="shared" si="140"/>
        <v>-2.1479720291271818</v>
      </c>
      <c r="G2259">
        <f t="shared" si="141"/>
        <v>-2.3825255025502114</v>
      </c>
      <c r="I2259">
        <f t="shared" si="143"/>
        <v>-2.2652487658386966</v>
      </c>
    </row>
    <row r="2260" spans="1:9">
      <c r="A2260" t="s">
        <v>16</v>
      </c>
      <c r="B2260" s="2">
        <f t="shared" si="142"/>
        <v>109</v>
      </c>
      <c r="C2260">
        <v>285</v>
      </c>
      <c r="D2260">
        <v>10</v>
      </c>
      <c r="E2260">
        <v>15</v>
      </c>
      <c r="F2260">
        <f t="shared" si="140"/>
        <v>-2.0758697817209413</v>
      </c>
      <c r="G2260">
        <f t="shared" si="141"/>
        <v>-1.9038830747100162</v>
      </c>
      <c r="I2260">
        <f t="shared" si="143"/>
        <v>-1.9898764282154788</v>
      </c>
    </row>
    <row r="2261" spans="1:9">
      <c r="A2261" t="s">
        <v>17</v>
      </c>
      <c r="B2261" s="2">
        <f t="shared" si="142"/>
        <v>109</v>
      </c>
      <c r="C2261">
        <v>338</v>
      </c>
      <c r="D2261">
        <v>18</v>
      </c>
      <c r="E2261">
        <v>11</v>
      </c>
      <c r="F2261">
        <f t="shared" si="140"/>
        <v>-1.89466911688678</v>
      </c>
      <c r="G2261">
        <f t="shared" si="141"/>
        <v>-2.1126534888766169</v>
      </c>
      <c r="I2261">
        <f t="shared" si="143"/>
        <v>-2.0036613028816985</v>
      </c>
    </row>
    <row r="2262" spans="1:9">
      <c r="A2262" t="s">
        <v>18</v>
      </c>
      <c r="B2262" s="2">
        <f t="shared" si="142"/>
        <v>109</v>
      </c>
      <c r="C2262">
        <v>347</v>
      </c>
      <c r="D2262">
        <v>46</v>
      </c>
      <c r="E2262">
        <v>66</v>
      </c>
      <c r="F2262">
        <f t="shared" si="140"/>
        <v>-1.498596564821731</v>
      </c>
      <c r="G2262">
        <f t="shared" si="141"/>
        <v>-1.3459150130061921</v>
      </c>
      <c r="I2262">
        <f t="shared" si="143"/>
        <v>-1.4222557889139615</v>
      </c>
    </row>
    <row r="2263" spans="1:9">
      <c r="A2263" t="s">
        <v>19</v>
      </c>
      <c r="B2263" s="2">
        <f t="shared" si="142"/>
        <v>109</v>
      </c>
      <c r="C2263">
        <v>363</v>
      </c>
      <c r="D2263">
        <v>16</v>
      </c>
      <c r="E2263">
        <v>4</v>
      </c>
      <c r="F2263">
        <f t="shared" si="140"/>
        <v>-1.9768115640926189</v>
      </c>
      <c r="G2263">
        <f t="shared" si="141"/>
        <v>-2.5829761074653375</v>
      </c>
      <c r="I2263">
        <f t="shared" si="143"/>
        <v>-2.279893835778978</v>
      </c>
    </row>
    <row r="2264" spans="1:9">
      <c r="A2264" t="s">
        <v>20</v>
      </c>
      <c r="B2264" s="2">
        <f t="shared" si="142"/>
        <v>109</v>
      </c>
      <c r="C2264">
        <v>225</v>
      </c>
      <c r="D2264">
        <v>5</v>
      </c>
      <c r="E2264">
        <v>1</v>
      </c>
      <c r="F2264">
        <f t="shared" si="140"/>
        <v>-2.274237435487775</v>
      </c>
      <c r="G2264">
        <f t="shared" si="141"/>
        <v>-2.9773119918685498</v>
      </c>
      <c r="I2264">
        <f t="shared" si="143"/>
        <v>-2.6257747136781626</v>
      </c>
    </row>
    <row r="2265" spans="1:9">
      <c r="A2265" t="s">
        <v>21</v>
      </c>
      <c r="B2265" s="2">
        <f t="shared" si="142"/>
        <v>109</v>
      </c>
      <c r="C2265">
        <v>238</v>
      </c>
      <c r="D2265">
        <v>14</v>
      </c>
      <c r="E2265">
        <v>5</v>
      </c>
      <c r="F2265">
        <f t="shared" si="140"/>
        <v>-1.8514738430907052</v>
      </c>
      <c r="G2265">
        <f t="shared" si="141"/>
        <v>-2.3027364264776802</v>
      </c>
      <c r="I2265">
        <f t="shared" si="143"/>
        <v>-2.0771051347841927</v>
      </c>
    </row>
    <row r="2266" spans="1:9">
      <c r="A2266" t="s">
        <v>22</v>
      </c>
      <c r="B2266" s="2">
        <f t="shared" si="142"/>
        <v>109</v>
      </c>
      <c r="C2266">
        <v>268</v>
      </c>
      <c r="D2266">
        <v>3189</v>
      </c>
      <c r="E2266">
        <v>339</v>
      </c>
      <c r="F2266">
        <f t="shared" si="140"/>
        <v>0.4544948035017391</v>
      </c>
      <c r="G2266">
        <f t="shared" si="141"/>
        <v>-0.52306456958289371</v>
      </c>
      <c r="I2266">
        <f t="shared" si="143"/>
        <v>-3.4284883040577308E-2</v>
      </c>
    </row>
    <row r="2267" spans="1:9">
      <c r="A2267" t="s">
        <v>23</v>
      </c>
      <c r="B2267" s="2">
        <f t="shared" si="142"/>
        <v>109</v>
      </c>
      <c r="C2267">
        <v>10</v>
      </c>
      <c r="D2267">
        <v>89</v>
      </c>
      <c r="E2267">
        <v>66</v>
      </c>
      <c r="F2267">
        <f t="shared" si="140"/>
        <v>0.32836508493248151</v>
      </c>
      <c r="G2267">
        <f t="shared" si="141"/>
        <v>0.19441446178468158</v>
      </c>
      <c r="I2267">
        <f t="shared" si="143"/>
        <v>0.26138977335858155</v>
      </c>
    </row>
    <row r="2268" spans="1:9">
      <c r="A2268" t="s">
        <v>24</v>
      </c>
      <c r="B2268" s="2">
        <f t="shared" si="142"/>
        <v>109</v>
      </c>
      <c r="C2268">
        <v>346</v>
      </c>
      <c r="D2268">
        <v>157</v>
      </c>
      <c r="E2268">
        <v>178</v>
      </c>
      <c r="F2268">
        <f t="shared" si="140"/>
        <v>-0.96420136809597412</v>
      </c>
      <c r="G2268">
        <f t="shared" si="141"/>
        <v>-0.91378557024106977</v>
      </c>
      <c r="I2268">
        <f t="shared" si="143"/>
        <v>-0.938993469168522</v>
      </c>
    </row>
    <row r="2269" spans="1:9">
      <c r="A2269" t="s">
        <v>25</v>
      </c>
      <c r="B2269" s="2">
        <f t="shared" si="142"/>
        <v>109</v>
      </c>
      <c r="C2269">
        <v>320</v>
      </c>
      <c r="D2269">
        <v>13</v>
      </c>
      <c r="E2269">
        <v>14</v>
      </c>
      <c r="F2269">
        <f t="shared" si="140"/>
        <v>-2.0122315477255004</v>
      </c>
      <c r="G2269">
        <f t="shared" si="141"/>
        <v>-1.984151416398855</v>
      </c>
      <c r="I2269">
        <f t="shared" si="143"/>
        <v>-1.9981914820621776</v>
      </c>
    </row>
    <row r="2270" spans="1:9">
      <c r="A2270" t="s">
        <v>7</v>
      </c>
      <c r="B2270" s="2">
        <f t="shared" si="142"/>
        <v>110</v>
      </c>
      <c r="C2270">
        <v>251</v>
      </c>
      <c r="D2270">
        <v>42</v>
      </c>
      <c r="E2270">
        <v>29</v>
      </c>
      <c r="F2270">
        <f t="shared" si="140"/>
        <v>-1.3974493527955691</v>
      </c>
      <c r="G2270">
        <f t="shared" si="141"/>
        <v>-1.5624051973392692</v>
      </c>
      <c r="I2270">
        <f t="shared" si="143"/>
        <v>-1.4799272750674191</v>
      </c>
    </row>
    <row r="2271" spans="1:9">
      <c r="A2271" t="s">
        <v>8</v>
      </c>
      <c r="B2271" s="2">
        <f t="shared" si="142"/>
        <v>110</v>
      </c>
      <c r="C2271">
        <v>19</v>
      </c>
      <c r="D2271">
        <v>66</v>
      </c>
      <c r="E2271">
        <v>52</v>
      </c>
      <c r="F2271">
        <f t="shared" si="140"/>
        <v>-8.0234587123391599E-2</v>
      </c>
      <c r="G2271">
        <f t="shared" si="141"/>
        <v>-0.18787973107521688</v>
      </c>
      <c r="I2271">
        <f t="shared" si="143"/>
        <v>-0.13405715909930424</v>
      </c>
    </row>
    <row r="2272" spans="1:9">
      <c r="A2272" t="s">
        <v>5</v>
      </c>
      <c r="B2272" s="2">
        <f t="shared" si="142"/>
        <v>110</v>
      </c>
      <c r="C2272">
        <v>197</v>
      </c>
      <c r="D2272">
        <v>18</v>
      </c>
      <c r="E2272">
        <v>9</v>
      </c>
      <c r="F2272">
        <f t="shared" si="140"/>
        <v>-1.6602186427707182</v>
      </c>
      <c r="G2272">
        <f t="shared" si="141"/>
        <v>-1.9653531904794552</v>
      </c>
      <c r="I2272">
        <f t="shared" si="143"/>
        <v>-1.8127859166250868</v>
      </c>
    </row>
    <row r="2273" spans="1:9">
      <c r="A2273" t="s">
        <v>6</v>
      </c>
      <c r="B2273" s="2">
        <f t="shared" si="142"/>
        <v>110</v>
      </c>
      <c r="C2273">
        <v>172</v>
      </c>
      <c r="D2273">
        <v>12</v>
      </c>
      <c r="E2273">
        <v>12</v>
      </c>
      <c r="F2273">
        <f t="shared" si="140"/>
        <v>-1.7773721225723553</v>
      </c>
      <c r="G2273">
        <f t="shared" si="141"/>
        <v>-1.7814766746171111</v>
      </c>
      <c r="I2273">
        <f t="shared" si="143"/>
        <v>-1.7794243985947333</v>
      </c>
    </row>
    <row r="2274" spans="1:9">
      <c r="A2274" t="s">
        <v>10</v>
      </c>
      <c r="B2274" s="2">
        <f t="shared" si="142"/>
        <v>110</v>
      </c>
      <c r="C2274">
        <v>286</v>
      </c>
      <c r="D2274">
        <v>14</v>
      </c>
      <c r="E2274">
        <v>12</v>
      </c>
      <c r="F2274">
        <f t="shared" si="140"/>
        <v>-1.9312629191632362</v>
      </c>
      <c r="G2274">
        <f t="shared" si="141"/>
        <v>-2.0023142608386051</v>
      </c>
      <c r="I2274">
        <f t="shared" si="143"/>
        <v>-1.9667885900009208</v>
      </c>
    </row>
    <row r="2275" spans="1:9">
      <c r="A2275" t="s">
        <v>11</v>
      </c>
      <c r="B2275" s="2">
        <f t="shared" si="142"/>
        <v>110</v>
      </c>
      <c r="C2275">
        <v>188</v>
      </c>
      <c r="D2275">
        <v>5</v>
      </c>
      <c r="E2275">
        <v>10</v>
      </c>
      <c r="F2275">
        <f t="shared" ref="F2275:F2338" si="144">LOG10(D2275/C2275)-LOG10(175971/42113)</f>
        <v>-2.1962127666400924</v>
      </c>
      <c r="G2275">
        <f t="shared" ref="G2275:G2338" si="145">LOG10(E2275/C2275)-LOG10(177642/42113)</f>
        <v>-1.8992873230208669</v>
      </c>
      <c r="I2275">
        <f t="shared" si="143"/>
        <v>-2.0477500448304795</v>
      </c>
    </row>
    <row r="2276" spans="1:9">
      <c r="A2276" t="s">
        <v>12</v>
      </c>
      <c r="B2276" s="2">
        <f t="shared" si="142"/>
        <v>110</v>
      </c>
      <c r="C2276">
        <v>187</v>
      </c>
      <c r="D2276">
        <v>10</v>
      </c>
      <c r="E2276">
        <v>8</v>
      </c>
      <c r="F2276">
        <f t="shared" si="144"/>
        <v>-1.8928665282489303</v>
      </c>
      <c r="G2276">
        <f t="shared" si="145"/>
        <v>-1.9938810933017426</v>
      </c>
      <c r="I2276">
        <f t="shared" si="143"/>
        <v>-1.9433738107753364</v>
      </c>
    </row>
    <row r="2277" spans="1:9">
      <c r="A2277" t="s">
        <v>9</v>
      </c>
      <c r="B2277" s="2">
        <f t="shared" si="142"/>
        <v>110</v>
      </c>
      <c r="C2277">
        <v>158</v>
      </c>
      <c r="D2277">
        <v>9</v>
      </c>
      <c r="E2277">
        <v>6</v>
      </c>
      <c r="F2277">
        <f t="shared" si="144"/>
        <v>-1.8654394992275289</v>
      </c>
      <c r="G2277">
        <f t="shared" si="145"/>
        <v>-2.0456353103279659</v>
      </c>
      <c r="I2277">
        <f t="shared" si="143"/>
        <v>-1.9555374047777474</v>
      </c>
    </row>
    <row r="2278" spans="1:9">
      <c r="A2278" t="s">
        <v>13</v>
      </c>
      <c r="B2278" s="2">
        <f t="shared" si="142"/>
        <v>110</v>
      </c>
      <c r="C2278">
        <v>145</v>
      </c>
      <c r="D2278">
        <v>12</v>
      </c>
      <c r="E2278">
        <v>7</v>
      </c>
      <c r="F2278">
        <f t="shared" si="144"/>
        <v>-1.7032116778997815</v>
      </c>
      <c r="G2278">
        <f t="shared" si="145"/>
        <v>-1.9413994359779052</v>
      </c>
      <c r="I2278">
        <f t="shared" si="143"/>
        <v>-1.8223055569388433</v>
      </c>
    </row>
    <row r="2279" spans="1:9">
      <c r="A2279" t="s">
        <v>14</v>
      </c>
      <c r="B2279" s="2">
        <f t="shared" si="142"/>
        <v>110</v>
      </c>
      <c r="C2279">
        <v>265</v>
      </c>
      <c r="D2279">
        <v>10</v>
      </c>
      <c r="E2279">
        <v>12</v>
      </c>
      <c r="F2279">
        <f t="shared" si="144"/>
        <v>-2.044270795649239</v>
      </c>
      <c r="G2279">
        <f t="shared" si="145"/>
        <v>-1.9691941016463701</v>
      </c>
      <c r="I2279">
        <f t="shared" si="143"/>
        <v>-2.0067324486478046</v>
      </c>
    </row>
    <row r="2280" spans="1:9">
      <c r="A2280" t="s">
        <v>15</v>
      </c>
      <c r="B2280" s="2">
        <f t="shared" si="142"/>
        <v>110</v>
      </c>
      <c r="C2280">
        <v>319</v>
      </c>
      <c r="D2280">
        <v>29</v>
      </c>
      <c r="E2280">
        <v>41</v>
      </c>
      <c r="F2280">
        <f t="shared" si="144"/>
        <v>-1.6624176068706562</v>
      </c>
      <c r="G2280">
        <f t="shared" si="145"/>
        <v>-1.5161363000946326</v>
      </c>
      <c r="I2280">
        <f t="shared" si="143"/>
        <v>-1.5892769534826443</v>
      </c>
    </row>
    <row r="2281" spans="1:9">
      <c r="A2281" t="s">
        <v>16</v>
      </c>
      <c r="B2281" s="2">
        <f t="shared" si="142"/>
        <v>110</v>
      </c>
      <c r="C2281">
        <v>272</v>
      </c>
      <c r="D2281">
        <v>10</v>
      </c>
      <c r="E2281">
        <v>4</v>
      </c>
      <c r="F2281">
        <f t="shared" si="144"/>
        <v>-2.0555938257466302</v>
      </c>
      <c r="G2281">
        <f t="shared" si="145"/>
        <v>-2.4576383864634233</v>
      </c>
      <c r="I2281">
        <f t="shared" si="143"/>
        <v>-2.2566161061050267</v>
      </c>
    </row>
    <row r="2282" spans="1:9">
      <c r="A2282" t="s">
        <v>17</v>
      </c>
      <c r="B2282" s="2">
        <f t="shared" si="142"/>
        <v>110</v>
      </c>
      <c r="C2282">
        <v>250</v>
      </c>
      <c r="D2282">
        <v>2</v>
      </c>
      <c r="E2282">
        <v>4</v>
      </c>
      <c r="F2282">
        <f t="shared" si="144"/>
        <v>-2.7179349347204873</v>
      </c>
      <c r="G2282">
        <f t="shared" si="145"/>
        <v>-2.4210094911012625</v>
      </c>
      <c r="I2282">
        <f t="shared" si="143"/>
        <v>-2.5694722129108749</v>
      </c>
    </row>
    <row r="2283" spans="1:9">
      <c r="A2283" t="s">
        <v>18</v>
      </c>
      <c r="B2283" s="2">
        <f t="shared" si="142"/>
        <v>110</v>
      </c>
      <c r="C2283">
        <v>321</v>
      </c>
      <c r="D2283">
        <v>6</v>
      </c>
      <c r="E2283">
        <v>7</v>
      </c>
      <c r="F2283">
        <f t="shared" si="144"/>
        <v>-2.3493787037336595</v>
      </c>
      <c r="G2283">
        <f t="shared" si="145"/>
        <v>-2.286536466147802</v>
      </c>
      <c r="I2283">
        <f t="shared" si="143"/>
        <v>-2.3179575849407308</v>
      </c>
    </row>
    <row r="2284" spans="1:9">
      <c r="A2284" t="s">
        <v>19</v>
      </c>
      <c r="B2284" s="2">
        <f t="shared" si="142"/>
        <v>110</v>
      </c>
      <c r="C2284">
        <v>305</v>
      </c>
      <c r="D2284">
        <v>15</v>
      </c>
      <c r="E2284">
        <v>4</v>
      </c>
      <c r="F2284">
        <f t="shared" si="144"/>
        <v>-1.9292335020035358</v>
      </c>
      <c r="G2284">
        <f t="shared" si="145"/>
        <v>-2.5073693217760105</v>
      </c>
      <c r="I2284">
        <f t="shared" si="143"/>
        <v>-2.2183014118897733</v>
      </c>
    </row>
    <row r="2285" spans="1:9">
      <c r="A2285" t="s">
        <v>20</v>
      </c>
      <c r="B2285" s="2">
        <f t="shared" si="142"/>
        <v>110</v>
      </c>
      <c r="C2285">
        <v>237</v>
      </c>
      <c r="D2285">
        <v>5</v>
      </c>
      <c r="E2285">
        <v>8</v>
      </c>
      <c r="F2285">
        <f t="shared" si="144"/>
        <v>-2.2968032633865163</v>
      </c>
      <c r="G2285">
        <f t="shared" si="145"/>
        <v>-2.0967878327753473</v>
      </c>
      <c r="I2285">
        <f t="shared" si="143"/>
        <v>-2.1967955480809316</v>
      </c>
    </row>
    <row r="2286" spans="1:9">
      <c r="A2286" t="s">
        <v>21</v>
      </c>
      <c r="B2286" s="2">
        <f t="shared" si="142"/>
        <v>110</v>
      </c>
      <c r="C2286">
        <v>252</v>
      </c>
      <c r="D2286">
        <v>10</v>
      </c>
      <c r="E2286">
        <v>2</v>
      </c>
      <c r="F2286">
        <f t="shared" si="144"/>
        <v>-2.0224254624939757</v>
      </c>
      <c r="G2286">
        <f t="shared" si="145"/>
        <v>-2.72550001887475</v>
      </c>
      <c r="I2286">
        <f t="shared" si="143"/>
        <v>-2.3739627406843629</v>
      </c>
    </row>
    <row r="2287" spans="1:9">
      <c r="A2287" t="s">
        <v>22</v>
      </c>
      <c r="B2287" s="2">
        <f t="shared" si="142"/>
        <v>110</v>
      </c>
      <c r="C2287">
        <v>147</v>
      </c>
      <c r="D2287">
        <v>12</v>
      </c>
      <c r="E2287">
        <v>2</v>
      </c>
      <c r="F2287">
        <f t="shared" si="144"/>
        <v>-1.7091610104129826</v>
      </c>
      <c r="G2287">
        <f t="shared" si="145"/>
        <v>-2.4914168128413818</v>
      </c>
      <c r="I2287">
        <f t="shared" si="143"/>
        <v>-2.1002889116271821</v>
      </c>
    </row>
    <row r="2288" spans="1:9">
      <c r="A2288" t="s">
        <v>23</v>
      </c>
      <c r="B2288" s="2">
        <f t="shared" si="142"/>
        <v>110</v>
      </c>
      <c r="C2288">
        <v>223</v>
      </c>
      <c r="D2288">
        <v>6</v>
      </c>
      <c r="E2288">
        <v>4</v>
      </c>
      <c r="F2288">
        <f t="shared" si="144"/>
        <v>-2.1911785343769483</v>
      </c>
      <c r="G2288">
        <f t="shared" si="145"/>
        <v>-2.3713743454773857</v>
      </c>
      <c r="I2288">
        <f t="shared" si="143"/>
        <v>-2.2812764399271668</v>
      </c>
    </row>
    <row r="2289" spans="1:9">
      <c r="A2289" t="s">
        <v>24</v>
      </c>
      <c r="B2289" s="2">
        <f t="shared" si="142"/>
        <v>110</v>
      </c>
      <c r="C2289">
        <v>343</v>
      </c>
      <c r="D2289">
        <v>16</v>
      </c>
      <c r="E2289">
        <v>10</v>
      </c>
      <c r="F2289">
        <f t="shared" si="144"/>
        <v>-1.952199059099277</v>
      </c>
      <c r="G2289">
        <f t="shared" si="145"/>
        <v>-2.1604235937999574</v>
      </c>
      <c r="I2289">
        <f t="shared" si="143"/>
        <v>-2.0563113264496171</v>
      </c>
    </row>
    <row r="2290" spans="1:9">
      <c r="A2290" t="s">
        <v>25</v>
      </c>
      <c r="B2290" s="2">
        <f t="shared" si="142"/>
        <v>110</v>
      </c>
      <c r="C2290">
        <v>369</v>
      </c>
      <c r="D2290">
        <v>12</v>
      </c>
      <c r="E2290">
        <v>7</v>
      </c>
      <c r="F2290">
        <f t="shared" si="144"/>
        <v>-2.1088700418238666</v>
      </c>
      <c r="G2290">
        <f t="shared" si="145"/>
        <v>-2.3470577999019904</v>
      </c>
      <c r="I2290">
        <f t="shared" si="143"/>
        <v>-2.2279639208629285</v>
      </c>
    </row>
    <row r="2291" spans="1:9">
      <c r="A2291" t="s">
        <v>7</v>
      </c>
      <c r="B2291" s="2">
        <f t="shared" si="142"/>
        <v>111</v>
      </c>
      <c r="C2291">
        <v>285</v>
      </c>
      <c r="D2291">
        <v>7</v>
      </c>
      <c r="E2291">
        <v>3</v>
      </c>
      <c r="F2291">
        <f t="shared" si="144"/>
        <v>-2.2307717417066844</v>
      </c>
      <c r="G2291">
        <f t="shared" si="145"/>
        <v>-2.6028530790460351</v>
      </c>
      <c r="I2291">
        <f t="shared" si="143"/>
        <v>-2.4168124103763597</v>
      </c>
    </row>
    <row r="2292" spans="1:9">
      <c r="A2292" t="s">
        <v>8</v>
      </c>
      <c r="B2292" s="2">
        <f t="shared" si="142"/>
        <v>111</v>
      </c>
      <c r="C2292">
        <v>352</v>
      </c>
      <c r="D2292">
        <v>18</v>
      </c>
      <c r="E2292">
        <v>4</v>
      </c>
      <c r="F2292">
        <f t="shared" si="144"/>
        <v>-1.9122950800872562</v>
      </c>
      <c r="G2292">
        <f t="shared" si="145"/>
        <v>-2.5696121459073558</v>
      </c>
      <c r="I2292">
        <f t="shared" si="143"/>
        <v>-2.240953612997306</v>
      </c>
    </row>
    <row r="2293" spans="1:9">
      <c r="A2293" t="s">
        <v>5</v>
      </c>
      <c r="B2293" s="2">
        <f t="shared" si="142"/>
        <v>111</v>
      </c>
      <c r="C2293">
        <v>267</v>
      </c>
      <c r="D2293">
        <v>10</v>
      </c>
      <c r="E2293">
        <v>11</v>
      </c>
      <c r="F2293">
        <f t="shared" si="144"/>
        <v>-2.0475361830770065</v>
      </c>
      <c r="G2293">
        <f t="shared" si="145"/>
        <v>-2.0102480499635371</v>
      </c>
      <c r="I2293">
        <f t="shared" si="143"/>
        <v>-2.0288921165202716</v>
      </c>
    </row>
    <row r="2294" spans="1:9">
      <c r="A2294" t="s">
        <v>6</v>
      </c>
      <c r="B2294" s="2">
        <f t="shared" si="142"/>
        <v>111</v>
      </c>
      <c r="C2294">
        <v>42113</v>
      </c>
      <c r="D2294">
        <v>175971</v>
      </c>
      <c r="E2294">
        <v>177642</v>
      </c>
      <c r="F2294">
        <f t="shared" si="144"/>
        <v>0</v>
      </c>
      <c r="G2294">
        <f t="shared" si="145"/>
        <v>0</v>
      </c>
      <c r="I2294">
        <f t="shared" si="143"/>
        <v>0</v>
      </c>
    </row>
    <row r="2295" spans="1:9">
      <c r="A2295" t="s">
        <v>10</v>
      </c>
      <c r="B2295" s="2">
        <f t="shared" si="142"/>
        <v>111</v>
      </c>
      <c r="C2295">
        <v>323</v>
      </c>
      <c r="D2295">
        <v>114</v>
      </c>
      <c r="E2295">
        <v>112</v>
      </c>
      <c r="F2295">
        <f t="shared" si="144"/>
        <v>-1.0733225927070615</v>
      </c>
      <c r="G2295">
        <f t="shared" si="145"/>
        <v>-1.0851139734181083</v>
      </c>
      <c r="I2295">
        <f t="shared" si="143"/>
        <v>-1.0792182830625849</v>
      </c>
    </row>
    <row r="2296" spans="1:9">
      <c r="A2296" t="s">
        <v>11</v>
      </c>
      <c r="B2296" s="2">
        <f t="shared" si="142"/>
        <v>111</v>
      </c>
      <c r="C2296">
        <v>222</v>
      </c>
      <c r="D2296">
        <v>11</v>
      </c>
      <c r="E2296">
        <v>40</v>
      </c>
      <c r="F2296">
        <f t="shared" si="144"/>
        <v>-1.9259852110048448</v>
      </c>
      <c r="G2296">
        <f t="shared" si="145"/>
        <v>-1.3694224568798634</v>
      </c>
      <c r="I2296">
        <f t="shared" si="143"/>
        <v>-1.6477038339423542</v>
      </c>
    </row>
    <row r="2297" spans="1:9">
      <c r="A2297" t="s">
        <v>12</v>
      </c>
      <c r="B2297" s="2">
        <f t="shared" si="142"/>
        <v>111</v>
      </c>
      <c r="C2297">
        <v>266</v>
      </c>
      <c r="D2297">
        <v>12</v>
      </c>
      <c r="E2297">
        <v>2</v>
      </c>
      <c r="F2297">
        <f t="shared" si="144"/>
        <v>-1.9667253122958734</v>
      </c>
      <c r="G2297">
        <f t="shared" si="145"/>
        <v>-2.7489811147242729</v>
      </c>
      <c r="I2297">
        <f t="shared" si="143"/>
        <v>-2.3578532135100732</v>
      </c>
    </row>
    <row r="2298" spans="1:9">
      <c r="A2298" t="s">
        <v>9</v>
      </c>
      <c r="B2298" s="2">
        <f t="shared" si="142"/>
        <v>111</v>
      </c>
      <c r="C2298">
        <v>254</v>
      </c>
      <c r="D2298">
        <v>31</v>
      </c>
      <c r="E2298">
        <v>12</v>
      </c>
      <c r="F2298">
        <f t="shared" si="144"/>
        <v>-1.5344969444980967</v>
      </c>
      <c r="G2298">
        <f t="shared" si="145"/>
        <v>-1.9507819443295003</v>
      </c>
      <c r="I2298">
        <f t="shared" si="143"/>
        <v>-1.7426394444137985</v>
      </c>
    </row>
    <row r="2299" spans="1:9">
      <c r="A2299" t="s">
        <v>13</v>
      </c>
      <c r="B2299" s="2">
        <f t="shared" si="142"/>
        <v>111</v>
      </c>
      <c r="C2299">
        <v>345</v>
      </c>
      <c r="D2299">
        <v>145</v>
      </c>
      <c r="E2299">
        <v>170</v>
      </c>
      <c r="F2299">
        <f t="shared" si="144"/>
        <v>-0.99747601455073054</v>
      </c>
      <c r="G2299">
        <f t="shared" si="145"/>
        <v>-0.93249964745218727</v>
      </c>
      <c r="I2299">
        <f t="shared" si="143"/>
        <v>-0.96498783100145891</v>
      </c>
    </row>
    <row r="2300" spans="1:9">
      <c r="A2300" t="s">
        <v>14</v>
      </c>
      <c r="B2300" s="2">
        <f t="shared" si="142"/>
        <v>111</v>
      </c>
      <c r="C2300">
        <v>226</v>
      </c>
      <c r="D2300">
        <v>16</v>
      </c>
      <c r="E2300">
        <v>0</v>
      </c>
      <c r="F2300">
        <f t="shared" si="144"/>
        <v>-1.7710133782039075</v>
      </c>
      <c r="G2300" t="e">
        <f t="shared" si="145"/>
        <v>#NUM!</v>
      </c>
      <c r="I2300" t="e">
        <f t="shared" si="143"/>
        <v>#NUM!</v>
      </c>
    </row>
    <row r="2301" spans="1:9">
      <c r="A2301" t="s">
        <v>15</v>
      </c>
      <c r="B2301" s="2">
        <f t="shared" si="142"/>
        <v>111</v>
      </c>
      <c r="C2301">
        <v>287</v>
      </c>
      <c r="D2301">
        <v>17</v>
      </c>
      <c r="E2301">
        <v>3</v>
      </c>
      <c r="F2301">
        <f t="shared" si="144"/>
        <v>-1.8484578970681498</v>
      </c>
      <c r="G2301">
        <f t="shared" si="145"/>
        <v>-2.6058901157715169</v>
      </c>
      <c r="I2301">
        <f t="shared" si="143"/>
        <v>-2.2271740064198333</v>
      </c>
    </row>
    <row r="2302" spans="1:9">
      <c r="A2302" t="s">
        <v>16</v>
      </c>
      <c r="B2302" s="2">
        <f t="shared" si="142"/>
        <v>111</v>
      </c>
      <c r="C2302">
        <v>192</v>
      </c>
      <c r="D2302">
        <v>9</v>
      </c>
      <c r="E2302">
        <v>9</v>
      </c>
      <c r="F2302">
        <f t="shared" si="144"/>
        <v>-1.950083640976656</v>
      </c>
      <c r="G2302">
        <f t="shared" si="145"/>
        <v>-1.9541881930214118</v>
      </c>
      <c r="I2302">
        <f t="shared" si="143"/>
        <v>-1.9521359169990338</v>
      </c>
    </row>
    <row r="2303" spans="1:9">
      <c r="A2303" t="s">
        <v>17</v>
      </c>
      <c r="B2303" s="2">
        <f t="shared" si="142"/>
        <v>111</v>
      </c>
      <c r="C2303">
        <v>231</v>
      </c>
      <c r="D2303">
        <v>26</v>
      </c>
      <c r="E2303">
        <v>17</v>
      </c>
      <c r="F2303">
        <f t="shared" si="144"/>
        <v>-1.5696635536337578</v>
      </c>
      <c r="G2303">
        <f t="shared" si="145"/>
        <v>-1.7582925322710574</v>
      </c>
      <c r="I2303">
        <f t="shared" si="143"/>
        <v>-1.6639780429524076</v>
      </c>
    </row>
    <row r="2304" spans="1:9">
      <c r="A2304" t="s">
        <v>18</v>
      </c>
      <c r="B2304" s="2">
        <f t="shared" si="142"/>
        <v>111</v>
      </c>
      <c r="C2304">
        <v>232</v>
      </c>
      <c r="D2304">
        <v>52</v>
      </c>
      <c r="E2304">
        <v>61</v>
      </c>
      <c r="F2304">
        <f t="shared" si="144"/>
        <v>-1.2705095629685319</v>
      </c>
      <c r="G2304">
        <f t="shared" si="145"/>
        <v>-1.2052876236373198</v>
      </c>
      <c r="I2304">
        <f t="shared" si="143"/>
        <v>-1.2378985933029258</v>
      </c>
    </row>
    <row r="2305" spans="1:9">
      <c r="A2305" t="s">
        <v>19</v>
      </c>
      <c r="B2305" s="2">
        <f t="shared" si="142"/>
        <v>111</v>
      </c>
      <c r="C2305">
        <v>249</v>
      </c>
      <c r="D2305">
        <v>72</v>
      </c>
      <c r="E2305">
        <v>97</v>
      </c>
      <c r="F2305">
        <f t="shared" si="144"/>
        <v>-1.1598917723768993</v>
      </c>
      <c r="G2305">
        <f t="shared" si="145"/>
        <v>-1.0345570865866787</v>
      </c>
      <c r="I2305">
        <f t="shared" si="143"/>
        <v>-1.097224429481789</v>
      </c>
    </row>
    <row r="2306" spans="1:9">
      <c r="A2306" t="s">
        <v>20</v>
      </c>
      <c r="B2306" s="2">
        <f t="shared" si="142"/>
        <v>111</v>
      </c>
      <c r="C2306">
        <v>337</v>
      </c>
      <c r="D2306">
        <v>13</v>
      </c>
      <c r="E2306">
        <v>8</v>
      </c>
      <c r="F2306">
        <f t="shared" si="144"/>
        <v>-2.0347114702769331</v>
      </c>
      <c r="G2306">
        <f t="shared" si="145"/>
        <v>-2.2496693876365823</v>
      </c>
      <c r="I2306">
        <f t="shared" si="143"/>
        <v>-2.1421904289567575</v>
      </c>
    </row>
    <row r="2307" spans="1:9">
      <c r="A2307" t="s">
        <v>21</v>
      </c>
      <c r="B2307" s="2">
        <f t="shared" ref="B2307:B2370" si="146">1+INT((ROW()-2)/21)+1</f>
        <v>111</v>
      </c>
      <c r="C2307">
        <v>208</v>
      </c>
      <c r="D2307">
        <v>16</v>
      </c>
      <c r="E2307">
        <v>1</v>
      </c>
      <c r="F2307">
        <f t="shared" si="144"/>
        <v>-1.734968274019268</v>
      </c>
      <c r="G2307">
        <f t="shared" si="145"/>
        <v>-2.9431928087199486</v>
      </c>
      <c r="I2307">
        <f t="shared" ref="I2307:I2370" si="147">AVERAGE(F2307:G2307)</f>
        <v>-2.3390805413696083</v>
      </c>
    </row>
    <row r="2308" spans="1:9">
      <c r="A2308" t="s">
        <v>22</v>
      </c>
      <c r="B2308" s="2">
        <f t="shared" si="146"/>
        <v>111</v>
      </c>
      <c r="C2308">
        <v>184</v>
      </c>
      <c r="D2308">
        <v>6</v>
      </c>
      <c r="E2308">
        <v>8</v>
      </c>
      <c r="F2308">
        <f t="shared" si="144"/>
        <v>-2.107691494338324</v>
      </c>
      <c r="G2308">
        <f t="shared" si="145"/>
        <v>-1.9868573097747799</v>
      </c>
      <c r="I2308">
        <f t="shared" si="147"/>
        <v>-2.0472744020565519</v>
      </c>
    </row>
    <row r="2309" spans="1:9">
      <c r="A2309" t="s">
        <v>23</v>
      </c>
      <c r="B2309" s="2">
        <f t="shared" si="146"/>
        <v>111</v>
      </c>
      <c r="C2309">
        <v>212</v>
      </c>
      <c r="D2309">
        <v>6</v>
      </c>
      <c r="E2309">
        <v>0</v>
      </c>
      <c r="F2309">
        <f t="shared" si="144"/>
        <v>-2.1692095322575389</v>
      </c>
      <c r="G2309" t="e">
        <f t="shared" si="145"/>
        <v>#NUM!</v>
      </c>
      <c r="I2309" t="e">
        <f t="shared" si="147"/>
        <v>#NUM!</v>
      </c>
    </row>
    <row r="2310" spans="1:9">
      <c r="A2310" t="s">
        <v>24</v>
      </c>
      <c r="B2310" s="2">
        <f t="shared" si="146"/>
        <v>111</v>
      </c>
      <c r="C2310">
        <v>175</v>
      </c>
      <c r="D2310">
        <v>28</v>
      </c>
      <c r="E2310">
        <v>2</v>
      </c>
      <c r="F2310">
        <f t="shared" si="144"/>
        <v>-1.4169049390565065</v>
      </c>
      <c r="G2310">
        <f t="shared" si="145"/>
        <v>-2.5671375267795002</v>
      </c>
      <c r="I2310">
        <f t="shared" si="147"/>
        <v>-1.9920212329180034</v>
      </c>
    </row>
    <row r="2311" spans="1:9">
      <c r="A2311" t="s">
        <v>25</v>
      </c>
      <c r="B2311" s="2">
        <f t="shared" si="146"/>
        <v>111</v>
      </c>
      <c r="C2311">
        <v>212</v>
      </c>
      <c r="D2311">
        <v>11</v>
      </c>
      <c r="E2311">
        <v>0</v>
      </c>
      <c r="F2311">
        <f t="shared" si="144"/>
        <v>-1.9059680974829576</v>
      </c>
      <c r="G2311" t="e">
        <f t="shared" si="145"/>
        <v>#NUM!</v>
      </c>
      <c r="I2311" t="e">
        <f t="shared" si="147"/>
        <v>#NUM!</v>
      </c>
    </row>
    <row r="2312" spans="1:9">
      <c r="A2312" t="s">
        <v>7</v>
      </c>
      <c r="B2312" s="2">
        <f t="shared" si="146"/>
        <v>112</v>
      </c>
      <c r="C2312">
        <v>183</v>
      </c>
      <c r="D2312">
        <v>8</v>
      </c>
      <c r="E2312">
        <v>2</v>
      </c>
      <c r="F2312">
        <f t="shared" si="144"/>
        <v>-1.9803860244509173</v>
      </c>
      <c r="G2312">
        <f t="shared" si="145"/>
        <v>-2.5865505678236351</v>
      </c>
      <c r="I2312">
        <f t="shared" si="147"/>
        <v>-2.2834682961372761</v>
      </c>
    </row>
    <row r="2313" spans="1:9">
      <c r="A2313" t="s">
        <v>8</v>
      </c>
      <c r="B2313" s="2">
        <f t="shared" si="146"/>
        <v>112</v>
      </c>
      <c r="C2313">
        <v>244</v>
      </c>
      <c r="D2313">
        <v>48</v>
      </c>
      <c r="E2313">
        <v>51</v>
      </c>
      <c r="F2313">
        <f t="shared" si="144"/>
        <v>-1.3271735106755735</v>
      </c>
      <c r="G2313">
        <f t="shared" si="145"/>
        <v>-1.30494912399798</v>
      </c>
      <c r="I2313">
        <f t="shared" si="147"/>
        <v>-1.3160613173367768</v>
      </c>
    </row>
    <row r="2314" spans="1:9">
      <c r="A2314" t="s">
        <v>5</v>
      </c>
      <c r="B2314" s="2">
        <f t="shared" si="146"/>
        <v>112</v>
      </c>
      <c r="C2314">
        <v>240</v>
      </c>
      <c r="D2314">
        <v>1271</v>
      </c>
      <c r="E2314">
        <v>431</v>
      </c>
      <c r="F2314">
        <f t="shared" si="144"/>
        <v>0.10290938712997089</v>
      </c>
      <c r="G2314">
        <f t="shared" si="145"/>
        <v>-0.37086344530806148</v>
      </c>
      <c r="I2314">
        <f t="shared" si="147"/>
        <v>-0.1339770290890453</v>
      </c>
    </row>
    <row r="2315" spans="1:9">
      <c r="A2315" t="s">
        <v>6</v>
      </c>
      <c r="B2315" s="2">
        <f t="shared" si="146"/>
        <v>112</v>
      </c>
      <c r="C2315">
        <v>249</v>
      </c>
      <c r="D2315">
        <v>1764</v>
      </c>
      <c r="E2315">
        <v>453</v>
      </c>
      <c r="F2315">
        <f t="shared" si="144"/>
        <v>0.22927431198763326</v>
      </c>
      <c r="G2315">
        <f t="shared" si="145"/>
        <v>-0.36523061884009156</v>
      </c>
      <c r="I2315">
        <f t="shared" si="147"/>
        <v>-6.7978153426229149E-2</v>
      </c>
    </row>
    <row r="2316" spans="1:9">
      <c r="A2316" t="s">
        <v>10</v>
      </c>
      <c r="B2316" s="2">
        <f t="shared" si="146"/>
        <v>112</v>
      </c>
      <c r="C2316">
        <v>217</v>
      </c>
      <c r="D2316">
        <v>656</v>
      </c>
      <c r="E2316">
        <v>5933</v>
      </c>
      <c r="F2316">
        <f t="shared" si="144"/>
        <v>-0.14058081618530055</v>
      </c>
      <c r="G2316">
        <f t="shared" si="145"/>
        <v>0.81168514073173714</v>
      </c>
      <c r="I2316">
        <f t="shared" si="147"/>
        <v>0.33555216227321827</v>
      </c>
    </row>
    <row r="2317" spans="1:9">
      <c r="A2317" t="s">
        <v>11</v>
      </c>
      <c r="B2317" s="2">
        <f t="shared" si="146"/>
        <v>112</v>
      </c>
      <c r="C2317">
        <v>272</v>
      </c>
      <c r="D2317">
        <v>304</v>
      </c>
      <c r="E2317">
        <v>186</v>
      </c>
      <c r="F2317">
        <f t="shared" si="144"/>
        <v>-0.5727202421378762</v>
      </c>
      <c r="G2317">
        <f t="shared" si="145"/>
        <v>-0.79018543357346949</v>
      </c>
      <c r="I2317">
        <f t="shared" si="147"/>
        <v>-0.68145283785567279</v>
      </c>
    </row>
    <row r="2318" spans="1:9">
      <c r="A2318" t="s">
        <v>12</v>
      </c>
      <c r="B2318" s="2">
        <f t="shared" si="146"/>
        <v>112</v>
      </c>
      <c r="C2318">
        <v>325</v>
      </c>
      <c r="D2318">
        <v>369</v>
      </c>
      <c r="E2318">
        <v>102</v>
      </c>
      <c r="F2318">
        <f t="shared" si="144"/>
        <v>-0.56588191653224529</v>
      </c>
      <c r="G2318">
        <f t="shared" si="145"/>
        <v>-1.128412662974144</v>
      </c>
      <c r="I2318">
        <f t="shared" si="147"/>
        <v>-0.84714728975319464</v>
      </c>
    </row>
    <row r="2319" spans="1:9">
      <c r="A2319" t="s">
        <v>9</v>
      </c>
      <c r="B2319" s="2">
        <f t="shared" si="146"/>
        <v>112</v>
      </c>
      <c r="C2319">
        <v>260</v>
      </c>
      <c r="D2319">
        <v>96</v>
      </c>
      <c r="E2319">
        <v>64</v>
      </c>
      <c r="F2319">
        <f t="shared" si="144"/>
        <v>-1.0537270366436808</v>
      </c>
      <c r="G2319">
        <f t="shared" si="145"/>
        <v>-1.2339228477441178</v>
      </c>
      <c r="I2319">
        <f t="shared" si="147"/>
        <v>-1.1438249421938993</v>
      </c>
    </row>
    <row r="2320" spans="1:9">
      <c r="A2320" t="s">
        <v>13</v>
      </c>
      <c r="B2320" s="2">
        <f t="shared" si="146"/>
        <v>112</v>
      </c>
      <c r="C2320">
        <v>176</v>
      </c>
      <c r="D2320">
        <v>263</v>
      </c>
      <c r="E2320">
        <v>115</v>
      </c>
      <c r="F2320">
        <f t="shared" si="144"/>
        <v>-0.44658184103682319</v>
      </c>
      <c r="G2320">
        <f t="shared" si="145"/>
        <v>-0.8099443012177252</v>
      </c>
      <c r="I2320">
        <f t="shared" si="147"/>
        <v>-0.6282630711272742</v>
      </c>
    </row>
    <row r="2321" spans="1:9">
      <c r="A2321" t="s">
        <v>14</v>
      </c>
      <c r="B2321" s="2">
        <f t="shared" si="146"/>
        <v>112</v>
      </c>
      <c r="C2321">
        <v>215</v>
      </c>
      <c r="D2321">
        <v>272</v>
      </c>
      <c r="E2321">
        <v>64</v>
      </c>
      <c r="F2321">
        <f t="shared" si="144"/>
        <v>-0.51889447759383789</v>
      </c>
      <c r="G2321">
        <f t="shared" si="145"/>
        <v>-1.1513879596889054</v>
      </c>
      <c r="I2321">
        <f t="shared" si="147"/>
        <v>-0.83514121864137159</v>
      </c>
    </row>
    <row r="2322" spans="1:9">
      <c r="A2322" t="s">
        <v>15</v>
      </c>
      <c r="B2322" s="2">
        <f t="shared" si="146"/>
        <v>112</v>
      </c>
      <c r="C2322">
        <v>9</v>
      </c>
      <c r="D2322">
        <v>18</v>
      </c>
      <c r="E2322">
        <v>30</v>
      </c>
      <c r="F2322">
        <f t="shared" si="144"/>
        <v>-0.31999492604845009</v>
      </c>
      <c r="G2322">
        <f t="shared" si="145"/>
        <v>-0.10225072847684946</v>
      </c>
      <c r="I2322">
        <f t="shared" si="147"/>
        <v>-0.21112282726264978</v>
      </c>
    </row>
    <row r="2323" spans="1:9">
      <c r="A2323" t="s">
        <v>16</v>
      </c>
      <c r="B2323" s="2">
        <f t="shared" si="146"/>
        <v>112</v>
      </c>
      <c r="C2323">
        <v>263</v>
      </c>
      <c r="D2323">
        <v>69</v>
      </c>
      <c r="E2323">
        <v>32</v>
      </c>
      <c r="F2323">
        <f t="shared" si="144"/>
        <v>-1.2021315794649339</v>
      </c>
      <c r="G2323">
        <f t="shared" si="145"/>
        <v>-1.5399352439270388</v>
      </c>
      <c r="I2323">
        <f t="shared" si="147"/>
        <v>-1.3710334116959864</v>
      </c>
    </row>
    <row r="2324" spans="1:9">
      <c r="A2324" t="s">
        <v>17</v>
      </c>
      <c r="B2324" s="2">
        <f t="shared" si="146"/>
        <v>112</v>
      </c>
      <c r="C2324">
        <v>207</v>
      </c>
      <c r="D2324">
        <v>94</v>
      </c>
      <c r="E2324">
        <v>11</v>
      </c>
      <c r="F2324">
        <f t="shared" si="144"/>
        <v>-0.96386741356965033</v>
      </c>
      <c r="G2324">
        <f t="shared" si="145"/>
        <v>-1.8997071340558798</v>
      </c>
      <c r="I2324">
        <f t="shared" si="147"/>
        <v>-1.431787273812765</v>
      </c>
    </row>
    <row r="2325" spans="1:9">
      <c r="A2325" t="s">
        <v>18</v>
      </c>
      <c r="B2325" s="2">
        <f t="shared" si="146"/>
        <v>112</v>
      </c>
      <c r="C2325">
        <v>242</v>
      </c>
      <c r="D2325">
        <v>126</v>
      </c>
      <c r="E2325">
        <v>28</v>
      </c>
      <c r="F2325">
        <f t="shared" si="144"/>
        <v>-0.90446974257529966</v>
      </c>
      <c r="G2325">
        <f t="shared" si="145"/>
        <v>-1.5617868083953992</v>
      </c>
      <c r="I2325">
        <f t="shared" si="147"/>
        <v>-1.2331282754853494</v>
      </c>
    </row>
    <row r="2326" spans="1:9">
      <c r="A2326" t="s">
        <v>19</v>
      </c>
      <c r="B2326" s="2">
        <f t="shared" si="146"/>
        <v>112</v>
      </c>
      <c r="C2326">
        <v>261</v>
      </c>
      <c r="D2326">
        <v>135</v>
      </c>
      <c r="E2326">
        <v>132</v>
      </c>
      <c r="F2326">
        <f t="shared" si="144"/>
        <v>-0.90733166055570613</v>
      </c>
      <c r="G2326">
        <f t="shared" si="145"/>
        <v>-0.92119604988961812</v>
      </c>
      <c r="I2326">
        <f t="shared" si="147"/>
        <v>-0.91426385522266207</v>
      </c>
    </row>
    <row r="2327" spans="1:9">
      <c r="A2327" t="s">
        <v>20</v>
      </c>
      <c r="B2327" s="2">
        <f t="shared" si="146"/>
        <v>112</v>
      </c>
      <c r="C2327">
        <v>251</v>
      </c>
      <c r="D2327">
        <v>126</v>
      </c>
      <c r="E2327">
        <v>53</v>
      </c>
      <c r="F2327">
        <f t="shared" si="144"/>
        <v>-0.92032809807590654</v>
      </c>
      <c r="G2327">
        <f t="shared" si="145"/>
        <v>-1.3005273256374361</v>
      </c>
      <c r="I2327">
        <f t="shared" si="147"/>
        <v>-1.1104277118566714</v>
      </c>
    </row>
    <row r="2328" spans="1:9">
      <c r="A2328" t="s">
        <v>21</v>
      </c>
      <c r="B2328" s="2">
        <f t="shared" si="146"/>
        <v>112</v>
      </c>
      <c r="C2328">
        <v>181</v>
      </c>
      <c r="D2328">
        <v>27</v>
      </c>
      <c r="E2328">
        <v>9</v>
      </c>
      <c r="F2328">
        <f t="shared" si="144"/>
        <v>-1.4473397324226285</v>
      </c>
      <c r="G2328">
        <f t="shared" si="145"/>
        <v>-1.9285655391870467</v>
      </c>
      <c r="I2328">
        <f t="shared" si="147"/>
        <v>-1.6879526358048376</v>
      </c>
    </row>
    <row r="2329" spans="1:9">
      <c r="A2329" t="s">
        <v>22</v>
      </c>
      <c r="B2329" s="2">
        <f t="shared" si="146"/>
        <v>112</v>
      </c>
      <c r="C2329">
        <v>180</v>
      </c>
      <c r="D2329">
        <v>169</v>
      </c>
      <c r="E2329">
        <v>76</v>
      </c>
      <c r="F2329">
        <f t="shared" si="144"/>
        <v>-0.64841072220206386</v>
      </c>
      <c r="G2329">
        <f t="shared" si="145"/>
        <v>-0.99958838657970173</v>
      </c>
      <c r="I2329">
        <f t="shared" si="147"/>
        <v>-0.82399955439088279</v>
      </c>
    </row>
    <row r="2330" spans="1:9">
      <c r="A2330" t="s">
        <v>23</v>
      </c>
      <c r="B2330" s="2">
        <f t="shared" si="146"/>
        <v>112</v>
      </c>
      <c r="C2330">
        <v>214</v>
      </c>
      <c r="D2330">
        <v>34</v>
      </c>
      <c r="E2330">
        <v>5</v>
      </c>
      <c r="F2330">
        <f t="shared" si="144"/>
        <v>-1.4199597780193671</v>
      </c>
      <c r="G2330">
        <f t="shared" si="145"/>
        <v>-2.2565732427703589</v>
      </c>
      <c r="I2330">
        <f t="shared" si="147"/>
        <v>-1.838266510394863</v>
      </c>
    </row>
    <row r="2331" spans="1:9">
      <c r="A2331" t="s">
        <v>24</v>
      </c>
      <c r="B2331" s="2">
        <f t="shared" si="146"/>
        <v>112</v>
      </c>
      <c r="C2331">
        <v>274</v>
      </c>
      <c r="D2331">
        <v>7</v>
      </c>
      <c r="E2331">
        <v>4</v>
      </c>
      <c r="F2331">
        <f t="shared" si="144"/>
        <v>-2.2136774445185625</v>
      </c>
      <c r="G2331">
        <f t="shared" si="145"/>
        <v>-2.460820045249613</v>
      </c>
      <c r="I2331">
        <f t="shared" si="147"/>
        <v>-2.3372487448840875</v>
      </c>
    </row>
    <row r="2332" spans="1:9">
      <c r="A2332" t="s">
        <v>25</v>
      </c>
      <c r="B2332" s="2">
        <f t="shared" si="146"/>
        <v>112</v>
      </c>
      <c r="C2332">
        <v>266</v>
      </c>
      <c r="D2332">
        <v>5</v>
      </c>
      <c r="E2332">
        <v>2</v>
      </c>
      <c r="F2332">
        <f t="shared" si="144"/>
        <v>-2.3469365540074794</v>
      </c>
      <c r="G2332">
        <f t="shared" si="145"/>
        <v>-2.7489811147242729</v>
      </c>
      <c r="I2332">
        <f t="shared" si="147"/>
        <v>-2.5479588343658763</v>
      </c>
    </row>
    <row r="2333" spans="1:9">
      <c r="A2333" t="s">
        <v>7</v>
      </c>
      <c r="B2333" s="2">
        <f t="shared" si="146"/>
        <v>113</v>
      </c>
      <c r="C2333">
        <v>180</v>
      </c>
      <c r="D2333">
        <v>5</v>
      </c>
      <c r="E2333">
        <v>3</v>
      </c>
      <c r="F2333">
        <f t="shared" si="144"/>
        <v>-2.1773274224797188</v>
      </c>
      <c r="G2333">
        <f t="shared" si="145"/>
        <v>-2.4032807241408305</v>
      </c>
      <c r="I2333">
        <f t="shared" si="147"/>
        <v>-2.2903040733102746</v>
      </c>
    </row>
    <row r="2334" spans="1:9">
      <c r="A2334" t="s">
        <v>8</v>
      </c>
      <c r="B2334" s="2">
        <f t="shared" si="146"/>
        <v>113</v>
      </c>
      <c r="C2334">
        <v>228</v>
      </c>
      <c r="D2334">
        <v>32</v>
      </c>
      <c r="E2334">
        <v>35</v>
      </c>
      <c r="F2334">
        <f t="shared" si="144"/>
        <v>-1.4738097903929792</v>
      </c>
      <c r="G2334">
        <f t="shared" si="145"/>
        <v>-1.4389962764073654</v>
      </c>
      <c r="I2334">
        <f t="shared" si="147"/>
        <v>-1.4564030334001723</v>
      </c>
    </row>
    <row r="2335" spans="1:9">
      <c r="A2335" t="s">
        <v>5</v>
      </c>
      <c r="B2335" s="2">
        <f t="shared" si="146"/>
        <v>113</v>
      </c>
      <c r="C2335">
        <v>154</v>
      </c>
      <c r="D2335">
        <v>23</v>
      </c>
      <c r="E2335">
        <v>9</v>
      </c>
      <c r="F2335">
        <f t="shared" si="144"/>
        <v>-1.4468178065313015</v>
      </c>
      <c r="G2335">
        <f t="shared" si="145"/>
        <v>-1.8584076851543252</v>
      </c>
      <c r="I2335">
        <f t="shared" si="147"/>
        <v>-1.6526127458428133</v>
      </c>
    </row>
    <row r="2336" spans="1:9">
      <c r="A2336" t="s">
        <v>6</v>
      </c>
      <c r="B2336" s="2">
        <f t="shared" si="146"/>
        <v>113</v>
      </c>
      <c r="C2336">
        <v>356</v>
      </c>
      <c r="D2336">
        <v>26</v>
      </c>
      <c r="E2336">
        <v>14</v>
      </c>
      <c r="F2336">
        <f t="shared" si="144"/>
        <v>-1.7575015717144886</v>
      </c>
      <c r="G2336">
        <f t="shared" si="145"/>
        <v>-2.0304514360518242</v>
      </c>
      <c r="I2336">
        <f t="shared" si="147"/>
        <v>-1.8939765038831564</v>
      </c>
    </row>
    <row r="2337" spans="1:9">
      <c r="A2337" t="s">
        <v>10</v>
      </c>
      <c r="B2337" s="2">
        <f t="shared" si="146"/>
        <v>113</v>
      </c>
      <c r="C2337">
        <v>222</v>
      </c>
      <c r="D2337">
        <v>207</v>
      </c>
      <c r="E2337">
        <v>68</v>
      </c>
      <c r="F2337">
        <f t="shared" si="144"/>
        <v>-0.65140755070615219</v>
      </c>
      <c r="G2337">
        <f t="shared" si="145"/>
        <v>-1.1389735355015893</v>
      </c>
      <c r="I2337">
        <f t="shared" si="147"/>
        <v>-0.8951905431038707</v>
      </c>
    </row>
    <row r="2338" spans="1:9">
      <c r="A2338" t="s">
        <v>11</v>
      </c>
      <c r="B2338" s="2">
        <f t="shared" si="146"/>
        <v>113</v>
      </c>
      <c r="C2338">
        <v>355</v>
      </c>
      <c r="D2338">
        <v>51</v>
      </c>
      <c r="E2338">
        <v>53</v>
      </c>
      <c r="F2338">
        <f t="shared" si="144"/>
        <v>-1.463683098669589</v>
      </c>
      <c r="G2338">
        <f t="shared" si="145"/>
        <v>-1.4510819572114921</v>
      </c>
      <c r="I2338">
        <f t="shared" si="147"/>
        <v>-1.4573825279405406</v>
      </c>
    </row>
    <row r="2339" spans="1:9">
      <c r="A2339" t="s">
        <v>12</v>
      </c>
      <c r="B2339" s="2">
        <f t="shared" si="146"/>
        <v>113</v>
      </c>
      <c r="C2339">
        <v>250</v>
      </c>
      <c r="D2339">
        <v>547</v>
      </c>
      <c r="E2339">
        <v>215</v>
      </c>
      <c r="F2339">
        <f t="shared" ref="F2339:F2402" si="148">LOG10(D2339/C2339)-LOG10(175971/42113)</f>
        <v>-0.28097760405103811</v>
      </c>
      <c r="G2339">
        <f t="shared" ref="G2339:G2402" si="149">LOG10(E2339/C2339)-LOG10(177642/42113)</f>
        <v>-0.69063102251361941</v>
      </c>
      <c r="I2339">
        <f t="shared" si="147"/>
        <v>-0.48580431328232876</v>
      </c>
    </row>
    <row r="2340" spans="1:9">
      <c r="A2340" t="s">
        <v>9</v>
      </c>
      <c r="B2340" s="2">
        <f t="shared" si="146"/>
        <v>113</v>
      </c>
      <c r="C2340">
        <v>180</v>
      </c>
      <c r="D2340">
        <v>435</v>
      </c>
      <c r="E2340">
        <v>326</v>
      </c>
      <c r="F2340">
        <f t="shared" si="148"/>
        <v>-0.23780816986110004</v>
      </c>
      <c r="G2340">
        <f t="shared" si="149"/>
        <v>-0.36718437879255417</v>
      </c>
      <c r="I2340">
        <f t="shared" si="147"/>
        <v>-0.30249627432682713</v>
      </c>
    </row>
    <row r="2341" spans="1:9">
      <c r="A2341" t="s">
        <v>13</v>
      </c>
      <c r="B2341" s="2">
        <f t="shared" si="146"/>
        <v>113</v>
      </c>
      <c r="C2341">
        <v>207</v>
      </c>
      <c r="D2341">
        <v>62</v>
      </c>
      <c r="E2341">
        <v>54</v>
      </c>
      <c r="F2341">
        <f t="shared" si="148"/>
        <v>-1.1446035776710952</v>
      </c>
      <c r="G2341">
        <f t="shared" si="149"/>
        <v>-1.2087060593911363</v>
      </c>
      <c r="I2341">
        <f t="shared" si="147"/>
        <v>-1.1766548185311159</v>
      </c>
    </row>
    <row r="2342" spans="1:9">
      <c r="A2342" t="s">
        <v>14</v>
      </c>
      <c r="B2342" s="2">
        <f t="shared" si="146"/>
        <v>113</v>
      </c>
      <c r="C2342">
        <v>245</v>
      </c>
      <c r="D2342">
        <v>518</v>
      </c>
      <c r="E2342">
        <v>225</v>
      </c>
      <c r="F2342">
        <f t="shared" si="148"/>
        <v>-0.29586124633173072</v>
      </c>
      <c r="G2342">
        <f t="shared" si="149"/>
        <v>-0.66211304001035709</v>
      </c>
      <c r="I2342">
        <f t="shared" si="147"/>
        <v>-0.47898714317104391</v>
      </c>
    </row>
    <row r="2343" spans="1:9">
      <c r="A2343" t="s">
        <v>15</v>
      </c>
      <c r="B2343" s="2">
        <f t="shared" si="146"/>
        <v>113</v>
      </c>
      <c r="C2343">
        <v>285</v>
      </c>
      <c r="D2343">
        <v>114</v>
      </c>
      <c r="E2343">
        <v>133</v>
      </c>
      <c r="F2343">
        <f t="shared" si="148"/>
        <v>-1.018964930384469</v>
      </c>
      <c r="G2343">
        <f t="shared" si="149"/>
        <v>-0.95612269279861151</v>
      </c>
      <c r="I2343">
        <f t="shared" si="147"/>
        <v>-0.98754381159154025</v>
      </c>
    </row>
    <row r="2344" spans="1:9">
      <c r="A2344" t="s">
        <v>16</v>
      </c>
      <c r="B2344" s="2">
        <f t="shared" si="146"/>
        <v>113</v>
      </c>
      <c r="C2344">
        <v>42113</v>
      </c>
      <c r="D2344">
        <v>175971</v>
      </c>
      <c r="E2344">
        <v>177642</v>
      </c>
      <c r="F2344">
        <f t="shared" si="148"/>
        <v>0</v>
      </c>
      <c r="G2344">
        <f t="shared" si="149"/>
        <v>0</v>
      </c>
      <c r="I2344">
        <f t="shared" si="147"/>
        <v>0</v>
      </c>
    </row>
    <row r="2345" spans="1:9">
      <c r="A2345" t="s">
        <v>17</v>
      </c>
      <c r="B2345" s="2">
        <f t="shared" si="146"/>
        <v>113</v>
      </c>
      <c r="C2345">
        <v>283</v>
      </c>
      <c r="D2345">
        <v>65</v>
      </c>
      <c r="E2345">
        <v>28</v>
      </c>
      <c r="F2345">
        <f t="shared" si="148"/>
        <v>-1.259898000593866</v>
      </c>
      <c r="G2345">
        <f t="shared" si="149"/>
        <v>-1.6297578779392581</v>
      </c>
      <c r="I2345">
        <f t="shared" si="147"/>
        <v>-1.4448279392665619</v>
      </c>
    </row>
    <row r="2346" spans="1:9">
      <c r="A2346" t="s">
        <v>18</v>
      </c>
      <c r="B2346" s="2">
        <f t="shared" si="146"/>
        <v>113</v>
      </c>
      <c r="C2346">
        <v>328</v>
      </c>
      <c r="D2346">
        <v>3902</v>
      </c>
      <c r="E2346">
        <v>149</v>
      </c>
      <c r="F2346">
        <f t="shared" si="148"/>
        <v>0.45438849963438899</v>
      </c>
      <c r="G2346">
        <f t="shared" si="149"/>
        <v>-0.96781704905659205</v>
      </c>
      <c r="I2346">
        <f t="shared" si="147"/>
        <v>-0.25671427471110153</v>
      </c>
    </row>
    <row r="2347" spans="1:9">
      <c r="A2347" t="s">
        <v>19</v>
      </c>
      <c r="B2347" s="2">
        <f t="shared" si="146"/>
        <v>113</v>
      </c>
      <c r="C2347">
        <v>210</v>
      </c>
      <c r="D2347">
        <v>94</v>
      </c>
      <c r="E2347">
        <v>41</v>
      </c>
      <c r="F2347">
        <f t="shared" si="148"/>
        <v>-0.97011636284665181</v>
      </c>
      <c r="G2347">
        <f t="shared" si="149"/>
        <v>-1.3345649117713707</v>
      </c>
      <c r="I2347">
        <f t="shared" si="147"/>
        <v>-1.1523406373090113</v>
      </c>
    </row>
    <row r="2348" spans="1:9">
      <c r="A2348" t="s">
        <v>20</v>
      </c>
      <c r="B2348" s="2">
        <f t="shared" si="146"/>
        <v>113</v>
      </c>
      <c r="C2348">
        <v>147</v>
      </c>
      <c r="D2348">
        <v>5</v>
      </c>
      <c r="E2348">
        <v>6</v>
      </c>
      <c r="F2348">
        <f t="shared" si="148"/>
        <v>-2.0893722521245888</v>
      </c>
      <c r="G2348">
        <f t="shared" si="149"/>
        <v>-2.0142955581217197</v>
      </c>
      <c r="I2348">
        <f t="shared" si="147"/>
        <v>-2.0518339051231544</v>
      </c>
    </row>
    <row r="2349" spans="1:9">
      <c r="A2349" t="s">
        <v>21</v>
      </c>
      <c r="B2349" s="2">
        <f t="shared" si="146"/>
        <v>113</v>
      </c>
      <c r="C2349">
        <v>372</v>
      </c>
      <c r="D2349">
        <v>105</v>
      </c>
      <c r="E2349">
        <v>87</v>
      </c>
      <c r="F2349">
        <f t="shared" si="148"/>
        <v>-1.1703785625243905</v>
      </c>
      <c r="G2349">
        <f t="shared" si="149"/>
        <v>-1.2561531610204661</v>
      </c>
      <c r="I2349">
        <f t="shared" si="147"/>
        <v>-1.2132658617724283</v>
      </c>
    </row>
    <row r="2350" spans="1:9">
      <c r="A2350" t="s">
        <v>22</v>
      </c>
      <c r="B2350" s="2">
        <f t="shared" si="146"/>
        <v>113</v>
      </c>
      <c r="C2350">
        <v>120</v>
      </c>
      <c r="D2350">
        <v>16</v>
      </c>
      <c r="E2350">
        <v>3</v>
      </c>
      <c r="F2350">
        <f t="shared" si="148"/>
        <v>-1.4960861851041314</v>
      </c>
      <c r="G2350">
        <f t="shared" si="149"/>
        <v>-2.2271894650851491</v>
      </c>
      <c r="I2350">
        <f t="shared" si="147"/>
        <v>-1.8616378250946402</v>
      </c>
    </row>
    <row r="2351" spans="1:9">
      <c r="A2351" t="s">
        <v>23</v>
      </c>
      <c r="B2351" s="2">
        <f t="shared" si="146"/>
        <v>113</v>
      </c>
      <c r="C2351">
        <v>178</v>
      </c>
      <c r="D2351">
        <v>98</v>
      </c>
      <c r="E2351">
        <v>124</v>
      </c>
      <c r="F2351">
        <f t="shared" si="148"/>
        <v>-0.88021884832883046</v>
      </c>
      <c r="G2351">
        <f t="shared" si="149"/>
        <v>-0.78212779090384599</v>
      </c>
      <c r="I2351">
        <f t="shared" si="147"/>
        <v>-0.83117331961633822</v>
      </c>
    </row>
    <row r="2352" spans="1:9">
      <c r="A2352" t="s">
        <v>24</v>
      </c>
      <c r="B2352" s="2">
        <f t="shared" si="146"/>
        <v>113</v>
      </c>
      <c r="C2352">
        <v>230</v>
      </c>
      <c r="D2352">
        <v>6</v>
      </c>
      <c r="E2352">
        <v>9</v>
      </c>
      <c r="F2352">
        <f t="shared" si="148"/>
        <v>-2.2046015073463803</v>
      </c>
      <c r="G2352">
        <f t="shared" si="149"/>
        <v>-2.0326148003354554</v>
      </c>
      <c r="I2352">
        <f t="shared" si="147"/>
        <v>-2.1186081538409178</v>
      </c>
    </row>
    <row r="2353" spans="1:9">
      <c r="A2353" t="s">
        <v>25</v>
      </c>
      <c r="B2353" s="2">
        <f t="shared" si="146"/>
        <v>113</v>
      </c>
      <c r="C2353">
        <v>261</v>
      </c>
      <c r="D2353">
        <v>16</v>
      </c>
      <c r="E2353">
        <v>4</v>
      </c>
      <c r="F2353">
        <f t="shared" si="148"/>
        <v>-1.8335454463947876</v>
      </c>
      <c r="G2353">
        <f t="shared" si="149"/>
        <v>-2.4397099897675059</v>
      </c>
      <c r="I2353">
        <f t="shared" si="147"/>
        <v>-2.1366277180811468</v>
      </c>
    </row>
    <row r="2354" spans="1:9">
      <c r="A2354" t="s">
        <v>7</v>
      </c>
      <c r="B2354" s="2">
        <f t="shared" si="146"/>
        <v>114</v>
      </c>
      <c r="C2354">
        <v>539</v>
      </c>
      <c r="D2354">
        <v>18</v>
      </c>
      <c r="E2354">
        <v>10</v>
      </c>
      <c r="F2354">
        <f t="shared" si="148"/>
        <v>-2.0973411817958638</v>
      </c>
      <c r="G2354">
        <f t="shared" si="149"/>
        <v>-2.3567182389439258</v>
      </c>
      <c r="I2354">
        <f t="shared" si="147"/>
        <v>-2.2270297103698948</v>
      </c>
    </row>
    <row r="2355" spans="1:9">
      <c r="A2355" t="s">
        <v>8</v>
      </c>
      <c r="B2355" s="2">
        <f t="shared" si="146"/>
        <v>114</v>
      </c>
      <c r="C2355">
        <v>396</v>
      </c>
      <c r="D2355">
        <v>17</v>
      </c>
      <c r="E2355">
        <v>3</v>
      </c>
      <c r="F2355">
        <f t="shared" si="148"/>
        <v>-1.9882711862596696</v>
      </c>
      <c r="G2355">
        <f t="shared" si="149"/>
        <v>-2.7457034049630371</v>
      </c>
      <c r="I2355">
        <f t="shared" si="147"/>
        <v>-2.3669872956113531</v>
      </c>
    </row>
    <row r="2356" spans="1:9">
      <c r="A2356" t="s">
        <v>5</v>
      </c>
      <c r="B2356" s="2">
        <f t="shared" si="146"/>
        <v>114</v>
      </c>
      <c r="C2356">
        <v>218</v>
      </c>
      <c r="D2356">
        <v>12</v>
      </c>
      <c r="E2356">
        <v>11</v>
      </c>
      <c r="F2356">
        <f t="shared" si="148"/>
        <v>-1.8803001692694112</v>
      </c>
      <c r="G2356">
        <f t="shared" si="149"/>
        <v>-1.9221932822035668</v>
      </c>
      <c r="I2356">
        <f t="shared" si="147"/>
        <v>-1.9012467257364891</v>
      </c>
    </row>
    <row r="2357" spans="1:9">
      <c r="A2357" t="s">
        <v>6</v>
      </c>
      <c r="B2357" s="2">
        <f t="shared" si="146"/>
        <v>114</v>
      </c>
      <c r="C2357">
        <v>357</v>
      </c>
      <c r="D2357">
        <v>12</v>
      </c>
      <c r="E2357">
        <v>23</v>
      </c>
      <c r="F2357">
        <f t="shared" si="148"/>
        <v>-2.0945118917769996</v>
      </c>
      <c r="G2357">
        <f t="shared" si="149"/>
        <v>-1.8160698538517874</v>
      </c>
      <c r="I2357">
        <f t="shared" si="147"/>
        <v>-1.9552908728143934</v>
      </c>
    </row>
    <row r="2358" spans="1:9">
      <c r="A2358" t="s">
        <v>10</v>
      </c>
      <c r="B2358" s="2">
        <f t="shared" si="146"/>
        <v>114</v>
      </c>
      <c r="C2358">
        <v>227</v>
      </c>
      <c r="D2358">
        <v>10</v>
      </c>
      <c r="E2358">
        <v>12</v>
      </c>
      <c r="F2358">
        <f t="shared" si="148"/>
        <v>-1.977050778905554</v>
      </c>
      <c r="G2358">
        <f t="shared" si="149"/>
        <v>-1.9019740849026849</v>
      </c>
      <c r="I2358">
        <f t="shared" si="147"/>
        <v>-1.9395124319041195</v>
      </c>
    </row>
    <row r="2359" spans="1:9">
      <c r="A2359" t="s">
        <v>11</v>
      </c>
      <c r="B2359" s="2">
        <f t="shared" si="146"/>
        <v>114</v>
      </c>
      <c r="C2359">
        <v>254</v>
      </c>
      <c r="D2359">
        <v>6</v>
      </c>
      <c r="E2359">
        <v>2</v>
      </c>
      <c r="F2359">
        <f t="shared" si="148"/>
        <v>-2.2477073879487257</v>
      </c>
      <c r="G2359">
        <f t="shared" si="149"/>
        <v>-2.7289331947131439</v>
      </c>
      <c r="I2359">
        <f t="shared" si="147"/>
        <v>-2.4883202913309348</v>
      </c>
    </row>
    <row r="2360" spans="1:9">
      <c r="A2360" t="s">
        <v>12</v>
      </c>
      <c r="B2360" s="2">
        <f t="shared" si="146"/>
        <v>114</v>
      </c>
      <c r="C2360">
        <v>330</v>
      </c>
      <c r="D2360">
        <v>31</v>
      </c>
      <c r="E2360">
        <v>8</v>
      </c>
      <c r="F2360">
        <f t="shared" si="148"/>
        <v>-1.6481771677560462</v>
      </c>
      <c r="G2360">
        <f t="shared" si="149"/>
        <v>-2.2405534266431308</v>
      </c>
      <c r="I2360">
        <f t="shared" si="147"/>
        <v>-1.9443652971995884</v>
      </c>
    </row>
    <row r="2361" spans="1:9">
      <c r="A2361" t="s">
        <v>9</v>
      </c>
      <c r="B2361" s="2">
        <f t="shared" si="146"/>
        <v>114</v>
      </c>
      <c r="C2361">
        <v>142</v>
      </c>
      <c r="D2361">
        <v>4</v>
      </c>
      <c r="E2361">
        <v>7</v>
      </c>
      <c r="F2361">
        <f t="shared" si="148"/>
        <v>-2.1712532747675253</v>
      </c>
      <c r="G2361">
        <f t="shared" si="149"/>
        <v>-1.9323197781259867</v>
      </c>
      <c r="I2361">
        <f t="shared" si="147"/>
        <v>-2.0517865264467559</v>
      </c>
    </row>
    <row r="2362" spans="1:9">
      <c r="A2362" t="s">
        <v>13</v>
      </c>
      <c r="B2362" s="2">
        <f t="shared" si="146"/>
        <v>114</v>
      </c>
      <c r="C2362">
        <v>145</v>
      </c>
      <c r="D2362">
        <v>14</v>
      </c>
      <c r="E2362">
        <v>2</v>
      </c>
      <c r="F2362">
        <f t="shared" si="148"/>
        <v>-1.6362648882691682</v>
      </c>
      <c r="G2362">
        <f t="shared" si="149"/>
        <v>-2.4854674803281807</v>
      </c>
      <c r="I2362">
        <f t="shared" si="147"/>
        <v>-2.0608661842986744</v>
      </c>
    </row>
    <row r="2363" spans="1:9">
      <c r="A2363" t="s">
        <v>14</v>
      </c>
      <c r="B2363" s="2">
        <f t="shared" si="146"/>
        <v>114</v>
      </c>
      <c r="C2363">
        <v>113</v>
      </c>
      <c r="D2363">
        <v>3</v>
      </c>
      <c r="E2363">
        <v>1</v>
      </c>
      <c r="F2363">
        <f t="shared" si="148"/>
        <v>-2.1969821104761884</v>
      </c>
      <c r="G2363">
        <f t="shared" si="149"/>
        <v>-2.678207917240607</v>
      </c>
      <c r="I2363">
        <f t="shared" si="147"/>
        <v>-2.4375950138583979</v>
      </c>
    </row>
    <row r="2364" spans="1:9">
      <c r="A2364" t="s">
        <v>15</v>
      </c>
      <c r="B2364" s="2">
        <f t="shared" si="146"/>
        <v>114</v>
      </c>
      <c r="C2364">
        <v>384</v>
      </c>
      <c r="D2364">
        <v>50</v>
      </c>
      <c r="E2364">
        <v>81</v>
      </c>
      <c r="F2364">
        <f t="shared" si="148"/>
        <v>-1.5063861417439433</v>
      </c>
      <c r="G2364">
        <f t="shared" si="149"/>
        <v>-1.3009756792460681</v>
      </c>
      <c r="I2364">
        <f t="shared" si="147"/>
        <v>-1.4036809104950057</v>
      </c>
    </row>
    <row r="2365" spans="1:9">
      <c r="A2365" t="s">
        <v>16</v>
      </c>
      <c r="B2365" s="2">
        <f t="shared" si="146"/>
        <v>114</v>
      </c>
      <c r="C2365">
        <v>271</v>
      </c>
      <c r="D2365">
        <v>6</v>
      </c>
      <c r="E2365">
        <v>7</v>
      </c>
      <c r="F2365">
        <f t="shared" si="148"/>
        <v>-2.2758429622031935</v>
      </c>
      <c r="G2365">
        <f t="shared" si="149"/>
        <v>-2.213000724617336</v>
      </c>
      <c r="I2365">
        <f t="shared" si="147"/>
        <v>-2.2444218434102647</v>
      </c>
    </row>
    <row r="2366" spans="1:9">
      <c r="A2366" t="s">
        <v>17</v>
      </c>
      <c r="B2366" s="2">
        <f t="shared" si="146"/>
        <v>114</v>
      </c>
      <c r="C2366">
        <v>294</v>
      </c>
      <c r="D2366">
        <v>35</v>
      </c>
      <c r="E2366">
        <v>28</v>
      </c>
      <c r="F2366">
        <f t="shared" si="148"/>
        <v>-1.5453042077743131</v>
      </c>
      <c r="G2366">
        <f t="shared" si="149"/>
        <v>-1.6463187728271251</v>
      </c>
      <c r="I2366">
        <f t="shared" si="147"/>
        <v>-1.595811490300719</v>
      </c>
    </row>
    <row r="2367" spans="1:9">
      <c r="A2367" t="s">
        <v>18</v>
      </c>
      <c r="B2367" s="2">
        <f t="shared" si="146"/>
        <v>114</v>
      </c>
      <c r="C2367">
        <v>260</v>
      </c>
      <c r="D2367">
        <v>8</v>
      </c>
      <c r="E2367">
        <v>14</v>
      </c>
      <c r="F2367">
        <f t="shared" si="148"/>
        <v>-2.1329082826913055</v>
      </c>
      <c r="G2367">
        <f t="shared" si="149"/>
        <v>-1.8939747860497671</v>
      </c>
      <c r="I2367">
        <f t="shared" si="147"/>
        <v>-2.0134415343705365</v>
      </c>
    </row>
    <row r="2368" spans="1:9">
      <c r="A2368" t="s">
        <v>19</v>
      </c>
      <c r="B2368" s="2">
        <f t="shared" si="146"/>
        <v>114</v>
      </c>
      <c r="C2368">
        <v>231</v>
      </c>
      <c r="D2368">
        <v>21</v>
      </c>
      <c r="E2368">
        <v>20</v>
      </c>
      <c r="F2368">
        <f t="shared" si="148"/>
        <v>-1.6624176068706562</v>
      </c>
      <c r="G2368">
        <f t="shared" si="149"/>
        <v>-1.6877114579853503</v>
      </c>
      <c r="I2368">
        <f t="shared" si="147"/>
        <v>-1.6750645324280033</v>
      </c>
    </row>
    <row r="2369" spans="1:9">
      <c r="A2369" t="s">
        <v>20</v>
      </c>
      <c r="B2369" s="2">
        <f t="shared" si="146"/>
        <v>114</v>
      </c>
      <c r="C2369">
        <v>344</v>
      </c>
      <c r="D2369">
        <v>54</v>
      </c>
      <c r="E2369">
        <v>35</v>
      </c>
      <c r="F2369">
        <f t="shared" si="148"/>
        <v>-1.4251896044609929</v>
      </c>
      <c r="G2369">
        <f t="shared" si="149"/>
        <v>-1.6176198719784416</v>
      </c>
      <c r="I2369">
        <f t="shared" si="147"/>
        <v>-1.5214047382197173</v>
      </c>
    </row>
    <row r="2370" spans="1:9">
      <c r="A2370" t="s">
        <v>21</v>
      </c>
      <c r="B2370" s="2">
        <f t="shared" si="146"/>
        <v>114</v>
      </c>
      <c r="C2370">
        <v>0</v>
      </c>
      <c r="D2370">
        <v>2</v>
      </c>
      <c r="E2370">
        <v>0</v>
      </c>
      <c r="F2370" t="e">
        <f t="shared" si="148"/>
        <v>#DIV/0!</v>
      </c>
      <c r="G2370" t="e">
        <f t="shared" si="149"/>
        <v>#DIV/0!</v>
      </c>
      <c r="I2370" t="e">
        <f t="shared" si="147"/>
        <v>#DIV/0!</v>
      </c>
    </row>
    <row r="2371" spans="1:9">
      <c r="A2371" t="s">
        <v>22</v>
      </c>
      <c r="B2371" s="2">
        <f t="shared" ref="B2371:B2434" si="150">1+INT((ROW()-2)/21)+1</f>
        <v>114</v>
      </c>
      <c r="C2371">
        <v>221</v>
      </c>
      <c r="D2371">
        <v>9</v>
      </c>
      <c r="E2371">
        <v>1</v>
      </c>
      <c r="F2371">
        <f t="shared" si="148"/>
        <v>-2.0111746859582169</v>
      </c>
      <c r="G2371">
        <f t="shared" si="149"/>
        <v>-2.9695217474422977</v>
      </c>
      <c r="I2371">
        <f t="shared" ref="I2371:I2434" si="151">AVERAGE(F2371:G2371)</f>
        <v>-2.4903482167002573</v>
      </c>
    </row>
    <row r="2372" spans="1:9">
      <c r="A2372" t="s">
        <v>23</v>
      </c>
      <c r="B2372" s="2">
        <f t="shared" si="150"/>
        <v>114</v>
      </c>
      <c r="C2372">
        <v>182</v>
      </c>
      <c r="D2372">
        <v>53</v>
      </c>
      <c r="E2372">
        <v>43</v>
      </c>
      <c r="F2372">
        <f t="shared" si="148"/>
        <v>-1.156820440096717</v>
      </c>
      <c r="G2372">
        <f t="shared" si="149"/>
        <v>-1.2517324061626753</v>
      </c>
      <c r="I2372">
        <f t="shared" si="151"/>
        <v>-1.2042764231296963</v>
      </c>
    </row>
    <row r="2373" spans="1:9">
      <c r="A2373" t="s">
        <v>24</v>
      </c>
      <c r="B2373" s="2">
        <f t="shared" si="150"/>
        <v>114</v>
      </c>
      <c r="C2373">
        <v>346</v>
      </c>
      <c r="D2373">
        <v>12</v>
      </c>
      <c r="E2373">
        <v>1</v>
      </c>
      <c r="F2373">
        <f t="shared" si="148"/>
        <v>-2.0809197744575831</v>
      </c>
      <c r="G2373">
        <f t="shared" si="149"/>
        <v>-3.1642055725499638</v>
      </c>
      <c r="I2373">
        <f t="shared" si="151"/>
        <v>-2.6225626735037735</v>
      </c>
    </row>
    <row r="2374" spans="1:9">
      <c r="A2374" t="s">
        <v>25</v>
      </c>
      <c r="B2374" s="2">
        <f t="shared" si="150"/>
        <v>114</v>
      </c>
      <c r="C2374">
        <v>393</v>
      </c>
      <c r="D2374">
        <v>14</v>
      </c>
      <c r="E2374">
        <v>4</v>
      </c>
      <c r="F2374">
        <f t="shared" si="148"/>
        <v>-2.0692894364096199</v>
      </c>
      <c r="G2374">
        <f t="shared" si="149"/>
        <v>-2.6174620328046512</v>
      </c>
      <c r="I2374">
        <f t="shared" si="151"/>
        <v>-2.3433757346071356</v>
      </c>
    </row>
    <row r="2375" spans="1:9">
      <c r="A2375" t="s">
        <v>7</v>
      </c>
      <c r="B2375" s="2">
        <f t="shared" si="150"/>
        <v>115</v>
      </c>
      <c r="C2375">
        <v>230</v>
      </c>
      <c r="D2375">
        <v>31</v>
      </c>
      <c r="E2375">
        <v>4</v>
      </c>
      <c r="F2375">
        <f t="shared" si="148"/>
        <v>-1.4913910638957515</v>
      </c>
      <c r="G2375">
        <f t="shared" si="149"/>
        <v>-2.3847973184468176</v>
      </c>
      <c r="I2375">
        <f t="shared" si="151"/>
        <v>-1.9380941911712846</v>
      </c>
    </row>
    <row r="2376" spans="1:9">
      <c r="A2376" t="s">
        <v>8</v>
      </c>
      <c r="B2376" s="2">
        <f t="shared" si="150"/>
        <v>115</v>
      </c>
      <c r="C2376">
        <v>222</v>
      </c>
      <c r="D2376">
        <v>10</v>
      </c>
      <c r="E2376">
        <v>22</v>
      </c>
      <c r="F2376">
        <f t="shared" si="148"/>
        <v>-1.9673778961630699</v>
      </c>
      <c r="G2376">
        <f t="shared" si="149"/>
        <v>-1.6290597673856195</v>
      </c>
      <c r="I2376">
        <f t="shared" si="151"/>
        <v>-1.7982188317743448</v>
      </c>
    </row>
    <row r="2377" spans="1:9">
      <c r="A2377" t="s">
        <v>5</v>
      </c>
      <c r="B2377" s="2">
        <f t="shared" si="150"/>
        <v>115</v>
      </c>
      <c r="C2377">
        <v>220</v>
      </c>
      <c r="D2377">
        <v>43</v>
      </c>
      <c r="E2377">
        <v>17</v>
      </c>
      <c r="F2377">
        <f t="shared" si="148"/>
        <v>-1.329979146955051</v>
      </c>
      <c r="G2377">
        <f t="shared" si="149"/>
        <v>-1.7371032332011194</v>
      </c>
      <c r="I2377">
        <f t="shared" si="151"/>
        <v>-1.5335411900780853</v>
      </c>
    </row>
    <row r="2378" spans="1:9">
      <c r="A2378" t="s">
        <v>6</v>
      </c>
      <c r="B2378" s="2">
        <f t="shared" si="150"/>
        <v>115</v>
      </c>
      <c r="C2378">
        <v>352</v>
      </c>
      <c r="D2378">
        <v>32</v>
      </c>
      <c r="E2378">
        <v>8</v>
      </c>
      <c r="F2378">
        <f t="shared" si="148"/>
        <v>-1.6624176068706562</v>
      </c>
      <c r="G2378">
        <f t="shared" si="149"/>
        <v>-2.2685821502433745</v>
      </c>
      <c r="I2378">
        <f t="shared" si="151"/>
        <v>-1.9654998785570155</v>
      </c>
    </row>
    <row r="2379" spans="1:9">
      <c r="A2379" t="s">
        <v>10</v>
      </c>
      <c r="B2379" s="2">
        <f t="shared" si="150"/>
        <v>115</v>
      </c>
      <c r="C2379">
        <v>211</v>
      </c>
      <c r="D2379">
        <v>154</v>
      </c>
      <c r="E2379">
        <v>24</v>
      </c>
      <c r="F2379">
        <f t="shared" si="148"/>
        <v>-0.75778665617366092</v>
      </c>
      <c r="G2379">
        <f t="shared" si="149"/>
        <v>-1.5692006873432738</v>
      </c>
      <c r="I2379">
        <f t="shared" si="151"/>
        <v>-1.1634936717584674</v>
      </c>
    </row>
    <row r="2380" spans="1:9">
      <c r="A2380" t="s">
        <v>11</v>
      </c>
      <c r="B2380" s="2">
        <f t="shared" si="150"/>
        <v>115</v>
      </c>
      <c r="C2380">
        <v>186</v>
      </c>
      <c r="D2380">
        <v>4</v>
      </c>
      <c r="E2380">
        <v>2</v>
      </c>
      <c r="F2380">
        <f t="shared" si="148"/>
        <v>-2.2884778746023855</v>
      </c>
      <c r="G2380">
        <f t="shared" si="149"/>
        <v>-2.5936124223111223</v>
      </c>
      <c r="I2380">
        <f t="shared" si="151"/>
        <v>-2.4410451484567539</v>
      </c>
    </row>
    <row r="2381" spans="1:9">
      <c r="A2381" t="s">
        <v>12</v>
      </c>
      <c r="B2381" s="2">
        <f t="shared" si="150"/>
        <v>115</v>
      </c>
      <c r="C2381">
        <v>151</v>
      </c>
      <c r="D2381">
        <v>130</v>
      </c>
      <c r="E2381">
        <v>67</v>
      </c>
      <c r="F2381">
        <f t="shared" si="148"/>
        <v>-0.68605851669876394</v>
      </c>
      <c r="G2381">
        <f t="shared" si="149"/>
        <v>-0.97803161834953012</v>
      </c>
      <c r="I2381">
        <f t="shared" si="151"/>
        <v>-0.83204506752414709</v>
      </c>
    </row>
    <row r="2382" spans="1:9">
      <c r="A2382" t="s">
        <v>9</v>
      </c>
      <c r="B2382" s="2">
        <f t="shared" si="150"/>
        <v>115</v>
      </c>
      <c r="C2382">
        <v>273</v>
      </c>
      <c r="D2382">
        <v>57</v>
      </c>
      <c r="E2382">
        <v>5</v>
      </c>
      <c r="F2382">
        <f t="shared" si="148"/>
        <v>-1.3013127130806961</v>
      </c>
      <c r="G2382">
        <f t="shared" si="149"/>
        <v>-2.3623221164619244</v>
      </c>
      <c r="I2382">
        <f t="shared" si="151"/>
        <v>-1.8318174147713102</v>
      </c>
    </row>
    <row r="2383" spans="1:9">
      <c r="A2383" t="s">
        <v>13</v>
      </c>
      <c r="B2383" s="2">
        <f t="shared" si="150"/>
        <v>115</v>
      </c>
      <c r="C2383">
        <v>273</v>
      </c>
      <c r="D2383">
        <v>49</v>
      </c>
      <c r="E2383">
        <v>32</v>
      </c>
      <c r="F2383">
        <f t="shared" si="148"/>
        <v>-1.3669914887246737</v>
      </c>
      <c r="G2383">
        <f t="shared" si="149"/>
        <v>-1.5561421424780373</v>
      </c>
      <c r="I2383">
        <f t="shared" si="151"/>
        <v>-1.4615668156013555</v>
      </c>
    </row>
    <row r="2384" spans="1:9">
      <c r="A2384" t="s">
        <v>14</v>
      </c>
      <c r="B2384" s="2">
        <f t="shared" si="150"/>
        <v>115</v>
      </c>
      <c r="C2384">
        <v>182</v>
      </c>
      <c r="D2384">
        <v>233</v>
      </c>
      <c r="E2384">
        <v>94</v>
      </c>
      <c r="F2384">
        <f t="shared" si="148"/>
        <v>-0.51374038867148719</v>
      </c>
      <c r="G2384">
        <f t="shared" si="149"/>
        <v>-0.9120730081425632</v>
      </c>
      <c r="I2384">
        <f t="shared" si="151"/>
        <v>-0.71290669840702514</v>
      </c>
    </row>
    <row r="2385" spans="1:9">
      <c r="A2385" t="s">
        <v>15</v>
      </c>
      <c r="B2385" s="2">
        <f t="shared" si="150"/>
        <v>115</v>
      </c>
      <c r="C2385">
        <v>4</v>
      </c>
      <c r="D2385">
        <v>32</v>
      </c>
      <c r="E2385">
        <v>23</v>
      </c>
      <c r="F2385">
        <f t="shared" si="148"/>
        <v>0.28206506527951225</v>
      </c>
      <c r="G2385">
        <f t="shared" si="149"/>
        <v>0.13453837093244336</v>
      </c>
      <c r="I2385">
        <f t="shared" si="151"/>
        <v>0.20830171810597781</v>
      </c>
    </row>
    <row r="2386" spans="1:9">
      <c r="A2386" t="s">
        <v>16</v>
      </c>
      <c r="B2386" s="2">
        <f t="shared" si="150"/>
        <v>115</v>
      </c>
      <c r="C2386">
        <v>527</v>
      </c>
      <c r="D2386">
        <v>707</v>
      </c>
      <c r="E2386">
        <v>134</v>
      </c>
      <c r="F2386">
        <f t="shared" si="148"/>
        <v>-0.49341612312807848</v>
      </c>
      <c r="G2386">
        <f t="shared" si="149"/>
        <v>-1.2198352906049261</v>
      </c>
      <c r="I2386">
        <f t="shared" si="151"/>
        <v>-0.8566257068665023</v>
      </c>
    </row>
    <row r="2387" spans="1:9">
      <c r="A2387" t="s">
        <v>17</v>
      </c>
      <c r="B2387" s="2">
        <f t="shared" si="150"/>
        <v>115</v>
      </c>
      <c r="C2387">
        <v>146</v>
      </c>
      <c r="D2387">
        <v>194</v>
      </c>
      <c r="E2387">
        <v>240</v>
      </c>
      <c r="F2387">
        <f t="shared" si="148"/>
        <v>-0.49757604756664231</v>
      </c>
      <c r="G2387">
        <f t="shared" si="149"/>
        <v>-0.4092710878300182</v>
      </c>
      <c r="I2387">
        <f t="shared" si="151"/>
        <v>-0.45342356769833025</v>
      </c>
    </row>
    <row r="2388" spans="1:9">
      <c r="A2388" t="s">
        <v>18</v>
      </c>
      <c r="B2388" s="2">
        <f t="shared" si="150"/>
        <v>115</v>
      </c>
      <c r="C2388">
        <v>342</v>
      </c>
      <c r="D2388">
        <v>229</v>
      </c>
      <c r="E2388">
        <v>138</v>
      </c>
      <c r="F2388">
        <f t="shared" si="148"/>
        <v>-0.79521554542867823</v>
      </c>
      <c r="G2388">
        <f t="shared" si="149"/>
        <v>-1.0192764934120857</v>
      </c>
      <c r="I2388">
        <f t="shared" si="151"/>
        <v>-0.90724601942038197</v>
      </c>
    </row>
    <row r="2389" spans="1:9">
      <c r="A2389" t="s">
        <v>19</v>
      </c>
      <c r="B2389" s="2">
        <f t="shared" si="150"/>
        <v>115</v>
      </c>
      <c r="C2389">
        <v>208</v>
      </c>
      <c r="D2389">
        <v>194</v>
      </c>
      <c r="E2389">
        <v>26</v>
      </c>
      <c r="F2389">
        <f t="shared" si="148"/>
        <v>-0.65128652674496679</v>
      </c>
      <c r="G2389">
        <f t="shared" si="149"/>
        <v>-1.5282194607491306</v>
      </c>
      <c r="I2389">
        <f t="shared" si="151"/>
        <v>-1.0897529937470487</v>
      </c>
    </row>
    <row r="2390" spans="1:9">
      <c r="A2390" t="s">
        <v>20</v>
      </c>
      <c r="B2390" s="2">
        <f t="shared" si="150"/>
        <v>115</v>
      </c>
      <c r="C2390">
        <v>210</v>
      </c>
      <c r="D2390">
        <v>41</v>
      </c>
      <c r="E2390">
        <v>77</v>
      </c>
      <c r="F2390">
        <f t="shared" si="148"/>
        <v>-1.3304603597266151</v>
      </c>
      <c r="G2390">
        <f t="shared" si="149"/>
        <v>-1.0608580433186245</v>
      </c>
      <c r="I2390">
        <f t="shared" si="151"/>
        <v>-1.19565920152262</v>
      </c>
    </row>
    <row r="2391" spans="1:9">
      <c r="A2391" t="s">
        <v>21</v>
      </c>
      <c r="B2391" s="2">
        <f t="shared" si="150"/>
        <v>115</v>
      </c>
      <c r="C2391">
        <v>107</v>
      </c>
      <c r="D2391">
        <v>31</v>
      </c>
      <c r="E2391">
        <v>9</v>
      </c>
      <c r="F2391">
        <f t="shared" si="148"/>
        <v>-1.1590470055633681</v>
      </c>
      <c r="G2391">
        <f t="shared" si="149"/>
        <v>-1.7002707420030718</v>
      </c>
      <c r="I2391">
        <f t="shared" si="151"/>
        <v>-1.4296588737832199</v>
      </c>
    </row>
    <row r="2392" spans="1:9">
      <c r="A2392" t="s">
        <v>22</v>
      </c>
      <c r="B2392" s="2">
        <f t="shared" si="150"/>
        <v>115</v>
      </c>
      <c r="C2392">
        <v>167</v>
      </c>
      <c r="D2392">
        <v>35</v>
      </c>
      <c r="E2392">
        <v>5</v>
      </c>
      <c r="F2392">
        <f t="shared" si="148"/>
        <v>-1.2996733485097389</v>
      </c>
      <c r="G2392">
        <f t="shared" si="149"/>
        <v>-2.1488759405687516</v>
      </c>
      <c r="I2392">
        <f t="shared" si="151"/>
        <v>-1.7242746445392454</v>
      </c>
    </row>
    <row r="2393" spans="1:9">
      <c r="A2393" t="s">
        <v>23</v>
      </c>
      <c r="B2393" s="2">
        <f t="shared" si="150"/>
        <v>115</v>
      </c>
      <c r="C2393">
        <v>212</v>
      </c>
      <c r="D2393">
        <v>61</v>
      </c>
      <c r="E2393">
        <v>17</v>
      </c>
      <c r="F2393">
        <f t="shared" si="148"/>
        <v>-1.1620309476304156</v>
      </c>
      <c r="G2393">
        <f t="shared" si="149"/>
        <v>-1.7210164133076646</v>
      </c>
      <c r="I2393">
        <f t="shared" si="151"/>
        <v>-1.4415236804690401</v>
      </c>
    </row>
    <row r="2394" spans="1:9">
      <c r="A2394" t="s">
        <v>24</v>
      </c>
      <c r="B2394" s="2">
        <f t="shared" si="150"/>
        <v>115</v>
      </c>
      <c r="C2394">
        <v>184</v>
      </c>
      <c r="D2394">
        <v>86</v>
      </c>
      <c r="E2394">
        <v>8</v>
      </c>
      <c r="F2394">
        <f t="shared" si="148"/>
        <v>-0.95134429347839999</v>
      </c>
      <c r="G2394">
        <f t="shared" si="149"/>
        <v>-1.9868573097747799</v>
      </c>
      <c r="I2394">
        <f t="shared" si="151"/>
        <v>-1.4691008016265901</v>
      </c>
    </row>
    <row r="2395" spans="1:9">
      <c r="A2395" t="s">
        <v>25</v>
      </c>
      <c r="B2395" s="2">
        <f t="shared" si="150"/>
        <v>115</v>
      </c>
      <c r="C2395">
        <v>209</v>
      </c>
      <c r="D2395">
        <v>5</v>
      </c>
      <c r="E2395">
        <v>4</v>
      </c>
      <c r="F2395">
        <f t="shared" si="148"/>
        <v>-2.2422012034874665</v>
      </c>
      <c r="G2395">
        <f t="shared" si="149"/>
        <v>-2.3432157685402788</v>
      </c>
      <c r="I2395">
        <f t="shared" si="151"/>
        <v>-2.2927084860138729</v>
      </c>
    </row>
    <row r="2396" spans="1:9">
      <c r="A2396" t="s">
        <v>7</v>
      </c>
      <c r="B2396" s="2">
        <f t="shared" si="150"/>
        <v>116</v>
      </c>
      <c r="C2396">
        <v>298</v>
      </c>
      <c r="D2396">
        <v>1269</v>
      </c>
      <c r="E2396">
        <v>768</v>
      </c>
      <c r="F2396">
        <f t="shared" si="148"/>
        <v>8.2204363060182084E-3</v>
      </c>
      <c r="G2396">
        <f t="shared" si="149"/>
        <v>-0.21398451780193034</v>
      </c>
      <c r="I2396">
        <f t="shared" si="151"/>
        <v>-0.10288204074795607</v>
      </c>
    </row>
    <row r="2397" spans="1:9">
      <c r="A2397" t="s">
        <v>8</v>
      </c>
      <c r="B2397" s="2">
        <f t="shared" si="150"/>
        <v>116</v>
      </c>
      <c r="C2397">
        <v>42113</v>
      </c>
      <c r="D2397">
        <v>175971</v>
      </c>
      <c r="E2397">
        <v>177642</v>
      </c>
      <c r="F2397">
        <f t="shared" si="148"/>
        <v>0</v>
      </c>
      <c r="G2397">
        <f t="shared" si="149"/>
        <v>0</v>
      </c>
      <c r="I2397">
        <f t="shared" si="151"/>
        <v>0</v>
      </c>
    </row>
    <row r="2398" spans="1:9">
      <c r="A2398" t="s">
        <v>5</v>
      </c>
      <c r="B2398" s="2">
        <f t="shared" si="150"/>
        <v>116</v>
      </c>
      <c r="C2398">
        <v>188</v>
      </c>
      <c r="D2398">
        <v>14</v>
      </c>
      <c r="E2398">
        <v>1</v>
      </c>
      <c r="F2398">
        <f t="shared" si="148"/>
        <v>-1.7490547352978731</v>
      </c>
      <c r="G2398">
        <f t="shared" si="149"/>
        <v>-2.8992873230208671</v>
      </c>
      <c r="I2398">
        <f t="shared" si="151"/>
        <v>-2.3241710291593702</v>
      </c>
    </row>
    <row r="2399" spans="1:9">
      <c r="A2399" t="s">
        <v>6</v>
      </c>
      <c r="B2399" s="2">
        <f t="shared" si="150"/>
        <v>116</v>
      </c>
      <c r="C2399">
        <v>232</v>
      </c>
      <c r="D2399">
        <v>10</v>
      </c>
      <c r="E2399">
        <v>13</v>
      </c>
      <c r="F2399">
        <f t="shared" si="148"/>
        <v>-1.9865129066033309</v>
      </c>
      <c r="G2399">
        <f t="shared" si="149"/>
        <v>-1.87667410634125</v>
      </c>
      <c r="I2399">
        <f t="shared" si="151"/>
        <v>-1.9315935064722904</v>
      </c>
    </row>
    <row r="2400" spans="1:9">
      <c r="A2400" t="s">
        <v>10</v>
      </c>
      <c r="B2400" s="2">
        <f t="shared" si="150"/>
        <v>116</v>
      </c>
      <c r="C2400">
        <v>388</v>
      </c>
      <c r="D2400">
        <v>29</v>
      </c>
      <c r="E2400">
        <v>23</v>
      </c>
      <c r="F2400">
        <f t="shared" si="148"/>
        <v>-1.7474586494076825</v>
      </c>
      <c r="G2400">
        <f t="shared" si="149"/>
        <v>-1.8522333633338015</v>
      </c>
      <c r="I2400">
        <f t="shared" si="151"/>
        <v>-1.799846006370742</v>
      </c>
    </row>
    <row r="2401" spans="1:9">
      <c r="A2401" t="s">
        <v>11</v>
      </c>
      <c r="B2401" s="2">
        <f t="shared" si="150"/>
        <v>116</v>
      </c>
      <c r="C2401">
        <v>397</v>
      </c>
      <c r="D2401">
        <v>14</v>
      </c>
      <c r="E2401">
        <v>2</v>
      </c>
      <c r="F2401">
        <f t="shared" si="148"/>
        <v>-2.0736873927973081</v>
      </c>
      <c r="G2401">
        <f t="shared" si="149"/>
        <v>-2.922889984856321</v>
      </c>
      <c r="I2401">
        <f t="shared" si="151"/>
        <v>-2.4982886888268148</v>
      </c>
    </row>
    <row r="2402" spans="1:9">
      <c r="A2402" t="s">
        <v>12</v>
      </c>
      <c r="B2402" s="2">
        <f t="shared" si="150"/>
        <v>116</v>
      </c>
      <c r="C2402">
        <v>278</v>
      </c>
      <c r="D2402">
        <v>11</v>
      </c>
      <c r="E2402">
        <v>9</v>
      </c>
      <c r="F2402">
        <f t="shared" si="148"/>
        <v>-2.0236770324722828</v>
      </c>
      <c r="G2402">
        <f t="shared" si="149"/>
        <v>-2.1149317602359385</v>
      </c>
      <c r="I2402">
        <f t="shared" si="151"/>
        <v>-2.0693043963541107</v>
      </c>
    </row>
    <row r="2403" spans="1:9">
      <c r="A2403" t="s">
        <v>9</v>
      </c>
      <c r="B2403" s="2">
        <f t="shared" si="150"/>
        <v>116</v>
      </c>
      <c r="C2403">
        <v>189</v>
      </c>
      <c r="D2403">
        <v>54</v>
      </c>
      <c r="E2403">
        <v>58</v>
      </c>
      <c r="F2403">
        <f t="shared" ref="F2403:F2466" si="152">LOG10(D2403/C2403)-LOG10(175971/42113)</f>
        <v>-1.165092966062707</v>
      </c>
      <c r="G2403">
        <f t="shared" ref="G2403:G2466" si="153">LOG10(E2403/C2403)-LOG10(177642/42113)</f>
        <v>-1.138163284367494</v>
      </c>
      <c r="I2403">
        <f t="shared" si="151"/>
        <v>-1.1516281252151006</v>
      </c>
    </row>
    <row r="2404" spans="1:9">
      <c r="A2404" t="s">
        <v>13</v>
      </c>
      <c r="B2404" s="2">
        <f t="shared" si="150"/>
        <v>116</v>
      </c>
      <c r="C2404">
        <v>259</v>
      </c>
      <c r="D2404">
        <v>6</v>
      </c>
      <c r="E2404">
        <v>0</v>
      </c>
      <c r="F2404">
        <f t="shared" si="152"/>
        <v>-2.2561734354100396</v>
      </c>
      <c r="G2404" t="e">
        <f t="shared" si="153"/>
        <v>#NUM!</v>
      </c>
      <c r="I2404" t="e">
        <f t="shared" si="151"/>
        <v>#NUM!</v>
      </c>
    </row>
    <row r="2405" spans="1:9">
      <c r="A2405" t="s">
        <v>14</v>
      </c>
      <c r="B2405" s="2">
        <f t="shared" si="150"/>
        <v>116</v>
      </c>
      <c r="C2405">
        <v>438</v>
      </c>
      <c r="D2405">
        <v>18</v>
      </c>
      <c r="E2405">
        <v>7</v>
      </c>
      <c r="F2405">
        <f t="shared" si="152"/>
        <v>-2.0072265271132248</v>
      </c>
      <c r="G2405">
        <f t="shared" si="153"/>
        <v>-2.4215055442470299</v>
      </c>
      <c r="I2405">
        <f t="shared" si="151"/>
        <v>-2.2143660356801274</v>
      </c>
    </row>
    <row r="2406" spans="1:9">
      <c r="A2406" t="s">
        <v>15</v>
      </c>
      <c r="B2406" s="2">
        <f t="shared" si="150"/>
        <v>116</v>
      </c>
      <c r="C2406">
        <v>367</v>
      </c>
      <c r="D2406">
        <v>11</v>
      </c>
      <c r="E2406">
        <v>2</v>
      </c>
      <c r="F2406">
        <f t="shared" si="152"/>
        <v>-2.1442983008062955</v>
      </c>
      <c r="G2406">
        <f t="shared" si="153"/>
        <v>-2.8887655423452951</v>
      </c>
      <c r="I2406">
        <f t="shared" si="151"/>
        <v>-2.5165319215757953</v>
      </c>
    </row>
    <row r="2407" spans="1:9">
      <c r="A2407" t="s">
        <v>16</v>
      </c>
      <c r="B2407" s="2">
        <f t="shared" si="150"/>
        <v>116</v>
      </c>
      <c r="C2407">
        <v>249</v>
      </c>
      <c r="D2407">
        <v>51</v>
      </c>
      <c r="E2407">
        <v>33</v>
      </c>
      <c r="F2407">
        <f t="shared" si="152"/>
        <v>-1.3096540927102311</v>
      </c>
      <c r="G2407">
        <f t="shared" si="153"/>
        <v>-1.5028148809750359</v>
      </c>
      <c r="I2407">
        <f t="shared" si="151"/>
        <v>-1.4062344868426335</v>
      </c>
    </row>
    <row r="2408" spans="1:9">
      <c r="A2408" t="s">
        <v>17</v>
      </c>
      <c r="B2408" s="2">
        <f t="shared" si="150"/>
        <v>116</v>
      </c>
      <c r="C2408">
        <v>389</v>
      </c>
      <c r="D2408">
        <v>15</v>
      </c>
      <c r="E2408">
        <v>6</v>
      </c>
      <c r="F2408">
        <f t="shared" si="152"/>
        <v>-2.0348832639824579</v>
      </c>
      <c r="G2408">
        <f t="shared" si="153"/>
        <v>-2.436927824699251</v>
      </c>
      <c r="I2408">
        <f t="shared" si="151"/>
        <v>-2.2359055443408544</v>
      </c>
    </row>
    <row r="2409" spans="1:9">
      <c r="A2409" t="s">
        <v>18</v>
      </c>
      <c r="B2409" s="2">
        <f t="shared" si="150"/>
        <v>116</v>
      </c>
      <c r="C2409">
        <v>183</v>
      </c>
      <c r="D2409">
        <v>10</v>
      </c>
      <c r="E2409">
        <v>3</v>
      </c>
      <c r="F2409">
        <f t="shared" si="152"/>
        <v>-1.8834760114428608</v>
      </c>
      <c r="G2409">
        <f t="shared" si="153"/>
        <v>-2.4104593087679538</v>
      </c>
      <c r="I2409">
        <f t="shared" si="151"/>
        <v>-2.1469676601054073</v>
      </c>
    </row>
    <row r="2410" spans="1:9">
      <c r="A2410" t="s">
        <v>19</v>
      </c>
      <c r="B2410" s="2">
        <f t="shared" si="150"/>
        <v>116</v>
      </c>
      <c r="C2410">
        <v>201</v>
      </c>
      <c r="D2410">
        <v>22</v>
      </c>
      <c r="E2410">
        <v>24</v>
      </c>
      <c r="F2410">
        <f t="shared" si="152"/>
        <v>-1.5817982983107139</v>
      </c>
      <c r="G2410">
        <f t="shared" si="153"/>
        <v>-1.54811428946607</v>
      </c>
      <c r="I2410">
        <f t="shared" si="151"/>
        <v>-1.5649562938883919</v>
      </c>
    </row>
    <row r="2411" spans="1:9">
      <c r="A2411" t="s">
        <v>20</v>
      </c>
      <c r="B2411" s="2">
        <f t="shared" si="150"/>
        <v>116</v>
      </c>
      <c r="C2411">
        <v>204</v>
      </c>
      <c r="D2411">
        <v>8</v>
      </c>
      <c r="E2411">
        <v>3</v>
      </c>
      <c r="F2411">
        <f t="shared" si="152"/>
        <v>-2.0275651021463865</v>
      </c>
      <c r="G2411">
        <f t="shared" si="153"/>
        <v>-2.4576383864634233</v>
      </c>
      <c r="I2411">
        <f t="shared" si="151"/>
        <v>-2.2426017443049049</v>
      </c>
    </row>
    <row r="2412" spans="1:9">
      <c r="A2412" t="s">
        <v>21</v>
      </c>
      <c r="B2412" s="2">
        <f t="shared" si="150"/>
        <v>116</v>
      </c>
      <c r="C2412">
        <v>356</v>
      </c>
      <c r="D2412">
        <v>16</v>
      </c>
      <c r="E2412">
        <v>3</v>
      </c>
      <c r="F2412">
        <f t="shared" si="152"/>
        <v>-1.9683549370293818</v>
      </c>
      <c r="G2412">
        <f t="shared" si="153"/>
        <v>-2.6994582170103998</v>
      </c>
      <c r="I2412">
        <f t="shared" si="151"/>
        <v>-2.3339065770198908</v>
      </c>
    </row>
    <row r="2413" spans="1:9">
      <c r="A2413" t="s">
        <v>22</v>
      </c>
      <c r="B2413" s="2">
        <f t="shared" si="150"/>
        <v>116</v>
      </c>
      <c r="C2413">
        <v>324</v>
      </c>
      <c r="D2413">
        <v>56</v>
      </c>
      <c r="E2413">
        <v>26</v>
      </c>
      <c r="F2413">
        <f t="shared" si="152"/>
        <v>-1.3833819049128431</v>
      </c>
      <c r="G2413">
        <f t="shared" si="153"/>
        <v>-1.7207011359929814</v>
      </c>
      <c r="I2413">
        <f t="shared" si="151"/>
        <v>-1.5520415204529123</v>
      </c>
    </row>
    <row r="2414" spans="1:9">
      <c r="A2414" t="s">
        <v>23</v>
      </c>
      <c r="B2414" s="2">
        <f t="shared" si="150"/>
        <v>116</v>
      </c>
      <c r="C2414">
        <v>208</v>
      </c>
      <c r="D2414">
        <v>18</v>
      </c>
      <c r="E2414">
        <v>4</v>
      </c>
      <c r="F2414">
        <f t="shared" si="152"/>
        <v>-1.6838157515718868</v>
      </c>
      <c r="G2414">
        <f t="shared" si="153"/>
        <v>-2.3411328173919861</v>
      </c>
      <c r="I2414">
        <f t="shared" si="151"/>
        <v>-2.0124742844819363</v>
      </c>
    </row>
    <row r="2415" spans="1:9">
      <c r="A2415" t="s">
        <v>24</v>
      </c>
      <c r="B2415" s="2">
        <f t="shared" si="150"/>
        <v>116</v>
      </c>
      <c r="C2415">
        <v>0</v>
      </c>
      <c r="D2415">
        <v>0</v>
      </c>
      <c r="E2415">
        <v>0</v>
      </c>
      <c r="F2415" t="e">
        <f t="shared" si="152"/>
        <v>#DIV/0!</v>
      </c>
      <c r="G2415" t="e">
        <f t="shared" si="153"/>
        <v>#DIV/0!</v>
      </c>
      <c r="I2415" t="e">
        <f t="shared" si="151"/>
        <v>#DIV/0!</v>
      </c>
    </row>
    <row r="2416" spans="1:9">
      <c r="A2416" t="s">
        <v>25</v>
      </c>
      <c r="B2416" s="2">
        <f t="shared" si="150"/>
        <v>116</v>
      </c>
      <c r="C2416">
        <v>340</v>
      </c>
      <c r="D2416">
        <v>8</v>
      </c>
      <c r="E2416">
        <v>3</v>
      </c>
      <c r="F2416">
        <f t="shared" si="152"/>
        <v>-2.2494138517627427</v>
      </c>
      <c r="G2416">
        <f t="shared" si="153"/>
        <v>-2.6794871360797798</v>
      </c>
      <c r="I2416">
        <f t="shared" si="151"/>
        <v>-2.4644504939212615</v>
      </c>
    </row>
    <row r="2417" spans="1:9">
      <c r="A2417" t="s">
        <v>7</v>
      </c>
      <c r="B2417" s="2">
        <f t="shared" si="150"/>
        <v>117</v>
      </c>
      <c r="C2417">
        <v>484</v>
      </c>
      <c r="D2417">
        <v>37</v>
      </c>
      <c r="E2417">
        <v>62</v>
      </c>
      <c r="F2417">
        <f t="shared" si="152"/>
        <v>-1.7376685592898489</v>
      </c>
      <c r="G2417">
        <f t="shared" si="153"/>
        <v>-1.5175831459033458</v>
      </c>
      <c r="I2417">
        <f t="shared" si="151"/>
        <v>-1.6276258525965974</v>
      </c>
    </row>
    <row r="2418" spans="1:9">
      <c r="A2418" t="s">
        <v>8</v>
      </c>
      <c r="B2418" s="2">
        <f t="shared" si="150"/>
        <v>117</v>
      </c>
      <c r="C2418">
        <v>402</v>
      </c>
      <c r="D2418">
        <v>26</v>
      </c>
      <c r="E2418">
        <v>6</v>
      </c>
      <c r="F2418">
        <f t="shared" si="152"/>
        <v>-1.8102776268260834</v>
      </c>
      <c r="G2418">
        <f t="shared" si="153"/>
        <v>-2.4512042764580135</v>
      </c>
      <c r="I2418">
        <f t="shared" si="151"/>
        <v>-2.1307409516420486</v>
      </c>
    </row>
    <row r="2419" spans="1:9">
      <c r="A2419" t="s">
        <v>5</v>
      </c>
      <c r="B2419" s="2">
        <f t="shared" si="150"/>
        <v>117</v>
      </c>
      <c r="C2419">
        <v>294</v>
      </c>
      <c r="D2419">
        <v>7</v>
      </c>
      <c r="E2419">
        <v>6</v>
      </c>
      <c r="F2419">
        <f t="shared" si="152"/>
        <v>-2.2442742121103318</v>
      </c>
      <c r="G2419">
        <f t="shared" si="153"/>
        <v>-2.3153255537857005</v>
      </c>
      <c r="I2419">
        <f t="shared" si="151"/>
        <v>-2.2797998829480162</v>
      </c>
    </row>
    <row r="2420" spans="1:9">
      <c r="A2420" t="s">
        <v>6</v>
      </c>
      <c r="B2420" s="2">
        <f t="shared" si="150"/>
        <v>117</v>
      </c>
      <c r="C2420">
        <v>284</v>
      </c>
      <c r="D2420">
        <v>18</v>
      </c>
      <c r="E2420">
        <v>41</v>
      </c>
      <c r="F2420">
        <f t="shared" si="152"/>
        <v>-1.8190707566561628</v>
      </c>
      <c r="G2420">
        <f t="shared" si="153"/>
        <v>-1.4656639570844892</v>
      </c>
      <c r="I2420">
        <f t="shared" si="151"/>
        <v>-1.6423673568703259</v>
      </c>
    </row>
    <row r="2421" spans="1:9">
      <c r="A2421" t="s">
        <v>10</v>
      </c>
      <c r="B2421" s="2">
        <f t="shared" si="150"/>
        <v>117</v>
      </c>
      <c r="C2421">
        <v>198</v>
      </c>
      <c r="D2421">
        <v>8</v>
      </c>
      <c r="E2421">
        <v>10</v>
      </c>
      <c r="F2421">
        <f t="shared" si="152"/>
        <v>-2.0146001249820187</v>
      </c>
      <c r="G2421">
        <f t="shared" si="153"/>
        <v>-1.9217946640187182</v>
      </c>
      <c r="I2421">
        <f t="shared" si="151"/>
        <v>-1.9681973945003683</v>
      </c>
    </row>
    <row r="2422" spans="1:9">
      <c r="A2422" t="s">
        <v>11</v>
      </c>
      <c r="B2422" s="2">
        <f t="shared" si="150"/>
        <v>117</v>
      </c>
      <c r="C2422">
        <v>177</v>
      </c>
      <c r="D2422">
        <v>8</v>
      </c>
      <c r="E2422">
        <v>4</v>
      </c>
      <c r="F2422">
        <f t="shared" si="152"/>
        <v>-1.9659082010822944</v>
      </c>
      <c r="G2422">
        <f t="shared" si="153"/>
        <v>-2.2710427487910314</v>
      </c>
      <c r="I2422">
        <f t="shared" si="151"/>
        <v>-2.118475474936663</v>
      </c>
    </row>
    <row r="2423" spans="1:9">
      <c r="A2423" t="s">
        <v>12</v>
      </c>
      <c r="B2423" s="2">
        <f t="shared" si="150"/>
        <v>117</v>
      </c>
      <c r="C2423">
        <v>205</v>
      </c>
      <c r="D2423">
        <v>16</v>
      </c>
      <c r="E2423">
        <v>4</v>
      </c>
      <c r="F2423">
        <f t="shared" si="152"/>
        <v>-1.7286588001122607</v>
      </c>
      <c r="G2423">
        <f t="shared" si="153"/>
        <v>-2.3348233434849792</v>
      </c>
      <c r="I2423">
        <f t="shared" si="151"/>
        <v>-2.0317410717986197</v>
      </c>
    </row>
    <row r="2424" spans="1:9">
      <c r="A2424" t="s">
        <v>9</v>
      </c>
      <c r="B2424" s="2">
        <f t="shared" si="150"/>
        <v>117</v>
      </c>
      <c r="C2424">
        <v>330</v>
      </c>
      <c r="D2424">
        <v>9</v>
      </c>
      <c r="E2424">
        <v>5</v>
      </c>
      <c r="F2424">
        <f t="shared" si="152"/>
        <v>-2.1852963521509938</v>
      </c>
      <c r="G2424">
        <f t="shared" si="153"/>
        <v>-2.4446734092990559</v>
      </c>
      <c r="I2424">
        <f t="shared" si="151"/>
        <v>-2.3149848807250248</v>
      </c>
    </row>
    <row r="2425" spans="1:9">
      <c r="A2425" t="s">
        <v>13</v>
      </c>
      <c r="B2425" s="2">
        <f t="shared" si="150"/>
        <v>117</v>
      </c>
      <c r="C2425">
        <v>291</v>
      </c>
      <c r="D2425">
        <v>30</v>
      </c>
      <c r="E2425">
        <v>51</v>
      </c>
      <c r="F2425">
        <f t="shared" si="152"/>
        <v>-1.6077966559786763</v>
      </c>
      <c r="G2425">
        <f t="shared" si="153"/>
        <v>-1.3814522866451582</v>
      </c>
      <c r="I2425">
        <f t="shared" si="151"/>
        <v>-1.4946244713119172</v>
      </c>
    </row>
    <row r="2426" spans="1:9">
      <c r="A2426" t="s">
        <v>14</v>
      </c>
      <c r="B2426" s="2">
        <f t="shared" si="150"/>
        <v>117</v>
      </c>
      <c r="C2426">
        <v>42113</v>
      </c>
      <c r="D2426">
        <v>175971</v>
      </c>
      <c r="E2426">
        <v>177642</v>
      </c>
      <c r="F2426">
        <f t="shared" si="152"/>
        <v>0</v>
      </c>
      <c r="G2426">
        <f t="shared" si="153"/>
        <v>0</v>
      </c>
      <c r="I2426">
        <f t="shared" si="151"/>
        <v>0</v>
      </c>
    </row>
    <row r="2427" spans="1:9">
      <c r="A2427" t="s">
        <v>15</v>
      </c>
      <c r="B2427" s="2">
        <f t="shared" si="150"/>
        <v>117</v>
      </c>
      <c r="C2427">
        <v>371</v>
      </c>
      <c r="D2427">
        <v>316</v>
      </c>
      <c r="E2427">
        <v>72</v>
      </c>
      <c r="F2427">
        <f t="shared" si="152"/>
        <v>-0.69071174870907337</v>
      </c>
      <c r="G2427">
        <f t="shared" si="153"/>
        <v>-1.3371708869409646</v>
      </c>
      <c r="I2427">
        <f t="shared" si="151"/>
        <v>-1.013941317825019</v>
      </c>
    </row>
    <row r="2428" spans="1:9">
      <c r="A2428" t="s">
        <v>16</v>
      </c>
      <c r="B2428" s="2">
        <f t="shared" si="150"/>
        <v>117</v>
      </c>
      <c r="C2428">
        <v>301</v>
      </c>
      <c r="D2428">
        <v>8</v>
      </c>
      <c r="E2428">
        <v>12</v>
      </c>
      <c r="F2428">
        <f t="shared" si="152"/>
        <v>-2.1965014303143313</v>
      </c>
      <c r="G2428">
        <f t="shared" si="153"/>
        <v>-2.0245147233034055</v>
      </c>
      <c r="I2428">
        <f t="shared" si="151"/>
        <v>-2.1105080768088684</v>
      </c>
    </row>
    <row r="2429" spans="1:9">
      <c r="A2429" t="s">
        <v>17</v>
      </c>
      <c r="B2429" s="2">
        <f t="shared" si="150"/>
        <v>117</v>
      </c>
      <c r="C2429">
        <v>439</v>
      </c>
      <c r="D2429">
        <v>30</v>
      </c>
      <c r="E2429">
        <v>19</v>
      </c>
      <c r="F2429">
        <f t="shared" si="152"/>
        <v>-1.7863681872348902</v>
      </c>
      <c r="G2429">
        <f t="shared" si="153"/>
        <v>-1.9888403930464795</v>
      </c>
      <c r="I2429">
        <f t="shared" si="151"/>
        <v>-1.8876042901406849</v>
      </c>
    </row>
    <row r="2430" spans="1:9">
      <c r="A2430" t="s">
        <v>18</v>
      </c>
      <c r="B2430" s="2">
        <f t="shared" si="150"/>
        <v>117</v>
      </c>
      <c r="C2430">
        <v>340</v>
      </c>
      <c r="D2430">
        <v>26</v>
      </c>
      <c r="E2430">
        <v>41</v>
      </c>
      <c r="F2430">
        <f t="shared" si="152"/>
        <v>-1.7375304907838685</v>
      </c>
      <c r="G2430">
        <f t="shared" si="153"/>
        <v>-1.5438245340797065</v>
      </c>
      <c r="I2430">
        <f t="shared" si="151"/>
        <v>-1.6406775124317874</v>
      </c>
    </row>
    <row r="2431" spans="1:9">
      <c r="A2431" t="s">
        <v>19</v>
      </c>
      <c r="B2431" s="2">
        <f t="shared" si="150"/>
        <v>117</v>
      </c>
      <c r="C2431">
        <v>379</v>
      </c>
      <c r="D2431">
        <v>10</v>
      </c>
      <c r="E2431">
        <v>2</v>
      </c>
      <c r="F2431">
        <f t="shared" si="152"/>
        <v>-2.1996641316805037</v>
      </c>
      <c r="G2431">
        <f t="shared" si="153"/>
        <v>-2.9027386880612784</v>
      </c>
      <c r="I2431">
        <f t="shared" si="151"/>
        <v>-2.5512014098708908</v>
      </c>
    </row>
    <row r="2432" spans="1:9">
      <c r="A2432" t="s">
        <v>20</v>
      </c>
      <c r="B2432" s="2">
        <f t="shared" si="150"/>
        <v>117</v>
      </c>
      <c r="C2432">
        <v>238</v>
      </c>
      <c r="D2432">
        <v>19</v>
      </c>
      <c r="E2432">
        <v>3</v>
      </c>
      <c r="F2432">
        <f t="shared" si="152"/>
        <v>-1.7188482778161143</v>
      </c>
      <c r="G2432">
        <f t="shared" si="153"/>
        <v>-2.5245851760940363</v>
      </c>
      <c r="I2432">
        <f t="shared" si="151"/>
        <v>-2.1217167269550754</v>
      </c>
    </row>
    <row r="2433" spans="1:9">
      <c r="A2433" t="s">
        <v>21</v>
      </c>
      <c r="B2433" s="2">
        <f t="shared" si="150"/>
        <v>117</v>
      </c>
      <c r="C2433">
        <v>391</v>
      </c>
      <c r="D2433">
        <v>13</v>
      </c>
      <c r="E2433">
        <v>9</v>
      </c>
      <c r="F2433">
        <f t="shared" si="152"/>
        <v>-2.0992583268014613</v>
      </c>
      <c r="G2433">
        <f t="shared" si="153"/>
        <v>-2.263063721713729</v>
      </c>
      <c r="I2433">
        <f t="shared" si="151"/>
        <v>-2.1811610242575954</v>
      </c>
    </row>
    <row r="2434" spans="1:9">
      <c r="A2434" t="s">
        <v>22</v>
      </c>
      <c r="B2434" s="2">
        <f t="shared" si="150"/>
        <v>117</v>
      </c>
      <c r="C2434">
        <v>282</v>
      </c>
      <c r="D2434">
        <v>29</v>
      </c>
      <c r="E2434">
        <v>26</v>
      </c>
      <c r="F2434">
        <f t="shared" si="152"/>
        <v>-1.6088760321328364</v>
      </c>
      <c r="G2434">
        <f t="shared" si="153"/>
        <v>-1.6604052341057303</v>
      </c>
      <c r="I2434">
        <f t="shared" si="151"/>
        <v>-1.6346406331192833</v>
      </c>
    </row>
    <row r="2435" spans="1:9">
      <c r="A2435" t="s">
        <v>23</v>
      </c>
      <c r="B2435" s="2">
        <f t="shared" ref="B2435:B2498" si="154">1+INT((ROW()-2)/21)+1</f>
        <v>117</v>
      </c>
      <c r="C2435">
        <v>211</v>
      </c>
      <c r="D2435">
        <v>52</v>
      </c>
      <c r="E2435">
        <v>46</v>
      </c>
      <c r="F2435">
        <f t="shared" si="152"/>
        <v>-1.2293040333753247</v>
      </c>
      <c r="G2435">
        <f t="shared" si="153"/>
        <v>-1.2866540973733058</v>
      </c>
      <c r="I2435">
        <f t="shared" ref="I2435:I2498" si="155">AVERAGE(F2435:G2435)</f>
        <v>-1.2579790653743153</v>
      </c>
    </row>
    <row r="2436" spans="1:9">
      <c r="A2436" t="s">
        <v>24</v>
      </c>
      <c r="B2436" s="2">
        <f t="shared" si="154"/>
        <v>117</v>
      </c>
      <c r="C2436">
        <v>354</v>
      </c>
      <c r="D2436">
        <v>13</v>
      </c>
      <c r="E2436">
        <v>10</v>
      </c>
      <c r="F2436">
        <f t="shared" si="152"/>
        <v>-2.0560848314313827</v>
      </c>
      <c r="G2436">
        <f t="shared" si="153"/>
        <v>-2.1741327357829752</v>
      </c>
      <c r="I2436">
        <f t="shared" si="155"/>
        <v>-2.1151087836071789</v>
      </c>
    </row>
    <row r="2437" spans="1:9">
      <c r="A2437" t="s">
        <v>25</v>
      </c>
      <c r="B2437" s="2">
        <f t="shared" si="154"/>
        <v>117</v>
      </c>
      <c r="C2437">
        <v>268</v>
      </c>
      <c r="D2437">
        <v>26</v>
      </c>
      <c r="E2437">
        <v>5</v>
      </c>
      <c r="F2437">
        <f t="shared" si="152"/>
        <v>-1.634186367770402</v>
      </c>
      <c r="G2437">
        <f t="shared" si="153"/>
        <v>-2.3542942634499573</v>
      </c>
      <c r="I2437">
        <f t="shared" si="155"/>
        <v>-1.9942403156101798</v>
      </c>
    </row>
    <row r="2438" spans="1:9">
      <c r="A2438" t="s">
        <v>7</v>
      </c>
      <c r="B2438" s="2">
        <f t="shared" si="154"/>
        <v>118</v>
      </c>
      <c r="C2438">
        <v>244</v>
      </c>
      <c r="D2438">
        <v>4</v>
      </c>
      <c r="E2438">
        <v>10</v>
      </c>
      <c r="F2438">
        <f t="shared" si="152"/>
        <v>-2.4063547567231982</v>
      </c>
      <c r="G2438">
        <f t="shared" si="153"/>
        <v>-2.0125193000959163</v>
      </c>
      <c r="I2438">
        <f t="shared" si="155"/>
        <v>-2.2094370284095572</v>
      </c>
    </row>
    <row r="2439" spans="1:9">
      <c r="A2439" t="s">
        <v>8</v>
      </c>
      <c r="B2439" s="2">
        <f t="shared" si="154"/>
        <v>118</v>
      </c>
      <c r="C2439">
        <v>327</v>
      </c>
      <c r="D2439">
        <v>21</v>
      </c>
      <c r="E2439">
        <v>4</v>
      </c>
      <c r="F2439">
        <f t="shared" si="152"/>
        <v>-1.8133533796387982</v>
      </c>
      <c r="G2439">
        <f t="shared" si="153"/>
        <v>-2.5376172350895105</v>
      </c>
      <c r="I2439">
        <f t="shared" si="155"/>
        <v>-2.1754853073641542</v>
      </c>
    </row>
    <row r="2440" spans="1:9">
      <c r="A2440" t="s">
        <v>5</v>
      </c>
      <c r="B2440" s="2">
        <f t="shared" si="154"/>
        <v>118</v>
      </c>
      <c r="C2440">
        <v>220</v>
      </c>
      <c r="D2440">
        <v>22</v>
      </c>
      <c r="E2440">
        <v>10</v>
      </c>
      <c r="F2440">
        <f t="shared" si="152"/>
        <v>-1.6210249217124313</v>
      </c>
      <c r="G2440">
        <f t="shared" si="153"/>
        <v>-1.9675521545793933</v>
      </c>
      <c r="I2440">
        <f t="shared" si="155"/>
        <v>-1.7942885381459122</v>
      </c>
    </row>
    <row r="2441" spans="1:9">
      <c r="A2441" t="s">
        <v>6</v>
      </c>
      <c r="B2441" s="2">
        <f t="shared" si="154"/>
        <v>118</v>
      </c>
      <c r="C2441">
        <v>264</v>
      </c>
      <c r="D2441">
        <v>14</v>
      </c>
      <c r="E2441">
        <v>31</v>
      </c>
      <c r="F2441">
        <f t="shared" si="152"/>
        <v>-1.8965008129040244</v>
      </c>
      <c r="G2441">
        <f t="shared" si="153"/>
        <v>-1.5553717067927453</v>
      </c>
      <c r="I2441">
        <f t="shared" si="155"/>
        <v>-1.7259362598483849</v>
      </c>
    </row>
    <row r="2442" spans="1:9">
      <c r="A2442" t="s">
        <v>10</v>
      </c>
      <c r="B2442" s="2">
        <f t="shared" si="154"/>
        <v>118</v>
      </c>
      <c r="C2442">
        <v>280</v>
      </c>
      <c r="D2442">
        <v>44</v>
      </c>
      <c r="E2442">
        <v>22</v>
      </c>
      <c r="F2442">
        <f t="shared" si="152"/>
        <v>-1.4247302765684631</v>
      </c>
      <c r="G2442">
        <f t="shared" si="153"/>
        <v>-1.7298648242772001</v>
      </c>
      <c r="I2442">
        <f t="shared" si="155"/>
        <v>-1.5772975504228315</v>
      </c>
    </row>
    <row r="2443" spans="1:9">
      <c r="A2443" t="s">
        <v>11</v>
      </c>
      <c r="B2443" s="2">
        <f t="shared" si="154"/>
        <v>118</v>
      </c>
      <c r="C2443">
        <v>271</v>
      </c>
      <c r="D2443">
        <v>19</v>
      </c>
      <c r="E2443">
        <v>28</v>
      </c>
      <c r="F2443">
        <f t="shared" si="152"/>
        <v>-1.775240611634008</v>
      </c>
      <c r="G2443">
        <f t="shared" si="153"/>
        <v>-1.6109407332893735</v>
      </c>
      <c r="I2443">
        <f t="shared" si="155"/>
        <v>-1.6930906724616908</v>
      </c>
    </row>
    <row r="2444" spans="1:9">
      <c r="A2444" t="s">
        <v>12</v>
      </c>
      <c r="B2444" s="2">
        <f t="shared" si="154"/>
        <v>118</v>
      </c>
      <c r="C2444">
        <v>18</v>
      </c>
      <c r="D2444">
        <v>45</v>
      </c>
      <c r="E2444">
        <v>44</v>
      </c>
      <c r="F2444">
        <f t="shared" si="152"/>
        <v>-0.22308491304039368</v>
      </c>
      <c r="G2444">
        <f t="shared" si="153"/>
        <v>-0.23694930237430567</v>
      </c>
      <c r="I2444">
        <f t="shared" si="155"/>
        <v>-0.23001710770734968</v>
      </c>
    </row>
    <row r="2445" spans="1:9">
      <c r="A2445" t="s">
        <v>9</v>
      </c>
      <c r="B2445" s="2">
        <f t="shared" si="154"/>
        <v>118</v>
      </c>
      <c r="C2445">
        <v>256</v>
      </c>
      <c r="D2445">
        <v>5</v>
      </c>
      <c r="E2445">
        <v>1</v>
      </c>
      <c r="F2445">
        <f t="shared" si="152"/>
        <v>-2.3302948826882623</v>
      </c>
      <c r="G2445">
        <f t="shared" si="153"/>
        <v>-3.0333694390690367</v>
      </c>
      <c r="I2445">
        <f t="shared" si="155"/>
        <v>-2.6818321608786495</v>
      </c>
    </row>
    <row r="2446" spans="1:9">
      <c r="A2446" t="s">
        <v>13</v>
      </c>
      <c r="B2446" s="2">
        <f t="shared" si="154"/>
        <v>118</v>
      </c>
      <c r="C2446">
        <v>364</v>
      </c>
      <c r="D2446">
        <v>51</v>
      </c>
      <c r="E2446">
        <v>29</v>
      </c>
      <c r="F2446">
        <f t="shared" si="152"/>
        <v>-1.474556129263551</v>
      </c>
      <c r="G2446">
        <f t="shared" si="153"/>
        <v>-1.7238328595072869</v>
      </c>
      <c r="I2446">
        <f t="shared" si="155"/>
        <v>-1.5991944943854191</v>
      </c>
    </row>
    <row r="2447" spans="1:9">
      <c r="A2447" t="s">
        <v>14</v>
      </c>
      <c r="B2447" s="2">
        <f t="shared" si="154"/>
        <v>118</v>
      </c>
      <c r="C2447">
        <v>220</v>
      </c>
      <c r="D2447">
        <v>12</v>
      </c>
      <c r="E2447">
        <v>56</v>
      </c>
      <c r="F2447">
        <f t="shared" si="152"/>
        <v>-1.8842663564870128</v>
      </c>
      <c r="G2447">
        <f t="shared" si="153"/>
        <v>-1.219364127573193</v>
      </c>
      <c r="I2447">
        <f t="shared" si="155"/>
        <v>-1.551815242030103</v>
      </c>
    </row>
    <row r="2448" spans="1:9">
      <c r="A2448" t="s">
        <v>15</v>
      </c>
      <c r="B2448" s="2">
        <f t="shared" si="154"/>
        <v>118</v>
      </c>
      <c r="C2448">
        <v>282</v>
      </c>
      <c r="D2448">
        <v>8</v>
      </c>
      <c r="E2448">
        <v>3</v>
      </c>
      <c r="F2448">
        <f t="shared" si="152"/>
        <v>-2.1681840430398491</v>
      </c>
      <c r="G2448">
        <f t="shared" si="153"/>
        <v>-2.5982573273568859</v>
      </c>
      <c r="I2448">
        <f t="shared" si="155"/>
        <v>-2.3832206851983675</v>
      </c>
    </row>
    <row r="2449" spans="1:9">
      <c r="A2449" t="s">
        <v>16</v>
      </c>
      <c r="B2449" s="2">
        <f t="shared" si="154"/>
        <v>118</v>
      </c>
      <c r="C2449">
        <v>338</v>
      </c>
      <c r="D2449">
        <v>10</v>
      </c>
      <c r="E2449">
        <v>4</v>
      </c>
      <c r="F2449">
        <f t="shared" si="152"/>
        <v>-2.1499416219900862</v>
      </c>
      <c r="G2449">
        <f t="shared" si="153"/>
        <v>-2.5519861827068793</v>
      </c>
      <c r="I2449">
        <f t="shared" si="155"/>
        <v>-2.3509639023484827</v>
      </c>
    </row>
    <row r="2450" spans="1:9">
      <c r="A2450" t="s">
        <v>17</v>
      </c>
      <c r="B2450" s="2">
        <f t="shared" si="154"/>
        <v>118</v>
      </c>
      <c r="C2450">
        <v>398</v>
      </c>
      <c r="D2450">
        <v>18</v>
      </c>
      <c r="E2450">
        <v>11</v>
      </c>
      <c r="F2450">
        <f t="shared" si="152"/>
        <v>-1.9656354886828131</v>
      </c>
      <c r="G2450">
        <f t="shared" si="153"/>
        <v>-2.1836198606726498</v>
      </c>
      <c r="I2450">
        <f t="shared" si="155"/>
        <v>-2.0746276746777315</v>
      </c>
    </row>
    <row r="2451" spans="1:9">
      <c r="A2451" t="s">
        <v>18</v>
      </c>
      <c r="B2451" s="2">
        <f t="shared" si="154"/>
        <v>118</v>
      </c>
      <c r="C2451">
        <v>316</v>
      </c>
      <c r="D2451">
        <v>9</v>
      </c>
      <c r="E2451">
        <v>8</v>
      </c>
      <c r="F2451">
        <f t="shared" si="152"/>
        <v>-2.1664694948915102</v>
      </c>
      <c r="G2451">
        <f t="shared" si="153"/>
        <v>-2.2217265693836472</v>
      </c>
      <c r="I2451">
        <f t="shared" si="155"/>
        <v>-2.1940980321375787</v>
      </c>
    </row>
    <row r="2452" spans="1:9">
      <c r="A2452" t="s">
        <v>19</v>
      </c>
      <c r="B2452" s="2">
        <f t="shared" si="154"/>
        <v>118</v>
      </c>
      <c r="C2452">
        <v>407</v>
      </c>
      <c r="D2452">
        <v>8</v>
      </c>
      <c r="E2452">
        <v>5</v>
      </c>
      <c r="F2452">
        <f t="shared" si="152"/>
        <v>-2.3275293439457077</v>
      </c>
      <c r="G2452">
        <f t="shared" si="153"/>
        <v>-2.5357538786463882</v>
      </c>
      <c r="I2452">
        <f t="shared" si="155"/>
        <v>-2.4316416112960479</v>
      </c>
    </row>
    <row r="2453" spans="1:9">
      <c r="A2453" t="s">
        <v>20</v>
      </c>
      <c r="B2453" s="2">
        <f t="shared" si="154"/>
        <v>118</v>
      </c>
      <c r="C2453">
        <v>457</v>
      </c>
      <c r="D2453">
        <v>18</v>
      </c>
      <c r="E2453">
        <v>5</v>
      </c>
      <c r="F2453">
        <f t="shared" si="152"/>
        <v>-2.0256686166789755</v>
      </c>
      <c r="G2453">
        <f t="shared" si="153"/>
        <v>-2.5860756694910183</v>
      </c>
      <c r="I2453">
        <f t="shared" si="155"/>
        <v>-2.3058721430849971</v>
      </c>
    </row>
    <row r="2454" spans="1:9">
      <c r="A2454" t="s">
        <v>21</v>
      </c>
      <c r="B2454" s="2">
        <f t="shared" si="154"/>
        <v>118</v>
      </c>
      <c r="C2454">
        <v>300</v>
      </c>
      <c r="D2454">
        <v>33</v>
      </c>
      <c r="E2454">
        <v>16</v>
      </c>
      <c r="F2454">
        <f t="shared" si="152"/>
        <v>-1.5796322365542061</v>
      </c>
      <c r="G2454">
        <f t="shared" si="153"/>
        <v>-1.8981307458209247</v>
      </c>
      <c r="I2454">
        <f t="shared" si="155"/>
        <v>-1.7388814911875654</v>
      </c>
    </row>
    <row r="2455" spans="1:9">
      <c r="A2455" t="s">
        <v>22</v>
      </c>
      <c r="B2455" s="2">
        <f t="shared" si="154"/>
        <v>118</v>
      </c>
      <c r="C2455">
        <v>220</v>
      </c>
      <c r="D2455">
        <v>11</v>
      </c>
      <c r="E2455">
        <v>3</v>
      </c>
      <c r="F2455">
        <f t="shared" si="152"/>
        <v>-1.9220549173764125</v>
      </c>
      <c r="G2455">
        <f t="shared" si="153"/>
        <v>-2.4904308998597307</v>
      </c>
      <c r="I2455">
        <f t="shared" si="155"/>
        <v>-2.2062429086180715</v>
      </c>
    </row>
    <row r="2456" spans="1:9">
      <c r="A2456" t="s">
        <v>23</v>
      </c>
      <c r="B2456" s="2">
        <f t="shared" si="154"/>
        <v>118</v>
      </c>
      <c r="C2456">
        <v>271</v>
      </c>
      <c r="D2456">
        <v>17</v>
      </c>
      <c r="E2456">
        <v>5</v>
      </c>
      <c r="F2456">
        <f t="shared" si="152"/>
        <v>-1.823545291208563</v>
      </c>
      <c r="G2456">
        <f t="shared" si="153"/>
        <v>-2.3591287602955742</v>
      </c>
      <c r="I2456">
        <f t="shared" si="155"/>
        <v>-2.0913370257520687</v>
      </c>
    </row>
    <row r="2457" spans="1:9">
      <c r="A2457" t="s">
        <v>24</v>
      </c>
      <c r="B2457" s="2">
        <f t="shared" si="154"/>
        <v>118</v>
      </c>
      <c r="C2457">
        <v>258</v>
      </c>
      <c r="D2457">
        <v>10</v>
      </c>
      <c r="E2457">
        <v>1</v>
      </c>
      <c r="F2457">
        <f t="shared" si="152"/>
        <v>-2.0326446276756616</v>
      </c>
      <c r="G2457">
        <f t="shared" si="153"/>
        <v>-3.0367491797204171</v>
      </c>
      <c r="I2457">
        <f t="shared" si="155"/>
        <v>-2.5346969036980393</v>
      </c>
    </row>
    <row r="2458" spans="1:9">
      <c r="A2458" t="s">
        <v>25</v>
      </c>
      <c r="B2458" s="2">
        <f t="shared" si="154"/>
        <v>118</v>
      </c>
      <c r="C2458">
        <v>245</v>
      </c>
      <c r="D2458">
        <v>67</v>
      </c>
      <c r="E2458">
        <v>48</v>
      </c>
      <c r="F2458">
        <f t="shared" si="152"/>
        <v>-1.1841162033761372</v>
      </c>
      <c r="G2458">
        <f t="shared" si="153"/>
        <v>-1.3330543207461325</v>
      </c>
      <c r="I2458">
        <f t="shared" si="155"/>
        <v>-1.2585852620611349</v>
      </c>
    </row>
    <row r="2459" spans="1:9">
      <c r="A2459" t="s">
        <v>7</v>
      </c>
      <c r="B2459" s="2">
        <f t="shared" si="154"/>
        <v>119</v>
      </c>
      <c r="C2459">
        <v>182</v>
      </c>
      <c r="D2459">
        <v>11</v>
      </c>
      <c r="E2459">
        <v>5</v>
      </c>
      <c r="F2459">
        <f t="shared" si="152"/>
        <v>-1.839703624539281</v>
      </c>
      <c r="G2459">
        <f t="shared" si="153"/>
        <v>-2.186230857406243</v>
      </c>
      <c r="I2459">
        <f t="shared" si="155"/>
        <v>-2.0129672409727619</v>
      </c>
    </row>
    <row r="2460" spans="1:9">
      <c r="A2460" t="s">
        <v>8</v>
      </c>
      <c r="B2460" s="2">
        <f t="shared" si="154"/>
        <v>119</v>
      </c>
      <c r="C2460">
        <v>192</v>
      </c>
      <c r="D2460">
        <v>6</v>
      </c>
      <c r="E2460">
        <v>3</v>
      </c>
      <c r="F2460">
        <f t="shared" si="152"/>
        <v>-2.1261749000323373</v>
      </c>
      <c r="G2460">
        <f t="shared" si="153"/>
        <v>-2.4313094477410742</v>
      </c>
      <c r="I2460">
        <f t="shared" si="155"/>
        <v>-2.2787421738867057</v>
      </c>
    </row>
    <row r="2461" spans="1:9">
      <c r="A2461" t="s">
        <v>5</v>
      </c>
      <c r="B2461" s="2">
        <f t="shared" si="154"/>
        <v>119</v>
      </c>
      <c r="C2461">
        <v>147</v>
      </c>
      <c r="D2461">
        <v>13</v>
      </c>
      <c r="E2461">
        <v>4</v>
      </c>
      <c r="F2461">
        <f t="shared" si="152"/>
        <v>-1.6743989041537706</v>
      </c>
      <c r="G2461">
        <f t="shared" si="153"/>
        <v>-2.1903868171774006</v>
      </c>
      <c r="I2461">
        <f t="shared" si="155"/>
        <v>-1.9323928606655856</v>
      </c>
    </row>
    <row r="2462" spans="1:9">
      <c r="A2462" t="s">
        <v>6</v>
      </c>
      <c r="B2462" s="2">
        <f t="shared" si="154"/>
        <v>119</v>
      </c>
      <c r="C2462">
        <v>42113</v>
      </c>
      <c r="D2462">
        <v>175971</v>
      </c>
      <c r="E2462">
        <v>177642</v>
      </c>
      <c r="F2462">
        <f t="shared" si="152"/>
        <v>0</v>
      </c>
      <c r="G2462">
        <f t="shared" si="153"/>
        <v>0</v>
      </c>
      <c r="I2462">
        <f t="shared" si="155"/>
        <v>0</v>
      </c>
    </row>
    <row r="2463" spans="1:9">
      <c r="A2463" t="s">
        <v>10</v>
      </c>
      <c r="B2463" s="2">
        <f t="shared" si="154"/>
        <v>119</v>
      </c>
      <c r="C2463">
        <v>246</v>
      </c>
      <c r="D2463">
        <v>105</v>
      </c>
      <c r="E2463">
        <v>82</v>
      </c>
      <c r="F2463">
        <f t="shared" si="152"/>
        <v>-0.99077072974587233</v>
      </c>
      <c r="G2463">
        <f t="shared" si="153"/>
        <v>-1.1022507284768495</v>
      </c>
      <c r="I2463">
        <f t="shared" si="155"/>
        <v>-1.0465107291113609</v>
      </c>
    </row>
    <row r="2464" spans="1:9">
      <c r="A2464" t="s">
        <v>11</v>
      </c>
      <c r="B2464" s="2">
        <f t="shared" si="154"/>
        <v>119</v>
      </c>
      <c r="C2464">
        <v>293</v>
      </c>
      <c r="D2464">
        <v>181</v>
      </c>
      <c r="E2464">
        <v>58</v>
      </c>
      <c r="F2464">
        <f t="shared" si="152"/>
        <v>-0.8302139671973563</v>
      </c>
      <c r="G2464">
        <f t="shared" si="153"/>
        <v>-1.3285691005483593</v>
      </c>
      <c r="I2464">
        <f t="shared" si="155"/>
        <v>-1.0793915338728577</v>
      </c>
    </row>
    <row r="2465" spans="1:9">
      <c r="A2465" t="s">
        <v>12</v>
      </c>
      <c r="B2465" s="2">
        <f t="shared" si="154"/>
        <v>119</v>
      </c>
      <c r="C2465">
        <v>300</v>
      </c>
      <c r="D2465">
        <v>9</v>
      </c>
      <c r="E2465">
        <v>13</v>
      </c>
      <c r="F2465">
        <f t="shared" si="152"/>
        <v>-2.1439036669927689</v>
      </c>
      <c r="G2465">
        <f t="shared" si="153"/>
        <v>-1.9883073761700127</v>
      </c>
      <c r="I2465">
        <f t="shared" si="155"/>
        <v>-2.0661055215813908</v>
      </c>
    </row>
    <row r="2466" spans="1:9">
      <c r="A2466" t="s">
        <v>9</v>
      </c>
      <c r="B2466" s="2">
        <f t="shared" si="154"/>
        <v>119</v>
      </c>
      <c r="C2466">
        <v>231</v>
      </c>
      <c r="D2466">
        <v>9</v>
      </c>
      <c r="E2466">
        <v>3</v>
      </c>
      <c r="F2466">
        <f t="shared" si="152"/>
        <v>-2.0303943921652507</v>
      </c>
      <c r="G2466">
        <f t="shared" si="153"/>
        <v>-2.5116201989296689</v>
      </c>
      <c r="I2466">
        <f t="shared" si="155"/>
        <v>-2.2710072955474598</v>
      </c>
    </row>
    <row r="2467" spans="1:9">
      <c r="A2467" t="s">
        <v>13</v>
      </c>
      <c r="B2467" s="2">
        <f t="shared" si="154"/>
        <v>119</v>
      </c>
      <c r="C2467">
        <v>265</v>
      </c>
      <c r="D2467">
        <v>23</v>
      </c>
      <c r="E2467">
        <v>13</v>
      </c>
      <c r="F2467">
        <f t="shared" ref="F2467:F2521" si="156">LOG10(D2467/C2467)-LOG10(175971/42113)</f>
        <v>-1.6825429596316464</v>
      </c>
      <c r="G2467">
        <f t="shared" ref="G2467:G2521" si="157">LOG10(E2467/C2467)-LOG10(177642/42113)</f>
        <v>-1.934431995387158</v>
      </c>
      <c r="I2467">
        <f t="shared" si="155"/>
        <v>-1.8084874775094022</v>
      </c>
    </row>
    <row r="2468" spans="1:9">
      <c r="A2468" t="s">
        <v>14</v>
      </c>
      <c r="B2468" s="2">
        <f t="shared" si="154"/>
        <v>119</v>
      </c>
      <c r="C2468">
        <v>235</v>
      </c>
      <c r="D2468">
        <v>5</v>
      </c>
      <c r="E2468">
        <v>0</v>
      </c>
      <c r="F2468">
        <f t="shared" si="156"/>
        <v>-2.293122779648149</v>
      </c>
      <c r="G2468" t="e">
        <f t="shared" si="157"/>
        <v>#NUM!</v>
      </c>
      <c r="I2468" t="e">
        <f t="shared" si="155"/>
        <v>#NUM!</v>
      </c>
    </row>
    <row r="2469" spans="1:9">
      <c r="A2469" t="s">
        <v>15</v>
      </c>
      <c r="B2469" s="2">
        <f t="shared" si="154"/>
        <v>119</v>
      </c>
      <c r="C2469">
        <v>306</v>
      </c>
      <c r="D2469">
        <v>38</v>
      </c>
      <c r="E2469">
        <v>21</v>
      </c>
      <c r="F2469">
        <f t="shared" si="156"/>
        <v>-1.5269627515772011</v>
      </c>
      <c r="G2469">
        <f t="shared" si="157"/>
        <v>-1.7886316055048477</v>
      </c>
      <c r="I2469">
        <f t="shared" si="155"/>
        <v>-1.6577971785410244</v>
      </c>
    </row>
    <row r="2470" spans="1:9">
      <c r="A2470" t="s">
        <v>16</v>
      </c>
      <c r="B2470" s="2">
        <f t="shared" si="154"/>
        <v>119</v>
      </c>
      <c r="C2470">
        <v>334</v>
      </c>
      <c r="D2470">
        <v>93</v>
      </c>
      <c r="E2470">
        <v>142</v>
      </c>
      <c r="F2470">
        <f t="shared" si="156"/>
        <v>-1.1762884399700608</v>
      </c>
      <c r="G2470">
        <f t="shared" si="157"/>
        <v>-0.99658759618569503</v>
      </c>
      <c r="I2470">
        <f t="shared" si="155"/>
        <v>-1.0864380180778779</v>
      </c>
    </row>
    <row r="2471" spans="1:9">
      <c r="A2471" t="s">
        <v>17</v>
      </c>
      <c r="B2471" s="2">
        <f t="shared" si="154"/>
        <v>119</v>
      </c>
      <c r="C2471">
        <v>291</v>
      </c>
      <c r="D2471">
        <v>371</v>
      </c>
      <c r="E2471">
        <v>289</v>
      </c>
      <c r="F2471">
        <f t="shared" si="156"/>
        <v>-0.51554400108329279</v>
      </c>
      <c r="G2471">
        <f t="shared" si="157"/>
        <v>-0.62812461998654645</v>
      </c>
      <c r="I2471">
        <f t="shared" si="155"/>
        <v>-0.57183431053491962</v>
      </c>
    </row>
    <row r="2472" spans="1:9">
      <c r="A2472" t="s">
        <v>18</v>
      </c>
      <c r="B2472" s="2">
        <f t="shared" si="154"/>
        <v>119</v>
      </c>
      <c r="C2472">
        <v>307</v>
      </c>
      <c r="D2472">
        <v>74</v>
      </c>
      <c r="E2472">
        <v>85</v>
      </c>
      <c r="F2472">
        <f t="shared" si="156"/>
        <v>-1.2389315774586416</v>
      </c>
      <c r="G2472">
        <f t="shared" si="157"/>
        <v>-1.1828489235200808</v>
      </c>
      <c r="I2472">
        <f t="shared" si="155"/>
        <v>-1.2108902504893613</v>
      </c>
    </row>
    <row r="2473" spans="1:9">
      <c r="A2473" t="s">
        <v>19</v>
      </c>
      <c r="B2473" s="2">
        <f t="shared" si="154"/>
        <v>119</v>
      </c>
      <c r="C2473">
        <v>392</v>
      </c>
      <c r="D2473">
        <v>22</v>
      </c>
      <c r="E2473">
        <v>7</v>
      </c>
      <c r="F2473">
        <f t="shared" si="156"/>
        <v>-1.8718883079106823</v>
      </c>
      <c r="G2473">
        <f t="shared" si="157"/>
        <v>-2.3733175007633873</v>
      </c>
      <c r="I2473">
        <f t="shared" si="155"/>
        <v>-2.1226029043370347</v>
      </c>
    </row>
    <row r="2474" spans="1:9">
      <c r="A2474" t="s">
        <v>20</v>
      </c>
      <c r="B2474" s="2">
        <f t="shared" si="154"/>
        <v>119</v>
      </c>
      <c r="C2474">
        <v>174</v>
      </c>
      <c r="D2474">
        <v>38</v>
      </c>
      <c r="E2474">
        <v>60</v>
      </c>
      <c r="F2474">
        <f t="shared" si="156"/>
        <v>-1.2817905733782209</v>
      </c>
      <c r="G2474">
        <f t="shared" si="157"/>
        <v>-1.0875274716561432</v>
      </c>
      <c r="I2474">
        <f t="shared" si="155"/>
        <v>-1.184659022517182</v>
      </c>
    </row>
    <row r="2475" spans="1:9">
      <c r="A2475" t="s">
        <v>21</v>
      </c>
      <c r="B2475" s="2">
        <f t="shared" si="154"/>
        <v>119</v>
      </c>
      <c r="C2475">
        <v>322</v>
      </c>
      <c r="D2475">
        <v>24</v>
      </c>
      <c r="E2475">
        <v>41</v>
      </c>
      <c r="F2475">
        <f t="shared" si="156"/>
        <v>-1.7486695516966562</v>
      </c>
      <c r="G2475">
        <f t="shared" si="157"/>
        <v>-1.5202014887332824</v>
      </c>
      <c r="I2475">
        <f t="shared" si="155"/>
        <v>-1.6344355202149692</v>
      </c>
    </row>
    <row r="2476" spans="1:9">
      <c r="A2476" t="s">
        <v>22</v>
      </c>
      <c r="B2476" s="2">
        <f t="shared" si="154"/>
        <v>119</v>
      </c>
      <c r="C2476">
        <v>254</v>
      </c>
      <c r="D2476">
        <v>10</v>
      </c>
      <c r="E2476">
        <v>1</v>
      </c>
      <c r="F2476">
        <f t="shared" si="156"/>
        <v>-2.0258586383323696</v>
      </c>
      <c r="G2476">
        <f t="shared" si="157"/>
        <v>-3.0299631903771251</v>
      </c>
      <c r="I2476">
        <f t="shared" si="155"/>
        <v>-2.5279109143547474</v>
      </c>
    </row>
    <row r="2477" spans="1:9">
      <c r="A2477" t="s">
        <v>23</v>
      </c>
      <c r="B2477" s="2">
        <f t="shared" si="154"/>
        <v>119</v>
      </c>
      <c r="C2477">
        <v>206</v>
      </c>
      <c r="D2477">
        <v>12</v>
      </c>
      <c r="E2477">
        <v>8</v>
      </c>
      <c r="F2477">
        <f t="shared" si="156"/>
        <v>-1.8557108960339599</v>
      </c>
      <c r="G2477">
        <f t="shared" si="157"/>
        <v>-2.035906707134397</v>
      </c>
      <c r="I2477">
        <f t="shared" si="155"/>
        <v>-1.9458088015841786</v>
      </c>
    </row>
    <row r="2478" spans="1:9">
      <c r="A2478" t="s">
        <v>24</v>
      </c>
      <c r="B2478" s="2">
        <f t="shared" si="154"/>
        <v>119</v>
      </c>
      <c r="C2478">
        <v>245</v>
      </c>
      <c r="D2478">
        <v>50</v>
      </c>
      <c r="E2478">
        <v>80</v>
      </c>
      <c r="F2478">
        <f t="shared" si="156"/>
        <v>-1.3112210017409449</v>
      </c>
      <c r="G2478">
        <f t="shared" si="157"/>
        <v>-1.1112055711297759</v>
      </c>
      <c r="I2478">
        <f t="shared" si="155"/>
        <v>-1.2112132864353604</v>
      </c>
    </row>
    <row r="2479" spans="1:9">
      <c r="A2479" t="s">
        <v>25</v>
      </c>
      <c r="B2479" s="2">
        <f t="shared" si="154"/>
        <v>119</v>
      </c>
      <c r="C2479">
        <v>266</v>
      </c>
      <c r="D2479">
        <v>17</v>
      </c>
      <c r="E2479">
        <v>3</v>
      </c>
      <c r="F2479">
        <f t="shared" si="156"/>
        <v>-1.8154576369652244</v>
      </c>
      <c r="G2479">
        <f t="shared" si="157"/>
        <v>-2.572889855668592</v>
      </c>
      <c r="I2479">
        <f t="shared" si="155"/>
        <v>-2.194173746316908</v>
      </c>
    </row>
    <row r="2480" spans="1:9">
      <c r="A2480" t="s">
        <v>7</v>
      </c>
      <c r="B2480" s="2">
        <f t="shared" si="154"/>
        <v>120</v>
      </c>
      <c r="C2480">
        <v>147</v>
      </c>
      <c r="D2480">
        <v>8</v>
      </c>
      <c r="E2480">
        <v>5</v>
      </c>
      <c r="F2480">
        <f t="shared" si="156"/>
        <v>-1.8852522694686638</v>
      </c>
      <c r="G2480">
        <f t="shared" si="157"/>
        <v>-2.0934768041693443</v>
      </c>
      <c r="I2480">
        <f t="shared" si="155"/>
        <v>-1.989364536819004</v>
      </c>
    </row>
    <row r="2481" spans="1:9">
      <c r="A2481" t="s">
        <v>8</v>
      </c>
      <c r="B2481" s="2">
        <f t="shared" si="154"/>
        <v>120</v>
      </c>
      <c r="C2481">
        <v>197</v>
      </c>
      <c r="D2481">
        <v>9</v>
      </c>
      <c r="E2481">
        <v>10</v>
      </c>
      <c r="F2481">
        <f t="shared" si="156"/>
        <v>-1.9612486384346994</v>
      </c>
      <c r="G2481">
        <f t="shared" si="157"/>
        <v>-1.91959569991878</v>
      </c>
      <c r="I2481">
        <f t="shared" si="155"/>
        <v>-1.9404221691767396</v>
      </c>
    </row>
    <row r="2482" spans="1:9">
      <c r="A2482" t="s">
        <v>5</v>
      </c>
      <c r="B2482" s="2">
        <f t="shared" si="154"/>
        <v>120</v>
      </c>
      <c r="C2482">
        <v>76</v>
      </c>
      <c r="D2482">
        <v>1</v>
      </c>
      <c r="E2482">
        <v>2</v>
      </c>
      <c r="F2482">
        <f t="shared" si="156"/>
        <v>-2.5018385139932224</v>
      </c>
      <c r="G2482">
        <f t="shared" si="157"/>
        <v>-2.2049130703739972</v>
      </c>
      <c r="I2482">
        <f t="shared" si="155"/>
        <v>-2.35337579218361</v>
      </c>
    </row>
    <row r="2483" spans="1:9">
      <c r="A2483" t="s">
        <v>6</v>
      </c>
      <c r="B2483" s="2">
        <f t="shared" si="154"/>
        <v>120</v>
      </c>
      <c r="C2483">
        <v>213</v>
      </c>
      <c r="D2483">
        <v>6</v>
      </c>
      <c r="E2483">
        <v>1</v>
      </c>
      <c r="F2483">
        <f t="shared" si="156"/>
        <v>-2.1712532747675253</v>
      </c>
      <c r="G2483">
        <f t="shared" si="157"/>
        <v>-2.9535090771959247</v>
      </c>
      <c r="I2483">
        <f t="shared" si="155"/>
        <v>-2.562381175981725</v>
      </c>
    </row>
    <row r="2484" spans="1:9">
      <c r="A2484" t="s">
        <v>10</v>
      </c>
      <c r="B2484" s="2">
        <f t="shared" si="154"/>
        <v>120</v>
      </c>
      <c r="C2484">
        <v>14</v>
      </c>
      <c r="D2484">
        <v>37</v>
      </c>
      <c r="E2484">
        <v>37</v>
      </c>
      <c r="F2484">
        <f t="shared" si="156"/>
        <v>-0.19895123332367431</v>
      </c>
      <c r="G2484">
        <f t="shared" si="157"/>
        <v>-0.20305578536843011</v>
      </c>
      <c r="I2484">
        <f t="shared" si="155"/>
        <v>-0.20100350934605221</v>
      </c>
    </row>
    <row r="2485" spans="1:9">
      <c r="A2485" t="s">
        <v>11</v>
      </c>
      <c r="B2485" s="2">
        <f t="shared" si="154"/>
        <v>120</v>
      </c>
      <c r="C2485">
        <v>122</v>
      </c>
      <c r="D2485">
        <v>11</v>
      </c>
      <c r="E2485">
        <v>1</v>
      </c>
      <c r="F2485">
        <f t="shared" si="156"/>
        <v>-1.6659920672289545</v>
      </c>
      <c r="G2485">
        <f t="shared" si="157"/>
        <v>-2.7114893044319355</v>
      </c>
      <c r="I2485">
        <f t="shared" si="155"/>
        <v>-2.188740685830445</v>
      </c>
    </row>
    <row r="2486" spans="1:9">
      <c r="A2486" t="s">
        <v>12</v>
      </c>
      <c r="B2486" s="2">
        <f t="shared" si="154"/>
        <v>120</v>
      </c>
      <c r="C2486">
        <v>183</v>
      </c>
      <c r="D2486">
        <v>42</v>
      </c>
      <c r="E2486">
        <v>46</v>
      </c>
      <c r="F2486">
        <f t="shared" si="156"/>
        <v>-1.2602267210449603</v>
      </c>
      <c r="G2486">
        <f t="shared" si="157"/>
        <v>-1.2248227318060425</v>
      </c>
      <c r="I2486">
        <f t="shared" si="155"/>
        <v>-1.2425247264255015</v>
      </c>
    </row>
    <row r="2487" spans="1:9">
      <c r="A2487" t="s">
        <v>9</v>
      </c>
      <c r="B2487" s="2">
        <f t="shared" si="154"/>
        <v>120</v>
      </c>
      <c r="C2487">
        <v>106</v>
      </c>
      <c r="D2487">
        <v>8</v>
      </c>
      <c r="E2487">
        <v>3</v>
      </c>
      <c r="F2487">
        <f t="shared" si="156"/>
        <v>-1.7432407999852579</v>
      </c>
      <c r="G2487">
        <f t="shared" si="157"/>
        <v>-2.1733140843022949</v>
      </c>
      <c r="I2487">
        <f t="shared" si="155"/>
        <v>-1.9582774421437765</v>
      </c>
    </row>
    <row r="2488" spans="1:9">
      <c r="A2488" t="s">
        <v>13</v>
      </c>
      <c r="B2488" s="2">
        <f t="shared" si="154"/>
        <v>120</v>
      </c>
      <c r="C2488">
        <v>145</v>
      </c>
      <c r="D2488">
        <v>6</v>
      </c>
      <c r="E2488">
        <v>3</v>
      </c>
      <c r="F2488">
        <f t="shared" si="156"/>
        <v>-2.0042416735637625</v>
      </c>
      <c r="G2488">
        <f t="shared" si="157"/>
        <v>-2.3093762212724993</v>
      </c>
      <c r="I2488">
        <f t="shared" si="155"/>
        <v>-2.1568089474181309</v>
      </c>
    </row>
    <row r="2489" spans="1:9">
      <c r="A2489" t="s">
        <v>14</v>
      </c>
      <c r="B2489" s="2">
        <f t="shared" si="154"/>
        <v>120</v>
      </c>
      <c r="C2489">
        <v>128</v>
      </c>
      <c r="D2489">
        <v>19</v>
      </c>
      <c r="E2489">
        <v>8</v>
      </c>
      <c r="F2489">
        <f t="shared" si="156"/>
        <v>-1.4494812904074705</v>
      </c>
      <c r="G2489">
        <f t="shared" si="157"/>
        <v>-1.8292494564131119</v>
      </c>
      <c r="I2489">
        <f t="shared" si="155"/>
        <v>-1.6393653734102913</v>
      </c>
    </row>
    <row r="2490" spans="1:9">
      <c r="A2490" t="s">
        <v>15</v>
      </c>
      <c r="B2490" s="2">
        <f t="shared" si="154"/>
        <v>120</v>
      </c>
      <c r="C2490">
        <v>158</v>
      </c>
      <c r="D2490">
        <v>120</v>
      </c>
      <c r="E2490">
        <v>102</v>
      </c>
      <c r="F2490">
        <f t="shared" si="156"/>
        <v>-0.74050076261922904</v>
      </c>
      <c r="G2490">
        <f t="shared" si="157"/>
        <v>-0.8151863889496922</v>
      </c>
      <c r="I2490">
        <f t="shared" si="155"/>
        <v>-0.77784357578446062</v>
      </c>
    </row>
    <row r="2491" spans="1:9">
      <c r="A2491" t="s">
        <v>16</v>
      </c>
      <c r="B2491" s="2">
        <f t="shared" si="154"/>
        <v>120</v>
      </c>
      <c r="C2491">
        <v>321</v>
      </c>
      <c r="D2491">
        <v>60</v>
      </c>
      <c r="E2491">
        <v>55</v>
      </c>
      <c r="F2491">
        <f t="shared" si="156"/>
        <v>-1.3493787037336598</v>
      </c>
      <c r="G2491">
        <f t="shared" si="157"/>
        <v>-1.3912718166678153</v>
      </c>
      <c r="I2491">
        <f t="shared" si="155"/>
        <v>-1.3703252602007376</v>
      </c>
    </row>
    <row r="2492" spans="1:9">
      <c r="A2492" t="s">
        <v>17</v>
      </c>
      <c r="B2492" s="2">
        <f t="shared" si="154"/>
        <v>120</v>
      </c>
      <c r="C2492">
        <v>194</v>
      </c>
      <c r="D2492">
        <v>89</v>
      </c>
      <c r="E2492">
        <v>20</v>
      </c>
      <c r="F2492">
        <f t="shared" si="156"/>
        <v>-0.9594366449977445</v>
      </c>
      <c r="G2492">
        <f t="shared" si="157"/>
        <v>-1.6119012080234318</v>
      </c>
      <c r="I2492">
        <f t="shared" si="155"/>
        <v>-1.2856689265105881</v>
      </c>
    </row>
    <row r="2493" spans="1:9">
      <c r="A2493" t="s">
        <v>18</v>
      </c>
      <c r="B2493" s="2">
        <f t="shared" si="154"/>
        <v>120</v>
      </c>
      <c r="C2493">
        <v>266</v>
      </c>
      <c r="D2493">
        <v>69</v>
      </c>
      <c r="E2493">
        <v>45</v>
      </c>
      <c r="F2493">
        <f t="shared" si="156"/>
        <v>-1.2070574676062429</v>
      </c>
      <c r="G2493">
        <f t="shared" si="157"/>
        <v>-1.3967985966129104</v>
      </c>
      <c r="I2493">
        <f t="shared" si="155"/>
        <v>-1.3019280321095765</v>
      </c>
    </row>
    <row r="2494" spans="1:9">
      <c r="A2494" t="s">
        <v>19</v>
      </c>
      <c r="B2494" s="2">
        <f t="shared" si="154"/>
        <v>120</v>
      </c>
      <c r="C2494">
        <v>244</v>
      </c>
      <c r="D2494">
        <v>29</v>
      </c>
      <c r="E2494">
        <v>27</v>
      </c>
      <c r="F2494">
        <f t="shared" si="156"/>
        <v>-1.5460167501522046</v>
      </c>
      <c r="G2494">
        <f t="shared" si="157"/>
        <v>-1.5811555359369294</v>
      </c>
      <c r="I2494">
        <f t="shared" si="155"/>
        <v>-1.563586143044567</v>
      </c>
    </row>
    <row r="2495" spans="1:9">
      <c r="A2495" t="s">
        <v>20</v>
      </c>
      <c r="B2495" s="2">
        <f t="shared" si="154"/>
        <v>120</v>
      </c>
      <c r="C2495">
        <v>209</v>
      </c>
      <c r="D2495">
        <v>14</v>
      </c>
      <c r="E2495">
        <v>4</v>
      </c>
      <c r="F2495">
        <f t="shared" si="156"/>
        <v>-1.7950431721452473</v>
      </c>
      <c r="G2495">
        <f t="shared" si="157"/>
        <v>-2.3432157685402788</v>
      </c>
      <c r="I2495">
        <f t="shared" si="155"/>
        <v>-2.0691294703427632</v>
      </c>
    </row>
    <row r="2496" spans="1:9">
      <c r="A2496" t="s">
        <v>21</v>
      </c>
      <c r="B2496" s="2">
        <f t="shared" si="154"/>
        <v>120</v>
      </c>
      <c r="C2496">
        <v>171</v>
      </c>
      <c r="D2496">
        <v>10</v>
      </c>
      <c r="E2496">
        <v>4</v>
      </c>
      <c r="F2496">
        <f t="shared" si="156"/>
        <v>-1.8540210321045851</v>
      </c>
      <c r="G2496">
        <f t="shared" si="157"/>
        <v>-2.2560655928213786</v>
      </c>
      <c r="I2496">
        <f t="shared" si="155"/>
        <v>-2.0550433124629821</v>
      </c>
    </row>
    <row r="2497" spans="1:9">
      <c r="A2497" t="s">
        <v>22</v>
      </c>
      <c r="B2497" s="2">
        <f t="shared" si="154"/>
        <v>120</v>
      </c>
      <c r="C2497">
        <v>146</v>
      </c>
      <c r="D2497">
        <v>281</v>
      </c>
      <c r="E2497">
        <v>386</v>
      </c>
      <c r="F2497">
        <f t="shared" si="156"/>
        <v>-0.33667145759178851</v>
      </c>
      <c r="G2497">
        <f t="shared" si="157"/>
        <v>-0.20289502486986921</v>
      </c>
      <c r="I2497">
        <f t="shared" si="155"/>
        <v>-0.26978324123082886</v>
      </c>
    </row>
    <row r="2498" spans="1:9">
      <c r="A2498" t="s">
        <v>23</v>
      </c>
      <c r="B2498" s="2">
        <f t="shared" si="154"/>
        <v>120</v>
      </c>
      <c r="C2498">
        <v>122</v>
      </c>
      <c r="D2498">
        <v>86</v>
      </c>
      <c r="E2498">
        <v>14</v>
      </c>
      <c r="F2498">
        <f t="shared" si="156"/>
        <v>-0.77288630114361179</v>
      </c>
      <c r="G2498">
        <f t="shared" si="157"/>
        <v>-1.5653612687536973</v>
      </c>
      <c r="I2498">
        <f t="shared" si="155"/>
        <v>-1.1691237849486544</v>
      </c>
    </row>
    <row r="2499" spans="1:9">
      <c r="A2499" t="s">
        <v>24</v>
      </c>
      <c r="B2499" s="2">
        <f t="shared" ref="B2499:B2562" si="158">1+INT((ROW()-2)/21)+1</f>
        <v>120</v>
      </c>
      <c r="C2499">
        <v>371</v>
      </c>
      <c r="D2499">
        <v>81</v>
      </c>
      <c r="E2499">
        <v>26</v>
      </c>
      <c r="F2499">
        <f t="shared" si="156"/>
        <v>-1.2819138124488274</v>
      </c>
      <c r="G2499">
        <f t="shared" si="157"/>
        <v>-1.779530035401415</v>
      </c>
      <c r="I2499">
        <f t="shared" ref="I2499:I2562" si="159">AVERAGE(F2499:G2499)</f>
        <v>-1.5307219239251211</v>
      </c>
    </row>
    <row r="2500" spans="1:9">
      <c r="A2500" t="s">
        <v>25</v>
      </c>
      <c r="B2500" s="2">
        <f t="shared" si="158"/>
        <v>120</v>
      </c>
      <c r="C2500">
        <v>247</v>
      </c>
      <c r="D2500">
        <v>20</v>
      </c>
      <c r="E2500">
        <v>0</v>
      </c>
      <c r="F2500">
        <f t="shared" si="156"/>
        <v>-1.7126918793081158</v>
      </c>
      <c r="G2500" t="e">
        <f t="shared" si="157"/>
        <v>#NUM!</v>
      </c>
      <c r="I2500" t="e">
        <f t="shared" si="159"/>
        <v>#NUM!</v>
      </c>
    </row>
    <row r="2501" spans="1:9">
      <c r="A2501" t="s">
        <v>7</v>
      </c>
      <c r="B2501" s="2">
        <f t="shared" si="158"/>
        <v>121</v>
      </c>
      <c r="C2501">
        <v>0</v>
      </c>
      <c r="D2501">
        <v>0</v>
      </c>
      <c r="E2501">
        <v>0</v>
      </c>
      <c r="F2501" t="e">
        <f t="shared" si="156"/>
        <v>#DIV/0!</v>
      </c>
      <c r="G2501" t="e">
        <f t="shared" si="157"/>
        <v>#DIV/0!</v>
      </c>
      <c r="I2501" t="e">
        <f t="shared" si="159"/>
        <v>#DIV/0!</v>
      </c>
    </row>
    <row r="2502" spans="1:9">
      <c r="A2502" t="s">
        <v>8</v>
      </c>
      <c r="B2502" s="2">
        <f t="shared" si="158"/>
        <v>121</v>
      </c>
      <c r="C2502">
        <v>3</v>
      </c>
      <c r="D2502">
        <v>0</v>
      </c>
      <c r="E2502">
        <v>0</v>
      </c>
      <c r="F2502" t="e">
        <f t="shared" si="156"/>
        <v>#NUM!</v>
      </c>
      <c r="G2502" t="e">
        <f t="shared" si="157"/>
        <v>#NUM!</v>
      </c>
      <c r="I2502" t="e">
        <f t="shared" si="159"/>
        <v>#NUM!</v>
      </c>
    </row>
    <row r="2503" spans="1:9">
      <c r="A2503" t="s">
        <v>5</v>
      </c>
      <c r="B2503" s="2">
        <f t="shared" si="158"/>
        <v>121</v>
      </c>
      <c r="C2503">
        <v>9</v>
      </c>
      <c r="D2503">
        <v>0</v>
      </c>
      <c r="E2503">
        <v>0</v>
      </c>
      <c r="F2503" t="e">
        <f t="shared" si="156"/>
        <v>#NUM!</v>
      </c>
      <c r="G2503" t="e">
        <f t="shared" si="157"/>
        <v>#NUM!</v>
      </c>
      <c r="I2503" t="e">
        <f t="shared" si="159"/>
        <v>#NUM!</v>
      </c>
    </row>
    <row r="2504" spans="1:9">
      <c r="A2504" t="s">
        <v>6</v>
      </c>
      <c r="B2504" s="2">
        <f t="shared" si="158"/>
        <v>121</v>
      </c>
      <c r="C2504">
        <v>1</v>
      </c>
      <c r="D2504">
        <v>1</v>
      </c>
      <c r="E2504">
        <v>0</v>
      </c>
      <c r="F2504">
        <f t="shared" si="156"/>
        <v>-0.62102492171243129</v>
      </c>
      <c r="G2504" t="e">
        <f t="shared" si="157"/>
        <v>#NUM!</v>
      </c>
      <c r="I2504" t="e">
        <f t="shared" si="159"/>
        <v>#NUM!</v>
      </c>
    </row>
    <row r="2505" spans="1:9">
      <c r="A2505" t="s">
        <v>10</v>
      </c>
      <c r="B2505" s="2">
        <f t="shared" si="158"/>
        <v>121</v>
      </c>
      <c r="C2505">
        <v>11</v>
      </c>
      <c r="D2505">
        <v>0</v>
      </c>
      <c r="E2505">
        <v>0</v>
      </c>
      <c r="F2505" t="e">
        <f t="shared" si="156"/>
        <v>#NUM!</v>
      </c>
      <c r="G2505" t="e">
        <f t="shared" si="157"/>
        <v>#NUM!</v>
      </c>
      <c r="I2505" t="e">
        <f t="shared" si="159"/>
        <v>#NUM!</v>
      </c>
    </row>
    <row r="2506" spans="1:9">
      <c r="A2506" t="s">
        <v>11</v>
      </c>
      <c r="B2506" s="2">
        <f t="shared" si="158"/>
        <v>121</v>
      </c>
      <c r="C2506">
        <v>25</v>
      </c>
      <c r="D2506">
        <v>3</v>
      </c>
      <c r="E2506">
        <v>2</v>
      </c>
      <c r="F2506">
        <f t="shared" si="156"/>
        <v>-1.5418436756648064</v>
      </c>
      <c r="G2506">
        <f t="shared" si="157"/>
        <v>-1.7220394867652435</v>
      </c>
      <c r="I2506">
        <f t="shared" si="159"/>
        <v>-1.6319415812150249</v>
      </c>
    </row>
    <row r="2507" spans="1:9">
      <c r="A2507" t="s">
        <v>12</v>
      </c>
      <c r="B2507" s="2">
        <f t="shared" si="158"/>
        <v>121</v>
      </c>
      <c r="C2507">
        <v>4</v>
      </c>
      <c r="D2507">
        <v>0</v>
      </c>
      <c r="E2507">
        <v>1</v>
      </c>
      <c r="F2507" t="e">
        <f t="shared" si="156"/>
        <v>#NUM!</v>
      </c>
      <c r="G2507">
        <f t="shared" si="157"/>
        <v>-1.2271894650851496</v>
      </c>
      <c r="I2507" t="e">
        <f t="shared" si="159"/>
        <v>#NUM!</v>
      </c>
    </row>
    <row r="2508" spans="1:9">
      <c r="A2508" t="s">
        <v>9</v>
      </c>
      <c r="B2508" s="2">
        <f t="shared" si="158"/>
        <v>121</v>
      </c>
      <c r="C2508">
        <v>5</v>
      </c>
      <c r="D2508">
        <v>0</v>
      </c>
      <c r="E2508">
        <v>0</v>
      </c>
      <c r="F2508" t="e">
        <f t="shared" si="156"/>
        <v>#NUM!</v>
      </c>
      <c r="G2508" t="e">
        <f t="shared" si="157"/>
        <v>#NUM!</v>
      </c>
      <c r="I2508" t="e">
        <f t="shared" si="159"/>
        <v>#NUM!</v>
      </c>
    </row>
    <row r="2509" spans="1:9">
      <c r="A2509" t="s">
        <v>13</v>
      </c>
      <c r="B2509" s="2">
        <f t="shared" si="158"/>
        <v>121</v>
      </c>
      <c r="C2509">
        <v>0</v>
      </c>
      <c r="D2509">
        <v>0</v>
      </c>
      <c r="E2509">
        <v>0</v>
      </c>
      <c r="F2509" t="e">
        <f t="shared" si="156"/>
        <v>#DIV/0!</v>
      </c>
      <c r="G2509" t="e">
        <f t="shared" si="157"/>
        <v>#DIV/0!</v>
      </c>
      <c r="I2509" t="e">
        <f t="shared" si="159"/>
        <v>#DIV/0!</v>
      </c>
    </row>
    <row r="2510" spans="1:9">
      <c r="A2510" t="s">
        <v>14</v>
      </c>
      <c r="B2510" s="2">
        <f t="shared" si="158"/>
        <v>121</v>
      </c>
      <c r="C2510">
        <v>8</v>
      </c>
      <c r="D2510">
        <v>0</v>
      </c>
      <c r="E2510">
        <v>0</v>
      </c>
      <c r="F2510" t="e">
        <f t="shared" si="156"/>
        <v>#NUM!</v>
      </c>
      <c r="G2510" t="e">
        <f t="shared" si="157"/>
        <v>#NUM!</v>
      </c>
      <c r="I2510" t="e">
        <f t="shared" si="159"/>
        <v>#NUM!</v>
      </c>
    </row>
    <row r="2511" spans="1:9">
      <c r="A2511" t="s">
        <v>15</v>
      </c>
      <c r="B2511" s="2">
        <f t="shared" si="158"/>
        <v>121</v>
      </c>
      <c r="C2511">
        <v>6</v>
      </c>
      <c r="D2511">
        <v>0</v>
      </c>
      <c r="E2511">
        <v>1</v>
      </c>
      <c r="F2511" t="e">
        <f t="shared" si="156"/>
        <v>#NUM!</v>
      </c>
      <c r="G2511">
        <f t="shared" si="157"/>
        <v>-1.4032807241408307</v>
      </c>
      <c r="I2511" t="e">
        <f t="shared" si="159"/>
        <v>#NUM!</v>
      </c>
    </row>
    <row r="2512" spans="1:9">
      <c r="A2512" t="s">
        <v>16</v>
      </c>
      <c r="B2512" s="2">
        <f t="shared" si="158"/>
        <v>121</v>
      </c>
      <c r="C2512">
        <v>11</v>
      </c>
      <c r="D2512">
        <v>1</v>
      </c>
      <c r="E2512">
        <v>0</v>
      </c>
      <c r="F2512">
        <f t="shared" si="156"/>
        <v>-1.6624176068706562</v>
      </c>
      <c r="G2512" t="e">
        <f t="shared" si="157"/>
        <v>#NUM!</v>
      </c>
      <c r="I2512" t="e">
        <f t="shared" si="159"/>
        <v>#NUM!</v>
      </c>
    </row>
    <row r="2513" spans="1:9">
      <c r="A2513" t="s">
        <v>17</v>
      </c>
      <c r="B2513" s="2">
        <f t="shared" si="158"/>
        <v>121</v>
      </c>
      <c r="C2513">
        <v>181</v>
      </c>
      <c r="D2513">
        <v>59</v>
      </c>
      <c r="E2513">
        <v>55</v>
      </c>
      <c r="F2513">
        <f t="shared" si="156"/>
        <v>-1.1078514849394716</v>
      </c>
      <c r="G2513">
        <f t="shared" si="157"/>
        <v>-1.1424453591321277</v>
      </c>
      <c r="I2513">
        <f t="shared" si="159"/>
        <v>-1.1251484220357997</v>
      </c>
    </row>
    <row r="2514" spans="1:9">
      <c r="A2514" t="s">
        <v>18</v>
      </c>
      <c r="B2514" s="2">
        <f t="shared" si="158"/>
        <v>121</v>
      </c>
      <c r="C2514">
        <v>10</v>
      </c>
      <c r="D2514">
        <v>0</v>
      </c>
      <c r="E2514">
        <v>0</v>
      </c>
      <c r="F2514" t="e">
        <f t="shared" si="156"/>
        <v>#NUM!</v>
      </c>
      <c r="G2514" t="e">
        <f t="shared" si="157"/>
        <v>#NUM!</v>
      </c>
      <c r="I2514" t="e">
        <f t="shared" si="159"/>
        <v>#NUM!</v>
      </c>
    </row>
    <row r="2515" spans="1:9">
      <c r="A2515" t="s">
        <v>19</v>
      </c>
      <c r="B2515" s="2">
        <f t="shared" si="158"/>
        <v>121</v>
      </c>
      <c r="C2515">
        <v>0</v>
      </c>
      <c r="D2515">
        <v>0</v>
      </c>
      <c r="E2515">
        <v>0</v>
      </c>
      <c r="F2515" t="e">
        <f t="shared" si="156"/>
        <v>#DIV/0!</v>
      </c>
      <c r="G2515" t="e">
        <f t="shared" si="157"/>
        <v>#DIV/0!</v>
      </c>
      <c r="I2515" t="e">
        <f t="shared" si="159"/>
        <v>#DIV/0!</v>
      </c>
    </row>
    <row r="2516" spans="1:9">
      <c r="A2516" t="s">
        <v>20</v>
      </c>
      <c r="B2516" s="2">
        <f t="shared" si="158"/>
        <v>121</v>
      </c>
      <c r="C2516">
        <v>2</v>
      </c>
      <c r="D2516">
        <v>0</v>
      </c>
      <c r="E2516">
        <v>0</v>
      </c>
      <c r="F2516" t="e">
        <f t="shared" si="156"/>
        <v>#NUM!</v>
      </c>
      <c r="G2516" t="e">
        <f t="shared" si="157"/>
        <v>#NUM!</v>
      </c>
      <c r="I2516" t="e">
        <f t="shared" si="159"/>
        <v>#NUM!</v>
      </c>
    </row>
    <row r="2517" spans="1:9">
      <c r="A2517" t="s">
        <v>21</v>
      </c>
      <c r="B2517" s="2">
        <f t="shared" si="158"/>
        <v>121</v>
      </c>
      <c r="C2517">
        <v>42113</v>
      </c>
      <c r="D2517">
        <v>175971</v>
      </c>
      <c r="E2517">
        <v>177642</v>
      </c>
      <c r="F2517">
        <f t="shared" si="156"/>
        <v>0</v>
      </c>
      <c r="G2517">
        <f t="shared" si="157"/>
        <v>0</v>
      </c>
      <c r="I2517">
        <f t="shared" si="159"/>
        <v>0</v>
      </c>
    </row>
    <row r="2518" spans="1:9">
      <c r="A2518" t="s">
        <v>22</v>
      </c>
      <c r="B2518" s="2">
        <f t="shared" si="158"/>
        <v>121</v>
      </c>
      <c r="C2518">
        <v>1</v>
      </c>
      <c r="D2518">
        <v>0</v>
      </c>
      <c r="E2518">
        <v>0</v>
      </c>
      <c r="F2518" t="e">
        <f t="shared" si="156"/>
        <v>#NUM!</v>
      </c>
      <c r="G2518" t="e">
        <f t="shared" si="157"/>
        <v>#NUM!</v>
      </c>
      <c r="I2518" t="e">
        <f t="shared" si="159"/>
        <v>#NUM!</v>
      </c>
    </row>
    <row r="2519" spans="1:9">
      <c r="A2519" t="s">
        <v>23</v>
      </c>
      <c r="B2519" s="2">
        <f t="shared" si="158"/>
        <v>121</v>
      </c>
      <c r="C2519">
        <v>1</v>
      </c>
      <c r="D2519">
        <v>0</v>
      </c>
      <c r="E2519">
        <v>0</v>
      </c>
      <c r="F2519" t="e">
        <f t="shared" si="156"/>
        <v>#NUM!</v>
      </c>
      <c r="G2519" t="e">
        <f t="shared" si="157"/>
        <v>#NUM!</v>
      </c>
      <c r="I2519" t="e">
        <f t="shared" si="159"/>
        <v>#NUM!</v>
      </c>
    </row>
    <row r="2520" spans="1:9">
      <c r="A2520" t="s">
        <v>24</v>
      </c>
      <c r="B2520" s="2">
        <f t="shared" si="158"/>
        <v>121</v>
      </c>
      <c r="C2520">
        <v>16</v>
      </c>
      <c r="D2520">
        <v>0</v>
      </c>
      <c r="E2520">
        <v>0</v>
      </c>
      <c r="F2520" t="e">
        <f t="shared" si="156"/>
        <v>#NUM!</v>
      </c>
      <c r="G2520" t="e">
        <f t="shared" si="157"/>
        <v>#NUM!</v>
      </c>
      <c r="I2520" t="e">
        <f t="shared" si="159"/>
        <v>#NUM!</v>
      </c>
    </row>
    <row r="2521" spans="1:9">
      <c r="A2521" t="s">
        <v>25</v>
      </c>
      <c r="B2521" s="2">
        <f t="shared" si="158"/>
        <v>121</v>
      </c>
      <c r="C2521">
        <v>29</v>
      </c>
      <c r="D2521">
        <v>3</v>
      </c>
      <c r="E2521">
        <v>0</v>
      </c>
      <c r="F2521">
        <f t="shared" si="156"/>
        <v>-1.606301664891725</v>
      </c>
      <c r="G2521" t="e">
        <f t="shared" si="157"/>
        <v>#NUM!</v>
      </c>
      <c r="I2521" t="e">
        <f t="shared" si="159"/>
        <v>#NUM!</v>
      </c>
    </row>
    <row r="2522" spans="1:9">
      <c r="A2522" t="s">
        <v>7</v>
      </c>
      <c r="B2522" s="2">
        <f t="shared" si="158"/>
        <v>122</v>
      </c>
      <c r="C2522">
        <v>2</v>
      </c>
      <c r="D2522">
        <v>0</v>
      </c>
      <c r="E2522">
        <v>0</v>
      </c>
      <c r="F2522" t="e">
        <f>LOG10(D2522/C2522)-LOG10(255266/40783)</f>
        <v>#NUM!</v>
      </c>
      <c r="G2522" t="e">
        <f>LOG10(E2522/C2522)-LOG10(475460/40783)</f>
        <v>#NUM!</v>
      </c>
      <c r="I2522" t="e">
        <f t="shared" si="159"/>
        <v>#NUM!</v>
      </c>
    </row>
    <row r="2523" spans="1:9">
      <c r="A2523" t="s">
        <v>8</v>
      </c>
      <c r="B2523" s="2">
        <f t="shared" si="158"/>
        <v>122</v>
      </c>
      <c r="C2523">
        <v>16</v>
      </c>
      <c r="D2523">
        <v>0</v>
      </c>
      <c r="E2523">
        <v>1</v>
      </c>
      <c r="F2523" t="e">
        <f t="shared" ref="F2523:F2586" si="160">LOG10(D2523/C2523)-LOG10(255266/40783)</f>
        <v>#NUM!</v>
      </c>
      <c r="G2523">
        <f t="shared" ref="G2523:G2586" si="161">LOG10(E2523/C2523)-LOG10(475460/40783)</f>
        <v>-2.2707547993361628</v>
      </c>
      <c r="I2523" t="e">
        <f t="shared" si="159"/>
        <v>#NUM!</v>
      </c>
    </row>
    <row r="2524" spans="1:9">
      <c r="A2524" t="s">
        <v>5</v>
      </c>
      <c r="B2524" s="2">
        <f t="shared" si="158"/>
        <v>122</v>
      </c>
      <c r="C2524">
        <v>7</v>
      </c>
      <c r="D2524">
        <v>0</v>
      </c>
      <c r="E2524">
        <v>0</v>
      </c>
      <c r="F2524" t="e">
        <f t="shared" si="160"/>
        <v>#NUM!</v>
      </c>
      <c r="G2524" t="e">
        <f t="shared" si="161"/>
        <v>#NUM!</v>
      </c>
      <c r="I2524" t="e">
        <f t="shared" si="159"/>
        <v>#NUM!</v>
      </c>
    </row>
    <row r="2525" spans="1:9">
      <c r="A2525" t="s">
        <v>6</v>
      </c>
      <c r="B2525" s="2">
        <f t="shared" si="158"/>
        <v>122</v>
      </c>
      <c r="C2525">
        <v>40783</v>
      </c>
      <c r="D2525">
        <v>255266</v>
      </c>
      <c r="E2525">
        <v>475460</v>
      </c>
      <c r="F2525">
        <f t="shared" si="160"/>
        <v>0</v>
      </c>
      <c r="G2525">
        <f t="shared" si="161"/>
        <v>0</v>
      </c>
      <c r="I2525">
        <f t="shared" si="159"/>
        <v>0</v>
      </c>
    </row>
    <row r="2526" spans="1:9">
      <c r="A2526" t="s">
        <v>10</v>
      </c>
      <c r="B2526" s="2">
        <f t="shared" si="158"/>
        <v>122</v>
      </c>
      <c r="C2526">
        <v>100</v>
      </c>
      <c r="D2526">
        <v>82</v>
      </c>
      <c r="E2526">
        <v>143</v>
      </c>
      <c r="F2526">
        <f t="shared" si="160"/>
        <v>-0.88269995133641066</v>
      </c>
      <c r="G2526">
        <f t="shared" si="161"/>
        <v>-0.91129877921517632</v>
      </c>
      <c r="I2526">
        <f t="shared" si="159"/>
        <v>-0.89699936527579349</v>
      </c>
    </row>
    <row r="2527" spans="1:9">
      <c r="A2527" t="s">
        <v>11</v>
      </c>
      <c r="B2527" s="2">
        <f t="shared" si="158"/>
        <v>122</v>
      </c>
      <c r="C2527">
        <v>29</v>
      </c>
      <c r="D2527">
        <v>71</v>
      </c>
      <c r="E2527">
        <v>48</v>
      </c>
      <c r="F2527">
        <f t="shared" si="160"/>
        <v>-0.40765345290000821</v>
      </c>
      <c r="G2527">
        <f t="shared" si="161"/>
        <v>-0.84779157720360709</v>
      </c>
      <c r="I2527">
        <f t="shared" si="159"/>
        <v>-0.62772251505180765</v>
      </c>
    </row>
    <row r="2528" spans="1:9">
      <c r="A2528" t="s">
        <v>12</v>
      </c>
      <c r="B2528" s="2">
        <f t="shared" si="158"/>
        <v>122</v>
      </c>
      <c r="C2528">
        <v>39</v>
      </c>
      <c r="D2528">
        <v>2</v>
      </c>
      <c r="E2528">
        <v>1</v>
      </c>
      <c r="F2528">
        <f t="shared" si="160"/>
        <v>-2.0865484150826452</v>
      </c>
      <c r="G2528">
        <f t="shared" si="161"/>
        <v>-2.6576994237067373</v>
      </c>
      <c r="I2528">
        <f t="shared" si="159"/>
        <v>-2.3721239193946912</v>
      </c>
    </row>
    <row r="2529" spans="1:9">
      <c r="A2529" t="s">
        <v>9</v>
      </c>
      <c r="B2529" s="2">
        <f t="shared" si="158"/>
        <v>122</v>
      </c>
      <c r="C2529">
        <v>7</v>
      </c>
      <c r="D2529">
        <v>0</v>
      </c>
      <c r="E2529">
        <v>2</v>
      </c>
      <c r="F2529" t="e">
        <f t="shared" si="160"/>
        <v>#NUM!</v>
      </c>
      <c r="G2529">
        <f t="shared" si="161"/>
        <v>-1.6107028610305139</v>
      </c>
      <c r="I2529" t="e">
        <f t="shared" si="159"/>
        <v>#NUM!</v>
      </c>
    </row>
    <row r="2530" spans="1:9">
      <c r="A2530" t="s">
        <v>13</v>
      </c>
      <c r="B2530" s="2">
        <f t="shared" si="158"/>
        <v>122</v>
      </c>
      <c r="C2530">
        <v>5</v>
      </c>
      <c r="D2530">
        <v>0</v>
      </c>
      <c r="E2530">
        <v>1</v>
      </c>
      <c r="F2530" t="e">
        <f t="shared" si="160"/>
        <v>#NUM!</v>
      </c>
      <c r="G2530">
        <f t="shared" si="161"/>
        <v>-1.7656048210162569</v>
      </c>
      <c r="I2530" t="e">
        <f t="shared" si="159"/>
        <v>#NUM!</v>
      </c>
    </row>
    <row r="2531" spans="1:9">
      <c r="A2531" t="s">
        <v>14</v>
      </c>
      <c r="B2531" s="2">
        <f t="shared" si="158"/>
        <v>122</v>
      </c>
      <c r="C2531">
        <v>14</v>
      </c>
      <c r="D2531">
        <v>38</v>
      </c>
      <c r="E2531">
        <v>70</v>
      </c>
      <c r="F2531">
        <f t="shared" si="160"/>
        <v>-0.36285824278155521</v>
      </c>
      <c r="G2531">
        <f t="shared" si="161"/>
        <v>-0.36766481234421933</v>
      </c>
      <c r="I2531">
        <f t="shared" si="159"/>
        <v>-0.36526152756288727</v>
      </c>
    </row>
    <row r="2532" spans="1:9">
      <c r="A2532" t="s">
        <v>15</v>
      </c>
      <c r="B2532" s="2">
        <f t="shared" si="158"/>
        <v>122</v>
      </c>
      <c r="C2532">
        <v>6</v>
      </c>
      <c r="D2532">
        <v>0</v>
      </c>
      <c r="E2532">
        <v>0</v>
      </c>
      <c r="F2532" t="e">
        <f t="shared" si="160"/>
        <v>#NUM!</v>
      </c>
      <c r="G2532" t="e">
        <f t="shared" si="161"/>
        <v>#NUM!</v>
      </c>
      <c r="I2532" t="e">
        <f t="shared" si="159"/>
        <v>#NUM!</v>
      </c>
    </row>
    <row r="2533" spans="1:9">
      <c r="A2533" t="s">
        <v>16</v>
      </c>
      <c r="B2533" s="2">
        <f t="shared" si="158"/>
        <v>122</v>
      </c>
      <c r="C2533">
        <v>46</v>
      </c>
      <c r="D2533">
        <v>678</v>
      </c>
      <c r="E2533">
        <v>45</v>
      </c>
      <c r="F2533">
        <f t="shared" si="160"/>
        <v>0.3719580584653619</v>
      </c>
      <c r="G2533">
        <f t="shared" si="161"/>
        <v>-1.0761801345864686</v>
      </c>
      <c r="I2533">
        <f t="shared" si="159"/>
        <v>-0.35211103806055333</v>
      </c>
    </row>
    <row r="2534" spans="1:9">
      <c r="A2534" t="s">
        <v>17</v>
      </c>
      <c r="B2534" s="2">
        <f t="shared" si="158"/>
        <v>122</v>
      </c>
      <c r="C2534">
        <v>11</v>
      </c>
      <c r="D2534">
        <v>14</v>
      </c>
      <c r="E2534">
        <v>2</v>
      </c>
      <c r="F2534">
        <f t="shared" si="160"/>
        <v>-0.69177845320011433</v>
      </c>
      <c r="G2534">
        <f t="shared" si="161"/>
        <v>-1.8069975061744821</v>
      </c>
      <c r="I2534">
        <f t="shared" si="159"/>
        <v>-1.2493879796872982</v>
      </c>
    </row>
    <row r="2535" spans="1:9">
      <c r="A2535" t="s">
        <v>18</v>
      </c>
      <c r="B2535" s="2">
        <f t="shared" si="158"/>
        <v>122</v>
      </c>
      <c r="C2535">
        <v>82</v>
      </c>
      <c r="D2535">
        <v>795</v>
      </c>
      <c r="E2535">
        <v>169</v>
      </c>
      <c r="F2535">
        <f t="shared" si="160"/>
        <v>0.19003947255262621</v>
      </c>
      <c r="G2535">
        <f t="shared" si="161"/>
        <v>-0.75256196445028134</v>
      </c>
      <c r="I2535">
        <f t="shared" si="159"/>
        <v>-0.28126124594882757</v>
      </c>
    </row>
    <row r="2536" spans="1:9">
      <c r="A2536" t="s">
        <v>19</v>
      </c>
      <c r="B2536" s="2">
        <f t="shared" si="158"/>
        <v>122</v>
      </c>
      <c r="C2536">
        <v>8</v>
      </c>
      <c r="D2536">
        <v>0</v>
      </c>
      <c r="E2536">
        <v>1</v>
      </c>
      <c r="F2536" t="e">
        <f t="shared" si="160"/>
        <v>#NUM!</v>
      </c>
      <c r="G2536">
        <f t="shared" si="161"/>
        <v>-1.9697248036721817</v>
      </c>
      <c r="I2536" t="e">
        <f t="shared" si="159"/>
        <v>#NUM!</v>
      </c>
    </row>
    <row r="2537" spans="1:9">
      <c r="A2537" t="s">
        <v>20</v>
      </c>
      <c r="B2537" s="2">
        <f t="shared" si="158"/>
        <v>122</v>
      </c>
      <c r="C2537">
        <v>14</v>
      </c>
      <c r="D2537">
        <v>0</v>
      </c>
      <c r="E2537">
        <v>0</v>
      </c>
      <c r="F2537" t="e">
        <f t="shared" si="160"/>
        <v>#NUM!</v>
      </c>
      <c r="G2537" t="e">
        <f t="shared" si="161"/>
        <v>#NUM!</v>
      </c>
      <c r="I2537" t="e">
        <f t="shared" si="159"/>
        <v>#NUM!</v>
      </c>
    </row>
    <row r="2538" spans="1:9">
      <c r="A2538" t="s">
        <v>21</v>
      </c>
      <c r="B2538" s="2">
        <f t="shared" si="158"/>
        <v>122</v>
      </c>
      <c r="C2538">
        <v>36</v>
      </c>
      <c r="D2538">
        <v>0</v>
      </c>
      <c r="E2538">
        <v>6</v>
      </c>
      <c r="F2538" t="e">
        <f t="shared" si="160"/>
        <v>#NUM!</v>
      </c>
      <c r="G2538">
        <f t="shared" si="161"/>
        <v>-1.8447860670638818</v>
      </c>
      <c r="I2538" t="e">
        <f t="shared" si="159"/>
        <v>#NUM!</v>
      </c>
    </row>
    <row r="2539" spans="1:9">
      <c r="A2539" t="s">
        <v>22</v>
      </c>
      <c r="B2539" s="2">
        <f t="shared" si="158"/>
        <v>122</v>
      </c>
      <c r="C2539">
        <v>11</v>
      </c>
      <c r="D2539">
        <v>0</v>
      </c>
      <c r="E2539">
        <v>0</v>
      </c>
      <c r="F2539" t="e">
        <f t="shared" si="160"/>
        <v>#NUM!</v>
      </c>
      <c r="G2539" t="e">
        <f t="shared" si="161"/>
        <v>#NUM!</v>
      </c>
      <c r="I2539" t="e">
        <f t="shared" si="159"/>
        <v>#NUM!</v>
      </c>
    </row>
    <row r="2540" spans="1:9">
      <c r="A2540" t="s">
        <v>23</v>
      </c>
      <c r="B2540" s="2">
        <f t="shared" si="158"/>
        <v>122</v>
      </c>
      <c r="C2540">
        <v>22</v>
      </c>
      <c r="D2540">
        <v>0</v>
      </c>
      <c r="E2540">
        <v>1</v>
      </c>
      <c r="F2540" t="e">
        <f t="shared" si="160"/>
        <v>#NUM!</v>
      </c>
      <c r="G2540">
        <f t="shared" si="161"/>
        <v>-2.4090574975024444</v>
      </c>
      <c r="I2540" t="e">
        <f t="shared" si="159"/>
        <v>#NUM!</v>
      </c>
    </row>
    <row r="2541" spans="1:9">
      <c r="A2541" t="s">
        <v>24</v>
      </c>
      <c r="B2541" s="2">
        <f t="shared" si="158"/>
        <v>122</v>
      </c>
      <c r="C2541">
        <v>48</v>
      </c>
      <c r="D2541">
        <v>0</v>
      </c>
      <c r="E2541">
        <v>17</v>
      </c>
      <c r="F2541" t="e">
        <f t="shared" si="160"/>
        <v>#NUM!</v>
      </c>
      <c r="G2541">
        <f t="shared" si="161"/>
        <v>-1.5174271326775515</v>
      </c>
      <c r="I2541" t="e">
        <f t="shared" si="159"/>
        <v>#NUM!</v>
      </c>
    </row>
    <row r="2542" spans="1:9">
      <c r="A2542" t="s">
        <v>25</v>
      </c>
      <c r="B2542" s="2">
        <f t="shared" si="158"/>
        <v>122</v>
      </c>
      <c r="C2542">
        <v>11</v>
      </c>
      <c r="D2542">
        <v>0</v>
      </c>
      <c r="E2542">
        <v>0</v>
      </c>
      <c r="F2542" t="e">
        <f t="shared" si="160"/>
        <v>#NUM!</v>
      </c>
      <c r="G2542" t="e">
        <f t="shared" si="161"/>
        <v>#NUM!</v>
      </c>
      <c r="I2542" t="e">
        <f t="shared" si="159"/>
        <v>#NUM!</v>
      </c>
    </row>
    <row r="2543" spans="1:9">
      <c r="A2543" t="s">
        <v>7</v>
      </c>
      <c r="B2543" s="2">
        <f t="shared" si="158"/>
        <v>123</v>
      </c>
      <c r="C2543">
        <v>161</v>
      </c>
      <c r="D2543">
        <v>43</v>
      </c>
      <c r="E2543">
        <v>11</v>
      </c>
      <c r="F2543">
        <f t="shared" si="160"/>
        <v>-1.3698712241723905</v>
      </c>
      <c r="G2543">
        <f t="shared" si="161"/>
        <v>-2.2320680075538628</v>
      </c>
      <c r="I2543">
        <f t="shared" si="159"/>
        <v>-1.8009696158631265</v>
      </c>
    </row>
    <row r="2544" spans="1:9">
      <c r="A2544" t="s">
        <v>8</v>
      </c>
      <c r="B2544" s="2">
        <f t="shared" si="158"/>
        <v>123</v>
      </c>
      <c r="C2544">
        <v>128</v>
      </c>
      <c r="D2544">
        <v>46</v>
      </c>
      <c r="E2544">
        <v>12</v>
      </c>
      <c r="F2544">
        <f t="shared" si="160"/>
        <v>-1.2409659416864216</v>
      </c>
      <c r="G2544">
        <f t="shared" si="161"/>
        <v>-2.0946635402804814</v>
      </c>
      <c r="I2544">
        <f t="shared" si="159"/>
        <v>-1.6678147409834514</v>
      </c>
    </row>
    <row r="2545" spans="1:9">
      <c r="A2545" t="s">
        <v>5</v>
      </c>
      <c r="B2545" s="2">
        <f t="shared" si="158"/>
        <v>123</v>
      </c>
      <c r="C2545">
        <v>72</v>
      </c>
      <c r="D2545">
        <v>3</v>
      </c>
      <c r="E2545">
        <v>7</v>
      </c>
      <c r="F2545">
        <f t="shared" si="160"/>
        <v>-2.1767250454317333</v>
      </c>
      <c r="G2545">
        <f t="shared" si="161"/>
        <v>-2.0788692730972498</v>
      </c>
      <c r="I2545">
        <f t="shared" si="159"/>
        <v>-2.1277971592644915</v>
      </c>
    </row>
    <row r="2546" spans="1:9">
      <c r="A2546" t="s">
        <v>6</v>
      </c>
      <c r="B2546" s="2">
        <f t="shared" si="158"/>
        <v>123</v>
      </c>
      <c r="C2546">
        <v>72</v>
      </c>
      <c r="D2546">
        <v>103</v>
      </c>
      <c r="E2546">
        <v>62</v>
      </c>
      <c r="F2546">
        <f t="shared" si="160"/>
        <v>-0.64100907544622365</v>
      </c>
      <c r="G2546">
        <f t="shared" si="161"/>
        <v>-1.1315756236132528</v>
      </c>
      <c r="I2546">
        <f t="shared" si="159"/>
        <v>-0.88629234952973823</v>
      </c>
    </row>
    <row r="2547" spans="1:9">
      <c r="A2547" t="s">
        <v>10</v>
      </c>
      <c r="B2547" s="2">
        <f t="shared" si="158"/>
        <v>123</v>
      </c>
      <c r="C2547">
        <v>94</v>
      </c>
      <c r="D2547">
        <v>102</v>
      </c>
      <c r="E2547">
        <v>16</v>
      </c>
      <c r="F2547">
        <f t="shared" si="160"/>
        <v>-0.76104148555790851</v>
      </c>
      <c r="G2547">
        <f t="shared" si="161"/>
        <v>-1.8356426876240119</v>
      </c>
      <c r="I2547">
        <f t="shared" si="159"/>
        <v>-1.2983420865909603</v>
      </c>
    </row>
    <row r="2548" spans="1:9">
      <c r="A2548" t="s">
        <v>11</v>
      </c>
      <c r="B2548" s="2">
        <f t="shared" si="158"/>
        <v>123</v>
      </c>
      <c r="C2548">
        <v>219</v>
      </c>
      <c r="D2548">
        <v>36</v>
      </c>
      <c r="E2548">
        <v>16</v>
      </c>
      <c r="F2548">
        <f t="shared" si="160"/>
        <v>-1.5806554177929586</v>
      </c>
      <c r="G2548">
        <f t="shared" si="161"/>
        <v>-2.2029589488644317</v>
      </c>
      <c r="I2548">
        <f t="shared" si="159"/>
        <v>-1.8918071833286951</v>
      </c>
    </row>
    <row r="2549" spans="1:9">
      <c r="A2549" t="s">
        <v>12</v>
      </c>
      <c r="B2549" s="2">
        <f t="shared" si="158"/>
        <v>123</v>
      </c>
      <c r="C2549">
        <v>304</v>
      </c>
      <c r="D2549">
        <v>214</v>
      </c>
      <c r="E2549">
        <v>36</v>
      </c>
      <c r="F2549">
        <f t="shared" si="160"/>
        <v>-0.94897361397969027</v>
      </c>
      <c r="G2549">
        <f t="shared" si="161"/>
        <v>-1.9932058995217048</v>
      </c>
      <c r="I2549">
        <f t="shared" si="159"/>
        <v>-1.4710897567506975</v>
      </c>
    </row>
    <row r="2550" spans="1:9">
      <c r="A2550" t="s">
        <v>9</v>
      </c>
      <c r="B2550" s="2">
        <f t="shared" si="158"/>
        <v>123</v>
      </c>
      <c r="C2550">
        <v>124</v>
      </c>
      <c r="D2550">
        <v>86</v>
      </c>
      <c r="E2550">
        <v>20</v>
      </c>
      <c r="F2550">
        <f t="shared" si="160"/>
        <v>-0.95543703763879462</v>
      </c>
      <c r="G2550">
        <f t="shared" si="161"/>
        <v>-1.8590265061784921</v>
      </c>
      <c r="I2550">
        <f t="shared" si="159"/>
        <v>-1.4072317719086433</v>
      </c>
    </row>
    <row r="2551" spans="1:9">
      <c r="A2551" t="s">
        <v>13</v>
      </c>
      <c r="B2551" s="2">
        <f t="shared" si="158"/>
        <v>123</v>
      </c>
      <c r="C2551">
        <v>170</v>
      </c>
      <c r="D2551">
        <v>121</v>
      </c>
      <c r="E2551">
        <v>157</v>
      </c>
      <c r="F2551">
        <f t="shared" si="160"/>
        <v>-0.94417735478195119</v>
      </c>
      <c r="G2551">
        <f t="shared" si="161"/>
        <v>-1.1011840856492783</v>
      </c>
      <c r="I2551">
        <f t="shared" si="159"/>
        <v>-1.0226807202156147</v>
      </c>
    </row>
    <row r="2552" spans="1:9">
      <c r="A2552" t="s">
        <v>14</v>
      </c>
      <c r="B2552" s="2">
        <f t="shared" si="158"/>
        <v>123</v>
      </c>
      <c r="C2552">
        <v>40783</v>
      </c>
      <c r="D2552">
        <v>255266</v>
      </c>
      <c r="E2552">
        <v>475460</v>
      </c>
      <c r="F2552">
        <f t="shared" si="160"/>
        <v>0</v>
      </c>
      <c r="G2552">
        <f t="shared" si="161"/>
        <v>0</v>
      </c>
      <c r="I2552">
        <f t="shared" si="159"/>
        <v>0</v>
      </c>
    </row>
    <row r="2553" spans="1:9">
      <c r="A2553" t="s">
        <v>15</v>
      </c>
      <c r="B2553" s="2">
        <f t="shared" si="158"/>
        <v>123</v>
      </c>
      <c r="C2553">
        <v>188</v>
      </c>
      <c r="D2553">
        <v>123</v>
      </c>
      <c r="E2553">
        <v>11</v>
      </c>
      <c r="F2553">
        <f t="shared" si="160"/>
        <v>-0.98076654154440923</v>
      </c>
      <c r="G2553">
        <f t="shared" si="161"/>
        <v>-2.2993999807856929</v>
      </c>
      <c r="I2553">
        <f t="shared" si="159"/>
        <v>-1.6400832611650511</v>
      </c>
    </row>
    <row r="2554" spans="1:9">
      <c r="A2554" t="s">
        <v>16</v>
      </c>
      <c r="B2554" s="2">
        <f t="shared" si="158"/>
        <v>123</v>
      </c>
      <c r="C2554">
        <v>138</v>
      </c>
      <c r="D2554">
        <v>115</v>
      </c>
      <c r="E2554">
        <v>119</v>
      </c>
      <c r="F2554">
        <f t="shared" si="160"/>
        <v>-0.87569504976775214</v>
      </c>
      <c r="G2554">
        <f t="shared" si="161"/>
        <v>-1.1309669416889438</v>
      </c>
      <c r="I2554">
        <f t="shared" si="159"/>
        <v>-1.0033309957283481</v>
      </c>
    </row>
    <row r="2555" spans="1:9">
      <c r="A2555" t="s">
        <v>17</v>
      </c>
      <c r="B2555" s="2">
        <f t="shared" si="158"/>
        <v>123</v>
      </c>
      <c r="C2555">
        <v>60</v>
      </c>
      <c r="D2555">
        <v>2745</v>
      </c>
      <c r="E2555">
        <v>1190</v>
      </c>
      <c r="F2555">
        <f t="shared" si="160"/>
        <v>0.86387729468233965</v>
      </c>
      <c r="G2555">
        <f t="shared" si="161"/>
        <v>0.23076089432864899</v>
      </c>
      <c r="I2555">
        <f t="shared" si="159"/>
        <v>0.54731909450549432</v>
      </c>
    </row>
    <row r="2556" spans="1:9">
      <c r="A2556" t="s">
        <v>18</v>
      </c>
      <c r="B2556" s="2">
        <f t="shared" si="158"/>
        <v>123</v>
      </c>
      <c r="C2556">
        <v>127</v>
      </c>
      <c r="D2556">
        <v>16</v>
      </c>
      <c r="E2556">
        <v>42</v>
      </c>
      <c r="F2556">
        <f t="shared" si="160"/>
        <v>-1.6961975420201596</v>
      </c>
      <c r="G2556">
        <f t="shared" si="161"/>
        <v>-1.5471892472382947</v>
      </c>
      <c r="I2556">
        <f t="shared" si="159"/>
        <v>-1.6216933946292271</v>
      </c>
    </row>
    <row r="2557" spans="1:9">
      <c r="A2557" t="s">
        <v>19</v>
      </c>
      <c r="B2557" s="2">
        <f t="shared" si="158"/>
        <v>123</v>
      </c>
      <c r="C2557">
        <v>124</v>
      </c>
      <c r="D2557">
        <v>158</v>
      </c>
      <c r="E2557">
        <v>23</v>
      </c>
      <c r="F2557">
        <f t="shared" si="160"/>
        <v>-0.69127840192793988</v>
      </c>
      <c r="G2557">
        <f t="shared" si="161"/>
        <v>-1.7983286658248803</v>
      </c>
      <c r="I2557">
        <f t="shared" si="159"/>
        <v>-1.2448035338764101</v>
      </c>
    </row>
    <row r="2558" spans="1:9">
      <c r="A2558" t="s">
        <v>20</v>
      </c>
      <c r="B2558" s="2">
        <f t="shared" si="158"/>
        <v>123</v>
      </c>
      <c r="C2558">
        <v>68</v>
      </c>
      <c r="D2558">
        <v>17</v>
      </c>
      <c r="E2558">
        <v>6</v>
      </c>
      <c r="F2558">
        <f t="shared" si="160"/>
        <v>-1.3985737950480899</v>
      </c>
      <c r="G2558">
        <f t="shared" si="161"/>
        <v>-2.1209924790028309</v>
      </c>
      <c r="I2558">
        <f t="shared" si="159"/>
        <v>-1.7597831370254604</v>
      </c>
    </row>
    <row r="2559" spans="1:9">
      <c r="A2559" t="s">
        <v>21</v>
      </c>
      <c r="B2559" s="2">
        <f t="shared" si="158"/>
        <v>123</v>
      </c>
      <c r="C2559">
        <v>85</v>
      </c>
      <c r="D2559">
        <v>22</v>
      </c>
      <c r="E2559">
        <v>5</v>
      </c>
      <c r="F2559">
        <f t="shared" si="160"/>
        <v>-1.3835100486122138</v>
      </c>
      <c r="G2559">
        <f t="shared" si="161"/>
        <v>-2.2970837380585118</v>
      </c>
      <c r="I2559">
        <f t="shared" si="159"/>
        <v>-1.8402968933353629</v>
      </c>
    </row>
    <row r="2560" spans="1:9">
      <c r="A2560" t="s">
        <v>22</v>
      </c>
      <c r="B2560" s="2">
        <f t="shared" si="158"/>
        <v>123</v>
      </c>
      <c r="C2560">
        <v>105</v>
      </c>
      <c r="D2560">
        <v>53</v>
      </c>
      <c r="E2560">
        <v>62</v>
      </c>
      <c r="F2560">
        <f t="shared" si="160"/>
        <v>-1.0934272331892765</v>
      </c>
      <c r="G2560">
        <f t="shared" si="161"/>
        <v>-1.2954324262519223</v>
      </c>
      <c r="I2560">
        <f t="shared" si="159"/>
        <v>-1.1944298297205993</v>
      </c>
    </row>
    <row r="2561" spans="1:9">
      <c r="A2561" t="s">
        <v>23</v>
      </c>
      <c r="B2561" s="2">
        <f t="shared" si="158"/>
        <v>123</v>
      </c>
      <c r="C2561">
        <v>80</v>
      </c>
      <c r="D2561">
        <v>121</v>
      </c>
      <c r="E2561">
        <v>115</v>
      </c>
      <c r="F2561">
        <f t="shared" si="160"/>
        <v>-0.61681842039562085</v>
      </c>
      <c r="G2561">
        <f t="shared" si="161"/>
        <v>-0.90902696331857014</v>
      </c>
      <c r="I2561">
        <f t="shared" si="159"/>
        <v>-0.76292269185709549</v>
      </c>
    </row>
    <row r="2562" spans="1:9">
      <c r="A2562" t="s">
        <v>24</v>
      </c>
      <c r="B2562" s="2">
        <f t="shared" si="158"/>
        <v>123</v>
      </c>
      <c r="C2562">
        <v>117</v>
      </c>
      <c r="D2562">
        <v>1</v>
      </c>
      <c r="E2562">
        <v>9</v>
      </c>
      <c r="F2562">
        <f t="shared" si="160"/>
        <v>-2.8646996654662891</v>
      </c>
      <c r="G2562">
        <f t="shared" si="161"/>
        <v>-2.1805781689870747</v>
      </c>
      <c r="I2562">
        <f t="shared" si="159"/>
        <v>-2.5226389172266819</v>
      </c>
    </row>
    <row r="2563" spans="1:9">
      <c r="A2563" t="s">
        <v>25</v>
      </c>
      <c r="B2563" s="2">
        <f t="shared" ref="B2563:B2626" si="162">1+INT((ROW()-2)/21)+1</f>
        <v>123</v>
      </c>
      <c r="C2563">
        <v>77</v>
      </c>
      <c r="D2563">
        <v>9</v>
      </c>
      <c r="E2563">
        <v>3</v>
      </c>
      <c r="F2563">
        <f t="shared" si="160"/>
        <v>-1.7287620194532844</v>
      </c>
      <c r="G2563">
        <f t="shared" si="161"/>
        <v>-2.4760042871330574</v>
      </c>
      <c r="I2563">
        <f t="shared" ref="I2563:I2626" si="163">AVERAGE(F2563:G2563)</f>
        <v>-2.1023831532931707</v>
      </c>
    </row>
    <row r="2564" spans="1:9">
      <c r="A2564" t="s">
        <v>7</v>
      </c>
      <c r="B2564" s="2">
        <f t="shared" si="162"/>
        <v>124</v>
      </c>
      <c r="C2564">
        <v>168</v>
      </c>
      <c r="D2564">
        <v>53</v>
      </c>
      <c r="E2564">
        <v>8</v>
      </c>
      <c r="F2564">
        <f t="shared" si="160"/>
        <v>-1.2975472158452011</v>
      </c>
      <c r="G2564">
        <f t="shared" si="161"/>
        <v>-2.3888541114141573</v>
      </c>
      <c r="I2564">
        <f t="shared" si="163"/>
        <v>-1.8432006636296792</v>
      </c>
    </row>
    <row r="2565" spans="1:9">
      <c r="A2565" t="s">
        <v>8</v>
      </c>
      <c r="B2565" s="2">
        <f t="shared" si="162"/>
        <v>124</v>
      </c>
      <c r="C2565">
        <v>127</v>
      </c>
      <c r="D2565">
        <v>136</v>
      </c>
      <c r="E2565">
        <v>18</v>
      </c>
      <c r="F2565">
        <f t="shared" si="160"/>
        <v>-0.76677861630586663</v>
      </c>
      <c r="G2565">
        <f t="shared" si="161"/>
        <v>-1.915166032532889</v>
      </c>
      <c r="I2565">
        <f t="shared" si="163"/>
        <v>-1.3409723244193779</v>
      </c>
    </row>
    <row r="2566" spans="1:9">
      <c r="A2566" t="s">
        <v>5</v>
      </c>
      <c r="B2566" s="2">
        <f t="shared" si="162"/>
        <v>124</v>
      </c>
      <c r="C2566">
        <v>94</v>
      </c>
      <c r="D2566">
        <v>0</v>
      </c>
      <c r="E2566">
        <v>2</v>
      </c>
      <c r="F2566" t="e">
        <f t="shared" si="160"/>
        <v>#NUM!</v>
      </c>
      <c r="G2566">
        <f t="shared" si="161"/>
        <v>-2.7387326746159557</v>
      </c>
      <c r="I2566" t="e">
        <f t="shared" si="163"/>
        <v>#NUM!</v>
      </c>
    </row>
    <row r="2567" spans="1:9">
      <c r="A2567" t="s">
        <v>6</v>
      </c>
      <c r="B2567" s="2">
        <f t="shared" si="162"/>
        <v>124</v>
      </c>
      <c r="C2567">
        <v>132</v>
      </c>
      <c r="D2567">
        <v>3</v>
      </c>
      <c r="E2567">
        <v>10</v>
      </c>
      <c r="F2567">
        <f t="shared" si="160"/>
        <v>-2.4399664802063148</v>
      </c>
      <c r="G2567">
        <f t="shared" si="161"/>
        <v>-2.1872087478860882</v>
      </c>
      <c r="I2567">
        <f t="shared" si="163"/>
        <v>-2.3135876140462015</v>
      </c>
    </row>
    <row r="2568" spans="1:9">
      <c r="A2568" t="s">
        <v>10</v>
      </c>
      <c r="B2568" s="2">
        <f t="shared" si="162"/>
        <v>124</v>
      </c>
      <c r="C2568">
        <v>96</v>
      </c>
      <c r="D2568">
        <v>930</v>
      </c>
      <c r="E2568">
        <v>6</v>
      </c>
      <c r="F2568">
        <f t="shared" si="160"/>
        <v>0.18969791179423934</v>
      </c>
      <c r="G2568">
        <f t="shared" si="161"/>
        <v>-2.2707547993361628</v>
      </c>
      <c r="I2568">
        <f t="shared" si="163"/>
        <v>-1.0405284437709617</v>
      </c>
    </row>
    <row r="2569" spans="1:9">
      <c r="A2569" t="s">
        <v>11</v>
      </c>
      <c r="B2569" s="2">
        <f t="shared" si="162"/>
        <v>124</v>
      </c>
      <c r="C2569">
        <v>196</v>
      </c>
      <c r="D2569">
        <v>510</v>
      </c>
      <c r="E2569">
        <v>30</v>
      </c>
      <c r="F2569">
        <f t="shared" si="160"/>
        <v>-0.38119969897866707</v>
      </c>
      <c r="G2569">
        <f t="shared" si="161"/>
        <v>-1.8817696333170519</v>
      </c>
      <c r="I2569">
        <f t="shared" si="163"/>
        <v>-1.1314846661478595</v>
      </c>
    </row>
    <row r="2570" spans="1:9">
      <c r="A2570" t="s">
        <v>12</v>
      </c>
      <c r="B2570" s="2">
        <f t="shared" si="162"/>
        <v>124</v>
      </c>
      <c r="C2570">
        <v>170</v>
      </c>
      <c r="D2570">
        <v>67</v>
      </c>
      <c r="E2570">
        <v>13</v>
      </c>
      <c r="F2570">
        <f t="shared" si="160"/>
        <v>-1.2008879223975748</v>
      </c>
      <c r="G2570">
        <f t="shared" si="161"/>
        <v>-2.1831403857516753</v>
      </c>
      <c r="I2570">
        <f t="shared" si="163"/>
        <v>-1.692014154074625</v>
      </c>
    </row>
    <row r="2571" spans="1:9">
      <c r="A2571" t="s">
        <v>9</v>
      </c>
      <c r="B2571" s="2">
        <f t="shared" si="162"/>
        <v>124</v>
      </c>
      <c r="C2571">
        <v>48</v>
      </c>
      <c r="D2571">
        <v>98</v>
      </c>
      <c r="E2571">
        <v>5</v>
      </c>
      <c r="F2571">
        <f t="shared" si="160"/>
        <v>-0.48652896540321977</v>
      </c>
      <c r="G2571">
        <f t="shared" si="161"/>
        <v>-2.0489060497198066</v>
      </c>
      <c r="I2571">
        <f t="shared" si="163"/>
        <v>-1.2677175075615132</v>
      </c>
    </row>
    <row r="2572" spans="1:9">
      <c r="A2572" t="s">
        <v>13</v>
      </c>
      <c r="B2572" s="2">
        <f t="shared" si="162"/>
        <v>124</v>
      </c>
      <c r="C2572">
        <v>102</v>
      </c>
      <c r="D2572">
        <v>97</v>
      </c>
      <c r="E2572">
        <v>56</v>
      </c>
      <c r="F2572">
        <f t="shared" si="160"/>
        <v>-0.81834224121580013</v>
      </c>
      <c r="G2572">
        <f t="shared" si="161"/>
        <v>-1.3270469614359552</v>
      </c>
      <c r="I2572">
        <f t="shared" si="163"/>
        <v>-1.0726946013258778</v>
      </c>
    </row>
    <row r="2573" spans="1:9">
      <c r="A2573" t="s">
        <v>14</v>
      </c>
      <c r="B2573" s="2">
        <f t="shared" si="162"/>
        <v>124</v>
      </c>
      <c r="C2573">
        <v>83</v>
      </c>
      <c r="D2573">
        <v>111</v>
      </c>
      <c r="E2573">
        <v>11</v>
      </c>
      <c r="F2573">
        <f t="shared" si="160"/>
        <v>-0.67026891730954385</v>
      </c>
      <c r="G2573">
        <f t="shared" si="161"/>
        <v>-1.944320223898087</v>
      </c>
      <c r="I2573">
        <f t="shared" si="163"/>
        <v>-1.3072945706038155</v>
      </c>
    </row>
    <row r="2574" spans="1:9">
      <c r="A2574" t="s">
        <v>15</v>
      </c>
      <c r="B2574" s="2">
        <f t="shared" si="162"/>
        <v>124</v>
      </c>
      <c r="C2574">
        <v>192</v>
      </c>
      <c r="D2574">
        <v>5</v>
      </c>
      <c r="E2574">
        <v>15</v>
      </c>
      <c r="F2574">
        <f t="shared" si="160"/>
        <v>-2.3808450280876583</v>
      </c>
      <c r="G2574">
        <f t="shared" si="161"/>
        <v>-2.1738447863281065</v>
      </c>
      <c r="I2574">
        <f t="shared" si="163"/>
        <v>-2.2773449072078824</v>
      </c>
    </row>
    <row r="2575" spans="1:9">
      <c r="A2575" t="s">
        <v>16</v>
      </c>
      <c r="B2575" s="2">
        <f t="shared" si="162"/>
        <v>124</v>
      </c>
      <c r="C2575">
        <v>69</v>
      </c>
      <c r="D2575">
        <v>20</v>
      </c>
      <c r="E2575">
        <v>5</v>
      </c>
      <c r="F2575">
        <f t="shared" si="160"/>
        <v>-1.3343328987934013</v>
      </c>
      <c r="G2575">
        <f t="shared" si="161"/>
        <v>-2.2065139030814747</v>
      </c>
      <c r="I2575">
        <f t="shared" si="163"/>
        <v>-1.770423400937438</v>
      </c>
    </row>
    <row r="2576" spans="1:9">
      <c r="A2576" t="s">
        <v>17</v>
      </c>
      <c r="B2576" s="2">
        <f t="shared" si="162"/>
        <v>124</v>
      </c>
      <c r="C2576">
        <v>101</v>
      </c>
      <c r="D2576">
        <v>131</v>
      </c>
      <c r="E2576">
        <v>36</v>
      </c>
      <c r="F2576">
        <f t="shared" si="160"/>
        <v>-0.68356388184700567</v>
      </c>
      <c r="G2576">
        <f t="shared" si="161"/>
        <v>-1.5146536896955936</v>
      </c>
      <c r="I2576">
        <f t="shared" si="163"/>
        <v>-1.0991087857712996</v>
      </c>
    </row>
    <row r="2577" spans="1:9">
      <c r="A2577" t="s">
        <v>18</v>
      </c>
      <c r="B2577" s="2">
        <f t="shared" si="162"/>
        <v>124</v>
      </c>
      <c r="C2577">
        <v>73</v>
      </c>
      <c r="D2577">
        <v>0</v>
      </c>
      <c r="E2577">
        <v>0</v>
      </c>
      <c r="F2577" t="e">
        <f t="shared" si="160"/>
        <v>#NUM!</v>
      </c>
      <c r="G2577" t="e">
        <f t="shared" si="161"/>
        <v>#NUM!</v>
      </c>
      <c r="I2577" t="e">
        <f t="shared" si="163"/>
        <v>#NUM!</v>
      </c>
    </row>
    <row r="2578" spans="1:9">
      <c r="A2578" t="s">
        <v>19</v>
      </c>
      <c r="B2578" s="2">
        <f t="shared" si="162"/>
        <v>124</v>
      </c>
      <c r="C2578">
        <v>97</v>
      </c>
      <c r="D2578">
        <v>24</v>
      </c>
      <c r="E2578">
        <v>9</v>
      </c>
      <c r="F2578">
        <f t="shared" si="160"/>
        <v>-1.4030742962747662</v>
      </c>
      <c r="G2578">
        <f t="shared" si="161"/>
        <v>-2.0991640415071582</v>
      </c>
      <c r="I2578">
        <f t="shared" si="163"/>
        <v>-1.7511191688909622</v>
      </c>
    </row>
    <row r="2579" spans="1:9">
      <c r="A2579" t="s">
        <v>20</v>
      </c>
      <c r="B2579" s="2">
        <f t="shared" si="162"/>
        <v>124</v>
      </c>
      <c r="C2579">
        <v>71</v>
      </c>
      <c r="D2579">
        <v>5</v>
      </c>
      <c r="E2579">
        <v>9</v>
      </c>
      <c r="F2579">
        <f t="shared" si="160"/>
        <v>-1.9488021481031839</v>
      </c>
      <c r="G2579">
        <f t="shared" si="161"/>
        <v>-1.9636506559599884</v>
      </c>
      <c r="I2579">
        <f t="shared" si="163"/>
        <v>-1.9562264020315863</v>
      </c>
    </row>
    <row r="2580" spans="1:9">
      <c r="A2580" t="s">
        <v>21</v>
      </c>
      <c r="B2580" s="2">
        <f t="shared" si="162"/>
        <v>124</v>
      </c>
      <c r="C2580">
        <v>100</v>
      </c>
      <c r="D2580">
        <v>67</v>
      </c>
      <c r="E2580">
        <v>8</v>
      </c>
      <c r="F2580">
        <f t="shared" si="160"/>
        <v>-0.97043900101930092</v>
      </c>
      <c r="G2580">
        <f t="shared" si="161"/>
        <v>-2.1635448296882949</v>
      </c>
      <c r="I2580">
        <f t="shared" si="163"/>
        <v>-1.5669919153537979</v>
      </c>
    </row>
    <row r="2581" spans="1:9">
      <c r="A2581" t="s">
        <v>22</v>
      </c>
      <c r="B2581" s="2">
        <f t="shared" si="162"/>
        <v>124</v>
      </c>
      <c r="C2581">
        <v>45</v>
      </c>
      <c r="D2581">
        <v>25</v>
      </c>
      <c r="E2581">
        <v>5</v>
      </c>
      <c r="F2581">
        <f t="shared" si="160"/>
        <v>-1.0517863088234334</v>
      </c>
      <c r="G2581">
        <f t="shared" si="161"/>
        <v>-2.0208773261195629</v>
      </c>
      <c r="I2581">
        <f t="shared" si="163"/>
        <v>-1.5363318174714982</v>
      </c>
    </row>
    <row r="2582" spans="1:9">
      <c r="A2582" t="s">
        <v>23</v>
      </c>
      <c r="B2582" s="2">
        <f t="shared" si="162"/>
        <v>124</v>
      </c>
      <c r="C2582">
        <v>18</v>
      </c>
      <c r="D2582">
        <v>61</v>
      </c>
      <c r="E2582">
        <v>132</v>
      </c>
      <c r="F2582">
        <f t="shared" si="160"/>
        <v>-0.26645647381266646</v>
      </c>
      <c r="G2582">
        <f t="shared" si="161"/>
        <v>-0.20133339057769439</v>
      </c>
      <c r="I2582">
        <f t="shared" si="163"/>
        <v>-0.23389493219518043</v>
      </c>
    </row>
    <row r="2583" spans="1:9">
      <c r="A2583" t="s">
        <v>24</v>
      </c>
      <c r="B2583" s="2">
        <f t="shared" si="162"/>
        <v>124</v>
      </c>
      <c r="C2583">
        <v>110</v>
      </c>
      <c r="D2583">
        <v>0</v>
      </c>
      <c r="E2583">
        <v>9</v>
      </c>
      <c r="F2583" t="e">
        <f t="shared" si="160"/>
        <v>#NUM!</v>
      </c>
      <c r="G2583">
        <f t="shared" si="161"/>
        <v>-2.1537849923991383</v>
      </c>
      <c r="I2583" t="e">
        <f t="shared" si="163"/>
        <v>#NUM!</v>
      </c>
    </row>
    <row r="2584" spans="1:9">
      <c r="A2584" t="s">
        <v>25</v>
      </c>
      <c r="B2584" s="2">
        <f t="shared" si="162"/>
        <v>124</v>
      </c>
      <c r="C2584">
        <v>90</v>
      </c>
      <c r="D2584">
        <v>12</v>
      </c>
      <c r="E2584">
        <v>68</v>
      </c>
      <c r="F2584">
        <f t="shared" si="160"/>
        <v>-1.6715750671118275</v>
      </c>
      <c r="G2584">
        <f t="shared" si="161"/>
        <v>-1.1883684134133268</v>
      </c>
      <c r="I2584">
        <f t="shared" si="163"/>
        <v>-1.4299717402625771</v>
      </c>
    </row>
    <row r="2585" spans="1:9">
      <c r="A2585" t="s">
        <v>7</v>
      </c>
      <c r="B2585" s="2">
        <f t="shared" si="162"/>
        <v>125</v>
      </c>
      <c r="C2585">
        <v>131</v>
      </c>
      <c r="D2585">
        <v>10</v>
      </c>
      <c r="E2585">
        <v>10</v>
      </c>
      <c r="F2585">
        <f t="shared" si="160"/>
        <v>-1.9137850993758916</v>
      </c>
      <c r="G2585">
        <f t="shared" si="161"/>
        <v>-2.1839061123360022</v>
      </c>
      <c r="I2585">
        <f t="shared" si="163"/>
        <v>-2.0488456058559468</v>
      </c>
    </row>
    <row r="2586" spans="1:9">
      <c r="A2586" t="s">
        <v>8</v>
      </c>
      <c r="B2586" s="2">
        <f t="shared" si="162"/>
        <v>125</v>
      </c>
      <c r="C2586">
        <v>116</v>
      </c>
      <c r="D2586">
        <v>33</v>
      </c>
      <c r="E2586">
        <v>11</v>
      </c>
      <c r="F2586">
        <f t="shared" si="160"/>
        <v>-1.3424578530691584</v>
      </c>
      <c r="G2586">
        <f t="shared" si="161"/>
        <v>-2.0897001207489314</v>
      </c>
      <c r="I2586">
        <f t="shared" si="163"/>
        <v>-1.7160789869090449</v>
      </c>
    </row>
    <row r="2587" spans="1:9">
      <c r="A2587" t="s">
        <v>5</v>
      </c>
      <c r="B2587" s="2">
        <f t="shared" si="162"/>
        <v>125</v>
      </c>
      <c r="C2587">
        <v>106</v>
      </c>
      <c r="D2587">
        <v>31</v>
      </c>
      <c r="E2587">
        <v>12</v>
      </c>
      <c r="F2587">
        <f t="shared" ref="F2587:F2650" si="164">LOG10(D2587/C2587)-LOG10(255266/40783)</f>
        <v>-1.3304579751506249</v>
      </c>
      <c r="G2587">
        <f t="shared" ref="G2587:G2650" si="165">LOG10(E2587/C2587)-LOG10(475460/40783)</f>
        <v>-2.0127594358973835</v>
      </c>
      <c r="I2587">
        <f t="shared" si="163"/>
        <v>-1.6716087055240041</v>
      </c>
    </row>
    <row r="2588" spans="1:9">
      <c r="A2588" t="s">
        <v>6</v>
      </c>
      <c r="B2588" s="2">
        <f t="shared" si="162"/>
        <v>125</v>
      </c>
      <c r="C2588">
        <v>198</v>
      </c>
      <c r="D2588">
        <v>26</v>
      </c>
      <c r="E2588">
        <v>56</v>
      </c>
      <c r="F2588">
        <f t="shared" si="164"/>
        <v>-1.6782056460108405</v>
      </c>
      <c r="G2588">
        <f t="shared" si="165"/>
        <v>-1.6151119799355689</v>
      </c>
      <c r="I2588">
        <f t="shared" si="163"/>
        <v>-1.6466588129732047</v>
      </c>
    </row>
    <row r="2589" spans="1:9">
      <c r="A2589" t="s">
        <v>10</v>
      </c>
      <c r="B2589" s="2">
        <f t="shared" si="162"/>
        <v>125</v>
      </c>
      <c r="C2589">
        <v>108</v>
      </c>
      <c r="D2589">
        <v>151</v>
      </c>
      <c r="E2589">
        <v>14</v>
      </c>
      <c r="F2589">
        <f t="shared" si="164"/>
        <v>-0.65096061191390764</v>
      </c>
      <c r="G2589">
        <f t="shared" si="165"/>
        <v>-1.9539305364889499</v>
      </c>
      <c r="I2589">
        <f t="shared" si="163"/>
        <v>-1.3024455742014287</v>
      </c>
    </row>
    <row r="2590" spans="1:9">
      <c r="A2590" t="s">
        <v>11</v>
      </c>
      <c r="B2590" s="2">
        <f t="shared" si="162"/>
        <v>125</v>
      </c>
      <c r="C2590">
        <v>121</v>
      </c>
      <c r="D2590">
        <v>137</v>
      </c>
      <c r="E2590">
        <v>9</v>
      </c>
      <c r="F2590">
        <f t="shared" si="164"/>
        <v>-0.74257860688017063</v>
      </c>
      <c r="G2590">
        <f t="shared" si="165"/>
        <v>-2.1951776775573633</v>
      </c>
      <c r="I2590">
        <f t="shared" si="163"/>
        <v>-1.4688781422187669</v>
      </c>
    </row>
    <row r="2591" spans="1:9">
      <c r="A2591" t="s">
        <v>12</v>
      </c>
      <c r="B2591" s="2">
        <f t="shared" si="162"/>
        <v>125</v>
      </c>
      <c r="C2591">
        <v>171</v>
      </c>
      <c r="D2591">
        <v>5</v>
      </c>
      <c r="E2591">
        <v>14</v>
      </c>
      <c r="F2591">
        <f t="shared" si="164"/>
        <v>-2.3305399097762622</v>
      </c>
      <c r="G2591">
        <f t="shared" si="165"/>
        <v>-2.1535028913941541</v>
      </c>
      <c r="I2591">
        <f t="shared" si="163"/>
        <v>-2.2420214005852079</v>
      </c>
    </row>
    <row r="2592" spans="1:9">
      <c r="A2592" t="s">
        <v>9</v>
      </c>
      <c r="B2592" s="2">
        <f t="shared" si="162"/>
        <v>125</v>
      </c>
      <c r="C2592">
        <v>105</v>
      </c>
      <c r="D2592">
        <v>1</v>
      </c>
      <c r="E2592">
        <v>5</v>
      </c>
      <c r="F2592">
        <f t="shared" si="164"/>
        <v>-2.8177031027900652</v>
      </c>
      <c r="G2592">
        <f t="shared" si="165"/>
        <v>-2.3888541114141573</v>
      </c>
      <c r="I2592">
        <f t="shared" si="163"/>
        <v>-2.6032786071021112</v>
      </c>
    </row>
    <row r="2593" spans="1:9">
      <c r="A2593" t="s">
        <v>13</v>
      </c>
      <c r="B2593" s="2">
        <f t="shared" si="162"/>
        <v>125</v>
      </c>
      <c r="C2593">
        <v>115</v>
      </c>
      <c r="D2593">
        <v>219</v>
      </c>
      <c r="E2593">
        <v>10</v>
      </c>
      <c r="F2593">
        <f t="shared" si="164"/>
        <v>-0.51676752923362068</v>
      </c>
      <c r="G2593">
        <f t="shared" si="165"/>
        <v>-2.1273326570338496</v>
      </c>
      <c r="I2593">
        <f t="shared" si="163"/>
        <v>-1.3220500931337351</v>
      </c>
    </row>
    <row r="2594" spans="1:9">
      <c r="A2594" t="s">
        <v>14</v>
      </c>
      <c r="B2594" s="2">
        <f t="shared" si="162"/>
        <v>125</v>
      </c>
      <c r="C2594">
        <v>195</v>
      </c>
      <c r="D2594">
        <v>38</v>
      </c>
      <c r="E2594">
        <v>14</v>
      </c>
      <c r="F2594">
        <f t="shared" si="164"/>
        <v>-1.5067648184658351</v>
      </c>
      <c r="G2594">
        <f t="shared" si="165"/>
        <v>-2.2105413923645183</v>
      </c>
      <c r="I2594">
        <f t="shared" si="163"/>
        <v>-1.8586531054151767</v>
      </c>
    </row>
    <row r="2595" spans="1:9">
      <c r="A2595" t="s">
        <v>15</v>
      </c>
      <c r="B2595" s="2">
        <f t="shared" si="162"/>
        <v>125</v>
      </c>
      <c r="C2595">
        <v>141</v>
      </c>
      <c r="D2595">
        <v>1432</v>
      </c>
      <c r="E2595">
        <v>169</v>
      </c>
      <c r="F2595">
        <f t="shared" si="164"/>
        <v>0.21021010159632936</v>
      </c>
      <c r="G2595">
        <f t="shared" si="165"/>
        <v>-0.98796722472194454</v>
      </c>
      <c r="I2595">
        <f t="shared" si="163"/>
        <v>-0.38887856156280759</v>
      </c>
    </row>
    <row r="2596" spans="1:9">
      <c r="A2596" t="s">
        <v>16</v>
      </c>
      <c r="B2596" s="2">
        <f t="shared" si="162"/>
        <v>125</v>
      </c>
      <c r="C2596">
        <v>126</v>
      </c>
      <c r="D2596">
        <v>170</v>
      </c>
      <c r="E2596">
        <v>8</v>
      </c>
      <c r="F2596">
        <f t="shared" si="164"/>
        <v>-0.66643542745941631</v>
      </c>
      <c r="G2596">
        <f t="shared" si="165"/>
        <v>-2.2639153748058574</v>
      </c>
      <c r="I2596">
        <f t="shared" si="163"/>
        <v>-1.4651754011326368</v>
      </c>
    </row>
    <row r="2597" spans="1:9">
      <c r="A2597" t="s">
        <v>17</v>
      </c>
      <c r="B2597" s="2">
        <f t="shared" si="162"/>
        <v>125</v>
      </c>
      <c r="C2597">
        <v>40783</v>
      </c>
      <c r="D2597">
        <v>255266</v>
      </c>
      <c r="E2597">
        <v>475460</v>
      </c>
      <c r="F2597">
        <f t="shared" si="164"/>
        <v>0</v>
      </c>
      <c r="G2597">
        <f t="shared" si="165"/>
        <v>0</v>
      </c>
      <c r="I2597">
        <f t="shared" si="163"/>
        <v>0</v>
      </c>
    </row>
    <row r="2598" spans="1:9">
      <c r="A2598" t="s">
        <v>18</v>
      </c>
      <c r="B2598" s="2">
        <f t="shared" si="162"/>
        <v>125</v>
      </c>
      <c r="C2598">
        <v>179</v>
      </c>
      <c r="D2598">
        <v>15</v>
      </c>
      <c r="E2598">
        <v>20</v>
      </c>
      <c r="F2598">
        <f t="shared" si="164"/>
        <v>-1.8732755756443393</v>
      </c>
      <c r="G2598">
        <f t="shared" si="165"/>
        <v>-2.0184578519961502</v>
      </c>
      <c r="I2598">
        <f t="shared" si="163"/>
        <v>-1.9458667138202448</v>
      </c>
    </row>
    <row r="2599" spans="1:9">
      <c r="A2599" t="s">
        <v>19</v>
      </c>
      <c r="B2599" s="2">
        <f t="shared" si="162"/>
        <v>125</v>
      </c>
      <c r="C2599">
        <v>141</v>
      </c>
      <c r="D2599">
        <v>207</v>
      </c>
      <c r="E2599">
        <v>20</v>
      </c>
      <c r="F2599">
        <f t="shared" si="164"/>
        <v>-0.62976257091858945</v>
      </c>
      <c r="G2599">
        <f t="shared" si="165"/>
        <v>-1.9148239336716368</v>
      </c>
      <c r="I2599">
        <f t="shared" si="163"/>
        <v>-1.2722932522951131</v>
      </c>
    </row>
    <row r="2600" spans="1:9">
      <c r="A2600" t="s">
        <v>20</v>
      </c>
      <c r="B2600" s="2">
        <f t="shared" si="162"/>
        <v>125</v>
      </c>
      <c r="C2600">
        <v>130</v>
      </c>
      <c r="D2600">
        <v>93</v>
      </c>
      <c r="E2600">
        <v>260</v>
      </c>
      <c r="F2600">
        <f t="shared" si="164"/>
        <v>-0.94197420747302907</v>
      </c>
      <c r="G2600">
        <f t="shared" si="165"/>
        <v>-0.76560482101625693</v>
      </c>
      <c r="I2600">
        <f t="shared" si="163"/>
        <v>-0.853789514244643</v>
      </c>
    </row>
    <row r="2601" spans="1:9">
      <c r="A2601" t="s">
        <v>21</v>
      </c>
      <c r="B2601" s="2">
        <f t="shared" si="162"/>
        <v>125</v>
      </c>
      <c r="C2601">
        <v>105</v>
      </c>
      <c r="D2601">
        <v>127</v>
      </c>
      <c r="E2601">
        <v>36</v>
      </c>
      <c r="F2601">
        <f t="shared" si="164"/>
        <v>-0.71389938183410862</v>
      </c>
      <c r="G2601">
        <f t="shared" si="165"/>
        <v>-1.531521614982889</v>
      </c>
      <c r="I2601">
        <f t="shared" si="163"/>
        <v>-1.1227104984084988</v>
      </c>
    </row>
    <row r="2602" spans="1:9">
      <c r="A2602" t="s">
        <v>22</v>
      </c>
      <c r="B2602" s="2">
        <f t="shared" si="162"/>
        <v>125</v>
      </c>
      <c r="C2602">
        <v>83</v>
      </c>
      <c r="D2602">
        <v>11</v>
      </c>
      <c r="E2602">
        <v>4</v>
      </c>
      <c r="F2602">
        <f t="shared" si="164"/>
        <v>-1.6741992109379762</v>
      </c>
      <c r="G2602">
        <f t="shared" si="165"/>
        <v>-2.3836529177283499</v>
      </c>
      <c r="I2602">
        <f t="shared" si="163"/>
        <v>-2.028926064333163</v>
      </c>
    </row>
    <row r="2603" spans="1:9">
      <c r="A2603" t="s">
        <v>23</v>
      </c>
      <c r="B2603" s="2">
        <f t="shared" si="162"/>
        <v>125</v>
      </c>
      <c r="C2603">
        <v>97</v>
      </c>
      <c r="D2603">
        <v>57</v>
      </c>
      <c r="E2603">
        <v>17</v>
      </c>
      <c r="F2603">
        <f t="shared" si="164"/>
        <v>-1.0274106823138809</v>
      </c>
      <c r="G2603">
        <f t="shared" si="165"/>
        <v>-1.8229576295682093</v>
      </c>
      <c r="I2603">
        <f t="shared" si="163"/>
        <v>-1.4251841559410452</v>
      </c>
    </row>
    <row r="2604" spans="1:9">
      <c r="A2604" t="s">
        <v>24</v>
      </c>
      <c r="B2604" s="2">
        <f t="shared" si="162"/>
        <v>125</v>
      </c>
      <c r="C2604">
        <v>165</v>
      </c>
      <c r="D2604">
        <v>537</v>
      </c>
      <c r="E2604">
        <v>16</v>
      </c>
      <c r="F2604">
        <f t="shared" si="164"/>
        <v>-0.28402346223447805</v>
      </c>
      <c r="G2604">
        <f t="shared" si="165"/>
        <v>-2.0799987782382194</v>
      </c>
      <c r="I2604">
        <f t="shared" si="163"/>
        <v>-1.1820111202363488</v>
      </c>
    </row>
    <row r="2605" spans="1:9">
      <c r="A2605" t="s">
        <v>25</v>
      </c>
      <c r="B2605" s="2">
        <f t="shared" si="162"/>
        <v>125</v>
      </c>
      <c r="C2605">
        <v>159</v>
      </c>
      <c r="D2605">
        <v>2071</v>
      </c>
      <c r="E2605">
        <v>3160</v>
      </c>
      <c r="F2605">
        <f t="shared" si="164"/>
        <v>0.31826917085287376</v>
      </c>
      <c r="G2605">
        <f t="shared" si="165"/>
        <v>0.23165514161771417</v>
      </c>
      <c r="I2605">
        <f t="shared" si="163"/>
        <v>0.27496215623529396</v>
      </c>
    </row>
    <row r="2606" spans="1:9">
      <c r="A2606" t="s">
        <v>7</v>
      </c>
      <c r="B2606" s="2">
        <f t="shared" si="162"/>
        <v>126</v>
      </c>
      <c r="C2606">
        <v>40783</v>
      </c>
      <c r="D2606">
        <v>255266</v>
      </c>
      <c r="E2606">
        <v>475460</v>
      </c>
      <c r="F2606">
        <f t="shared" si="164"/>
        <v>0</v>
      </c>
      <c r="G2606">
        <f t="shared" si="165"/>
        <v>0</v>
      </c>
      <c r="I2606">
        <f t="shared" si="163"/>
        <v>0</v>
      </c>
    </row>
    <row r="2607" spans="1:9">
      <c r="A2607" t="s">
        <v>8</v>
      </c>
      <c r="B2607" s="2">
        <f t="shared" si="162"/>
        <v>126</v>
      </c>
      <c r="C2607">
        <v>144</v>
      </c>
      <c r="D2607">
        <v>1115</v>
      </c>
      <c r="E2607">
        <v>93</v>
      </c>
      <c r="F2607">
        <f t="shared" si="164"/>
        <v>9.239857156880249E-2</v>
      </c>
      <c r="G2607">
        <f t="shared" si="165"/>
        <v>-1.2565143602215527</v>
      </c>
      <c r="I2607">
        <f t="shared" si="163"/>
        <v>-0.58205789432637511</v>
      </c>
    </row>
    <row r="2608" spans="1:9">
      <c r="A2608" t="s">
        <v>5</v>
      </c>
      <c r="B2608" s="2">
        <f t="shared" si="162"/>
        <v>126</v>
      </c>
      <c r="C2608">
        <v>128</v>
      </c>
      <c r="D2608">
        <v>300</v>
      </c>
      <c r="E2608">
        <v>104</v>
      </c>
      <c r="F2608">
        <f t="shared" si="164"/>
        <v>-0.42660251864833332</v>
      </c>
      <c r="G2608">
        <f t="shared" si="165"/>
        <v>-1.1568114470293263</v>
      </c>
      <c r="I2608">
        <f t="shared" si="163"/>
        <v>-0.79170698283882979</v>
      </c>
    </row>
    <row r="2609" spans="1:9">
      <c r="A2609" t="s">
        <v>6</v>
      </c>
      <c r="B2609" s="2">
        <f t="shared" si="162"/>
        <v>126</v>
      </c>
      <c r="C2609">
        <v>198</v>
      </c>
      <c r="D2609">
        <v>72</v>
      </c>
      <c r="E2609">
        <v>27</v>
      </c>
      <c r="F2609">
        <f t="shared" si="164"/>
        <v>-1.23584649755039</v>
      </c>
      <c r="G2609">
        <f t="shared" si="165"/>
        <v>-1.931936242782782</v>
      </c>
      <c r="I2609">
        <f t="shared" si="163"/>
        <v>-1.583891370166586</v>
      </c>
    </row>
    <row r="2610" spans="1:9">
      <c r="A2610" t="s">
        <v>10</v>
      </c>
      <c r="B2610" s="2">
        <f t="shared" si="162"/>
        <v>126</v>
      </c>
      <c r="C2610">
        <v>215</v>
      </c>
      <c r="D2610">
        <v>5312</v>
      </c>
      <c r="E2610">
        <v>130</v>
      </c>
      <c r="F2610">
        <f t="shared" si="164"/>
        <v>0.59630580272422828</v>
      </c>
      <c r="G2610">
        <f t="shared" si="165"/>
        <v>-1.2851299242890069</v>
      </c>
      <c r="I2610">
        <f t="shared" si="163"/>
        <v>-0.34441206078238928</v>
      </c>
    </row>
    <row r="2611" spans="1:9">
      <c r="A2611" t="s">
        <v>11</v>
      </c>
      <c r="B2611" s="2">
        <f t="shared" si="162"/>
        <v>126</v>
      </c>
      <c r="C2611">
        <v>224</v>
      </c>
      <c r="D2611">
        <v>207</v>
      </c>
      <c r="E2611">
        <v>20</v>
      </c>
      <c r="F2611">
        <f t="shared" si="164"/>
        <v>-0.8307914765973724</v>
      </c>
      <c r="G2611">
        <f t="shared" si="165"/>
        <v>-2.1158528393504197</v>
      </c>
      <c r="I2611">
        <f t="shared" si="163"/>
        <v>-1.473322157973896</v>
      </c>
    </row>
    <row r="2612" spans="1:9">
      <c r="A2612" t="s">
        <v>12</v>
      </c>
      <c r="B2612" s="2">
        <f t="shared" si="162"/>
        <v>126</v>
      </c>
      <c r="C2612">
        <v>211</v>
      </c>
      <c r="D2612">
        <v>498</v>
      </c>
      <c r="E2612">
        <v>46</v>
      </c>
      <c r="F2612">
        <f t="shared" si="164"/>
        <v>-0.42356691625810244</v>
      </c>
      <c r="G2612">
        <f t="shared" si="165"/>
        <v>-1.7281594402963569</v>
      </c>
      <c r="I2612">
        <f t="shared" si="163"/>
        <v>-1.0758631782772297</v>
      </c>
    </row>
    <row r="2613" spans="1:9">
      <c r="A2613" t="s">
        <v>9</v>
      </c>
      <c r="B2613" s="2">
        <f t="shared" si="162"/>
        <v>126</v>
      </c>
      <c r="C2613">
        <v>131</v>
      </c>
      <c r="D2613">
        <v>10395</v>
      </c>
      <c r="E2613">
        <v>3988</v>
      </c>
      <c r="F2613">
        <f t="shared" si="164"/>
        <v>1.1030393942915964</v>
      </c>
      <c r="G2613">
        <f t="shared" si="165"/>
        <v>0.41684903730361578</v>
      </c>
      <c r="I2613">
        <f t="shared" si="163"/>
        <v>0.75994421579760607</v>
      </c>
    </row>
    <row r="2614" spans="1:9">
      <c r="A2614" t="s">
        <v>13</v>
      </c>
      <c r="B2614" s="2">
        <f t="shared" si="162"/>
        <v>126</v>
      </c>
      <c r="C2614">
        <v>269</v>
      </c>
      <c r="D2614">
        <v>63</v>
      </c>
      <c r="E2614">
        <v>33</v>
      </c>
      <c r="F2614">
        <f t="shared" si="164"/>
        <v>-1.4269255342689537</v>
      </c>
      <c r="G2614">
        <f t="shared" si="165"/>
        <v>-1.9778731568047587</v>
      </c>
      <c r="I2614">
        <f t="shared" si="163"/>
        <v>-1.7023993455368562</v>
      </c>
    </row>
    <row r="2615" spans="1:9">
      <c r="A2615" t="s">
        <v>14</v>
      </c>
      <c r="B2615" s="2">
        <f t="shared" si="162"/>
        <v>126</v>
      </c>
      <c r="C2615">
        <v>272</v>
      </c>
      <c r="D2615">
        <v>253</v>
      </c>
      <c r="E2615">
        <v>21</v>
      </c>
      <c r="F2615">
        <f t="shared" si="164"/>
        <v>-0.82796218657850817</v>
      </c>
      <c r="G2615">
        <f t="shared" si="165"/>
        <v>-2.1789844259805173</v>
      </c>
      <c r="I2615">
        <f t="shared" si="163"/>
        <v>-1.5034733062795127</v>
      </c>
    </row>
    <row r="2616" spans="1:9">
      <c r="A2616" t="s">
        <v>15</v>
      </c>
      <c r="B2616" s="2">
        <f t="shared" si="162"/>
        <v>126</v>
      </c>
      <c r="C2616">
        <v>161</v>
      </c>
      <c r="D2616">
        <v>12</v>
      </c>
      <c r="E2616">
        <v>23</v>
      </c>
      <c r="F2616">
        <f t="shared" si="164"/>
        <v>-1.9241584337043522</v>
      </c>
      <c r="G2616">
        <f t="shared" si="165"/>
        <v>-1.9117328566944951</v>
      </c>
      <c r="I2616">
        <f t="shared" si="163"/>
        <v>-1.9179456451994237</v>
      </c>
    </row>
    <row r="2617" spans="1:9">
      <c r="A2617" t="s">
        <v>16</v>
      </c>
      <c r="B2617" s="2">
        <f t="shared" si="162"/>
        <v>126</v>
      </c>
      <c r="C2617">
        <v>179</v>
      </c>
      <c r="D2617">
        <v>19</v>
      </c>
      <c r="E2617">
        <v>12</v>
      </c>
      <c r="F2617">
        <f t="shared" si="164"/>
        <v>-1.7706132337471916</v>
      </c>
      <c r="G2617">
        <f t="shared" si="165"/>
        <v>-2.2403066016125068</v>
      </c>
      <c r="I2617">
        <f t="shared" si="163"/>
        <v>-2.0054599176798491</v>
      </c>
    </row>
    <row r="2618" spans="1:9">
      <c r="A2618" t="s">
        <v>17</v>
      </c>
      <c r="B2618" s="2">
        <f t="shared" si="162"/>
        <v>126</v>
      </c>
      <c r="C2618">
        <v>116</v>
      </c>
      <c r="D2618">
        <v>1805</v>
      </c>
      <c r="E2618">
        <v>62</v>
      </c>
      <c r="F2618">
        <f t="shared" si="164"/>
        <v>0.39550541329463096</v>
      </c>
      <c r="G2618">
        <f t="shared" si="165"/>
        <v>-1.3387011164089029</v>
      </c>
      <c r="I2618">
        <f t="shared" si="163"/>
        <v>-0.47159785155713596</v>
      </c>
    </row>
    <row r="2619" spans="1:9">
      <c r="A2619" t="s">
        <v>18</v>
      </c>
      <c r="B2619" s="2">
        <f t="shared" si="162"/>
        <v>126</v>
      </c>
      <c r="C2619">
        <v>229</v>
      </c>
      <c r="D2619">
        <v>119</v>
      </c>
      <c r="E2619">
        <v>25</v>
      </c>
      <c r="F2619">
        <f t="shared" si="164"/>
        <v>-1.0808023246674847</v>
      </c>
      <c r="G2619">
        <f t="shared" si="165"/>
        <v>-2.0285302903480886</v>
      </c>
      <c r="I2619">
        <f t="shared" si="163"/>
        <v>-1.5546663075077867</v>
      </c>
    </row>
    <row r="2620" spans="1:9">
      <c r="A2620" t="s">
        <v>19</v>
      </c>
      <c r="B2620" s="2">
        <f t="shared" si="162"/>
        <v>126</v>
      </c>
      <c r="C2620">
        <v>263</v>
      </c>
      <c r="D2620">
        <v>854</v>
      </c>
      <c r="E2620">
        <v>40</v>
      </c>
      <c r="F2620">
        <f t="shared" si="164"/>
        <v>-0.28501168152088019</v>
      </c>
      <c r="G2620">
        <f t="shared" si="165"/>
        <v>-1.8845305738420337</v>
      </c>
      <c r="I2620">
        <f t="shared" si="163"/>
        <v>-1.0847711276814569</v>
      </c>
    </row>
    <row r="2621" spans="1:9">
      <c r="A2621" t="s">
        <v>20</v>
      </c>
      <c r="B2621" s="2">
        <f t="shared" si="162"/>
        <v>126</v>
      </c>
      <c r="C2621">
        <v>129</v>
      </c>
      <c r="D2621">
        <v>297</v>
      </c>
      <c r="E2621">
        <v>25</v>
      </c>
      <c r="F2621">
        <f t="shared" si="164"/>
        <v>-0.43434706470216394</v>
      </c>
      <c r="G2621">
        <f t="shared" si="165"/>
        <v>-1.7792845183074495</v>
      </c>
      <c r="I2621">
        <f t="shared" si="163"/>
        <v>-1.1068157915048067</v>
      </c>
    </row>
    <row r="2622" spans="1:9">
      <c r="A2622" t="s">
        <v>21</v>
      </c>
      <c r="B2622" s="2">
        <f t="shared" si="162"/>
        <v>126</v>
      </c>
      <c r="C2622">
        <v>204</v>
      </c>
      <c r="D2622">
        <v>11</v>
      </c>
      <c r="E2622">
        <v>17</v>
      </c>
      <c r="F2622">
        <f t="shared" si="164"/>
        <v>-2.0647512859878008</v>
      </c>
      <c r="G2622">
        <f t="shared" si="165"/>
        <v>-2.1458160627278628</v>
      </c>
      <c r="I2622">
        <f t="shared" si="163"/>
        <v>-2.1052836743578318</v>
      </c>
    </row>
    <row r="2623" spans="1:9">
      <c r="A2623" t="s">
        <v>22</v>
      </c>
      <c r="B2623" s="2">
        <f t="shared" si="162"/>
        <v>126</v>
      </c>
      <c r="C2623">
        <v>143</v>
      </c>
      <c r="D2623">
        <v>18</v>
      </c>
      <c r="E2623">
        <v>4</v>
      </c>
      <c r="F2623">
        <f t="shared" si="164"/>
        <v>-1.6965773360818832</v>
      </c>
      <c r="G2623">
        <f t="shared" si="165"/>
        <v>-2.6199108628173375</v>
      </c>
      <c r="I2623">
        <f t="shared" si="163"/>
        <v>-2.1582440994496102</v>
      </c>
    </row>
    <row r="2624" spans="1:9">
      <c r="A2624" t="s">
        <v>23</v>
      </c>
      <c r="B2624" s="2">
        <f t="shared" si="162"/>
        <v>126</v>
      </c>
      <c r="C2624">
        <v>239</v>
      </c>
      <c r="D2624">
        <v>463</v>
      </c>
      <c r="E2624">
        <v>27</v>
      </c>
      <c r="F2624">
        <f t="shared" si="164"/>
        <v>-0.50933071365031191</v>
      </c>
      <c r="G2624">
        <f t="shared" si="165"/>
        <v>-2.0136689534693888</v>
      </c>
      <c r="I2624">
        <f t="shared" si="163"/>
        <v>-1.2614998335598504</v>
      </c>
    </row>
    <row r="2625" spans="1:9">
      <c r="A2625" t="s">
        <v>24</v>
      </c>
      <c r="B2625" s="2">
        <f t="shared" si="162"/>
        <v>126</v>
      </c>
      <c r="C2625">
        <v>141</v>
      </c>
      <c r="D2625">
        <v>243</v>
      </c>
      <c r="E2625">
        <v>33</v>
      </c>
      <c r="F2625">
        <f t="shared" si="164"/>
        <v>-0.56012664277719515</v>
      </c>
      <c r="G2625">
        <f t="shared" si="165"/>
        <v>-1.6973399894577306</v>
      </c>
      <c r="I2625">
        <f t="shared" si="163"/>
        <v>-1.1287333161174629</v>
      </c>
    </row>
    <row r="2626" spans="1:9">
      <c r="A2626" t="s">
        <v>25</v>
      </c>
      <c r="B2626" s="2">
        <f t="shared" si="162"/>
        <v>126</v>
      </c>
      <c r="C2626">
        <v>188</v>
      </c>
      <c r="D2626">
        <v>276</v>
      </c>
      <c r="E2626">
        <v>15</v>
      </c>
      <c r="F2626">
        <f t="shared" si="164"/>
        <v>-0.62976257091858945</v>
      </c>
      <c r="G2626">
        <f t="shared" si="165"/>
        <v>-2.1647014068882369</v>
      </c>
      <c r="I2626">
        <f t="shared" si="163"/>
        <v>-1.397231988903413</v>
      </c>
    </row>
    <row r="2627" spans="1:9">
      <c r="A2627" t="s">
        <v>7</v>
      </c>
      <c r="B2627" s="2">
        <f t="shared" ref="B2627:B2690" si="166">1+INT((ROW()-2)/21)+1</f>
        <v>127</v>
      </c>
      <c r="C2627">
        <v>195</v>
      </c>
      <c r="D2627">
        <v>230</v>
      </c>
      <c r="E2627">
        <v>48</v>
      </c>
      <c r="F2627">
        <f t="shared" si="164"/>
        <v>-0.72482057906505248</v>
      </c>
      <c r="G2627">
        <f t="shared" si="165"/>
        <v>-1.6754281906671689</v>
      </c>
      <c r="I2627">
        <f t="shared" ref="I2627:I2690" si="167">AVERAGE(F2627:G2627)</f>
        <v>-1.2001243848661107</v>
      </c>
    </row>
    <row r="2628" spans="1:9">
      <c r="A2628" t="s">
        <v>8</v>
      </c>
      <c r="B2628" s="2">
        <f t="shared" si="166"/>
        <v>127</v>
      </c>
      <c r="C2628">
        <v>152</v>
      </c>
      <c r="D2628">
        <v>100</v>
      </c>
      <c r="E2628">
        <v>8</v>
      </c>
      <c r="F2628">
        <f t="shared" si="164"/>
        <v>-0.97835739166489988</v>
      </c>
      <c r="G2628">
        <f t="shared" si="165"/>
        <v>-2.3453884176330675</v>
      </c>
      <c r="I2628">
        <f t="shared" si="167"/>
        <v>-1.6618729046489837</v>
      </c>
    </row>
    <row r="2629" spans="1:9">
      <c r="A2629" t="s">
        <v>5</v>
      </c>
      <c r="B2629" s="2">
        <f t="shared" si="166"/>
        <v>127</v>
      </c>
      <c r="C2629">
        <v>111</v>
      </c>
      <c r="D2629">
        <v>28</v>
      </c>
      <c r="E2629">
        <v>3</v>
      </c>
      <c r="F2629">
        <f t="shared" si="164"/>
        <v>-1.3946787511645655</v>
      </c>
      <c r="G2629">
        <f t="shared" si="165"/>
        <v>-2.6348365407472332</v>
      </c>
      <c r="I2629">
        <f t="shared" si="167"/>
        <v>-2.0147576459558993</v>
      </c>
    </row>
    <row r="2630" spans="1:9">
      <c r="A2630" t="s">
        <v>6</v>
      </c>
      <c r="B2630" s="2">
        <f t="shared" si="166"/>
        <v>127</v>
      </c>
      <c r="C2630">
        <v>280</v>
      </c>
      <c r="D2630">
        <v>63</v>
      </c>
      <c r="E2630">
        <v>27</v>
      </c>
      <c r="F2630">
        <f t="shared" si="164"/>
        <v>-1.4443312856087649</v>
      </c>
      <c r="G2630">
        <f t="shared" si="165"/>
        <v>-2.0824290838634703</v>
      </c>
      <c r="I2630">
        <f t="shared" si="167"/>
        <v>-1.7633801847361177</v>
      </c>
    </row>
    <row r="2631" spans="1:9">
      <c r="A2631" t="s">
        <v>10</v>
      </c>
      <c r="B2631" s="2">
        <f t="shared" si="166"/>
        <v>127</v>
      </c>
      <c r="C2631">
        <v>213</v>
      </c>
      <c r="D2631">
        <v>37</v>
      </c>
      <c r="E2631">
        <v>24</v>
      </c>
      <c r="F2631">
        <f t="shared" si="164"/>
        <v>-1.55669168309187</v>
      </c>
      <c r="G2631">
        <f t="shared" si="165"/>
        <v>-2.0148031784073699</v>
      </c>
      <c r="I2631">
        <f t="shared" si="167"/>
        <v>-1.7857474307496199</v>
      </c>
    </row>
    <row r="2632" spans="1:9">
      <c r="A2632" t="s">
        <v>11</v>
      </c>
      <c r="B2632" s="2">
        <f t="shared" si="166"/>
        <v>127</v>
      </c>
      <c r="C2632">
        <v>264</v>
      </c>
      <c r="D2632">
        <v>24</v>
      </c>
      <c r="E2632">
        <v>21</v>
      </c>
      <c r="F2632">
        <f t="shared" si="164"/>
        <v>-1.8379064888783523</v>
      </c>
      <c r="G2632">
        <f t="shared" si="165"/>
        <v>-2.1660194488161499</v>
      </c>
      <c r="I2632">
        <f t="shared" si="167"/>
        <v>-2.0019629688472511</v>
      </c>
    </row>
    <row r="2633" spans="1:9">
      <c r="A2633" t="s">
        <v>12</v>
      </c>
      <c r="B2633" s="2">
        <f t="shared" si="166"/>
        <v>127</v>
      </c>
      <c r="C2633">
        <v>177</v>
      </c>
      <c r="D2633">
        <v>11</v>
      </c>
      <c r="E2633">
        <v>30</v>
      </c>
      <c r="F2633">
        <f t="shared" si="164"/>
        <v>-2.0030943849237088</v>
      </c>
      <c r="G2633">
        <f t="shared" si="165"/>
        <v>-1.8374868283223824</v>
      </c>
      <c r="I2633">
        <f t="shared" si="167"/>
        <v>-1.9202906066230456</v>
      </c>
    </row>
    <row r="2634" spans="1:9">
      <c r="A2634" t="s">
        <v>9</v>
      </c>
      <c r="B2634" s="2">
        <f t="shared" si="166"/>
        <v>127</v>
      </c>
      <c r="C2634">
        <v>97</v>
      </c>
      <c r="D2634">
        <v>10</v>
      </c>
      <c r="E2634">
        <v>16</v>
      </c>
      <c r="F2634">
        <f t="shared" si="164"/>
        <v>-1.7832855379863721</v>
      </c>
      <c r="G2634">
        <f t="shared" si="165"/>
        <v>-1.8492865682905584</v>
      </c>
      <c r="I2634">
        <f t="shared" si="167"/>
        <v>-1.8162860531384653</v>
      </c>
    </row>
    <row r="2635" spans="1:9">
      <c r="A2635" t="s">
        <v>13</v>
      </c>
      <c r="B2635" s="2">
        <f t="shared" si="166"/>
        <v>127</v>
      </c>
      <c r="C2635">
        <v>186</v>
      </c>
      <c r="D2635">
        <v>540</v>
      </c>
      <c r="E2635">
        <v>104</v>
      </c>
      <c r="F2635">
        <f t="shared" si="164"/>
        <v>-0.33363298811507514</v>
      </c>
      <c r="G2635">
        <f t="shared" si="165"/>
        <v>-1.3191144215993742</v>
      </c>
      <c r="I2635">
        <f t="shared" si="167"/>
        <v>-0.82637370485722461</v>
      </c>
    </row>
    <row r="2636" spans="1:9">
      <c r="A2636" t="s">
        <v>14</v>
      </c>
      <c r="B2636" s="2">
        <f t="shared" si="166"/>
        <v>127</v>
      </c>
      <c r="C2636">
        <v>146</v>
      </c>
      <c r="D2636">
        <v>30</v>
      </c>
      <c r="E2636">
        <v>28</v>
      </c>
      <c r="F2636">
        <f t="shared" si="164"/>
        <v>-1.4837454047849019</v>
      </c>
      <c r="G2636">
        <f t="shared" si="165"/>
        <v>-1.7838296411224561</v>
      </c>
      <c r="I2636">
        <f t="shared" si="167"/>
        <v>-1.6337875229536789</v>
      </c>
    </row>
    <row r="2637" spans="1:9">
      <c r="A2637" t="s">
        <v>15</v>
      </c>
      <c r="B2637" s="2">
        <f t="shared" si="166"/>
        <v>127</v>
      </c>
      <c r="C2637">
        <v>40783</v>
      </c>
      <c r="D2637">
        <v>255266</v>
      </c>
      <c r="E2637">
        <v>475460</v>
      </c>
      <c r="F2637">
        <f t="shared" si="164"/>
        <v>0</v>
      </c>
      <c r="G2637">
        <f t="shared" si="165"/>
        <v>0</v>
      </c>
      <c r="I2637">
        <f t="shared" si="167"/>
        <v>0</v>
      </c>
    </row>
    <row r="2638" spans="1:9">
      <c r="A2638" t="s">
        <v>16</v>
      </c>
      <c r="B2638" s="2">
        <f t="shared" si="166"/>
        <v>127</v>
      </c>
      <c r="C2638">
        <v>162</v>
      </c>
      <c r="D2638">
        <v>164</v>
      </c>
      <c r="E2638">
        <v>24</v>
      </c>
      <c r="F2638">
        <f t="shared" si="164"/>
        <v>-0.7911849702150604</v>
      </c>
      <c r="G2638">
        <f t="shared" si="165"/>
        <v>-1.895938589511263</v>
      </c>
      <c r="I2638">
        <f t="shared" si="167"/>
        <v>-1.3435617798631618</v>
      </c>
    </row>
    <row r="2639" spans="1:9">
      <c r="A2639" t="s">
        <v>17</v>
      </c>
      <c r="B2639" s="2">
        <f t="shared" si="166"/>
        <v>127</v>
      </c>
      <c r="C2639">
        <v>111</v>
      </c>
      <c r="D2639">
        <v>72</v>
      </c>
      <c r="E2639">
        <v>23</v>
      </c>
      <c r="F2639">
        <f t="shared" si="164"/>
        <v>-0.98450428607551632</v>
      </c>
      <c r="G2639">
        <f t="shared" si="165"/>
        <v>-1.7502299594493027</v>
      </c>
      <c r="I2639">
        <f t="shared" si="167"/>
        <v>-1.3673671227624096</v>
      </c>
    </row>
    <row r="2640" spans="1:9">
      <c r="A2640" t="s">
        <v>18</v>
      </c>
      <c r="B2640" s="2">
        <f t="shared" si="166"/>
        <v>127</v>
      </c>
      <c r="C2640">
        <v>212</v>
      </c>
      <c r="D2640">
        <v>224</v>
      </c>
      <c r="E2640">
        <v>149</v>
      </c>
      <c r="F2640">
        <f t="shared" si="164"/>
        <v>-0.77260164631471595</v>
      </c>
      <c r="G2640">
        <f t="shared" si="165"/>
        <v>-1.2197844091967156</v>
      </c>
      <c r="I2640">
        <f t="shared" si="167"/>
        <v>-0.99619302775571583</v>
      </c>
    </row>
    <row r="2641" spans="1:9">
      <c r="A2641" t="s">
        <v>19</v>
      </c>
      <c r="B2641" s="2">
        <f t="shared" si="166"/>
        <v>127</v>
      </c>
      <c r="C2641">
        <v>108</v>
      </c>
      <c r="D2641">
        <v>34</v>
      </c>
      <c r="E2641">
        <v>92</v>
      </c>
      <c r="F2641">
        <f t="shared" si="164"/>
        <v>-1.2984586421648219</v>
      </c>
      <c r="G2641">
        <f t="shared" si="165"/>
        <v>-1.1362707448216327</v>
      </c>
      <c r="I2641">
        <f t="shared" si="167"/>
        <v>-1.2173646934932272</v>
      </c>
    </row>
    <row r="2642" spans="1:9">
      <c r="A2642" t="s">
        <v>20</v>
      </c>
      <c r="B2642" s="2">
        <f t="shared" si="166"/>
        <v>127</v>
      </c>
      <c r="C2642">
        <v>64</v>
      </c>
      <c r="D2642">
        <v>4035</v>
      </c>
      <c r="E2642">
        <v>1204</v>
      </c>
      <c r="F2642">
        <f t="shared" si="164"/>
        <v>1.0031497613540747</v>
      </c>
      <c r="G2642">
        <f t="shared" si="165"/>
        <v>0.20781169625768037</v>
      </c>
      <c r="I2642">
        <f t="shared" si="167"/>
        <v>0.60548072880587755</v>
      </c>
    </row>
    <row r="2643" spans="1:9">
      <c r="A2643" t="s">
        <v>21</v>
      </c>
      <c r="B2643" s="2">
        <f t="shared" si="166"/>
        <v>127</v>
      </c>
      <c r="C2643">
        <v>165</v>
      </c>
      <c r="D2643">
        <v>375</v>
      </c>
      <c r="E2643">
        <v>48</v>
      </c>
      <c r="F2643">
        <f t="shared" si="164"/>
        <v>-0.43996648020631474</v>
      </c>
      <c r="G2643">
        <f t="shared" si="165"/>
        <v>-1.6028775235185573</v>
      </c>
      <c r="I2643">
        <f t="shared" si="167"/>
        <v>-1.021422001862436</v>
      </c>
    </row>
    <row r="2644" spans="1:9">
      <c r="A2644" t="s">
        <v>22</v>
      </c>
      <c r="B2644" s="2">
        <f t="shared" si="166"/>
        <v>127</v>
      </c>
      <c r="C2644">
        <v>127</v>
      </c>
      <c r="D2644">
        <v>117</v>
      </c>
      <c r="E2644">
        <v>24</v>
      </c>
      <c r="F2644">
        <f t="shared" si="164"/>
        <v>-0.83213166292992258</v>
      </c>
      <c r="G2644">
        <f t="shared" si="165"/>
        <v>-1.7902272959245891</v>
      </c>
      <c r="I2644">
        <f t="shared" si="167"/>
        <v>-1.3111794794272558</v>
      </c>
    </row>
    <row r="2645" spans="1:9">
      <c r="A2645" t="s">
        <v>23</v>
      </c>
      <c r="B2645" s="2">
        <f t="shared" si="166"/>
        <v>127</v>
      </c>
      <c r="C2645">
        <v>108</v>
      </c>
      <c r="D2645">
        <v>0</v>
      </c>
      <c r="E2645">
        <v>23</v>
      </c>
      <c r="F2645" t="e">
        <f t="shared" si="164"/>
        <v>#NUM!</v>
      </c>
      <c r="G2645">
        <f t="shared" si="165"/>
        <v>-1.738330736149595</v>
      </c>
      <c r="I2645" t="e">
        <f t="shared" si="167"/>
        <v>#NUM!</v>
      </c>
    </row>
    <row r="2646" spans="1:9">
      <c r="A2646" t="s">
        <v>24</v>
      </c>
      <c r="B2646" s="2">
        <f t="shared" si="166"/>
        <v>127</v>
      </c>
      <c r="C2646">
        <v>234</v>
      </c>
      <c r="D2646">
        <v>22</v>
      </c>
      <c r="E2646">
        <v>40</v>
      </c>
      <c r="F2646">
        <f t="shared" si="164"/>
        <v>-1.8233069803080639</v>
      </c>
      <c r="G2646">
        <f t="shared" si="165"/>
        <v>-1.8337906827624186</v>
      </c>
      <c r="I2646">
        <f t="shared" si="167"/>
        <v>-1.8285488315352412</v>
      </c>
    </row>
    <row r="2647" spans="1:9">
      <c r="A2647" t="s">
        <v>25</v>
      </c>
      <c r="B2647" s="2">
        <f t="shared" si="166"/>
        <v>127</v>
      </c>
      <c r="C2647">
        <v>173</v>
      </c>
      <c r="D2647">
        <v>5</v>
      </c>
      <c r="E2647">
        <v>6</v>
      </c>
      <c r="F2647">
        <f t="shared" si="164"/>
        <v>-2.3355899025129041</v>
      </c>
      <c r="G2647">
        <f t="shared" si="165"/>
        <v>-2.5265296694253898</v>
      </c>
      <c r="I2647">
        <f t="shared" si="167"/>
        <v>-2.431059785969147</v>
      </c>
    </row>
    <row r="2648" spans="1:9">
      <c r="A2648" t="s">
        <v>7</v>
      </c>
      <c r="B2648" s="2">
        <f t="shared" si="166"/>
        <v>128</v>
      </c>
      <c r="C2648">
        <v>169</v>
      </c>
      <c r="D2648">
        <v>135</v>
      </c>
      <c r="E2648">
        <v>11</v>
      </c>
      <c r="F2648">
        <f t="shared" si="164"/>
        <v>-0.89406673983879481</v>
      </c>
      <c r="G2648">
        <f t="shared" si="165"/>
        <v>-2.2531288361356867</v>
      </c>
      <c r="I2648">
        <f t="shared" si="167"/>
        <v>-1.5735977879872407</v>
      </c>
    </row>
    <row r="2649" spans="1:9">
      <c r="A2649" t="s">
        <v>8</v>
      </c>
      <c r="B2649" s="2">
        <f t="shared" si="166"/>
        <v>128</v>
      </c>
      <c r="C2649">
        <v>112</v>
      </c>
      <c r="D2649">
        <v>8</v>
      </c>
      <c r="E2649">
        <v>10</v>
      </c>
      <c r="F2649">
        <f t="shared" si="164"/>
        <v>-1.9426418393983653</v>
      </c>
      <c r="G2649">
        <f t="shared" si="165"/>
        <v>-2.1158528393504197</v>
      </c>
      <c r="I2649">
        <f t="shared" si="167"/>
        <v>-2.0292473393743924</v>
      </c>
    </row>
    <row r="2650" spans="1:9">
      <c r="A2650" t="s">
        <v>5</v>
      </c>
      <c r="B2650" s="2">
        <f t="shared" si="166"/>
        <v>128</v>
      </c>
      <c r="C2650">
        <v>132</v>
      </c>
      <c r="D2650">
        <v>79</v>
      </c>
      <c r="E2650">
        <v>18</v>
      </c>
      <c r="F2650">
        <f t="shared" si="164"/>
        <v>-1.0194606436355358</v>
      </c>
      <c r="G2650">
        <f t="shared" si="165"/>
        <v>-1.931936242782782</v>
      </c>
      <c r="I2650">
        <f t="shared" si="167"/>
        <v>-1.4756984432091589</v>
      </c>
    </row>
    <row r="2651" spans="1:9">
      <c r="A2651" t="s">
        <v>6</v>
      </c>
      <c r="B2651" s="2">
        <f t="shared" si="166"/>
        <v>128</v>
      </c>
      <c r="C2651">
        <v>175</v>
      </c>
      <c r="D2651">
        <v>3069</v>
      </c>
      <c r="E2651">
        <v>3276</v>
      </c>
      <c r="F2651">
        <f t="shared" ref="F2651:F2714" si="168">LOG10(D2651/C2651)-LOG10(255266/40783)</f>
        <v>0.44744503602540076</v>
      </c>
      <c r="G2651">
        <f t="shared" ref="G2651:G2714" si="169">LOG10(E2651/C2651)-LOG10(475460/40783)</f>
        <v>0.20567102772184831</v>
      </c>
      <c r="I2651">
        <f t="shared" si="167"/>
        <v>0.32655803187362453</v>
      </c>
    </row>
    <row r="2652" spans="1:9">
      <c r="A2652" t="s">
        <v>10</v>
      </c>
      <c r="B2652" s="2">
        <f t="shared" si="166"/>
        <v>128</v>
      </c>
      <c r="C2652">
        <v>10</v>
      </c>
      <c r="D2652">
        <v>96</v>
      </c>
      <c r="E2652">
        <v>128</v>
      </c>
      <c r="F2652">
        <f t="shared" si="168"/>
        <v>0.18575742931944106</v>
      </c>
      <c r="G2652">
        <f t="shared" si="169"/>
        <v>4.0575152967630146E-2</v>
      </c>
      <c r="I2652">
        <f t="shared" si="167"/>
        <v>0.1131662911435356</v>
      </c>
    </row>
    <row r="2653" spans="1:9">
      <c r="A2653" t="s">
        <v>11</v>
      </c>
      <c r="B2653" s="2">
        <f t="shared" si="166"/>
        <v>128</v>
      </c>
      <c r="C2653">
        <v>164</v>
      </c>
      <c r="D2653">
        <v>20</v>
      </c>
      <c r="E2653">
        <v>18</v>
      </c>
      <c r="F2653">
        <f t="shared" si="168"/>
        <v>-1.7103276561038441</v>
      </c>
      <c r="G2653">
        <f t="shared" si="169"/>
        <v>-2.0262061596246301</v>
      </c>
      <c r="I2653">
        <f t="shared" si="167"/>
        <v>-1.8682669078642371</v>
      </c>
    </row>
    <row r="2654" spans="1:9">
      <c r="A2654" t="s">
        <v>12</v>
      </c>
      <c r="B2654" s="2">
        <f t="shared" si="166"/>
        <v>128</v>
      </c>
      <c r="C2654">
        <v>130</v>
      </c>
      <c r="D2654">
        <v>20</v>
      </c>
      <c r="E2654">
        <v>52</v>
      </c>
      <c r="F2654">
        <f t="shared" si="168"/>
        <v>-1.6094271603629831</v>
      </c>
      <c r="G2654">
        <f t="shared" si="169"/>
        <v>-1.4645748253522757</v>
      </c>
      <c r="I2654">
        <f t="shared" si="167"/>
        <v>-1.5370009928576294</v>
      </c>
    </row>
    <row r="2655" spans="1:9">
      <c r="A2655" t="s">
        <v>9</v>
      </c>
      <c r="B2655" s="2">
        <f t="shared" si="166"/>
        <v>128</v>
      </c>
      <c r="C2655">
        <v>110</v>
      </c>
      <c r="D2655">
        <v>20</v>
      </c>
      <c r="E2655">
        <v>14</v>
      </c>
      <c r="F2655">
        <f t="shared" si="168"/>
        <v>-1.5368764932143713</v>
      </c>
      <c r="G2655">
        <f t="shared" si="169"/>
        <v>-1.9618994661602254</v>
      </c>
      <c r="I2655">
        <f t="shared" si="167"/>
        <v>-1.7493879796872984</v>
      </c>
    </row>
    <row r="2656" spans="1:9">
      <c r="A2656" t="s">
        <v>13</v>
      </c>
      <c r="B2656" s="2">
        <f t="shared" si="166"/>
        <v>128</v>
      </c>
      <c r="C2656">
        <v>148</v>
      </c>
      <c r="D2656">
        <v>8</v>
      </c>
      <c r="E2656">
        <v>29</v>
      </c>
      <c r="F2656">
        <f t="shared" si="168"/>
        <v>-2.0636855321231411</v>
      </c>
      <c r="G2656">
        <f t="shared" si="169"/>
        <v>-1.7744985341762396</v>
      </c>
      <c r="I2656">
        <f t="shared" si="167"/>
        <v>-1.9190920331496903</v>
      </c>
    </row>
    <row r="2657" spans="1:9">
      <c r="A2657" t="s">
        <v>14</v>
      </c>
      <c r="B2657" s="2">
        <f t="shared" si="166"/>
        <v>128</v>
      </c>
      <c r="C2657">
        <v>190</v>
      </c>
      <c r="D2657">
        <v>46</v>
      </c>
      <c r="E2657">
        <v>717</v>
      </c>
      <c r="F2657">
        <f t="shared" si="168"/>
        <v>-1.4125095729913824</v>
      </c>
      <c r="G2657">
        <f t="shared" si="169"/>
        <v>-0.48986926196526703</v>
      </c>
      <c r="I2657">
        <f t="shared" si="167"/>
        <v>-0.95118941747832464</v>
      </c>
    </row>
    <row r="2658" spans="1:9">
      <c r="A2658" t="s">
        <v>15</v>
      </c>
      <c r="B2658" s="2">
        <f t="shared" si="166"/>
        <v>128</v>
      </c>
      <c r="C2658">
        <v>269</v>
      </c>
      <c r="D2658">
        <v>147</v>
      </c>
      <c r="E2658">
        <v>29</v>
      </c>
      <c r="F2658">
        <f t="shared" si="168"/>
        <v>-1.0589487489743592</v>
      </c>
      <c r="G2658">
        <f t="shared" si="169"/>
        <v>-2.0339890987836902</v>
      </c>
      <c r="I2658">
        <f t="shared" si="167"/>
        <v>-1.5464689238790248</v>
      </c>
    </row>
    <row r="2659" spans="1:9">
      <c r="A2659" t="s">
        <v>16</v>
      </c>
      <c r="B2659" s="2">
        <f t="shared" si="166"/>
        <v>128</v>
      </c>
      <c r="C2659">
        <v>234</v>
      </c>
      <c r="D2659">
        <v>1052</v>
      </c>
      <c r="E2659">
        <v>16</v>
      </c>
      <c r="F2659">
        <f t="shared" si="168"/>
        <v>-0.1437139213125499</v>
      </c>
      <c r="G2659">
        <f t="shared" si="169"/>
        <v>-2.2317306914344561</v>
      </c>
      <c r="I2659">
        <f t="shared" si="167"/>
        <v>-1.187722306373503</v>
      </c>
    </row>
    <row r="2660" spans="1:9">
      <c r="A2660" t="s">
        <v>17</v>
      </c>
      <c r="B2660" s="2">
        <f t="shared" si="166"/>
        <v>128</v>
      </c>
      <c r="C2660">
        <v>254</v>
      </c>
      <c r="D2660">
        <v>38</v>
      </c>
      <c r="E2660">
        <v>47</v>
      </c>
      <c r="F2660">
        <f t="shared" si="168"/>
        <v>-1.6215639237232553</v>
      </c>
      <c r="G2660">
        <f t="shared" si="169"/>
        <v>-1.7993706753644587</v>
      </c>
      <c r="I2660">
        <f t="shared" si="167"/>
        <v>-1.710467299543857</v>
      </c>
    </row>
    <row r="2661" spans="1:9">
      <c r="A2661" t="s">
        <v>18</v>
      </c>
      <c r="B2661" s="2">
        <f t="shared" si="166"/>
        <v>128</v>
      </c>
      <c r="C2661">
        <v>199</v>
      </c>
      <c r="D2661">
        <v>280</v>
      </c>
      <c r="E2661">
        <v>366</v>
      </c>
      <c r="F2661">
        <f t="shared" si="168"/>
        <v>-0.64820884878761476</v>
      </c>
      <c r="G2661">
        <f t="shared" si="169"/>
        <v>-0.80200680769553423</v>
      </c>
      <c r="I2661">
        <f t="shared" si="167"/>
        <v>-0.72510782824157449</v>
      </c>
    </row>
    <row r="2662" spans="1:9">
      <c r="A2662" t="s">
        <v>19</v>
      </c>
      <c r="B2662" s="2">
        <f t="shared" si="166"/>
        <v>128</v>
      </c>
      <c r="C2662">
        <v>156</v>
      </c>
      <c r="D2662">
        <v>8</v>
      </c>
      <c r="E2662">
        <v>59</v>
      </c>
      <c r="F2662">
        <f t="shared" si="168"/>
        <v>-2.0865484150826452</v>
      </c>
      <c r="G2662">
        <f t="shared" si="169"/>
        <v>-1.4889074033925556</v>
      </c>
      <c r="I2662">
        <f t="shared" si="167"/>
        <v>-1.7877279092376004</v>
      </c>
    </row>
    <row r="2663" spans="1:9">
      <c r="A2663" t="s">
        <v>20</v>
      </c>
      <c r="B2663" s="2">
        <f t="shared" si="166"/>
        <v>128</v>
      </c>
      <c r="C2663">
        <v>125</v>
      </c>
      <c r="D2663">
        <v>9</v>
      </c>
      <c r="E2663">
        <v>24</v>
      </c>
      <c r="F2663">
        <f t="shared" si="168"/>
        <v>-1.9391813072888588</v>
      </c>
      <c r="G2663">
        <f t="shared" si="169"/>
        <v>-1.7833335879766885</v>
      </c>
      <c r="I2663">
        <f t="shared" si="167"/>
        <v>-1.8612574476327737</v>
      </c>
    </row>
    <row r="2664" spans="1:9">
      <c r="A2664" t="s">
        <v>21</v>
      </c>
      <c r="B2664" s="2">
        <f t="shared" si="166"/>
        <v>128</v>
      </c>
      <c r="C2664">
        <v>212</v>
      </c>
      <c r="D2664">
        <v>115</v>
      </c>
      <c r="E2664">
        <v>23</v>
      </c>
      <c r="F2664">
        <f t="shared" si="168"/>
        <v>-1.062151824295267</v>
      </c>
      <c r="G2664">
        <f t="shared" si="169"/>
        <v>-2.0312428415913968</v>
      </c>
      <c r="I2664">
        <f t="shared" si="167"/>
        <v>-1.546697332943332</v>
      </c>
    </row>
    <row r="2665" spans="1:9">
      <c r="A2665" t="s">
        <v>22</v>
      </c>
      <c r="B2665" s="2">
        <f t="shared" si="166"/>
        <v>128</v>
      </c>
      <c r="C2665">
        <v>91</v>
      </c>
      <c r="D2665">
        <v>3368</v>
      </c>
      <c r="E2665">
        <v>17086</v>
      </c>
      <c r="F2665">
        <f t="shared" si="168"/>
        <v>0.77181688678639104</v>
      </c>
      <c r="G2665">
        <f t="shared" si="169"/>
        <v>1.2069641930256112</v>
      </c>
      <c r="I2665">
        <f t="shared" si="167"/>
        <v>0.98939053990600112</v>
      </c>
    </row>
    <row r="2666" spans="1:9">
      <c r="A2666" t="s">
        <v>23</v>
      </c>
      <c r="B2666" s="2">
        <f t="shared" si="166"/>
        <v>128</v>
      </c>
      <c r="C2666">
        <v>119</v>
      </c>
      <c r="D2666">
        <v>7362</v>
      </c>
      <c r="E2666">
        <v>42123</v>
      </c>
      <c r="F2666">
        <f t="shared" si="168"/>
        <v>0.99493504799798971</v>
      </c>
      <c r="G2666">
        <f t="shared" si="169"/>
        <v>1.4823375159945482</v>
      </c>
      <c r="I2666">
        <f t="shared" si="167"/>
        <v>1.2386362819962691</v>
      </c>
    </row>
    <row r="2667" spans="1:9">
      <c r="A2667" t="s">
        <v>24</v>
      </c>
      <c r="B2667" s="2">
        <f t="shared" si="166"/>
        <v>128</v>
      </c>
      <c r="C2667">
        <v>287</v>
      </c>
      <c r="D2667">
        <v>464</v>
      </c>
      <c r="E2667">
        <v>372</v>
      </c>
      <c r="F2667">
        <f t="shared" si="168"/>
        <v>-0.58787771989923887</v>
      </c>
      <c r="G2667">
        <f t="shared" si="169"/>
        <v>-0.95397377353233304</v>
      </c>
      <c r="I2667">
        <f t="shared" si="167"/>
        <v>-0.77092574671578595</v>
      </c>
    </row>
    <row r="2668" spans="1:9">
      <c r="A2668" t="s">
        <v>25</v>
      </c>
      <c r="B2668" s="2">
        <f t="shared" si="166"/>
        <v>128</v>
      </c>
      <c r="C2668">
        <v>151</v>
      </c>
      <c r="D2668">
        <v>98</v>
      </c>
      <c r="E2668">
        <v>17</v>
      </c>
      <c r="F2668">
        <f t="shared" si="168"/>
        <v>-0.98426467532080197</v>
      </c>
      <c r="G2668">
        <f t="shared" si="169"/>
        <v>-2.0151628425951338</v>
      </c>
      <c r="I2668">
        <f t="shared" si="167"/>
        <v>-1.4997137589579679</v>
      </c>
    </row>
    <row r="2669" spans="1:9">
      <c r="A2669" t="s">
        <v>7</v>
      </c>
      <c r="B2669" s="2">
        <f t="shared" si="166"/>
        <v>129</v>
      </c>
      <c r="C2669">
        <v>221</v>
      </c>
      <c r="D2669">
        <v>62</v>
      </c>
      <c r="E2669">
        <v>19</v>
      </c>
      <c r="F2669">
        <f t="shared" si="168"/>
        <v>-1.3485143879069841</v>
      </c>
      <c r="G2669">
        <f t="shared" si="169"/>
        <v>-2.1322734894125199</v>
      </c>
      <c r="I2669">
        <f t="shared" si="167"/>
        <v>-1.740393938659752</v>
      </c>
    </row>
    <row r="2670" spans="1:9">
      <c r="A2670" t="s">
        <v>8</v>
      </c>
      <c r="B2670" s="2">
        <f t="shared" si="166"/>
        <v>129</v>
      </c>
      <c r="C2670">
        <v>322</v>
      </c>
      <c r="D2670">
        <v>175</v>
      </c>
      <c r="E2670">
        <v>28</v>
      </c>
      <c r="F2670">
        <f t="shared" si="168"/>
        <v>-1.0613316267296637</v>
      </c>
      <c r="G2670">
        <f t="shared" si="169"/>
        <v>-2.1273326570338496</v>
      </c>
      <c r="I2670">
        <f t="shared" si="167"/>
        <v>-1.5943321418817566</v>
      </c>
    </row>
    <row r="2671" spans="1:9">
      <c r="A2671" t="s">
        <v>5</v>
      </c>
      <c r="B2671" s="2">
        <f t="shared" si="166"/>
        <v>129</v>
      </c>
      <c r="C2671">
        <v>157</v>
      </c>
      <c r="D2671">
        <v>466</v>
      </c>
      <c r="E2671">
        <v>17</v>
      </c>
      <c r="F2671">
        <f t="shared" si="168"/>
        <v>-0.32402753943936097</v>
      </c>
      <c r="G2671">
        <f t="shared" si="169"/>
        <v>-2.0320855477111981</v>
      </c>
      <c r="I2671">
        <f t="shared" si="167"/>
        <v>-1.1780565435752794</v>
      </c>
    </row>
    <row r="2672" spans="1:9">
      <c r="A2672" t="s">
        <v>6</v>
      </c>
      <c r="B2672" s="2">
        <f t="shared" si="166"/>
        <v>129</v>
      </c>
      <c r="C2672">
        <v>196</v>
      </c>
      <c r="D2672">
        <v>2034</v>
      </c>
      <c r="E2672">
        <v>63</v>
      </c>
      <c r="F2672">
        <f t="shared" si="168"/>
        <v>0.21958107351012246</v>
      </c>
      <c r="G2672">
        <f t="shared" si="169"/>
        <v>-1.5595503385831324</v>
      </c>
      <c r="I2672">
        <f t="shared" si="167"/>
        <v>-0.66998463253650498</v>
      </c>
    </row>
    <row r="2673" spans="1:9">
      <c r="A2673" t="s">
        <v>10</v>
      </c>
      <c r="B2673" s="2">
        <f t="shared" si="166"/>
        <v>129</v>
      </c>
      <c r="C2673">
        <v>142</v>
      </c>
      <c r="D2673">
        <v>89</v>
      </c>
      <c r="E2673">
        <v>13</v>
      </c>
      <c r="F2673">
        <f t="shared" si="168"/>
        <v>-0.99941214145827106</v>
      </c>
      <c r="G2673">
        <f t="shared" si="169"/>
        <v>-2.104979808756458</v>
      </c>
      <c r="I2673">
        <f t="shared" si="167"/>
        <v>-1.5521959751073644</v>
      </c>
    </row>
    <row r="2674" spans="1:9">
      <c r="A2674" t="s">
        <v>11</v>
      </c>
      <c r="B2674" s="2">
        <f t="shared" si="166"/>
        <v>129</v>
      </c>
      <c r="C2674">
        <v>117</v>
      </c>
      <c r="D2674">
        <v>75</v>
      </c>
      <c r="E2674">
        <v>75</v>
      </c>
      <c r="F2674">
        <f t="shared" si="168"/>
        <v>-0.98963840207458897</v>
      </c>
      <c r="G2674">
        <f t="shared" si="169"/>
        <v>-1.2597594150346998</v>
      </c>
      <c r="I2674">
        <f t="shared" si="167"/>
        <v>-1.1246989085546444</v>
      </c>
    </row>
    <row r="2675" spans="1:9">
      <c r="A2675" t="s">
        <v>12</v>
      </c>
      <c r="B2675" s="2">
        <f t="shared" si="166"/>
        <v>129</v>
      </c>
      <c r="C2675">
        <v>88</v>
      </c>
      <c r="D2675">
        <v>41</v>
      </c>
      <c r="E2675">
        <v>10</v>
      </c>
      <c r="F2675">
        <f t="shared" si="168"/>
        <v>-1.1282126191505606</v>
      </c>
      <c r="G2675">
        <f t="shared" si="169"/>
        <v>-2.0111174888304069</v>
      </c>
      <c r="I2675">
        <f t="shared" si="167"/>
        <v>-1.5696650539904837</v>
      </c>
    </row>
    <row r="2676" spans="1:9">
      <c r="A2676" t="s">
        <v>9</v>
      </c>
      <c r="B2676" s="2">
        <f t="shared" si="166"/>
        <v>129</v>
      </c>
      <c r="C2676">
        <v>233</v>
      </c>
      <c r="D2676">
        <v>277</v>
      </c>
      <c r="E2676">
        <v>24</v>
      </c>
      <c r="F2676">
        <f t="shared" si="168"/>
        <v>-0.72138995568169773</v>
      </c>
      <c r="G2676">
        <f t="shared" si="169"/>
        <v>-2.0537794959946511</v>
      </c>
      <c r="I2676">
        <f t="shared" si="167"/>
        <v>-1.3875847258381744</v>
      </c>
    </row>
    <row r="2677" spans="1:9">
      <c r="A2677" t="s">
        <v>13</v>
      </c>
      <c r="B2677" s="2">
        <f t="shared" si="166"/>
        <v>129</v>
      </c>
      <c r="C2677">
        <v>144</v>
      </c>
      <c r="D2677">
        <v>2111</v>
      </c>
      <c r="E2677">
        <v>47</v>
      </c>
      <c r="F2677">
        <f t="shared" si="168"/>
        <v>0.36961193749227927</v>
      </c>
      <c r="G2677">
        <f t="shared" si="169"/>
        <v>-1.5528994508397704</v>
      </c>
      <c r="I2677">
        <f t="shared" si="167"/>
        <v>-0.59164375667374558</v>
      </c>
    </row>
    <row r="2678" spans="1:9">
      <c r="A2678" t="s">
        <v>14</v>
      </c>
      <c r="B2678" s="2">
        <f t="shared" si="166"/>
        <v>129</v>
      </c>
      <c r="C2678">
        <v>2</v>
      </c>
      <c r="D2678">
        <v>25</v>
      </c>
      <c r="E2678">
        <v>24</v>
      </c>
      <c r="F2678">
        <f t="shared" si="168"/>
        <v>0.30039620928792909</v>
      </c>
      <c r="G2678">
        <f t="shared" si="169"/>
        <v>1.2546429367386702E-2</v>
      </c>
      <c r="I2678">
        <f t="shared" si="167"/>
        <v>0.1564713193276579</v>
      </c>
    </row>
    <row r="2679" spans="1:9">
      <c r="A2679" t="s">
        <v>15</v>
      </c>
      <c r="B2679" s="2">
        <f t="shared" si="166"/>
        <v>129</v>
      </c>
      <c r="C2679">
        <v>193</v>
      </c>
      <c r="D2679">
        <v>33</v>
      </c>
      <c r="E2679">
        <v>51</v>
      </c>
      <c r="F2679">
        <f t="shared" si="168"/>
        <v>-1.5635571728500137</v>
      </c>
      <c r="G2679">
        <f t="shared" si="169"/>
        <v>-1.6446219495900756</v>
      </c>
      <c r="I2679">
        <f t="shared" si="167"/>
        <v>-1.6040895612200448</v>
      </c>
    </row>
    <row r="2680" spans="1:9">
      <c r="A2680" t="s">
        <v>16</v>
      </c>
      <c r="B2680" s="2">
        <f t="shared" si="166"/>
        <v>129</v>
      </c>
      <c r="C2680">
        <v>371</v>
      </c>
      <c r="D2680">
        <v>1229</v>
      </c>
      <c r="E2680">
        <v>92</v>
      </c>
      <c r="F2680">
        <f t="shared" si="168"/>
        <v>-0.27633583044871912</v>
      </c>
      <c r="G2680">
        <f t="shared" si="169"/>
        <v>-1.6722208989497287</v>
      </c>
      <c r="I2680">
        <f t="shared" si="167"/>
        <v>-0.97427836469922391</v>
      </c>
    </row>
    <row r="2681" spans="1:9">
      <c r="A2681" t="s">
        <v>17</v>
      </c>
      <c r="B2681" s="2">
        <f t="shared" si="166"/>
        <v>129</v>
      </c>
      <c r="C2681">
        <v>261</v>
      </c>
      <c r="D2681">
        <v>103</v>
      </c>
      <c r="E2681">
        <v>23</v>
      </c>
      <c r="F2681">
        <f t="shared" si="168"/>
        <v>-1.2003170863532362</v>
      </c>
      <c r="G2681">
        <f t="shared" si="169"/>
        <v>-2.1215474880009264</v>
      </c>
      <c r="I2681">
        <f t="shared" si="167"/>
        <v>-1.6609322871770813</v>
      </c>
    </row>
    <row r="2682" spans="1:9">
      <c r="A2682" t="s">
        <v>18</v>
      </c>
      <c r="B2682" s="2">
        <f t="shared" si="166"/>
        <v>129</v>
      </c>
      <c r="C2682">
        <v>260</v>
      </c>
      <c r="D2682">
        <v>188</v>
      </c>
      <c r="E2682">
        <v>29</v>
      </c>
      <c r="F2682">
        <f t="shared" si="168"/>
        <v>-0.93732930242726553</v>
      </c>
      <c r="G2682">
        <f t="shared" si="169"/>
        <v>-2.0192101667521003</v>
      </c>
      <c r="I2682">
        <f t="shared" si="167"/>
        <v>-1.4782697345896829</v>
      </c>
    </row>
    <row r="2683" spans="1:9">
      <c r="A2683" t="s">
        <v>19</v>
      </c>
      <c r="B2683" s="2">
        <f t="shared" si="166"/>
        <v>129</v>
      </c>
      <c r="C2683">
        <v>253</v>
      </c>
      <c r="D2683">
        <v>3483</v>
      </c>
      <c r="E2683">
        <v>146</v>
      </c>
      <c r="F2683">
        <f t="shared" si="168"/>
        <v>0.34231914956229104</v>
      </c>
      <c r="G2683">
        <f t="shared" si="169"/>
        <v>-1.305402482071619</v>
      </c>
      <c r="I2683">
        <f t="shared" si="167"/>
        <v>-0.48154166625466399</v>
      </c>
    </row>
    <row r="2684" spans="1:9">
      <c r="A2684" t="s">
        <v>20</v>
      </c>
      <c r="B2684" s="2">
        <f t="shared" si="166"/>
        <v>129</v>
      </c>
      <c r="C2684">
        <v>269</v>
      </c>
      <c r="D2684">
        <v>417</v>
      </c>
      <c r="E2684">
        <v>23</v>
      </c>
      <c r="F2684">
        <f t="shared" si="168"/>
        <v>-0.60613002874877786</v>
      </c>
      <c r="G2684">
        <f t="shared" si="169"/>
        <v>-2.1346592606650532</v>
      </c>
      <c r="I2684">
        <f t="shared" si="167"/>
        <v>-1.3703946447069155</v>
      </c>
    </row>
    <row r="2685" spans="1:9">
      <c r="A2685" t="s">
        <v>21</v>
      </c>
      <c r="B2685" s="2">
        <f t="shared" si="166"/>
        <v>129</v>
      </c>
      <c r="C2685">
        <v>212</v>
      </c>
      <c r="D2685">
        <v>46</v>
      </c>
      <c r="E2685">
        <v>5</v>
      </c>
      <c r="F2685">
        <f t="shared" si="168"/>
        <v>-1.4600918329673047</v>
      </c>
      <c r="G2685">
        <f t="shared" si="169"/>
        <v>-2.6940006732729707</v>
      </c>
      <c r="I2685">
        <f t="shared" si="167"/>
        <v>-2.0770462531201375</v>
      </c>
    </row>
    <row r="2686" spans="1:9">
      <c r="A2686" t="s">
        <v>22</v>
      </c>
      <c r="B2686" s="2">
        <f t="shared" si="166"/>
        <v>129</v>
      </c>
      <c r="C2686">
        <v>181</v>
      </c>
      <c r="D2686">
        <v>1322</v>
      </c>
      <c r="E2686">
        <v>10</v>
      </c>
      <c r="F2686">
        <f t="shared" si="168"/>
        <v>6.7039076560309496E-2</v>
      </c>
      <c r="G2686">
        <f t="shared" si="169"/>
        <v>-2.3243133915494227</v>
      </c>
      <c r="I2686">
        <f t="shared" si="167"/>
        <v>-1.1286371574945566</v>
      </c>
    </row>
    <row r="2687" spans="1:9">
      <c r="A2687" t="s">
        <v>23</v>
      </c>
      <c r="B2687" s="2">
        <f t="shared" si="166"/>
        <v>129</v>
      </c>
      <c r="C2687">
        <v>128</v>
      </c>
      <c r="D2687">
        <v>1</v>
      </c>
      <c r="E2687">
        <v>6</v>
      </c>
      <c r="F2687">
        <f t="shared" si="168"/>
        <v>-2.9037237733679957</v>
      </c>
      <c r="G2687">
        <f t="shared" si="169"/>
        <v>-2.3956935359444627</v>
      </c>
      <c r="I2687">
        <f t="shared" si="167"/>
        <v>-2.6497086546562292</v>
      </c>
    </row>
    <row r="2688" spans="1:9">
      <c r="A2688" t="s">
        <v>24</v>
      </c>
      <c r="B2688" s="2">
        <f t="shared" si="166"/>
        <v>129</v>
      </c>
      <c r="C2688">
        <v>170</v>
      </c>
      <c r="D2688">
        <v>384</v>
      </c>
      <c r="E2688">
        <v>56</v>
      </c>
      <c r="F2688">
        <f t="shared" si="168"/>
        <v>-0.44263150073087049</v>
      </c>
      <c r="G2688">
        <f t="shared" si="169"/>
        <v>-1.5488957110523116</v>
      </c>
      <c r="I2688">
        <f t="shared" si="167"/>
        <v>-0.99576360589159107</v>
      </c>
    </row>
    <row r="2689" spans="1:9">
      <c r="A2689" t="s">
        <v>25</v>
      </c>
      <c r="B2689" s="2">
        <f t="shared" si="166"/>
        <v>129</v>
      </c>
      <c r="C2689">
        <v>176</v>
      </c>
      <c r="D2689">
        <v>87</v>
      </c>
      <c r="E2689">
        <v>10</v>
      </c>
      <c r="F2689">
        <f t="shared" si="168"/>
        <v>-1.1025072189156586</v>
      </c>
      <c r="G2689">
        <f t="shared" si="169"/>
        <v>-2.3121474844943881</v>
      </c>
      <c r="I2689">
        <f t="shared" si="167"/>
        <v>-1.7073273517050234</v>
      </c>
    </row>
    <row r="2690" spans="1:9">
      <c r="A2690" t="s">
        <v>7</v>
      </c>
      <c r="B2690" s="2">
        <f t="shared" si="166"/>
        <v>130</v>
      </c>
      <c r="C2690">
        <v>78</v>
      </c>
      <c r="D2690">
        <v>1</v>
      </c>
      <c r="E2690">
        <v>1</v>
      </c>
      <c r="F2690">
        <f t="shared" si="168"/>
        <v>-2.6886084064106077</v>
      </c>
      <c r="G2690">
        <f t="shared" si="169"/>
        <v>-2.9587294193707185</v>
      </c>
      <c r="I2690">
        <f t="shared" si="167"/>
        <v>-2.8236689128906631</v>
      </c>
    </row>
    <row r="2691" spans="1:9">
      <c r="A2691" t="s">
        <v>8</v>
      </c>
      <c r="B2691" s="2">
        <f t="shared" ref="B2691:B2754" si="170">1+INT((ROW()-2)/21)+1</f>
        <v>130</v>
      </c>
      <c r="C2691">
        <v>119</v>
      </c>
      <c r="D2691">
        <v>100</v>
      </c>
      <c r="E2691">
        <v>7</v>
      </c>
      <c r="F2691">
        <f t="shared" si="168"/>
        <v>-0.87206076511265818</v>
      </c>
      <c r="G2691">
        <f t="shared" si="169"/>
        <v>-2.2970837380585118</v>
      </c>
      <c r="I2691">
        <f t="shared" ref="I2691:I2754" si="171">AVERAGE(F2691:G2691)</f>
        <v>-1.5845722515855849</v>
      </c>
    </row>
    <row r="2692" spans="1:9">
      <c r="A2692" t="s">
        <v>5</v>
      </c>
      <c r="B2692" s="2">
        <f t="shared" si="170"/>
        <v>130</v>
      </c>
      <c r="C2692">
        <v>7</v>
      </c>
      <c r="D2692">
        <v>45</v>
      </c>
      <c r="E2692">
        <v>87</v>
      </c>
      <c r="F2692">
        <f t="shared" si="168"/>
        <v>1.1600670040959549E-2</v>
      </c>
      <c r="G2692">
        <f t="shared" si="169"/>
        <v>2.7786395924123575E-2</v>
      </c>
      <c r="I2692">
        <f t="shared" si="171"/>
        <v>1.9693532982541562E-2</v>
      </c>
    </row>
    <row r="2693" spans="1:9">
      <c r="A2693" t="s">
        <v>6</v>
      </c>
      <c r="B2693" s="2">
        <f t="shared" si="170"/>
        <v>130</v>
      </c>
      <c r="C2693">
        <v>240</v>
      </c>
      <c r="D2693">
        <v>489</v>
      </c>
      <c r="E2693">
        <v>1186</v>
      </c>
      <c r="F2693">
        <f t="shared" si="168"/>
        <v>-0.48741618630811312</v>
      </c>
      <c r="G2693">
        <f t="shared" si="169"/>
        <v>-0.37276136936360038</v>
      </c>
      <c r="I2693">
        <f t="shared" si="171"/>
        <v>-0.43008877783585675</v>
      </c>
    </row>
    <row r="2694" spans="1:9">
      <c r="A2694" t="s">
        <v>10</v>
      </c>
      <c r="B2694" s="2">
        <f t="shared" si="170"/>
        <v>130</v>
      </c>
      <c r="C2694">
        <v>295</v>
      </c>
      <c r="D2694">
        <v>128</v>
      </c>
      <c r="E2694">
        <v>48</v>
      </c>
      <c r="F2694">
        <f t="shared" si="168"/>
        <v>-1.159125850050422</v>
      </c>
      <c r="G2694">
        <f t="shared" si="169"/>
        <v>-1.855215595282814</v>
      </c>
      <c r="I2694">
        <f t="shared" si="171"/>
        <v>-1.507170722666618</v>
      </c>
    </row>
    <row r="2695" spans="1:9">
      <c r="A2695" t="s">
        <v>11</v>
      </c>
      <c r="B2695" s="2">
        <f t="shared" si="170"/>
        <v>130</v>
      </c>
      <c r="C2695">
        <v>303</v>
      </c>
      <c r="D2695">
        <v>73</v>
      </c>
      <c r="E2695">
        <v>206</v>
      </c>
      <c r="F2695">
        <f t="shared" si="168"/>
        <v>-1.4146335721019765</v>
      </c>
      <c r="G2695">
        <f t="shared" si="169"/>
        <v>-1.2342102248133897</v>
      </c>
      <c r="I2695">
        <f t="shared" si="171"/>
        <v>-1.324421898457683</v>
      </c>
    </row>
    <row r="2696" spans="1:9">
      <c r="A2696" t="s">
        <v>12</v>
      </c>
      <c r="B2696" s="2">
        <f t="shared" si="170"/>
        <v>130</v>
      </c>
      <c r="C2696">
        <v>168</v>
      </c>
      <c r="D2696">
        <v>406</v>
      </c>
      <c r="E2696">
        <v>21</v>
      </c>
      <c r="F2696">
        <f t="shared" si="168"/>
        <v>-0.41329705186879612</v>
      </c>
      <c r="G2696">
        <f t="shared" si="169"/>
        <v>-1.9697248036721817</v>
      </c>
      <c r="I2696">
        <f t="shared" si="171"/>
        <v>-1.1915109277704889</v>
      </c>
    </row>
    <row r="2697" spans="1:9">
      <c r="A2697" t="s">
        <v>9</v>
      </c>
      <c r="B2697" s="2">
        <f t="shared" si="170"/>
        <v>130</v>
      </c>
      <c r="C2697">
        <v>130</v>
      </c>
      <c r="D2697">
        <v>150</v>
      </c>
      <c r="E2697">
        <v>85</v>
      </c>
      <c r="F2697">
        <f t="shared" si="168"/>
        <v>-0.73436589697128296</v>
      </c>
      <c r="G2697">
        <f t="shared" si="169"/>
        <v>-1.2511592432727823</v>
      </c>
      <c r="I2697">
        <f t="shared" si="171"/>
        <v>-0.99276257012203262</v>
      </c>
    </row>
    <row r="2698" spans="1:9">
      <c r="A2698" t="s">
        <v>13</v>
      </c>
      <c r="B2698" s="2">
        <f t="shared" si="170"/>
        <v>130</v>
      </c>
      <c r="C2698">
        <v>203</v>
      </c>
      <c r="D2698">
        <v>2109</v>
      </c>
      <c r="E2698">
        <v>48</v>
      </c>
      <c r="F2698">
        <f t="shared" si="168"/>
        <v>0.22006673810614608</v>
      </c>
      <c r="G2698">
        <f t="shared" si="169"/>
        <v>-1.692889617217864</v>
      </c>
      <c r="I2698">
        <f t="shared" si="171"/>
        <v>-0.73641143955585897</v>
      </c>
    </row>
    <row r="2699" spans="1:9">
      <c r="A2699" t="s">
        <v>14</v>
      </c>
      <c r="B2699" s="2">
        <f t="shared" si="170"/>
        <v>130</v>
      </c>
      <c r="C2699">
        <v>236</v>
      </c>
      <c r="D2699">
        <v>929</v>
      </c>
      <c r="E2699">
        <v>50</v>
      </c>
      <c r="F2699">
        <f t="shared" si="168"/>
        <v>-0.20141009269659216</v>
      </c>
      <c r="G2699">
        <f t="shared" si="169"/>
        <v>-1.740576815314326</v>
      </c>
      <c r="I2699">
        <f t="shared" si="171"/>
        <v>-0.970993454005459</v>
      </c>
    </row>
    <row r="2700" spans="1:9">
      <c r="A2700" t="s">
        <v>15</v>
      </c>
      <c r="B2700" s="2">
        <f t="shared" si="170"/>
        <v>130</v>
      </c>
      <c r="C2700">
        <v>293</v>
      </c>
      <c r="D2700">
        <v>411</v>
      </c>
      <c r="E2700">
        <v>59</v>
      </c>
      <c r="F2700">
        <f t="shared" si="168"/>
        <v>-0.64953960219816764</v>
      </c>
      <c r="G2700">
        <f t="shared" si="169"/>
        <v>-1.7626504253922035</v>
      </c>
      <c r="I2700">
        <f t="shared" si="171"/>
        <v>-1.2060950137951856</v>
      </c>
    </row>
    <row r="2701" spans="1:9">
      <c r="A2701" t="s">
        <v>16</v>
      </c>
      <c r="B2701" s="2">
        <f t="shared" si="170"/>
        <v>130</v>
      </c>
      <c r="C2701">
        <v>258</v>
      </c>
      <c r="D2701">
        <v>1985</v>
      </c>
      <c r="E2701">
        <v>139</v>
      </c>
      <c r="F2701">
        <f t="shared" si="168"/>
        <v>8.9627001415776397E-2</v>
      </c>
      <c r="G2701">
        <f t="shared" si="169"/>
        <v>-1.3352397223893733</v>
      </c>
      <c r="I2701">
        <f t="shared" si="171"/>
        <v>-0.62280636048679838</v>
      </c>
    </row>
    <row r="2702" spans="1:9">
      <c r="A2702" t="s">
        <v>17</v>
      </c>
      <c r="B2702" s="2">
        <f t="shared" si="170"/>
        <v>130</v>
      </c>
      <c r="C2702">
        <v>276</v>
      </c>
      <c r="D2702">
        <v>82</v>
      </c>
      <c r="E2702">
        <v>67</v>
      </c>
      <c r="F2702">
        <f t="shared" si="168"/>
        <v>-1.3236090334016284</v>
      </c>
      <c r="G2702">
        <f t="shared" si="169"/>
        <v>-1.6814690960446295</v>
      </c>
      <c r="I2702">
        <f t="shared" si="171"/>
        <v>-1.5025390647231289</v>
      </c>
    </row>
    <row r="2703" spans="1:9">
      <c r="A2703" t="s">
        <v>18</v>
      </c>
      <c r="B2703" s="2">
        <f t="shared" si="170"/>
        <v>130</v>
      </c>
      <c r="C2703">
        <v>238</v>
      </c>
      <c r="D2703">
        <v>1559</v>
      </c>
      <c r="E2703">
        <v>20</v>
      </c>
      <c r="F2703">
        <f t="shared" si="168"/>
        <v>1.9755354412202331E-2</v>
      </c>
      <c r="G2703">
        <f t="shared" si="169"/>
        <v>-2.1421817780727688</v>
      </c>
      <c r="I2703">
        <f t="shared" si="171"/>
        <v>-1.0612132118302833</v>
      </c>
    </row>
    <row r="2704" spans="1:9">
      <c r="A2704" t="s">
        <v>19</v>
      </c>
      <c r="B2704" s="2">
        <f t="shared" si="170"/>
        <v>130</v>
      </c>
      <c r="C2704">
        <v>187</v>
      </c>
      <c r="D2704">
        <v>377</v>
      </c>
      <c r="E2704">
        <v>26</v>
      </c>
      <c r="F2704">
        <f t="shared" si="168"/>
        <v>-0.49201406005083348</v>
      </c>
      <c r="G2704">
        <f t="shared" si="169"/>
        <v>-1.9235030752459192</v>
      </c>
      <c r="I2704">
        <f t="shared" si="171"/>
        <v>-1.2077585676483764</v>
      </c>
    </row>
    <row r="2705" spans="1:9">
      <c r="A2705" t="s">
        <v>20</v>
      </c>
      <c r="B2705" s="2">
        <f t="shared" si="170"/>
        <v>130</v>
      </c>
      <c r="C2705">
        <v>132</v>
      </c>
      <c r="D2705">
        <v>119</v>
      </c>
      <c r="E2705">
        <v>32</v>
      </c>
      <c r="F2705">
        <f t="shared" si="168"/>
        <v>-0.84154077353344647</v>
      </c>
      <c r="G2705">
        <f t="shared" si="169"/>
        <v>-1.6820587695661819</v>
      </c>
      <c r="I2705">
        <f t="shared" si="171"/>
        <v>-1.2617997715498142</v>
      </c>
    </row>
    <row r="2706" spans="1:9">
      <c r="A2706" t="s">
        <v>21</v>
      </c>
      <c r="B2706" s="2">
        <f t="shared" si="170"/>
        <v>130</v>
      </c>
      <c r="C2706">
        <v>238</v>
      </c>
      <c r="D2706">
        <v>3</v>
      </c>
      <c r="E2706">
        <v>20</v>
      </c>
      <c r="F2706">
        <f t="shared" si="168"/>
        <v>-2.6959695060569766</v>
      </c>
      <c r="G2706">
        <f t="shared" si="169"/>
        <v>-2.1421817780727688</v>
      </c>
      <c r="I2706">
        <f t="shared" si="171"/>
        <v>-2.4190756420648727</v>
      </c>
    </row>
    <row r="2707" spans="1:9">
      <c r="A2707" t="s">
        <v>22</v>
      </c>
      <c r="B2707" s="2">
        <f t="shared" si="170"/>
        <v>130</v>
      </c>
      <c r="C2707">
        <v>143</v>
      </c>
      <c r="D2707">
        <v>198</v>
      </c>
      <c r="E2707">
        <v>10</v>
      </c>
      <c r="F2707">
        <f t="shared" si="168"/>
        <v>-0.65518465092365807</v>
      </c>
      <c r="G2707">
        <f t="shared" si="169"/>
        <v>-2.2219708541453</v>
      </c>
      <c r="I2707">
        <f t="shared" si="171"/>
        <v>-1.4385777525344792</v>
      </c>
    </row>
    <row r="2708" spans="1:9">
      <c r="A2708" t="s">
        <v>23</v>
      </c>
      <c r="B2708" s="2">
        <f t="shared" si="170"/>
        <v>130</v>
      </c>
      <c r="C2708">
        <v>317</v>
      </c>
      <c r="D2708">
        <v>7</v>
      </c>
      <c r="E2708">
        <v>29</v>
      </c>
      <c r="F2708">
        <f t="shared" si="168"/>
        <v>-2.4524750259236221</v>
      </c>
      <c r="G2708">
        <f t="shared" si="169"/>
        <v>-2.1052960809990333</v>
      </c>
      <c r="I2708">
        <f t="shared" si="171"/>
        <v>-2.2788855534613277</v>
      </c>
    </row>
    <row r="2709" spans="1:9">
      <c r="A2709" t="s">
        <v>24</v>
      </c>
      <c r="B2709" s="2">
        <f t="shared" si="170"/>
        <v>130</v>
      </c>
      <c r="C2709">
        <v>218</v>
      </c>
      <c r="D2709">
        <v>12</v>
      </c>
      <c r="E2709">
        <v>22</v>
      </c>
      <c r="F2709">
        <f t="shared" si="168"/>
        <v>-2.0557890512771073</v>
      </c>
      <c r="G2709">
        <f t="shared" si="169"/>
        <v>-2.0626686294626366</v>
      </c>
      <c r="I2709">
        <f t="shared" si="171"/>
        <v>-2.059228840369872</v>
      </c>
    </row>
    <row r="2710" spans="1:9">
      <c r="A2710" t="s">
        <v>25</v>
      </c>
      <c r="B2710" s="2">
        <f t="shared" si="170"/>
        <v>130</v>
      </c>
      <c r="C2710">
        <v>188</v>
      </c>
      <c r="D2710">
        <v>282</v>
      </c>
      <c r="E2710">
        <v>82</v>
      </c>
      <c r="F2710">
        <f t="shared" si="168"/>
        <v>-0.62042254466444613</v>
      </c>
      <c r="G2710">
        <f t="shared" si="169"/>
        <v>-1.4269788135602013</v>
      </c>
      <c r="I2710">
        <f t="shared" si="171"/>
        <v>-1.0237006791123238</v>
      </c>
    </row>
    <row r="2711" spans="1:9">
      <c r="A2711" t="s">
        <v>7</v>
      </c>
      <c r="B2711" s="2">
        <f t="shared" si="170"/>
        <v>131</v>
      </c>
      <c r="C2711">
        <v>162</v>
      </c>
      <c r="D2711">
        <v>145</v>
      </c>
      <c r="E2711">
        <v>21</v>
      </c>
      <c r="F2711">
        <f t="shared" si="168"/>
        <v>-0.84466081602778342</v>
      </c>
      <c r="G2711">
        <f t="shared" si="169"/>
        <v>-1.9539305364889499</v>
      </c>
      <c r="I2711">
        <f t="shared" si="171"/>
        <v>-1.3992956762583666</v>
      </c>
    </row>
    <row r="2712" spans="1:9">
      <c r="A2712" t="s">
        <v>8</v>
      </c>
      <c r="B2712" s="2">
        <f t="shared" si="170"/>
        <v>131</v>
      </c>
      <c r="C2712">
        <v>128</v>
      </c>
      <c r="D2712">
        <v>152</v>
      </c>
      <c r="E2712">
        <v>17</v>
      </c>
      <c r="F2712">
        <f t="shared" si="168"/>
        <v>-0.72188018542322319</v>
      </c>
      <c r="G2712">
        <f t="shared" si="169"/>
        <v>-1.9433958649498326</v>
      </c>
      <c r="I2712">
        <f t="shared" si="171"/>
        <v>-1.332638025186528</v>
      </c>
    </row>
    <row r="2713" spans="1:9">
      <c r="A2713" t="s">
        <v>5</v>
      </c>
      <c r="B2713" s="2">
        <f t="shared" si="170"/>
        <v>131</v>
      </c>
      <c r="C2713">
        <v>154</v>
      </c>
      <c r="D2713">
        <v>8</v>
      </c>
      <c r="E2713">
        <v>31</v>
      </c>
      <c r="F2713">
        <f t="shared" si="168"/>
        <v>-2.0809445375646467</v>
      </c>
      <c r="G2713">
        <f t="shared" si="169"/>
        <v>-1.7627938436824286</v>
      </c>
      <c r="I2713">
        <f t="shared" si="171"/>
        <v>-1.9218691906235377</v>
      </c>
    </row>
    <row r="2714" spans="1:9">
      <c r="A2714" t="s">
        <v>6</v>
      </c>
      <c r="B2714" s="2">
        <f t="shared" si="170"/>
        <v>131</v>
      </c>
      <c r="C2714">
        <v>326</v>
      </c>
      <c r="D2714">
        <v>250</v>
      </c>
      <c r="E2714">
        <v>93</v>
      </c>
      <c r="F2714">
        <f t="shared" si="168"/>
        <v>-0.9117913951160288</v>
      </c>
      <c r="G2714">
        <f t="shared" si="169"/>
        <v>-1.6113694681942421</v>
      </c>
      <c r="I2714">
        <f t="shared" si="171"/>
        <v>-1.2615804316551356</v>
      </c>
    </row>
    <row r="2715" spans="1:9">
      <c r="A2715" t="s">
        <v>10</v>
      </c>
      <c r="B2715" s="2">
        <f t="shared" si="170"/>
        <v>131</v>
      </c>
      <c r="C2715">
        <v>206</v>
      </c>
      <c r="D2715">
        <v>256</v>
      </c>
      <c r="E2715">
        <v>1785</v>
      </c>
      <c r="F2715">
        <f t="shared" ref="F2715:F2778" si="172">LOG10(D2715/C2715)-LOG10(255266/40783)</f>
        <v>-0.70214105877743127</v>
      </c>
      <c r="G2715">
        <f t="shared" ref="G2715:G2778" si="173">LOG10(E2715/C2715)-LOG10(475460/40783)</f>
        <v>-0.12886381660117963</v>
      </c>
      <c r="I2715">
        <f t="shared" si="171"/>
        <v>-0.41550243768930545</v>
      </c>
    </row>
    <row r="2716" spans="1:9">
      <c r="A2716" t="s">
        <v>11</v>
      </c>
      <c r="B2716" s="2">
        <f t="shared" si="170"/>
        <v>131</v>
      </c>
      <c r="C2716">
        <v>223</v>
      </c>
      <c r="D2716">
        <v>96</v>
      </c>
      <c r="E2716">
        <v>27</v>
      </c>
      <c r="F2716">
        <f t="shared" si="172"/>
        <v>-1.1625474337287196</v>
      </c>
      <c r="G2716">
        <f t="shared" si="173"/>
        <v>-1.9835759155694115</v>
      </c>
      <c r="I2716">
        <f t="shared" si="171"/>
        <v>-1.5730616746490655</v>
      </c>
    </row>
    <row r="2717" spans="1:9">
      <c r="A2717" t="s">
        <v>12</v>
      </c>
      <c r="B2717" s="2">
        <f t="shared" si="170"/>
        <v>131</v>
      </c>
      <c r="C2717">
        <v>229</v>
      </c>
      <c r="D2717">
        <v>157</v>
      </c>
      <c r="E2717">
        <v>53</v>
      </c>
      <c r="F2717">
        <f t="shared" si="172"/>
        <v>-0.96044963365078162</v>
      </c>
      <c r="G2717">
        <f t="shared" si="173"/>
        <v>-1.702194429419337</v>
      </c>
      <c r="I2717">
        <f t="shared" si="171"/>
        <v>-1.3313220315350593</v>
      </c>
    </row>
    <row r="2718" spans="1:9">
      <c r="A2718" t="s">
        <v>9</v>
      </c>
      <c r="B2718" s="2">
        <f t="shared" si="170"/>
        <v>131</v>
      </c>
      <c r="C2718">
        <v>23</v>
      </c>
      <c r="D2718">
        <v>63</v>
      </c>
      <c r="E2718">
        <v>104</v>
      </c>
      <c r="F2718">
        <f t="shared" si="172"/>
        <v>-0.35890109028413852</v>
      </c>
      <c r="G2718">
        <f t="shared" si="173"/>
        <v>-0.41132931339905077</v>
      </c>
      <c r="I2718">
        <f t="shared" si="171"/>
        <v>-0.38511520184159465</v>
      </c>
    </row>
    <row r="2719" spans="1:9">
      <c r="A2719" t="s">
        <v>13</v>
      </c>
      <c r="B2719" s="2">
        <f t="shared" si="170"/>
        <v>131</v>
      </c>
      <c r="C2719">
        <v>147</v>
      </c>
      <c r="D2719">
        <v>147</v>
      </c>
      <c r="E2719">
        <v>107</v>
      </c>
      <c r="F2719">
        <f t="shared" si="172"/>
        <v>-0.79651380372012737</v>
      </c>
      <c r="G2719">
        <f t="shared" si="173"/>
        <v>-1.2045683737432047</v>
      </c>
      <c r="I2719">
        <f t="shared" si="171"/>
        <v>-1.0005410887316661</v>
      </c>
    </row>
    <row r="2720" spans="1:9">
      <c r="A2720" t="s">
        <v>14</v>
      </c>
      <c r="B2720" s="2">
        <f t="shared" si="170"/>
        <v>131</v>
      </c>
      <c r="C2720">
        <v>152</v>
      </c>
      <c r="D2720">
        <v>6</v>
      </c>
      <c r="E2720">
        <v>23</v>
      </c>
      <c r="F2720">
        <f t="shared" si="172"/>
        <v>-2.2002061412812566</v>
      </c>
      <c r="G2720">
        <f t="shared" si="173"/>
        <v>-1.8867505686074177</v>
      </c>
      <c r="I2720">
        <f t="shared" si="171"/>
        <v>-2.0434783549443374</v>
      </c>
    </row>
    <row r="2721" spans="1:9">
      <c r="A2721" t="s">
        <v>15</v>
      </c>
      <c r="B2721" s="2">
        <f t="shared" si="170"/>
        <v>131</v>
      </c>
      <c r="C2721">
        <v>310</v>
      </c>
      <c r="D2721">
        <v>120</v>
      </c>
      <c r="E2721">
        <v>39</v>
      </c>
      <c r="F2721">
        <f t="shared" si="172"/>
        <v>-1.2086942515067753</v>
      </c>
      <c r="G2721">
        <f t="shared" si="173"/>
        <v>-1.9669319034880117</v>
      </c>
      <c r="I2721">
        <f t="shared" si="171"/>
        <v>-1.5878130774973935</v>
      </c>
    </row>
    <row r="2722" spans="1:9">
      <c r="A2722" t="s">
        <v>16</v>
      </c>
      <c r="B2722" s="2">
        <f t="shared" si="170"/>
        <v>131</v>
      </c>
      <c r="C2722">
        <v>229</v>
      </c>
      <c r="D2722">
        <v>8</v>
      </c>
      <c r="E2722">
        <v>19</v>
      </c>
      <c r="F2722">
        <f t="shared" si="172"/>
        <v>-2.2532592990680715</v>
      </c>
      <c r="G2722">
        <f t="shared" si="173"/>
        <v>-2.1477166980672973</v>
      </c>
      <c r="I2722">
        <f t="shared" si="171"/>
        <v>-2.2004879985676844</v>
      </c>
    </row>
    <row r="2723" spans="1:9">
      <c r="A2723" t="s">
        <v>17</v>
      </c>
      <c r="B2723" s="2">
        <f t="shared" si="170"/>
        <v>131</v>
      </c>
      <c r="C2723">
        <v>188</v>
      </c>
      <c r="D2723">
        <v>128</v>
      </c>
      <c r="E2723">
        <v>30</v>
      </c>
      <c r="F2723">
        <f t="shared" si="172"/>
        <v>-0.96346168333593885</v>
      </c>
      <c r="G2723">
        <f t="shared" si="173"/>
        <v>-1.8636714112242556</v>
      </c>
      <c r="I2723">
        <f t="shared" si="171"/>
        <v>-1.4135665472800971</v>
      </c>
    </row>
    <row r="2724" spans="1:9">
      <c r="A2724" t="s">
        <v>18</v>
      </c>
      <c r="B2724" s="2">
        <f t="shared" si="170"/>
        <v>131</v>
      </c>
      <c r="C2724">
        <v>261</v>
      </c>
      <c r="D2724">
        <v>52</v>
      </c>
      <c r="E2724">
        <v>32</v>
      </c>
      <c r="F2724">
        <f t="shared" si="172"/>
        <v>-1.4971509674236092</v>
      </c>
      <c r="G2724">
        <f t="shared" si="173"/>
        <v>-1.9781253456986132</v>
      </c>
      <c r="I2724">
        <f t="shared" si="171"/>
        <v>-1.7376381565611112</v>
      </c>
    </row>
    <row r="2725" spans="1:9">
      <c r="A2725" t="s">
        <v>19</v>
      </c>
      <c r="B2725" s="2">
        <f t="shared" si="170"/>
        <v>131</v>
      </c>
      <c r="C2725">
        <v>162</v>
      </c>
      <c r="D2725">
        <v>264</v>
      </c>
      <c r="E2725">
        <v>44</v>
      </c>
      <c r="F2725">
        <f t="shared" si="172"/>
        <v>-0.5844248913929273</v>
      </c>
      <c r="G2725">
        <f t="shared" si="173"/>
        <v>-1.6326971547366818</v>
      </c>
      <c r="I2725">
        <f t="shared" si="171"/>
        <v>-1.1085610230648046</v>
      </c>
    </row>
    <row r="2726" spans="1:9">
      <c r="A2726" t="s">
        <v>20</v>
      </c>
      <c r="B2726" s="2">
        <f t="shared" si="170"/>
        <v>131</v>
      </c>
      <c r="C2726">
        <v>119</v>
      </c>
      <c r="D2726">
        <v>66</v>
      </c>
      <c r="E2726">
        <v>109</v>
      </c>
      <c r="F2726">
        <f t="shared" si="172"/>
        <v>-1.0525168295707894</v>
      </c>
      <c r="G2726">
        <f t="shared" si="173"/>
        <v>-1.1047552801321454</v>
      </c>
      <c r="I2726">
        <f t="shared" si="171"/>
        <v>-1.0786360548514673</v>
      </c>
    </row>
    <row r="2727" spans="1:9">
      <c r="A2727" t="s">
        <v>21</v>
      </c>
      <c r="B2727" s="2">
        <f t="shared" si="170"/>
        <v>131</v>
      </c>
      <c r="C2727">
        <v>227</v>
      </c>
      <c r="D2727">
        <v>170</v>
      </c>
      <c r="E2727">
        <v>200</v>
      </c>
      <c r="F2727">
        <f t="shared" si="172"/>
        <v>-0.92209073953497611</v>
      </c>
      <c r="G2727">
        <f t="shared" si="173"/>
        <v>-1.1216306782093797</v>
      </c>
      <c r="I2727">
        <f t="shared" si="171"/>
        <v>-1.0218607088721778</v>
      </c>
    </row>
    <row r="2728" spans="1:9">
      <c r="A2728" t="s">
        <v>22</v>
      </c>
      <c r="B2728" s="2">
        <f t="shared" si="170"/>
        <v>131</v>
      </c>
      <c r="C2728">
        <v>134</v>
      </c>
      <c r="D2728">
        <v>56</v>
      </c>
      <c r="E2728">
        <v>329</v>
      </c>
      <c r="F2728">
        <f t="shared" si="172"/>
        <v>-1.1754305750787346</v>
      </c>
      <c r="G2728">
        <f t="shared" si="173"/>
        <v>-0.67654371709507144</v>
      </c>
      <c r="I2728">
        <f t="shared" si="171"/>
        <v>-0.92598714608690302</v>
      </c>
    </row>
    <row r="2729" spans="1:9">
      <c r="A2729" t="s">
        <v>23</v>
      </c>
      <c r="B2729" s="2">
        <f t="shared" si="170"/>
        <v>131</v>
      </c>
      <c r="C2729">
        <v>135</v>
      </c>
      <c r="D2729">
        <v>53</v>
      </c>
      <c r="E2729">
        <v>2245</v>
      </c>
      <c r="F2729">
        <f t="shared" si="172"/>
        <v>-1.2025717026143443</v>
      </c>
      <c r="G2729">
        <f t="shared" si="173"/>
        <v>0.15424776016409769</v>
      </c>
      <c r="I2729">
        <f t="shared" si="171"/>
        <v>-0.52416197122512331</v>
      </c>
    </row>
    <row r="2730" spans="1:9">
      <c r="A2730" t="s">
        <v>24</v>
      </c>
      <c r="B2730" s="2">
        <f t="shared" si="170"/>
        <v>131</v>
      </c>
      <c r="C2730">
        <v>266</v>
      </c>
      <c r="D2730">
        <v>428</v>
      </c>
      <c r="E2730">
        <v>567</v>
      </c>
      <c r="F2730">
        <f t="shared" si="172"/>
        <v>-0.58995167133802229</v>
      </c>
      <c r="G2730">
        <f t="shared" si="173"/>
        <v>-0.73793339441839856</v>
      </c>
      <c r="I2730">
        <f t="shared" si="171"/>
        <v>-0.66394253287821048</v>
      </c>
    </row>
    <row r="2731" spans="1:9">
      <c r="A2731" t="s">
        <v>25</v>
      </c>
      <c r="B2731" s="2">
        <f t="shared" si="170"/>
        <v>131</v>
      </c>
      <c r="C2731">
        <v>259</v>
      </c>
      <c r="D2731">
        <v>37</v>
      </c>
      <c r="E2731">
        <v>20</v>
      </c>
      <c r="F2731">
        <f t="shared" si="172"/>
        <v>-1.6416118437343843</v>
      </c>
      <c r="G2731">
        <f t="shared" si="173"/>
        <v>-2.1789045850975088</v>
      </c>
      <c r="I2731">
        <f t="shared" si="171"/>
        <v>-1.9102582144159466</v>
      </c>
    </row>
    <row r="2732" spans="1:9">
      <c r="A2732" t="s">
        <v>7</v>
      </c>
      <c r="B2732" s="2">
        <f t="shared" si="170"/>
        <v>132</v>
      </c>
      <c r="C2732">
        <v>270</v>
      </c>
      <c r="D2732">
        <v>120</v>
      </c>
      <c r="E2732">
        <v>66</v>
      </c>
      <c r="F2732">
        <f t="shared" si="172"/>
        <v>-1.1486963218314898</v>
      </c>
      <c r="G2732">
        <f t="shared" si="173"/>
        <v>-1.6784546452973568</v>
      </c>
      <c r="I2732">
        <f t="shared" si="171"/>
        <v>-1.4135754835644234</v>
      </c>
    </row>
    <row r="2733" spans="1:9">
      <c r="A2733" t="s">
        <v>8</v>
      </c>
      <c r="B2733" s="2">
        <f t="shared" si="170"/>
        <v>132</v>
      </c>
      <c r="C2733">
        <v>158</v>
      </c>
      <c r="D2733">
        <v>38</v>
      </c>
      <c r="E2733">
        <v>13</v>
      </c>
      <c r="F2733">
        <f t="shared" si="172"/>
        <v>-1.4153872940577399</v>
      </c>
      <c r="G2733">
        <f t="shared" si="173"/>
        <v>-2.1513485513278239</v>
      </c>
      <c r="I2733">
        <f t="shared" si="171"/>
        <v>-1.7833679226927819</v>
      </c>
    </row>
    <row r="2734" spans="1:9">
      <c r="A2734" t="s">
        <v>5</v>
      </c>
      <c r="B2734" s="2">
        <f t="shared" si="170"/>
        <v>132</v>
      </c>
      <c r="C2734">
        <v>173</v>
      </c>
      <c r="D2734">
        <v>12</v>
      </c>
      <c r="E2734">
        <v>13</v>
      </c>
      <c r="F2734">
        <f t="shared" si="172"/>
        <v>-1.955378660801298</v>
      </c>
      <c r="G2734">
        <f t="shared" si="173"/>
        <v>-2.1907375675021967</v>
      </c>
      <c r="I2734">
        <f t="shared" si="171"/>
        <v>-2.0730581141517472</v>
      </c>
    </row>
    <row r="2735" spans="1:9">
      <c r="A2735" t="s">
        <v>6</v>
      </c>
      <c r="B2735" s="2">
        <f t="shared" si="170"/>
        <v>132</v>
      </c>
      <c r="C2735">
        <v>155</v>
      </c>
      <c r="D2735">
        <v>38</v>
      </c>
      <c r="E2735">
        <v>70</v>
      </c>
      <c r="F2735">
        <f t="shared" si="172"/>
        <v>-1.4070619052736086</v>
      </c>
      <c r="G2735">
        <f t="shared" si="173"/>
        <v>-1.4118684748362729</v>
      </c>
      <c r="I2735">
        <f t="shared" si="171"/>
        <v>-1.4094651900549406</v>
      </c>
    </row>
    <row r="2736" spans="1:9">
      <c r="A2736" t="s">
        <v>10</v>
      </c>
      <c r="B2736" s="2">
        <f t="shared" si="170"/>
        <v>132</v>
      </c>
      <c r="C2736">
        <v>184</v>
      </c>
      <c r="D2736">
        <v>181</v>
      </c>
      <c r="E2736">
        <v>20</v>
      </c>
      <c r="F2736">
        <f t="shared" si="172"/>
        <v>-0.80365305186047931</v>
      </c>
      <c r="G2736">
        <f t="shared" si="173"/>
        <v>-2.0304226440257933</v>
      </c>
      <c r="I2736">
        <f t="shared" si="171"/>
        <v>-1.4170378479431363</v>
      </c>
    </row>
    <row r="2737" spans="1:9">
      <c r="A2737" t="s">
        <v>11</v>
      </c>
      <c r="B2737" s="2">
        <f t="shared" si="170"/>
        <v>132</v>
      </c>
      <c r="C2737">
        <v>211</v>
      </c>
      <c r="D2737">
        <v>12</v>
      </c>
      <c r="E2737">
        <v>9</v>
      </c>
      <c r="F2737">
        <f t="shared" si="172"/>
        <v>-2.0416150129701953</v>
      </c>
      <c r="G2737">
        <f t="shared" si="173"/>
        <v>-2.436674762538606</v>
      </c>
      <c r="I2737">
        <f t="shared" si="171"/>
        <v>-2.2391448877544007</v>
      </c>
    </row>
    <row r="2738" spans="1:9">
      <c r="A2738" t="s">
        <v>12</v>
      </c>
      <c r="B2738" s="2">
        <f t="shared" si="170"/>
        <v>132</v>
      </c>
      <c r="C2738">
        <v>215</v>
      </c>
      <c r="D2738">
        <v>159</v>
      </c>
      <c r="E2738">
        <v>23</v>
      </c>
      <c r="F2738">
        <f t="shared" si="172"/>
        <v>-0.92755513931528122</v>
      </c>
      <c r="G2738">
        <f t="shared" si="173"/>
        <v>-2.0373454405782505</v>
      </c>
      <c r="I2738">
        <f t="shared" si="171"/>
        <v>-1.4824502899467658</v>
      </c>
    </row>
    <row r="2739" spans="1:9">
      <c r="A2739" t="s">
        <v>9</v>
      </c>
      <c r="B2739" s="2">
        <f t="shared" si="170"/>
        <v>132</v>
      </c>
      <c r="C2739">
        <v>150</v>
      </c>
      <c r="D2739">
        <v>12</v>
      </c>
      <c r="E2739">
        <v>14</v>
      </c>
      <c r="F2739">
        <f t="shared" si="172"/>
        <v>-1.8934238167281838</v>
      </c>
      <c r="G2739">
        <f t="shared" si="173"/>
        <v>-2.0965980400576814</v>
      </c>
      <c r="I2739">
        <f t="shared" si="171"/>
        <v>-1.9950109283929325</v>
      </c>
    </row>
    <row r="2740" spans="1:9">
      <c r="A2740" t="s">
        <v>13</v>
      </c>
      <c r="B2740" s="2">
        <f t="shared" si="170"/>
        <v>132</v>
      </c>
      <c r="C2740">
        <v>202</v>
      </c>
      <c r="D2740">
        <v>27</v>
      </c>
      <c r="E2740">
        <v>16</v>
      </c>
      <c r="F2740">
        <f t="shared" si="172"/>
        <v>-1.6705014090077639</v>
      </c>
      <c r="G2740">
        <f t="shared" si="173"/>
        <v>-2.1678662034709371</v>
      </c>
      <c r="I2740">
        <f t="shared" si="171"/>
        <v>-1.9191838062393505</v>
      </c>
    </row>
    <row r="2741" spans="1:9">
      <c r="A2741" t="s">
        <v>14</v>
      </c>
      <c r="B2741" s="2">
        <f t="shared" si="170"/>
        <v>132</v>
      </c>
      <c r="C2741">
        <v>267</v>
      </c>
      <c r="D2741">
        <v>14</v>
      </c>
      <c r="E2741">
        <v>27</v>
      </c>
      <c r="F2741">
        <f t="shared" si="172"/>
        <v>-2.0768970294064646</v>
      </c>
      <c r="G2741">
        <f t="shared" si="173"/>
        <v>-2.0617823138858262</v>
      </c>
      <c r="I2741">
        <f t="shared" si="171"/>
        <v>-2.0693396716461452</v>
      </c>
    </row>
    <row r="2742" spans="1:9">
      <c r="A2742" t="s">
        <v>15</v>
      </c>
      <c r="B2742" s="2">
        <f t="shared" si="170"/>
        <v>132</v>
      </c>
      <c r="C2742">
        <v>343</v>
      </c>
      <c r="D2742">
        <v>5</v>
      </c>
      <c r="E2742">
        <v>23</v>
      </c>
      <c r="F2742">
        <f t="shared" si="172"/>
        <v>-2.6328379194268789</v>
      </c>
      <c r="G2742">
        <f t="shared" si="173"/>
        <v>-2.2402011007054159</v>
      </c>
      <c r="I2742">
        <f t="shared" si="171"/>
        <v>-2.4365195100661472</v>
      </c>
    </row>
    <row r="2743" spans="1:9">
      <c r="A2743" t="s">
        <v>16</v>
      </c>
      <c r="B2743" s="2">
        <f t="shared" si="170"/>
        <v>132</v>
      </c>
      <c r="C2743">
        <v>211</v>
      </c>
      <c r="D2743">
        <v>16</v>
      </c>
      <c r="E2743">
        <v>24</v>
      </c>
      <c r="F2743">
        <f t="shared" si="172"/>
        <v>-1.9166762763618952</v>
      </c>
      <c r="G2743">
        <f t="shared" si="173"/>
        <v>-2.0107060302663249</v>
      </c>
      <c r="I2743">
        <f t="shared" si="171"/>
        <v>-1.9636911533141101</v>
      </c>
    </row>
    <row r="2744" spans="1:9">
      <c r="A2744" t="s">
        <v>17</v>
      </c>
      <c r="B2744" s="2">
        <f t="shared" si="170"/>
        <v>132</v>
      </c>
      <c r="C2744">
        <v>254</v>
      </c>
      <c r="D2744">
        <v>143</v>
      </c>
      <c r="E2744">
        <v>45</v>
      </c>
      <c r="F2744">
        <f t="shared" si="172"/>
        <v>-1.0460114828750036</v>
      </c>
      <c r="G2744">
        <f t="shared" si="173"/>
        <v>-1.8182560195248327</v>
      </c>
      <c r="I2744">
        <f t="shared" si="171"/>
        <v>-1.4321337511999181</v>
      </c>
    </row>
    <row r="2745" spans="1:9">
      <c r="A2745" t="s">
        <v>18</v>
      </c>
      <c r="B2745" s="2">
        <f t="shared" si="170"/>
        <v>132</v>
      </c>
      <c r="C2745">
        <v>40783</v>
      </c>
      <c r="D2745">
        <v>255266</v>
      </c>
      <c r="E2745">
        <v>475460</v>
      </c>
      <c r="F2745">
        <f t="shared" si="172"/>
        <v>0</v>
      </c>
      <c r="G2745">
        <f t="shared" si="173"/>
        <v>0</v>
      </c>
      <c r="I2745">
        <f t="shared" si="171"/>
        <v>0</v>
      </c>
    </row>
    <row r="2746" spans="1:9">
      <c r="A2746" t="s">
        <v>19</v>
      </c>
      <c r="B2746" s="2">
        <f t="shared" si="170"/>
        <v>132</v>
      </c>
      <c r="C2746">
        <v>178</v>
      </c>
      <c r="D2746">
        <v>696</v>
      </c>
      <c r="E2746">
        <v>18</v>
      </c>
      <c r="F2746">
        <f t="shared" si="172"/>
        <v>-0.20432456641845931</v>
      </c>
      <c r="G2746">
        <f t="shared" si="173"/>
        <v>-2.0617823138858262</v>
      </c>
      <c r="I2746">
        <f t="shared" si="171"/>
        <v>-1.1330534401521428</v>
      </c>
    </row>
    <row r="2747" spans="1:9">
      <c r="A2747" t="s">
        <v>20</v>
      </c>
      <c r="B2747" s="2">
        <f t="shared" si="170"/>
        <v>132</v>
      </c>
      <c r="C2747">
        <v>190</v>
      </c>
      <c r="D2747">
        <v>56</v>
      </c>
      <c r="E2747">
        <v>16</v>
      </c>
      <c r="F2747">
        <f t="shared" si="172"/>
        <v>-1.327079377666756</v>
      </c>
      <c r="G2747">
        <f t="shared" si="173"/>
        <v>-2.1412684349771425</v>
      </c>
      <c r="I2747">
        <f t="shared" si="171"/>
        <v>-1.7341739063219492</v>
      </c>
    </row>
    <row r="2748" spans="1:9">
      <c r="A2748" t="s">
        <v>21</v>
      </c>
      <c r="B2748" s="2">
        <f t="shared" si="170"/>
        <v>132</v>
      </c>
      <c r="C2748">
        <v>167</v>
      </c>
      <c r="D2748">
        <v>222</v>
      </c>
      <c r="E2748">
        <v>23</v>
      </c>
      <c r="F2748">
        <f t="shared" si="172"/>
        <v>-0.67287730041707206</v>
      </c>
      <c r="G2748">
        <f t="shared" si="173"/>
        <v>-1.9276234518102284</v>
      </c>
      <c r="I2748">
        <f t="shared" si="171"/>
        <v>-1.3002503761136501</v>
      </c>
    </row>
    <row r="2749" spans="1:9">
      <c r="A2749" t="s">
        <v>22</v>
      </c>
      <c r="B2749" s="2">
        <f t="shared" si="170"/>
        <v>132</v>
      </c>
      <c r="C2749">
        <v>140</v>
      </c>
      <c r="D2749">
        <v>725</v>
      </c>
      <c r="E2749">
        <v>122</v>
      </c>
      <c r="F2749">
        <f t="shared" si="172"/>
        <v>-8.2303832827371637E-2</v>
      </c>
      <c r="G2749">
        <f t="shared" si="173"/>
        <v>-1.126403021683728</v>
      </c>
      <c r="I2749">
        <f t="shared" si="171"/>
        <v>-0.60435342725554975</v>
      </c>
    </row>
    <row r="2750" spans="1:9">
      <c r="A2750" t="s">
        <v>23</v>
      </c>
      <c r="B2750" s="2">
        <f t="shared" si="170"/>
        <v>132</v>
      </c>
      <c r="C2750">
        <v>97</v>
      </c>
      <c r="D2750">
        <v>37</v>
      </c>
      <c r="E2750">
        <v>51</v>
      </c>
      <c r="F2750">
        <f t="shared" si="172"/>
        <v>-1.2150838139193771</v>
      </c>
      <c r="G2750">
        <f t="shared" si="173"/>
        <v>-1.3458363748485467</v>
      </c>
      <c r="I2750">
        <f t="shared" si="171"/>
        <v>-1.2804600943839619</v>
      </c>
    </row>
    <row r="2751" spans="1:9">
      <c r="A2751" t="s">
        <v>24</v>
      </c>
      <c r="B2751" s="2">
        <f t="shared" si="170"/>
        <v>132</v>
      </c>
      <c r="C2751">
        <v>172</v>
      </c>
      <c r="D2751">
        <v>30</v>
      </c>
      <c r="E2751">
        <v>14</v>
      </c>
      <c r="F2751">
        <f t="shared" si="172"/>
        <v>-1.5549209959080139</v>
      </c>
      <c r="G2751">
        <f t="shared" si="173"/>
        <v>-2.1560352279095492</v>
      </c>
      <c r="I2751">
        <f t="shared" si="171"/>
        <v>-1.8554781119087815</v>
      </c>
    </row>
    <row r="2752" spans="1:9">
      <c r="A2752" t="s">
        <v>25</v>
      </c>
      <c r="B2752" s="2">
        <f t="shared" si="170"/>
        <v>132</v>
      </c>
      <c r="C2752">
        <v>172</v>
      </c>
      <c r="D2752">
        <v>16</v>
      </c>
      <c r="E2752">
        <v>12</v>
      </c>
      <c r="F2752">
        <f t="shared" si="172"/>
        <v>-1.8279222679717515</v>
      </c>
      <c r="G2752">
        <f t="shared" si="173"/>
        <v>-2.2229820175401622</v>
      </c>
      <c r="I2752">
        <f t="shared" si="171"/>
        <v>-2.0254521427559569</v>
      </c>
    </row>
    <row r="2753" spans="1:9">
      <c r="A2753" t="s">
        <v>7</v>
      </c>
      <c r="B2753" s="2">
        <f t="shared" si="170"/>
        <v>133</v>
      </c>
      <c r="C2753">
        <v>167</v>
      </c>
      <c r="D2753">
        <v>914</v>
      </c>
      <c r="E2753">
        <v>119</v>
      </c>
      <c r="F2753">
        <f t="shared" si="172"/>
        <v>-5.828407913387923E-2</v>
      </c>
      <c r="G2753">
        <f t="shared" si="173"/>
        <v>-1.2138043264352907</v>
      </c>
      <c r="I2753">
        <f t="shared" si="171"/>
        <v>-0.63604420278458496</v>
      </c>
    </row>
    <row r="2754" spans="1:9">
      <c r="A2754" t="s">
        <v>8</v>
      </c>
      <c r="B2754" s="2">
        <f t="shared" si="170"/>
        <v>133</v>
      </c>
      <c r="C2754">
        <v>180</v>
      </c>
      <c r="D2754">
        <v>6</v>
      </c>
      <c r="E2754">
        <v>19</v>
      </c>
      <c r="F2754">
        <f t="shared" si="172"/>
        <v>-2.2736350584397895</v>
      </c>
      <c r="G2754">
        <f t="shared" si="173"/>
        <v>-2.0431537208307153</v>
      </c>
      <c r="I2754">
        <f t="shared" si="171"/>
        <v>-2.1583943896352524</v>
      </c>
    </row>
    <row r="2755" spans="1:9">
      <c r="A2755" t="s">
        <v>5</v>
      </c>
      <c r="B2755" s="2">
        <f t="shared" ref="B2755:B2818" si="174">1+INT((ROW()-2)/21)+1</f>
        <v>133</v>
      </c>
      <c r="C2755">
        <v>132</v>
      </c>
      <c r="D2755">
        <v>1</v>
      </c>
      <c r="E2755">
        <v>6</v>
      </c>
      <c r="F2755">
        <f t="shared" si="172"/>
        <v>-2.9170877349259774</v>
      </c>
      <c r="G2755">
        <f t="shared" si="173"/>
        <v>-2.4090574975024444</v>
      </c>
      <c r="I2755">
        <f t="shared" ref="I2755:I2818" si="175">AVERAGE(F2755:G2755)</f>
        <v>-2.6630726162142109</v>
      </c>
    </row>
    <row r="2756" spans="1:9">
      <c r="A2756" t="s">
        <v>6</v>
      </c>
      <c r="B2756" s="2">
        <f t="shared" si="174"/>
        <v>133</v>
      </c>
      <c r="C2756">
        <v>259</v>
      </c>
      <c r="D2756">
        <v>306</v>
      </c>
      <c r="E2756">
        <v>28</v>
      </c>
      <c r="F2756">
        <f t="shared" si="172"/>
        <v>-0.72409214131979915</v>
      </c>
      <c r="G2756">
        <f t="shared" si="173"/>
        <v>-2.0327765494192707</v>
      </c>
      <c r="I2756">
        <f t="shared" si="175"/>
        <v>-1.3784343453695349</v>
      </c>
    </row>
    <row r="2757" spans="1:9">
      <c r="A2757" t="s">
        <v>10</v>
      </c>
      <c r="B2757" s="2">
        <f t="shared" si="174"/>
        <v>133</v>
      </c>
      <c r="C2757">
        <v>175</v>
      </c>
      <c r="D2757">
        <v>7</v>
      </c>
      <c r="E2757">
        <v>8</v>
      </c>
      <c r="F2757">
        <f t="shared" si="172"/>
        <v>-2.1944538123921649</v>
      </c>
      <c r="G2757">
        <f t="shared" si="173"/>
        <v>-2.4065828783745893</v>
      </c>
      <c r="I2757">
        <f t="shared" si="175"/>
        <v>-2.3005183453833773</v>
      </c>
    </row>
    <row r="2758" spans="1:9">
      <c r="A2758" t="s">
        <v>11</v>
      </c>
      <c r="B2758" s="2">
        <f t="shared" si="174"/>
        <v>133</v>
      </c>
      <c r="C2758">
        <v>252</v>
      </c>
      <c r="D2758">
        <v>20</v>
      </c>
      <c r="E2758">
        <v>16</v>
      </c>
      <c r="F2758">
        <f t="shared" si="172"/>
        <v>-1.8968843488376903</v>
      </c>
      <c r="G2758">
        <f t="shared" si="173"/>
        <v>-2.2639153748058574</v>
      </c>
      <c r="I2758">
        <f t="shared" si="175"/>
        <v>-2.0803998618217738</v>
      </c>
    </row>
    <row r="2759" spans="1:9">
      <c r="A2759" t="s">
        <v>12</v>
      </c>
      <c r="B2759" s="2">
        <f t="shared" si="174"/>
        <v>133</v>
      </c>
      <c r="C2759">
        <v>184</v>
      </c>
      <c r="D2759">
        <v>14</v>
      </c>
      <c r="E2759">
        <v>4</v>
      </c>
      <c r="F2759">
        <f t="shared" si="172"/>
        <v>-1.9152035910514258</v>
      </c>
      <c r="G2759">
        <f t="shared" si="173"/>
        <v>-2.7293926483618121</v>
      </c>
      <c r="I2759">
        <f t="shared" si="175"/>
        <v>-2.3222981197066188</v>
      </c>
    </row>
    <row r="2760" spans="1:9">
      <c r="A2760" t="s">
        <v>9</v>
      </c>
      <c r="B2760" s="2">
        <f t="shared" si="174"/>
        <v>133</v>
      </c>
      <c r="C2760">
        <v>182</v>
      </c>
      <c r="D2760">
        <v>15</v>
      </c>
      <c r="E2760">
        <v>34</v>
      </c>
      <c r="F2760">
        <f t="shared" si="172"/>
        <v>-1.8804939326495209</v>
      </c>
      <c r="G2760">
        <f t="shared" si="173"/>
        <v>-1.7952272876230579</v>
      </c>
      <c r="I2760">
        <f t="shared" si="175"/>
        <v>-1.8378606101362895</v>
      </c>
    </row>
    <row r="2761" spans="1:9">
      <c r="A2761" t="s">
        <v>13</v>
      </c>
      <c r="B2761" s="2">
        <f t="shared" si="174"/>
        <v>133</v>
      </c>
      <c r="C2761">
        <v>40783</v>
      </c>
      <c r="D2761">
        <v>255266</v>
      </c>
      <c r="E2761">
        <v>475460</v>
      </c>
      <c r="F2761">
        <f t="shared" si="172"/>
        <v>0</v>
      </c>
      <c r="G2761">
        <f t="shared" si="173"/>
        <v>0</v>
      </c>
      <c r="I2761">
        <f t="shared" si="175"/>
        <v>0</v>
      </c>
    </row>
    <row r="2762" spans="1:9">
      <c r="A2762" t="s">
        <v>14</v>
      </c>
      <c r="B2762" s="2">
        <f t="shared" si="174"/>
        <v>133</v>
      </c>
      <c r="C2762">
        <v>204</v>
      </c>
      <c r="D2762">
        <v>95</v>
      </c>
      <c r="E2762">
        <v>123</v>
      </c>
      <c r="F2762">
        <f t="shared" si="172"/>
        <v>-1.1284203658571783</v>
      </c>
      <c r="G2762">
        <f t="shared" si="173"/>
        <v>-1.2863598726667391</v>
      </c>
      <c r="I2762">
        <f t="shared" si="175"/>
        <v>-1.2073901192619587</v>
      </c>
    </row>
    <row r="2763" spans="1:9">
      <c r="A2763" t="s">
        <v>15</v>
      </c>
      <c r="B2763" s="2">
        <f t="shared" si="174"/>
        <v>133</v>
      </c>
      <c r="C2763">
        <v>99</v>
      </c>
      <c r="D2763">
        <v>14</v>
      </c>
      <c r="E2763">
        <v>13</v>
      </c>
      <c r="F2763">
        <f t="shared" si="172"/>
        <v>-1.6460209626394393</v>
      </c>
      <c r="G2763">
        <f t="shared" si="173"/>
        <v>-1.9483266589709514</v>
      </c>
      <c r="I2763">
        <f t="shared" si="175"/>
        <v>-1.7971738108051953</v>
      </c>
    </row>
    <row r="2764" spans="1:9">
      <c r="A2764" t="s">
        <v>16</v>
      </c>
      <c r="B2764" s="2">
        <f t="shared" si="174"/>
        <v>133</v>
      </c>
      <c r="C2764">
        <v>200</v>
      </c>
      <c r="D2764">
        <v>1687</v>
      </c>
      <c r="E2764">
        <v>13</v>
      </c>
      <c r="F2764">
        <f t="shared" si="172"/>
        <v>0.12957128320501665</v>
      </c>
      <c r="G2764">
        <f t="shared" si="173"/>
        <v>-2.2537214600373825</v>
      </c>
      <c r="I2764">
        <f t="shared" si="175"/>
        <v>-1.0620750884161829</v>
      </c>
    </row>
    <row r="2765" spans="1:9">
      <c r="A2765" t="s">
        <v>17</v>
      </c>
      <c r="B2765" s="2">
        <f t="shared" si="174"/>
        <v>133</v>
      </c>
      <c r="C2765">
        <v>167</v>
      </c>
      <c r="D2765">
        <v>3727</v>
      </c>
      <c r="E2765">
        <v>96</v>
      </c>
      <c r="F2765">
        <f t="shared" si="172"/>
        <v>0.55212911788612895</v>
      </c>
      <c r="G2765">
        <f t="shared" si="173"/>
        <v>-1.3070800547882531</v>
      </c>
      <c r="I2765">
        <f t="shared" si="175"/>
        <v>-0.37747546845106206</v>
      </c>
    </row>
    <row r="2766" spans="1:9">
      <c r="A2766" t="s">
        <v>18</v>
      </c>
      <c r="B2766" s="2">
        <f t="shared" si="174"/>
        <v>133</v>
      </c>
      <c r="C2766">
        <v>205</v>
      </c>
      <c r="D2766">
        <v>10</v>
      </c>
      <c r="E2766">
        <v>11</v>
      </c>
      <c r="F2766">
        <f t="shared" si="172"/>
        <v>-2.1082676647758816</v>
      </c>
      <c r="G2766">
        <f t="shared" si="173"/>
        <v>-2.3369959925777675</v>
      </c>
      <c r="I2766">
        <f t="shared" si="175"/>
        <v>-2.2226318286768247</v>
      </c>
    </row>
    <row r="2767" spans="1:9">
      <c r="A2767" t="s">
        <v>19</v>
      </c>
      <c r="B2767" s="2">
        <f t="shared" si="174"/>
        <v>133</v>
      </c>
      <c r="C2767">
        <v>132</v>
      </c>
      <c r="D2767">
        <v>43</v>
      </c>
      <c r="E2767">
        <v>97</v>
      </c>
      <c r="F2767">
        <f t="shared" si="172"/>
        <v>-1.2836192793463908</v>
      </c>
      <c r="G2767">
        <f t="shared" si="173"/>
        <v>-1.2004370136198432</v>
      </c>
      <c r="I2767">
        <f t="shared" si="175"/>
        <v>-1.2420281464831171</v>
      </c>
    </row>
    <row r="2768" spans="1:9">
      <c r="A2768" t="s">
        <v>20</v>
      </c>
      <c r="B2768" s="2">
        <f t="shared" si="174"/>
        <v>133</v>
      </c>
      <c r="C2768">
        <v>125</v>
      </c>
      <c r="D2768">
        <v>68</v>
      </c>
      <c r="E2768">
        <v>128</v>
      </c>
      <c r="F2768">
        <f t="shared" si="172"/>
        <v>-1.0609149040219474</v>
      </c>
      <c r="G2768">
        <f t="shared" si="173"/>
        <v>-1.0563348600404263</v>
      </c>
      <c r="I2768">
        <f t="shared" si="175"/>
        <v>-1.0586248820311868</v>
      </c>
    </row>
    <row r="2769" spans="1:9">
      <c r="A2769" t="s">
        <v>21</v>
      </c>
      <c r="B2769" s="2">
        <f t="shared" si="174"/>
        <v>133</v>
      </c>
      <c r="C2769">
        <v>292</v>
      </c>
      <c r="D2769">
        <v>386</v>
      </c>
      <c r="E2769">
        <v>22</v>
      </c>
      <c r="F2769">
        <f t="shared" si="172"/>
        <v>-0.67530935049679075</v>
      </c>
      <c r="G2769">
        <f t="shared" si="173"/>
        <v>-2.1895949873064504</v>
      </c>
      <c r="I2769">
        <f t="shared" si="175"/>
        <v>-1.4324521689016205</v>
      </c>
    </row>
    <row r="2770" spans="1:9">
      <c r="A2770" t="s">
        <v>22</v>
      </c>
      <c r="B2770" s="2">
        <f t="shared" si="174"/>
        <v>133</v>
      </c>
      <c r="C2770">
        <v>114</v>
      </c>
      <c r="D2770">
        <v>5</v>
      </c>
      <c r="E2770">
        <v>7</v>
      </c>
      <c r="F2770">
        <f t="shared" si="172"/>
        <v>-2.1544486507205809</v>
      </c>
      <c r="G2770">
        <f t="shared" si="173"/>
        <v>-2.278441628002454</v>
      </c>
      <c r="I2770">
        <f t="shared" si="175"/>
        <v>-2.2164451393615172</v>
      </c>
    </row>
    <row r="2771" spans="1:9">
      <c r="A2771" t="s">
        <v>23</v>
      </c>
      <c r="B2771" s="2">
        <f t="shared" si="174"/>
        <v>133</v>
      </c>
      <c r="C2771">
        <v>112</v>
      </c>
      <c r="D2771">
        <v>1</v>
      </c>
      <c r="E2771">
        <v>5</v>
      </c>
      <c r="F2771">
        <f t="shared" si="172"/>
        <v>-2.8457318263903089</v>
      </c>
      <c r="G2771">
        <f t="shared" si="173"/>
        <v>-2.4168828350144009</v>
      </c>
      <c r="I2771">
        <f t="shared" si="175"/>
        <v>-2.6313073307023549</v>
      </c>
    </row>
    <row r="2772" spans="1:9">
      <c r="A2772" t="s">
        <v>24</v>
      </c>
      <c r="B2772" s="2">
        <f t="shared" si="174"/>
        <v>133</v>
      </c>
      <c r="C2772">
        <v>290</v>
      </c>
      <c r="D2772">
        <v>178</v>
      </c>
      <c r="E2772">
        <v>7</v>
      </c>
      <c r="F2772">
        <f t="shared" si="172"/>
        <v>-1.0084917993101894</v>
      </c>
      <c r="G2772">
        <f t="shared" si="173"/>
        <v>-2.6839347745649373</v>
      </c>
      <c r="I2772">
        <f t="shared" si="175"/>
        <v>-1.8462132869375634</v>
      </c>
    </row>
    <row r="2773" spans="1:9">
      <c r="A2773" t="s">
        <v>25</v>
      </c>
      <c r="B2773" s="2">
        <f t="shared" si="174"/>
        <v>133</v>
      </c>
      <c r="C2773">
        <v>222</v>
      </c>
      <c r="D2773">
        <v>43</v>
      </c>
      <c r="E2773">
        <v>17</v>
      </c>
      <c r="F2773">
        <f t="shared" si="172"/>
        <v>-1.5093983225911796</v>
      </c>
      <c r="G2773">
        <f t="shared" si="173"/>
        <v>-2.1825388697526029</v>
      </c>
      <c r="I2773">
        <f t="shared" si="175"/>
        <v>-1.8459685961718912</v>
      </c>
    </row>
    <row r="2774" spans="1:9">
      <c r="A2774" t="s">
        <v>7</v>
      </c>
      <c r="B2774" s="2">
        <f t="shared" si="174"/>
        <v>134</v>
      </c>
      <c r="C2774">
        <v>222</v>
      </c>
      <c r="D2774">
        <v>31</v>
      </c>
      <c r="E2774">
        <v>10</v>
      </c>
      <c r="F2774">
        <f t="shared" si="172"/>
        <v>-1.6515050843364933</v>
      </c>
      <c r="G2774">
        <f t="shared" si="173"/>
        <v>-2.4129877911308766</v>
      </c>
      <c r="I2774">
        <f t="shared" si="175"/>
        <v>-2.0322464377336851</v>
      </c>
    </row>
    <row r="2775" spans="1:9">
      <c r="A2775" t="s">
        <v>8</v>
      </c>
      <c r="B2775" s="2">
        <f t="shared" si="174"/>
        <v>134</v>
      </c>
      <c r="C2775">
        <v>224</v>
      </c>
      <c r="D2775">
        <v>105</v>
      </c>
      <c r="E2775">
        <v>30</v>
      </c>
      <c r="F2775">
        <f t="shared" si="172"/>
        <v>-1.1255725229843521</v>
      </c>
      <c r="G2775">
        <f t="shared" si="173"/>
        <v>-1.9397615802947386</v>
      </c>
      <c r="I2775">
        <f t="shared" si="175"/>
        <v>-1.5326670516395453</v>
      </c>
    </row>
    <row r="2776" spans="1:9">
      <c r="A2776" t="s">
        <v>5</v>
      </c>
      <c r="B2776" s="2">
        <f t="shared" si="174"/>
        <v>134</v>
      </c>
      <c r="C2776">
        <v>135</v>
      </c>
      <c r="D2776">
        <v>13</v>
      </c>
      <c r="E2776">
        <v>6</v>
      </c>
      <c r="F2776">
        <f t="shared" si="172"/>
        <v>-1.8129042199082968</v>
      </c>
      <c r="G2776">
        <f t="shared" si="173"/>
        <v>-2.4188173347916004</v>
      </c>
      <c r="I2776">
        <f t="shared" si="175"/>
        <v>-2.1158607773499485</v>
      </c>
    </row>
    <row r="2777" spans="1:9">
      <c r="A2777" t="s">
        <v>6</v>
      </c>
      <c r="B2777" s="2">
        <f t="shared" si="174"/>
        <v>134</v>
      </c>
      <c r="C2777">
        <v>209</v>
      </c>
      <c r="D2777">
        <v>3</v>
      </c>
      <c r="E2777">
        <v>9</v>
      </c>
      <c r="F2777">
        <f t="shared" si="172"/>
        <v>-2.639538835111519</v>
      </c>
      <c r="G2777">
        <f t="shared" si="173"/>
        <v>-2.4325385933519672</v>
      </c>
      <c r="I2777">
        <f t="shared" si="175"/>
        <v>-2.5360387142317431</v>
      </c>
    </row>
    <row r="2778" spans="1:9">
      <c r="A2778" t="s">
        <v>10</v>
      </c>
      <c r="B2778" s="2">
        <f t="shared" si="174"/>
        <v>134</v>
      </c>
      <c r="C2778">
        <v>189</v>
      </c>
      <c r="D2778">
        <v>285</v>
      </c>
      <c r="E2778">
        <v>14</v>
      </c>
      <c r="F2778">
        <f t="shared" si="172"/>
        <v>-0.61813074788486133</v>
      </c>
      <c r="G2778">
        <f t="shared" si="173"/>
        <v>-2.1969685851752443</v>
      </c>
      <c r="I2778">
        <f t="shared" si="175"/>
        <v>-1.4075496665300529</v>
      </c>
    </row>
    <row r="2779" spans="1:9">
      <c r="A2779" t="s">
        <v>11</v>
      </c>
      <c r="B2779" s="2">
        <f t="shared" si="174"/>
        <v>134</v>
      </c>
      <c r="C2779">
        <v>191</v>
      </c>
      <c r="D2779">
        <v>91</v>
      </c>
      <c r="E2779">
        <v>15</v>
      </c>
      <c r="F2779">
        <f t="shared" ref="F2779:F2842" si="176">LOG10(D2779/C2779)-LOG10(255266/40783)</f>
        <v>-1.1185057786467614</v>
      </c>
      <c r="G2779">
        <f t="shared" ref="G2779:G2842" si="177">LOG10(E2779/C2779)-LOG10(475460/40783)</f>
        <v>-2.1715769248722845</v>
      </c>
      <c r="I2779">
        <f t="shared" si="175"/>
        <v>-1.6450413517595228</v>
      </c>
    </row>
    <row r="2780" spans="1:9">
      <c r="A2780" t="s">
        <v>12</v>
      </c>
      <c r="B2780" s="2">
        <f t="shared" si="174"/>
        <v>134</v>
      </c>
      <c r="C2780">
        <v>261</v>
      </c>
      <c r="D2780">
        <v>132</v>
      </c>
      <c r="E2780">
        <v>18</v>
      </c>
      <c r="F2780">
        <f t="shared" si="176"/>
        <v>-1.0925803798525584</v>
      </c>
      <c r="G2780">
        <f t="shared" si="177"/>
        <v>-2.228002818915213</v>
      </c>
      <c r="I2780">
        <f t="shared" si="175"/>
        <v>-1.6602915993838856</v>
      </c>
    </row>
    <row r="2781" spans="1:9">
      <c r="A2781" t="s">
        <v>9</v>
      </c>
      <c r="B2781" s="2">
        <f t="shared" si="174"/>
        <v>134</v>
      </c>
      <c r="C2781">
        <v>120</v>
      </c>
      <c r="D2781">
        <v>42</v>
      </c>
      <c r="E2781">
        <v>10</v>
      </c>
      <c r="F2781">
        <f t="shared" si="176"/>
        <v>-1.2524457593698517</v>
      </c>
      <c r="G2781">
        <f t="shared" si="177"/>
        <v>-2.1458160627278628</v>
      </c>
      <c r="I2781">
        <f t="shared" si="175"/>
        <v>-1.6991309110488573</v>
      </c>
    </row>
    <row r="2782" spans="1:9">
      <c r="A2782" t="s">
        <v>13</v>
      </c>
      <c r="B2782" s="2">
        <f t="shared" si="174"/>
        <v>134</v>
      </c>
      <c r="C2782">
        <v>148</v>
      </c>
      <c r="D2782">
        <v>1586</v>
      </c>
      <c r="E2782">
        <v>7</v>
      </c>
      <c r="F2782">
        <f t="shared" si="176"/>
        <v>0.23352766386650026</v>
      </c>
      <c r="G2782">
        <f t="shared" si="177"/>
        <v>-2.3917984920609388</v>
      </c>
      <c r="I2782">
        <f t="shared" si="175"/>
        <v>-1.0791354140972191</v>
      </c>
    </row>
    <row r="2783" spans="1:9">
      <c r="A2783" t="s">
        <v>14</v>
      </c>
      <c r="B2783" s="2">
        <f t="shared" si="174"/>
        <v>134</v>
      </c>
      <c r="C2783">
        <v>76</v>
      </c>
      <c r="D2783">
        <v>4</v>
      </c>
      <c r="E2783">
        <v>7</v>
      </c>
      <c r="F2783">
        <f t="shared" si="176"/>
        <v>-2.0752674046729567</v>
      </c>
      <c r="G2783">
        <f t="shared" si="177"/>
        <v>-2.1023503689467726</v>
      </c>
      <c r="I2783">
        <f t="shared" si="175"/>
        <v>-2.0888088868098649</v>
      </c>
    </row>
    <row r="2784" spans="1:9">
      <c r="A2784" t="s">
        <v>15</v>
      </c>
      <c r="B2784" s="2">
        <f t="shared" si="174"/>
        <v>134</v>
      </c>
      <c r="C2784">
        <v>347</v>
      </c>
      <c r="D2784">
        <v>14</v>
      </c>
      <c r="E2784">
        <v>33</v>
      </c>
      <c r="F2784">
        <f t="shared" si="176"/>
        <v>-2.1907152428327628</v>
      </c>
      <c r="G2784">
        <f t="shared" si="177"/>
        <v>-2.0884503515932247</v>
      </c>
      <c r="I2784">
        <f t="shared" si="175"/>
        <v>-2.1395827972129937</v>
      </c>
    </row>
    <row r="2785" spans="1:9">
      <c r="A2785" t="s">
        <v>16</v>
      </c>
      <c r="B2785" s="2">
        <f t="shared" si="174"/>
        <v>134</v>
      </c>
      <c r="C2785">
        <v>219</v>
      </c>
      <c r="D2785">
        <v>848</v>
      </c>
      <c r="E2785">
        <v>52</v>
      </c>
      <c r="F2785">
        <f t="shared" si="176"/>
        <v>-0.20856206630353191</v>
      </c>
      <c r="G2785">
        <f t="shared" si="177"/>
        <v>-1.6910755878855572</v>
      </c>
      <c r="I2785">
        <f t="shared" si="175"/>
        <v>-0.94981882709454457</v>
      </c>
    </row>
    <row r="2786" spans="1:9">
      <c r="A2786" t="s">
        <v>17</v>
      </c>
      <c r="B2786" s="2">
        <f t="shared" si="174"/>
        <v>134</v>
      </c>
      <c r="C2786">
        <v>229</v>
      </c>
      <c r="D2786">
        <v>443</v>
      </c>
      <c r="E2786">
        <v>37</v>
      </c>
      <c r="F2786">
        <f t="shared" si="176"/>
        <v>-0.50994555983694578</v>
      </c>
      <c r="G2786">
        <f t="shared" si="177"/>
        <v>-1.8582685749531311</v>
      </c>
      <c r="I2786">
        <f t="shared" si="175"/>
        <v>-1.1841070673950385</v>
      </c>
    </row>
    <row r="2787" spans="1:9">
      <c r="A2787" t="s">
        <v>18</v>
      </c>
      <c r="B2787" s="2">
        <f t="shared" si="174"/>
        <v>134</v>
      </c>
      <c r="C2787">
        <v>200</v>
      </c>
      <c r="D2787">
        <v>33</v>
      </c>
      <c r="E2787">
        <v>37</v>
      </c>
      <c r="F2787">
        <f t="shared" si="176"/>
        <v>-1.5790298595062211</v>
      </c>
      <c r="G2787">
        <f t="shared" si="177"/>
        <v>-1.7994630882772245</v>
      </c>
      <c r="I2787">
        <f t="shared" si="175"/>
        <v>-1.6892464738917228</v>
      </c>
    </row>
    <row r="2788" spans="1:9">
      <c r="A2788" t="s">
        <v>19</v>
      </c>
      <c r="B2788" s="2">
        <f t="shared" si="174"/>
        <v>134</v>
      </c>
      <c r="C2788">
        <v>219</v>
      </c>
      <c r="D2788">
        <v>115</v>
      </c>
      <c r="E2788">
        <v>43</v>
      </c>
      <c r="F2788">
        <f t="shared" si="176"/>
        <v>-1.0762600782066341</v>
      </c>
      <c r="G2788">
        <f t="shared" si="177"/>
        <v>-1.77361047594077</v>
      </c>
      <c r="I2788">
        <f t="shared" si="175"/>
        <v>-1.424935277073702</v>
      </c>
    </row>
    <row r="2789" spans="1:9">
      <c r="A2789" t="s">
        <v>20</v>
      </c>
      <c r="B2789" s="2">
        <f t="shared" si="174"/>
        <v>134</v>
      </c>
      <c r="C2789">
        <v>125</v>
      </c>
      <c r="D2789">
        <v>25</v>
      </c>
      <c r="E2789">
        <v>50</v>
      </c>
      <c r="F2789">
        <f t="shared" si="176"/>
        <v>-1.4954838080561461</v>
      </c>
      <c r="G2789">
        <f t="shared" si="177"/>
        <v>-1.4645748253522757</v>
      </c>
      <c r="I2789">
        <f t="shared" si="175"/>
        <v>-1.4800293167042109</v>
      </c>
    </row>
    <row r="2790" spans="1:9">
      <c r="A2790" t="s">
        <v>21</v>
      </c>
      <c r="B2790" s="2">
        <f t="shared" si="174"/>
        <v>134</v>
      </c>
      <c r="C2790">
        <v>140</v>
      </c>
      <c r="D2790">
        <v>484</v>
      </c>
      <c r="E2790">
        <v>85</v>
      </c>
      <c r="F2790">
        <f t="shared" si="176"/>
        <v>-0.25779647775395287</v>
      </c>
      <c r="G2790">
        <f t="shared" si="177"/>
        <v>-1.2833439266441835</v>
      </c>
      <c r="I2790">
        <f t="shared" si="175"/>
        <v>-0.77057020219906813</v>
      </c>
    </row>
    <row r="2791" spans="1:9">
      <c r="A2791" t="s">
        <v>22</v>
      </c>
      <c r="B2791" s="2">
        <f t="shared" si="174"/>
        <v>134</v>
      </c>
      <c r="C2791">
        <v>100</v>
      </c>
      <c r="D2791">
        <v>16</v>
      </c>
      <c r="E2791">
        <v>4</v>
      </c>
      <c r="F2791">
        <f t="shared" si="176"/>
        <v>-1.5923938210642026</v>
      </c>
      <c r="G2791">
        <f t="shared" si="177"/>
        <v>-2.4645748253522757</v>
      </c>
      <c r="I2791">
        <f t="shared" si="175"/>
        <v>-2.028484323208239</v>
      </c>
    </row>
    <row r="2792" spans="1:9">
      <c r="A2792" t="s">
        <v>23</v>
      </c>
      <c r="B2792" s="2">
        <f t="shared" si="174"/>
        <v>134</v>
      </c>
      <c r="C2792">
        <v>15</v>
      </c>
      <c r="D2792">
        <v>62</v>
      </c>
      <c r="E2792">
        <v>108</v>
      </c>
      <c r="F2792">
        <f t="shared" si="176"/>
        <v>-0.18021337327755471</v>
      </c>
      <c r="G2792">
        <f t="shared" si="177"/>
        <v>-0.20930232024896966</v>
      </c>
      <c r="I2792">
        <f t="shared" si="175"/>
        <v>-0.19475784676326219</v>
      </c>
    </row>
    <row r="2793" spans="1:9">
      <c r="A2793" t="s">
        <v>24</v>
      </c>
      <c r="B2793" s="2">
        <f t="shared" si="174"/>
        <v>134</v>
      </c>
      <c r="C2793">
        <v>271</v>
      </c>
      <c r="D2793">
        <v>42</v>
      </c>
      <c r="E2793">
        <v>16</v>
      </c>
      <c r="F2793">
        <f t="shared" si="176"/>
        <v>-1.6062338041966326</v>
      </c>
      <c r="G2793">
        <f t="shared" si="177"/>
        <v>-2.295484124898719</v>
      </c>
      <c r="I2793">
        <f t="shared" si="175"/>
        <v>-1.9508589645476757</v>
      </c>
    </row>
    <row r="2794" spans="1:9">
      <c r="A2794" t="s">
        <v>25</v>
      </c>
      <c r="B2794" s="2">
        <f t="shared" si="174"/>
        <v>134</v>
      </c>
      <c r="C2794">
        <v>238</v>
      </c>
      <c r="D2794">
        <v>3</v>
      </c>
      <c r="E2794">
        <v>15</v>
      </c>
      <c r="F2794">
        <f t="shared" si="176"/>
        <v>-2.6959695060569766</v>
      </c>
      <c r="G2794">
        <f t="shared" si="177"/>
        <v>-2.2671205146810687</v>
      </c>
      <c r="I2794">
        <f t="shared" si="175"/>
        <v>-2.4815450103690226</v>
      </c>
    </row>
    <row r="2795" spans="1:9">
      <c r="A2795" t="s">
        <v>7</v>
      </c>
      <c r="B2795" s="2">
        <f t="shared" si="174"/>
        <v>135</v>
      </c>
      <c r="C2795">
        <v>164</v>
      </c>
      <c r="D2795">
        <v>83</v>
      </c>
      <c r="E2795">
        <v>16</v>
      </c>
      <c r="F2795">
        <f t="shared" si="176"/>
        <v>-1.0922795593917514</v>
      </c>
      <c r="G2795">
        <f t="shared" si="177"/>
        <v>-2.0773586820720116</v>
      </c>
      <c r="I2795">
        <f t="shared" si="175"/>
        <v>-1.5848191207318814</v>
      </c>
    </row>
    <row r="2796" spans="1:9">
      <c r="A2796" t="s">
        <v>8</v>
      </c>
      <c r="B2796" s="2">
        <f t="shared" si="174"/>
        <v>135</v>
      </c>
      <c r="C2796">
        <v>204</v>
      </c>
      <c r="D2796">
        <v>28</v>
      </c>
      <c r="E2796">
        <v>19</v>
      </c>
      <c r="F2796">
        <f t="shared" si="176"/>
        <v>-1.6589859398038067</v>
      </c>
      <c r="G2796">
        <f t="shared" si="177"/>
        <v>-2.0975113831533081</v>
      </c>
      <c r="I2796">
        <f t="shared" si="175"/>
        <v>-1.8782486614785574</v>
      </c>
    </row>
    <row r="2797" spans="1:9">
      <c r="A2797" t="s">
        <v>5</v>
      </c>
      <c r="B2797" s="2">
        <f t="shared" si="174"/>
        <v>135</v>
      </c>
      <c r="C2797">
        <v>140</v>
      </c>
      <c r="D2797">
        <v>4</v>
      </c>
      <c r="E2797">
        <v>11</v>
      </c>
      <c r="F2797">
        <f t="shared" si="176"/>
        <v>-2.340581848070403</v>
      </c>
      <c r="G2797">
        <f t="shared" si="177"/>
        <v>-2.1713701672002514</v>
      </c>
      <c r="I2797">
        <f t="shared" si="175"/>
        <v>-2.2559760076353275</v>
      </c>
    </row>
    <row r="2798" spans="1:9">
      <c r="A2798" t="s">
        <v>6</v>
      </c>
      <c r="B2798" s="2">
        <f t="shared" si="174"/>
        <v>135</v>
      </c>
      <c r="C2798">
        <v>255</v>
      </c>
      <c r="D2798">
        <v>244</v>
      </c>
      <c r="E2798">
        <v>38</v>
      </c>
      <c r="F2798">
        <f t="shared" si="176"/>
        <v>-0.81566415781535306</v>
      </c>
      <c r="G2798">
        <f t="shared" si="177"/>
        <v>-1.8933914004973831</v>
      </c>
      <c r="I2798">
        <f t="shared" si="175"/>
        <v>-1.3545277791563681</v>
      </c>
    </row>
    <row r="2799" spans="1:9">
      <c r="A2799" t="s">
        <v>10</v>
      </c>
      <c r="B2799" s="2">
        <f t="shared" si="174"/>
        <v>135</v>
      </c>
      <c r="C2799">
        <v>167</v>
      </c>
      <c r="D2799">
        <v>107</v>
      </c>
      <c r="E2799">
        <v>16</v>
      </c>
      <c r="F2799">
        <f t="shared" si="176"/>
        <v>-0.98984649718250095</v>
      </c>
      <c r="G2799">
        <f t="shared" si="177"/>
        <v>-2.0852313051718969</v>
      </c>
      <c r="I2799">
        <f t="shared" si="175"/>
        <v>-1.5375389011771989</v>
      </c>
    </row>
    <row r="2800" spans="1:9">
      <c r="A2800" t="s">
        <v>11</v>
      </c>
      <c r="B2800" s="2">
        <f t="shared" si="174"/>
        <v>135</v>
      </c>
      <c r="C2800">
        <v>261</v>
      </c>
      <c r="D2800">
        <v>321</v>
      </c>
      <c r="E2800">
        <v>16</v>
      </c>
      <c r="F2800">
        <f t="shared" si="176"/>
        <v>-0.70664927865353633</v>
      </c>
      <c r="G2800">
        <f t="shared" si="177"/>
        <v>-2.2791553413625945</v>
      </c>
      <c r="I2800">
        <f t="shared" si="175"/>
        <v>-1.4929023100080654</v>
      </c>
    </row>
    <row r="2801" spans="1:9">
      <c r="A2801" t="s">
        <v>12</v>
      </c>
      <c r="B2801" s="2">
        <f t="shared" si="174"/>
        <v>135</v>
      </c>
      <c r="C2801">
        <v>229</v>
      </c>
      <c r="D2801">
        <v>3076</v>
      </c>
      <c r="E2801">
        <v>60</v>
      </c>
      <c r="F2801">
        <f t="shared" si="176"/>
        <v>0.33163704506937819</v>
      </c>
      <c r="G2801">
        <f t="shared" si="177"/>
        <v>-1.6483190486364827</v>
      </c>
      <c r="I2801">
        <f t="shared" si="175"/>
        <v>-0.65834100178355226</v>
      </c>
    </row>
    <row r="2802" spans="1:9">
      <c r="A2802" t="s">
        <v>9</v>
      </c>
      <c r="B2802" s="2">
        <f t="shared" si="174"/>
        <v>135</v>
      </c>
      <c r="C2802">
        <v>122</v>
      </c>
      <c r="D2802">
        <v>107</v>
      </c>
      <c r="E2802">
        <v>45</v>
      </c>
      <c r="F2802">
        <f t="shared" si="176"/>
        <v>-0.85348985670966593</v>
      </c>
      <c r="G2802">
        <f t="shared" si="177"/>
        <v>-1.4997821335796426</v>
      </c>
      <c r="I2802">
        <f t="shared" si="175"/>
        <v>-1.1766359951446543</v>
      </c>
    </row>
    <row r="2803" spans="1:9">
      <c r="A2803" t="s">
        <v>13</v>
      </c>
      <c r="B2803" s="2">
        <f t="shared" si="174"/>
        <v>135</v>
      </c>
      <c r="C2803">
        <v>161</v>
      </c>
      <c r="D2803">
        <v>164</v>
      </c>
      <c r="E2803">
        <v>61</v>
      </c>
      <c r="F2803">
        <f t="shared" si="176"/>
        <v>-0.78849583170427917</v>
      </c>
      <c r="G2803">
        <f t="shared" si="177"/>
        <v>-1.4881308577013208</v>
      </c>
      <c r="I2803">
        <f t="shared" si="175"/>
        <v>-1.1383133447028</v>
      </c>
    </row>
    <row r="2804" spans="1:9">
      <c r="A2804" t="s">
        <v>14</v>
      </c>
      <c r="B2804" s="2">
        <f t="shared" si="174"/>
        <v>135</v>
      </c>
      <c r="C2804">
        <v>145</v>
      </c>
      <c r="D2804">
        <v>433</v>
      </c>
      <c r="E2804">
        <v>15</v>
      </c>
      <c r="F2804">
        <f t="shared" si="176"/>
        <v>-0.3213939096017368</v>
      </c>
      <c r="G2804">
        <f t="shared" si="177"/>
        <v>-2.0519115598595317</v>
      </c>
      <c r="I2804">
        <f t="shared" si="175"/>
        <v>-1.1866527347306342</v>
      </c>
    </row>
    <row r="2805" spans="1:9">
      <c r="A2805" t="s">
        <v>15</v>
      </c>
      <c r="B2805" s="2">
        <f t="shared" si="174"/>
        <v>135</v>
      </c>
      <c r="C2805">
        <v>232</v>
      </c>
      <c r="D2805">
        <v>10</v>
      </c>
      <c r="E2805">
        <v>12</v>
      </c>
      <c r="F2805">
        <f t="shared" si="176"/>
        <v>-2.1620017886110272</v>
      </c>
      <c r="G2805">
        <f t="shared" si="177"/>
        <v>-2.3529415555235129</v>
      </c>
      <c r="I2805">
        <f t="shared" si="175"/>
        <v>-2.2574716720672701</v>
      </c>
    </row>
    <row r="2806" spans="1:9">
      <c r="A2806" t="s">
        <v>16</v>
      </c>
      <c r="B2806" s="2">
        <f t="shared" si="174"/>
        <v>135</v>
      </c>
      <c r="C2806">
        <v>213</v>
      </c>
      <c r="D2806">
        <v>208</v>
      </c>
      <c r="E2806">
        <v>13</v>
      </c>
      <c r="F2806">
        <f t="shared" si="176"/>
        <v>-0.80683007219610359</v>
      </c>
      <c r="G2806">
        <f t="shared" si="177"/>
        <v>-2.2810710678121389</v>
      </c>
      <c r="I2806">
        <f t="shared" si="175"/>
        <v>-1.5439505700041212</v>
      </c>
    </row>
    <row r="2807" spans="1:9">
      <c r="A2807" t="s">
        <v>17</v>
      </c>
      <c r="B2807" s="2">
        <f t="shared" si="174"/>
        <v>135</v>
      </c>
      <c r="C2807">
        <v>195</v>
      </c>
      <c r="D2807">
        <v>9</v>
      </c>
      <c r="E2807">
        <v>10</v>
      </c>
      <c r="F2807">
        <f t="shared" si="176"/>
        <v>-2.1323059056433205</v>
      </c>
      <c r="G2807">
        <f t="shared" si="177"/>
        <v>-2.356669428042756</v>
      </c>
      <c r="I2807">
        <f t="shared" si="175"/>
        <v>-2.244487666843038</v>
      </c>
    </row>
    <row r="2808" spans="1:9">
      <c r="A2808" t="s">
        <v>18</v>
      </c>
      <c r="B2808" s="2">
        <f t="shared" si="174"/>
        <v>135</v>
      </c>
      <c r="C2808">
        <v>160</v>
      </c>
      <c r="D2808">
        <v>16</v>
      </c>
      <c r="E2808">
        <v>13</v>
      </c>
      <c r="F2808">
        <f t="shared" si="176"/>
        <v>-1.7965138037201274</v>
      </c>
      <c r="G2808">
        <f t="shared" si="177"/>
        <v>-2.1568114470293263</v>
      </c>
      <c r="I2808">
        <f t="shared" si="175"/>
        <v>-1.9766626253747268</v>
      </c>
    </row>
    <row r="2809" spans="1:9">
      <c r="A2809" t="s">
        <v>19</v>
      </c>
      <c r="B2809" s="2">
        <f t="shared" si="174"/>
        <v>135</v>
      </c>
      <c r="C2809">
        <v>156</v>
      </c>
      <c r="D2809">
        <v>306</v>
      </c>
      <c r="E2809">
        <v>158</v>
      </c>
      <c r="F2809">
        <f t="shared" si="176"/>
        <v>-0.50391697559300896</v>
      </c>
      <c r="G2809">
        <f t="shared" si="177"/>
        <v>-1.0611023280802772</v>
      </c>
      <c r="I2809">
        <f t="shared" si="175"/>
        <v>-0.78250965183664301</v>
      </c>
    </row>
    <row r="2810" spans="1:9">
      <c r="A2810" t="s">
        <v>20</v>
      </c>
      <c r="B2810" s="2">
        <f t="shared" si="174"/>
        <v>135</v>
      </c>
      <c r="C2810">
        <v>40783</v>
      </c>
      <c r="D2810">
        <v>255266</v>
      </c>
      <c r="E2810">
        <v>475460</v>
      </c>
      <c r="F2810">
        <f t="shared" si="176"/>
        <v>0</v>
      </c>
      <c r="G2810">
        <f t="shared" si="177"/>
        <v>0</v>
      </c>
      <c r="I2810">
        <f t="shared" si="175"/>
        <v>0</v>
      </c>
    </row>
    <row r="2811" spans="1:9">
      <c r="A2811" t="s">
        <v>21</v>
      </c>
      <c r="B2811" s="2">
        <f t="shared" si="174"/>
        <v>135</v>
      </c>
      <c r="C2811">
        <v>190</v>
      </c>
      <c r="D2811">
        <v>13</v>
      </c>
      <c r="E2811">
        <v>16</v>
      </c>
      <c r="F2811">
        <f t="shared" si="176"/>
        <v>-1.9613240523661195</v>
      </c>
      <c r="G2811">
        <f t="shared" si="177"/>
        <v>-2.1412684349771425</v>
      </c>
      <c r="I2811">
        <f t="shared" si="175"/>
        <v>-2.0512962436716311</v>
      </c>
    </row>
    <row r="2812" spans="1:9">
      <c r="A2812" t="s">
        <v>22</v>
      </c>
      <c r="B2812" s="2">
        <f t="shared" si="174"/>
        <v>135</v>
      </c>
      <c r="C2812">
        <v>160</v>
      </c>
      <c r="D2812">
        <v>1238</v>
      </c>
      <c r="E2812">
        <v>31</v>
      </c>
      <c r="F2812">
        <f t="shared" si="176"/>
        <v>9.208685830804697E-2</v>
      </c>
      <c r="G2812">
        <f t="shared" si="177"/>
        <v>-1.7793931055018901</v>
      </c>
      <c r="I2812">
        <f t="shared" si="175"/>
        <v>-0.84365312359692157</v>
      </c>
    </row>
    <row r="2813" spans="1:9">
      <c r="A2813" t="s">
        <v>23</v>
      </c>
      <c r="B2813" s="2">
        <f t="shared" si="174"/>
        <v>135</v>
      </c>
      <c r="C2813">
        <v>115</v>
      </c>
      <c r="D2813">
        <v>36</v>
      </c>
      <c r="E2813">
        <v>65</v>
      </c>
      <c r="F2813">
        <f t="shared" si="176"/>
        <v>-1.3009091433064519</v>
      </c>
      <c r="G2813">
        <f t="shared" si="177"/>
        <v>-1.3144193003909943</v>
      </c>
      <c r="I2813">
        <f t="shared" si="175"/>
        <v>-1.3076642218487231</v>
      </c>
    </row>
    <row r="2814" spans="1:9">
      <c r="A2814" t="s">
        <v>24</v>
      </c>
      <c r="B2814" s="2">
        <f t="shared" si="174"/>
        <v>135</v>
      </c>
      <c r="C2814">
        <v>286</v>
      </c>
      <c r="D2814">
        <v>137</v>
      </c>
      <c r="E2814">
        <v>31</v>
      </c>
      <c r="F2814">
        <f t="shared" si="176"/>
        <v>-1.1161592696927636</v>
      </c>
      <c r="G2814">
        <f t="shared" si="177"/>
        <v>-2.0316391559750087</v>
      </c>
      <c r="I2814">
        <f t="shared" si="175"/>
        <v>-1.573899212833886</v>
      </c>
    </row>
    <row r="2815" spans="1:9">
      <c r="A2815" t="s">
        <v>25</v>
      </c>
      <c r="B2815" s="2">
        <f t="shared" si="174"/>
        <v>135</v>
      </c>
      <c r="C2815">
        <v>397</v>
      </c>
      <c r="D2815">
        <v>269</v>
      </c>
      <c r="E2815">
        <v>12</v>
      </c>
      <c r="F2815">
        <f t="shared" si="176"/>
        <v>-0.96555203048083449</v>
      </c>
      <c r="G2815">
        <f t="shared" si="177"/>
        <v>-2.5862440773957287</v>
      </c>
      <c r="I2815">
        <f t="shared" si="175"/>
        <v>-1.7758980539382816</v>
      </c>
    </row>
    <row r="2816" spans="1:9">
      <c r="A2816" t="s">
        <v>7</v>
      </c>
      <c r="B2816" s="2">
        <f t="shared" si="174"/>
        <v>136</v>
      </c>
      <c r="C2816">
        <v>139</v>
      </c>
      <c r="D2816">
        <v>9</v>
      </c>
      <c r="E2816">
        <v>9</v>
      </c>
      <c r="F2816">
        <f t="shared" si="176"/>
        <v>-1.9852860945348976</v>
      </c>
      <c r="G2816">
        <f t="shared" si="177"/>
        <v>-2.2554071074950084</v>
      </c>
      <c r="I2816">
        <f t="shared" si="175"/>
        <v>-2.120346601014953</v>
      </c>
    </row>
    <row r="2817" spans="1:9">
      <c r="A2817" t="s">
        <v>8</v>
      </c>
      <c r="B2817" s="2">
        <f t="shared" si="174"/>
        <v>136</v>
      </c>
      <c r="C2817">
        <v>144</v>
      </c>
      <c r="D2817">
        <v>21</v>
      </c>
      <c r="E2817">
        <v>31</v>
      </c>
      <c r="F2817">
        <f t="shared" si="176"/>
        <v>-1.6326570010814576</v>
      </c>
      <c r="G2817">
        <f t="shared" si="177"/>
        <v>-1.7336356149412151</v>
      </c>
      <c r="I2817">
        <f t="shared" si="175"/>
        <v>-1.6831463080113362</v>
      </c>
    </row>
    <row r="2818" spans="1:9">
      <c r="A2818" t="s">
        <v>5</v>
      </c>
      <c r="B2818" s="2">
        <f t="shared" si="174"/>
        <v>136</v>
      </c>
      <c r="C2818">
        <v>142</v>
      </c>
      <c r="D2818">
        <v>473</v>
      </c>
      <c r="E2818">
        <v>59</v>
      </c>
      <c r="F2818">
        <f t="shared" si="176"/>
        <v>-0.2739410073653723</v>
      </c>
      <c r="G2818">
        <f t="shared" si="177"/>
        <v>-1.4480711494211504</v>
      </c>
      <c r="I2818">
        <f t="shared" si="175"/>
        <v>-0.86100607839326138</v>
      </c>
    </row>
    <row r="2819" spans="1:9">
      <c r="A2819" t="s">
        <v>6</v>
      </c>
      <c r="B2819" s="2">
        <f t="shared" ref="B2819:B2882" si="178">1+INT((ROW()-2)/21)+1</f>
        <v>136</v>
      </c>
      <c r="C2819">
        <v>294</v>
      </c>
      <c r="D2819">
        <v>2029</v>
      </c>
      <c r="E2819">
        <v>673</v>
      </c>
      <c r="F2819">
        <f t="shared" si="176"/>
        <v>4.2420912901061314E-2</v>
      </c>
      <c r="G2819">
        <f t="shared" si="177"/>
        <v>-0.70696708286841869</v>
      </c>
      <c r="I2819">
        <f t="shared" ref="I2819:I2882" si="179">AVERAGE(F2819:G2819)</f>
        <v>-0.33227308498367869</v>
      </c>
    </row>
    <row r="2820" spans="1:9">
      <c r="A2820" t="s">
        <v>10</v>
      </c>
      <c r="B2820" s="2">
        <f t="shared" si="178"/>
        <v>136</v>
      </c>
      <c r="C2820">
        <v>199</v>
      </c>
      <c r="D2820">
        <v>74</v>
      </c>
      <c r="E2820">
        <v>10</v>
      </c>
      <c r="F2820">
        <f t="shared" si="176"/>
        <v>-1.2261351603988579</v>
      </c>
      <c r="G2820">
        <f t="shared" si="177"/>
        <v>-2.365487893089945</v>
      </c>
      <c r="I2820">
        <f t="shared" si="179"/>
        <v>-1.7958115267444015</v>
      </c>
    </row>
    <row r="2821" spans="1:9">
      <c r="A2821" t="s">
        <v>11</v>
      </c>
      <c r="B2821" s="2">
        <f t="shared" si="178"/>
        <v>136</v>
      </c>
      <c r="C2821">
        <v>222</v>
      </c>
      <c r="D2821">
        <v>151</v>
      </c>
      <c r="E2821">
        <v>16</v>
      </c>
      <c r="F2821">
        <f t="shared" si="176"/>
        <v>-0.9638898308775965</v>
      </c>
      <c r="G2821">
        <f t="shared" si="177"/>
        <v>-2.208867808474952</v>
      </c>
      <c r="I2821">
        <f t="shared" si="179"/>
        <v>-1.5863788196762743</v>
      </c>
    </row>
    <row r="2822" spans="1:9">
      <c r="A2822" t="s">
        <v>12</v>
      </c>
      <c r="B2822" s="2">
        <f t="shared" si="178"/>
        <v>136</v>
      </c>
      <c r="C2822">
        <v>242</v>
      </c>
      <c r="D2822">
        <v>10</v>
      </c>
      <c r="E2822">
        <v>28</v>
      </c>
      <c r="F2822">
        <f t="shared" si="176"/>
        <v>-2.1803291697005589</v>
      </c>
      <c r="G2822">
        <f t="shared" si="177"/>
        <v>-2.0032921513184503</v>
      </c>
      <c r="I2822">
        <f t="shared" si="179"/>
        <v>-2.0918106605095046</v>
      </c>
    </row>
    <row r="2823" spans="1:9">
      <c r="A2823" t="s">
        <v>9</v>
      </c>
      <c r="B2823" s="2">
        <f t="shared" si="178"/>
        <v>136</v>
      </c>
      <c r="C2823">
        <v>133</v>
      </c>
      <c r="D2823">
        <v>52</v>
      </c>
      <c r="E2823">
        <v>6</v>
      </c>
      <c r="F2823">
        <f t="shared" si="176"/>
        <v>-1.2043621010524141</v>
      </c>
      <c r="G2823">
        <f t="shared" si="177"/>
        <v>-2.4123352072636806</v>
      </c>
      <c r="I2823">
        <f t="shared" si="179"/>
        <v>-1.8083486541580474</v>
      </c>
    </row>
    <row r="2824" spans="1:9">
      <c r="A2824" t="s">
        <v>13</v>
      </c>
      <c r="B2824" s="2">
        <f t="shared" si="178"/>
        <v>136</v>
      </c>
      <c r="C2824">
        <v>106</v>
      </c>
      <c r="D2824">
        <v>12</v>
      </c>
      <c r="E2824">
        <v>3</v>
      </c>
      <c r="F2824">
        <f t="shared" si="176"/>
        <v>-1.7426384229372727</v>
      </c>
      <c r="G2824">
        <f t="shared" si="177"/>
        <v>-2.614819427225346</v>
      </c>
      <c r="I2824">
        <f t="shared" si="179"/>
        <v>-2.1787289250813093</v>
      </c>
    </row>
    <row r="2825" spans="1:9">
      <c r="A2825" t="s">
        <v>14</v>
      </c>
      <c r="B2825" s="2">
        <f t="shared" si="178"/>
        <v>136</v>
      </c>
      <c r="C2825">
        <v>149</v>
      </c>
      <c r="D2825">
        <v>4</v>
      </c>
      <c r="E2825">
        <v>10</v>
      </c>
      <c r="F2825">
        <f t="shared" si="176"/>
        <v>-2.3676400808044393</v>
      </c>
      <c r="G2825">
        <f t="shared" si="177"/>
        <v>-2.2398210850925122</v>
      </c>
      <c r="I2825">
        <f t="shared" si="179"/>
        <v>-2.303730582948476</v>
      </c>
    </row>
    <row r="2826" spans="1:9">
      <c r="A2826" t="s">
        <v>15</v>
      </c>
      <c r="B2826" s="2">
        <f t="shared" si="178"/>
        <v>136</v>
      </c>
      <c r="C2826">
        <v>214</v>
      </c>
      <c r="D2826">
        <v>2398</v>
      </c>
      <c r="E2826">
        <v>92</v>
      </c>
      <c r="F2826">
        <f t="shared" si="176"/>
        <v>0.25292160169351163</v>
      </c>
      <c r="G2826">
        <f t="shared" si="177"/>
        <v>-1.4332607626838738</v>
      </c>
      <c r="I2826">
        <f t="shared" si="179"/>
        <v>-0.59016958049518109</v>
      </c>
    </row>
    <row r="2827" spans="1:9">
      <c r="A2827" t="s">
        <v>16</v>
      </c>
      <c r="B2827" s="2">
        <f t="shared" si="178"/>
        <v>136</v>
      </c>
      <c r="C2827">
        <v>161</v>
      </c>
      <c r="D2827">
        <v>12</v>
      </c>
      <c r="E2827">
        <v>10</v>
      </c>
      <c r="F2827">
        <f t="shared" si="176"/>
        <v>-1.9241584337043522</v>
      </c>
      <c r="G2827">
        <f t="shared" si="177"/>
        <v>-2.2734606927120877</v>
      </c>
      <c r="I2827">
        <f t="shared" si="179"/>
        <v>-2.0988095632082198</v>
      </c>
    </row>
    <row r="2828" spans="1:9">
      <c r="A2828" t="s">
        <v>17</v>
      </c>
      <c r="B2828" s="2">
        <f t="shared" si="178"/>
        <v>136</v>
      </c>
      <c r="C2828">
        <v>199</v>
      </c>
      <c r="D2828">
        <v>177</v>
      </c>
      <c r="E2828">
        <v>49</v>
      </c>
      <c r="F2828">
        <f t="shared" si="176"/>
        <v>-0.84739361376802735</v>
      </c>
      <c r="G2828">
        <f t="shared" si="177"/>
        <v>-1.6752918130614312</v>
      </c>
      <c r="I2828">
        <f t="shared" si="179"/>
        <v>-1.2613427134147293</v>
      </c>
    </row>
    <row r="2829" spans="1:9">
      <c r="A2829" t="s">
        <v>18</v>
      </c>
      <c r="B2829" s="2">
        <f t="shared" si="178"/>
        <v>136</v>
      </c>
      <c r="C2829">
        <v>283</v>
      </c>
      <c r="D2829">
        <v>14</v>
      </c>
      <c r="E2829">
        <v>30</v>
      </c>
      <c r="F2829">
        <f t="shared" si="176"/>
        <v>-2.1021722035661794</v>
      </c>
      <c r="G2829">
        <f t="shared" si="177"/>
        <v>-2.0412999974848658</v>
      </c>
      <c r="I2829">
        <f t="shared" si="179"/>
        <v>-2.0717361005255226</v>
      </c>
    </row>
    <row r="2830" spans="1:9">
      <c r="A2830" t="s">
        <v>19</v>
      </c>
      <c r="B2830" s="2">
        <f t="shared" si="178"/>
        <v>136</v>
      </c>
      <c r="C2830">
        <v>212</v>
      </c>
      <c r="D2830">
        <v>144</v>
      </c>
      <c r="E2830">
        <v>20</v>
      </c>
      <c r="F2830">
        <f t="shared" si="176"/>
        <v>-0.96448717255362915</v>
      </c>
      <c r="G2830">
        <f t="shared" si="177"/>
        <v>-2.0919406819450082</v>
      </c>
      <c r="I2830">
        <f t="shared" si="179"/>
        <v>-1.5282139272493187</v>
      </c>
    </row>
    <row r="2831" spans="1:9">
      <c r="A2831" t="s">
        <v>20</v>
      </c>
      <c r="B2831" s="2">
        <f t="shared" si="178"/>
        <v>136</v>
      </c>
      <c r="C2831">
        <v>17</v>
      </c>
      <c r="D2831">
        <v>65</v>
      </c>
      <c r="E2831">
        <v>109</v>
      </c>
      <c r="F2831">
        <f t="shared" si="176"/>
        <v>-0.21404936845554567</v>
      </c>
      <c r="G2831">
        <f t="shared" si="177"/>
        <v>-0.25965724011788849</v>
      </c>
      <c r="I2831">
        <f t="shared" si="179"/>
        <v>-0.23685330428671708</v>
      </c>
    </row>
    <row r="2832" spans="1:9">
      <c r="A2832" t="s">
        <v>21</v>
      </c>
      <c r="B2832" s="2">
        <f t="shared" si="178"/>
        <v>136</v>
      </c>
      <c r="C2832">
        <v>219</v>
      </c>
      <c r="D2832">
        <v>64</v>
      </c>
      <c r="E2832">
        <v>81</v>
      </c>
      <c r="F2832">
        <f t="shared" si="176"/>
        <v>-1.3307779445763586</v>
      </c>
      <c r="G2832">
        <f t="shared" si="177"/>
        <v>-1.4985939126417067</v>
      </c>
      <c r="I2832">
        <f t="shared" si="179"/>
        <v>-1.4146859286090328</v>
      </c>
    </row>
    <row r="2833" spans="1:9">
      <c r="A2833" t="s">
        <v>22</v>
      </c>
      <c r="B2833" s="2">
        <f t="shared" si="178"/>
        <v>136</v>
      </c>
      <c r="C2833">
        <v>129</v>
      </c>
      <c r="D2833">
        <v>2</v>
      </c>
      <c r="E2833">
        <v>11</v>
      </c>
      <c r="F2833">
        <f t="shared" si="176"/>
        <v>-2.6060735183553954</v>
      </c>
      <c r="G2833">
        <f t="shared" si="177"/>
        <v>-2.1358318418212621</v>
      </c>
      <c r="I2833">
        <f t="shared" si="179"/>
        <v>-2.3709526800883287</v>
      </c>
    </row>
    <row r="2834" spans="1:9">
      <c r="A2834" t="s">
        <v>23</v>
      </c>
      <c r="B2834" s="2">
        <f t="shared" si="178"/>
        <v>136</v>
      </c>
      <c r="C2834">
        <v>140</v>
      </c>
      <c r="D2834">
        <v>29</v>
      </c>
      <c r="E2834">
        <v>62</v>
      </c>
      <c r="F2834">
        <f t="shared" si="176"/>
        <v>-1.4802438414994092</v>
      </c>
      <c r="G2834">
        <f t="shared" si="177"/>
        <v>-1.4203711628602225</v>
      </c>
      <c r="I2834">
        <f t="shared" si="179"/>
        <v>-1.450307502179816</v>
      </c>
    </row>
    <row r="2835" spans="1:9">
      <c r="A2835" t="s">
        <v>24</v>
      </c>
      <c r="B2835" s="2">
        <f t="shared" si="178"/>
        <v>136</v>
      </c>
      <c r="C2835">
        <v>214</v>
      </c>
      <c r="D2835">
        <v>50</v>
      </c>
      <c r="E2835">
        <v>14</v>
      </c>
      <c r="F2835">
        <f t="shared" si="176"/>
        <v>-1.4279575727332994</v>
      </c>
      <c r="G2835">
        <f t="shared" si="177"/>
        <v>-2.250920554351191</v>
      </c>
      <c r="I2835">
        <f t="shared" si="179"/>
        <v>-1.8394390635422453</v>
      </c>
    </row>
    <row r="2836" spans="1:9">
      <c r="A2836" t="s">
        <v>25</v>
      </c>
      <c r="B2836" s="2">
        <f t="shared" si="178"/>
        <v>136</v>
      </c>
      <c r="C2836">
        <v>175</v>
      </c>
      <c r="D2836">
        <v>305</v>
      </c>
      <c r="E2836">
        <v>18</v>
      </c>
      <c r="F2836">
        <f t="shared" si="176"/>
        <v>-0.5552520130596359</v>
      </c>
      <c r="G2836">
        <f t="shared" si="177"/>
        <v>-2.0544003602632266</v>
      </c>
      <c r="I2836">
        <f t="shared" si="179"/>
        <v>-1.3048261866614312</v>
      </c>
    </row>
    <row r="2837" spans="1:9">
      <c r="A2837" t="s">
        <v>7</v>
      </c>
      <c r="B2837" s="2">
        <f t="shared" si="178"/>
        <v>137</v>
      </c>
      <c r="C2837">
        <v>134</v>
      </c>
      <c r="D2837">
        <v>2</v>
      </c>
      <c r="E2837">
        <v>13</v>
      </c>
      <c r="F2837">
        <f t="shared" si="176"/>
        <v>-2.6225886064209538</v>
      </c>
      <c r="G2837">
        <f t="shared" si="177"/>
        <v>-2.0797962627382089</v>
      </c>
      <c r="I2837">
        <f t="shared" si="179"/>
        <v>-2.3511924345795814</v>
      </c>
    </row>
    <row r="2838" spans="1:9">
      <c r="A2838" t="s">
        <v>8</v>
      </c>
      <c r="B2838" s="2">
        <f t="shared" si="178"/>
        <v>137</v>
      </c>
      <c r="C2838">
        <v>258</v>
      </c>
      <c r="D2838">
        <v>37</v>
      </c>
      <c r="E2838">
        <v>17</v>
      </c>
      <c r="F2838">
        <f t="shared" si="176"/>
        <v>-1.6399317856163624</v>
      </c>
      <c r="G2838">
        <f t="shared" si="177"/>
        <v>-2.2478056012651946</v>
      </c>
      <c r="I2838">
        <f t="shared" si="179"/>
        <v>-1.9438686934407785</v>
      </c>
    </row>
    <row r="2839" spans="1:9">
      <c r="A2839" t="s">
        <v>5</v>
      </c>
      <c r="B2839" s="2">
        <f t="shared" si="178"/>
        <v>137</v>
      </c>
      <c r="C2839">
        <v>84</v>
      </c>
      <c r="D2839">
        <v>1</v>
      </c>
      <c r="E2839">
        <v>8</v>
      </c>
      <c r="F2839">
        <f t="shared" si="176"/>
        <v>-2.720793089782009</v>
      </c>
      <c r="G2839">
        <f t="shared" si="177"/>
        <v>-2.087824115750176</v>
      </c>
      <c r="I2839">
        <f t="shared" si="179"/>
        <v>-2.4043086027660925</v>
      </c>
    </row>
    <row r="2840" spans="1:9">
      <c r="A2840" t="s">
        <v>6</v>
      </c>
      <c r="B2840" s="2">
        <f t="shared" si="178"/>
        <v>137</v>
      </c>
      <c r="C2840">
        <v>315</v>
      </c>
      <c r="D2840">
        <v>197</v>
      </c>
      <c r="E2840">
        <v>18</v>
      </c>
      <c r="F2840">
        <f t="shared" si="176"/>
        <v>-1.0003581313481349</v>
      </c>
      <c r="G2840">
        <f t="shared" si="177"/>
        <v>-2.3096728653665326</v>
      </c>
      <c r="I2840">
        <f t="shared" si="179"/>
        <v>-1.6550154983573337</v>
      </c>
    </row>
    <row r="2841" spans="1:9">
      <c r="A2841" t="s">
        <v>10</v>
      </c>
      <c r="B2841" s="2">
        <f t="shared" si="178"/>
        <v>137</v>
      </c>
      <c r="C2841">
        <v>248</v>
      </c>
      <c r="D2841">
        <v>371</v>
      </c>
      <c r="E2841">
        <v>21</v>
      </c>
      <c r="F2841">
        <f t="shared" si="176"/>
        <v>-0.6215915749312978</v>
      </c>
      <c r="G2841">
        <f t="shared" si="177"/>
        <v>-2.1388672027725351</v>
      </c>
      <c r="I2841">
        <f t="shared" si="179"/>
        <v>-1.3802293888519164</v>
      </c>
    </row>
    <row r="2842" spans="1:9">
      <c r="A2842" t="s">
        <v>11</v>
      </c>
      <c r="B2842" s="2">
        <f t="shared" si="178"/>
        <v>137</v>
      </c>
      <c r="C2842">
        <v>192</v>
      </c>
      <c r="D2842">
        <v>18</v>
      </c>
      <c r="E2842">
        <v>23</v>
      </c>
      <c r="F2842">
        <f t="shared" si="176"/>
        <v>-1.8245425273203708</v>
      </c>
      <c r="G2842">
        <f t="shared" si="177"/>
        <v>-1.9882082093661948</v>
      </c>
      <c r="I2842">
        <f t="shared" si="179"/>
        <v>-1.9063753683432827</v>
      </c>
    </row>
    <row r="2843" spans="1:9">
      <c r="A2843" t="s">
        <v>12</v>
      </c>
      <c r="B2843" s="2">
        <f t="shared" si="178"/>
        <v>137</v>
      </c>
      <c r="C2843">
        <v>268</v>
      </c>
      <c r="D2843">
        <v>15</v>
      </c>
      <c r="E2843">
        <v>33</v>
      </c>
      <c r="F2843">
        <f t="shared" ref="F2843:F2906" si="180">LOG10(D2843/C2843)-LOG10(255266/40783)</f>
        <v>-2.048557338693235</v>
      </c>
      <c r="G2843">
        <f t="shared" ref="G2843:G2906" si="181">LOG10(E2843/C2843)-LOG10(475460/40783)</f>
        <v>-1.9762556708311396</v>
      </c>
      <c r="I2843">
        <f t="shared" si="179"/>
        <v>-2.0124065047621871</v>
      </c>
    </row>
    <row r="2844" spans="1:9">
      <c r="A2844" t="s">
        <v>9</v>
      </c>
      <c r="B2844" s="2">
        <f t="shared" si="178"/>
        <v>137</v>
      </c>
      <c r="C2844">
        <v>133</v>
      </c>
      <c r="D2844">
        <v>2</v>
      </c>
      <c r="E2844">
        <v>8</v>
      </c>
      <c r="F2844">
        <f t="shared" si="180"/>
        <v>-2.6193354490232319</v>
      </c>
      <c r="G2844">
        <f t="shared" si="181"/>
        <v>-2.2873964706553807</v>
      </c>
      <c r="I2844">
        <f t="shared" si="179"/>
        <v>-2.4533659598393065</v>
      </c>
    </row>
    <row r="2845" spans="1:9">
      <c r="A2845" t="s">
        <v>13</v>
      </c>
      <c r="B2845" s="2">
        <f t="shared" si="178"/>
        <v>137</v>
      </c>
      <c r="C2845">
        <v>23</v>
      </c>
      <c r="D2845">
        <v>107</v>
      </c>
      <c r="E2845">
        <v>187</v>
      </c>
      <c r="F2845">
        <f t="shared" si="180"/>
        <v>-0.1288578620525106</v>
      </c>
      <c r="G2845">
        <f t="shared" si="181"/>
        <v>-0.15652104616133211</v>
      </c>
      <c r="I2845">
        <f t="shared" si="179"/>
        <v>-0.14268945410692135</v>
      </c>
    </row>
    <row r="2846" spans="1:9">
      <c r="A2846" t="s">
        <v>14</v>
      </c>
      <c r="B2846" s="2">
        <f t="shared" si="178"/>
        <v>137</v>
      </c>
      <c r="C2846">
        <v>134</v>
      </c>
      <c r="D2846">
        <v>65</v>
      </c>
      <c r="E2846">
        <v>7</v>
      </c>
      <c r="F2846">
        <f t="shared" si="180"/>
        <v>-1.1107052454420794</v>
      </c>
      <c r="G2846">
        <f t="shared" si="181"/>
        <v>-2.348641575030789</v>
      </c>
      <c r="I2846">
        <f t="shared" si="179"/>
        <v>-1.7296734102364342</v>
      </c>
    </row>
    <row r="2847" spans="1:9">
      <c r="A2847" t="s">
        <v>15</v>
      </c>
      <c r="B2847" s="2">
        <f t="shared" si="178"/>
        <v>137</v>
      </c>
      <c r="C2847">
        <v>221</v>
      </c>
      <c r="D2847">
        <v>2720</v>
      </c>
      <c r="E2847">
        <v>55</v>
      </c>
      <c r="F2847">
        <f t="shared" si="180"/>
        <v>0.2936628266289607</v>
      </c>
      <c r="G2847">
        <f t="shared" si="181"/>
        <v>-1.6706644008711051</v>
      </c>
      <c r="I2847">
        <f t="shared" si="179"/>
        <v>-0.68850078712107221</v>
      </c>
    </row>
    <row r="2848" spans="1:9">
      <c r="A2848" t="s">
        <v>16</v>
      </c>
      <c r="B2848" s="2">
        <f t="shared" si="178"/>
        <v>137</v>
      </c>
      <c r="C2848">
        <v>258</v>
      </c>
      <c r="D2848">
        <v>32</v>
      </c>
      <c r="E2848">
        <v>26</v>
      </c>
      <c r="F2848">
        <f t="shared" si="180"/>
        <v>-1.7029835313634516</v>
      </c>
      <c r="G2848">
        <f t="shared" si="181"/>
        <v>-2.0632811746726505</v>
      </c>
      <c r="I2848">
        <f t="shared" si="179"/>
        <v>-1.883132353018051</v>
      </c>
    </row>
    <row r="2849" spans="1:9">
      <c r="A2849" t="s">
        <v>17</v>
      </c>
      <c r="B2849" s="2">
        <f t="shared" si="178"/>
        <v>137</v>
      </c>
      <c r="C2849">
        <v>202</v>
      </c>
      <c r="D2849">
        <v>70</v>
      </c>
      <c r="E2849">
        <v>14</v>
      </c>
      <c r="F2849">
        <f t="shared" si="180"/>
        <v>-1.2567671331524943</v>
      </c>
      <c r="G2849">
        <f t="shared" si="181"/>
        <v>-2.2258581504486239</v>
      </c>
      <c r="I2849">
        <f t="shared" si="179"/>
        <v>-1.7413126418005591</v>
      </c>
    </row>
    <row r="2850" spans="1:9">
      <c r="A2850" t="s">
        <v>18</v>
      </c>
      <c r="B2850" s="2">
        <f t="shared" si="178"/>
        <v>137</v>
      </c>
      <c r="C2850">
        <v>290</v>
      </c>
      <c r="D2850">
        <v>19</v>
      </c>
      <c r="E2850">
        <v>25</v>
      </c>
      <c r="F2850">
        <f t="shared" si="180"/>
        <v>-1.9801582006662544</v>
      </c>
      <c r="G2850">
        <f t="shared" si="181"/>
        <v>-2.1310928059071568</v>
      </c>
      <c r="I2850">
        <f t="shared" si="179"/>
        <v>-2.0556255032867057</v>
      </c>
    </row>
    <row r="2851" spans="1:9">
      <c r="A2851" t="s">
        <v>19</v>
      </c>
      <c r="B2851" s="2">
        <f t="shared" si="178"/>
        <v>137</v>
      </c>
      <c r="C2851">
        <v>343</v>
      </c>
      <c r="D2851">
        <v>974</v>
      </c>
      <c r="E2851">
        <v>106</v>
      </c>
      <c r="F2851">
        <f t="shared" si="180"/>
        <v>-0.34324896688428236</v>
      </c>
      <c r="G2851">
        <f t="shared" si="181"/>
        <v>-1.5766230714582385</v>
      </c>
      <c r="I2851">
        <f t="shared" si="179"/>
        <v>-0.95993601917126048</v>
      </c>
    </row>
    <row r="2852" spans="1:9">
      <c r="A2852" t="s">
        <v>20</v>
      </c>
      <c r="B2852" s="2">
        <f t="shared" si="178"/>
        <v>137</v>
      </c>
      <c r="C2852">
        <v>129</v>
      </c>
      <c r="D2852">
        <v>163</v>
      </c>
      <c r="E2852">
        <v>22</v>
      </c>
      <c r="F2852">
        <f t="shared" si="180"/>
        <v>-0.69491590961541849</v>
      </c>
      <c r="G2852">
        <f t="shared" si="181"/>
        <v>-1.8348018461572808</v>
      </c>
      <c r="I2852">
        <f t="shared" si="179"/>
        <v>-1.2648588778863497</v>
      </c>
    </row>
    <row r="2853" spans="1:9">
      <c r="A2853" t="s">
        <v>21</v>
      </c>
      <c r="B2853" s="2">
        <f t="shared" si="178"/>
        <v>137</v>
      </c>
      <c r="C2853">
        <v>239</v>
      </c>
      <c r="D2853">
        <v>3</v>
      </c>
      <c r="E2853">
        <v>11</v>
      </c>
      <c r="F2853">
        <f t="shared" si="180"/>
        <v>-2.6977904499486027</v>
      </c>
      <c r="G2853">
        <f t="shared" si="181"/>
        <v>-2.4036400324701508</v>
      </c>
      <c r="I2853">
        <f t="shared" si="179"/>
        <v>-2.5507152412093768</v>
      </c>
    </row>
    <row r="2854" spans="1:9">
      <c r="A2854" t="s">
        <v>22</v>
      </c>
      <c r="B2854" s="2">
        <f t="shared" si="178"/>
        <v>137</v>
      </c>
      <c r="C2854">
        <v>135</v>
      </c>
      <c r="D2854">
        <v>21</v>
      </c>
      <c r="E2854">
        <v>13</v>
      </c>
      <c r="F2854">
        <f t="shared" si="180"/>
        <v>-1.6046282774812142</v>
      </c>
      <c r="G2854">
        <f t="shared" si="181"/>
        <v>-2.0830252328684074</v>
      </c>
      <c r="I2854">
        <f t="shared" si="179"/>
        <v>-1.8438267551748106</v>
      </c>
    </row>
    <row r="2855" spans="1:9">
      <c r="A2855" t="s">
        <v>23</v>
      </c>
      <c r="B2855" s="2">
        <f t="shared" si="178"/>
        <v>137</v>
      </c>
      <c r="C2855">
        <v>197</v>
      </c>
      <c r="D2855">
        <v>26</v>
      </c>
      <c r="E2855">
        <v>23</v>
      </c>
      <c r="F2855">
        <f t="shared" si="180"/>
        <v>-1.6760066819109023</v>
      </c>
      <c r="G2855">
        <f t="shared" si="181"/>
        <v>-1.9993732068242382</v>
      </c>
      <c r="I2855">
        <f t="shared" si="179"/>
        <v>-1.8376899443675703</v>
      </c>
    </row>
    <row r="2856" spans="1:9">
      <c r="A2856" t="s">
        <v>24</v>
      </c>
      <c r="B2856" s="2">
        <f t="shared" si="178"/>
        <v>137</v>
      </c>
      <c r="C2856">
        <v>219</v>
      </c>
      <c r="D2856">
        <v>188</v>
      </c>
      <c r="E2856">
        <v>20</v>
      </c>
      <c r="F2856">
        <f t="shared" si="180"/>
        <v>-0.86280006929656583</v>
      </c>
      <c r="G2856">
        <f t="shared" si="181"/>
        <v>-2.1060489358563754</v>
      </c>
      <c r="I2856">
        <f t="shared" si="179"/>
        <v>-1.4844245025764706</v>
      </c>
    </row>
    <row r="2857" spans="1:9">
      <c r="A2857" t="s">
        <v>25</v>
      </c>
      <c r="B2857" s="2">
        <f t="shared" si="178"/>
        <v>137</v>
      </c>
      <c r="C2857">
        <v>217</v>
      </c>
      <c r="D2857">
        <v>103</v>
      </c>
      <c r="E2857">
        <v>22</v>
      </c>
      <c r="F2857">
        <f t="shared" si="180"/>
        <v>-1.1201363128634847</v>
      </c>
      <c r="G2857">
        <f t="shared" si="181"/>
        <v>-2.0606718697065616</v>
      </c>
      <c r="I2857">
        <f t="shared" si="179"/>
        <v>-1.590404091285023</v>
      </c>
    </row>
    <row r="2858" spans="1:9">
      <c r="A2858" t="s">
        <v>7</v>
      </c>
      <c r="B2858" s="2">
        <f t="shared" si="178"/>
        <v>138</v>
      </c>
      <c r="C2858">
        <v>113</v>
      </c>
      <c r="D2858">
        <v>1</v>
      </c>
      <c r="E2858">
        <v>9</v>
      </c>
      <c r="F2858">
        <f t="shared" si="180"/>
        <v>-2.8495922472035473</v>
      </c>
      <c r="G2858">
        <f t="shared" si="181"/>
        <v>-2.1654707507243334</v>
      </c>
      <c r="I2858">
        <f t="shared" si="179"/>
        <v>-2.5075314989639406</v>
      </c>
    </row>
    <row r="2859" spans="1:9">
      <c r="A2859" t="s">
        <v>8</v>
      </c>
      <c r="B2859" s="2">
        <f t="shared" si="178"/>
        <v>138</v>
      </c>
      <c r="C2859">
        <v>250</v>
      </c>
      <c r="D2859">
        <v>384</v>
      </c>
      <c r="E2859">
        <v>78</v>
      </c>
      <c r="F2859">
        <f t="shared" si="180"/>
        <v>-0.61012258802463415</v>
      </c>
      <c r="G2859">
        <f t="shared" si="181"/>
        <v>-1.5724802226617953</v>
      </c>
      <c r="I2859">
        <f t="shared" si="179"/>
        <v>-1.0913014053432146</v>
      </c>
    </row>
    <row r="2860" spans="1:9">
      <c r="A2860" t="s">
        <v>5</v>
      </c>
      <c r="B2860" s="2">
        <f t="shared" si="178"/>
        <v>138</v>
      </c>
      <c r="C2860">
        <v>121</v>
      </c>
      <c r="D2860">
        <v>4</v>
      </c>
      <c r="E2860">
        <v>9</v>
      </c>
      <c r="F2860">
        <f t="shared" si="180"/>
        <v>-2.2772391827086151</v>
      </c>
      <c r="G2860">
        <f t="shared" si="181"/>
        <v>-2.1951776775573633</v>
      </c>
      <c r="I2860">
        <f t="shared" si="179"/>
        <v>-2.2362084301329892</v>
      </c>
    </row>
    <row r="2861" spans="1:9">
      <c r="A2861" t="s">
        <v>6</v>
      </c>
      <c r="B2861" s="2">
        <f t="shared" si="178"/>
        <v>138</v>
      </c>
      <c r="C2861">
        <v>301</v>
      </c>
      <c r="D2861">
        <v>38</v>
      </c>
      <c r="E2861">
        <v>44</v>
      </c>
      <c r="F2861">
        <f t="shared" si="180"/>
        <v>-1.6952967026971606</v>
      </c>
      <c r="G2861">
        <f t="shared" si="181"/>
        <v>-1.9017486357878941</v>
      </c>
      <c r="I2861">
        <f t="shared" si="179"/>
        <v>-1.7985226692425273</v>
      </c>
    </row>
    <row r="2862" spans="1:9">
      <c r="A2862" t="s">
        <v>10</v>
      </c>
      <c r="B2862" s="2">
        <f t="shared" si="178"/>
        <v>138</v>
      </c>
      <c r="C2862">
        <v>171</v>
      </c>
      <c r="D2862">
        <v>10</v>
      </c>
      <c r="E2862">
        <v>12</v>
      </c>
      <c r="F2862">
        <f t="shared" si="180"/>
        <v>-2.029509914112281</v>
      </c>
      <c r="G2862">
        <f t="shared" si="181"/>
        <v>-2.2204496810247671</v>
      </c>
      <c r="I2862">
        <f t="shared" si="179"/>
        <v>-2.1249797975685238</v>
      </c>
    </row>
    <row r="2863" spans="1:9">
      <c r="A2863" t="s">
        <v>11</v>
      </c>
      <c r="B2863" s="2">
        <f t="shared" si="178"/>
        <v>138</v>
      </c>
      <c r="C2863">
        <v>146</v>
      </c>
      <c r="D2863">
        <v>164</v>
      </c>
      <c r="E2863">
        <v>9</v>
      </c>
      <c r="F2863">
        <f t="shared" si="180"/>
        <v>-0.74602281145686655</v>
      </c>
      <c r="G2863">
        <f t="shared" si="181"/>
        <v>-2.2767451630253506</v>
      </c>
      <c r="I2863">
        <f t="shared" si="179"/>
        <v>-1.5113839872411086</v>
      </c>
    </row>
    <row r="2864" spans="1:9">
      <c r="A2864" t="s">
        <v>12</v>
      </c>
      <c r="B2864" s="2">
        <f t="shared" si="178"/>
        <v>138</v>
      </c>
      <c r="C2864">
        <v>149</v>
      </c>
      <c r="D2864">
        <v>72</v>
      </c>
      <c r="E2864">
        <v>11</v>
      </c>
      <c r="F2864">
        <f t="shared" si="180"/>
        <v>-1.1123675757011329</v>
      </c>
      <c r="G2864">
        <f t="shared" si="181"/>
        <v>-2.1984283999342873</v>
      </c>
      <c r="I2864">
        <f t="shared" si="179"/>
        <v>-1.6553979878177101</v>
      </c>
    </row>
    <row r="2865" spans="1:9">
      <c r="A2865" t="s">
        <v>9</v>
      </c>
      <c r="B2865" s="2">
        <f t="shared" si="178"/>
        <v>138</v>
      </c>
      <c r="C2865">
        <v>106</v>
      </c>
      <c r="D2865">
        <v>142</v>
      </c>
      <c r="E2865">
        <v>4</v>
      </c>
      <c r="F2865">
        <f t="shared" si="180"/>
        <v>-0.66953132460184117</v>
      </c>
      <c r="G2865">
        <f t="shared" si="181"/>
        <v>-2.4898806906170461</v>
      </c>
      <c r="I2865">
        <f t="shared" si="179"/>
        <v>-1.5797060076094436</v>
      </c>
    </row>
    <row r="2866" spans="1:9">
      <c r="A2866" t="s">
        <v>13</v>
      </c>
      <c r="B2866" s="2">
        <f t="shared" si="178"/>
        <v>138</v>
      </c>
      <c r="C2866">
        <v>145</v>
      </c>
      <c r="D2866">
        <v>278</v>
      </c>
      <c r="E2866">
        <v>347</v>
      </c>
      <c r="F2866">
        <f t="shared" si="180"/>
        <v>-0.51383701003702598</v>
      </c>
      <c r="G2866">
        <f t="shared" si="181"/>
        <v>-0.68767334412433934</v>
      </c>
      <c r="I2866">
        <f t="shared" si="179"/>
        <v>-0.60075517708068271</v>
      </c>
    </row>
    <row r="2867" spans="1:9">
      <c r="A2867" t="s">
        <v>14</v>
      </c>
      <c r="B2867" s="2">
        <f t="shared" si="178"/>
        <v>138</v>
      </c>
      <c r="C2867">
        <v>183</v>
      </c>
      <c r="D2867">
        <v>36</v>
      </c>
      <c r="E2867">
        <v>54</v>
      </c>
      <c r="F2867">
        <f t="shared" si="180"/>
        <v>-1.5026623926832696</v>
      </c>
      <c r="G2867">
        <f t="shared" si="181"/>
        <v>-1.5966921465876993</v>
      </c>
      <c r="I2867">
        <f t="shared" si="179"/>
        <v>-1.5496772696354846</v>
      </c>
    </row>
    <row r="2868" spans="1:9">
      <c r="A2868" t="s">
        <v>15</v>
      </c>
      <c r="B2868" s="2">
        <f t="shared" si="178"/>
        <v>138</v>
      </c>
      <c r="C2868">
        <v>2</v>
      </c>
      <c r="D2868">
        <v>16</v>
      </c>
      <c r="E2868">
        <v>50</v>
      </c>
      <c r="F2868">
        <f t="shared" si="180"/>
        <v>0.10657618327181617</v>
      </c>
      <c r="G2868">
        <f t="shared" si="181"/>
        <v>0.33130519199179953</v>
      </c>
      <c r="I2868">
        <f t="shared" si="179"/>
        <v>0.21894068763180785</v>
      </c>
    </row>
    <row r="2869" spans="1:9">
      <c r="A2869" t="s">
        <v>16</v>
      </c>
      <c r="B2869" s="2">
        <f t="shared" si="178"/>
        <v>138</v>
      </c>
      <c r="C2869">
        <v>256</v>
      </c>
      <c r="D2869">
        <v>381</v>
      </c>
      <c r="E2869">
        <v>34</v>
      </c>
      <c r="F2869">
        <f t="shared" si="180"/>
        <v>-0.62382879335635766</v>
      </c>
      <c r="G2869">
        <f t="shared" si="181"/>
        <v>-1.9433958649498326</v>
      </c>
      <c r="I2869">
        <f t="shared" si="179"/>
        <v>-1.2836123291530952</v>
      </c>
    </row>
    <row r="2870" spans="1:9">
      <c r="A2870" t="s">
        <v>17</v>
      </c>
      <c r="B2870" s="2">
        <f t="shared" si="178"/>
        <v>138</v>
      </c>
      <c r="C2870">
        <v>165</v>
      </c>
      <c r="D2870">
        <v>57</v>
      </c>
      <c r="E2870">
        <v>18</v>
      </c>
      <c r="F2870">
        <f t="shared" si="180"/>
        <v>-1.2581228922615422</v>
      </c>
      <c r="G2870">
        <f t="shared" si="181"/>
        <v>-2.0288462557908384</v>
      </c>
      <c r="I2870">
        <f t="shared" si="179"/>
        <v>-1.6434845740261903</v>
      </c>
    </row>
    <row r="2871" spans="1:9">
      <c r="A2871" t="s">
        <v>18</v>
      </c>
      <c r="B2871" s="2">
        <f t="shared" si="178"/>
        <v>138</v>
      </c>
      <c r="C2871">
        <v>136</v>
      </c>
      <c r="D2871">
        <v>327</v>
      </c>
      <c r="E2871">
        <v>159</v>
      </c>
      <c r="F2871">
        <f t="shared" si="180"/>
        <v>-0.41550495943005883</v>
      </c>
      <c r="G2871">
        <f t="shared" si="181"/>
        <v>-0.99877660073000418</v>
      </c>
      <c r="I2871">
        <f t="shared" si="179"/>
        <v>-0.70714078008003156</v>
      </c>
    </row>
    <row r="2872" spans="1:9">
      <c r="A2872" t="s">
        <v>19</v>
      </c>
      <c r="B2872" s="2">
        <f t="shared" si="178"/>
        <v>138</v>
      </c>
      <c r="C2872">
        <v>174</v>
      </c>
      <c r="D2872">
        <v>192</v>
      </c>
      <c r="E2872">
        <v>136</v>
      </c>
      <c r="F2872">
        <f t="shared" si="180"/>
        <v>-0.75376182329917751</v>
      </c>
      <c r="G2872">
        <f t="shared" si="181"/>
        <v>-1.1736451565926203</v>
      </c>
      <c r="I2872">
        <f t="shared" si="179"/>
        <v>-0.96370348994589894</v>
      </c>
    </row>
    <row r="2873" spans="1:9">
      <c r="A2873" t="s">
        <v>20</v>
      </c>
      <c r="B2873" s="2">
        <f t="shared" si="178"/>
        <v>138</v>
      </c>
      <c r="C2873">
        <v>136</v>
      </c>
      <c r="D2873">
        <v>121</v>
      </c>
      <c r="E2873">
        <v>13</v>
      </c>
      <c r="F2873">
        <f t="shared" si="180"/>
        <v>-0.84726734177389484</v>
      </c>
      <c r="G2873">
        <f t="shared" si="181"/>
        <v>-2.0862303727436187</v>
      </c>
      <c r="I2873">
        <f t="shared" si="179"/>
        <v>-1.4667488572587568</v>
      </c>
    </row>
    <row r="2874" spans="1:9">
      <c r="A2874" t="s">
        <v>21</v>
      </c>
      <c r="B2874" s="2">
        <f t="shared" si="178"/>
        <v>138</v>
      </c>
      <c r="C2874">
        <v>204</v>
      </c>
      <c r="D2874">
        <v>42</v>
      </c>
      <c r="E2874">
        <v>21</v>
      </c>
      <c r="F2874">
        <f t="shared" si="180"/>
        <v>-1.4828946807481258</v>
      </c>
      <c r="G2874">
        <f t="shared" si="181"/>
        <v>-2.0540456893722174</v>
      </c>
      <c r="I2874">
        <f t="shared" si="179"/>
        <v>-1.7684701850601716</v>
      </c>
    </row>
    <row r="2875" spans="1:9">
      <c r="A2875" t="s">
        <v>22</v>
      </c>
      <c r="B2875" s="2">
        <f t="shared" si="178"/>
        <v>138</v>
      </c>
      <c r="C2875">
        <v>101</v>
      </c>
      <c r="D2875">
        <v>3</v>
      </c>
      <c r="E2875">
        <v>6</v>
      </c>
      <c r="F2875">
        <f t="shared" si="180"/>
        <v>-2.3237139227831074</v>
      </c>
      <c r="G2875">
        <f t="shared" si="181"/>
        <v>-2.292804940079237</v>
      </c>
      <c r="I2875">
        <f t="shared" si="179"/>
        <v>-2.3082594314311722</v>
      </c>
    </row>
    <row r="2876" spans="1:9">
      <c r="A2876" t="s">
        <v>23</v>
      </c>
      <c r="B2876" s="2">
        <f t="shared" si="178"/>
        <v>138</v>
      </c>
      <c r="C2876">
        <v>199</v>
      </c>
      <c r="D2876">
        <v>6</v>
      </c>
      <c r="E2876">
        <v>10</v>
      </c>
      <c r="F2876">
        <f t="shared" si="180"/>
        <v>-2.3172156297461903</v>
      </c>
      <c r="G2876">
        <f t="shared" si="181"/>
        <v>-2.365487893089945</v>
      </c>
      <c r="I2876">
        <f t="shared" si="179"/>
        <v>-2.3413517614180677</v>
      </c>
    </row>
    <row r="2877" spans="1:9">
      <c r="A2877" t="s">
        <v>24</v>
      </c>
      <c r="B2877" s="2">
        <f t="shared" si="178"/>
        <v>138</v>
      </c>
      <c r="C2877">
        <v>229</v>
      </c>
      <c r="D2877">
        <v>14</v>
      </c>
      <c r="E2877">
        <v>21</v>
      </c>
      <c r="F2877">
        <f t="shared" si="180"/>
        <v>-2.0102212503817771</v>
      </c>
      <c r="G2877">
        <f t="shared" si="181"/>
        <v>-2.1042510042862066</v>
      </c>
      <c r="I2877">
        <f t="shared" si="179"/>
        <v>-2.0572361273339919</v>
      </c>
    </row>
    <row r="2878" spans="1:9">
      <c r="A2878" t="s">
        <v>25</v>
      </c>
      <c r="B2878" s="2">
        <f t="shared" si="178"/>
        <v>138</v>
      </c>
      <c r="C2878">
        <v>169</v>
      </c>
      <c r="D2878">
        <v>52</v>
      </c>
      <c r="E2878">
        <v>7</v>
      </c>
      <c r="F2878">
        <f t="shared" si="180"/>
        <v>-1.3083971646990018</v>
      </c>
      <c r="G2878">
        <f t="shared" si="181"/>
        <v>-2.4494234812796547</v>
      </c>
      <c r="I2878">
        <f t="shared" si="179"/>
        <v>-1.8789103229893283</v>
      </c>
    </row>
    <row r="2879" spans="1:9">
      <c r="A2879" t="s">
        <v>7</v>
      </c>
      <c r="B2879" s="2">
        <f t="shared" si="178"/>
        <v>139</v>
      </c>
      <c r="C2879">
        <v>175</v>
      </c>
      <c r="D2879">
        <v>6</v>
      </c>
      <c r="E2879">
        <v>12</v>
      </c>
      <c r="F2879">
        <f t="shared" si="180"/>
        <v>-2.2614006020227784</v>
      </c>
      <c r="G2879">
        <f t="shared" si="181"/>
        <v>-2.2304916193189079</v>
      </c>
      <c r="I2879">
        <f t="shared" si="179"/>
        <v>-2.2459461106708432</v>
      </c>
    </row>
    <row r="2880" spans="1:9">
      <c r="A2880" t="s">
        <v>8</v>
      </c>
      <c r="B2880" s="2">
        <f t="shared" si="178"/>
        <v>139</v>
      </c>
      <c r="C2880">
        <v>191</v>
      </c>
      <c r="D2880">
        <v>87</v>
      </c>
      <c r="E2880">
        <v>17</v>
      </c>
      <c r="F2880">
        <f t="shared" si="180"/>
        <v>-1.1380279183492363</v>
      </c>
      <c r="G2880">
        <f t="shared" si="181"/>
        <v>-2.1172192625496917</v>
      </c>
      <c r="I2880">
        <f t="shared" si="179"/>
        <v>-1.627623590449464</v>
      </c>
    </row>
    <row r="2881" spans="1:9">
      <c r="A2881" t="s">
        <v>5</v>
      </c>
      <c r="B2881" s="2">
        <f t="shared" si="178"/>
        <v>139</v>
      </c>
      <c r="C2881">
        <v>81</v>
      </c>
      <c r="D2881">
        <v>35</v>
      </c>
      <c r="E2881">
        <v>37</v>
      </c>
      <c r="F2881">
        <f t="shared" si="180"/>
        <v>-1.1609307782485014</v>
      </c>
      <c r="G2881">
        <f t="shared" si="181"/>
        <v>-1.4069181114918929</v>
      </c>
      <c r="I2881">
        <f t="shared" si="179"/>
        <v>-1.2839244448701972</v>
      </c>
    </row>
    <row r="2882" spans="1:9">
      <c r="A2882" t="s">
        <v>6</v>
      </c>
      <c r="B2882" s="2">
        <f t="shared" si="178"/>
        <v>139</v>
      </c>
      <c r="C2882">
        <v>277</v>
      </c>
      <c r="D2882">
        <v>859</v>
      </c>
      <c r="E2882">
        <v>131</v>
      </c>
      <c r="F2882">
        <f t="shared" si="180"/>
        <v>-0.30500040895333358</v>
      </c>
      <c r="G2882">
        <f t="shared" si="181"/>
        <v>-1.3918432900889224</v>
      </c>
      <c r="I2882">
        <f t="shared" si="179"/>
        <v>-0.84842184952112798</v>
      </c>
    </row>
    <row r="2883" spans="1:9">
      <c r="A2883" t="s">
        <v>10</v>
      </c>
      <c r="B2883" s="2">
        <f t="shared" ref="B2883:B2946" si="182">1+INT((ROW()-2)/21)+1</f>
        <v>139</v>
      </c>
      <c r="C2883">
        <v>212</v>
      </c>
      <c r="D2883">
        <v>36</v>
      </c>
      <c r="E2883">
        <v>16</v>
      </c>
      <c r="F2883">
        <f t="shared" si="180"/>
        <v>-1.5665471638815915</v>
      </c>
      <c r="G2883">
        <f t="shared" si="181"/>
        <v>-2.1888506949530648</v>
      </c>
      <c r="I2883">
        <f t="shared" ref="I2883:I2946" si="183">AVERAGE(F2883:G2883)</f>
        <v>-1.8776989294173281</v>
      </c>
    </row>
    <row r="2884" spans="1:9">
      <c r="A2884" t="s">
        <v>11</v>
      </c>
      <c r="B2884" s="2">
        <f t="shared" si="182"/>
        <v>139</v>
      </c>
      <c r="C2884">
        <v>168</v>
      </c>
      <c r="D2884">
        <v>187</v>
      </c>
      <c r="E2884">
        <v>10</v>
      </c>
      <c r="F2884">
        <f t="shared" si="180"/>
        <v>-0.74998147890949118</v>
      </c>
      <c r="G2884">
        <f t="shared" si="181"/>
        <v>-2.291944098406101</v>
      </c>
      <c r="I2884">
        <f t="shared" si="183"/>
        <v>-1.5209627886577961</v>
      </c>
    </row>
    <row r="2885" spans="1:9">
      <c r="A2885" t="s">
        <v>12</v>
      </c>
      <c r="B2885" s="2">
        <f t="shared" si="182"/>
        <v>139</v>
      </c>
      <c r="C2885">
        <v>133</v>
      </c>
      <c r="D2885">
        <v>7</v>
      </c>
      <c r="E2885">
        <v>15</v>
      </c>
      <c r="F2885">
        <f t="shared" si="180"/>
        <v>-2.0752674046729567</v>
      </c>
      <c r="G2885">
        <f t="shared" si="181"/>
        <v>-2.0143951985916426</v>
      </c>
      <c r="I2885">
        <f t="shared" si="183"/>
        <v>-2.0448313016322999</v>
      </c>
    </row>
    <row r="2886" spans="1:9">
      <c r="A2886" t="s">
        <v>9</v>
      </c>
      <c r="B2886" s="2">
        <f t="shared" si="182"/>
        <v>139</v>
      </c>
      <c r="C2886">
        <v>21</v>
      </c>
      <c r="D2886">
        <v>85</v>
      </c>
      <c r="E2886">
        <v>113</v>
      </c>
      <c r="F2886">
        <f t="shared" si="180"/>
        <v>-0.18931417273975393</v>
      </c>
      <c r="G2886">
        <f t="shared" si="181"/>
        <v>-0.33577566793073765</v>
      </c>
      <c r="I2886">
        <f t="shared" si="183"/>
        <v>-0.26254492033524579</v>
      </c>
    </row>
    <row r="2887" spans="1:9">
      <c r="A2887" t="s">
        <v>13</v>
      </c>
      <c r="B2887" s="2">
        <f t="shared" si="182"/>
        <v>139</v>
      </c>
      <c r="C2887">
        <v>200</v>
      </c>
      <c r="D2887">
        <v>0</v>
      </c>
      <c r="E2887">
        <v>34</v>
      </c>
      <c r="F2887" t="e">
        <f t="shared" si="180"/>
        <v>#NUM!</v>
      </c>
      <c r="G2887">
        <f t="shared" si="181"/>
        <v>-1.8361858953019641</v>
      </c>
      <c r="I2887" t="e">
        <f t="shared" si="183"/>
        <v>#NUM!</v>
      </c>
    </row>
    <row r="2888" spans="1:9">
      <c r="A2888" t="s">
        <v>14</v>
      </c>
      <c r="B2888" s="2">
        <f t="shared" si="182"/>
        <v>139</v>
      </c>
      <c r="C2888">
        <v>187</v>
      </c>
      <c r="D2888">
        <v>17</v>
      </c>
      <c r="E2888">
        <v>22</v>
      </c>
      <c r="F2888">
        <f t="shared" si="180"/>
        <v>-1.8379064888783523</v>
      </c>
      <c r="G2888">
        <f t="shared" si="181"/>
        <v>-1.996053742394531</v>
      </c>
      <c r="I2888">
        <f t="shared" si="183"/>
        <v>-1.9169801156364417</v>
      </c>
    </row>
    <row r="2889" spans="1:9">
      <c r="A2889" t="s">
        <v>15</v>
      </c>
      <c r="B2889" s="2">
        <f t="shared" si="182"/>
        <v>139</v>
      </c>
      <c r="C2889">
        <v>192</v>
      </c>
      <c r="D2889">
        <v>12</v>
      </c>
      <c r="E2889">
        <v>17</v>
      </c>
      <c r="F2889">
        <f t="shared" si="180"/>
        <v>-2.0006337863760519</v>
      </c>
      <c r="G2889">
        <f t="shared" si="181"/>
        <v>-2.1194871240055138</v>
      </c>
      <c r="I2889">
        <f t="shared" si="183"/>
        <v>-2.0600604551907828</v>
      </c>
    </row>
    <row r="2890" spans="1:9">
      <c r="A2890" t="s">
        <v>16</v>
      </c>
      <c r="B2890" s="2">
        <f t="shared" si="182"/>
        <v>139</v>
      </c>
      <c r="C2890">
        <v>392</v>
      </c>
      <c r="D2890">
        <v>30</v>
      </c>
      <c r="E2890">
        <v>31</v>
      </c>
      <c r="F2890">
        <f t="shared" si="180"/>
        <v>-1.9126786160209222</v>
      </c>
      <c r="G2890">
        <f t="shared" si="181"/>
        <v>-2.1685591898664227</v>
      </c>
      <c r="I2890">
        <f t="shared" si="183"/>
        <v>-2.0406189029436725</v>
      </c>
    </row>
    <row r="2891" spans="1:9">
      <c r="A2891" t="s">
        <v>17</v>
      </c>
      <c r="B2891" s="2">
        <f t="shared" si="182"/>
        <v>139</v>
      </c>
      <c r="C2891">
        <v>147</v>
      </c>
      <c r="D2891">
        <v>3219</v>
      </c>
      <c r="E2891">
        <v>78</v>
      </c>
      <c r="F2891">
        <f t="shared" si="180"/>
        <v>0.54388983821731007</v>
      </c>
      <c r="G2891">
        <f t="shared" si="181"/>
        <v>-1.3418575487379338</v>
      </c>
      <c r="I2891">
        <f t="shared" si="183"/>
        <v>-0.39898385526031188</v>
      </c>
    </row>
    <row r="2892" spans="1:9">
      <c r="A2892" t="s">
        <v>18</v>
      </c>
      <c r="B2892" s="2">
        <f t="shared" si="182"/>
        <v>139</v>
      </c>
      <c r="C2892">
        <v>435</v>
      </c>
      <c r="D2892">
        <v>908</v>
      </c>
      <c r="E2892">
        <v>91</v>
      </c>
      <c r="F2892">
        <f t="shared" si="180"/>
        <v>-0.4769172121536796</v>
      </c>
      <c r="G2892">
        <f t="shared" si="181"/>
        <v>-1.7460826813137817</v>
      </c>
      <c r="I2892">
        <f t="shared" si="183"/>
        <v>-1.1114999467337308</v>
      </c>
    </row>
    <row r="2893" spans="1:9">
      <c r="A2893" t="s">
        <v>19</v>
      </c>
      <c r="B2893" s="2">
        <f t="shared" si="182"/>
        <v>139</v>
      </c>
      <c r="C2893">
        <v>353</v>
      </c>
      <c r="D2893">
        <v>33</v>
      </c>
      <c r="E2893">
        <v>23</v>
      </c>
      <c r="F2893">
        <f t="shared" si="180"/>
        <v>-1.8257745692300624</v>
      </c>
      <c r="G2893">
        <f t="shared" si="181"/>
        <v>-2.2526816860504679</v>
      </c>
      <c r="I2893">
        <f t="shared" si="183"/>
        <v>-2.0392281276402651</v>
      </c>
    </row>
    <row r="2894" spans="1:9">
      <c r="A2894" t="s">
        <v>20</v>
      </c>
      <c r="B2894" s="2">
        <f t="shared" si="182"/>
        <v>139</v>
      </c>
      <c r="C2894">
        <v>169</v>
      </c>
      <c r="D2894">
        <v>31</v>
      </c>
      <c r="E2894">
        <v>6</v>
      </c>
      <c r="F2894">
        <f t="shared" si="180"/>
        <v>-1.5330388144995282</v>
      </c>
      <c r="G2894">
        <f t="shared" si="181"/>
        <v>-2.5163702709102678</v>
      </c>
      <c r="I2894">
        <f t="shared" si="183"/>
        <v>-2.0247045427048977</v>
      </c>
    </row>
    <row r="2895" spans="1:9">
      <c r="A2895" t="s">
        <v>21</v>
      </c>
      <c r="B2895" s="2">
        <f t="shared" si="182"/>
        <v>139</v>
      </c>
      <c r="C2895">
        <v>201</v>
      </c>
      <c r="D2895">
        <v>10857</v>
      </c>
      <c r="E2895">
        <v>3988</v>
      </c>
      <c r="F2895">
        <f t="shared" si="180"/>
        <v>0.93599997668724555</v>
      </c>
      <c r="G2895">
        <f t="shared" si="181"/>
        <v>0.23092427553889117</v>
      </c>
      <c r="I2895">
        <f t="shared" si="183"/>
        <v>0.58346212611306836</v>
      </c>
    </row>
    <row r="2896" spans="1:9">
      <c r="A2896" t="s">
        <v>22</v>
      </c>
      <c r="B2896" s="2">
        <f t="shared" si="182"/>
        <v>139</v>
      </c>
      <c r="C2896">
        <v>152</v>
      </c>
      <c r="D2896">
        <v>490</v>
      </c>
      <c r="E2896">
        <v>15</v>
      </c>
      <c r="F2896">
        <f t="shared" si="180"/>
        <v>-0.28816131163638625</v>
      </c>
      <c r="G2896">
        <f t="shared" si="181"/>
        <v>-2.0723871455693295</v>
      </c>
      <c r="I2896">
        <f t="shared" si="183"/>
        <v>-1.1802742286028578</v>
      </c>
    </row>
    <row r="2897" spans="1:9">
      <c r="A2897" t="s">
        <v>23</v>
      </c>
      <c r="B2897" s="2">
        <f t="shared" si="182"/>
        <v>139</v>
      </c>
      <c r="C2897">
        <v>182</v>
      </c>
      <c r="D2897">
        <v>153</v>
      </c>
      <c r="E2897">
        <v>18</v>
      </c>
      <c r="F2897">
        <f t="shared" si="180"/>
        <v>-0.8718937608876034</v>
      </c>
      <c r="G2897">
        <f t="shared" si="181"/>
        <v>-2.0714336995620068</v>
      </c>
      <c r="I2897">
        <f t="shared" si="183"/>
        <v>-1.471663730224805</v>
      </c>
    </row>
    <row r="2898" spans="1:9">
      <c r="A2898" t="s">
        <v>24</v>
      </c>
      <c r="B2898" s="2">
        <f t="shared" si="182"/>
        <v>139</v>
      </c>
      <c r="C2898">
        <v>208</v>
      </c>
      <c r="D2898">
        <v>1394</v>
      </c>
      <c r="E2898">
        <v>31</v>
      </c>
      <c r="F2898">
        <f t="shared" si="180"/>
        <v>2.9685635079101713E-2</v>
      </c>
      <c r="G2898">
        <f t="shared" si="181"/>
        <v>-1.8933364578087271</v>
      </c>
      <c r="I2898">
        <f t="shared" si="183"/>
        <v>-0.93182541136481267</v>
      </c>
    </row>
    <row r="2899" spans="1:9">
      <c r="A2899" t="s">
        <v>25</v>
      </c>
      <c r="B2899" s="2">
        <f t="shared" si="182"/>
        <v>139</v>
      </c>
      <c r="C2899">
        <v>192</v>
      </c>
      <c r="D2899">
        <v>144</v>
      </c>
      <c r="E2899">
        <v>17</v>
      </c>
      <c r="F2899">
        <f t="shared" si="180"/>
        <v>-0.92145254032842727</v>
      </c>
      <c r="G2899">
        <f t="shared" si="181"/>
        <v>-2.1194871240055138</v>
      </c>
      <c r="I2899">
        <f t="shared" si="183"/>
        <v>-1.5204698321669705</v>
      </c>
    </row>
    <row r="2900" spans="1:9">
      <c r="A2900" t="s">
        <v>7</v>
      </c>
      <c r="B2900" s="2">
        <f t="shared" si="182"/>
        <v>140</v>
      </c>
      <c r="C2900">
        <v>383</v>
      </c>
      <c r="D2900">
        <v>1186</v>
      </c>
      <c r="E2900">
        <v>4742</v>
      </c>
      <c r="F2900">
        <f t="shared" si="180"/>
        <v>-0.30562788866050628</v>
      </c>
      <c r="G2900">
        <f t="shared" si="181"/>
        <v>2.6127958993308331E-2</v>
      </c>
      <c r="I2900">
        <f t="shared" si="183"/>
        <v>-0.13974996483359897</v>
      </c>
    </row>
    <row r="2901" spans="1:9">
      <c r="A2901" t="s">
        <v>8</v>
      </c>
      <c r="B2901" s="2">
        <f t="shared" si="182"/>
        <v>140</v>
      </c>
      <c r="C2901">
        <v>15</v>
      </c>
      <c r="D2901">
        <v>68</v>
      </c>
      <c r="E2901">
        <v>115</v>
      </c>
      <c r="F2901">
        <f t="shared" si="180"/>
        <v>-0.14009615006957232</v>
      </c>
      <c r="G2901">
        <f t="shared" si="181"/>
        <v>-0.18202823538230772</v>
      </c>
      <c r="I2901">
        <f t="shared" si="183"/>
        <v>-0.16106219272594002</v>
      </c>
    </row>
    <row r="2902" spans="1:9">
      <c r="A2902" t="s">
        <v>5</v>
      </c>
      <c r="B2902" s="2">
        <f t="shared" si="182"/>
        <v>140</v>
      </c>
      <c r="C2902">
        <v>244</v>
      </c>
      <c r="D2902">
        <v>377</v>
      </c>
      <c r="E2902">
        <v>51</v>
      </c>
      <c r="F2902">
        <f t="shared" si="180"/>
        <v>-0.60756227985306388</v>
      </c>
      <c r="G2902">
        <f t="shared" si="181"/>
        <v>-1.7464544669210311</v>
      </c>
      <c r="I2902">
        <f t="shared" si="183"/>
        <v>-1.1770083733870476</v>
      </c>
    </row>
    <row r="2903" spans="1:9">
      <c r="A2903" t="s">
        <v>6</v>
      </c>
      <c r="B2903" s="2">
        <f t="shared" si="182"/>
        <v>140</v>
      </c>
      <c r="C2903">
        <v>152</v>
      </c>
      <c r="D2903">
        <v>103</v>
      </c>
      <c r="E2903">
        <v>27</v>
      </c>
      <c r="F2903">
        <f t="shared" si="180"/>
        <v>-0.96552016695972764</v>
      </c>
      <c r="G2903">
        <f t="shared" si="181"/>
        <v>-1.8171146404660234</v>
      </c>
      <c r="I2903">
        <f t="shared" si="183"/>
        <v>-1.3913174037128755</v>
      </c>
    </row>
    <row r="2904" spans="1:9">
      <c r="A2904" t="s">
        <v>10</v>
      </c>
      <c r="B2904" s="2">
        <f t="shared" si="182"/>
        <v>140</v>
      </c>
      <c r="C2904">
        <v>360</v>
      </c>
      <c r="D2904">
        <v>246</v>
      </c>
      <c r="E2904">
        <v>315</v>
      </c>
      <c r="F2904">
        <f t="shared" si="180"/>
        <v>-0.96188119738403555</v>
      </c>
      <c r="G2904">
        <f t="shared" si="181"/>
        <v>-1.124626763657925</v>
      </c>
      <c r="I2904">
        <f t="shared" si="183"/>
        <v>-1.0432539805209804</v>
      </c>
    </row>
    <row r="2905" spans="1:9">
      <c r="A2905" t="s">
        <v>11</v>
      </c>
      <c r="B2905" s="2">
        <f t="shared" si="182"/>
        <v>140</v>
      </c>
      <c r="C2905">
        <v>291</v>
      </c>
      <c r="D2905">
        <v>60</v>
      </c>
      <c r="E2905">
        <v>33</v>
      </c>
      <c r="F2905">
        <f t="shared" si="180"/>
        <v>-1.4822555423223911</v>
      </c>
      <c r="G2905">
        <f t="shared" si="181"/>
        <v>-2.012013865788258</v>
      </c>
      <c r="I2905">
        <f t="shared" si="183"/>
        <v>-1.7471347040553247</v>
      </c>
    </row>
    <row r="2906" spans="1:9">
      <c r="A2906" t="s">
        <v>12</v>
      </c>
      <c r="B2906" s="2">
        <f t="shared" si="182"/>
        <v>140</v>
      </c>
      <c r="C2906">
        <v>318</v>
      </c>
      <c r="D2906">
        <v>720</v>
      </c>
      <c r="E2906">
        <v>252</v>
      </c>
      <c r="F2906">
        <f t="shared" si="180"/>
        <v>-0.44160842727329158</v>
      </c>
      <c r="G2906">
        <f t="shared" si="181"/>
        <v>-1.1676613958831268</v>
      </c>
      <c r="I2906">
        <f t="shared" si="183"/>
        <v>-0.80463491157820921</v>
      </c>
    </row>
    <row r="2907" spans="1:9">
      <c r="A2907" t="s">
        <v>9</v>
      </c>
      <c r="B2907" s="2">
        <f t="shared" si="182"/>
        <v>140</v>
      </c>
      <c r="C2907">
        <v>187</v>
      </c>
      <c r="D2907">
        <v>50</v>
      </c>
      <c r="E2907">
        <v>157</v>
      </c>
      <c r="F2907">
        <f t="shared" ref="F2907:F2970" si="184">LOG10(D2907/C2907)-LOG10(255266/40783)</f>
        <v>-1.3693854059206076</v>
      </c>
      <c r="G2907">
        <f t="shared" ref="G2907:G2970" si="185">LOG10(E2907/C2907)-LOG10(475460/40783)</f>
        <v>-1.1425767708075034</v>
      </c>
      <c r="I2907">
        <f t="shared" si="183"/>
        <v>-1.2559810883640554</v>
      </c>
    </row>
    <row r="2908" spans="1:9">
      <c r="A2908" t="s">
        <v>13</v>
      </c>
      <c r="B2908" s="2">
        <f t="shared" si="182"/>
        <v>140</v>
      </c>
      <c r="C2908">
        <v>252</v>
      </c>
      <c r="D2908">
        <v>28</v>
      </c>
      <c r="E2908">
        <v>30</v>
      </c>
      <c r="F2908">
        <f t="shared" si="184"/>
        <v>-1.7507563131594521</v>
      </c>
      <c r="G2908">
        <f t="shared" si="185"/>
        <v>-1.9909141027421198</v>
      </c>
      <c r="I2908">
        <f t="shared" si="183"/>
        <v>-1.870835207950786</v>
      </c>
    </row>
    <row r="2909" spans="1:9">
      <c r="A2909" t="s">
        <v>14</v>
      </c>
      <c r="B2909" s="2">
        <f t="shared" si="182"/>
        <v>140</v>
      </c>
      <c r="C2909">
        <v>329</v>
      </c>
      <c r="D2909">
        <v>1493</v>
      </c>
      <c r="E2909">
        <v>126</v>
      </c>
      <c r="F2909">
        <f t="shared" si="184"/>
        <v>-0.13964989394507632</v>
      </c>
      <c r="G2909">
        <f t="shared" si="185"/>
        <v>-1.4834601695126497</v>
      </c>
      <c r="I2909">
        <f t="shared" si="183"/>
        <v>-0.81155503172886301</v>
      </c>
    </row>
    <row r="2910" spans="1:9">
      <c r="A2910" t="s">
        <v>15</v>
      </c>
      <c r="B2910" s="2">
        <f t="shared" si="182"/>
        <v>140</v>
      </c>
      <c r="C2910">
        <v>448</v>
      </c>
      <c r="D2910">
        <v>172</v>
      </c>
      <c r="E2910">
        <v>76</v>
      </c>
      <c r="F2910">
        <f t="shared" si="184"/>
        <v>-1.2122633708107224</v>
      </c>
      <c r="G2910">
        <f t="shared" si="185"/>
        <v>-1.8370992383975908</v>
      </c>
      <c r="I2910">
        <f t="shared" si="183"/>
        <v>-1.5246813046041567</v>
      </c>
    </row>
    <row r="2911" spans="1:9">
      <c r="A2911" t="s">
        <v>16</v>
      </c>
      <c r="B2911" s="2">
        <f t="shared" si="182"/>
        <v>140</v>
      </c>
      <c r="C2911">
        <v>286</v>
      </c>
      <c r="D2911">
        <v>85</v>
      </c>
      <c r="E2911">
        <v>51</v>
      </c>
      <c r="F2911">
        <f t="shared" si="184"/>
        <v>-1.3234609111348776</v>
      </c>
      <c r="G2911">
        <f t="shared" si="185"/>
        <v>-1.8154306737113448</v>
      </c>
      <c r="I2911">
        <f t="shared" si="183"/>
        <v>-1.5694457924231111</v>
      </c>
    </row>
    <row r="2912" spans="1:9">
      <c r="A2912" t="s">
        <v>17</v>
      </c>
      <c r="B2912" s="2">
        <f t="shared" si="182"/>
        <v>140</v>
      </c>
      <c r="C2912">
        <v>357</v>
      </c>
      <c r="D2912">
        <v>1492</v>
      </c>
      <c r="E2912">
        <v>48</v>
      </c>
      <c r="F2912">
        <f t="shared" si="184"/>
        <v>-0.17541319669567057</v>
      </c>
      <c r="G2912">
        <f t="shared" si="185"/>
        <v>-1.9380617954168442</v>
      </c>
      <c r="I2912">
        <f t="shared" si="183"/>
        <v>-1.0567374960562574</v>
      </c>
    </row>
    <row r="2913" spans="1:9">
      <c r="A2913" t="s">
        <v>18</v>
      </c>
      <c r="B2913" s="2">
        <f t="shared" si="182"/>
        <v>140</v>
      </c>
      <c r="C2913">
        <v>298</v>
      </c>
      <c r="D2913">
        <v>102</v>
      </c>
      <c r="E2913">
        <v>158</v>
      </c>
      <c r="F2913">
        <f t="shared" si="184"/>
        <v>-1.2621298960344651</v>
      </c>
      <c r="G2913">
        <f t="shared" si="185"/>
        <v>-1.3421939938020708</v>
      </c>
      <c r="I2913">
        <f t="shared" si="183"/>
        <v>-1.302161944918268</v>
      </c>
    </row>
    <row r="2914" spans="1:9">
      <c r="A2914" t="s">
        <v>19</v>
      </c>
      <c r="B2914" s="2">
        <f t="shared" si="182"/>
        <v>140</v>
      </c>
      <c r="C2914">
        <v>196</v>
      </c>
      <c r="D2914">
        <v>44</v>
      </c>
      <c r="E2914">
        <v>17</v>
      </c>
      <c r="F2914">
        <f t="shared" si="184"/>
        <v>-1.4453171985904159</v>
      </c>
      <c r="G2914">
        <f t="shared" si="185"/>
        <v>-2.12844196665844</v>
      </c>
      <c r="I2914">
        <f t="shared" si="183"/>
        <v>-1.7868795826244279</v>
      </c>
    </row>
    <row r="2915" spans="1:9">
      <c r="A2915" t="s">
        <v>20</v>
      </c>
      <c r="B2915" s="2">
        <f t="shared" si="182"/>
        <v>140</v>
      </c>
      <c r="C2915">
        <v>228</v>
      </c>
      <c r="D2915">
        <v>638</v>
      </c>
      <c r="E2915">
        <v>79</v>
      </c>
      <c r="F2915">
        <f t="shared" si="184"/>
        <v>-0.34962797199941881</v>
      </c>
      <c r="G2915">
        <f t="shared" si="185"/>
        <v>-1.5269425723902506</v>
      </c>
      <c r="I2915">
        <f t="shared" si="183"/>
        <v>-0.93828527219483471</v>
      </c>
    </row>
    <row r="2916" spans="1:9">
      <c r="A2916" t="s">
        <v>21</v>
      </c>
      <c r="B2916" s="2">
        <f t="shared" si="182"/>
        <v>140</v>
      </c>
      <c r="C2916">
        <v>269</v>
      </c>
      <c r="D2916">
        <v>904</v>
      </c>
      <c r="E2916">
        <v>55</v>
      </c>
      <c r="F2916">
        <f t="shared" si="184"/>
        <v>-0.27009765324717205</v>
      </c>
      <c r="G2916">
        <f t="shared" si="185"/>
        <v>-1.7560244071884024</v>
      </c>
      <c r="I2916">
        <f t="shared" si="183"/>
        <v>-1.0130610302177872</v>
      </c>
    </row>
    <row r="2917" spans="1:9">
      <c r="A2917" t="s">
        <v>22</v>
      </c>
      <c r="B2917" s="2">
        <f t="shared" si="182"/>
        <v>140</v>
      </c>
      <c r="C2917">
        <v>226</v>
      </c>
      <c r="D2917">
        <v>181</v>
      </c>
      <c r="E2917">
        <v>172</v>
      </c>
      <c r="F2917">
        <f t="shared" si="184"/>
        <v>-0.89294366799834379</v>
      </c>
      <c r="G2917">
        <f t="shared" si="185"/>
        <v>-1.1852148089200902</v>
      </c>
      <c r="I2917">
        <f t="shared" si="183"/>
        <v>-1.0390792384592169</v>
      </c>
    </row>
    <row r="2918" spans="1:9">
      <c r="A2918" t="s">
        <v>23</v>
      </c>
      <c r="B2918" s="2">
        <f t="shared" si="182"/>
        <v>140</v>
      </c>
      <c r="C2918">
        <v>176</v>
      </c>
      <c r="D2918">
        <v>144</v>
      </c>
      <c r="E2918">
        <v>80</v>
      </c>
      <c r="F2918">
        <f t="shared" si="184"/>
        <v>-0.88366397943902752</v>
      </c>
      <c r="G2918">
        <f t="shared" si="185"/>
        <v>-1.4090574975024444</v>
      </c>
      <c r="I2918">
        <f t="shared" si="183"/>
        <v>-1.1463607384707359</v>
      </c>
    </row>
    <row r="2919" spans="1:9">
      <c r="A2919" t="s">
        <v>24</v>
      </c>
      <c r="B2919" s="2">
        <f t="shared" si="182"/>
        <v>140</v>
      </c>
      <c r="C2919">
        <v>340</v>
      </c>
      <c r="D2919">
        <v>37</v>
      </c>
      <c r="E2919">
        <v>51</v>
      </c>
      <c r="F2919">
        <f t="shared" si="184"/>
        <v>-1.7597909966953875</v>
      </c>
      <c r="G2919">
        <f t="shared" si="185"/>
        <v>-1.8905435576245568</v>
      </c>
      <c r="I2919">
        <f t="shared" si="183"/>
        <v>-1.8251672771599723</v>
      </c>
    </row>
    <row r="2920" spans="1:9">
      <c r="A2920" t="s">
        <v>25</v>
      </c>
      <c r="B2920" s="2">
        <f t="shared" si="182"/>
        <v>140</v>
      </c>
      <c r="C2920">
        <v>308</v>
      </c>
      <c r="D2920">
        <v>10</v>
      </c>
      <c r="E2920">
        <v>29</v>
      </c>
      <c r="F2920">
        <f t="shared" si="184"/>
        <v>-2.2850645202205717</v>
      </c>
      <c r="G2920">
        <f t="shared" si="185"/>
        <v>-2.0927875352817265</v>
      </c>
      <c r="I2920">
        <f t="shared" si="183"/>
        <v>-2.1889260277511493</v>
      </c>
    </row>
    <row r="2921" spans="1:9">
      <c r="A2921" t="s">
        <v>7</v>
      </c>
      <c r="B2921" s="2">
        <f t="shared" si="182"/>
        <v>141</v>
      </c>
      <c r="C2921">
        <v>347</v>
      </c>
      <c r="D2921">
        <v>2074</v>
      </c>
      <c r="E2921">
        <v>63</v>
      </c>
      <c r="F2921">
        <f t="shared" si="184"/>
        <v>-2.0034526457978985E-2</v>
      </c>
      <c r="G2921">
        <f t="shared" si="185"/>
        <v>-1.8076237420175301</v>
      </c>
      <c r="I2921">
        <f t="shared" si="183"/>
        <v>-0.91382913423775447</v>
      </c>
    </row>
    <row r="2922" spans="1:9">
      <c r="A2922" t="s">
        <v>8</v>
      </c>
      <c r="B2922" s="2">
        <f t="shared" si="182"/>
        <v>141</v>
      </c>
      <c r="C2922">
        <v>337</v>
      </c>
      <c r="D2922">
        <v>5568</v>
      </c>
      <c r="E2922">
        <v>79</v>
      </c>
      <c r="F2922">
        <f t="shared" si="184"/>
        <v>0.42155552201103963</v>
      </c>
      <c r="G2922">
        <f t="shared" si="185"/>
        <v>-1.6966376262611353</v>
      </c>
      <c r="I2922">
        <f t="shared" si="183"/>
        <v>-0.63754105212504786</v>
      </c>
    </row>
    <row r="2923" spans="1:9">
      <c r="A2923" t="s">
        <v>5</v>
      </c>
      <c r="B2923" s="2">
        <f t="shared" si="182"/>
        <v>141</v>
      </c>
      <c r="C2923">
        <v>337</v>
      </c>
      <c r="D2923">
        <v>25</v>
      </c>
      <c r="E2923">
        <v>19</v>
      </c>
      <c r="F2923">
        <f t="shared" si="184"/>
        <v>-1.9262036959194284</v>
      </c>
      <c r="G2923">
        <f t="shared" si="185"/>
        <v>-2.3155111165987479</v>
      </c>
      <c r="I2923">
        <f t="shared" si="183"/>
        <v>-2.1208574062590881</v>
      </c>
    </row>
    <row r="2924" spans="1:9">
      <c r="A2924" t="s">
        <v>6</v>
      </c>
      <c r="B2924" s="2">
        <f t="shared" si="182"/>
        <v>141</v>
      </c>
      <c r="C2924">
        <v>163</v>
      </c>
      <c r="D2924">
        <v>326</v>
      </c>
      <c r="E2924">
        <v>17</v>
      </c>
      <c r="F2924">
        <f t="shared" si="184"/>
        <v>-0.49548380805614617</v>
      </c>
      <c r="G2924">
        <f t="shared" si="185"/>
        <v>-2.0483734997059222</v>
      </c>
      <c r="I2924">
        <f t="shared" si="183"/>
        <v>-1.2719286538810342</v>
      </c>
    </row>
    <row r="2925" spans="1:9">
      <c r="A2925" t="s">
        <v>10</v>
      </c>
      <c r="B2925" s="2">
        <f t="shared" si="182"/>
        <v>141</v>
      </c>
      <c r="C2925">
        <v>173</v>
      </c>
      <c r="D2925">
        <v>20</v>
      </c>
      <c r="E2925">
        <v>12</v>
      </c>
      <c r="F2925">
        <f t="shared" si="184"/>
        <v>-1.7335299111849416</v>
      </c>
      <c r="G2925">
        <f t="shared" si="185"/>
        <v>-2.2254996737614086</v>
      </c>
      <c r="I2925">
        <f t="shared" si="183"/>
        <v>-1.9795147924731751</v>
      </c>
    </row>
    <row r="2926" spans="1:9">
      <c r="A2926" t="s">
        <v>11</v>
      </c>
      <c r="B2926" s="2">
        <f t="shared" si="182"/>
        <v>141</v>
      </c>
      <c r="C2926">
        <v>120</v>
      </c>
      <c r="D2926">
        <v>3</v>
      </c>
      <c r="E2926">
        <v>5</v>
      </c>
      <c r="F2926">
        <f t="shared" si="184"/>
        <v>-2.3985737950480894</v>
      </c>
      <c r="G2926">
        <f t="shared" si="185"/>
        <v>-2.4468460583918441</v>
      </c>
      <c r="I2926">
        <f t="shared" si="183"/>
        <v>-2.4227099267199668</v>
      </c>
    </row>
    <row r="2927" spans="1:9">
      <c r="A2927" t="s">
        <v>12</v>
      </c>
      <c r="B2927" s="2">
        <f t="shared" si="182"/>
        <v>141</v>
      </c>
      <c r="C2927">
        <v>169</v>
      </c>
      <c r="D2927">
        <v>38</v>
      </c>
      <c r="E2927">
        <v>34</v>
      </c>
      <c r="F2927">
        <f t="shared" si="184"/>
        <v>-1.4446169117169907</v>
      </c>
      <c r="G2927">
        <f t="shared" si="185"/>
        <v>-1.7630426042516567</v>
      </c>
      <c r="I2927">
        <f t="shared" si="183"/>
        <v>-1.6038297579843237</v>
      </c>
    </row>
    <row r="2928" spans="1:9">
      <c r="A2928" t="s">
        <v>9</v>
      </c>
      <c r="B2928" s="2">
        <f t="shared" si="182"/>
        <v>141</v>
      </c>
      <c r="C2928">
        <v>339</v>
      </c>
      <c r="D2928">
        <v>980</v>
      </c>
      <c r="E2928">
        <v>27</v>
      </c>
      <c r="F2928">
        <f t="shared" si="184"/>
        <v>-0.3354874262307147</v>
      </c>
      <c r="G2928">
        <f t="shared" si="185"/>
        <v>-2.1654707507243334</v>
      </c>
      <c r="I2928">
        <f t="shared" si="183"/>
        <v>-1.2504790884775241</v>
      </c>
    </row>
    <row r="2929" spans="1:9">
      <c r="A2929" t="s">
        <v>13</v>
      </c>
      <c r="B2929" s="2">
        <f t="shared" si="182"/>
        <v>141</v>
      </c>
      <c r="C2929">
        <v>217</v>
      </c>
      <c r="D2929">
        <v>54</v>
      </c>
      <c r="E2929">
        <v>13</v>
      </c>
      <c r="F2929">
        <f t="shared" si="184"/>
        <v>-1.4005797777456883</v>
      </c>
      <c r="G2929">
        <f t="shared" si="185"/>
        <v>-2.2891511982219308</v>
      </c>
      <c r="I2929">
        <f t="shared" si="183"/>
        <v>-1.8448654879838096</v>
      </c>
    </row>
    <row r="2930" spans="1:9">
      <c r="A2930" t="s">
        <v>14</v>
      </c>
      <c r="B2930" s="2">
        <f t="shared" si="182"/>
        <v>141</v>
      </c>
      <c r="C2930">
        <v>109</v>
      </c>
      <c r="D2930">
        <v>0</v>
      </c>
      <c r="E2930">
        <v>9</v>
      </c>
      <c r="F2930" t="e">
        <f t="shared" si="184"/>
        <v>#NUM!</v>
      </c>
      <c r="G2930">
        <f t="shared" si="185"/>
        <v>-2.1498188051815372</v>
      </c>
      <c r="I2930" t="e">
        <f t="shared" si="183"/>
        <v>#NUM!</v>
      </c>
    </row>
    <row r="2931" spans="1:9">
      <c r="A2931" t="s">
        <v>15</v>
      </c>
      <c r="B2931" s="2">
        <f t="shared" si="182"/>
        <v>141</v>
      </c>
      <c r="C2931">
        <v>260</v>
      </c>
      <c r="D2931">
        <v>48</v>
      </c>
      <c r="E2931">
        <v>17</v>
      </c>
      <c r="F2931">
        <f t="shared" si="184"/>
        <v>-1.5302459143153579</v>
      </c>
      <c r="G2931">
        <f t="shared" si="185"/>
        <v>-2.2511592432727823</v>
      </c>
      <c r="I2931">
        <f t="shared" si="183"/>
        <v>-1.8907025787940701</v>
      </c>
    </row>
    <row r="2932" spans="1:9">
      <c r="A2932" t="s">
        <v>16</v>
      </c>
      <c r="B2932" s="2">
        <f t="shared" si="182"/>
        <v>141</v>
      </c>
      <c r="C2932">
        <v>413</v>
      </c>
      <c r="D2932">
        <v>19</v>
      </c>
      <c r="E2932">
        <v>24</v>
      </c>
      <c r="F2932">
        <f t="shared" si="184"/>
        <v>-2.1337102544236997</v>
      </c>
      <c r="G2932">
        <f t="shared" si="185"/>
        <v>-2.302373626625033</v>
      </c>
      <c r="I2932">
        <f t="shared" si="183"/>
        <v>-2.2180419405243663</v>
      </c>
    </row>
    <row r="2933" spans="1:9">
      <c r="A2933" t="s">
        <v>17</v>
      </c>
      <c r="B2933" s="2">
        <f t="shared" si="182"/>
        <v>141</v>
      </c>
      <c r="C2933">
        <v>221</v>
      </c>
      <c r="D2933">
        <v>88</v>
      </c>
      <c r="E2933">
        <v>187</v>
      </c>
      <c r="F2933">
        <f t="shared" si="184"/>
        <v>-1.1964234052550695</v>
      </c>
      <c r="G2933">
        <f t="shared" si="185"/>
        <v>-1.13918548382885</v>
      </c>
      <c r="I2933">
        <f t="shared" si="183"/>
        <v>-1.1678044445419598</v>
      </c>
    </row>
    <row r="2934" spans="1:9">
      <c r="A2934" t="s">
        <v>18</v>
      </c>
      <c r="B2934" s="2">
        <f t="shared" si="182"/>
        <v>141</v>
      </c>
      <c r="C2934">
        <v>234</v>
      </c>
      <c r="D2934">
        <v>11</v>
      </c>
      <c r="E2934">
        <v>15</v>
      </c>
      <c r="F2934">
        <f t="shared" si="184"/>
        <v>-2.124336975972045</v>
      </c>
      <c r="G2934">
        <f t="shared" si="185"/>
        <v>-2.2597594150346998</v>
      </c>
      <c r="I2934">
        <f t="shared" si="183"/>
        <v>-2.1920481955033724</v>
      </c>
    </row>
    <row r="2935" spans="1:9">
      <c r="A2935" t="s">
        <v>19</v>
      </c>
      <c r="B2935" s="2">
        <f t="shared" si="182"/>
        <v>141</v>
      </c>
      <c r="C2935">
        <v>304</v>
      </c>
      <c r="D2935">
        <v>99</v>
      </c>
      <c r="E2935">
        <v>133</v>
      </c>
      <c r="F2935">
        <f t="shared" si="184"/>
        <v>-1.2837521927313311</v>
      </c>
      <c r="G2935">
        <f t="shared" si="185"/>
        <v>-1.4256567593219061</v>
      </c>
      <c r="I2935">
        <f t="shared" si="183"/>
        <v>-1.3547044760266185</v>
      </c>
    </row>
    <row r="2936" spans="1:9">
      <c r="A2936" t="s">
        <v>20</v>
      </c>
      <c r="B2936" s="2">
        <f t="shared" si="182"/>
        <v>141</v>
      </c>
      <c r="C2936">
        <v>497</v>
      </c>
      <c r="D2936">
        <v>13102</v>
      </c>
      <c r="E2936">
        <v>28173</v>
      </c>
      <c r="F2936">
        <f t="shared" si="184"/>
        <v>0.62446740264246148</v>
      </c>
      <c r="G2936">
        <f t="shared" si="185"/>
        <v>0.68684188985315875</v>
      </c>
      <c r="I2936">
        <f t="shared" si="183"/>
        <v>0.65565464624781011</v>
      </c>
    </row>
    <row r="2937" spans="1:9">
      <c r="A2937" t="s">
        <v>21</v>
      </c>
      <c r="B2937" s="2">
        <f t="shared" si="182"/>
        <v>141</v>
      </c>
      <c r="C2937">
        <v>40783</v>
      </c>
      <c r="D2937">
        <v>255266</v>
      </c>
      <c r="E2937">
        <v>475460</v>
      </c>
      <c r="F2937">
        <f t="shared" si="184"/>
        <v>0</v>
      </c>
      <c r="G2937">
        <f t="shared" si="185"/>
        <v>0</v>
      </c>
      <c r="I2937">
        <f t="shared" si="183"/>
        <v>0</v>
      </c>
    </row>
    <row r="2938" spans="1:9">
      <c r="A2938" t="s">
        <v>22</v>
      </c>
      <c r="B2938" s="2">
        <f t="shared" si="182"/>
        <v>141</v>
      </c>
      <c r="C2938">
        <v>212</v>
      </c>
      <c r="D2938">
        <v>25</v>
      </c>
      <c r="E2938">
        <v>7</v>
      </c>
      <c r="F2938">
        <f t="shared" si="184"/>
        <v>-1.7249096559768411</v>
      </c>
      <c r="G2938">
        <f t="shared" si="185"/>
        <v>-2.5478726375947325</v>
      </c>
      <c r="I2938">
        <f t="shared" si="183"/>
        <v>-2.1363911467857868</v>
      </c>
    </row>
    <row r="2939" spans="1:9">
      <c r="A2939" t="s">
        <v>23</v>
      </c>
      <c r="B2939" s="2">
        <f t="shared" si="182"/>
        <v>141</v>
      </c>
      <c r="C2939">
        <v>194</v>
      </c>
      <c r="D2939">
        <v>191</v>
      </c>
      <c r="E2939">
        <v>23</v>
      </c>
      <c r="F2939">
        <f t="shared" si="184"/>
        <v>-0.80328216640262584</v>
      </c>
      <c r="G2939">
        <f t="shared" si="185"/>
        <v>-1.9927087105928714</v>
      </c>
      <c r="I2939">
        <f t="shared" si="183"/>
        <v>-1.3979954384977487</v>
      </c>
    </row>
    <row r="2940" spans="1:9">
      <c r="A2940" t="s">
        <v>24</v>
      </c>
      <c r="B2940" s="2">
        <f t="shared" si="182"/>
        <v>141</v>
      </c>
      <c r="C2940">
        <v>141</v>
      </c>
      <c r="D2940">
        <v>35</v>
      </c>
      <c r="E2940">
        <v>13</v>
      </c>
      <c r="F2940">
        <f t="shared" si="184"/>
        <v>-1.4016648720252316</v>
      </c>
      <c r="G2940">
        <f t="shared" si="185"/>
        <v>-2.1019105770287814</v>
      </c>
      <c r="I2940">
        <f t="shared" si="183"/>
        <v>-1.7517877245270066</v>
      </c>
    </row>
    <row r="2941" spans="1:9">
      <c r="A2941" t="s">
        <v>25</v>
      </c>
      <c r="B2941" s="2">
        <f t="shared" si="182"/>
        <v>141</v>
      </c>
      <c r="C2941">
        <v>175</v>
      </c>
      <c r="D2941">
        <v>553</v>
      </c>
      <c r="E2941">
        <v>10</v>
      </c>
      <c r="F2941">
        <f t="shared" si="184"/>
        <v>-0.29682672110172353</v>
      </c>
      <c r="G2941">
        <f t="shared" si="185"/>
        <v>-2.3096728653665326</v>
      </c>
      <c r="I2941">
        <f t="shared" si="183"/>
        <v>-1.303249793234128</v>
      </c>
    </row>
    <row r="2942" spans="1:9">
      <c r="A2942" t="s">
        <v>7</v>
      </c>
      <c r="B2942" s="2">
        <f t="shared" si="182"/>
        <v>142</v>
      </c>
      <c r="C2942">
        <v>138</v>
      </c>
      <c r="D2942">
        <v>56</v>
      </c>
      <c r="E2942">
        <v>152</v>
      </c>
      <c r="F2942">
        <f t="shared" si="184"/>
        <v>-1.1882048631151634</v>
      </c>
      <c r="G2942">
        <f t="shared" si="185"/>
        <v>-1.024670315136702</v>
      </c>
      <c r="I2942">
        <f t="shared" si="183"/>
        <v>-1.1064375891259326</v>
      </c>
    </row>
    <row r="2943" spans="1:9">
      <c r="A2943" t="s">
        <v>8</v>
      </c>
      <c r="B2943" s="2">
        <f t="shared" si="182"/>
        <v>142</v>
      </c>
      <c r="C2943">
        <v>245</v>
      </c>
      <c r="D2943">
        <v>1722</v>
      </c>
      <c r="E2943">
        <v>5436</v>
      </c>
      <c r="F2943">
        <f t="shared" si="184"/>
        <v>5.0353259032976161E-2</v>
      </c>
      <c r="G2943">
        <f t="shared" si="185"/>
        <v>0.27947854701568597</v>
      </c>
      <c r="I2943">
        <f t="shared" si="183"/>
        <v>0.16491590302433107</v>
      </c>
    </row>
    <row r="2944" spans="1:9">
      <c r="A2944" t="s">
        <v>5</v>
      </c>
      <c r="B2944" s="2">
        <f t="shared" si="182"/>
        <v>142</v>
      </c>
      <c r="C2944">
        <v>211</v>
      </c>
      <c r="D2944">
        <v>506</v>
      </c>
      <c r="E2944">
        <v>718</v>
      </c>
      <c r="F2944">
        <f t="shared" si="184"/>
        <v>-0.41664574217802092</v>
      </c>
      <c r="G2944">
        <f t="shared" si="185"/>
        <v>-0.53479282773563053</v>
      </c>
      <c r="I2944">
        <f t="shared" si="183"/>
        <v>-0.47571928495682569</v>
      </c>
    </row>
    <row r="2945" spans="1:9">
      <c r="A2945" t="s">
        <v>6</v>
      </c>
      <c r="B2945" s="2">
        <f t="shared" si="182"/>
        <v>142</v>
      </c>
      <c r="C2945">
        <v>385</v>
      </c>
      <c r="D2945">
        <v>1340</v>
      </c>
      <c r="E2945">
        <v>2677</v>
      </c>
      <c r="F2945">
        <f t="shared" si="184"/>
        <v>-0.25486973486382047</v>
      </c>
      <c r="G2945">
        <f t="shared" si="185"/>
        <v>-0.22444717500180622</v>
      </c>
      <c r="I2945">
        <f t="shared" si="183"/>
        <v>-0.23965845493281335</v>
      </c>
    </row>
    <row r="2946" spans="1:9">
      <c r="A2946" t="s">
        <v>10</v>
      </c>
      <c r="B2946" s="2">
        <f t="shared" si="182"/>
        <v>142</v>
      </c>
      <c r="C2946">
        <v>301</v>
      </c>
      <c r="D2946">
        <v>2218</v>
      </c>
      <c r="E2946">
        <v>4151</v>
      </c>
      <c r="F2946">
        <f t="shared" si="184"/>
        <v>7.0881242499170494E-2</v>
      </c>
      <c r="G2946">
        <f t="shared" si="185"/>
        <v>7.2951421104437975E-2</v>
      </c>
      <c r="I2946">
        <f t="shared" si="183"/>
        <v>7.1916331801804234E-2</v>
      </c>
    </row>
    <row r="2947" spans="1:9">
      <c r="A2947" t="s">
        <v>11</v>
      </c>
      <c r="B2947" s="2">
        <f t="shared" ref="B2947:B3010" si="186">1+INT((ROW()-2)/21)+1</f>
        <v>142</v>
      </c>
      <c r="C2947">
        <v>382</v>
      </c>
      <c r="D2947">
        <v>856</v>
      </c>
      <c r="E2947">
        <v>49</v>
      </c>
      <c r="F2947">
        <f t="shared" si="184"/>
        <v>-0.4461034019546829</v>
      </c>
      <c r="G2947">
        <f t="shared" si="185"/>
        <v>-1.9585020995634332</v>
      </c>
      <c r="I2947">
        <f t="shared" ref="I2947:I3010" si="187">AVERAGE(F2947:G2947)</f>
        <v>-1.202302750759058</v>
      </c>
    </row>
    <row r="2948" spans="1:9">
      <c r="A2948" t="s">
        <v>12</v>
      </c>
      <c r="B2948" s="2">
        <f t="shared" si="186"/>
        <v>142</v>
      </c>
      <c r="C2948">
        <v>390</v>
      </c>
      <c r="D2948">
        <v>8996</v>
      </c>
      <c r="E2948">
        <v>2197</v>
      </c>
      <c r="F2948">
        <f t="shared" si="184"/>
        <v>0.56647103601696802</v>
      </c>
      <c r="G2948">
        <f t="shared" si="185"/>
        <v>-0.31586936678622701</v>
      </c>
      <c r="I2948">
        <f t="shared" si="187"/>
        <v>0.1253008346153705</v>
      </c>
    </row>
    <row r="2949" spans="1:9">
      <c r="A2949" t="s">
        <v>9</v>
      </c>
      <c r="B2949" s="2">
        <f t="shared" si="186"/>
        <v>142</v>
      </c>
      <c r="C2949">
        <v>297</v>
      </c>
      <c r="D2949">
        <v>1397</v>
      </c>
      <c r="E2949">
        <v>1285</v>
      </c>
      <c r="F2949">
        <f t="shared" si="184"/>
        <v>-0.12407384692315782</v>
      </c>
      <c r="G2949">
        <f t="shared" si="185"/>
        <v>-0.4304881383301371</v>
      </c>
      <c r="I2949">
        <f t="shared" si="187"/>
        <v>-0.27728099262664746</v>
      </c>
    </row>
    <row r="2950" spans="1:9">
      <c r="A2950" t="s">
        <v>13</v>
      </c>
      <c r="B2950" s="2">
        <f t="shared" si="186"/>
        <v>142</v>
      </c>
      <c r="C2950">
        <v>298</v>
      </c>
      <c r="D2950">
        <v>830</v>
      </c>
      <c r="E2950">
        <v>1028</v>
      </c>
      <c r="F2950">
        <f t="shared" si="184"/>
        <v>-0.35165197542030874</v>
      </c>
      <c r="G2950">
        <f t="shared" si="185"/>
        <v>-0.52885796609723645</v>
      </c>
      <c r="I2950">
        <f t="shared" si="187"/>
        <v>-0.44025497075877262</v>
      </c>
    </row>
    <row r="2951" spans="1:9">
      <c r="A2951" t="s">
        <v>14</v>
      </c>
      <c r="B2951" s="2">
        <f t="shared" si="186"/>
        <v>142</v>
      </c>
      <c r="C2951">
        <v>320</v>
      </c>
      <c r="D2951">
        <v>1161</v>
      </c>
      <c r="E2951">
        <v>2658</v>
      </c>
      <c r="F2951">
        <f t="shared" si="184"/>
        <v>-0.23683156230145952</v>
      </c>
      <c r="G2951">
        <f t="shared" si="185"/>
        <v>-0.14722981839343097</v>
      </c>
      <c r="I2951">
        <f t="shared" si="187"/>
        <v>-0.19203069034744524</v>
      </c>
    </row>
    <row r="2952" spans="1:9">
      <c r="A2952" t="s">
        <v>15</v>
      </c>
      <c r="B2952" s="2">
        <f t="shared" si="186"/>
        <v>142</v>
      </c>
      <c r="C2952">
        <v>268</v>
      </c>
      <c r="D2952">
        <v>893</v>
      </c>
      <c r="E2952">
        <v>897</v>
      </c>
      <c r="F2952">
        <f t="shared" si="184"/>
        <v>-0.27379713886036972</v>
      </c>
      <c r="G2952">
        <f t="shared" si="185"/>
        <v>-0.54197716766493498</v>
      </c>
      <c r="I2952">
        <f t="shared" si="187"/>
        <v>-0.40788715326265235</v>
      </c>
    </row>
    <row r="2953" spans="1:9">
      <c r="A2953" t="s">
        <v>16</v>
      </c>
      <c r="B2953" s="2">
        <f t="shared" si="186"/>
        <v>142</v>
      </c>
      <c r="C2953">
        <v>40783</v>
      </c>
      <c r="D2953">
        <v>255266</v>
      </c>
      <c r="E2953">
        <v>475460</v>
      </c>
      <c r="F2953">
        <f t="shared" si="184"/>
        <v>0</v>
      </c>
      <c r="G2953">
        <f t="shared" si="185"/>
        <v>0</v>
      </c>
      <c r="I2953">
        <f t="shared" si="187"/>
        <v>0</v>
      </c>
    </row>
    <row r="2954" spans="1:9">
      <c r="A2954" t="s">
        <v>17</v>
      </c>
      <c r="B2954" s="2">
        <f t="shared" si="186"/>
        <v>142</v>
      </c>
      <c r="C2954">
        <v>273</v>
      </c>
      <c r="D2954">
        <v>223</v>
      </c>
      <c r="E2954">
        <v>451</v>
      </c>
      <c r="F2954">
        <f t="shared" si="184"/>
        <v>-0.88437158771272273</v>
      </c>
      <c r="G2954">
        <f t="shared" si="185"/>
        <v>-0.84862092184303373</v>
      </c>
      <c r="I2954">
        <f t="shared" si="187"/>
        <v>-0.86649625477787828</v>
      </c>
    </row>
    <row r="2955" spans="1:9">
      <c r="A2955" t="s">
        <v>18</v>
      </c>
      <c r="B2955" s="2">
        <f t="shared" si="186"/>
        <v>142</v>
      </c>
      <c r="C2955">
        <v>386</v>
      </c>
      <c r="D2955">
        <v>1199</v>
      </c>
      <c r="E2955">
        <v>2000</v>
      </c>
      <c r="F2955">
        <f t="shared" si="184"/>
        <v>-0.30428192529303366</v>
      </c>
      <c r="G2955">
        <f t="shared" si="185"/>
        <v>-0.35219212568801195</v>
      </c>
      <c r="I2955">
        <f t="shared" si="187"/>
        <v>-0.3282370254905228</v>
      </c>
    </row>
    <row r="2956" spans="1:9">
      <c r="A2956" t="s">
        <v>19</v>
      </c>
      <c r="B2956" s="2">
        <f t="shared" si="186"/>
        <v>142</v>
      </c>
      <c r="C2956">
        <v>303</v>
      </c>
      <c r="D2956">
        <v>1121</v>
      </c>
      <c r="E2956">
        <v>99</v>
      </c>
      <c r="F2956">
        <f t="shared" si="184"/>
        <v>-0.22835081962745918</v>
      </c>
      <c r="G2956">
        <f t="shared" si="185"/>
        <v>-1.5524422505849933</v>
      </c>
      <c r="I2956">
        <f t="shared" si="187"/>
        <v>-0.89039653510622618</v>
      </c>
    </row>
    <row r="2957" spans="1:9">
      <c r="A2957" t="s">
        <v>20</v>
      </c>
      <c r="B2957" s="2">
        <f t="shared" si="186"/>
        <v>142</v>
      </c>
      <c r="C2957">
        <v>201</v>
      </c>
      <c r="D2957">
        <v>1330</v>
      </c>
      <c r="E2957">
        <v>53</v>
      </c>
      <c r="F2957">
        <f t="shared" si="184"/>
        <v>2.4141779826469589E-2</v>
      </c>
      <c r="G2957">
        <f t="shared" si="185"/>
        <v>-1.6455550044999381</v>
      </c>
      <c r="I2957">
        <f t="shared" si="187"/>
        <v>-0.81070661233673424</v>
      </c>
    </row>
    <row r="2958" spans="1:9">
      <c r="A2958" t="s">
        <v>21</v>
      </c>
      <c r="B2958" s="2">
        <f t="shared" si="186"/>
        <v>142</v>
      </c>
      <c r="C2958">
        <v>331</v>
      </c>
      <c r="D2958">
        <v>313</v>
      </c>
      <c r="E2958">
        <v>66</v>
      </c>
      <c r="F2958">
        <f t="shared" si="184"/>
        <v>-0.82079745994939757</v>
      </c>
      <c r="G2958">
        <f t="shared" si="185"/>
        <v>-1.7669188749140883</v>
      </c>
      <c r="I2958">
        <f t="shared" si="187"/>
        <v>-1.2938581674317429</v>
      </c>
    </row>
    <row r="2959" spans="1:9">
      <c r="A2959" t="s">
        <v>22</v>
      </c>
      <c r="B2959" s="2">
        <f t="shared" si="186"/>
        <v>142</v>
      </c>
      <c r="C2959">
        <v>258</v>
      </c>
      <c r="D2959">
        <v>200</v>
      </c>
      <c r="E2959">
        <v>71</v>
      </c>
      <c r="F2959">
        <f t="shared" si="184"/>
        <v>-0.90710351401937628</v>
      </c>
      <c r="G2959">
        <f t="shared" si="185"/>
        <v>-1.6269961739243932</v>
      </c>
      <c r="I2959">
        <f t="shared" si="187"/>
        <v>-1.2670498439718847</v>
      </c>
    </row>
    <row r="2960" spans="1:9">
      <c r="A2960" t="s">
        <v>23</v>
      </c>
      <c r="B2960" s="2">
        <f t="shared" si="186"/>
        <v>142</v>
      </c>
      <c r="C2960">
        <v>262</v>
      </c>
      <c r="D2960">
        <v>87</v>
      </c>
      <c r="E2960">
        <v>46</v>
      </c>
      <c r="F2960">
        <f t="shared" si="184"/>
        <v>-1.2752958424212544</v>
      </c>
      <c r="G2960">
        <f t="shared" si="185"/>
        <v>-1.8221782763184096</v>
      </c>
      <c r="I2960">
        <f t="shared" si="187"/>
        <v>-1.548737059369832</v>
      </c>
    </row>
    <row r="2961" spans="1:9">
      <c r="A2961" t="s">
        <v>24</v>
      </c>
      <c r="B2961" s="2">
        <f t="shared" si="186"/>
        <v>142</v>
      </c>
      <c r="C2961">
        <v>149</v>
      </c>
      <c r="D2961">
        <v>150</v>
      </c>
      <c r="E2961">
        <v>71</v>
      </c>
      <c r="F2961">
        <f t="shared" si="184"/>
        <v>-0.79360881307672015</v>
      </c>
      <c r="G2961">
        <f t="shared" si="185"/>
        <v>-1.388562736373437</v>
      </c>
      <c r="I2961">
        <f t="shared" si="187"/>
        <v>-1.0910857747250786</v>
      </c>
    </row>
    <row r="2962" spans="1:9">
      <c r="A2962" t="s">
        <v>25</v>
      </c>
      <c r="B2962" s="2">
        <f t="shared" si="186"/>
        <v>142</v>
      </c>
      <c r="C2962">
        <v>246</v>
      </c>
      <c r="D2962">
        <v>6</v>
      </c>
      <c r="E2962">
        <v>30</v>
      </c>
      <c r="F2962">
        <f t="shared" si="184"/>
        <v>-2.4092976604398628</v>
      </c>
      <c r="G2962">
        <f t="shared" si="185"/>
        <v>-1.9804486690639549</v>
      </c>
      <c r="I2962">
        <f t="shared" si="187"/>
        <v>-2.1948731647519089</v>
      </c>
    </row>
    <row r="2963" spans="1:9">
      <c r="A2963" t="s">
        <v>7</v>
      </c>
      <c r="B2963" s="2">
        <f t="shared" si="186"/>
        <v>143</v>
      </c>
      <c r="C2963">
        <v>145</v>
      </c>
      <c r="D2963">
        <v>139</v>
      </c>
      <c r="E2963">
        <v>150</v>
      </c>
      <c r="F2963">
        <f t="shared" si="184"/>
        <v>-0.81486700570100712</v>
      </c>
      <c r="G2963">
        <f t="shared" si="185"/>
        <v>-1.0519115598595319</v>
      </c>
      <c r="I2963">
        <f t="shared" si="187"/>
        <v>-0.93338928278026945</v>
      </c>
    </row>
    <row r="2964" spans="1:9">
      <c r="A2964" t="s">
        <v>8</v>
      </c>
      <c r="B2964" s="2">
        <f t="shared" si="186"/>
        <v>143</v>
      </c>
      <c r="C2964">
        <v>165</v>
      </c>
      <c r="D2964">
        <v>134</v>
      </c>
      <c r="E2964">
        <v>101</v>
      </c>
      <c r="F2964">
        <f t="shared" si="184"/>
        <v>-0.88689294956922604</v>
      </c>
      <c r="G2964">
        <f t="shared" si="185"/>
        <v>-1.2797973871115018</v>
      </c>
      <c r="I2964">
        <f t="shared" si="187"/>
        <v>-1.0833451683403639</v>
      </c>
    </row>
    <row r="2965" spans="1:9">
      <c r="A2965" t="s">
        <v>5</v>
      </c>
      <c r="B2965" s="2">
        <f t="shared" si="186"/>
        <v>143</v>
      </c>
      <c r="C2965">
        <v>81</v>
      </c>
      <c r="D2965">
        <v>114</v>
      </c>
      <c r="E2965">
        <v>635</v>
      </c>
      <c r="F2965">
        <f t="shared" si="184"/>
        <v>-0.6480939712623045</v>
      </c>
      <c r="G2965">
        <f t="shared" si="185"/>
        <v>-0.17234611026691227</v>
      </c>
      <c r="I2965">
        <f t="shared" si="187"/>
        <v>-0.41022004076460838</v>
      </c>
    </row>
    <row r="2966" spans="1:9">
      <c r="A2966" t="s">
        <v>6</v>
      </c>
      <c r="B2966" s="2">
        <f t="shared" si="186"/>
        <v>143</v>
      </c>
      <c r="C2966">
        <v>305</v>
      </c>
      <c r="D2966">
        <v>2188</v>
      </c>
      <c r="E2966">
        <v>830</v>
      </c>
      <c r="F2966">
        <f t="shared" si="184"/>
        <v>5.9233674594479924E-2</v>
      </c>
      <c r="G2966">
        <f t="shared" si="185"/>
        <v>-0.63185656365095011</v>
      </c>
      <c r="I2966">
        <f t="shared" si="187"/>
        <v>-0.28631144452823509</v>
      </c>
    </row>
    <row r="2967" spans="1:9">
      <c r="A2967" t="s">
        <v>10</v>
      </c>
      <c r="B2967" s="2">
        <f t="shared" si="186"/>
        <v>143</v>
      </c>
      <c r="C2967">
        <v>236</v>
      </c>
      <c r="D2967">
        <v>1537</v>
      </c>
      <c r="E2967">
        <v>1545</v>
      </c>
      <c r="F2967">
        <f t="shared" si="184"/>
        <v>1.7248060809511134E-2</v>
      </c>
      <c r="G2967">
        <f t="shared" si="185"/>
        <v>-0.25061833588949134</v>
      </c>
      <c r="I2967">
        <f t="shared" si="187"/>
        <v>-0.1166851375399901</v>
      </c>
    </row>
    <row r="2968" spans="1:9">
      <c r="A2968" t="s">
        <v>11</v>
      </c>
      <c r="B2968" s="2">
        <f t="shared" si="186"/>
        <v>143</v>
      </c>
      <c r="C2968">
        <v>324</v>
      </c>
      <c r="D2968">
        <v>24</v>
      </c>
      <c r="E2968">
        <v>23</v>
      </c>
      <c r="F2968">
        <f t="shared" si="184"/>
        <v>-1.9268475722151335</v>
      </c>
      <c r="G2968">
        <f t="shared" si="185"/>
        <v>-2.2154519908692576</v>
      </c>
      <c r="I2968">
        <f t="shared" si="187"/>
        <v>-2.0711497815421955</v>
      </c>
    </row>
    <row r="2969" spans="1:9">
      <c r="A2969" t="s">
        <v>12</v>
      </c>
      <c r="B2969" s="2">
        <f t="shared" si="186"/>
        <v>143</v>
      </c>
      <c r="C2969">
        <v>205</v>
      </c>
      <c r="D2969">
        <v>2086</v>
      </c>
      <c r="E2969">
        <v>3640</v>
      </c>
      <c r="F2969">
        <f t="shared" si="184"/>
        <v>0.21104663931463041</v>
      </c>
      <c r="G2969">
        <f t="shared" si="185"/>
        <v>0.18271270591306354</v>
      </c>
      <c r="I2969">
        <f t="shared" si="187"/>
        <v>0.19687967261384698</v>
      </c>
    </row>
    <row r="2970" spans="1:9">
      <c r="A2970" t="s">
        <v>9</v>
      </c>
      <c r="B2970" s="2">
        <f t="shared" si="186"/>
        <v>143</v>
      </c>
      <c r="C2970">
        <v>156</v>
      </c>
      <c r="D2970">
        <v>339</v>
      </c>
      <c r="E2970">
        <v>961</v>
      </c>
      <c r="F2970">
        <f t="shared" si="184"/>
        <v>-0.45943870387150682</v>
      </c>
      <c r="G2970">
        <f t="shared" si="185"/>
        <v>-0.2770360273661544</v>
      </c>
      <c r="I2970">
        <f t="shared" si="187"/>
        <v>-0.36823736561883058</v>
      </c>
    </row>
    <row r="2971" spans="1:9">
      <c r="A2971" t="s">
        <v>13</v>
      </c>
      <c r="B2971" s="2">
        <f t="shared" si="186"/>
        <v>143</v>
      </c>
      <c r="C2971">
        <v>242</v>
      </c>
      <c r="D2971">
        <v>33</v>
      </c>
      <c r="E2971">
        <v>44</v>
      </c>
      <c r="F2971">
        <f t="shared" ref="F2971:F3025" si="188">LOG10(D2971/C2971)-LOG10(255266/40783)</f>
        <v>-1.6618152298226712</v>
      </c>
      <c r="G2971">
        <f t="shared" ref="G2971:G3025" si="189">LOG10(E2971/C2971)-LOG10(475460/40783)</f>
        <v>-1.8069975061744821</v>
      </c>
      <c r="I2971">
        <f t="shared" si="187"/>
        <v>-1.7344063679985766</v>
      </c>
    </row>
    <row r="2972" spans="1:9">
      <c r="A2972" t="s">
        <v>14</v>
      </c>
      <c r="B2972" s="2">
        <f t="shared" si="186"/>
        <v>143</v>
      </c>
      <c r="C2972">
        <v>199</v>
      </c>
      <c r="D2972">
        <v>755</v>
      </c>
      <c r="E2972">
        <v>835</v>
      </c>
      <c r="F2972">
        <f t="shared" si="188"/>
        <v>-0.21741992850064573</v>
      </c>
      <c r="G2972">
        <f t="shared" si="189"/>
        <v>-0.44380141760634273</v>
      </c>
      <c r="I2972">
        <f t="shared" si="187"/>
        <v>-0.33061067305349423</v>
      </c>
    </row>
    <row r="2973" spans="1:9">
      <c r="A2973" t="s">
        <v>15</v>
      </c>
      <c r="B2973" s="2">
        <f t="shared" si="186"/>
        <v>143</v>
      </c>
      <c r="C2973">
        <v>395</v>
      </c>
      <c r="D2973">
        <v>3783</v>
      </c>
      <c r="E2973">
        <v>3648</v>
      </c>
      <c r="F2973">
        <f t="shared" si="188"/>
        <v>0.18472544194615648</v>
      </c>
      <c r="G2973">
        <f t="shared" si="189"/>
        <v>-0.10117708265031988</v>
      </c>
      <c r="I2973">
        <f t="shared" si="187"/>
        <v>4.1774179647918297E-2</v>
      </c>
    </row>
    <row r="2974" spans="1:9">
      <c r="A2974" t="s">
        <v>16</v>
      </c>
      <c r="B2974" s="2">
        <f t="shared" si="186"/>
        <v>143</v>
      </c>
      <c r="C2974">
        <v>11</v>
      </c>
      <c r="D2974">
        <v>67</v>
      </c>
      <c r="E2974">
        <v>96</v>
      </c>
      <c r="F2974">
        <f t="shared" si="188"/>
        <v>-1.1831686177525946E-2</v>
      </c>
      <c r="G2974">
        <f t="shared" si="189"/>
        <v>-0.1257562687988949</v>
      </c>
      <c r="I2974">
        <f t="shared" si="187"/>
        <v>-6.8793977488210423E-2</v>
      </c>
    </row>
    <row r="2975" spans="1:9">
      <c r="A2975" t="s">
        <v>17</v>
      </c>
      <c r="B2975" s="2">
        <f t="shared" si="186"/>
        <v>143</v>
      </c>
      <c r="C2975">
        <v>272</v>
      </c>
      <c r="D2975">
        <v>1391</v>
      </c>
      <c r="E2975">
        <v>2405</v>
      </c>
      <c r="F2975">
        <f t="shared" si="188"/>
        <v>-8.7755577762279602E-2</v>
      </c>
      <c r="G2975">
        <f t="shared" si="189"/>
        <v>-0.1200886400045863</v>
      </c>
      <c r="I2975">
        <f t="shared" si="187"/>
        <v>-0.10392210888343295</v>
      </c>
    </row>
    <row r="2976" spans="1:9">
      <c r="A2976" t="s">
        <v>18</v>
      </c>
      <c r="B2976" s="2">
        <f t="shared" si="186"/>
        <v>143</v>
      </c>
      <c r="C2976">
        <v>357</v>
      </c>
      <c r="D2976">
        <v>1233</v>
      </c>
      <c r="E2976">
        <v>1660</v>
      </c>
      <c r="F2976">
        <f t="shared" si="188"/>
        <v>-0.25821894323658889</v>
      </c>
      <c r="G2976">
        <f t="shared" si="189"/>
        <v>-0.39919494475237627</v>
      </c>
      <c r="I2976">
        <f t="shared" si="187"/>
        <v>-0.32870694399448258</v>
      </c>
    </row>
    <row r="2977" spans="1:9">
      <c r="A2977" t="s">
        <v>19</v>
      </c>
      <c r="B2977" s="2">
        <f t="shared" si="186"/>
        <v>143</v>
      </c>
      <c r="C2977">
        <v>282</v>
      </c>
      <c r="D2977">
        <v>61</v>
      </c>
      <c r="E2977">
        <v>51</v>
      </c>
      <c r="F2977">
        <f t="shared" si="188"/>
        <v>-1.4614330770287214</v>
      </c>
      <c r="G2977">
        <f t="shared" si="189"/>
        <v>-1.8093137489016629</v>
      </c>
      <c r="I2977">
        <f t="shared" si="187"/>
        <v>-1.6353734129651922</v>
      </c>
    </row>
    <row r="2978" spans="1:9">
      <c r="A2978" t="s">
        <v>20</v>
      </c>
      <c r="B2978" s="2">
        <f t="shared" si="186"/>
        <v>143</v>
      </c>
      <c r="C2978">
        <v>120</v>
      </c>
      <c r="D2978">
        <v>69</v>
      </c>
      <c r="E2978">
        <v>17</v>
      </c>
      <c r="F2978">
        <f t="shared" si="188"/>
        <v>-1.0368459590304968</v>
      </c>
      <c r="G2978">
        <f t="shared" si="189"/>
        <v>-1.9153671413495892</v>
      </c>
      <c r="I2978">
        <f t="shared" si="187"/>
        <v>-1.476106550190043</v>
      </c>
    </row>
    <row r="2979" spans="1:9">
      <c r="A2979" t="s">
        <v>21</v>
      </c>
      <c r="B2979" s="2">
        <f t="shared" si="186"/>
        <v>143</v>
      </c>
      <c r="C2979">
        <v>309</v>
      </c>
      <c r="D2979">
        <v>1096</v>
      </c>
      <c r="E2979">
        <v>3670</v>
      </c>
      <c r="F2979">
        <f t="shared" si="188"/>
        <v>-0.24666172899661165</v>
      </c>
      <c r="G2979">
        <f t="shared" si="189"/>
        <v>8.072768147016518E-3</v>
      </c>
      <c r="I2979">
        <f t="shared" si="187"/>
        <v>-0.11929448042479757</v>
      </c>
    </row>
    <row r="2980" spans="1:9">
      <c r="A2980" t="s">
        <v>22</v>
      </c>
      <c r="B2980" s="2">
        <f t="shared" si="186"/>
        <v>143</v>
      </c>
      <c r="C2980">
        <v>170</v>
      </c>
      <c r="D2980">
        <v>636</v>
      </c>
      <c r="E2980">
        <v>1009</v>
      </c>
      <c r="F2980">
        <f t="shared" si="188"/>
        <v>-0.22350560944998743</v>
      </c>
      <c r="G2980">
        <f t="shared" si="189"/>
        <v>-0.29319257182160152</v>
      </c>
      <c r="I2980">
        <f t="shared" si="187"/>
        <v>-0.25834909063579448</v>
      </c>
    </row>
    <row r="2981" spans="1:9">
      <c r="A2981" t="s">
        <v>23</v>
      </c>
      <c r="B2981" s="2">
        <f t="shared" si="186"/>
        <v>143</v>
      </c>
      <c r="C2981">
        <v>253</v>
      </c>
      <c r="D2981">
        <v>311</v>
      </c>
      <c r="E2981">
        <v>593</v>
      </c>
      <c r="F2981">
        <f t="shared" si="188"/>
        <v>-0.70687393586910774</v>
      </c>
      <c r="G2981">
        <f t="shared" si="189"/>
        <v>-0.69670064449179359</v>
      </c>
      <c r="I2981">
        <f t="shared" si="187"/>
        <v>-0.70178729018045072</v>
      </c>
    </row>
    <row r="2982" spans="1:9">
      <c r="A2982" t="s">
        <v>24</v>
      </c>
      <c r="B2982" s="2">
        <f t="shared" si="186"/>
        <v>143</v>
      </c>
      <c r="C2982">
        <v>186</v>
      </c>
      <c r="D2982">
        <v>2748</v>
      </c>
      <c r="E2982">
        <v>117</v>
      </c>
      <c r="F2982">
        <f t="shared" si="188"/>
        <v>0.37298998044946918</v>
      </c>
      <c r="G2982">
        <f t="shared" si="189"/>
        <v>-1.267961899151993</v>
      </c>
      <c r="I2982">
        <f t="shared" si="187"/>
        <v>-0.4474859593512619</v>
      </c>
    </row>
    <row r="2983" spans="1:9">
      <c r="A2983" t="s">
        <v>25</v>
      </c>
      <c r="B2983" s="2">
        <f t="shared" si="186"/>
        <v>143</v>
      </c>
      <c r="C2983">
        <v>299</v>
      </c>
      <c r="D2983">
        <v>14</v>
      </c>
      <c r="E2983">
        <v>30</v>
      </c>
      <c r="F2983">
        <f t="shared" si="188"/>
        <v>-2.1260569563663188</v>
      </c>
      <c r="G2983">
        <f t="shared" si="189"/>
        <v>-2.0651847502850051</v>
      </c>
      <c r="I2983">
        <f t="shared" si="187"/>
        <v>-2.0956208533256619</v>
      </c>
    </row>
    <row r="2984" spans="1:9">
      <c r="A2984" t="s">
        <v>7</v>
      </c>
      <c r="B2984" s="2">
        <f t="shared" si="186"/>
        <v>144</v>
      </c>
      <c r="C2984">
        <v>112</v>
      </c>
      <c r="D2984">
        <v>141</v>
      </c>
      <c r="E2984">
        <v>17</v>
      </c>
      <c r="F2984">
        <f t="shared" si="188"/>
        <v>-0.69651271373492907</v>
      </c>
      <c r="G2984">
        <f t="shared" si="189"/>
        <v>-1.885403917972146</v>
      </c>
      <c r="I2984">
        <f t="shared" si="187"/>
        <v>-1.2909583158535376</v>
      </c>
    </row>
    <row r="2985" spans="1:9">
      <c r="A2985" t="s">
        <v>8</v>
      </c>
      <c r="B2985" s="2">
        <f t="shared" si="186"/>
        <v>144</v>
      </c>
      <c r="C2985">
        <v>151</v>
      </c>
      <c r="D2985">
        <v>43</v>
      </c>
      <c r="E2985">
        <v>18</v>
      </c>
      <c r="F2985">
        <f t="shared" si="188"/>
        <v>-1.3420222954337102</v>
      </c>
      <c r="G2985">
        <f t="shared" si="189"/>
        <v>-1.9903392588701014</v>
      </c>
      <c r="I2985">
        <f t="shared" si="187"/>
        <v>-1.6661807771519057</v>
      </c>
    </row>
    <row r="2986" spans="1:9">
      <c r="A2986" t="s">
        <v>5</v>
      </c>
      <c r="B2986" s="2">
        <f t="shared" si="186"/>
        <v>144</v>
      </c>
      <c r="C2986">
        <v>72</v>
      </c>
      <c r="D2986">
        <v>0</v>
      </c>
      <c r="E2986">
        <v>3</v>
      </c>
      <c r="F2986" t="e">
        <f t="shared" si="188"/>
        <v>#NUM!</v>
      </c>
      <c r="G2986">
        <f t="shared" si="189"/>
        <v>-2.4468460583918441</v>
      </c>
      <c r="I2986" t="e">
        <f t="shared" si="187"/>
        <v>#NUM!</v>
      </c>
    </row>
    <row r="2987" spans="1:9">
      <c r="A2987" t="s">
        <v>6</v>
      </c>
      <c r="B2987" s="2">
        <f t="shared" si="186"/>
        <v>144</v>
      </c>
      <c r="C2987">
        <v>510</v>
      </c>
      <c r="D2987">
        <v>1059</v>
      </c>
      <c r="E2987">
        <v>43</v>
      </c>
      <c r="F2987">
        <f t="shared" si="188"/>
        <v>-0.47918801971057867</v>
      </c>
      <c r="G2987">
        <f t="shared" si="189"/>
        <v>-2.1407365371985883</v>
      </c>
      <c r="I2987">
        <f t="shared" si="187"/>
        <v>-1.3099622784545835</v>
      </c>
    </row>
    <row r="2988" spans="1:9">
      <c r="A2988" t="s">
        <v>10</v>
      </c>
      <c r="B2988" s="2">
        <f t="shared" si="186"/>
        <v>144</v>
      </c>
      <c r="C2988">
        <v>273</v>
      </c>
      <c r="D2988">
        <v>154</v>
      </c>
      <c r="E2988">
        <v>26</v>
      </c>
      <c r="F2988">
        <f t="shared" si="188"/>
        <v>-1.0451557299244203</v>
      </c>
      <c r="G2988">
        <f t="shared" si="189"/>
        <v>-2.087824115750176</v>
      </c>
      <c r="I2988">
        <f t="shared" si="187"/>
        <v>-1.5664899228372982</v>
      </c>
    </row>
    <row r="2989" spans="1:9">
      <c r="A2989" t="s">
        <v>11</v>
      </c>
      <c r="B2989" s="2">
        <f t="shared" si="186"/>
        <v>144</v>
      </c>
      <c r="C2989">
        <v>287</v>
      </c>
      <c r="D2989">
        <v>29</v>
      </c>
      <c r="E2989">
        <v>25</v>
      </c>
      <c r="F2989">
        <f t="shared" si="188"/>
        <v>-1.7919977025551637</v>
      </c>
      <c r="G2989">
        <f t="shared" si="189"/>
        <v>-2.1265767047421926</v>
      </c>
      <c r="I2989">
        <f t="shared" si="187"/>
        <v>-1.9592872036486781</v>
      </c>
    </row>
    <row r="2990" spans="1:9">
      <c r="A2990" t="s">
        <v>12</v>
      </c>
      <c r="B2990" s="2">
        <f t="shared" si="186"/>
        <v>144</v>
      </c>
      <c r="C2990">
        <v>209</v>
      </c>
      <c r="D2990">
        <v>230</v>
      </c>
      <c r="E2990">
        <v>27</v>
      </c>
      <c r="F2990">
        <f t="shared" si="188"/>
        <v>-0.75493225381358853</v>
      </c>
      <c r="G2990">
        <f t="shared" si="189"/>
        <v>-1.9554173386323048</v>
      </c>
      <c r="I2990">
        <f t="shared" si="187"/>
        <v>-1.3551747962229466</v>
      </c>
    </row>
    <row r="2991" spans="1:9">
      <c r="A2991" t="s">
        <v>9</v>
      </c>
      <c r="B2991" s="2">
        <f t="shared" si="186"/>
        <v>144</v>
      </c>
      <c r="C2991">
        <v>138</v>
      </c>
      <c r="D2991">
        <v>12</v>
      </c>
      <c r="E2991">
        <v>49</v>
      </c>
      <c r="F2991">
        <f t="shared" si="188"/>
        <v>-1.857211644073739</v>
      </c>
      <c r="G2991">
        <f t="shared" si="189"/>
        <v>-1.516317823052961</v>
      </c>
      <c r="I2991">
        <f t="shared" si="187"/>
        <v>-1.68676473356335</v>
      </c>
    </row>
    <row r="2992" spans="1:9">
      <c r="A2992" t="s">
        <v>13</v>
      </c>
      <c r="B2992" s="2">
        <f t="shared" si="186"/>
        <v>144</v>
      </c>
      <c r="C2992">
        <v>146</v>
      </c>
      <c r="D2992">
        <v>167</v>
      </c>
      <c r="E2992">
        <v>63</v>
      </c>
      <c r="F2992">
        <f t="shared" si="188"/>
        <v>-0.73815018835698121</v>
      </c>
      <c r="G2992">
        <f t="shared" si="189"/>
        <v>-1.4316471230110936</v>
      </c>
      <c r="I2992">
        <f t="shared" si="187"/>
        <v>-1.0848986556840374</v>
      </c>
    </row>
    <row r="2993" spans="1:9">
      <c r="A2993" t="s">
        <v>14</v>
      </c>
      <c r="B2993" s="2">
        <f t="shared" si="186"/>
        <v>144</v>
      </c>
      <c r="C2993">
        <v>208</v>
      </c>
      <c r="D2993">
        <v>23</v>
      </c>
      <c r="E2993">
        <v>49</v>
      </c>
      <c r="F2993">
        <f t="shared" si="188"/>
        <v>-1.752849302665296</v>
      </c>
      <c r="G2993">
        <f t="shared" si="189"/>
        <v>-1.6945020716144861</v>
      </c>
      <c r="I2993">
        <f t="shared" si="187"/>
        <v>-1.7236756871398911</v>
      </c>
    </row>
    <row r="2994" spans="1:9">
      <c r="A2994" t="s">
        <v>15</v>
      </c>
      <c r="B2994" s="2">
        <f t="shared" si="186"/>
        <v>144</v>
      </c>
      <c r="C2994">
        <v>217</v>
      </c>
      <c r="D2994">
        <v>107</v>
      </c>
      <c r="E2994">
        <v>19</v>
      </c>
      <c r="F2994">
        <f t="shared" si="188"/>
        <v>-1.1035897598834472</v>
      </c>
      <c r="G2994">
        <f t="shared" si="189"/>
        <v>-2.1243409495759389</v>
      </c>
      <c r="I2994">
        <f t="shared" si="187"/>
        <v>-1.613965354729693</v>
      </c>
    </row>
    <row r="2995" spans="1:9">
      <c r="A2995" t="s">
        <v>16</v>
      </c>
      <c r="B2995" s="2">
        <f t="shared" si="186"/>
        <v>144</v>
      </c>
      <c r="C2995">
        <v>240</v>
      </c>
      <c r="D2995">
        <v>29</v>
      </c>
      <c r="E2995">
        <v>29</v>
      </c>
      <c r="F2995">
        <f t="shared" si="188"/>
        <v>-1.7143270475327772</v>
      </c>
      <c r="G2995">
        <f t="shared" si="189"/>
        <v>-1.984448060492888</v>
      </c>
      <c r="I2995">
        <f t="shared" si="187"/>
        <v>-1.8493875540128326</v>
      </c>
    </row>
    <row r="2996" spans="1:9">
      <c r="A2996" t="s">
        <v>17</v>
      </c>
      <c r="B2996" s="2">
        <f t="shared" si="186"/>
        <v>144</v>
      </c>
      <c r="C2996">
        <v>314</v>
      </c>
      <c r="D2996">
        <v>330</v>
      </c>
      <c r="E2996">
        <v>40</v>
      </c>
      <c r="F2996">
        <f t="shared" si="188"/>
        <v>-0.77492951191545478</v>
      </c>
      <c r="G2996">
        <f t="shared" si="189"/>
        <v>-1.9615044734254907</v>
      </c>
      <c r="I2996">
        <f t="shared" si="187"/>
        <v>-1.3682169926704728</v>
      </c>
    </row>
    <row r="2997" spans="1:9">
      <c r="A2997" t="s">
        <v>18</v>
      </c>
      <c r="B2997" s="2">
        <f t="shared" si="186"/>
        <v>144</v>
      </c>
      <c r="C2997">
        <v>348</v>
      </c>
      <c r="D2997">
        <v>155</v>
      </c>
      <c r="E2997">
        <v>40</v>
      </c>
      <c r="F2997">
        <f t="shared" si="188"/>
        <v>-1.1477613494964167</v>
      </c>
      <c r="G2997">
        <f t="shared" si="189"/>
        <v>-2.0061540692988569</v>
      </c>
      <c r="I2997">
        <f t="shared" si="187"/>
        <v>-1.5769577093976368</v>
      </c>
    </row>
    <row r="2998" spans="1:9">
      <c r="A2998" t="s">
        <v>19</v>
      </c>
      <c r="B2998" s="2">
        <f t="shared" si="186"/>
        <v>144</v>
      </c>
      <c r="C2998">
        <v>213</v>
      </c>
      <c r="D2998">
        <v>244</v>
      </c>
      <c r="E2998">
        <v>131</v>
      </c>
      <c r="F2998">
        <f t="shared" si="188"/>
        <v>-0.73750358082013567</v>
      </c>
      <c r="G2998">
        <f t="shared" si="189"/>
        <v>-1.2777431244632116</v>
      </c>
      <c r="I2998">
        <f t="shared" si="187"/>
        <v>-1.0076233526416736</v>
      </c>
    </row>
    <row r="2999" spans="1:9">
      <c r="A2999" t="s">
        <v>20</v>
      </c>
      <c r="B2999" s="2">
        <f t="shared" si="186"/>
        <v>144</v>
      </c>
      <c r="C2999">
        <v>40783</v>
      </c>
      <c r="D2999">
        <v>255266</v>
      </c>
      <c r="E2999">
        <v>475460</v>
      </c>
      <c r="F2999">
        <f t="shared" si="188"/>
        <v>0</v>
      </c>
      <c r="G2999">
        <f t="shared" si="189"/>
        <v>0</v>
      </c>
      <c r="I2999">
        <f t="shared" si="187"/>
        <v>0</v>
      </c>
    </row>
    <row r="3000" spans="1:9">
      <c r="A3000" t="s">
        <v>21</v>
      </c>
      <c r="B3000" s="2">
        <f t="shared" si="186"/>
        <v>144</v>
      </c>
      <c r="C3000">
        <v>314</v>
      </c>
      <c r="D3000">
        <v>375</v>
      </c>
      <c r="E3000">
        <v>40</v>
      </c>
      <c r="F3000">
        <f t="shared" si="188"/>
        <v>-0.71941218406562346</v>
      </c>
      <c r="G3000">
        <f t="shared" si="189"/>
        <v>-1.9615044734254907</v>
      </c>
      <c r="I3000">
        <f t="shared" si="187"/>
        <v>-1.3404583287455571</v>
      </c>
    </row>
    <row r="3001" spans="1:9">
      <c r="A3001" t="s">
        <v>22</v>
      </c>
      <c r="B3001" s="2">
        <f t="shared" si="186"/>
        <v>144</v>
      </c>
      <c r="C3001">
        <v>179</v>
      </c>
      <c r="D3001">
        <v>757</v>
      </c>
      <c r="E3001">
        <v>30</v>
      </c>
      <c r="F3001">
        <f t="shared" si="188"/>
        <v>-0.17027095519994773</v>
      </c>
      <c r="G3001">
        <f t="shared" si="189"/>
        <v>-1.8423665929404689</v>
      </c>
      <c r="I3001">
        <f t="shared" si="187"/>
        <v>-1.0063187740702082</v>
      </c>
    </row>
    <row r="3002" spans="1:9">
      <c r="A3002" t="s">
        <v>23</v>
      </c>
      <c r="B3002" s="2">
        <f t="shared" si="186"/>
        <v>144</v>
      </c>
      <c r="C3002">
        <v>169</v>
      </c>
      <c r="D3002">
        <v>104</v>
      </c>
      <c r="E3002">
        <v>47</v>
      </c>
      <c r="F3002">
        <f t="shared" si="188"/>
        <v>-1.0073671690350205</v>
      </c>
      <c r="G3002">
        <f t="shared" si="189"/>
        <v>-1.6224236633581943</v>
      </c>
      <c r="I3002">
        <f t="shared" si="187"/>
        <v>-1.3148954161966073</v>
      </c>
    </row>
    <row r="3003" spans="1:9">
      <c r="A3003" t="s">
        <v>24</v>
      </c>
      <c r="B3003" s="2">
        <f t="shared" si="186"/>
        <v>144</v>
      </c>
      <c r="C3003">
        <v>414</v>
      </c>
      <c r="D3003">
        <v>8510</v>
      </c>
      <c r="E3003">
        <v>242</v>
      </c>
      <c r="F3003">
        <f t="shared" si="188"/>
        <v>0.5164154152435616</v>
      </c>
      <c r="G3003">
        <f t="shared" si="189"/>
        <v>-1.2998197918207057</v>
      </c>
      <c r="I3003">
        <f t="shared" si="187"/>
        <v>-0.39170218828857206</v>
      </c>
    </row>
    <row r="3004" spans="1:9">
      <c r="A3004" t="s">
        <v>25</v>
      </c>
      <c r="B3004" s="2">
        <f t="shared" si="186"/>
        <v>144</v>
      </c>
      <c r="C3004">
        <v>372</v>
      </c>
      <c r="D3004">
        <v>39</v>
      </c>
      <c r="E3004">
        <v>75</v>
      </c>
      <c r="F3004">
        <f t="shared" si="188"/>
        <v>-1.7759921365755256</v>
      </c>
      <c r="G3004">
        <f t="shared" si="189"/>
        <v>-1.7621164931704358</v>
      </c>
      <c r="I3004">
        <f t="shared" si="187"/>
        <v>-1.7690543148729807</v>
      </c>
    </row>
    <row r="3005" spans="1:9">
      <c r="A3005" t="s">
        <v>7</v>
      </c>
      <c r="B3005" s="2">
        <f t="shared" si="186"/>
        <v>145</v>
      </c>
      <c r="C3005">
        <v>227</v>
      </c>
      <c r="D3005">
        <v>32</v>
      </c>
      <c r="E3005">
        <v>14</v>
      </c>
      <c r="F3005">
        <f t="shared" si="188"/>
        <v>-1.6473896825933441</v>
      </c>
      <c r="G3005">
        <f t="shared" si="189"/>
        <v>-2.276532638195123</v>
      </c>
      <c r="I3005">
        <f t="shared" si="187"/>
        <v>-1.9619611603942335</v>
      </c>
    </row>
    <row r="3006" spans="1:9">
      <c r="A3006" t="s">
        <v>8</v>
      </c>
      <c r="B3006" s="2">
        <f t="shared" si="186"/>
        <v>145</v>
      </c>
      <c r="C3006">
        <v>188</v>
      </c>
      <c r="D3006">
        <v>80</v>
      </c>
      <c r="E3006">
        <v>32</v>
      </c>
      <c r="F3006">
        <f t="shared" si="188"/>
        <v>-1.1675816659918636</v>
      </c>
      <c r="G3006">
        <f t="shared" si="189"/>
        <v>-1.8356426876240119</v>
      </c>
      <c r="I3006">
        <f t="shared" si="187"/>
        <v>-1.5016121768079378</v>
      </c>
    </row>
    <row r="3007" spans="1:9">
      <c r="A3007" t="s">
        <v>5</v>
      </c>
      <c r="B3007" s="2">
        <f t="shared" si="186"/>
        <v>145</v>
      </c>
      <c r="C3007">
        <v>96</v>
      </c>
      <c r="D3007">
        <v>9</v>
      </c>
      <c r="E3007">
        <v>3</v>
      </c>
      <c r="F3007">
        <f t="shared" si="188"/>
        <v>-1.8245425273203708</v>
      </c>
      <c r="G3007">
        <f t="shared" si="189"/>
        <v>-2.571784795000144</v>
      </c>
      <c r="I3007">
        <f t="shared" si="187"/>
        <v>-2.1981636611602573</v>
      </c>
    </row>
    <row r="3008" spans="1:9">
      <c r="A3008" t="s">
        <v>6</v>
      </c>
      <c r="B3008" s="2">
        <f t="shared" si="186"/>
        <v>145</v>
      </c>
      <c r="C3008">
        <v>248</v>
      </c>
      <c r="D3008">
        <v>6</v>
      </c>
      <c r="E3008">
        <v>16</v>
      </c>
      <c r="F3008">
        <f t="shared" si="188"/>
        <v>-2.4128142341626999</v>
      </c>
      <c r="G3008">
        <f t="shared" si="189"/>
        <v>-2.2569665148505296</v>
      </c>
      <c r="I3008">
        <f t="shared" si="187"/>
        <v>-2.3348903745066147</v>
      </c>
    </row>
    <row r="3009" spans="1:9">
      <c r="A3009" t="s">
        <v>10</v>
      </c>
      <c r="B3009" s="2">
        <f t="shared" si="186"/>
        <v>145</v>
      </c>
      <c r="C3009">
        <v>238</v>
      </c>
      <c r="D3009">
        <v>902</v>
      </c>
      <c r="E3009">
        <v>127</v>
      </c>
      <c r="F3009">
        <f t="shared" si="188"/>
        <v>-0.21788422323469758</v>
      </c>
      <c r="G3009">
        <f t="shared" si="189"/>
        <v>-1.3394080527807932</v>
      </c>
      <c r="I3009">
        <f t="shared" si="187"/>
        <v>-0.7786461380077454</v>
      </c>
    </row>
    <row r="3010" spans="1:9">
      <c r="A3010" t="s">
        <v>11</v>
      </c>
      <c r="B3010" s="2">
        <f t="shared" si="186"/>
        <v>145</v>
      </c>
      <c r="C3010">
        <v>155</v>
      </c>
      <c r="D3010">
        <v>259</v>
      </c>
      <c r="E3010">
        <v>154</v>
      </c>
      <c r="F3010">
        <f t="shared" si="188"/>
        <v>-0.57354573780916707</v>
      </c>
      <c r="G3010">
        <f t="shared" si="189"/>
        <v>-1.0694457940140667</v>
      </c>
      <c r="I3010">
        <f t="shared" si="187"/>
        <v>-0.82149576591161688</v>
      </c>
    </row>
    <row r="3011" spans="1:9">
      <c r="A3011" t="s">
        <v>12</v>
      </c>
      <c r="B3011" s="2">
        <f t="shared" ref="B3011:B3074" si="190">1+INT((ROW()-2)/21)+1</f>
        <v>145</v>
      </c>
      <c r="C3011">
        <v>219</v>
      </c>
      <c r="D3011">
        <v>1482</v>
      </c>
      <c r="E3011">
        <v>1333</v>
      </c>
      <c r="F3011">
        <f t="shared" si="188"/>
        <v>3.3890285083063687E-2</v>
      </c>
      <c r="G3011">
        <f t="shared" si="189"/>
        <v>-0.2822487821064974</v>
      </c>
      <c r="I3011">
        <f t="shared" ref="I3011:I3074" si="191">AVERAGE(F3011:G3011)</f>
        <v>-0.12417924851171686</v>
      </c>
    </row>
    <row r="3012" spans="1:9">
      <c r="A3012" t="s">
        <v>9</v>
      </c>
      <c r="B3012" s="2">
        <f t="shared" si="190"/>
        <v>145</v>
      </c>
      <c r="C3012">
        <v>132</v>
      </c>
      <c r="D3012">
        <v>89</v>
      </c>
      <c r="E3012">
        <v>64</v>
      </c>
      <c r="F3012">
        <f t="shared" si="188"/>
        <v>-0.96769772828106448</v>
      </c>
      <c r="G3012">
        <f t="shared" si="189"/>
        <v>-1.3810287739022009</v>
      </c>
      <c r="I3012">
        <f t="shared" si="191"/>
        <v>-1.1743632510916326</v>
      </c>
    </row>
    <row r="3013" spans="1:9">
      <c r="A3013" t="s">
        <v>13</v>
      </c>
      <c r="B3013" s="2">
        <f t="shared" si="190"/>
        <v>145</v>
      </c>
      <c r="C3013">
        <v>81</v>
      </c>
      <c r="D3013">
        <v>832</v>
      </c>
      <c r="E3013">
        <v>65</v>
      </c>
      <c r="F3013">
        <f t="shared" si="188"/>
        <v>0.21512450369194691</v>
      </c>
      <c r="G3013">
        <f t="shared" si="189"/>
        <v>-1.1622064789160325</v>
      </c>
      <c r="I3013">
        <f t="shared" si="191"/>
        <v>-0.47354098761204277</v>
      </c>
    </row>
    <row r="3014" spans="1:9">
      <c r="A3014" t="s">
        <v>14</v>
      </c>
      <c r="B3014" s="2">
        <f t="shared" si="190"/>
        <v>145</v>
      </c>
      <c r="C3014">
        <v>92</v>
      </c>
      <c r="D3014">
        <v>16</v>
      </c>
      <c r="E3014">
        <v>10</v>
      </c>
      <c r="F3014">
        <f t="shared" si="188"/>
        <v>-1.5561816484097579</v>
      </c>
      <c r="G3014">
        <f t="shared" si="189"/>
        <v>-2.0304226440257933</v>
      </c>
      <c r="I3014">
        <f t="shared" si="191"/>
        <v>-1.7933021462177756</v>
      </c>
    </row>
    <row r="3015" spans="1:9">
      <c r="A3015" t="s">
        <v>15</v>
      </c>
      <c r="B3015" s="2">
        <f t="shared" si="190"/>
        <v>145</v>
      </c>
      <c r="C3015">
        <v>256</v>
      </c>
      <c r="D3015">
        <v>4421</v>
      </c>
      <c r="E3015">
        <v>6472</v>
      </c>
      <c r="F3015">
        <f t="shared" si="188"/>
        <v>0.44076674587389708</v>
      </c>
      <c r="G3015">
        <f t="shared" si="189"/>
        <v>0.33616372661212823</v>
      </c>
      <c r="I3015">
        <f t="shared" si="191"/>
        <v>0.38846523624301266</v>
      </c>
    </row>
    <row r="3016" spans="1:9">
      <c r="A3016" t="s">
        <v>16</v>
      </c>
      <c r="B3016" s="2">
        <f t="shared" si="190"/>
        <v>145</v>
      </c>
      <c r="C3016">
        <v>253</v>
      </c>
      <c r="D3016">
        <v>305</v>
      </c>
      <c r="E3016">
        <v>90</v>
      </c>
      <c r="F3016">
        <f t="shared" si="188"/>
        <v>-0.71533448554915946</v>
      </c>
      <c r="G3016">
        <f t="shared" si="189"/>
        <v>-1.5155128284167312</v>
      </c>
      <c r="I3016">
        <f t="shared" si="191"/>
        <v>-1.1154236569829452</v>
      </c>
    </row>
    <row r="3017" spans="1:9">
      <c r="A3017" t="s">
        <v>17</v>
      </c>
      <c r="B3017" s="2">
        <f t="shared" si="190"/>
        <v>145</v>
      </c>
      <c r="C3017">
        <v>164</v>
      </c>
      <c r="D3017">
        <v>31</v>
      </c>
      <c r="E3017">
        <v>45</v>
      </c>
      <c r="F3017">
        <f t="shared" si="188"/>
        <v>-1.5199959579335527</v>
      </c>
      <c r="G3017">
        <f t="shared" si="189"/>
        <v>-1.6282661509525922</v>
      </c>
      <c r="I3017">
        <f t="shared" si="191"/>
        <v>-1.5741310544430724</v>
      </c>
    </row>
    <row r="3018" spans="1:9">
      <c r="A3018" t="s">
        <v>18</v>
      </c>
      <c r="B3018" s="2">
        <f t="shared" si="190"/>
        <v>145</v>
      </c>
      <c r="C3018">
        <v>195</v>
      </c>
      <c r="D3018">
        <v>76</v>
      </c>
      <c r="E3018">
        <v>62</v>
      </c>
      <c r="F3018">
        <f t="shared" si="188"/>
        <v>-1.2057348228018541</v>
      </c>
      <c r="G3018">
        <f t="shared" si="189"/>
        <v>-1.5642777385445024</v>
      </c>
      <c r="I3018">
        <f t="shared" si="191"/>
        <v>-1.3850062806731782</v>
      </c>
    </row>
    <row r="3019" spans="1:9">
      <c r="A3019" t="s">
        <v>19</v>
      </c>
      <c r="B3019" s="2">
        <f t="shared" si="190"/>
        <v>145</v>
      </c>
      <c r="C3019">
        <v>156</v>
      </c>
      <c r="D3019">
        <v>157</v>
      </c>
      <c r="E3019">
        <v>108</v>
      </c>
      <c r="F3019">
        <f t="shared" si="188"/>
        <v>-0.79373874966535529</v>
      </c>
      <c r="G3019">
        <f t="shared" si="189"/>
        <v>-1.2263356595477501</v>
      </c>
      <c r="I3019">
        <f t="shared" si="191"/>
        <v>-1.0100372046065527</v>
      </c>
    </row>
    <row r="3020" spans="1:9">
      <c r="A3020" t="s">
        <v>20</v>
      </c>
      <c r="B3020" s="2">
        <f t="shared" si="190"/>
        <v>145</v>
      </c>
      <c r="C3020">
        <v>40783</v>
      </c>
      <c r="D3020">
        <v>255266</v>
      </c>
      <c r="E3020">
        <v>475460</v>
      </c>
      <c r="F3020">
        <f t="shared" si="188"/>
        <v>0</v>
      </c>
      <c r="G3020">
        <f t="shared" si="189"/>
        <v>0</v>
      </c>
      <c r="I3020">
        <f t="shared" si="191"/>
        <v>0</v>
      </c>
    </row>
    <row r="3021" spans="1:9">
      <c r="A3021" t="s">
        <v>21</v>
      </c>
      <c r="B3021" s="2">
        <f t="shared" si="190"/>
        <v>145</v>
      </c>
      <c r="C3021">
        <v>208</v>
      </c>
      <c r="D3021">
        <v>1844</v>
      </c>
      <c r="E3021">
        <v>71</v>
      </c>
      <c r="F3021">
        <f t="shared" si="188"/>
        <v>0.15118377803472161</v>
      </c>
      <c r="G3021">
        <f t="shared" si="189"/>
        <v>-1.5334398029239245</v>
      </c>
      <c r="I3021">
        <f t="shared" si="191"/>
        <v>-0.69112801244460143</v>
      </c>
    </row>
    <row r="3022" spans="1:9">
      <c r="A3022" t="s">
        <v>22</v>
      </c>
      <c r="B3022" s="2">
        <f t="shared" si="190"/>
        <v>145</v>
      </c>
      <c r="C3022">
        <v>173</v>
      </c>
      <c r="D3022">
        <v>397</v>
      </c>
      <c r="E3022">
        <v>15</v>
      </c>
      <c r="F3022">
        <f t="shared" si="188"/>
        <v>-0.43576940008580778</v>
      </c>
      <c r="G3022">
        <f t="shared" si="189"/>
        <v>-2.1285896607533523</v>
      </c>
      <c r="I3022">
        <f t="shared" si="191"/>
        <v>-1.28217953041958</v>
      </c>
    </row>
    <row r="3023" spans="1:9">
      <c r="A3023" t="s">
        <v>23</v>
      </c>
      <c r="B3023" s="2">
        <f t="shared" si="190"/>
        <v>145</v>
      </c>
      <c r="C3023">
        <v>113</v>
      </c>
      <c r="D3023">
        <v>19</v>
      </c>
      <c r="E3023">
        <v>29</v>
      </c>
      <c r="F3023">
        <f t="shared" si="188"/>
        <v>-1.570838646250718</v>
      </c>
      <c r="G3023">
        <f t="shared" si="189"/>
        <v>-1.6573152622647018</v>
      </c>
      <c r="I3023">
        <f t="shared" si="191"/>
        <v>-1.61407695425771</v>
      </c>
    </row>
    <row r="3024" spans="1:9">
      <c r="A3024" t="s">
        <v>24</v>
      </c>
      <c r="B3024" s="2">
        <f t="shared" si="190"/>
        <v>145</v>
      </c>
      <c r="C3024">
        <v>272</v>
      </c>
      <c r="D3024">
        <v>17</v>
      </c>
      <c r="E3024">
        <v>24</v>
      </c>
      <c r="F3024">
        <f t="shared" si="188"/>
        <v>-2.0006337863760519</v>
      </c>
      <c r="G3024">
        <f t="shared" si="189"/>
        <v>-2.1209924790028309</v>
      </c>
      <c r="I3024">
        <f t="shared" si="191"/>
        <v>-2.0608131326894412</v>
      </c>
    </row>
    <row r="3025" spans="1:14">
      <c r="A3025" t="s">
        <v>25</v>
      </c>
      <c r="B3025" s="2">
        <f t="shared" si="190"/>
        <v>145</v>
      </c>
      <c r="C3025">
        <v>219</v>
      </c>
      <c r="D3025">
        <v>87</v>
      </c>
      <c r="E3025">
        <v>18</v>
      </c>
      <c r="F3025">
        <f t="shared" si="188"/>
        <v>-1.1974386659416272</v>
      </c>
      <c r="G3025">
        <f t="shared" si="189"/>
        <v>-2.1518064264170507</v>
      </c>
      <c r="I3025">
        <f t="shared" si="191"/>
        <v>-1.6746225461793389</v>
      </c>
    </row>
    <row r="3026" spans="1:14">
      <c r="A3026" t="s">
        <v>7</v>
      </c>
      <c r="B3026" s="2">
        <f t="shared" si="190"/>
        <v>146</v>
      </c>
      <c r="C3026">
        <v>840</v>
      </c>
      <c r="D3026">
        <v>12</v>
      </c>
      <c r="E3026">
        <v>50</v>
      </c>
      <c r="F3026">
        <f>LOG10(D3026/C3026)-LOG10(128208/165163)</f>
        <v>-1.7351004026664543</v>
      </c>
      <c r="G3026">
        <f>LOG10(E3026/C3026)-LOG10(119843/165163)</f>
        <v>-1.0860091910582721</v>
      </c>
      <c r="I3026">
        <f t="shared" si="191"/>
        <v>-1.4105547968623631</v>
      </c>
      <c r="J3026">
        <v>50</v>
      </c>
      <c r="K3026">
        <v>25</v>
      </c>
      <c r="L3026">
        <v>-1.0860091910582721</v>
      </c>
      <c r="M3026">
        <f>LOG10(K3026/C3026)-LOG10(106948/165163)</f>
        <v>-1.3375991820277533</v>
      </c>
      <c r="N3026">
        <v>-1.7351004026664543</v>
      </c>
    </row>
    <row r="3027" spans="1:14">
      <c r="A3027" t="s">
        <v>8</v>
      </c>
      <c r="B3027" s="2">
        <f t="shared" si="190"/>
        <v>146</v>
      </c>
      <c r="C3027">
        <v>832</v>
      </c>
      <c r="D3027">
        <v>20</v>
      </c>
      <c r="E3027">
        <v>487</v>
      </c>
      <c r="F3027">
        <f t="shared" ref="F3027:F3090" si="192">LOG10(D3027/C3027)-LOG10(128208/165163)</f>
        <v>-1.5090956932789401</v>
      </c>
      <c r="G3027">
        <f t="shared" ref="G3027:G3090" si="193">LOG10(E3027/C3027)-LOG10(119843/165163)</f>
        <v>-9.3294274408498856E-2</v>
      </c>
      <c r="I3027">
        <f t="shared" si="191"/>
        <v>-0.80119498384371945</v>
      </c>
      <c r="J3027">
        <v>487</v>
      </c>
      <c r="K3027">
        <v>63</v>
      </c>
      <c r="L3027">
        <v>-9.3294274408498856E-2</v>
      </c>
      <c r="M3027">
        <f t="shared" ref="M3027:M3090" si="194">LOG10(K3027/C3027)-LOG10(106948/165163)</f>
        <v>-0.93204268147505165</v>
      </c>
      <c r="N3027">
        <v>-1.5090956932789401</v>
      </c>
    </row>
    <row r="3028" spans="1:14">
      <c r="A3028" t="s">
        <v>5</v>
      </c>
      <c r="B3028" s="2">
        <f t="shared" si="190"/>
        <v>146</v>
      </c>
      <c r="C3028">
        <v>576</v>
      </c>
      <c r="D3028">
        <v>10</v>
      </c>
      <c r="E3028">
        <v>977</v>
      </c>
      <c r="F3028">
        <f t="shared" si="192"/>
        <v>-1.6504248460754094</v>
      </c>
      <c r="G3028">
        <f t="shared" si="193"/>
        <v>0.36877217096315185</v>
      </c>
      <c r="I3028">
        <f t="shared" si="191"/>
        <v>-0.64082633755612872</v>
      </c>
      <c r="J3028">
        <v>977</v>
      </c>
      <c r="K3028">
        <v>421</v>
      </c>
      <c r="L3028">
        <v>0.36877217096315185</v>
      </c>
      <c r="M3028">
        <f t="shared" si="194"/>
        <v>5.259970777454695E-2</v>
      </c>
      <c r="N3028">
        <v>-1.6504248460754094</v>
      </c>
    </row>
    <row r="3029" spans="1:14">
      <c r="A3029" t="s">
        <v>6</v>
      </c>
      <c r="B3029" s="2">
        <f t="shared" si="190"/>
        <v>146</v>
      </c>
      <c r="C3029">
        <v>559</v>
      </c>
      <c r="D3029">
        <v>15</v>
      </c>
      <c r="E3029">
        <v>194</v>
      </c>
      <c r="F3029">
        <f t="shared" si="192"/>
        <v>-1.4613229114829394</v>
      </c>
      <c r="G3029">
        <f t="shared" si="193"/>
        <v>-0.32030998728860649</v>
      </c>
      <c r="I3029">
        <f t="shared" si="191"/>
        <v>-0.89081644938577287</v>
      </c>
      <c r="J3029">
        <v>194</v>
      </c>
      <c r="K3029">
        <v>566</v>
      </c>
      <c r="L3029">
        <v>-0.32030998728860649</v>
      </c>
      <c r="M3029">
        <f t="shared" si="194"/>
        <v>0.19414471866393881</v>
      </c>
      <c r="N3029">
        <v>-1.4613229114829394</v>
      </c>
    </row>
    <row r="3030" spans="1:14">
      <c r="A3030" t="s">
        <v>10</v>
      </c>
      <c r="B3030" s="2">
        <f t="shared" si="190"/>
        <v>146</v>
      </c>
      <c r="C3030">
        <v>878</v>
      </c>
      <c r="D3030">
        <v>17</v>
      </c>
      <c r="E3030">
        <v>340</v>
      </c>
      <c r="F3030">
        <f t="shared" si="192"/>
        <v>-1.603047957180026</v>
      </c>
      <c r="G3030">
        <f t="shared" si="193"/>
        <v>-0.27271550819625667</v>
      </c>
      <c r="I3030">
        <f t="shared" si="191"/>
        <v>-0.93788173268814135</v>
      </c>
      <c r="J3030">
        <v>340</v>
      </c>
      <c r="K3030">
        <v>452</v>
      </c>
      <c r="L3030">
        <v>-0.27271550819625667</v>
      </c>
      <c r="M3030">
        <f t="shared" si="194"/>
        <v>-9.9615985732629753E-2</v>
      </c>
      <c r="N3030">
        <v>-1.603047957180026</v>
      </c>
    </row>
    <row r="3031" spans="1:14">
      <c r="A3031" t="s">
        <v>11</v>
      </c>
      <c r="B3031" s="2">
        <f t="shared" si="190"/>
        <v>146</v>
      </c>
      <c r="C3031">
        <v>55</v>
      </c>
      <c r="D3031">
        <v>41</v>
      </c>
      <c r="E3031">
        <v>20</v>
      </c>
      <c r="F3031">
        <f t="shared" si="192"/>
        <v>-1.7581195426705706E-2</v>
      </c>
      <c r="G3031">
        <f t="shared" si="193"/>
        <v>-0.30003260316267188</v>
      </c>
      <c r="I3031">
        <f t="shared" si="191"/>
        <v>-0.1588068992946888</v>
      </c>
      <c r="J3031">
        <v>20</v>
      </c>
      <c r="K3031">
        <v>16</v>
      </c>
      <c r="L3031">
        <v>-0.30003260316267188</v>
      </c>
      <c r="M3031">
        <f t="shared" si="194"/>
        <v>-0.34750261147622841</v>
      </c>
      <c r="N3031">
        <v>-1.7581195426705706E-2</v>
      </c>
    </row>
    <row r="3032" spans="1:14">
      <c r="A3032" t="s">
        <v>12</v>
      </c>
      <c r="B3032" s="2">
        <f t="shared" si="190"/>
        <v>146</v>
      </c>
      <c r="C3032">
        <v>1332</v>
      </c>
      <c r="D3032">
        <v>20</v>
      </c>
      <c r="E3032">
        <v>206</v>
      </c>
      <c r="F3032">
        <f t="shared" si="192"/>
        <v>-1.7134765918224983</v>
      </c>
      <c r="G3032">
        <f t="shared" si="193"/>
        <v>-0.67133691379753813</v>
      </c>
      <c r="I3032">
        <f t="shared" si="191"/>
        <v>-1.1924067528100182</v>
      </c>
      <c r="J3032">
        <v>206</v>
      </c>
      <c r="K3032">
        <v>44</v>
      </c>
      <c r="L3032">
        <v>-0.67133691379753813</v>
      </c>
      <c r="M3032">
        <f t="shared" si="194"/>
        <v>-1.292311452986004</v>
      </c>
      <c r="N3032">
        <v>-1.7134765918224983</v>
      </c>
    </row>
    <row r="3033" spans="1:14">
      <c r="A3033" t="s">
        <v>9</v>
      </c>
      <c r="B3033" s="2">
        <f t="shared" si="190"/>
        <v>146</v>
      </c>
      <c r="C3033">
        <v>485</v>
      </c>
      <c r="D3033">
        <v>3</v>
      </c>
      <c r="E3033">
        <v>1108</v>
      </c>
      <c r="F3033">
        <f t="shared" si="192"/>
        <v>-2.0986228465347989</v>
      </c>
      <c r="G3033">
        <f t="shared" si="193"/>
        <v>0.49809811245773805</v>
      </c>
      <c r="I3033">
        <f t="shared" si="191"/>
        <v>-0.80026236703853049</v>
      </c>
      <c r="J3033">
        <v>1108</v>
      </c>
      <c r="K3033">
        <v>784</v>
      </c>
      <c r="L3033">
        <v>0.49809811245773805</v>
      </c>
      <c r="M3033">
        <f t="shared" si="194"/>
        <v>0.39731441944426549</v>
      </c>
      <c r="N3033">
        <v>-2.0986228465347989</v>
      </c>
    </row>
    <row r="3034" spans="1:14">
      <c r="A3034" t="s">
        <v>13</v>
      </c>
      <c r="B3034" s="2">
        <f t="shared" si="190"/>
        <v>146</v>
      </c>
      <c r="C3034">
        <v>364</v>
      </c>
      <c r="D3034">
        <v>22</v>
      </c>
      <c r="E3034">
        <v>25</v>
      </c>
      <c r="F3034">
        <f t="shared" si="192"/>
        <v>-1.1086810654790471</v>
      </c>
      <c r="G3034">
        <f t="shared" si="193"/>
        <v>-1.0238612843094277</v>
      </c>
      <c r="I3034">
        <f t="shared" si="191"/>
        <v>-1.0662711748942373</v>
      </c>
      <c r="J3034">
        <v>25</v>
      </c>
      <c r="K3034">
        <v>31</v>
      </c>
      <c r="L3034">
        <v>-1.0238612843094277</v>
      </c>
      <c r="M3034">
        <f t="shared" si="194"/>
        <v>-0.8809995944526926</v>
      </c>
      <c r="N3034">
        <v>-1.1086810654790471</v>
      </c>
    </row>
    <row r="3035" spans="1:14">
      <c r="A3035" t="s">
        <v>14</v>
      </c>
      <c r="B3035" s="2">
        <f t="shared" si="190"/>
        <v>146</v>
      </c>
      <c r="C3035">
        <v>880</v>
      </c>
      <c r="D3035">
        <v>17</v>
      </c>
      <c r="E3035">
        <v>715</v>
      </c>
      <c r="F3035">
        <f t="shared" si="192"/>
        <v>-1.6040361134240921</v>
      </c>
      <c r="G3035">
        <f t="shared" si="193"/>
        <v>4.912346031850276E-2</v>
      </c>
      <c r="I3035">
        <f t="shared" si="191"/>
        <v>-0.77745632655279473</v>
      </c>
      <c r="J3035">
        <v>715</v>
      </c>
      <c r="K3035">
        <v>591</v>
      </c>
      <c r="L3035">
        <v>4.912346031850276E-2</v>
      </c>
      <c r="M3035">
        <f t="shared" si="194"/>
        <v>1.5844904093177459E-2</v>
      </c>
      <c r="N3035">
        <v>-1.6040361134240921</v>
      </c>
    </row>
    <row r="3036" spans="1:14">
      <c r="A3036" t="s">
        <v>15</v>
      </c>
      <c r="B3036" s="2">
        <f t="shared" si="190"/>
        <v>146</v>
      </c>
      <c r="C3036">
        <v>953</v>
      </c>
      <c r="D3036">
        <v>9</v>
      </c>
      <c r="E3036">
        <v>249</v>
      </c>
      <c r="F3036">
        <f t="shared" si="192"/>
        <v>-1.9148527538511988</v>
      </c>
      <c r="G3036">
        <f t="shared" si="193"/>
        <v>-0.44359346287499934</v>
      </c>
      <c r="I3036">
        <f t="shared" si="191"/>
        <v>-1.1792231083630991</v>
      </c>
      <c r="J3036">
        <v>249</v>
      </c>
      <c r="K3036">
        <v>128</v>
      </c>
      <c r="L3036">
        <v>-0.44359346287499934</v>
      </c>
      <c r="M3036">
        <f t="shared" si="194"/>
        <v>-0.68314283562836731</v>
      </c>
      <c r="N3036">
        <v>-1.9148527538511988</v>
      </c>
    </row>
    <row r="3037" spans="1:14">
      <c r="A3037" t="s">
        <v>16</v>
      </c>
      <c r="B3037" s="2">
        <f t="shared" si="190"/>
        <v>146</v>
      </c>
      <c r="C3037">
        <v>734</v>
      </c>
      <c r="D3037">
        <v>15</v>
      </c>
      <c r="E3037">
        <v>108</v>
      </c>
      <c r="F3037">
        <f t="shared" si="192"/>
        <v>-1.5796071635125866</v>
      </c>
      <c r="G3037">
        <f t="shared" si="193"/>
        <v>-0.69297221376153006</v>
      </c>
      <c r="I3037">
        <f t="shared" si="191"/>
        <v>-1.1362896886370584</v>
      </c>
      <c r="J3037">
        <v>108</v>
      </c>
      <c r="K3037">
        <v>52</v>
      </c>
      <c r="L3037">
        <v>-0.69297221376153006</v>
      </c>
      <c r="M3037">
        <f t="shared" si="194"/>
        <v>-0.96095262091918066</v>
      </c>
      <c r="N3037">
        <v>-1.5796071635125866</v>
      </c>
    </row>
    <row r="3038" spans="1:14">
      <c r="A3038" t="s">
        <v>17</v>
      </c>
      <c r="B3038" s="2">
        <f t="shared" si="190"/>
        <v>146</v>
      </c>
      <c r="C3038">
        <v>550</v>
      </c>
      <c r="D3038">
        <v>6</v>
      </c>
      <c r="E3038">
        <v>20</v>
      </c>
      <c r="F3038">
        <f t="shared" si="192"/>
        <v>-1.8522138017627976</v>
      </c>
      <c r="G3038">
        <f t="shared" si="193"/>
        <v>-1.3000326031626719</v>
      </c>
      <c r="I3038">
        <f t="shared" si="191"/>
        <v>-1.5761232024627347</v>
      </c>
      <c r="J3038">
        <v>20</v>
      </c>
      <c r="K3038">
        <v>30</v>
      </c>
      <c r="L3038">
        <v>-1.3000326031626719</v>
      </c>
      <c r="M3038">
        <f t="shared" si="194"/>
        <v>-1.0745013394124907</v>
      </c>
      <c r="N3038">
        <v>-1.8522138017627976</v>
      </c>
    </row>
    <row r="3039" spans="1:14">
      <c r="A3039" t="s">
        <v>18</v>
      </c>
      <c r="B3039" s="2">
        <f t="shared" si="190"/>
        <v>146</v>
      </c>
      <c r="C3039">
        <v>896</v>
      </c>
      <c r="D3039">
        <v>2</v>
      </c>
      <c r="E3039">
        <v>27</v>
      </c>
      <c r="F3039">
        <f t="shared" si="192"/>
        <v>-2.5412803766503416</v>
      </c>
      <c r="G3039">
        <f t="shared" si="193"/>
        <v>-1.3816441548355471</v>
      </c>
      <c r="I3039">
        <f t="shared" si="191"/>
        <v>-1.9614622657429444</v>
      </c>
      <c r="J3039">
        <v>27</v>
      </c>
      <c r="K3039">
        <v>419</v>
      </c>
      <c r="L3039">
        <v>-1.3816441548355471</v>
      </c>
      <c r="M3039">
        <f t="shared" si="194"/>
        <v>-0.14135389133373921</v>
      </c>
      <c r="N3039">
        <v>-2.5412803766503416</v>
      </c>
    </row>
    <row r="3040" spans="1:14">
      <c r="A3040" t="s">
        <v>19</v>
      </c>
      <c r="B3040" s="2">
        <f t="shared" si="190"/>
        <v>146</v>
      </c>
      <c r="C3040">
        <v>961</v>
      </c>
      <c r="D3040">
        <v>8</v>
      </c>
      <c r="E3040">
        <v>745</v>
      </c>
      <c r="F3040">
        <f t="shared" si="192"/>
        <v>-1.9696357633287989</v>
      </c>
      <c r="G3040">
        <f t="shared" si="193"/>
        <v>2.8732975747338269E-2</v>
      </c>
      <c r="I3040">
        <f t="shared" si="191"/>
        <v>-0.97045139379073031</v>
      </c>
      <c r="J3040">
        <v>745</v>
      </c>
      <c r="K3040">
        <v>489</v>
      </c>
      <c r="L3040">
        <v>2.8732975747338269E-2</v>
      </c>
      <c r="M3040">
        <f t="shared" si="194"/>
        <v>-0.10467443318283443</v>
      </c>
      <c r="N3040">
        <v>-1.9696357633287989</v>
      </c>
    </row>
    <row r="3041" spans="1:14">
      <c r="A3041" t="s">
        <v>20</v>
      </c>
      <c r="B3041" s="2">
        <f t="shared" si="190"/>
        <v>146</v>
      </c>
      <c r="C3041">
        <v>405</v>
      </c>
      <c r="D3041">
        <v>3</v>
      </c>
      <c r="E3041">
        <v>20</v>
      </c>
      <c r="F3041">
        <f t="shared" si="192"/>
        <v>-2.0203361311472037</v>
      </c>
      <c r="G3041">
        <f t="shared" si="193"/>
        <v>-1.1671249368830967</v>
      </c>
      <c r="I3041">
        <f t="shared" si="191"/>
        <v>-1.5937305340151502</v>
      </c>
      <c r="J3041">
        <v>20</v>
      </c>
      <c r="K3041">
        <v>6</v>
      </c>
      <c r="L3041">
        <v>-1.1671249368830967</v>
      </c>
      <c r="M3041">
        <f t="shared" si="194"/>
        <v>-1.6405636774689341</v>
      </c>
      <c r="N3041">
        <v>-2.0203361311472037</v>
      </c>
    </row>
    <row r="3042" spans="1:14">
      <c r="A3042" t="s">
        <v>21</v>
      </c>
      <c r="B3042" s="2">
        <f t="shared" si="190"/>
        <v>146</v>
      </c>
      <c r="C3042">
        <v>1058</v>
      </c>
      <c r="D3042">
        <v>4</v>
      </c>
      <c r="E3042">
        <v>557</v>
      </c>
      <c r="F3042">
        <f t="shared" si="192"/>
        <v>-2.312428039023402</v>
      </c>
      <c r="G3042">
        <f t="shared" si="193"/>
        <v>-0.13933038185784727</v>
      </c>
      <c r="I3042">
        <f t="shared" si="191"/>
        <v>-1.2258792104406246</v>
      </c>
      <c r="J3042">
        <v>557</v>
      </c>
      <c r="K3042">
        <v>682</v>
      </c>
      <c r="L3042">
        <v>-0.13933038185784727</v>
      </c>
      <c r="M3042">
        <f t="shared" si="194"/>
        <v>-1.9611976805973264E-3</v>
      </c>
      <c r="N3042">
        <v>-2.312428039023402</v>
      </c>
    </row>
    <row r="3043" spans="1:14">
      <c r="A3043" t="s">
        <v>22</v>
      </c>
      <c r="B3043" s="2">
        <f t="shared" si="190"/>
        <v>146</v>
      </c>
      <c r="C3043">
        <v>410</v>
      </c>
      <c r="D3043">
        <v>5</v>
      </c>
      <c r="E3043">
        <v>20</v>
      </c>
      <c r="F3043">
        <f t="shared" si="192"/>
        <v>-1.8038162150359141</v>
      </c>
      <c r="G3043">
        <f t="shared" si="193"/>
        <v>-1.1724537703881635</v>
      </c>
      <c r="I3043">
        <f t="shared" si="191"/>
        <v>-1.4881349927120389</v>
      </c>
      <c r="J3043">
        <v>20</v>
      </c>
      <c r="K3043">
        <v>8</v>
      </c>
      <c r="L3043">
        <v>-1.1724537703881635</v>
      </c>
      <c r="M3043">
        <f t="shared" si="194"/>
        <v>-1.5209537743657013</v>
      </c>
      <c r="N3043">
        <v>-1.8038162150359141</v>
      </c>
    </row>
    <row r="3044" spans="1:14">
      <c r="A3044" t="s">
        <v>23</v>
      </c>
      <c r="B3044" s="2">
        <f t="shared" si="190"/>
        <v>146</v>
      </c>
      <c r="C3044">
        <v>488</v>
      </c>
      <c r="D3044">
        <v>5</v>
      </c>
      <c r="E3044">
        <v>199</v>
      </c>
      <c r="F3044">
        <f t="shared" si="192"/>
        <v>-1.8794521803188893</v>
      </c>
      <c r="G3044">
        <f t="shared" si="193"/>
        <v>-0.25026665492541322</v>
      </c>
      <c r="I3044">
        <f t="shared" si="191"/>
        <v>-1.0648594176221513</v>
      </c>
      <c r="J3044">
        <v>199</v>
      </c>
      <c r="K3044">
        <v>122</v>
      </c>
      <c r="L3044">
        <v>-0.25026665492541322</v>
      </c>
      <c r="M3044">
        <f t="shared" si="194"/>
        <v>-0.41331989596587171</v>
      </c>
      <c r="N3044">
        <v>-1.8794521803188893</v>
      </c>
    </row>
    <row r="3045" spans="1:14">
      <c r="A3045" t="s">
        <v>24</v>
      </c>
      <c r="B3045" s="2">
        <f t="shared" si="190"/>
        <v>146</v>
      </c>
      <c r="C3045">
        <v>348</v>
      </c>
      <c r="D3045">
        <v>3</v>
      </c>
      <c r="E3045">
        <v>15</v>
      </c>
      <c r="F3045">
        <f t="shared" si="192"/>
        <v>-1.9544603518791159</v>
      </c>
      <c r="G3045">
        <f t="shared" si="193"/>
        <v>-1.2261878942233089</v>
      </c>
      <c r="I3045">
        <f t="shared" si="191"/>
        <v>-1.5903241230512124</v>
      </c>
      <c r="J3045">
        <v>15</v>
      </c>
      <c r="K3045">
        <v>3</v>
      </c>
      <c r="L3045">
        <v>-1.2261878942233089</v>
      </c>
      <c r="M3045">
        <f t="shared" si="194"/>
        <v>-1.8757178938648278</v>
      </c>
      <c r="N3045">
        <v>-1.9544603518791159</v>
      </c>
    </row>
    <row r="3046" spans="1:14">
      <c r="A3046" t="s">
        <v>25</v>
      </c>
      <c r="B3046" s="2">
        <f t="shared" si="190"/>
        <v>146</v>
      </c>
      <c r="C3046">
        <v>606</v>
      </c>
      <c r="D3046">
        <v>6</v>
      </c>
      <c r="E3046">
        <v>200</v>
      </c>
      <c r="F3046">
        <f t="shared" si="192"/>
        <v>-1.89432373643484</v>
      </c>
      <c r="G3046">
        <f t="shared" si="193"/>
        <v>-0.34214253783471427</v>
      </c>
      <c r="I3046">
        <f t="shared" si="191"/>
        <v>-1.1182331371347771</v>
      </c>
      <c r="J3046">
        <v>200</v>
      </c>
      <c r="K3046">
        <v>55</v>
      </c>
      <c r="L3046">
        <v>-0.34214253783471427</v>
      </c>
      <c r="M3046">
        <f t="shared" si="194"/>
        <v>-0.85336983930995169</v>
      </c>
      <c r="N3046">
        <v>-1.89432373643484</v>
      </c>
    </row>
    <row r="3047" spans="1:14">
      <c r="A3047" t="s">
        <v>7</v>
      </c>
      <c r="B3047" s="2">
        <f t="shared" si="190"/>
        <v>147</v>
      </c>
      <c r="C3047">
        <v>265</v>
      </c>
      <c r="D3047">
        <v>4</v>
      </c>
      <c r="E3047">
        <v>4</v>
      </c>
      <c r="F3047">
        <f t="shared" si="192"/>
        <v>-1.7111882452610427</v>
      </c>
      <c r="G3047">
        <f t="shared" si="193"/>
        <v>-1.6818857919412546</v>
      </c>
      <c r="I3047">
        <f t="shared" si="191"/>
        <v>-1.6965370186011488</v>
      </c>
      <c r="J3047">
        <v>4</v>
      </c>
      <c r="K3047">
        <v>7</v>
      </c>
      <c r="L3047">
        <v>-1.6818857919412546</v>
      </c>
      <c r="M3047">
        <f t="shared" si="194"/>
        <v>-1.3894077385604602</v>
      </c>
      <c r="N3047">
        <v>-1.7111882452610427</v>
      </c>
    </row>
    <row r="3048" spans="1:14">
      <c r="A3048" t="s">
        <v>8</v>
      </c>
      <c r="B3048" s="2">
        <f t="shared" si="190"/>
        <v>147</v>
      </c>
      <c r="C3048">
        <v>602</v>
      </c>
      <c r="D3048">
        <v>18</v>
      </c>
      <c r="E3048">
        <v>262</v>
      </c>
      <c r="F3048">
        <f t="shared" si="192"/>
        <v>-1.4143263488067157</v>
      </c>
      <c r="G3048">
        <f t="shared" si="193"/>
        <v>-0.22199510927048829</v>
      </c>
      <c r="I3048">
        <f t="shared" si="191"/>
        <v>-0.81816072903860204</v>
      </c>
      <c r="J3048">
        <v>262</v>
      </c>
      <c r="K3048">
        <v>216</v>
      </c>
      <c r="L3048">
        <v>-0.22199510927048829</v>
      </c>
      <c r="M3048">
        <f t="shared" si="194"/>
        <v>-0.25640264474480295</v>
      </c>
      <c r="N3048">
        <v>-1.4143263488067157</v>
      </c>
    </row>
    <row r="3049" spans="1:14">
      <c r="A3049" t="s">
        <v>5</v>
      </c>
      <c r="B3049" s="2">
        <f t="shared" si="190"/>
        <v>147</v>
      </c>
      <c r="C3049">
        <v>653</v>
      </c>
      <c r="D3049">
        <v>4</v>
      </c>
      <c r="E3049">
        <v>10</v>
      </c>
      <c r="F3049">
        <f t="shared" si="192"/>
        <v>-2.1028555525993089</v>
      </c>
      <c r="G3049">
        <f t="shared" si="193"/>
        <v>-1.6756130906074831</v>
      </c>
      <c r="I3049">
        <f t="shared" si="191"/>
        <v>-1.889234321603396</v>
      </c>
      <c r="J3049">
        <v>10</v>
      </c>
      <c r="K3049">
        <v>29</v>
      </c>
      <c r="L3049">
        <v>-1.6756130906074831</v>
      </c>
      <c r="M3049">
        <f t="shared" si="194"/>
        <v>-1.163775088014027</v>
      </c>
      <c r="N3049">
        <v>-2.1028555525993089</v>
      </c>
    </row>
    <row r="3050" spans="1:14">
      <c r="A3050" t="s">
        <v>6</v>
      </c>
      <c r="B3050" s="2">
        <f t="shared" si="190"/>
        <v>147</v>
      </c>
      <c r="C3050">
        <v>250</v>
      </c>
      <c r="D3050">
        <v>0</v>
      </c>
      <c r="E3050">
        <v>20</v>
      </c>
      <c r="F3050" t="e">
        <f t="shared" si="192"/>
        <v>#NUM!</v>
      </c>
      <c r="G3050">
        <f t="shared" si="193"/>
        <v>-0.95760992234046571</v>
      </c>
      <c r="I3050" t="e">
        <f t="shared" si="191"/>
        <v>#NUM!</v>
      </c>
      <c r="J3050">
        <v>20</v>
      </c>
      <c r="K3050">
        <v>24</v>
      </c>
      <c r="L3050">
        <v>-0.95760992234046571</v>
      </c>
      <c r="M3050">
        <f t="shared" si="194"/>
        <v>-0.82898867159834089</v>
      </c>
      <c r="N3050" t="e">
        <v>#NUM!</v>
      </c>
    </row>
    <row r="3051" spans="1:14">
      <c r="A3051" t="s">
        <v>10</v>
      </c>
      <c r="B3051" s="2">
        <f t="shared" si="190"/>
        <v>147</v>
      </c>
      <c r="C3051">
        <v>355</v>
      </c>
      <c r="D3051">
        <v>5</v>
      </c>
      <c r="E3051">
        <v>9</v>
      </c>
      <c r="F3051">
        <f t="shared" si="192"/>
        <v>-1.7412607113712726</v>
      </c>
      <c r="G3051">
        <f t="shared" si="193"/>
        <v>-1.4566857529481785</v>
      </c>
      <c r="I3051">
        <f t="shared" si="191"/>
        <v>-1.5989732321597256</v>
      </c>
      <c r="J3051">
        <v>9</v>
      </c>
      <c r="K3051">
        <v>4</v>
      </c>
      <c r="L3051">
        <v>-1.4566857529481785</v>
      </c>
      <c r="M3051">
        <f t="shared" si="194"/>
        <v>-1.7594282663650409</v>
      </c>
      <c r="N3051">
        <v>-1.7412607113712726</v>
      </c>
    </row>
    <row r="3052" spans="1:14">
      <c r="A3052" t="s">
        <v>11</v>
      </c>
      <c r="B3052" s="2">
        <f t="shared" si="190"/>
        <v>147</v>
      </c>
      <c r="C3052">
        <v>459</v>
      </c>
      <c r="D3052">
        <v>18</v>
      </c>
      <c r="E3052">
        <v>108</v>
      </c>
      <c r="F3052">
        <f t="shared" si="192"/>
        <v>-1.2965425430861526</v>
      </c>
      <c r="G3052">
        <f t="shared" si="193"/>
        <v>-0.48908883938272074</v>
      </c>
      <c r="I3052">
        <f t="shared" si="191"/>
        <v>-0.89281569123443671</v>
      </c>
      <c r="J3052">
        <v>108</v>
      </c>
      <c r="K3052">
        <v>38</v>
      </c>
      <c r="L3052">
        <v>-0.48908883938272074</v>
      </c>
      <c r="M3052">
        <f t="shared" si="194"/>
        <v>-0.89328899355836044</v>
      </c>
      <c r="N3052">
        <v>-1.2965425430861526</v>
      </c>
    </row>
    <row r="3053" spans="1:14">
      <c r="A3053" t="s">
        <v>12</v>
      </c>
      <c r="B3053" s="2">
        <f t="shared" si="190"/>
        <v>147</v>
      </c>
      <c r="C3053">
        <v>539</v>
      </c>
      <c r="D3053">
        <v>6</v>
      </c>
      <c r="E3053">
        <v>64</v>
      </c>
      <c r="F3053">
        <f t="shared" si="192"/>
        <v>-1.8434398774552925</v>
      </c>
      <c r="G3053">
        <f t="shared" si="193"/>
        <v>-0.78610870053526083</v>
      </c>
      <c r="I3053">
        <f t="shared" si="191"/>
        <v>-1.3147742889952767</v>
      </c>
      <c r="J3053">
        <v>64</v>
      </c>
      <c r="K3053">
        <v>52</v>
      </c>
      <c r="L3053">
        <v>-0.78610870053526083</v>
      </c>
      <c r="M3053">
        <f t="shared" si="194"/>
        <v>-0.82684532618984885</v>
      </c>
      <c r="N3053">
        <v>-1.8434398774552925</v>
      </c>
    </row>
    <row r="3054" spans="1:14">
      <c r="A3054" t="s">
        <v>9</v>
      </c>
      <c r="B3054" s="2">
        <f t="shared" si="190"/>
        <v>147</v>
      </c>
      <c r="C3054">
        <v>492</v>
      </c>
      <c r="D3054">
        <v>4</v>
      </c>
      <c r="E3054">
        <v>116</v>
      </c>
      <c r="F3054">
        <f t="shared" si="192"/>
        <v>-1.9799074740915954</v>
      </c>
      <c r="G3054">
        <f t="shared" si="193"/>
        <v>-0.48820702287285112</v>
      </c>
      <c r="I3054">
        <f t="shared" si="191"/>
        <v>-1.2340572484822232</v>
      </c>
      <c r="J3054">
        <v>116</v>
      </c>
      <c r="K3054">
        <v>44</v>
      </c>
      <c r="L3054">
        <v>-0.48820702287285112</v>
      </c>
      <c r="M3054">
        <f t="shared" si="194"/>
        <v>-0.85977233091908223</v>
      </c>
      <c r="N3054">
        <v>-1.9799074740915954</v>
      </c>
    </row>
    <row r="3055" spans="1:14">
      <c r="A3055" t="s">
        <v>13</v>
      </c>
      <c r="B3055" s="2">
        <f t="shared" si="190"/>
        <v>147</v>
      </c>
      <c r="C3055">
        <v>519</v>
      </c>
      <c r="D3055">
        <v>58</v>
      </c>
      <c r="E3055">
        <v>64</v>
      </c>
      <c r="F3055">
        <f t="shared" si="192"/>
        <v>-0.84174172693771787</v>
      </c>
      <c r="G3055">
        <f t="shared" si="193"/>
        <v>-0.76968729319697993</v>
      </c>
      <c r="I3055">
        <f t="shared" si="191"/>
        <v>-0.80571451006734884</v>
      </c>
      <c r="J3055">
        <v>64</v>
      </c>
      <c r="K3055">
        <v>52</v>
      </c>
      <c r="L3055">
        <v>-0.76968729319697993</v>
      </c>
      <c r="M3055">
        <f t="shared" si="194"/>
        <v>-0.81042391885156806</v>
      </c>
      <c r="N3055">
        <v>-0.84174172693771787</v>
      </c>
    </row>
    <row r="3056" spans="1:14">
      <c r="A3056" t="s">
        <v>14</v>
      </c>
      <c r="B3056" s="2">
        <f t="shared" si="190"/>
        <v>147</v>
      </c>
      <c r="C3056">
        <v>1174</v>
      </c>
      <c r="D3056">
        <v>25</v>
      </c>
      <c r="E3056">
        <v>478</v>
      </c>
      <c r="F3056">
        <f t="shared" si="192"/>
        <v>-1.5617304508917553</v>
      </c>
      <c r="G3056">
        <f t="shared" si="193"/>
        <v>-0.25094010963188607</v>
      </c>
      <c r="I3056">
        <f t="shared" si="191"/>
        <v>-0.90633528026182075</v>
      </c>
      <c r="J3056">
        <v>478</v>
      </c>
      <c r="K3056">
        <v>238</v>
      </c>
      <c r="L3056">
        <v>-0.25094010963188607</v>
      </c>
      <c r="M3056">
        <f t="shared" si="194"/>
        <v>-0.50435104449299306</v>
      </c>
      <c r="N3056">
        <v>-1.5617304508917553</v>
      </c>
    </row>
    <row r="3057" spans="1:14">
      <c r="A3057" t="s">
        <v>15</v>
      </c>
      <c r="B3057" s="2">
        <f t="shared" si="190"/>
        <v>147</v>
      </c>
      <c r="C3057">
        <v>24</v>
      </c>
      <c r="D3057">
        <v>14</v>
      </c>
      <c r="E3057">
        <v>5</v>
      </c>
      <c r="F3057">
        <f t="shared" si="192"/>
        <v>-0.12408556868556532</v>
      </c>
      <c r="G3057">
        <f t="shared" si="193"/>
        <v>-0.54194114670799642</v>
      </c>
      <c r="I3057">
        <f t="shared" si="191"/>
        <v>-0.33301335769678087</v>
      </c>
      <c r="J3057">
        <v>5</v>
      </c>
      <c r="K3057">
        <v>3</v>
      </c>
      <c r="L3057">
        <v>-0.54194114670799642</v>
      </c>
      <c r="M3057">
        <f t="shared" si="194"/>
        <v>-0.71434989162985285</v>
      </c>
      <c r="N3057">
        <v>-0.12408556868556532</v>
      </c>
    </row>
    <row r="3058" spans="1:14">
      <c r="A3058" t="s">
        <v>16</v>
      </c>
      <c r="B3058" s="2">
        <f t="shared" si="190"/>
        <v>147</v>
      </c>
      <c r="C3058">
        <v>1944</v>
      </c>
      <c r="D3058">
        <v>115</v>
      </c>
      <c r="E3058">
        <v>61</v>
      </c>
      <c r="F3058">
        <f t="shared" si="192"/>
        <v>-1.1180007828888414</v>
      </c>
      <c r="G3058">
        <f t="shared" si="193"/>
        <v>-1.364066334911898</v>
      </c>
      <c r="I3058">
        <f t="shared" si="191"/>
        <v>-1.2410335589003698</v>
      </c>
      <c r="J3058">
        <v>61</v>
      </c>
      <c r="K3058">
        <v>84</v>
      </c>
      <c r="L3058">
        <v>-1.364066334911898</v>
      </c>
      <c r="M3058">
        <f t="shared" si="194"/>
        <v>-1.1756768791662835</v>
      </c>
      <c r="N3058">
        <v>-1.1180007828888414</v>
      </c>
    </row>
    <row r="3059" spans="1:14">
      <c r="A3059" t="s">
        <v>17</v>
      </c>
      <c r="B3059" s="2">
        <f t="shared" si="190"/>
        <v>147</v>
      </c>
      <c r="C3059">
        <v>332</v>
      </c>
      <c r="D3059">
        <v>46</v>
      </c>
      <c r="E3059">
        <v>27</v>
      </c>
      <c r="F3059">
        <f t="shared" si="192"/>
        <v>-0.74838261467465961</v>
      </c>
      <c r="G3059">
        <f t="shared" si="193"/>
        <v>-0.95047422887745814</v>
      </c>
      <c r="I3059">
        <f t="shared" si="191"/>
        <v>-0.84942842177605882</v>
      </c>
      <c r="J3059">
        <v>27</v>
      </c>
      <c r="K3059">
        <v>14</v>
      </c>
      <c r="L3059">
        <v>-0.95047422887745814</v>
      </c>
      <c r="M3059">
        <f t="shared" si="194"/>
        <v>-1.1862699526637077</v>
      </c>
      <c r="N3059">
        <v>-0.74838261467465961</v>
      </c>
    </row>
    <row r="3060" spans="1:14">
      <c r="A3060" t="s">
        <v>18</v>
      </c>
      <c r="B3060" s="2">
        <f t="shared" si="190"/>
        <v>147</v>
      </c>
      <c r="C3060">
        <v>510</v>
      </c>
      <c r="D3060">
        <v>8</v>
      </c>
      <c r="E3060">
        <v>22</v>
      </c>
      <c r="F3060">
        <f t="shared" si="192"/>
        <v>-1.6944825517581901</v>
      </c>
      <c r="G3060">
        <f t="shared" si="193"/>
        <v>-1.2258474046081393</v>
      </c>
      <c r="I3060">
        <f t="shared" si="191"/>
        <v>-1.4601649781831647</v>
      </c>
      <c r="J3060">
        <v>22</v>
      </c>
      <c r="K3060">
        <v>20</v>
      </c>
      <c r="L3060">
        <v>-1.2258474046081393</v>
      </c>
      <c r="M3060">
        <f t="shared" si="194"/>
        <v>-1.2178000850718647</v>
      </c>
      <c r="N3060">
        <v>-1.6944825517581901</v>
      </c>
    </row>
    <row r="3061" spans="1:14">
      <c r="A3061" t="s">
        <v>19</v>
      </c>
      <c r="B3061" s="2">
        <f t="shared" si="190"/>
        <v>147</v>
      </c>
      <c r="C3061">
        <v>627</v>
      </c>
      <c r="D3061">
        <v>28</v>
      </c>
      <c r="E3061">
        <v>38</v>
      </c>
      <c r="F3061">
        <f t="shared" si="192"/>
        <v>-1.2401118721406945</v>
      </c>
      <c r="G3061">
        <f t="shared" si="193"/>
        <v>-1.0781838535463155</v>
      </c>
      <c r="I3061">
        <f t="shared" si="191"/>
        <v>-1.159147862843505</v>
      </c>
      <c r="J3061">
        <v>38</v>
      </c>
      <c r="K3061">
        <v>58</v>
      </c>
      <c r="L3061">
        <v>-1.0781838535463155</v>
      </c>
      <c r="M3061">
        <f t="shared" si="194"/>
        <v>-0.84509945190568836</v>
      </c>
      <c r="N3061">
        <v>-1.2401118721406945</v>
      </c>
    </row>
    <row r="3062" spans="1:14">
      <c r="A3062" t="s">
        <v>20</v>
      </c>
      <c r="B3062" s="2">
        <f t="shared" si="190"/>
        <v>147</v>
      </c>
      <c r="C3062">
        <v>465</v>
      </c>
      <c r="D3062">
        <v>4</v>
      </c>
      <c r="E3062">
        <v>33</v>
      </c>
      <c r="F3062">
        <f t="shared" si="192"/>
        <v>-1.9553953242141888</v>
      </c>
      <c r="G3062">
        <f t="shared" si="193"/>
        <v>-1.0096389223444757</v>
      </c>
      <c r="I3062">
        <f t="shared" si="191"/>
        <v>-1.4825171232793322</v>
      </c>
      <c r="J3062">
        <v>33</v>
      </c>
      <c r="K3062">
        <v>11</v>
      </c>
      <c r="L3062">
        <v>-1.0096389223444757</v>
      </c>
      <c r="M3062">
        <f t="shared" si="194"/>
        <v>-1.4373201723696383</v>
      </c>
      <c r="N3062">
        <v>-1.9553953242141888</v>
      </c>
    </row>
    <row r="3063" spans="1:14">
      <c r="A3063" t="s">
        <v>21</v>
      </c>
      <c r="B3063" s="2">
        <f t="shared" si="190"/>
        <v>147</v>
      </c>
      <c r="C3063">
        <v>327</v>
      </c>
      <c r="D3063">
        <v>5</v>
      </c>
      <c r="E3063">
        <v>2</v>
      </c>
      <c r="F3063">
        <f t="shared" si="192"/>
        <v>-1.7055801109764646</v>
      </c>
      <c r="G3063">
        <f t="shared" si="193"/>
        <v>-2.074217666328714</v>
      </c>
      <c r="I3063">
        <f t="shared" si="191"/>
        <v>-1.8898988886525894</v>
      </c>
      <c r="J3063">
        <v>2</v>
      </c>
      <c r="K3063">
        <v>28</v>
      </c>
      <c r="L3063">
        <v>-2.074217666328714</v>
      </c>
      <c r="M3063">
        <f t="shared" si="194"/>
        <v>-0.87864962595597629</v>
      </c>
      <c r="N3063">
        <v>-1.7055801109764646</v>
      </c>
    </row>
    <row r="3064" spans="1:14">
      <c r="A3064" t="s">
        <v>22</v>
      </c>
      <c r="B3064" s="2">
        <f t="shared" si="190"/>
        <v>147</v>
      </c>
      <c r="C3064">
        <v>189</v>
      </c>
      <c r="D3064">
        <v>3</v>
      </c>
      <c r="E3064">
        <v>0</v>
      </c>
      <c r="F3064">
        <f t="shared" si="192"/>
        <v>-1.689342912105779</v>
      </c>
      <c r="G3064" t="e">
        <f t="shared" si="193"/>
        <v>#NUM!</v>
      </c>
      <c r="I3064" t="e">
        <f t="shared" si="191"/>
        <v>#NUM!</v>
      </c>
      <c r="J3064">
        <v>0</v>
      </c>
      <c r="K3064">
        <v>32</v>
      </c>
      <c r="L3064" t="e">
        <v>#NUM!</v>
      </c>
      <c r="M3064">
        <f t="shared" si="194"/>
        <v>-0.58257173049124755</v>
      </c>
      <c r="N3064">
        <v>-1.689342912105779</v>
      </c>
    </row>
    <row r="3065" spans="1:14">
      <c r="A3065" t="s">
        <v>23</v>
      </c>
      <c r="B3065" s="2">
        <f t="shared" si="190"/>
        <v>147</v>
      </c>
      <c r="C3065">
        <v>313</v>
      </c>
      <c r="D3065">
        <v>0</v>
      </c>
      <c r="E3065">
        <v>132</v>
      </c>
      <c r="F3065" t="e">
        <f t="shared" si="192"/>
        <v>#NUM!</v>
      </c>
      <c r="G3065">
        <f t="shared" si="193"/>
        <v>-0.23567031567300786</v>
      </c>
      <c r="I3065" t="e">
        <f t="shared" si="191"/>
        <v>#NUM!</v>
      </c>
      <c r="J3065">
        <v>132</v>
      </c>
      <c r="K3065">
        <v>60</v>
      </c>
      <c r="L3065">
        <v>-0.23567031567300786</v>
      </c>
      <c r="M3065">
        <f t="shared" si="194"/>
        <v>-0.52865299180071423</v>
      </c>
      <c r="N3065" t="e">
        <v>#NUM!</v>
      </c>
    </row>
    <row r="3066" spans="1:14">
      <c r="A3066" t="s">
        <v>24</v>
      </c>
      <c r="B3066" s="2">
        <f t="shared" si="190"/>
        <v>147</v>
      </c>
      <c r="C3066">
        <v>472</v>
      </c>
      <c r="D3066">
        <v>7</v>
      </c>
      <c r="E3066">
        <v>121</v>
      </c>
      <c r="F3066">
        <f t="shared" si="192"/>
        <v>-1.7188463212720282</v>
      </c>
      <c r="G3066">
        <f t="shared" si="193"/>
        <v>-0.45185653765004696</v>
      </c>
      <c r="I3066">
        <f t="shared" si="191"/>
        <v>-1.0853514294610376</v>
      </c>
      <c r="J3066">
        <v>121</v>
      </c>
      <c r="K3066">
        <v>163</v>
      </c>
      <c r="L3066">
        <v>-0.45185653765004696</v>
      </c>
      <c r="M3066">
        <f t="shared" si="194"/>
        <v>-0.27301429886803924</v>
      </c>
      <c r="N3066">
        <v>-1.7188463212720282</v>
      </c>
    </row>
    <row r="3067" spans="1:14">
      <c r="A3067" t="s">
        <v>25</v>
      </c>
      <c r="B3067" s="2">
        <f t="shared" si="190"/>
        <v>147</v>
      </c>
      <c r="C3067">
        <v>422</v>
      </c>
      <c r="D3067">
        <v>4</v>
      </c>
      <c r="E3067">
        <v>14</v>
      </c>
      <c r="F3067">
        <f t="shared" si="192"/>
        <v>-1.9132548222859087</v>
      </c>
      <c r="G3067">
        <f t="shared" si="193"/>
        <v>-1.3398843246158449</v>
      </c>
      <c r="I3067">
        <f t="shared" si="191"/>
        <v>-1.6265695734508769</v>
      </c>
      <c r="J3067">
        <v>14</v>
      </c>
      <c r="K3067">
        <v>23</v>
      </c>
      <c r="L3067">
        <v>-1.3398843246158449</v>
      </c>
      <c r="M3067">
        <f t="shared" si="194"/>
        <v>-1.0748445195819905</v>
      </c>
      <c r="N3067">
        <v>-1.9132548222859087</v>
      </c>
    </row>
    <row r="3068" spans="1:14">
      <c r="A3068" t="s">
        <v>7</v>
      </c>
      <c r="B3068" s="2">
        <f t="shared" si="190"/>
        <v>148</v>
      </c>
      <c r="C3068">
        <v>857</v>
      </c>
      <c r="D3068">
        <v>5</v>
      </c>
      <c r="E3068">
        <v>30</v>
      </c>
      <c r="F3068">
        <f t="shared" si="192"/>
        <v>-2.1240131802393769</v>
      </c>
      <c r="G3068">
        <f t="shared" si="193"/>
        <v>-1.316559476535945</v>
      </c>
      <c r="I3068">
        <f t="shared" si="191"/>
        <v>-1.7202863283876608</v>
      </c>
      <c r="J3068">
        <v>30</v>
      </c>
      <c r="K3068">
        <v>11</v>
      </c>
      <c r="L3068">
        <v>-1.316559476535945</v>
      </c>
      <c r="M3068">
        <f t="shared" si="194"/>
        <v>-1.7028480414028824</v>
      </c>
      <c r="N3068">
        <v>-2.1240131802393769</v>
      </c>
    </row>
    <row r="3069" spans="1:14">
      <c r="A3069" t="s">
        <v>8</v>
      </c>
      <c r="B3069" s="2">
        <f t="shared" si="190"/>
        <v>148</v>
      </c>
      <c r="C3069">
        <v>1233</v>
      </c>
      <c r="D3069">
        <v>6</v>
      </c>
      <c r="E3069">
        <v>1615</v>
      </c>
      <c r="F3069">
        <f t="shared" si="192"/>
        <v>-2.2028141888642856</v>
      </c>
      <c r="G3069">
        <f t="shared" si="193"/>
        <v>0.2565095407389808</v>
      </c>
      <c r="I3069">
        <f t="shared" si="191"/>
        <v>-0.9731523240626524</v>
      </c>
      <c r="J3069">
        <v>1615</v>
      </c>
      <c r="K3069">
        <v>817</v>
      </c>
      <c r="L3069">
        <v>0.2565095407389808</v>
      </c>
      <c r="M3069">
        <f t="shared" si="194"/>
        <v>9.9990752987745291E-3</v>
      </c>
      <c r="N3069">
        <v>-2.2028141888642856</v>
      </c>
    </row>
    <row r="3070" spans="1:14">
      <c r="A3070" t="s">
        <v>5</v>
      </c>
      <c r="B3070" s="2">
        <f t="shared" si="190"/>
        <v>148</v>
      </c>
      <c r="C3070">
        <v>489</v>
      </c>
      <c r="D3070">
        <v>3</v>
      </c>
      <c r="E3070">
        <v>17</v>
      </c>
      <c r="F3070">
        <f t="shared" si="192"/>
        <v>-2.1021899670561552</v>
      </c>
      <c r="G3070">
        <f t="shared" si="193"/>
        <v>-1.3195598470777556</v>
      </c>
      <c r="I3070">
        <f t="shared" si="191"/>
        <v>-1.7108749070669553</v>
      </c>
      <c r="J3070">
        <v>17</v>
      </c>
      <c r="K3070">
        <v>12</v>
      </c>
      <c r="L3070">
        <v>-1.3195598470777556</v>
      </c>
      <c r="M3070">
        <f t="shared" si="194"/>
        <v>-1.4213875177139048</v>
      </c>
      <c r="N3070">
        <v>-2.1021899670561552</v>
      </c>
    </row>
    <row r="3071" spans="1:14">
      <c r="A3071" t="s">
        <v>6</v>
      </c>
      <c r="B3071" s="2">
        <f t="shared" si="190"/>
        <v>148</v>
      </c>
      <c r="C3071">
        <v>689</v>
      </c>
      <c r="D3071">
        <v>6</v>
      </c>
      <c r="E3071">
        <v>105</v>
      </c>
      <c r="F3071">
        <f t="shared" si="192"/>
        <v>-1.9500703341761796</v>
      </c>
      <c r="G3071">
        <f t="shared" si="193"/>
        <v>-0.67772983217009708</v>
      </c>
      <c r="I3071">
        <f t="shared" si="191"/>
        <v>-1.3139000831731384</v>
      </c>
      <c r="J3071">
        <v>105</v>
      </c>
      <c r="K3071">
        <v>40</v>
      </c>
      <c r="L3071">
        <v>-0.67772983217009708</v>
      </c>
      <c r="M3071">
        <f t="shared" si="194"/>
        <v>-1.0474191352175728</v>
      </c>
      <c r="N3071">
        <v>-1.9500703341761796</v>
      </c>
    </row>
    <row r="3072" spans="1:14">
      <c r="A3072" t="s">
        <v>10</v>
      </c>
      <c r="B3072" s="2">
        <f t="shared" si="190"/>
        <v>148</v>
      </c>
      <c r="C3072">
        <v>837</v>
      </c>
      <c r="D3072">
        <v>13</v>
      </c>
      <c r="E3072">
        <v>244</v>
      </c>
      <c r="F3072">
        <f t="shared" si="192"/>
        <v>-1.6987844683386206</v>
      </c>
      <c r="G3072">
        <f t="shared" si="193"/>
        <v>-0.39603554098693983</v>
      </c>
      <c r="I3072">
        <f t="shared" si="191"/>
        <v>-1.0474100046627801</v>
      </c>
      <c r="J3072">
        <v>244</v>
      </c>
      <c r="K3072">
        <v>195</v>
      </c>
      <c r="L3072">
        <v>-0.39603554098693983</v>
      </c>
      <c r="M3072">
        <f t="shared" si="194"/>
        <v>-0.44395075126865124</v>
      </c>
      <c r="N3072">
        <v>-1.6987844683386206</v>
      </c>
    </row>
    <row r="3073" spans="1:14">
      <c r="A3073" t="s">
        <v>11</v>
      </c>
      <c r="B3073" s="2">
        <f t="shared" si="190"/>
        <v>148</v>
      </c>
      <c r="C3073">
        <v>414</v>
      </c>
      <c r="D3073">
        <v>7</v>
      </c>
      <c r="E3073">
        <v>96</v>
      </c>
      <c r="F3073">
        <f t="shared" si="192"/>
        <v>-1.6619046637588395</v>
      </c>
      <c r="G3073">
        <f t="shared" si="193"/>
        <v>-0.49542901741373979</v>
      </c>
      <c r="I3073">
        <f t="shared" si="191"/>
        <v>-1.0786668405862896</v>
      </c>
      <c r="J3073">
        <v>96</v>
      </c>
      <c r="K3073">
        <v>31</v>
      </c>
      <c r="L3073">
        <v>-0.49542901741373979</v>
      </c>
      <c r="M3073">
        <f t="shared" si="194"/>
        <v>-0.93689855192453553</v>
      </c>
      <c r="N3073">
        <v>-1.6619046637588395</v>
      </c>
    </row>
    <row r="3074" spans="1:14">
      <c r="A3074" t="s">
        <v>12</v>
      </c>
      <c r="B3074" s="2">
        <f t="shared" si="190"/>
        <v>148</v>
      </c>
      <c r="C3074">
        <v>317</v>
      </c>
      <c r="D3074">
        <v>8</v>
      </c>
      <c r="E3074">
        <v>9</v>
      </c>
      <c r="F3074">
        <f t="shared" si="192"/>
        <v>-1.4879716378780052</v>
      </c>
      <c r="G3074">
        <f t="shared" si="193"/>
        <v>-1.4075166621108359</v>
      </c>
      <c r="I3074">
        <f t="shared" si="191"/>
        <v>-1.4477441499944206</v>
      </c>
      <c r="J3074">
        <v>9</v>
      </c>
      <c r="K3074">
        <v>6</v>
      </c>
      <c r="L3074">
        <v>-1.4075166621108359</v>
      </c>
      <c r="M3074">
        <f t="shared" si="194"/>
        <v>-1.534167916472017</v>
      </c>
      <c r="N3074">
        <v>-1.4879716378780052</v>
      </c>
    </row>
    <row r="3075" spans="1:14">
      <c r="A3075" t="s">
        <v>9</v>
      </c>
      <c r="B3075" s="2">
        <f t="shared" ref="B3075:B3138" si="195">1+INT((ROW()-2)/21)+1</f>
        <v>148</v>
      </c>
      <c r="C3075">
        <v>1240</v>
      </c>
      <c r="D3075">
        <v>13</v>
      </c>
      <c r="E3075">
        <v>189</v>
      </c>
      <c r="F3075">
        <f t="shared" si="192"/>
        <v>-1.8694806955075955</v>
      </c>
      <c r="G3075">
        <f t="shared" si="193"/>
        <v>-0.67765979032140022</v>
      </c>
      <c r="I3075">
        <f t="shared" ref="I3075:I3138" si="196">AVERAGE(F3075:G3075)</f>
        <v>-1.2735702429144979</v>
      </c>
      <c r="J3075">
        <v>189</v>
      </c>
      <c r="K3075">
        <v>198</v>
      </c>
      <c r="L3075">
        <v>-0.67765979032140022</v>
      </c>
      <c r="M3075">
        <f t="shared" si="194"/>
        <v>-0.60801639953861331</v>
      </c>
      <c r="N3075">
        <v>-1.8694806955075955</v>
      </c>
    </row>
    <row r="3076" spans="1:14">
      <c r="A3076" t="s">
        <v>13</v>
      </c>
      <c r="B3076" s="2">
        <f t="shared" si="195"/>
        <v>148</v>
      </c>
      <c r="C3076">
        <v>766</v>
      </c>
      <c r="D3076">
        <v>59</v>
      </c>
      <c r="E3076">
        <v>15</v>
      </c>
      <c r="F3076">
        <f t="shared" si="192"/>
        <v>-1.0033791206426572</v>
      </c>
      <c r="G3076">
        <f t="shared" si="193"/>
        <v>-1.568837419909332</v>
      </c>
      <c r="I3076">
        <f t="shared" si="196"/>
        <v>-1.2861082702759945</v>
      </c>
      <c r="J3076">
        <v>15</v>
      </c>
      <c r="K3076">
        <v>13</v>
      </c>
      <c r="L3076">
        <v>-1.568837419909332</v>
      </c>
      <c r="M3076">
        <f t="shared" si="194"/>
        <v>-1.5815453219636764</v>
      </c>
      <c r="N3076">
        <v>-1.0033791206426572</v>
      </c>
    </row>
    <row r="3077" spans="1:14">
      <c r="A3077" t="s">
        <v>14</v>
      </c>
      <c r="B3077" s="2">
        <f t="shared" si="195"/>
        <v>148</v>
      </c>
      <c r="C3077">
        <v>103</v>
      </c>
      <c r="D3077">
        <v>0</v>
      </c>
      <c r="E3077">
        <v>14</v>
      </c>
      <c r="F3077" t="e">
        <f t="shared" si="192"/>
        <v>#NUM!</v>
      </c>
      <c r="G3077">
        <f t="shared" si="193"/>
        <v>-0.72740909835934342</v>
      </c>
      <c r="I3077" t="e">
        <f t="shared" si="196"/>
        <v>#NUM!</v>
      </c>
      <c r="J3077">
        <v>14</v>
      </c>
      <c r="K3077">
        <v>7</v>
      </c>
      <c r="L3077">
        <v>-0.72740909835934342</v>
      </c>
      <c r="M3077">
        <f t="shared" si="194"/>
        <v>-0.97899908932882462</v>
      </c>
      <c r="N3077" t="e">
        <v>#NUM!</v>
      </c>
    </row>
    <row r="3078" spans="1:14">
      <c r="A3078" t="s">
        <v>15</v>
      </c>
      <c r="B3078" s="2">
        <f t="shared" si="195"/>
        <v>148</v>
      </c>
      <c r="C3078">
        <v>1107</v>
      </c>
      <c r="D3078">
        <v>16</v>
      </c>
      <c r="E3078">
        <v>132</v>
      </c>
      <c r="F3078">
        <f t="shared" si="192"/>
        <v>-1.7300300008749954</v>
      </c>
      <c r="G3078">
        <f t="shared" si="193"/>
        <v>-0.78427359900528215</v>
      </c>
      <c r="I3078">
        <f t="shared" si="196"/>
        <v>-1.2571517999401387</v>
      </c>
      <c r="J3078">
        <v>132</v>
      </c>
      <c r="K3078">
        <v>218</v>
      </c>
      <c r="L3078">
        <v>-0.78427359900528215</v>
      </c>
      <c r="M3078">
        <f t="shared" si="194"/>
        <v>-0.51695103191202729</v>
      </c>
      <c r="N3078">
        <v>-1.7300300008749954</v>
      </c>
    </row>
    <row r="3079" spans="1:14">
      <c r="A3079" t="s">
        <v>16</v>
      </c>
      <c r="B3079" s="2">
        <f t="shared" si="195"/>
        <v>148</v>
      </c>
      <c r="C3079">
        <v>1913</v>
      </c>
      <c r="D3079">
        <v>13</v>
      </c>
      <c r="E3079">
        <v>123</v>
      </c>
      <c r="F3079">
        <f t="shared" si="192"/>
        <v>-2.0577739803726565</v>
      </c>
      <c r="G3079">
        <f t="shared" si="193"/>
        <v>-1.0525097679203073</v>
      </c>
      <c r="I3079">
        <f t="shared" si="196"/>
        <v>-1.5551418741464818</v>
      </c>
      <c r="J3079">
        <v>123</v>
      </c>
      <c r="K3079">
        <v>138</v>
      </c>
      <c r="L3079">
        <v>-1.0525097679203073</v>
      </c>
      <c r="M3079">
        <f t="shared" si="194"/>
        <v>-0.95309578826396868</v>
      </c>
      <c r="N3079">
        <v>-2.0577739803726565</v>
      </c>
    </row>
    <row r="3080" spans="1:14">
      <c r="A3080" t="s">
        <v>17</v>
      </c>
      <c r="B3080" s="2">
        <f t="shared" si="195"/>
        <v>148</v>
      </c>
      <c r="C3080">
        <v>610</v>
      </c>
      <c r="D3080">
        <v>27</v>
      </c>
      <c r="E3080">
        <v>47</v>
      </c>
      <c r="F3080">
        <f t="shared" si="192"/>
        <v>-1.2439684335039771</v>
      </c>
      <c r="G3080">
        <f t="shared" si="193"/>
        <v>-0.97393188640745887</v>
      </c>
      <c r="I3080">
        <f t="shared" si="196"/>
        <v>-1.1089501599557181</v>
      </c>
      <c r="J3080">
        <v>47</v>
      </c>
      <c r="K3080">
        <v>12</v>
      </c>
      <c r="L3080">
        <v>-0.97393188640745887</v>
      </c>
      <c r="M3080">
        <f t="shared" si="194"/>
        <v>-1.5174084936010517</v>
      </c>
      <c r="N3080">
        <v>-1.2439684335039771</v>
      </c>
    </row>
    <row r="3081" spans="1:14">
      <c r="A3081" t="s">
        <v>18</v>
      </c>
      <c r="B3081" s="2">
        <f t="shared" si="195"/>
        <v>148</v>
      </c>
      <c r="C3081">
        <v>865</v>
      </c>
      <c r="D3081">
        <v>3</v>
      </c>
      <c r="E3081">
        <v>1192</v>
      </c>
      <c r="F3081">
        <f t="shared" si="192"/>
        <v>-2.3498972153973492</v>
      </c>
      <c r="G3081">
        <f t="shared" si="193"/>
        <v>0.27856023860699419</v>
      </c>
      <c r="I3081">
        <f t="shared" si="196"/>
        <v>-1.0356684883951774</v>
      </c>
      <c r="J3081">
        <v>1192</v>
      </c>
      <c r="K3081">
        <v>1169</v>
      </c>
      <c r="L3081">
        <v>0.27856023860699419</v>
      </c>
      <c r="M3081">
        <f t="shared" si="194"/>
        <v>0.31953849905911658</v>
      </c>
      <c r="N3081">
        <v>-2.3498972153973492</v>
      </c>
    </row>
    <row r="3082" spans="1:14">
      <c r="A3082" t="s">
        <v>19</v>
      </c>
      <c r="B3082" s="2">
        <f t="shared" si="195"/>
        <v>148</v>
      </c>
      <c r="C3082">
        <v>690</v>
      </c>
      <c r="D3082">
        <v>4</v>
      </c>
      <c r="E3082">
        <v>430</v>
      </c>
      <c r="F3082">
        <f t="shared" si="192"/>
        <v>-2.1267914620614903</v>
      </c>
      <c r="G3082">
        <f t="shared" si="193"/>
        <v>-6.6080544490078025E-2</v>
      </c>
      <c r="I3082">
        <f t="shared" si="196"/>
        <v>-1.0964360032757841</v>
      </c>
      <c r="J3082">
        <v>430</v>
      </c>
      <c r="K3082">
        <v>304</v>
      </c>
      <c r="L3082">
        <v>-6.6080544490078025E-2</v>
      </c>
      <c r="M3082">
        <f t="shared" si="194"/>
        <v>-0.16723541176641088</v>
      </c>
      <c r="N3082">
        <v>-2.1267914620614903</v>
      </c>
    </row>
    <row r="3083" spans="1:14">
      <c r="A3083" t="s">
        <v>20</v>
      </c>
      <c r="B3083" s="2">
        <f t="shared" si="195"/>
        <v>148</v>
      </c>
      <c r="C3083">
        <v>350</v>
      </c>
      <c r="D3083">
        <v>1</v>
      </c>
      <c r="E3083">
        <v>9</v>
      </c>
      <c r="F3083">
        <f t="shared" si="192"/>
        <v>-2.4340704070024732</v>
      </c>
      <c r="G3083">
        <f t="shared" si="193"/>
        <v>-1.4505254442433599</v>
      </c>
      <c r="I3083">
        <f t="shared" si="196"/>
        <v>-1.9422979256229165</v>
      </c>
      <c r="J3083">
        <v>9</v>
      </c>
      <c r="K3083">
        <v>17</v>
      </c>
      <c r="L3083">
        <v>-1.4505254442433599</v>
      </c>
      <c r="M3083">
        <f t="shared" si="194"/>
        <v>-1.1248790276099112</v>
      </c>
      <c r="N3083">
        <v>-2.4340704070024732</v>
      </c>
    </row>
    <row r="3084" spans="1:14">
      <c r="A3084" t="s">
        <v>21</v>
      </c>
      <c r="B3084" s="2">
        <f t="shared" si="195"/>
        <v>148</v>
      </c>
      <c r="C3084">
        <v>165163</v>
      </c>
      <c r="D3084">
        <v>128208</v>
      </c>
      <c r="E3084">
        <v>119843</v>
      </c>
      <c r="F3084">
        <f t="shared" si="192"/>
        <v>0</v>
      </c>
      <c r="G3084">
        <f t="shared" si="193"/>
        <v>0</v>
      </c>
      <c r="I3084">
        <f t="shared" si="196"/>
        <v>0</v>
      </c>
      <c r="J3084">
        <v>119843</v>
      </c>
      <c r="K3084">
        <v>106948</v>
      </c>
      <c r="L3084">
        <v>0</v>
      </c>
      <c r="M3084">
        <f t="shared" si="194"/>
        <v>0</v>
      </c>
      <c r="N3084">
        <v>0</v>
      </c>
    </row>
    <row r="3085" spans="1:14">
      <c r="A3085" t="s">
        <v>22</v>
      </c>
      <c r="B3085" s="2">
        <f t="shared" si="195"/>
        <v>148</v>
      </c>
      <c r="C3085">
        <v>747</v>
      </c>
      <c r="D3085">
        <v>7</v>
      </c>
      <c r="E3085">
        <v>179</v>
      </c>
      <c r="F3085">
        <f t="shared" si="192"/>
        <v>-1.9182249244533394</v>
      </c>
      <c r="G3085">
        <f t="shared" si="193"/>
        <v>-0.48116748016791488</v>
      </c>
      <c r="I3085">
        <f t="shared" si="196"/>
        <v>-1.1996962023106272</v>
      </c>
      <c r="J3085">
        <v>179</v>
      </c>
      <c r="K3085">
        <v>350</v>
      </c>
      <c r="L3085">
        <v>-0.48116748016791488</v>
      </c>
      <c r="M3085">
        <f t="shared" si="194"/>
        <v>-0.14051246210303248</v>
      </c>
      <c r="N3085">
        <v>-1.9182249244533394</v>
      </c>
    </row>
    <row r="3086" spans="1:14">
      <c r="A3086" t="s">
        <v>23</v>
      </c>
      <c r="B3086" s="2">
        <f t="shared" si="195"/>
        <v>148</v>
      </c>
      <c r="C3086">
        <v>174</v>
      </c>
      <c r="D3086">
        <v>1</v>
      </c>
      <c r="E3086">
        <v>64</v>
      </c>
      <c r="F3086">
        <f t="shared" si="192"/>
        <v>-2.1305516109347975</v>
      </c>
      <c r="G3086">
        <f t="shared" si="193"/>
        <v>-0.29506918363112178</v>
      </c>
      <c r="I3086">
        <f t="shared" si="196"/>
        <v>-1.2128103972829596</v>
      </c>
      <c r="J3086">
        <v>64</v>
      </c>
      <c r="K3086">
        <v>138</v>
      </c>
      <c r="L3086">
        <v>-0.29506918363112178</v>
      </c>
      <c r="M3086">
        <f t="shared" si="194"/>
        <v>8.8069933480727502E-2</v>
      </c>
      <c r="N3086">
        <v>-2.1305516109347975</v>
      </c>
    </row>
    <row r="3087" spans="1:14">
      <c r="A3087" t="s">
        <v>24</v>
      </c>
      <c r="B3087" s="2">
        <f t="shared" si="195"/>
        <v>148</v>
      </c>
      <c r="C3087">
        <v>794</v>
      </c>
      <c r="D3087">
        <v>8</v>
      </c>
      <c r="E3087">
        <v>44</v>
      </c>
      <c r="F3087">
        <f t="shared" si="192"/>
        <v>-1.88673287808735</v>
      </c>
      <c r="G3087">
        <f t="shared" si="193"/>
        <v>-1.117067735273318</v>
      </c>
      <c r="I3087">
        <f t="shared" si="196"/>
        <v>-1.501900306680334</v>
      </c>
      <c r="J3087">
        <v>44</v>
      </c>
      <c r="K3087">
        <v>21</v>
      </c>
      <c r="L3087">
        <v>-1.117067735273318</v>
      </c>
      <c r="M3087">
        <f t="shared" si="194"/>
        <v>-1.3888611123310861</v>
      </c>
      <c r="N3087">
        <v>-1.88673287808735</v>
      </c>
    </row>
    <row r="3088" spans="1:14">
      <c r="A3088" t="s">
        <v>25</v>
      </c>
      <c r="B3088" s="2">
        <f t="shared" si="195"/>
        <v>148</v>
      </c>
      <c r="C3088">
        <v>794</v>
      </c>
      <c r="D3088">
        <v>5</v>
      </c>
      <c r="E3088">
        <v>229</v>
      </c>
      <c r="F3088">
        <f t="shared" si="192"/>
        <v>-2.0908528607432748</v>
      </c>
      <c r="G3088">
        <f t="shared" si="193"/>
        <v>-0.40068492941961753</v>
      </c>
      <c r="I3088">
        <f t="shared" si="196"/>
        <v>-1.2457688950814463</v>
      </c>
      <c r="J3088">
        <v>229</v>
      </c>
      <c r="K3088">
        <v>80</v>
      </c>
      <c r="L3088">
        <v>-0.40068492941961753</v>
      </c>
      <c r="M3088">
        <f t="shared" si="194"/>
        <v>-0.80799042007306199</v>
      </c>
      <c r="N3088">
        <v>-2.0908528607432748</v>
      </c>
    </row>
    <row r="3089" spans="1:14">
      <c r="A3089" t="s">
        <v>7</v>
      </c>
      <c r="B3089" s="2">
        <f t="shared" si="195"/>
        <v>149</v>
      </c>
      <c r="C3089">
        <v>682</v>
      </c>
      <c r="D3089">
        <v>16</v>
      </c>
      <c r="E3089">
        <v>133</v>
      </c>
      <c r="F3089">
        <f t="shared" si="192"/>
        <v>-1.5196667546527516</v>
      </c>
      <c r="G3089">
        <f t="shared" si="193"/>
        <v>-0.57063264302180239</v>
      </c>
      <c r="I3089">
        <f t="shared" si="196"/>
        <v>-1.045149698837277</v>
      </c>
      <c r="J3089">
        <v>133</v>
      </c>
      <c r="K3089">
        <v>138</v>
      </c>
      <c r="L3089">
        <v>-0.57063264302180239</v>
      </c>
      <c r="M3089">
        <f t="shared" si="194"/>
        <v>-0.50516519289315176</v>
      </c>
      <c r="N3089">
        <v>-1.5196667546527516</v>
      </c>
    </row>
    <row r="3090" spans="1:14">
      <c r="A3090" t="s">
        <v>8</v>
      </c>
      <c r="B3090" s="2">
        <f t="shared" si="195"/>
        <v>149</v>
      </c>
      <c r="C3090">
        <v>598</v>
      </c>
      <c r="D3090">
        <v>4</v>
      </c>
      <c r="E3090">
        <v>52</v>
      </c>
      <c r="F3090">
        <f t="shared" si="192"/>
        <v>-2.0646435553126459</v>
      </c>
      <c r="G3090">
        <f t="shared" si="193"/>
        <v>-0.92139774968602084</v>
      </c>
      <c r="I3090">
        <f t="shared" si="196"/>
        <v>-1.4930206524993332</v>
      </c>
      <c r="J3090">
        <v>52</v>
      </c>
      <c r="K3090">
        <v>44</v>
      </c>
      <c r="L3090">
        <v>-0.92139774968602084</v>
      </c>
      <c r="M3090">
        <f t="shared" si="194"/>
        <v>-0.9445084121401327</v>
      </c>
      <c r="N3090">
        <v>-2.0646435553126459</v>
      </c>
    </row>
    <row r="3091" spans="1:14">
      <c r="A3091" t="s">
        <v>5</v>
      </c>
      <c r="B3091" s="2">
        <f t="shared" si="195"/>
        <v>149</v>
      </c>
      <c r="C3091">
        <v>423</v>
      </c>
      <c r="D3091">
        <v>8</v>
      </c>
      <c r="E3091">
        <v>887</v>
      </c>
      <c r="F3091">
        <f t="shared" ref="F3091:F3154" si="197">LOG10(D3091/C3091)-LOG10(128208/165163)</f>
        <v>-1.6132527430352961</v>
      </c>
      <c r="G3091">
        <f t="shared" ref="G3091:G3154" si="198">LOG10(E3091/C3091)-LOG10(119843/165163)</f>
        <v>0.46088334312427481</v>
      </c>
      <c r="I3091">
        <f t="shared" si="196"/>
        <v>-0.57618469995551069</v>
      </c>
      <c r="J3091">
        <v>887</v>
      </c>
      <c r="K3091">
        <v>21</v>
      </c>
      <c r="L3091">
        <v>0.46088334312427481</v>
      </c>
      <c r="M3091">
        <f t="shared" ref="M3091:M3154" si="199">LOG10(K3091/C3091)-LOG10(106948/165163)</f>
        <v>-1.1153809772790324</v>
      </c>
      <c r="N3091">
        <v>-1.6132527430352961</v>
      </c>
    </row>
    <row r="3092" spans="1:14">
      <c r="A3092" t="s">
        <v>6</v>
      </c>
      <c r="B3092" s="2">
        <f t="shared" si="195"/>
        <v>149</v>
      </c>
      <c r="C3092">
        <v>498</v>
      </c>
      <c r="D3092">
        <v>111</v>
      </c>
      <c r="E3092">
        <v>318</v>
      </c>
      <c r="F3092">
        <f t="shared" si="197"/>
        <v>-0.54190872662525746</v>
      </c>
      <c r="G3092">
        <f t="shared" si="198"/>
        <v>-5.5502132107694113E-2</v>
      </c>
      <c r="I3092">
        <f t="shared" si="196"/>
        <v>-0.29870542936647582</v>
      </c>
      <c r="J3092">
        <v>318</v>
      </c>
      <c r="K3092">
        <v>495</v>
      </c>
      <c r="L3092">
        <v>-5.5502132107694113E-2</v>
      </c>
      <c r="M3092">
        <f t="shared" si="199"/>
        <v>0.18611595153594188</v>
      </c>
      <c r="N3092">
        <v>-0.54190872662525746</v>
      </c>
    </row>
    <row r="3093" spans="1:14">
      <c r="A3093" t="s">
        <v>10</v>
      </c>
      <c r="B3093" s="2">
        <f t="shared" si="195"/>
        <v>149</v>
      </c>
      <c r="C3093">
        <v>231</v>
      </c>
      <c r="D3093">
        <v>8</v>
      </c>
      <c r="E3093">
        <v>15</v>
      </c>
      <c r="F3093">
        <f t="shared" si="197"/>
        <v>-1.350524355552398</v>
      </c>
      <c r="G3093">
        <f t="shared" si="198"/>
        <v>-1.0482206301688723</v>
      </c>
      <c r="I3093">
        <f t="shared" si="196"/>
        <v>-1.1993724928606353</v>
      </c>
      <c r="J3093">
        <v>15</v>
      </c>
      <c r="K3093">
        <v>25</v>
      </c>
      <c r="L3093">
        <v>-1.0482206301688723</v>
      </c>
      <c r="M3093">
        <f t="shared" si="199"/>
        <v>-0.77693187585801604</v>
      </c>
      <c r="N3093">
        <v>-1.350524355552398</v>
      </c>
    </row>
    <row r="3094" spans="1:14">
      <c r="A3094" t="s">
        <v>11</v>
      </c>
      <c r="B3094" s="2">
        <f t="shared" si="195"/>
        <v>149</v>
      </c>
      <c r="C3094">
        <v>400</v>
      </c>
      <c r="D3094">
        <v>2</v>
      </c>
      <c r="E3094">
        <v>13</v>
      </c>
      <c r="F3094">
        <f t="shared" si="197"/>
        <v>-2.1910323583161788</v>
      </c>
      <c r="G3094">
        <f t="shared" si="198"/>
        <v>-1.3488165483535348</v>
      </c>
      <c r="I3094">
        <f t="shared" si="196"/>
        <v>-1.7699244533348568</v>
      </c>
      <c r="J3094">
        <v>13</v>
      </c>
      <c r="K3094">
        <v>11</v>
      </c>
      <c r="L3094">
        <v>-1.3488165483535348</v>
      </c>
      <c r="M3094">
        <f t="shared" si="199"/>
        <v>-1.3719272108076468</v>
      </c>
      <c r="N3094">
        <v>-2.1910323583161788</v>
      </c>
    </row>
    <row r="3095" spans="1:14">
      <c r="A3095" t="s">
        <v>12</v>
      </c>
      <c r="B3095" s="2">
        <f t="shared" si="195"/>
        <v>149</v>
      </c>
      <c r="C3095">
        <v>165163</v>
      </c>
      <c r="D3095">
        <v>128208</v>
      </c>
      <c r="E3095">
        <v>119843</v>
      </c>
      <c r="F3095">
        <f t="shared" si="197"/>
        <v>0</v>
      </c>
      <c r="G3095">
        <f t="shared" si="198"/>
        <v>0</v>
      </c>
      <c r="I3095">
        <f t="shared" si="196"/>
        <v>0</v>
      </c>
      <c r="J3095">
        <v>119843</v>
      </c>
      <c r="K3095">
        <v>106948</v>
      </c>
      <c r="L3095">
        <v>0</v>
      </c>
      <c r="M3095">
        <f t="shared" si="199"/>
        <v>0</v>
      </c>
      <c r="N3095">
        <v>0</v>
      </c>
    </row>
    <row r="3096" spans="1:14">
      <c r="A3096" t="s">
        <v>9</v>
      </c>
      <c r="B3096" s="2">
        <f t="shared" si="195"/>
        <v>149</v>
      </c>
      <c r="C3096">
        <v>331</v>
      </c>
      <c r="D3096">
        <v>1</v>
      </c>
      <c r="E3096">
        <v>11</v>
      </c>
      <c r="F3096">
        <f t="shared" si="197"/>
        <v>-2.4098303564279164</v>
      </c>
      <c r="G3096">
        <f t="shared" si="198"/>
        <v>-1.339135217949903</v>
      </c>
      <c r="I3096">
        <f t="shared" si="196"/>
        <v>-1.8744827871889096</v>
      </c>
      <c r="J3096">
        <v>11</v>
      </c>
      <c r="K3096">
        <v>7</v>
      </c>
      <c r="L3096">
        <v>-1.339135217949903</v>
      </c>
      <c r="M3096">
        <f t="shared" si="199"/>
        <v>-1.4859898583993711</v>
      </c>
      <c r="N3096">
        <v>-2.4098303564279164</v>
      </c>
    </row>
    <row r="3097" spans="1:14">
      <c r="A3097" t="s">
        <v>13</v>
      </c>
      <c r="B3097" s="2">
        <f t="shared" si="195"/>
        <v>149</v>
      </c>
      <c r="C3097">
        <v>1304</v>
      </c>
      <c r="D3097">
        <v>24</v>
      </c>
      <c r="E3097">
        <v>229</v>
      </c>
      <c r="F3097">
        <f t="shared" si="197"/>
        <v>-1.6250687123364926</v>
      </c>
      <c r="G3097">
        <f t="shared" si="198"/>
        <v>-0.61614201838842264</v>
      </c>
      <c r="I3097">
        <f t="shared" si="196"/>
        <v>-1.1206053653624577</v>
      </c>
      <c r="J3097">
        <v>229</v>
      </c>
      <c r="K3097">
        <v>38</v>
      </c>
      <c r="L3097">
        <v>-0.61614201838842264</v>
      </c>
      <c r="M3097">
        <f t="shared" si="199"/>
        <v>-1.3467538994170005</v>
      </c>
      <c r="N3097">
        <v>-1.6250687123364926</v>
      </c>
    </row>
    <row r="3098" spans="1:14">
      <c r="A3098" t="s">
        <v>14</v>
      </c>
      <c r="B3098" s="2">
        <f t="shared" si="195"/>
        <v>149</v>
      </c>
      <c r="C3098">
        <v>489</v>
      </c>
      <c r="D3098">
        <v>3</v>
      </c>
      <c r="E3098">
        <v>353</v>
      </c>
      <c r="F3098">
        <f t="shared" si="197"/>
        <v>-2.1021899670561552</v>
      </c>
      <c r="G3098">
        <f t="shared" si="198"/>
        <v>-2.2340630682069207E-3</v>
      </c>
      <c r="I3098">
        <f t="shared" si="196"/>
        <v>-1.052212015062181</v>
      </c>
      <c r="J3098">
        <v>353</v>
      </c>
      <c r="K3098">
        <v>291</v>
      </c>
      <c r="L3098">
        <v>-2.2340630682069207E-3</v>
      </c>
      <c r="M3098">
        <f t="shared" si="199"/>
        <v>-3.6675774775622255E-2</v>
      </c>
      <c r="N3098">
        <v>-2.1021899670561552</v>
      </c>
    </row>
    <row r="3099" spans="1:14">
      <c r="A3099" t="s">
        <v>15</v>
      </c>
      <c r="B3099" s="2">
        <f t="shared" si="195"/>
        <v>149</v>
      </c>
      <c r="C3099">
        <v>435</v>
      </c>
      <c r="D3099">
        <v>6</v>
      </c>
      <c r="E3099">
        <v>8</v>
      </c>
      <c r="F3099">
        <f t="shared" si="197"/>
        <v>-1.7503403692231911</v>
      </c>
      <c r="G3099">
        <f t="shared" si="198"/>
        <v>-1.5960991792951029</v>
      </c>
      <c r="I3099">
        <f t="shared" si="196"/>
        <v>-1.673219774259147</v>
      </c>
      <c r="J3099">
        <v>8</v>
      </c>
      <c r="K3099">
        <v>9</v>
      </c>
      <c r="L3099">
        <v>-1.5960991792951029</v>
      </c>
      <c r="M3099">
        <f t="shared" si="199"/>
        <v>-1.4955066521532219</v>
      </c>
      <c r="N3099">
        <v>-1.7503403692231911</v>
      </c>
    </row>
    <row r="3100" spans="1:14">
      <c r="A3100" t="s">
        <v>16</v>
      </c>
      <c r="B3100" s="2">
        <f t="shared" si="195"/>
        <v>149</v>
      </c>
      <c r="C3100">
        <v>746</v>
      </c>
      <c r="D3100">
        <v>9</v>
      </c>
      <c r="E3100">
        <v>5</v>
      </c>
      <c r="F3100">
        <f t="shared" si="197"/>
        <v>-1.8084986806855412</v>
      </c>
      <c r="G3100">
        <f t="shared" si="198"/>
        <v>-2.0344687324690591</v>
      </c>
      <c r="I3100">
        <f t="shared" si="196"/>
        <v>-1.9214837065773001</v>
      </c>
      <c r="J3100">
        <v>5</v>
      </c>
      <c r="K3100">
        <v>12</v>
      </c>
      <c r="L3100">
        <v>-2.0344687324690591</v>
      </c>
      <c r="M3100">
        <f t="shared" si="199"/>
        <v>-1.6048174860629532</v>
      </c>
      <c r="N3100">
        <v>-1.8084986806855412</v>
      </c>
    </row>
    <row r="3101" spans="1:14">
      <c r="A3101" t="s">
        <v>17</v>
      </c>
      <c r="B3101" s="2">
        <f t="shared" si="195"/>
        <v>149</v>
      </c>
      <c r="C3101">
        <v>634</v>
      </c>
      <c r="D3101">
        <v>12</v>
      </c>
      <c r="E3101">
        <v>630</v>
      </c>
      <c r="F3101">
        <f t="shared" si="197"/>
        <v>-1.6129103744863051</v>
      </c>
      <c r="G3101">
        <f t="shared" si="198"/>
        <v>0.1365513822394398</v>
      </c>
      <c r="I3101">
        <f t="shared" si="196"/>
        <v>-0.7381794961234327</v>
      </c>
      <c r="J3101">
        <v>630</v>
      </c>
      <c r="K3101">
        <v>400</v>
      </c>
      <c r="L3101">
        <v>0.1365513822394398</v>
      </c>
      <c r="M3101">
        <f t="shared" si="199"/>
        <v>-1.1289171191679631E-2</v>
      </c>
      <c r="N3101">
        <v>-1.6129103744863051</v>
      </c>
    </row>
    <row r="3102" spans="1:14">
      <c r="A3102" t="s">
        <v>18</v>
      </c>
      <c r="B3102" s="2">
        <f t="shared" si="195"/>
        <v>149</v>
      </c>
      <c r="C3102">
        <v>441</v>
      </c>
      <c r="D3102">
        <v>11</v>
      </c>
      <c r="E3102">
        <v>99</v>
      </c>
      <c r="F3102">
        <f t="shared" si="197"/>
        <v>-1.4930482669618108</v>
      </c>
      <c r="G3102">
        <f t="shared" si="198"/>
        <v>-0.50950330420269785</v>
      </c>
      <c r="I3102">
        <f t="shared" si="196"/>
        <v>-1.0012757855822543</v>
      </c>
      <c r="J3102">
        <v>99</v>
      </c>
      <c r="K3102">
        <v>236</v>
      </c>
      <c r="L3102">
        <v>-0.50950330420269785</v>
      </c>
      <c r="M3102">
        <f t="shared" si="199"/>
        <v>-8.2786491135641294E-2</v>
      </c>
      <c r="N3102">
        <v>-1.4930482669618108</v>
      </c>
    </row>
    <row r="3103" spans="1:14">
      <c r="A3103" t="s">
        <v>19</v>
      </c>
      <c r="B3103" s="2">
        <f t="shared" si="195"/>
        <v>149</v>
      </c>
      <c r="C3103">
        <v>411</v>
      </c>
      <c r="D3103">
        <v>106</v>
      </c>
      <c r="E3103">
        <v>89</v>
      </c>
      <c r="F3103">
        <f t="shared" si="197"/>
        <v>-0.47853831926349633</v>
      </c>
      <c r="G3103">
        <f t="shared" si="198"/>
        <v>-0.52515172456356563</v>
      </c>
      <c r="I3103">
        <f t="shared" si="196"/>
        <v>-0.50184502191353098</v>
      </c>
      <c r="J3103">
        <v>89</v>
      </c>
      <c r="K3103">
        <v>44</v>
      </c>
      <c r="L3103">
        <v>-0.52515172456356563</v>
      </c>
      <c r="M3103">
        <f t="shared" si="199"/>
        <v>-0.78164905002779106</v>
      </c>
      <c r="N3103">
        <v>-0.47853831926349633</v>
      </c>
    </row>
    <row r="3104" spans="1:14">
      <c r="A3104" t="s">
        <v>20</v>
      </c>
      <c r="B3104" s="2">
        <f t="shared" si="195"/>
        <v>149</v>
      </c>
      <c r="C3104">
        <v>702</v>
      </c>
      <c r="D3104">
        <v>265</v>
      </c>
      <c r="E3104">
        <v>207</v>
      </c>
      <c r="F3104">
        <f t="shared" si="197"/>
        <v>-0.31309360084519477</v>
      </c>
      <c r="G3104">
        <f t="shared" si="198"/>
        <v>-0.39106667600529676</v>
      </c>
      <c r="I3104">
        <f t="shared" si="196"/>
        <v>-0.35208013842524577</v>
      </c>
      <c r="J3104">
        <v>207</v>
      </c>
      <c r="K3104">
        <v>96</v>
      </c>
      <c r="L3104">
        <v>-0.39106667600529676</v>
      </c>
      <c r="M3104">
        <f t="shared" si="199"/>
        <v>-0.67532578372814611</v>
      </c>
      <c r="N3104">
        <v>-0.31309360084519477</v>
      </c>
    </row>
    <row r="3105" spans="1:14">
      <c r="A3105" t="s">
        <v>21</v>
      </c>
      <c r="B3105" s="2">
        <f t="shared" si="195"/>
        <v>149</v>
      </c>
      <c r="C3105">
        <v>298</v>
      </c>
      <c r="D3105">
        <v>6</v>
      </c>
      <c r="E3105">
        <v>86</v>
      </c>
      <c r="F3105">
        <f t="shared" si="197"/>
        <v>-1.586067376344809</v>
      </c>
      <c r="G3105">
        <f t="shared" si="198"/>
        <v>-0.40041772216509675</v>
      </c>
      <c r="I3105">
        <f t="shared" si="196"/>
        <v>-0.99324254925495281</v>
      </c>
      <c r="J3105">
        <v>86</v>
      </c>
      <c r="K3105">
        <v>24</v>
      </c>
      <c r="L3105">
        <v>-0.40041772216509675</v>
      </c>
      <c r="M3105">
        <f t="shared" si="199"/>
        <v>-0.90526492700255845</v>
      </c>
      <c r="N3105">
        <v>-1.586067376344809</v>
      </c>
    </row>
    <row r="3106" spans="1:14">
      <c r="A3106" t="s">
        <v>22</v>
      </c>
      <c r="B3106" s="2">
        <f t="shared" si="195"/>
        <v>149</v>
      </c>
      <c r="C3106">
        <v>305</v>
      </c>
      <c r="D3106">
        <v>1</v>
      </c>
      <c r="E3106">
        <v>6</v>
      </c>
      <c r="F3106">
        <f t="shared" si="197"/>
        <v>-2.3743022019989835</v>
      </c>
      <c r="G3106">
        <f t="shared" si="198"/>
        <v>-1.5668484982955515</v>
      </c>
      <c r="I3106">
        <f t="shared" si="196"/>
        <v>-1.9705753501472674</v>
      </c>
      <c r="J3106">
        <v>6</v>
      </c>
      <c r="K3106">
        <v>30</v>
      </c>
      <c r="L3106">
        <v>-1.5668484982955515</v>
      </c>
      <c r="M3106">
        <f t="shared" si="199"/>
        <v>-0.81843848926503282</v>
      </c>
      <c r="N3106">
        <v>-2.3743022019989835</v>
      </c>
    </row>
    <row r="3107" spans="1:14">
      <c r="A3107" t="s">
        <v>23</v>
      </c>
      <c r="B3107" s="2">
        <f t="shared" si="195"/>
        <v>149</v>
      </c>
      <c r="C3107">
        <v>632</v>
      </c>
      <c r="D3107">
        <v>4</v>
      </c>
      <c r="E3107">
        <v>535</v>
      </c>
      <c r="F3107">
        <f t="shared" si="197"/>
        <v>-2.0886594496066202</v>
      </c>
      <c r="G3107">
        <f t="shared" si="198"/>
        <v>6.6936794406434186E-2</v>
      </c>
      <c r="I3107">
        <f t="shared" si="196"/>
        <v>-1.0108613276000931</v>
      </c>
      <c r="J3107">
        <v>535</v>
      </c>
      <c r="K3107">
        <v>443</v>
      </c>
      <c r="L3107">
        <v>6.6936794406434186E-2</v>
      </c>
      <c r="M3107">
        <f t="shared" si="199"/>
        <v>3.4426743302775203E-2</v>
      </c>
      <c r="N3107">
        <v>-2.0886594496066202</v>
      </c>
    </row>
    <row r="3108" spans="1:14">
      <c r="A3108" t="s">
        <v>24</v>
      </c>
      <c r="B3108" s="2">
        <f t="shared" si="195"/>
        <v>149</v>
      </c>
      <c r="C3108">
        <v>1</v>
      </c>
      <c r="D3108">
        <v>0</v>
      </c>
      <c r="E3108">
        <v>0</v>
      </c>
      <c r="F3108" t="e">
        <f t="shared" si="197"/>
        <v>#NUM!</v>
      </c>
      <c r="G3108" t="e">
        <f t="shared" si="198"/>
        <v>#NUM!</v>
      </c>
      <c r="I3108" t="e">
        <f t="shared" si="196"/>
        <v>#NUM!</v>
      </c>
      <c r="J3108">
        <v>0</v>
      </c>
      <c r="K3108">
        <v>0</v>
      </c>
      <c r="L3108" t="e">
        <v>#NUM!</v>
      </c>
      <c r="M3108" t="e">
        <f t="shared" si="199"/>
        <v>#NUM!</v>
      </c>
      <c r="N3108" t="e">
        <v>#NUM!</v>
      </c>
    </row>
    <row r="3109" spans="1:14">
      <c r="A3109" t="s">
        <v>25</v>
      </c>
      <c r="B3109" s="2">
        <f t="shared" si="195"/>
        <v>149</v>
      </c>
      <c r="C3109">
        <v>553</v>
      </c>
      <c r="D3109">
        <v>7</v>
      </c>
      <c r="E3109">
        <v>2086</v>
      </c>
      <c r="F3109">
        <f t="shared" si="197"/>
        <v>-1.7876294539426387</v>
      </c>
      <c r="G3109">
        <f t="shared" si="198"/>
        <v>0.71588926345340453</v>
      </c>
      <c r="I3109">
        <f t="shared" si="196"/>
        <v>-0.53587009524461715</v>
      </c>
      <c r="J3109">
        <v>2086</v>
      </c>
      <c r="K3109">
        <v>1311</v>
      </c>
      <c r="L3109">
        <v>0.71588926345340453</v>
      </c>
      <c r="M3109">
        <f t="shared" si="199"/>
        <v>0.56361765574747669</v>
      </c>
      <c r="N3109">
        <v>-1.7876294539426387</v>
      </c>
    </row>
    <row r="3110" spans="1:14">
      <c r="A3110" t="s">
        <v>7</v>
      </c>
      <c r="B3110" s="2">
        <f t="shared" si="195"/>
        <v>150</v>
      </c>
      <c r="C3110">
        <v>1266</v>
      </c>
      <c r="D3110">
        <v>379</v>
      </c>
      <c r="E3110">
        <v>39</v>
      </c>
      <c r="F3110">
        <f t="shared" si="197"/>
        <v>-0.41379685836546132</v>
      </c>
      <c r="G3110">
        <f t="shared" si="198"/>
        <v>-1.3720690079872464</v>
      </c>
      <c r="I3110">
        <f t="shared" si="196"/>
        <v>-0.8929329331763538</v>
      </c>
      <c r="J3110">
        <v>39</v>
      </c>
      <c r="K3110">
        <v>17</v>
      </c>
      <c r="L3110">
        <v>-1.3720690079872464</v>
      </c>
      <c r="M3110">
        <f t="shared" si="199"/>
        <v>-1.6832446889409716</v>
      </c>
      <c r="N3110">
        <v>-0.41379685836546132</v>
      </c>
    </row>
    <row r="3111" spans="1:14">
      <c r="A3111" t="s">
        <v>8</v>
      </c>
      <c r="B3111" s="2">
        <f t="shared" si="195"/>
        <v>150</v>
      </c>
      <c r="C3111">
        <v>1052</v>
      </c>
      <c r="D3111">
        <v>15</v>
      </c>
      <c r="E3111">
        <v>82</v>
      </c>
      <c r="F3111">
        <f t="shared" si="197"/>
        <v>-1.7359268434142363</v>
      </c>
      <c r="G3111">
        <f t="shared" si="198"/>
        <v>-0.96890179676641286</v>
      </c>
      <c r="I3111">
        <f t="shared" si="196"/>
        <v>-1.3524143200903245</v>
      </c>
      <c r="J3111">
        <v>82</v>
      </c>
      <c r="K3111">
        <v>191</v>
      </c>
      <c r="L3111">
        <v>-0.96890179676641286</v>
      </c>
      <c r="M3111">
        <f t="shared" si="199"/>
        <v>-0.55224227720790209</v>
      </c>
      <c r="N3111">
        <v>-1.7359268434142363</v>
      </c>
    </row>
    <row r="3112" spans="1:14">
      <c r="A3112" t="s">
        <v>5</v>
      </c>
      <c r="B3112" s="2">
        <f t="shared" si="195"/>
        <v>150</v>
      </c>
      <c r="C3112">
        <v>783</v>
      </c>
      <c r="D3112">
        <v>39</v>
      </c>
      <c r="E3112">
        <v>22</v>
      </c>
      <c r="F3112">
        <f t="shared" si="197"/>
        <v>-1.1926995176836415</v>
      </c>
      <c r="G3112">
        <f t="shared" si="198"/>
        <v>-1.4120389905681465</v>
      </c>
      <c r="I3112">
        <f t="shared" si="196"/>
        <v>-1.302369254125894</v>
      </c>
      <c r="J3112">
        <v>22</v>
      </c>
      <c r="K3112">
        <v>310</v>
      </c>
      <c r="L3112">
        <v>-1.4120389905681465</v>
      </c>
      <c r="M3112">
        <f t="shared" si="199"/>
        <v>-0.21365997286158006</v>
      </c>
      <c r="N3112">
        <v>-1.1926995176836415</v>
      </c>
    </row>
    <row r="3113" spans="1:14">
      <c r="A3113" t="s">
        <v>6</v>
      </c>
      <c r="B3113" s="2">
        <f t="shared" si="195"/>
        <v>150</v>
      </c>
      <c r="C3113">
        <v>582</v>
      </c>
      <c r="D3113">
        <v>51</v>
      </c>
      <c r="E3113">
        <v>222</v>
      </c>
      <c r="F3113">
        <f t="shared" si="197"/>
        <v>-0.94735517120414947</v>
      </c>
      <c r="G3113">
        <f t="shared" si="198"/>
        <v>-0.27926991953165914</v>
      </c>
      <c r="I3113">
        <f t="shared" si="196"/>
        <v>-0.61331254536790425</v>
      </c>
      <c r="J3113">
        <v>222</v>
      </c>
      <c r="K3113">
        <v>95</v>
      </c>
      <c r="L3113">
        <v>-0.27926991953165914</v>
      </c>
      <c r="M3113">
        <f t="shared" si="199"/>
        <v>-0.59845928399894999</v>
      </c>
      <c r="N3113">
        <v>-0.94735517120414947</v>
      </c>
    </row>
    <row r="3114" spans="1:14">
      <c r="A3114" t="s">
        <v>10</v>
      </c>
      <c r="B3114" s="2">
        <f t="shared" si="195"/>
        <v>150</v>
      </c>
      <c r="C3114">
        <v>217</v>
      </c>
      <c r="D3114">
        <v>3</v>
      </c>
      <c r="E3114">
        <v>514</v>
      </c>
      <c r="F3114">
        <f t="shared" si="197"/>
        <v>-1.7493408417810643</v>
      </c>
      <c r="G3114">
        <f t="shared" si="198"/>
        <v>0.51380347581433705</v>
      </c>
      <c r="I3114">
        <f t="shared" si="196"/>
        <v>-0.61776868298336363</v>
      </c>
      <c r="J3114">
        <v>514</v>
      </c>
      <c r="K3114">
        <v>339</v>
      </c>
      <c r="L3114">
        <v>0.51380347581433705</v>
      </c>
      <c r="M3114">
        <f t="shared" si="199"/>
        <v>0.38248005971664334</v>
      </c>
      <c r="N3114">
        <v>-1.7493408417810643</v>
      </c>
    </row>
    <row r="3115" spans="1:14">
      <c r="A3115" t="s">
        <v>11</v>
      </c>
      <c r="B3115" s="2">
        <f t="shared" si="195"/>
        <v>150</v>
      </c>
      <c r="C3115">
        <v>1320</v>
      </c>
      <c r="D3115">
        <v>10</v>
      </c>
      <c r="E3115">
        <v>420</v>
      </c>
      <c r="F3115">
        <f t="shared" si="197"/>
        <v>-2.0105762938580476</v>
      </c>
      <c r="G3115">
        <f t="shared" si="198"/>
        <v>-0.35802455014035861</v>
      </c>
      <c r="I3115">
        <f t="shared" si="196"/>
        <v>-1.184300421999203</v>
      </c>
      <c r="J3115">
        <v>420</v>
      </c>
      <c r="K3115">
        <v>311</v>
      </c>
      <c r="L3115">
        <v>-0.35802455014035861</v>
      </c>
      <c r="M3115">
        <f t="shared" si="199"/>
        <v>-0.43907344681692173</v>
      </c>
      <c r="N3115">
        <v>-2.0105762938580476</v>
      </c>
    </row>
    <row r="3116" spans="1:14">
      <c r="A3116" t="s">
        <v>12</v>
      </c>
      <c r="B3116" s="2">
        <f t="shared" si="195"/>
        <v>150</v>
      </c>
      <c r="C3116">
        <v>779</v>
      </c>
      <c r="D3116">
        <v>5</v>
      </c>
      <c r="E3116">
        <v>28</v>
      </c>
      <c r="F3116">
        <f t="shared" si="197"/>
        <v>-2.0825698159887431</v>
      </c>
      <c r="G3116">
        <f t="shared" si="198"/>
        <v>-1.3050793356627546</v>
      </c>
      <c r="I3116">
        <f t="shared" si="196"/>
        <v>-1.6938245758257489</v>
      </c>
      <c r="J3116">
        <v>28</v>
      </c>
      <c r="K3116">
        <v>230</v>
      </c>
      <c r="L3116">
        <v>-1.3050793356627546</v>
      </c>
      <c r="M3116">
        <f t="shared" si="199"/>
        <v>-0.3410695262928809</v>
      </c>
      <c r="N3116">
        <v>-2.0825698159887431</v>
      </c>
    </row>
    <row r="3117" spans="1:14">
      <c r="A3117" t="s">
        <v>9</v>
      </c>
      <c r="B3117" s="2">
        <f t="shared" si="195"/>
        <v>150</v>
      </c>
      <c r="C3117">
        <v>567</v>
      </c>
      <c r="D3117">
        <v>6</v>
      </c>
      <c r="E3117">
        <v>71</v>
      </c>
      <c r="F3117">
        <f t="shared" si="197"/>
        <v>-1.8654341711614604</v>
      </c>
      <c r="G3117">
        <f t="shared" si="198"/>
        <v>-0.76302461950624056</v>
      </c>
      <c r="I3117">
        <f t="shared" si="196"/>
        <v>-1.3142293953338504</v>
      </c>
      <c r="J3117">
        <v>71</v>
      </c>
      <c r="K3117">
        <v>33</v>
      </c>
      <c r="L3117">
        <v>-0.76302461950624056</v>
      </c>
      <c r="M3117">
        <f t="shared" si="199"/>
        <v>-1.0463290236529286</v>
      </c>
      <c r="N3117">
        <v>-1.8654341711614604</v>
      </c>
    </row>
    <row r="3118" spans="1:14">
      <c r="A3118" t="s">
        <v>13</v>
      </c>
      <c r="B3118" s="2">
        <f t="shared" si="195"/>
        <v>150</v>
      </c>
      <c r="C3118">
        <v>340</v>
      </c>
      <c r="D3118">
        <v>9</v>
      </c>
      <c r="E3118">
        <v>5</v>
      </c>
      <c r="F3118">
        <f t="shared" si="197"/>
        <v>-1.4672387702551275</v>
      </c>
      <c r="G3118">
        <f t="shared" si="198"/>
        <v>-1.6932088220386456</v>
      </c>
      <c r="I3118">
        <f t="shared" si="196"/>
        <v>-1.5802237961468866</v>
      </c>
      <c r="J3118">
        <v>5</v>
      </c>
      <c r="K3118">
        <v>18</v>
      </c>
      <c r="L3118">
        <v>-1.6932088220386456</v>
      </c>
      <c r="M3118">
        <f t="shared" si="199"/>
        <v>-1.0874663165768585</v>
      </c>
      <c r="N3118">
        <v>-1.4672387702551275</v>
      </c>
    </row>
    <row r="3119" spans="1:14">
      <c r="A3119" t="s">
        <v>14</v>
      </c>
      <c r="B3119" s="2">
        <f t="shared" si="195"/>
        <v>150</v>
      </c>
      <c r="C3119">
        <v>165163</v>
      </c>
      <c r="D3119">
        <v>128208</v>
      </c>
      <c r="E3119">
        <v>119843</v>
      </c>
      <c r="F3119">
        <f t="shared" si="197"/>
        <v>0</v>
      </c>
      <c r="G3119">
        <f t="shared" si="198"/>
        <v>0</v>
      </c>
      <c r="I3119">
        <f t="shared" si="196"/>
        <v>0</v>
      </c>
      <c r="J3119">
        <v>119843</v>
      </c>
      <c r="K3119">
        <v>106948</v>
      </c>
      <c r="L3119">
        <v>0</v>
      </c>
      <c r="M3119">
        <f t="shared" si="199"/>
        <v>0</v>
      </c>
      <c r="N3119">
        <v>0</v>
      </c>
    </row>
    <row r="3120" spans="1:14">
      <c r="A3120" t="s">
        <v>15</v>
      </c>
      <c r="B3120" s="2">
        <f t="shared" si="195"/>
        <v>150</v>
      </c>
      <c r="C3120">
        <v>1009</v>
      </c>
      <c r="D3120">
        <v>8</v>
      </c>
      <c r="E3120">
        <v>52</v>
      </c>
      <c r="F3120">
        <f t="shared" si="197"/>
        <v>-1.9908035418971644</v>
      </c>
      <c r="G3120">
        <f t="shared" si="198"/>
        <v>-1.1485877319345206</v>
      </c>
      <c r="I3120">
        <f t="shared" si="196"/>
        <v>-1.5696956369158426</v>
      </c>
      <c r="J3120">
        <v>52</v>
      </c>
      <c r="K3120">
        <v>26</v>
      </c>
      <c r="L3120">
        <v>-1.1485877319345206</v>
      </c>
      <c r="M3120">
        <f t="shared" si="199"/>
        <v>-1.4001777229040018</v>
      </c>
      <c r="N3120">
        <v>-1.9908035418971644</v>
      </c>
    </row>
    <row r="3121" spans="1:14">
      <c r="A3121" t="s">
        <v>16</v>
      </c>
      <c r="B3121" s="2">
        <f t="shared" si="195"/>
        <v>150</v>
      </c>
      <c r="C3121">
        <v>817</v>
      </c>
      <c r="D3121">
        <v>9</v>
      </c>
      <c r="E3121">
        <v>177</v>
      </c>
      <c r="F3121">
        <f t="shared" si="197"/>
        <v>-1.8479819097452879</v>
      </c>
      <c r="G3121">
        <f t="shared" si="198"/>
        <v>-0.52494869950301803</v>
      </c>
      <c r="I3121">
        <f t="shared" si="196"/>
        <v>-1.1864653046241529</v>
      </c>
      <c r="J3121">
        <v>177</v>
      </c>
      <c r="K3121">
        <v>113</v>
      </c>
      <c r="L3121">
        <v>-0.52494869950301803</v>
      </c>
      <c r="M3121">
        <f t="shared" si="199"/>
        <v>-0.67040351768690509</v>
      </c>
      <c r="N3121">
        <v>-1.8479819097452879</v>
      </c>
    </row>
    <row r="3122" spans="1:14">
      <c r="A3122" t="s">
        <v>17</v>
      </c>
      <c r="B3122" s="2">
        <f t="shared" si="195"/>
        <v>150</v>
      </c>
      <c r="C3122">
        <v>853</v>
      </c>
      <c r="D3122">
        <v>8</v>
      </c>
      <c r="E3122">
        <v>272</v>
      </c>
      <c r="F3122">
        <f t="shared" si="197"/>
        <v>-1.9178614068277768</v>
      </c>
      <c r="G3122">
        <f t="shared" si="198"/>
        <v>-0.3570800364657335</v>
      </c>
      <c r="I3122">
        <f t="shared" si="196"/>
        <v>-1.1374707216467552</v>
      </c>
      <c r="J3122">
        <v>272</v>
      </c>
      <c r="K3122">
        <v>150</v>
      </c>
      <c r="L3122">
        <v>-0.3570800364657335</v>
      </c>
      <c r="M3122">
        <f t="shared" si="199"/>
        <v>-0.56611767674975111</v>
      </c>
      <c r="N3122">
        <v>-1.9178614068277768</v>
      </c>
    </row>
    <row r="3123" spans="1:14">
      <c r="A3123" t="s">
        <v>18</v>
      </c>
      <c r="B3123" s="2">
        <f t="shared" si="195"/>
        <v>150</v>
      </c>
      <c r="C3123">
        <v>732</v>
      </c>
      <c r="D3123">
        <v>8</v>
      </c>
      <c r="E3123">
        <v>337</v>
      </c>
      <c r="F3123">
        <f t="shared" si="197"/>
        <v>-1.8514234567186456</v>
      </c>
      <c r="G3123">
        <f t="shared" si="198"/>
        <v>-0.19758108951946243</v>
      </c>
      <c r="I3123">
        <f t="shared" si="196"/>
        <v>-1.0245022731190541</v>
      </c>
      <c r="J3123">
        <v>337</v>
      </c>
      <c r="K3123">
        <v>161</v>
      </c>
      <c r="L3123">
        <v>-0.19758108951946243</v>
      </c>
      <c r="M3123">
        <f t="shared" si="199"/>
        <v>-0.46894510966445146</v>
      </c>
      <c r="N3123">
        <v>-1.8514234567186456</v>
      </c>
    </row>
    <row r="3124" spans="1:14">
      <c r="A3124" t="s">
        <v>19</v>
      </c>
      <c r="B3124" s="2">
        <f t="shared" si="195"/>
        <v>150</v>
      </c>
      <c r="C3124">
        <v>617</v>
      </c>
      <c r="D3124">
        <v>7</v>
      </c>
      <c r="E3124">
        <v>19</v>
      </c>
      <c r="F3124">
        <f t="shared" si="197"/>
        <v>-1.8351894866711822</v>
      </c>
      <c r="G3124">
        <f t="shared" si="198"/>
        <v>-1.372231472412822</v>
      </c>
      <c r="I3124">
        <f t="shared" si="196"/>
        <v>-1.6037104795420021</v>
      </c>
      <c r="J3124">
        <v>19</v>
      </c>
      <c r="K3124">
        <v>16</v>
      </c>
      <c r="L3124">
        <v>-1.372231472412822</v>
      </c>
      <c r="M3124">
        <f t="shared" si="199"/>
        <v>-1.3974250860152262</v>
      </c>
      <c r="N3124">
        <v>-1.8351894866711822</v>
      </c>
    </row>
    <row r="3125" spans="1:14">
      <c r="A3125" t="s">
        <v>20</v>
      </c>
      <c r="B3125" s="2">
        <f t="shared" si="195"/>
        <v>150</v>
      </c>
      <c r="C3125">
        <v>997</v>
      </c>
      <c r="D3125">
        <v>3</v>
      </c>
      <c r="E3125">
        <v>318</v>
      </c>
      <c r="F3125">
        <f t="shared" si="197"/>
        <v>-2.4115762662441909</v>
      </c>
      <c r="G3125">
        <f t="shared" si="198"/>
        <v>-0.35696794765963225</v>
      </c>
      <c r="I3125">
        <f t="shared" si="196"/>
        <v>-1.3842721069519115</v>
      </c>
      <c r="J3125">
        <v>318</v>
      </c>
      <c r="K3125">
        <v>347</v>
      </c>
      <c r="L3125">
        <v>-0.35696794765963225</v>
      </c>
      <c r="M3125">
        <f t="shared" si="199"/>
        <v>-0.26962558815869131</v>
      </c>
      <c r="N3125">
        <v>-2.4115762662441909</v>
      </c>
    </row>
    <row r="3126" spans="1:14">
      <c r="A3126" t="s">
        <v>21</v>
      </c>
      <c r="B3126" s="2">
        <f t="shared" si="195"/>
        <v>150</v>
      </c>
      <c r="C3126">
        <v>525</v>
      </c>
      <c r="D3126">
        <v>2</v>
      </c>
      <c r="E3126">
        <v>22</v>
      </c>
      <c r="F3126">
        <f t="shared" si="197"/>
        <v>-2.3091316703941733</v>
      </c>
      <c r="G3126">
        <f t="shared" si="198"/>
        <v>-1.2384365319161599</v>
      </c>
      <c r="I3126">
        <f t="shared" si="196"/>
        <v>-1.7737841011551665</v>
      </c>
      <c r="J3126">
        <v>22</v>
      </c>
      <c r="K3126">
        <v>16</v>
      </c>
      <c r="L3126">
        <v>-1.2384365319161599</v>
      </c>
      <c r="M3126">
        <f t="shared" si="199"/>
        <v>-1.3272992253879412</v>
      </c>
      <c r="N3126">
        <v>-2.3091316703941733</v>
      </c>
    </row>
    <row r="3127" spans="1:14">
      <c r="A3127" t="s">
        <v>22</v>
      </c>
      <c r="B3127" s="2">
        <f t="shared" si="195"/>
        <v>150</v>
      </c>
      <c r="C3127">
        <v>944</v>
      </c>
      <c r="D3127">
        <v>24</v>
      </c>
      <c r="E3127">
        <v>285</v>
      </c>
      <c r="F3127">
        <f t="shared" si="197"/>
        <v>-1.4847631152386602</v>
      </c>
      <c r="G3127">
        <f t="shared" si="198"/>
        <v>-0.38082704362196806</v>
      </c>
      <c r="I3127">
        <f t="shared" si="196"/>
        <v>-0.93279507943031414</v>
      </c>
      <c r="J3127">
        <v>285</v>
      </c>
      <c r="K3127">
        <v>661</v>
      </c>
      <c r="L3127">
        <v>-0.38082704362196806</v>
      </c>
      <c r="M3127">
        <f t="shared" si="199"/>
        <v>3.3969560549661937E-2</v>
      </c>
      <c r="N3127">
        <v>-1.4847631152386602</v>
      </c>
    </row>
    <row r="3128" spans="1:14">
      <c r="A3128" t="s">
        <v>23</v>
      </c>
      <c r="B3128" s="2">
        <f t="shared" si="195"/>
        <v>150</v>
      </c>
      <c r="C3128">
        <v>317</v>
      </c>
      <c r="D3128">
        <v>22</v>
      </c>
      <c r="E3128">
        <v>35</v>
      </c>
      <c r="F3128">
        <f t="shared" si="197"/>
        <v>-1.0486389440477426</v>
      </c>
      <c r="G3128">
        <f t="shared" si="198"/>
        <v>-0.81769112719988513</v>
      </c>
      <c r="I3128">
        <f t="shared" si="196"/>
        <v>-0.93316503562381392</v>
      </c>
      <c r="J3128">
        <v>35</v>
      </c>
      <c r="K3128">
        <v>27</v>
      </c>
      <c r="L3128">
        <v>-0.81769112719988513</v>
      </c>
      <c r="M3128">
        <f t="shared" si="199"/>
        <v>-0.88095540269667361</v>
      </c>
      <c r="N3128">
        <v>-1.0486389440477426</v>
      </c>
    </row>
    <row r="3129" spans="1:14">
      <c r="A3129" t="s">
        <v>24</v>
      </c>
      <c r="B3129" s="2">
        <f t="shared" si="195"/>
        <v>150</v>
      </c>
      <c r="C3129">
        <v>857</v>
      </c>
      <c r="D3129">
        <v>8</v>
      </c>
      <c r="E3129">
        <v>46</v>
      </c>
      <c r="F3129">
        <f t="shared" si="197"/>
        <v>-1.9198931975834521</v>
      </c>
      <c r="G3129">
        <f t="shared" si="198"/>
        <v>-1.1309228995740332</v>
      </c>
      <c r="I3129">
        <f t="shared" si="196"/>
        <v>-1.5254080485787427</v>
      </c>
      <c r="J3129">
        <v>46</v>
      </c>
      <c r="K3129">
        <v>57</v>
      </c>
      <c r="L3129">
        <v>-1.1309228995740332</v>
      </c>
      <c r="M3129">
        <f t="shared" si="199"/>
        <v>-0.98836587088861616</v>
      </c>
      <c r="N3129">
        <v>-1.9198931975834521</v>
      </c>
    </row>
    <row r="3130" spans="1:14">
      <c r="A3130" t="s">
        <v>25</v>
      </c>
      <c r="B3130" s="2">
        <f t="shared" si="195"/>
        <v>150</v>
      </c>
      <c r="C3130">
        <v>1306</v>
      </c>
      <c r="D3130">
        <v>15</v>
      </c>
      <c r="E3130">
        <v>267</v>
      </c>
      <c r="F3130">
        <f t="shared" si="197"/>
        <v>-1.8298542805355713</v>
      </c>
      <c r="G3130">
        <f t="shared" si="198"/>
        <v>-0.55013182490688917</v>
      </c>
      <c r="I3130">
        <f t="shared" si="196"/>
        <v>-1.1899930527212303</v>
      </c>
      <c r="J3130">
        <v>267</v>
      </c>
      <c r="K3130">
        <v>694</v>
      </c>
      <c r="L3130">
        <v>-0.55013182490688917</v>
      </c>
      <c r="M3130">
        <f t="shared" si="199"/>
        <v>-8.5843611122109531E-2</v>
      </c>
      <c r="N3130">
        <v>-1.8298542805355713</v>
      </c>
    </row>
    <row r="3131" spans="1:14">
      <c r="A3131" t="s">
        <v>7</v>
      </c>
      <c r="B3131" s="2">
        <f t="shared" si="195"/>
        <v>151</v>
      </c>
      <c r="C3131">
        <v>442</v>
      </c>
      <c r="D3131">
        <v>4</v>
      </c>
      <c r="E3131">
        <v>28</v>
      </c>
      <c r="F3131">
        <f t="shared" si="197"/>
        <v>-1.9333646406733267</v>
      </c>
      <c r="G3131">
        <f t="shared" si="198"/>
        <v>-1.0589641473392819</v>
      </c>
      <c r="I3131">
        <f t="shared" si="196"/>
        <v>-1.4961643940063043</v>
      </c>
      <c r="J3131">
        <v>28</v>
      </c>
      <c r="K3131">
        <v>29</v>
      </c>
      <c r="L3131">
        <v>-1.0589641473392819</v>
      </c>
      <c r="M3131">
        <f t="shared" si="199"/>
        <v>-0.99428417608804509</v>
      </c>
      <c r="N3131">
        <v>-1.9333646406733267</v>
      </c>
    </row>
    <row r="3132" spans="1:14">
      <c r="A3132" t="s">
        <v>8</v>
      </c>
      <c r="B3132" s="2">
        <f t="shared" si="195"/>
        <v>151</v>
      </c>
      <c r="C3132">
        <v>374</v>
      </c>
      <c r="D3132">
        <v>7</v>
      </c>
      <c r="E3132">
        <v>56</v>
      </c>
      <c r="F3132">
        <f t="shared" si="197"/>
        <v>-1.6177759248384207</v>
      </c>
      <c r="G3132">
        <f t="shared" si="198"/>
        <v>-0.68538348452668907</v>
      </c>
      <c r="I3132">
        <f t="shared" si="196"/>
        <v>-1.1515797046825549</v>
      </c>
      <c r="J3132">
        <v>56</v>
      </c>
      <c r="K3132">
        <v>57</v>
      </c>
      <c r="L3132">
        <v>-0.68538348452668907</v>
      </c>
      <c r="M3132">
        <f t="shared" si="199"/>
        <v>-0.62825665116589813</v>
      </c>
      <c r="N3132">
        <v>-1.6177759248384207</v>
      </c>
    </row>
    <row r="3133" spans="1:14">
      <c r="A3133" t="s">
        <v>5</v>
      </c>
      <c r="B3133" s="2">
        <f t="shared" si="195"/>
        <v>151</v>
      </c>
      <c r="C3133">
        <v>754</v>
      </c>
      <c r="D3133">
        <v>7</v>
      </c>
      <c r="E3133">
        <v>16</v>
      </c>
      <c r="F3133">
        <f t="shared" si="197"/>
        <v>-1.9222756685077147</v>
      </c>
      <c r="G3133">
        <f t="shared" si="198"/>
        <v>-1.5339512725462585</v>
      </c>
      <c r="I3133">
        <f t="shared" si="196"/>
        <v>-1.7281134705269867</v>
      </c>
      <c r="J3133">
        <v>16</v>
      </c>
      <c r="K3133">
        <v>16</v>
      </c>
      <c r="L3133">
        <v>-1.5339512725462585</v>
      </c>
      <c r="M3133">
        <f t="shared" si="199"/>
        <v>-1.4845112678517585</v>
      </c>
      <c r="N3133">
        <v>-1.9222756685077147</v>
      </c>
    </row>
    <row r="3134" spans="1:14">
      <c r="A3134" t="s">
        <v>6</v>
      </c>
      <c r="B3134" s="2">
        <f t="shared" si="195"/>
        <v>151</v>
      </c>
      <c r="C3134">
        <v>165163</v>
      </c>
      <c r="D3134">
        <v>128208</v>
      </c>
      <c r="E3134">
        <v>119843</v>
      </c>
      <c r="F3134">
        <f t="shared" si="197"/>
        <v>0</v>
      </c>
      <c r="G3134">
        <f t="shared" si="198"/>
        <v>0</v>
      </c>
      <c r="I3134">
        <f t="shared" si="196"/>
        <v>0</v>
      </c>
      <c r="J3134">
        <v>119843</v>
      </c>
      <c r="K3134">
        <v>106948</v>
      </c>
      <c r="L3134">
        <v>0</v>
      </c>
      <c r="M3134">
        <f t="shared" si="199"/>
        <v>0</v>
      </c>
      <c r="N3134">
        <v>0</v>
      </c>
    </row>
    <row r="3135" spans="1:14">
      <c r="A3135" t="s">
        <v>10</v>
      </c>
      <c r="B3135" s="2">
        <f t="shared" si="195"/>
        <v>151</v>
      </c>
      <c r="C3135">
        <v>351</v>
      </c>
      <c r="D3135">
        <v>43</v>
      </c>
      <c r="E3135">
        <v>69</v>
      </c>
      <c r="F3135">
        <f t="shared" si="197"/>
        <v>-0.80184102353843489</v>
      </c>
      <c r="G3135">
        <f t="shared" si="198"/>
        <v>-0.567157935060978</v>
      </c>
      <c r="I3135">
        <f t="shared" si="196"/>
        <v>-0.68449947929970645</v>
      </c>
      <c r="J3135">
        <v>69</v>
      </c>
      <c r="K3135">
        <v>45</v>
      </c>
      <c r="L3135">
        <v>-0.567157935060978</v>
      </c>
      <c r="M3135">
        <f t="shared" si="199"/>
        <v>-0.70335450732838978</v>
      </c>
      <c r="N3135">
        <v>-0.80184102353843489</v>
      </c>
    </row>
    <row r="3136" spans="1:14">
      <c r="A3136" t="s">
        <v>11</v>
      </c>
      <c r="B3136" s="2">
        <f t="shared" si="195"/>
        <v>151</v>
      </c>
      <c r="C3136">
        <v>1001</v>
      </c>
      <c r="D3136">
        <v>15</v>
      </c>
      <c r="E3136">
        <v>77</v>
      </c>
      <c r="F3136">
        <f t="shared" si="197"/>
        <v>-1.7143451810758348</v>
      </c>
      <c r="G3136">
        <f t="shared" si="198"/>
        <v>-0.97464326163924597</v>
      </c>
      <c r="I3136">
        <f t="shared" si="196"/>
        <v>-1.3444942213575404</v>
      </c>
      <c r="J3136">
        <v>77</v>
      </c>
      <c r="K3136">
        <v>91</v>
      </c>
      <c r="L3136">
        <v>-0.97464326163924597</v>
      </c>
      <c r="M3136">
        <f t="shared" si="199"/>
        <v>-0.85265258979613423</v>
      </c>
      <c r="N3136">
        <v>-1.7143451810758348</v>
      </c>
    </row>
    <row r="3137" spans="1:14">
      <c r="A3137" t="s">
        <v>12</v>
      </c>
      <c r="B3137" s="2">
        <f t="shared" si="195"/>
        <v>151</v>
      </c>
      <c r="C3137">
        <v>538</v>
      </c>
      <c r="D3137">
        <v>3</v>
      </c>
      <c r="E3137">
        <v>14</v>
      </c>
      <c r="F3137">
        <f t="shared" si="197"/>
        <v>-2.1436633835989243</v>
      </c>
      <c r="G3137">
        <f t="shared" si="198"/>
        <v>-1.4453541493205604</v>
      </c>
      <c r="I3137">
        <f t="shared" si="196"/>
        <v>-1.7945087664597423</v>
      </c>
      <c r="J3137">
        <v>14</v>
      </c>
      <c r="K3137">
        <v>28</v>
      </c>
      <c r="L3137">
        <v>-1.4453541493205604</v>
      </c>
      <c r="M3137">
        <f t="shared" si="199"/>
        <v>-1.0948841489620791</v>
      </c>
      <c r="N3137">
        <v>-2.1436633835989243</v>
      </c>
    </row>
    <row r="3138" spans="1:14">
      <c r="A3138" t="s">
        <v>9</v>
      </c>
      <c r="B3138" s="2">
        <f t="shared" si="195"/>
        <v>151</v>
      </c>
      <c r="C3138">
        <v>281</v>
      </c>
      <c r="D3138">
        <v>8</v>
      </c>
      <c r="E3138">
        <v>5</v>
      </c>
      <c r="F3138">
        <f t="shared" si="197"/>
        <v>-1.4356186955653336</v>
      </c>
      <c r="G3138">
        <f t="shared" si="198"/>
        <v>-1.6104362249014703</v>
      </c>
      <c r="I3138">
        <f t="shared" si="196"/>
        <v>-1.523027460233402</v>
      </c>
      <c r="J3138">
        <v>5</v>
      </c>
      <c r="K3138">
        <v>8</v>
      </c>
      <c r="L3138">
        <v>-1.6104362249014703</v>
      </c>
      <c r="M3138">
        <f t="shared" si="199"/>
        <v>-1.3568762375510457</v>
      </c>
      <c r="N3138">
        <v>-1.4356186955653336</v>
      </c>
    </row>
    <row r="3139" spans="1:14">
      <c r="A3139" t="s">
        <v>13</v>
      </c>
      <c r="B3139" s="2">
        <f t="shared" ref="B3139:B3202" si="200">1+INT((ROW()-2)/21)+1</f>
        <v>151</v>
      </c>
      <c r="C3139">
        <v>681</v>
      </c>
      <c r="D3139">
        <v>5</v>
      </c>
      <c r="E3139">
        <v>458</v>
      </c>
      <c r="F3139">
        <f t="shared" si="197"/>
        <v>-2.0241794702289639</v>
      </c>
      <c r="G3139">
        <f t="shared" si="198"/>
        <v>-3.2981543241325184E-2</v>
      </c>
      <c r="I3139">
        <f t="shared" ref="I3139:I3202" si="201">AVERAGE(F3139:G3139)</f>
        <v>-1.0285805067351446</v>
      </c>
      <c r="J3139">
        <v>458</v>
      </c>
      <c r="K3139">
        <v>106</v>
      </c>
      <c r="L3139">
        <v>-3.2981543241325184E-2</v>
      </c>
      <c r="M3139">
        <f t="shared" si="199"/>
        <v>-0.61910115128592424</v>
      </c>
      <c r="N3139">
        <v>-2.0241794702289639</v>
      </c>
    </row>
    <row r="3140" spans="1:14">
      <c r="A3140" t="s">
        <v>14</v>
      </c>
      <c r="B3140" s="2">
        <f t="shared" si="200"/>
        <v>151</v>
      </c>
      <c r="C3140">
        <v>517</v>
      </c>
      <c r="D3140">
        <v>6</v>
      </c>
      <c r="E3140">
        <v>39</v>
      </c>
      <c r="F3140">
        <f t="shared" si="197"/>
        <v>-1.8253416553624962</v>
      </c>
      <c r="G3140">
        <f t="shared" si="198"/>
        <v>-0.98312584539985259</v>
      </c>
      <c r="I3140">
        <f t="shared" si="201"/>
        <v>-1.4042337503811744</v>
      </c>
      <c r="J3140">
        <v>39</v>
      </c>
      <c r="K3140">
        <v>16</v>
      </c>
      <c r="L3140">
        <v>-0.98312584539985259</v>
      </c>
      <c r="M3140">
        <f t="shared" si="199"/>
        <v>-1.3206304650759271</v>
      </c>
      <c r="N3140">
        <v>-1.8253416553624962</v>
      </c>
    </row>
    <row r="3141" spans="1:14">
      <c r="A3141" t="s">
        <v>15</v>
      </c>
      <c r="B3141" s="2">
        <f t="shared" si="200"/>
        <v>151</v>
      </c>
      <c r="C3141">
        <v>602</v>
      </c>
      <c r="D3141">
        <v>12</v>
      </c>
      <c r="E3141">
        <v>10</v>
      </c>
      <c r="F3141">
        <f t="shared" si="197"/>
        <v>-1.5904176078623971</v>
      </c>
      <c r="G3141">
        <f t="shared" si="198"/>
        <v>-1.6402964005902338</v>
      </c>
      <c r="I3141">
        <f t="shared" si="201"/>
        <v>-1.6153570042263155</v>
      </c>
      <c r="J3141">
        <v>10</v>
      </c>
      <c r="K3141">
        <v>18</v>
      </c>
      <c r="L3141">
        <v>-1.6402964005902338</v>
      </c>
      <c r="M3141">
        <f t="shared" si="199"/>
        <v>-1.3355838907924276</v>
      </c>
      <c r="N3141">
        <v>-1.5904176078623971</v>
      </c>
    </row>
    <row r="3142" spans="1:14">
      <c r="A3142" t="s">
        <v>16</v>
      </c>
      <c r="B3142" s="2">
        <f t="shared" si="200"/>
        <v>151</v>
      </c>
      <c r="C3142">
        <v>848</v>
      </c>
      <c r="D3142">
        <v>10</v>
      </c>
      <c r="E3142">
        <v>26</v>
      </c>
      <c r="F3142">
        <f t="shared" si="197"/>
        <v>-1.8183982149089111</v>
      </c>
      <c r="G3142">
        <f t="shared" si="198"/>
        <v>-1.374122413618305</v>
      </c>
      <c r="I3142">
        <f t="shared" si="201"/>
        <v>-1.596260314263608</v>
      </c>
      <c r="J3142">
        <v>26</v>
      </c>
      <c r="K3142">
        <v>28</v>
      </c>
      <c r="L3142">
        <v>-1.374122413618305</v>
      </c>
      <c r="M3142">
        <f t="shared" si="199"/>
        <v>-1.2924977255524039</v>
      </c>
      <c r="N3142">
        <v>-1.8183982149089111</v>
      </c>
    </row>
    <row r="3143" spans="1:14">
      <c r="A3143" t="s">
        <v>17</v>
      </c>
      <c r="B3143" s="2">
        <f t="shared" si="200"/>
        <v>151</v>
      </c>
      <c r="C3143">
        <v>828</v>
      </c>
      <c r="D3143">
        <v>32</v>
      </c>
      <c r="E3143">
        <v>1020</v>
      </c>
      <c r="F3143">
        <f t="shared" si="197"/>
        <v>-1.3028827211171716</v>
      </c>
      <c r="G3143">
        <f t="shared" si="198"/>
        <v>0.22986992564462816</v>
      </c>
      <c r="I3143">
        <f t="shared" si="201"/>
        <v>-0.53650639773627173</v>
      </c>
      <c r="J3143">
        <v>1020</v>
      </c>
      <c r="K3143">
        <v>1256</v>
      </c>
      <c r="L3143">
        <v>0.22986992564462816</v>
      </c>
      <c r="M3143">
        <f t="shared" si="199"/>
        <v>0.36969939797838791</v>
      </c>
      <c r="N3143">
        <v>-1.3028827211171716</v>
      </c>
    </row>
    <row r="3144" spans="1:14">
      <c r="A3144" t="s">
        <v>18</v>
      </c>
      <c r="B3144" s="2">
        <f t="shared" si="200"/>
        <v>151</v>
      </c>
      <c r="C3144">
        <v>726</v>
      </c>
      <c r="D3144">
        <v>28</v>
      </c>
      <c r="E3144">
        <v>95</v>
      </c>
      <c r="F3144">
        <f t="shared" si="197"/>
        <v>-1.3037809520100718</v>
      </c>
      <c r="G3144">
        <f t="shared" si="198"/>
        <v>-0.74391292474365522</v>
      </c>
      <c r="I3144">
        <f t="shared" si="201"/>
        <v>-1.0238469383768636</v>
      </c>
      <c r="J3144">
        <v>95</v>
      </c>
      <c r="K3144">
        <v>44</v>
      </c>
      <c r="L3144">
        <v>-0.74391292474365522</v>
      </c>
      <c r="M3144">
        <f t="shared" si="199"/>
        <v>-1.0287438488518155</v>
      </c>
      <c r="N3144">
        <v>-1.3037809520100718</v>
      </c>
    </row>
    <row r="3145" spans="1:14">
      <c r="A3145" t="s">
        <v>19</v>
      </c>
      <c r="B3145" s="2">
        <f t="shared" si="200"/>
        <v>151</v>
      </c>
      <c r="C3145">
        <v>905</v>
      </c>
      <c r="D3145">
        <v>21</v>
      </c>
      <c r="E3145">
        <v>1733</v>
      </c>
      <c r="F3145">
        <f t="shared" si="197"/>
        <v>-1.5244316471234813</v>
      </c>
      <c r="G3145">
        <f t="shared" si="198"/>
        <v>0.42145007417630442</v>
      </c>
      <c r="I3145">
        <f t="shared" si="201"/>
        <v>-0.55149078647358851</v>
      </c>
      <c r="J3145">
        <v>1733</v>
      </c>
      <c r="K3145">
        <v>1877</v>
      </c>
      <c r="L3145">
        <v>0.42145007417630442</v>
      </c>
      <c r="M3145">
        <f t="shared" si="199"/>
        <v>0.50555578877823371</v>
      </c>
      <c r="N3145">
        <v>-1.5244316471234813</v>
      </c>
    </row>
    <row r="3146" spans="1:14">
      <c r="A3146" t="s">
        <v>20</v>
      </c>
      <c r="B3146" s="2">
        <f t="shared" si="200"/>
        <v>151</v>
      </c>
      <c r="C3146">
        <v>614</v>
      </c>
      <c r="D3146">
        <v>5</v>
      </c>
      <c r="E3146">
        <v>75</v>
      </c>
      <c r="F3146">
        <f t="shared" si="197"/>
        <v>-1.9792007294573464</v>
      </c>
      <c r="G3146">
        <f t="shared" si="198"/>
        <v>-0.77380701708187694</v>
      </c>
      <c r="I3146">
        <f t="shared" si="201"/>
        <v>-1.3765038732696118</v>
      </c>
      <c r="J3146">
        <v>75</v>
      </c>
      <c r="K3146">
        <v>20</v>
      </c>
      <c r="L3146">
        <v>-0.77380701708187694</v>
      </c>
      <c r="M3146">
        <f t="shared" si="199"/>
        <v>-1.2983982801150957</v>
      </c>
      <c r="N3146">
        <v>-1.9792007294573464</v>
      </c>
    </row>
    <row r="3147" spans="1:14">
      <c r="A3147" t="s">
        <v>21</v>
      </c>
      <c r="B3147" s="2">
        <f t="shared" si="200"/>
        <v>151</v>
      </c>
      <c r="C3147">
        <v>490</v>
      </c>
      <c r="D3147">
        <v>5</v>
      </c>
      <c r="E3147">
        <v>146</v>
      </c>
      <c r="F3147">
        <f t="shared" si="197"/>
        <v>-1.8812284383446922</v>
      </c>
      <c r="G3147">
        <f t="shared" si="198"/>
        <v>-0.38654313357648584</v>
      </c>
      <c r="I3147">
        <f t="shared" si="201"/>
        <v>-1.1338857859605891</v>
      </c>
      <c r="J3147">
        <v>146</v>
      </c>
      <c r="K3147">
        <v>151</v>
      </c>
      <c r="L3147">
        <v>-0.38654313357648584</v>
      </c>
      <c r="M3147">
        <f t="shared" si="199"/>
        <v>-0.32247903737325356</v>
      </c>
      <c r="N3147">
        <v>-1.8812284383446922</v>
      </c>
    </row>
    <row r="3148" spans="1:14">
      <c r="A3148" t="s">
        <v>22</v>
      </c>
      <c r="B3148" s="2">
        <f t="shared" si="200"/>
        <v>151</v>
      </c>
      <c r="C3148">
        <v>760</v>
      </c>
      <c r="D3148">
        <v>4</v>
      </c>
      <c r="E3148">
        <v>199</v>
      </c>
      <c r="F3148">
        <f t="shared" si="197"/>
        <v>-2.1687559636050264</v>
      </c>
      <c r="G3148">
        <f t="shared" si="198"/>
        <v>-0.44266042520349402</v>
      </c>
      <c r="I3148">
        <f t="shared" si="201"/>
        <v>-1.3057081944042603</v>
      </c>
      <c r="J3148">
        <v>199</v>
      </c>
      <c r="K3148">
        <v>260</v>
      </c>
      <c r="L3148">
        <v>-0.44266042520349402</v>
      </c>
      <c r="M3148">
        <f t="shared" si="199"/>
        <v>-0.27710014894788271</v>
      </c>
      <c r="N3148">
        <v>-2.1687559636050264</v>
      </c>
    </row>
    <row r="3149" spans="1:14">
      <c r="A3149" t="s">
        <v>23</v>
      </c>
      <c r="B3149" s="2">
        <f t="shared" si="200"/>
        <v>151</v>
      </c>
      <c r="C3149">
        <v>349</v>
      </c>
      <c r="D3149">
        <v>1</v>
      </c>
      <c r="E3149">
        <v>12</v>
      </c>
      <c r="F3149">
        <f t="shared" si="197"/>
        <v>-2.4328277896113777</v>
      </c>
      <c r="G3149">
        <f t="shared" si="198"/>
        <v>-1.3243440902439643</v>
      </c>
      <c r="I3149">
        <f t="shared" si="201"/>
        <v>-1.878585939927671</v>
      </c>
      <c r="J3149">
        <v>12</v>
      </c>
      <c r="K3149">
        <v>26</v>
      </c>
      <c r="L3149">
        <v>-1.3243440902439643</v>
      </c>
      <c r="M3149">
        <f t="shared" si="199"/>
        <v>-0.93911198362627124</v>
      </c>
      <c r="N3149">
        <v>-2.4328277896113777</v>
      </c>
    </row>
    <row r="3150" spans="1:14">
      <c r="A3150" t="s">
        <v>24</v>
      </c>
      <c r="B3150" s="2">
        <f t="shared" si="200"/>
        <v>151</v>
      </c>
      <c r="C3150">
        <v>814</v>
      </c>
      <c r="D3150">
        <v>11</v>
      </c>
      <c r="E3150">
        <v>148</v>
      </c>
      <c r="F3150">
        <f t="shared" si="197"/>
        <v>-1.7592340823831736</v>
      </c>
      <c r="G3150">
        <f t="shared" si="198"/>
        <v>-0.60106259882665314</v>
      </c>
      <c r="I3150">
        <f t="shared" si="201"/>
        <v>-1.1801483406049134</v>
      </c>
      <c r="J3150">
        <v>148</v>
      </c>
      <c r="K3150">
        <v>54</v>
      </c>
      <c r="L3150">
        <v>-0.60106259882665314</v>
      </c>
      <c r="M3150">
        <f t="shared" si="199"/>
        <v>-0.98949054970414207</v>
      </c>
      <c r="N3150">
        <v>-1.7592340823831736</v>
      </c>
    </row>
    <row r="3151" spans="1:14">
      <c r="A3151" t="s">
        <v>25</v>
      </c>
      <c r="B3151" s="2">
        <f t="shared" si="200"/>
        <v>151</v>
      </c>
      <c r="C3151">
        <v>482</v>
      </c>
      <c r="D3151">
        <v>3</v>
      </c>
      <c r="E3151">
        <v>8</v>
      </c>
      <c r="F3151">
        <f t="shared" si="197"/>
        <v>-2.0959281461713846</v>
      </c>
      <c r="G3151">
        <f t="shared" si="198"/>
        <v>-1.6406569605793153</v>
      </c>
      <c r="I3151">
        <f t="shared" si="201"/>
        <v>-1.8682925533753498</v>
      </c>
      <c r="J3151">
        <v>8</v>
      </c>
      <c r="K3151">
        <v>11</v>
      </c>
      <c r="L3151">
        <v>-1.6406569605793153</v>
      </c>
      <c r="M3151">
        <f t="shared" si="199"/>
        <v>-1.4529142577185339</v>
      </c>
      <c r="N3151">
        <v>-2.0959281461713846</v>
      </c>
    </row>
    <row r="3152" spans="1:14">
      <c r="A3152" t="s">
        <v>7</v>
      </c>
      <c r="B3152" s="2">
        <f t="shared" si="200"/>
        <v>152</v>
      </c>
      <c r="C3152">
        <v>1777</v>
      </c>
      <c r="D3152">
        <v>18</v>
      </c>
      <c r="E3152">
        <v>107</v>
      </c>
      <c r="F3152">
        <f t="shared" si="197"/>
        <v>-1.8844172853541927</v>
      </c>
      <c r="G3152">
        <f t="shared" si="198"/>
        <v>-1.0810035594525012</v>
      </c>
      <c r="I3152">
        <f t="shared" si="201"/>
        <v>-1.4827104224033469</v>
      </c>
      <c r="J3152">
        <v>107</v>
      </c>
      <c r="K3152">
        <v>35</v>
      </c>
      <c r="L3152">
        <v>-1.0810035594525012</v>
      </c>
      <c r="M3152">
        <f t="shared" si="199"/>
        <v>-1.5168792880929352</v>
      </c>
      <c r="N3152">
        <v>-1.8844172853541927</v>
      </c>
    </row>
    <row r="3153" spans="1:14">
      <c r="A3153" t="s">
        <v>8</v>
      </c>
      <c r="B3153" s="2">
        <f t="shared" si="200"/>
        <v>152</v>
      </c>
      <c r="C3153">
        <v>531</v>
      </c>
      <c r="D3153">
        <v>4</v>
      </c>
      <c r="E3153">
        <v>31</v>
      </c>
      <c r="F3153">
        <f t="shared" si="197"/>
        <v>-2.013036892405704</v>
      </c>
      <c r="G3153">
        <f t="shared" si="198"/>
        <v>-1.0944327365796056</v>
      </c>
      <c r="I3153">
        <f t="shared" si="201"/>
        <v>-1.5537348144926548</v>
      </c>
      <c r="J3153">
        <v>31</v>
      </c>
      <c r="K3153">
        <v>53</v>
      </c>
      <c r="L3153">
        <v>-1.0944327365796056</v>
      </c>
      <c r="M3153">
        <f t="shared" si="199"/>
        <v>-0.81207855611858937</v>
      </c>
      <c r="N3153">
        <v>-2.013036892405704</v>
      </c>
    </row>
    <row r="3154" spans="1:14">
      <c r="A3154" t="s">
        <v>5</v>
      </c>
      <c r="B3154" s="2">
        <f t="shared" si="200"/>
        <v>152</v>
      </c>
      <c r="C3154">
        <v>983</v>
      </c>
      <c r="D3154">
        <v>10</v>
      </c>
      <c r="E3154">
        <v>27</v>
      </c>
      <c r="F3154">
        <f t="shared" si="197"/>
        <v>-1.882555880484333</v>
      </c>
      <c r="G3154">
        <f t="shared" si="198"/>
        <v>-1.4218896630055575</v>
      </c>
      <c r="I3154">
        <f t="shared" si="201"/>
        <v>-1.6522227717449454</v>
      </c>
      <c r="J3154">
        <v>27</v>
      </c>
      <c r="K3154">
        <v>2025</v>
      </c>
      <c r="L3154">
        <v>-1.4218896630055575</v>
      </c>
      <c r="M3154">
        <f t="shared" si="199"/>
        <v>0.5026116050806424</v>
      </c>
      <c r="N3154">
        <v>-1.882555880484333</v>
      </c>
    </row>
    <row r="3155" spans="1:14">
      <c r="A3155" t="s">
        <v>6</v>
      </c>
      <c r="B3155" s="2">
        <f t="shared" si="200"/>
        <v>152</v>
      </c>
      <c r="C3155">
        <v>1292</v>
      </c>
      <c r="D3155">
        <v>18</v>
      </c>
      <c r="E3155">
        <v>59</v>
      </c>
      <c r="F3155">
        <f t="shared" ref="F3155:F3218" si="202">LOG10(D3155/C3155)-LOG10(128208/165163)</f>
        <v>-1.7459923712079566</v>
      </c>
      <c r="G3155">
        <f t="shared" ref="G3155:G3218" si="203">LOG10(E3155/C3155)-LOG10(119843/165163)</f>
        <v>-1.2011104113493303</v>
      </c>
      <c r="I3155">
        <f t="shared" si="201"/>
        <v>-1.4735513912786433</v>
      </c>
      <c r="J3155">
        <v>59</v>
      </c>
      <c r="K3155">
        <v>48</v>
      </c>
      <c r="L3155">
        <v>-1.2011104113493303</v>
      </c>
      <c r="M3155">
        <f t="shared" ref="M3155:M3218" si="204">LOG10(K3155/C3155)-LOG10(106948/165163)</f>
        <v>-1.2412811809213875</v>
      </c>
      <c r="N3155">
        <v>-1.7459923712079566</v>
      </c>
    </row>
    <row r="3156" spans="1:14">
      <c r="A3156" t="s">
        <v>10</v>
      </c>
      <c r="B3156" s="2">
        <f t="shared" si="200"/>
        <v>152</v>
      </c>
      <c r="C3156">
        <v>1135</v>
      </c>
      <c r="D3156">
        <v>6</v>
      </c>
      <c r="E3156">
        <v>79</v>
      </c>
      <c r="F3156">
        <f t="shared" si="202"/>
        <v>-2.1668469737976954</v>
      </c>
      <c r="G3156">
        <f t="shared" si="203"/>
        <v>-1.0180686795711094</v>
      </c>
      <c r="I3156">
        <f t="shared" si="201"/>
        <v>-1.5924578266844023</v>
      </c>
      <c r="J3156">
        <v>79</v>
      </c>
      <c r="K3156">
        <v>33</v>
      </c>
      <c r="L3156">
        <v>-1.0180686795711094</v>
      </c>
      <c r="M3156">
        <f t="shared" si="204"/>
        <v>-1.3477418262891634</v>
      </c>
      <c r="N3156">
        <v>-2.1668469737976954</v>
      </c>
    </row>
    <row r="3157" spans="1:14">
      <c r="A3157" t="s">
        <v>11</v>
      </c>
      <c r="B3157" s="2">
        <f t="shared" si="200"/>
        <v>152</v>
      </c>
      <c r="C3157">
        <v>417</v>
      </c>
      <c r="D3157">
        <v>1</v>
      </c>
      <c r="E3157">
        <v>10</v>
      </c>
      <c r="F3157">
        <f t="shared" si="202"/>
        <v>-2.5101384176259551</v>
      </c>
      <c r="G3157">
        <f t="shared" si="203"/>
        <v>-1.4808359643061668</v>
      </c>
      <c r="I3157">
        <f t="shared" si="201"/>
        <v>-1.995487190966061</v>
      </c>
      <c r="J3157">
        <v>10</v>
      </c>
      <c r="K3157">
        <v>9</v>
      </c>
      <c r="L3157">
        <v>-1.4808359643061668</v>
      </c>
      <c r="M3157">
        <f t="shared" si="204"/>
        <v>-1.477153450172342</v>
      </c>
      <c r="N3157">
        <v>-2.5101384176259551</v>
      </c>
    </row>
    <row r="3158" spans="1:14">
      <c r="A3158" t="s">
        <v>12</v>
      </c>
      <c r="B3158" s="2">
        <f t="shared" si="200"/>
        <v>152</v>
      </c>
      <c r="C3158">
        <v>867</v>
      </c>
      <c r="D3158">
        <v>3</v>
      </c>
      <c r="E3158">
        <v>49</v>
      </c>
      <c r="F3158">
        <f t="shared" si="202"/>
        <v>-2.3509002054087453</v>
      </c>
      <c r="G3158">
        <f t="shared" si="203"/>
        <v>-1.1085229267801058</v>
      </c>
      <c r="I3158">
        <f t="shared" si="201"/>
        <v>-1.7297115660944256</v>
      </c>
      <c r="J3158">
        <v>49</v>
      </c>
      <c r="K3158">
        <v>30</v>
      </c>
      <c r="L3158">
        <v>-1.1085229267801058</v>
      </c>
      <c r="M3158">
        <f t="shared" si="204"/>
        <v>-1.272157747394457</v>
      </c>
      <c r="N3158">
        <v>-2.3509002054087453</v>
      </c>
    </row>
    <row r="3159" spans="1:14">
      <c r="A3159" t="s">
        <v>9</v>
      </c>
      <c r="B3159" s="2">
        <f t="shared" si="200"/>
        <v>152</v>
      </c>
      <c r="C3159">
        <v>567</v>
      </c>
      <c r="D3159">
        <v>3</v>
      </c>
      <c r="E3159">
        <v>16</v>
      </c>
      <c r="F3159">
        <f t="shared" si="202"/>
        <v>-2.1664641668254419</v>
      </c>
      <c r="G3159">
        <f t="shared" si="203"/>
        <v>-1.4101629855693911</v>
      </c>
      <c r="I3159">
        <f t="shared" si="201"/>
        <v>-1.7883135761974165</v>
      </c>
      <c r="J3159">
        <v>16</v>
      </c>
      <c r="K3159">
        <v>15</v>
      </c>
      <c r="L3159">
        <v>-1.4101629855693911</v>
      </c>
      <c r="M3159">
        <f t="shared" si="204"/>
        <v>-1.3887517044751347</v>
      </c>
      <c r="N3159">
        <v>-2.1664641668254419</v>
      </c>
    </row>
    <row r="3160" spans="1:14">
      <c r="A3160" t="s">
        <v>13</v>
      </c>
      <c r="B3160" s="2">
        <f t="shared" si="200"/>
        <v>152</v>
      </c>
      <c r="C3160">
        <v>605</v>
      </c>
      <c r="D3160">
        <v>6</v>
      </c>
      <c r="E3160">
        <v>8</v>
      </c>
      <c r="F3160">
        <f t="shared" si="202"/>
        <v>-1.8936064869210225</v>
      </c>
      <c r="G3160">
        <f t="shared" si="203"/>
        <v>-1.7393652969929345</v>
      </c>
      <c r="I3160">
        <f t="shared" si="201"/>
        <v>-1.8164858919569786</v>
      </c>
      <c r="J3160">
        <v>8</v>
      </c>
      <c r="K3160">
        <v>14</v>
      </c>
      <c r="L3160">
        <v>-1.7393652969929345</v>
      </c>
      <c r="M3160">
        <f t="shared" si="204"/>
        <v>-1.4468872436121401</v>
      </c>
      <c r="N3160">
        <v>-1.8936064869210225</v>
      </c>
    </row>
    <row r="3161" spans="1:14">
      <c r="A3161" t="s">
        <v>14</v>
      </c>
      <c r="B3161" s="2">
        <f t="shared" si="200"/>
        <v>152</v>
      </c>
      <c r="C3161">
        <v>666</v>
      </c>
      <c r="D3161">
        <v>8</v>
      </c>
      <c r="E3161">
        <v>2</v>
      </c>
      <c r="F3161">
        <f t="shared" si="202"/>
        <v>-1.8103866048305548</v>
      </c>
      <c r="G3161">
        <f t="shared" si="203"/>
        <v>-2.383144142838729</v>
      </c>
      <c r="I3161">
        <f t="shared" si="201"/>
        <v>-2.0967653738346419</v>
      </c>
      <c r="J3161">
        <v>2</v>
      </c>
      <c r="K3161">
        <v>9</v>
      </c>
      <c r="L3161">
        <v>-2.383144142838729</v>
      </c>
      <c r="M3161">
        <f t="shared" si="204"/>
        <v>-1.6804916243688854</v>
      </c>
      <c r="N3161">
        <v>-1.8103866048305548</v>
      </c>
    </row>
    <row r="3162" spans="1:14">
      <c r="A3162" t="s">
        <v>15</v>
      </c>
      <c r="B3162" s="2">
        <f t="shared" si="200"/>
        <v>152</v>
      </c>
      <c r="C3162">
        <v>725</v>
      </c>
      <c r="D3162">
        <v>7</v>
      </c>
      <c r="E3162">
        <v>24</v>
      </c>
      <c r="F3162">
        <f t="shared" si="202"/>
        <v>-1.905242329208934</v>
      </c>
      <c r="G3162">
        <f t="shared" si="203"/>
        <v>-1.3408266741917969</v>
      </c>
      <c r="I3162">
        <f t="shared" si="201"/>
        <v>-1.6230345017003653</v>
      </c>
      <c r="J3162">
        <v>24</v>
      </c>
      <c r="K3162">
        <v>14</v>
      </c>
      <c r="L3162">
        <v>-1.3408266741917969</v>
      </c>
      <c r="M3162">
        <f t="shared" si="204"/>
        <v>-1.525469875530665</v>
      </c>
      <c r="N3162">
        <v>-1.905242329208934</v>
      </c>
    </row>
    <row r="3163" spans="1:14">
      <c r="A3163" t="s">
        <v>16</v>
      </c>
      <c r="B3163" s="2">
        <f t="shared" si="200"/>
        <v>152</v>
      </c>
      <c r="C3163">
        <v>661</v>
      </c>
      <c r="D3163">
        <v>2</v>
      </c>
      <c r="E3163">
        <v>19</v>
      </c>
      <c r="F3163">
        <f t="shared" si="202"/>
        <v>-2.4091738264738565</v>
      </c>
      <c r="G3163">
        <f t="shared" si="203"/>
        <v>-1.4021477678652206</v>
      </c>
      <c r="I3163">
        <f t="shared" si="201"/>
        <v>-1.9056607971695385</v>
      </c>
      <c r="J3163">
        <v>19</v>
      </c>
      <c r="K3163">
        <v>39</v>
      </c>
      <c r="L3163">
        <v>-1.4021477678652206</v>
      </c>
      <c r="M3163">
        <f t="shared" si="204"/>
        <v>-1.0403967570970503</v>
      </c>
      <c r="N3163">
        <v>-2.4091738264738565</v>
      </c>
    </row>
    <row r="3164" spans="1:14">
      <c r="A3164" t="s">
        <v>17</v>
      </c>
      <c r="B3164" s="2">
        <f t="shared" si="200"/>
        <v>152</v>
      </c>
      <c r="C3164">
        <v>510</v>
      </c>
      <c r="D3164">
        <v>9</v>
      </c>
      <c r="E3164">
        <v>26</v>
      </c>
      <c r="F3164">
        <f t="shared" si="202"/>
        <v>-1.6433300293108088</v>
      </c>
      <c r="G3164">
        <f t="shared" si="203"/>
        <v>-1.1532967374595278</v>
      </c>
      <c r="I3164">
        <f t="shared" si="201"/>
        <v>-1.3983133833851684</v>
      </c>
      <c r="J3164">
        <v>26</v>
      </c>
      <c r="K3164">
        <v>23</v>
      </c>
      <c r="L3164">
        <v>-1.1532967374595278</v>
      </c>
      <c r="M3164">
        <f t="shared" si="204"/>
        <v>-1.1571022447182528</v>
      </c>
      <c r="N3164">
        <v>-1.6433300293108088</v>
      </c>
    </row>
    <row r="3165" spans="1:14">
      <c r="A3165" t="s">
        <v>18</v>
      </c>
      <c r="B3165" s="2">
        <f t="shared" si="200"/>
        <v>152</v>
      </c>
      <c r="C3165">
        <v>98</v>
      </c>
      <c r="D3165">
        <v>86</v>
      </c>
      <c r="E3165">
        <v>81</v>
      </c>
      <c r="F3165">
        <f t="shared" si="202"/>
        <v>5.3270012898875493E-2</v>
      </c>
      <c r="G3165">
        <f t="shared" si="203"/>
        <v>5.655903385374568E-2</v>
      </c>
      <c r="I3165">
        <f t="shared" si="201"/>
        <v>5.4914523376310587E-2</v>
      </c>
      <c r="J3165">
        <v>81</v>
      </c>
      <c r="K3165">
        <v>76</v>
      </c>
      <c r="L3165">
        <v>5.655903385374568E-2</v>
      </c>
      <c r="M3165">
        <f t="shared" si="204"/>
        <v>7.8327611950387163E-2</v>
      </c>
      <c r="N3165">
        <v>5.3270012898875493E-2</v>
      </c>
    </row>
    <row r="3166" spans="1:14">
      <c r="A3166" t="s">
        <v>19</v>
      </c>
      <c r="B3166" s="2">
        <f t="shared" si="200"/>
        <v>152</v>
      </c>
      <c r="C3166">
        <v>1883</v>
      </c>
      <c r="D3166">
        <v>20</v>
      </c>
      <c r="E3166">
        <v>117</v>
      </c>
      <c r="F3166">
        <f t="shared" si="202"/>
        <v>-1.8638226870048809</v>
      </c>
      <c r="G3166">
        <f t="shared" si="203"/>
        <v>-1.0673643676029123</v>
      </c>
      <c r="I3166">
        <f t="shared" si="201"/>
        <v>-1.4655935273038967</v>
      </c>
      <c r="J3166">
        <v>117</v>
      </c>
      <c r="K3166">
        <v>72</v>
      </c>
      <c r="L3166">
        <v>-1.0673643676029123</v>
      </c>
      <c r="M3166">
        <f t="shared" si="204"/>
        <v>-1.2287777282233057</v>
      </c>
      <c r="N3166">
        <v>-1.8638226870048809</v>
      </c>
    </row>
    <row r="3167" spans="1:14">
      <c r="A3167" t="s">
        <v>20</v>
      </c>
      <c r="B3167" s="2">
        <f t="shared" si="200"/>
        <v>152</v>
      </c>
      <c r="C3167">
        <v>1814</v>
      </c>
      <c r="D3167">
        <v>17</v>
      </c>
      <c r="E3167">
        <v>336</v>
      </c>
      <c r="F3167">
        <f t="shared" si="202"/>
        <v>-1.9181907239980001</v>
      </c>
      <c r="G3167">
        <f t="shared" si="203"/>
        <v>-0.59299791466664165</v>
      </c>
      <c r="I3167">
        <f t="shared" si="201"/>
        <v>-1.2555943193323209</v>
      </c>
      <c r="J3167">
        <v>336</v>
      </c>
      <c r="K3167">
        <v>219</v>
      </c>
      <c r="L3167">
        <v>-0.59299791466664165</v>
      </c>
      <c r="M3167">
        <f t="shared" si="204"/>
        <v>-0.72945307252186742</v>
      </c>
      <c r="N3167">
        <v>-1.9181907239980001</v>
      </c>
    </row>
    <row r="3168" spans="1:14">
      <c r="A3168" t="s">
        <v>21</v>
      </c>
      <c r="B3168" s="2">
        <f t="shared" si="200"/>
        <v>152</v>
      </c>
      <c r="C3168">
        <v>1270</v>
      </c>
      <c r="D3168">
        <v>11</v>
      </c>
      <c r="E3168">
        <v>200</v>
      </c>
      <c r="F3168">
        <f t="shared" si="202"/>
        <v>-1.9524133984499292</v>
      </c>
      <c r="G3168">
        <f t="shared" si="203"/>
        <v>-0.66347363462438491</v>
      </c>
      <c r="I3168">
        <f t="shared" si="201"/>
        <v>-1.3079435165371571</v>
      </c>
      <c r="J3168">
        <v>200</v>
      </c>
      <c r="K3168">
        <v>110</v>
      </c>
      <c r="L3168">
        <v>-0.66347363462438491</v>
      </c>
      <c r="M3168">
        <f t="shared" si="204"/>
        <v>-0.8736709404356412</v>
      </c>
      <c r="N3168">
        <v>-1.9524133984499292</v>
      </c>
    </row>
    <row r="3169" spans="1:14">
      <c r="A3169" t="s">
        <v>22</v>
      </c>
      <c r="B3169" s="2">
        <f t="shared" si="200"/>
        <v>152</v>
      </c>
      <c r="C3169">
        <v>387</v>
      </c>
      <c r="D3169">
        <v>36</v>
      </c>
      <c r="E3169">
        <v>17</v>
      </c>
      <c r="F3169">
        <f t="shared" si="202"/>
        <v>-0.92141082690382148</v>
      </c>
      <c r="G3169">
        <f t="shared" si="203"/>
        <v>-1.2179619529730468</v>
      </c>
      <c r="I3169">
        <f t="shared" si="201"/>
        <v>-1.0696863899384341</v>
      </c>
      <c r="J3169">
        <v>17</v>
      </c>
      <c r="K3169">
        <v>36</v>
      </c>
      <c r="L3169">
        <v>-1.2179619529730468</v>
      </c>
      <c r="M3169">
        <f t="shared" si="204"/>
        <v>-0.84266836888953345</v>
      </c>
      <c r="N3169">
        <v>-0.92141082690382148</v>
      </c>
    </row>
    <row r="3170" spans="1:14">
      <c r="A3170" t="s">
        <v>23</v>
      </c>
      <c r="B3170" s="2">
        <f t="shared" si="200"/>
        <v>152</v>
      </c>
      <c r="C3170">
        <v>1039</v>
      </c>
      <c r="D3170">
        <v>27</v>
      </c>
      <c r="E3170">
        <v>50</v>
      </c>
      <c r="F3170">
        <f t="shared" si="202"/>
        <v>-1.4752541460503874</v>
      </c>
      <c r="G3170">
        <f t="shared" si="203"/>
        <v>-1.1783454525535679</v>
      </c>
      <c r="I3170">
        <f t="shared" si="201"/>
        <v>-1.3267997993019778</v>
      </c>
      <c r="J3170">
        <v>50</v>
      </c>
      <c r="K3170">
        <v>14</v>
      </c>
      <c r="L3170">
        <v>-1.1783454525535679</v>
      </c>
      <c r="M3170">
        <f t="shared" si="204"/>
        <v>-1.6817474165168487</v>
      </c>
      <c r="N3170">
        <v>-1.4752541460503874</v>
      </c>
    </row>
    <row r="3171" spans="1:14">
      <c r="A3171" t="s">
        <v>24</v>
      </c>
      <c r="B3171" s="2">
        <f t="shared" si="200"/>
        <v>152</v>
      </c>
      <c r="C3171">
        <v>3624</v>
      </c>
      <c r="D3171">
        <v>1140</v>
      </c>
      <c r="E3171">
        <v>1645</v>
      </c>
      <c r="F3171">
        <f t="shared" si="202"/>
        <v>-0.39228570032050025</v>
      </c>
      <c r="G3171">
        <f t="shared" si="203"/>
        <v>-0.20372219605119155</v>
      </c>
      <c r="I3171">
        <f t="shared" si="201"/>
        <v>-0.29800394818584591</v>
      </c>
      <c r="J3171">
        <v>1645</v>
      </c>
      <c r="K3171">
        <v>941</v>
      </c>
      <c r="L3171">
        <v>-0.20372219605119155</v>
      </c>
      <c r="M3171">
        <f t="shared" si="204"/>
        <v>-0.39685847021542786</v>
      </c>
      <c r="N3171">
        <v>-0.39228570032050025</v>
      </c>
    </row>
    <row r="3172" spans="1:14">
      <c r="A3172" t="s">
        <v>25</v>
      </c>
      <c r="B3172" s="2">
        <f t="shared" si="200"/>
        <v>152</v>
      </c>
      <c r="C3172">
        <v>697</v>
      </c>
      <c r="D3172">
        <v>24</v>
      </c>
      <c r="E3172">
        <v>1154</v>
      </c>
      <c r="F3172">
        <f t="shared" si="202"/>
        <v>-1.3530238990386008</v>
      </c>
      <c r="G3172">
        <f t="shared" si="203"/>
        <v>0.35827312138929401</v>
      </c>
      <c r="I3172">
        <f t="shared" si="201"/>
        <v>-0.49737538882465337</v>
      </c>
      <c r="J3172">
        <v>1154</v>
      </c>
      <c r="K3172">
        <v>23</v>
      </c>
      <c r="L3172">
        <v>0.35827312138929401</v>
      </c>
      <c r="M3172">
        <f t="shared" si="204"/>
        <v>-1.2927648467183257</v>
      </c>
      <c r="N3172">
        <v>-1.3530238990386008</v>
      </c>
    </row>
    <row r="3173" spans="1:14">
      <c r="A3173" t="s">
        <v>7</v>
      </c>
      <c r="B3173" s="2">
        <f t="shared" si="200"/>
        <v>153</v>
      </c>
      <c r="C3173">
        <v>1514</v>
      </c>
      <c r="D3173">
        <v>19</v>
      </c>
      <c r="E3173">
        <v>1468</v>
      </c>
      <c r="F3173">
        <f t="shared" si="202"/>
        <v>-1.7913746368634222</v>
      </c>
      <c r="G3173">
        <f t="shared" si="203"/>
        <v>0.12590027108358856</v>
      </c>
      <c r="I3173">
        <f t="shared" si="201"/>
        <v>-0.83273718288991683</v>
      </c>
      <c r="J3173">
        <v>1468</v>
      </c>
      <c r="K3173">
        <v>1334</v>
      </c>
      <c r="L3173">
        <v>0.12590027108358856</v>
      </c>
      <c r="M3173">
        <f t="shared" si="204"/>
        <v>0.13377004977856688</v>
      </c>
      <c r="N3173">
        <v>-1.7913746368634222</v>
      </c>
    </row>
    <row r="3174" spans="1:14">
      <c r="A3174" t="s">
        <v>8</v>
      </c>
      <c r="B3174" s="2">
        <f t="shared" si="200"/>
        <v>153</v>
      </c>
      <c r="C3174">
        <v>2205</v>
      </c>
      <c r="D3174">
        <v>18</v>
      </c>
      <c r="E3174">
        <v>112</v>
      </c>
      <c r="F3174">
        <f t="shared" si="202"/>
        <v>-1.9781384513527487</v>
      </c>
      <c r="G3174">
        <f t="shared" si="203"/>
        <v>-1.1548904804660849</v>
      </c>
      <c r="I3174">
        <f t="shared" si="201"/>
        <v>-1.5665144659094168</v>
      </c>
      <c r="J3174">
        <v>112</v>
      </c>
      <c r="K3174">
        <v>465</v>
      </c>
      <c r="L3174">
        <v>-1.1548904804660849</v>
      </c>
      <c r="M3174">
        <f t="shared" si="204"/>
        <v>-0.48721554555181268</v>
      </c>
      <c r="N3174">
        <v>-1.9781384513527487</v>
      </c>
    </row>
    <row r="3175" spans="1:14">
      <c r="A3175" t="s">
        <v>5</v>
      </c>
      <c r="B3175" s="2">
        <f t="shared" si="200"/>
        <v>153</v>
      </c>
      <c r="C3175">
        <v>2525</v>
      </c>
      <c r="D3175">
        <v>33</v>
      </c>
      <c r="E3175">
        <v>5920</v>
      </c>
      <c r="F3175">
        <f t="shared" si="202"/>
        <v>-1.7737498052289902</v>
      </c>
      <c r="G3175">
        <f t="shared" si="203"/>
        <v>0.5093604149358304</v>
      </c>
      <c r="I3175">
        <f t="shared" si="201"/>
        <v>-0.63219469514657989</v>
      </c>
      <c r="J3175">
        <v>5920</v>
      </c>
      <c r="K3175">
        <v>1021</v>
      </c>
      <c r="L3175">
        <v>0.5093604149358304</v>
      </c>
      <c r="M3175">
        <f t="shared" si="204"/>
        <v>-0.20449554500567924</v>
      </c>
      <c r="N3175">
        <v>-1.7737498052289902</v>
      </c>
    </row>
    <row r="3176" spans="1:14">
      <c r="A3176" t="s">
        <v>6</v>
      </c>
      <c r="B3176" s="2">
        <f t="shared" si="200"/>
        <v>153</v>
      </c>
      <c r="C3176">
        <v>165163</v>
      </c>
      <c r="D3176">
        <v>128208</v>
      </c>
      <c r="E3176">
        <v>119843</v>
      </c>
      <c r="F3176">
        <f t="shared" si="202"/>
        <v>0</v>
      </c>
      <c r="G3176">
        <f t="shared" si="203"/>
        <v>0</v>
      </c>
      <c r="I3176">
        <f t="shared" si="201"/>
        <v>0</v>
      </c>
      <c r="J3176">
        <v>119843</v>
      </c>
      <c r="K3176">
        <v>106948</v>
      </c>
      <c r="L3176">
        <v>0</v>
      </c>
      <c r="M3176">
        <f t="shared" si="204"/>
        <v>0</v>
      </c>
      <c r="N3176">
        <v>0</v>
      </c>
    </row>
    <row r="3177" spans="1:14">
      <c r="A3177" t="s">
        <v>10</v>
      </c>
      <c r="B3177" s="2">
        <f t="shared" si="200"/>
        <v>153</v>
      </c>
      <c r="C3177">
        <v>562</v>
      </c>
      <c r="D3177">
        <v>65</v>
      </c>
      <c r="E3177">
        <v>152</v>
      </c>
      <c r="F3177">
        <f t="shared" si="202"/>
        <v>-0.82682532157840283</v>
      </c>
      <c r="G3177">
        <f t="shared" si="203"/>
        <v>-0.4285926369566978</v>
      </c>
      <c r="I3177">
        <f t="shared" si="201"/>
        <v>-0.62770897926755032</v>
      </c>
      <c r="J3177">
        <v>152</v>
      </c>
      <c r="K3177">
        <v>177</v>
      </c>
      <c r="L3177">
        <v>-0.4285926369566978</v>
      </c>
      <c r="M3177">
        <f t="shared" si="204"/>
        <v>-0.31302295384516376</v>
      </c>
      <c r="N3177">
        <v>-0.82682532157840283</v>
      </c>
    </row>
    <row r="3178" spans="1:14">
      <c r="A3178" t="s">
        <v>11</v>
      </c>
      <c r="B3178" s="2">
        <f t="shared" si="200"/>
        <v>153</v>
      </c>
      <c r="C3178">
        <v>1860</v>
      </c>
      <c r="D3178">
        <v>16</v>
      </c>
      <c r="E3178">
        <v>890</v>
      </c>
      <c r="F3178">
        <f t="shared" si="202"/>
        <v>-1.9553953242141888</v>
      </c>
      <c r="G3178">
        <f t="shared" si="203"/>
        <v>-0.18082284690541275</v>
      </c>
      <c r="I3178">
        <f t="shared" si="201"/>
        <v>-1.0681090855598008</v>
      </c>
      <c r="J3178">
        <v>890</v>
      </c>
      <c r="K3178">
        <v>389</v>
      </c>
      <c r="L3178">
        <v>-0.18082284690541275</v>
      </c>
      <c r="M3178">
        <f t="shared" si="204"/>
        <v>-0.49082324753011786</v>
      </c>
      <c r="N3178">
        <v>-1.9553953242141888</v>
      </c>
    </row>
    <row r="3179" spans="1:14">
      <c r="A3179" t="s">
        <v>12</v>
      </c>
      <c r="B3179" s="2">
        <f t="shared" si="200"/>
        <v>153</v>
      </c>
      <c r="C3179">
        <v>955</v>
      </c>
      <c r="D3179">
        <v>15</v>
      </c>
      <c r="E3179">
        <v>627</v>
      </c>
      <c r="F3179">
        <f t="shared" si="202"/>
        <v>-1.6939144751802624</v>
      </c>
      <c r="G3179">
        <f t="shared" si="203"/>
        <v>-4.3435740085439128E-2</v>
      </c>
      <c r="I3179">
        <f t="shared" si="201"/>
        <v>-0.86867510763285072</v>
      </c>
      <c r="J3179">
        <v>627</v>
      </c>
      <c r="K3179">
        <v>662</v>
      </c>
      <c r="L3179">
        <v>-4.3435740085439128E-2</v>
      </c>
      <c r="M3179">
        <f t="shared" si="204"/>
        <v>2.9594713218044272E-2</v>
      </c>
      <c r="N3179">
        <v>-1.6939144751802624</v>
      </c>
    </row>
    <row r="3180" spans="1:14">
      <c r="A3180" t="s">
        <v>9</v>
      </c>
      <c r="B3180" s="2">
        <f t="shared" si="200"/>
        <v>153</v>
      </c>
      <c r="C3180">
        <v>1242</v>
      </c>
      <c r="D3180">
        <v>13</v>
      </c>
      <c r="E3180">
        <v>48</v>
      </c>
      <c r="F3180">
        <f t="shared" si="202"/>
        <v>-1.8701806061859221</v>
      </c>
      <c r="G3180">
        <f t="shared" si="203"/>
        <v>-1.2735802677973835</v>
      </c>
      <c r="I3180">
        <f t="shared" si="201"/>
        <v>-1.5718804369916528</v>
      </c>
      <c r="J3180">
        <v>48</v>
      </c>
      <c r="K3180">
        <v>35</v>
      </c>
      <c r="L3180">
        <v>-1.2735802677973835</v>
      </c>
      <c r="M3180">
        <f t="shared" si="204"/>
        <v>-1.3613134561281952</v>
      </c>
      <c r="N3180">
        <v>-1.8701806061859221</v>
      </c>
    </row>
    <row r="3181" spans="1:14">
      <c r="A3181" t="s">
        <v>13</v>
      </c>
      <c r="B3181" s="2">
        <f t="shared" si="200"/>
        <v>153</v>
      </c>
      <c r="C3181">
        <v>1044</v>
      </c>
      <c r="D3181">
        <v>6</v>
      </c>
      <c r="E3181">
        <v>428</v>
      </c>
      <c r="F3181">
        <f t="shared" si="202"/>
        <v>-2.1305516109347975</v>
      </c>
      <c r="G3181">
        <f t="shared" si="203"/>
        <v>-0.24795663898548051</v>
      </c>
      <c r="I3181">
        <f t="shared" si="201"/>
        <v>-1.1892541249601389</v>
      </c>
      <c r="J3181">
        <v>428</v>
      </c>
      <c r="K3181">
        <v>110</v>
      </c>
      <c r="L3181">
        <v>-0.24795663898548051</v>
      </c>
      <c r="M3181">
        <f t="shared" si="204"/>
        <v>-0.78856771814592763</v>
      </c>
      <c r="N3181">
        <v>-2.1305516109347975</v>
      </c>
    </row>
    <row r="3182" spans="1:14">
      <c r="A3182" t="s">
        <v>14</v>
      </c>
      <c r="B3182" s="2">
        <f t="shared" si="200"/>
        <v>153</v>
      </c>
      <c r="C3182">
        <v>654</v>
      </c>
      <c r="D3182">
        <v>4</v>
      </c>
      <c r="E3182">
        <v>99</v>
      </c>
      <c r="F3182">
        <f t="shared" si="202"/>
        <v>-2.1035201196485023</v>
      </c>
      <c r="G3182">
        <f t="shared" si="203"/>
        <v>-0.68064246305912657</v>
      </c>
      <c r="I3182">
        <f t="shared" si="201"/>
        <v>-1.3920812913538145</v>
      </c>
      <c r="J3182">
        <v>99</v>
      </c>
      <c r="K3182">
        <v>34</v>
      </c>
      <c r="L3182">
        <v>-0.68064246305912657</v>
      </c>
      <c r="M3182">
        <f t="shared" si="204"/>
        <v>-1.0953587359199215</v>
      </c>
      <c r="N3182">
        <v>-2.1035201196485023</v>
      </c>
    </row>
    <row r="3183" spans="1:14">
      <c r="A3183" t="s">
        <v>15</v>
      </c>
      <c r="B3183" s="2">
        <f t="shared" si="200"/>
        <v>153</v>
      </c>
      <c r="C3183">
        <v>871</v>
      </c>
      <c r="D3183">
        <v>4</v>
      </c>
      <c r="E3183">
        <v>115</v>
      </c>
      <c r="F3183">
        <f t="shared" si="202"/>
        <v>-2.2279605263318984</v>
      </c>
      <c r="G3183">
        <f t="shared" si="203"/>
        <v>-0.74002022398646083</v>
      </c>
      <c r="I3183">
        <f t="shared" si="201"/>
        <v>-1.4839903751591796</v>
      </c>
      <c r="J3183">
        <v>115</v>
      </c>
      <c r="K3183">
        <v>138</v>
      </c>
      <c r="L3183">
        <v>-0.74002022398646083</v>
      </c>
      <c r="M3183">
        <f t="shared" si="204"/>
        <v>-0.61139897324433601</v>
      </c>
      <c r="N3183">
        <v>-2.2279605263318984</v>
      </c>
    </row>
    <row r="3184" spans="1:14">
      <c r="A3184" t="s">
        <v>16</v>
      </c>
      <c r="B3184" s="2">
        <f t="shared" si="200"/>
        <v>153</v>
      </c>
      <c r="C3184">
        <v>1339</v>
      </c>
      <c r="D3184">
        <v>69</v>
      </c>
      <c r="E3184">
        <v>22</v>
      </c>
      <c r="F3184">
        <f t="shared" si="202"/>
        <v>-1.1779338489269511</v>
      </c>
      <c r="G3184">
        <f t="shared" si="203"/>
        <v>-1.645057805522212</v>
      </c>
      <c r="I3184">
        <f t="shared" si="201"/>
        <v>-1.4114958272245817</v>
      </c>
      <c r="J3184">
        <v>22</v>
      </c>
      <c r="K3184">
        <v>40</v>
      </c>
      <c r="L3184">
        <v>-1.645057805522212</v>
      </c>
      <c r="M3184">
        <f t="shared" si="204"/>
        <v>-1.3359804903219561</v>
      </c>
      <c r="N3184">
        <v>-1.1779338489269511</v>
      </c>
    </row>
    <row r="3185" spans="1:14">
      <c r="A3185" t="s">
        <v>17</v>
      </c>
      <c r="B3185" s="2">
        <f t="shared" si="200"/>
        <v>153</v>
      </c>
      <c r="C3185">
        <v>674</v>
      </c>
      <c r="D3185">
        <v>12</v>
      </c>
      <c r="E3185">
        <v>21</v>
      </c>
      <c r="F3185">
        <f t="shared" si="202"/>
        <v>-1.6394810131398923</v>
      </c>
      <c r="G3185">
        <f t="shared" si="203"/>
        <v>-1.3671405111338097</v>
      </c>
      <c r="I3185">
        <f t="shared" si="201"/>
        <v>-1.5033107621368509</v>
      </c>
      <c r="J3185">
        <v>21</v>
      </c>
      <c r="K3185">
        <v>7</v>
      </c>
      <c r="L3185">
        <v>-1.3671405111338097</v>
      </c>
      <c r="M3185">
        <f t="shared" si="204"/>
        <v>-1.7948217611589725</v>
      </c>
      <c r="N3185">
        <v>-1.6394810131398923</v>
      </c>
    </row>
    <row r="3186" spans="1:14">
      <c r="A3186" t="s">
        <v>18</v>
      </c>
      <c r="B3186" s="2">
        <f t="shared" si="200"/>
        <v>153</v>
      </c>
      <c r="C3186">
        <v>857</v>
      </c>
      <c r="D3186">
        <v>61</v>
      </c>
      <c r="E3186">
        <v>463</v>
      </c>
      <c r="F3186">
        <f t="shared" si="202"/>
        <v>-1.0376533495646285</v>
      </c>
      <c r="G3186">
        <f t="shared" si="203"/>
        <v>-0.12809974023765427</v>
      </c>
      <c r="I3186">
        <f t="shared" si="201"/>
        <v>-0.58287654490114138</v>
      </c>
      <c r="J3186">
        <v>463</v>
      </c>
      <c r="K3186">
        <v>77</v>
      </c>
      <c r="L3186">
        <v>-0.12809974023765427</v>
      </c>
      <c r="M3186">
        <f t="shared" si="204"/>
        <v>-0.85775000138862556</v>
      </c>
      <c r="N3186">
        <v>-1.0376533495646285</v>
      </c>
    </row>
    <row r="3187" spans="1:14">
      <c r="A3187" t="s">
        <v>19</v>
      </c>
      <c r="B3187" s="2">
        <f t="shared" si="200"/>
        <v>153</v>
      </c>
      <c r="C3187">
        <v>929</v>
      </c>
      <c r="D3187">
        <v>14</v>
      </c>
      <c r="E3187">
        <v>39</v>
      </c>
      <c r="F3187">
        <f t="shared" si="202"/>
        <v>-1.711890040967601</v>
      </c>
      <c r="G3187">
        <f t="shared" si="203"/>
        <v>-1.2376510162995518</v>
      </c>
      <c r="I3187">
        <f t="shared" si="201"/>
        <v>-1.4747705286335764</v>
      </c>
      <c r="J3187">
        <v>39</v>
      </c>
      <c r="K3187">
        <v>29</v>
      </c>
      <c r="L3187">
        <v>-1.2376510162995518</v>
      </c>
      <c r="M3187">
        <f t="shared" si="204"/>
        <v>-1.316877620732595</v>
      </c>
      <c r="N3187">
        <v>-1.711890040967601</v>
      </c>
    </row>
    <row r="3188" spans="1:14">
      <c r="A3188" t="s">
        <v>20</v>
      </c>
      <c r="B3188" s="2">
        <f t="shared" si="200"/>
        <v>153</v>
      </c>
      <c r="C3188">
        <v>725</v>
      </c>
      <c r="D3188">
        <v>12</v>
      </c>
      <c r="E3188">
        <v>308</v>
      </c>
      <c r="F3188">
        <f t="shared" si="202"/>
        <v>-1.6711591231755663</v>
      </c>
      <c r="G3188">
        <f t="shared" si="203"/>
        <v>-0.23248719940295867</v>
      </c>
      <c r="I3188">
        <f t="shared" si="201"/>
        <v>-0.95182316128926248</v>
      </c>
      <c r="J3188">
        <v>308</v>
      </c>
      <c r="K3188">
        <v>243</v>
      </c>
      <c r="L3188">
        <v>-0.23248719940295867</v>
      </c>
      <c r="M3188">
        <f t="shared" si="204"/>
        <v>-0.28599163761059077</v>
      </c>
      <c r="N3188">
        <v>-1.6711591231755663</v>
      </c>
    </row>
    <row r="3189" spans="1:14">
      <c r="A3189" t="s">
        <v>21</v>
      </c>
      <c r="B3189" s="2">
        <f t="shared" si="200"/>
        <v>153</v>
      </c>
      <c r="C3189">
        <v>364</v>
      </c>
      <c r="D3189">
        <v>5</v>
      </c>
      <c r="E3189">
        <v>34</v>
      </c>
      <c r="F3189">
        <f t="shared" si="202"/>
        <v>-1.7521337419652345</v>
      </c>
      <c r="G3189">
        <f t="shared" si="203"/>
        <v>-0.89032237593921004</v>
      </c>
      <c r="I3189">
        <f t="shared" si="201"/>
        <v>-1.3212280589522223</v>
      </c>
      <c r="J3189">
        <v>34</v>
      </c>
      <c r="K3189">
        <v>9</v>
      </c>
      <c r="L3189">
        <v>-0.89032237593921004</v>
      </c>
      <c r="M3189">
        <f t="shared" si="204"/>
        <v>-1.4181187788476404</v>
      </c>
      <c r="N3189">
        <v>-1.7521337419652345</v>
      </c>
    </row>
    <row r="3190" spans="1:14">
      <c r="A3190" t="s">
        <v>22</v>
      </c>
      <c r="B3190" s="2">
        <f t="shared" si="200"/>
        <v>153</v>
      </c>
      <c r="C3190">
        <v>928</v>
      </c>
      <c r="D3190">
        <v>9</v>
      </c>
      <c r="E3190">
        <v>20</v>
      </c>
      <c r="F3190">
        <f t="shared" si="202"/>
        <v>-1.9033078294317345</v>
      </c>
      <c r="G3190">
        <f t="shared" si="203"/>
        <v>-1.5272178898872901</v>
      </c>
      <c r="I3190">
        <f t="shared" si="201"/>
        <v>-1.7152628596595123</v>
      </c>
      <c r="J3190">
        <v>20</v>
      </c>
      <c r="K3190">
        <v>34</v>
      </c>
      <c r="L3190">
        <v>-1.5272178898872901</v>
      </c>
      <c r="M3190">
        <f t="shared" si="204"/>
        <v>-1.2473289638145162</v>
      </c>
      <c r="N3190">
        <v>-1.9033078294317345</v>
      </c>
    </row>
    <row r="3191" spans="1:14">
      <c r="A3191" t="s">
        <v>23</v>
      </c>
      <c r="B3191" s="2">
        <f t="shared" si="200"/>
        <v>153</v>
      </c>
      <c r="C3191">
        <v>1299</v>
      </c>
      <c r="D3191">
        <v>12</v>
      </c>
      <c r="E3191">
        <v>86</v>
      </c>
      <c r="F3191">
        <f t="shared" si="202"/>
        <v>-1.9244302676776004</v>
      </c>
      <c r="G3191">
        <f t="shared" si="203"/>
        <v>-1.0398106091618693</v>
      </c>
      <c r="I3191">
        <f t="shared" si="201"/>
        <v>-1.4821204384197348</v>
      </c>
      <c r="J3191">
        <v>86</v>
      </c>
      <c r="K3191">
        <v>29</v>
      </c>
      <c r="L3191">
        <v>-1.0398106091618693</v>
      </c>
      <c r="M3191">
        <f t="shared" si="204"/>
        <v>-1.4624710578119813</v>
      </c>
      <c r="N3191">
        <v>-1.9244302676776004</v>
      </c>
    </row>
    <row r="3192" spans="1:14">
      <c r="A3192" t="s">
        <v>24</v>
      </c>
      <c r="B3192" s="2">
        <f t="shared" si="200"/>
        <v>153</v>
      </c>
      <c r="C3192">
        <v>382</v>
      </c>
      <c r="D3192">
        <v>7</v>
      </c>
      <c r="E3192">
        <v>10</v>
      </c>
      <c r="F3192">
        <f t="shared" si="202"/>
        <v>-1.6269676855496493</v>
      </c>
      <c r="G3192">
        <f t="shared" si="203"/>
        <v>-1.4427632722441179</v>
      </c>
      <c r="I3192">
        <f t="shared" si="201"/>
        <v>-1.5348654788968836</v>
      </c>
      <c r="J3192">
        <v>10</v>
      </c>
      <c r="K3192">
        <v>14</v>
      </c>
      <c r="L3192">
        <v>-1.4427632722441179</v>
      </c>
      <c r="M3192">
        <f t="shared" si="204"/>
        <v>-1.2471952318713799</v>
      </c>
      <c r="N3192">
        <v>-1.6269676855496493</v>
      </c>
    </row>
    <row r="3193" spans="1:14">
      <c r="A3193" t="s">
        <v>25</v>
      </c>
      <c r="B3193" s="2">
        <f t="shared" si="200"/>
        <v>153</v>
      </c>
      <c r="C3193">
        <v>490</v>
      </c>
      <c r="D3193">
        <v>8</v>
      </c>
      <c r="E3193">
        <v>15</v>
      </c>
      <c r="F3193">
        <f t="shared" si="202"/>
        <v>-1.6771084556887674</v>
      </c>
      <c r="G3193">
        <f t="shared" si="203"/>
        <v>-1.3748047303052418</v>
      </c>
      <c r="I3193">
        <f t="shared" si="201"/>
        <v>-1.5259565929970047</v>
      </c>
      <c r="J3193">
        <v>15</v>
      </c>
      <c r="K3193">
        <v>72</v>
      </c>
      <c r="L3193">
        <v>-1.3748047303052418</v>
      </c>
      <c r="M3193">
        <f t="shared" si="204"/>
        <v>-0.64412348823515453</v>
      </c>
      <c r="N3193">
        <v>-1.6771084556887674</v>
      </c>
    </row>
    <row r="3194" spans="1:14">
      <c r="A3194" t="s">
        <v>7</v>
      </c>
      <c r="B3194" s="2">
        <f t="shared" si="200"/>
        <v>154</v>
      </c>
      <c r="C3194">
        <v>794</v>
      </c>
      <c r="D3194">
        <v>5</v>
      </c>
      <c r="E3194">
        <v>95</v>
      </c>
      <c r="F3194">
        <f t="shared" si="202"/>
        <v>-2.0908528607432748</v>
      </c>
      <c r="G3194">
        <f t="shared" si="203"/>
        <v>-0.78279680647065775</v>
      </c>
      <c r="I3194">
        <f t="shared" si="201"/>
        <v>-1.4368248336069662</v>
      </c>
      <c r="J3194">
        <v>95</v>
      </c>
      <c r="K3194">
        <v>103</v>
      </c>
      <c r="L3194">
        <v>-0.78279680647065775</v>
      </c>
      <c r="M3194">
        <f t="shared" si="204"/>
        <v>-0.69824318235983329</v>
      </c>
      <c r="N3194">
        <v>-2.0908528607432748</v>
      </c>
    </row>
    <row r="3195" spans="1:14">
      <c r="A3195" t="s">
        <v>8</v>
      </c>
      <c r="B3195" s="2">
        <f t="shared" si="200"/>
        <v>154</v>
      </c>
      <c r="C3195">
        <v>388</v>
      </c>
      <c r="D3195">
        <v>4</v>
      </c>
      <c r="E3195">
        <v>93</v>
      </c>
      <c r="F3195">
        <f t="shared" si="202"/>
        <v>-1.8767740969184421</v>
      </c>
      <c r="G3195">
        <f t="shared" si="203"/>
        <v>-0.48104868637268139</v>
      </c>
      <c r="I3195">
        <f t="shared" si="201"/>
        <v>-1.1789113916455618</v>
      </c>
      <c r="J3195">
        <v>93</v>
      </c>
      <c r="K3195">
        <v>12</v>
      </c>
      <c r="L3195">
        <v>-0.48104868637268139</v>
      </c>
      <c r="M3195">
        <f t="shared" si="204"/>
        <v>-1.3209103841844918</v>
      </c>
      <c r="N3195">
        <v>-1.8767740969184421</v>
      </c>
    </row>
    <row r="3196" spans="1:14">
      <c r="A3196" t="s">
        <v>5</v>
      </c>
      <c r="B3196" s="2">
        <f t="shared" si="200"/>
        <v>154</v>
      </c>
      <c r="C3196">
        <v>939</v>
      </c>
      <c r="D3196">
        <v>9</v>
      </c>
      <c r="E3196">
        <v>80</v>
      </c>
      <c r="F3196">
        <f t="shared" si="202"/>
        <v>-1.9084254454789835</v>
      </c>
      <c r="G3196">
        <f t="shared" si="203"/>
        <v>-0.93027551460657665</v>
      </c>
      <c r="I3196">
        <f t="shared" si="201"/>
        <v>-1.4193504800427801</v>
      </c>
      <c r="J3196">
        <v>80</v>
      </c>
      <c r="K3196">
        <v>194</v>
      </c>
      <c r="L3196">
        <v>-0.93027551460657665</v>
      </c>
      <c r="M3196">
        <f t="shared" si="204"/>
        <v>-0.49612376697379412</v>
      </c>
      <c r="N3196">
        <v>-1.9084254454789835</v>
      </c>
    </row>
    <row r="3197" spans="1:14">
      <c r="A3197" t="s">
        <v>6</v>
      </c>
      <c r="B3197" s="2">
        <f t="shared" si="200"/>
        <v>154</v>
      </c>
      <c r="C3197">
        <v>582</v>
      </c>
      <c r="D3197">
        <v>6</v>
      </c>
      <c r="E3197">
        <v>87</v>
      </c>
      <c r="F3197">
        <f t="shared" si="202"/>
        <v>-1.8767740969184421</v>
      </c>
      <c r="G3197">
        <f t="shared" si="203"/>
        <v>-0.68610364136367918</v>
      </c>
      <c r="I3197">
        <f t="shared" si="201"/>
        <v>-1.2814388691410605</v>
      </c>
      <c r="J3197">
        <v>87</v>
      </c>
      <c r="K3197">
        <v>102</v>
      </c>
      <c r="L3197">
        <v>-0.68610364136367918</v>
      </c>
      <c r="M3197">
        <f t="shared" si="204"/>
        <v>-0.5675827175258803</v>
      </c>
      <c r="N3197">
        <v>-1.8767740969184421</v>
      </c>
    </row>
    <row r="3198" spans="1:14">
      <c r="A3198" t="s">
        <v>10</v>
      </c>
      <c r="B3198" s="2">
        <f t="shared" si="200"/>
        <v>154</v>
      </c>
      <c r="C3198">
        <v>1631</v>
      </c>
      <c r="D3198">
        <v>14</v>
      </c>
      <c r="E3198">
        <v>1510</v>
      </c>
      <c r="F3198">
        <f t="shared" si="202"/>
        <v>-1.956328288014235</v>
      </c>
      <c r="G3198">
        <f t="shared" si="203"/>
        <v>0.10582307692048441</v>
      </c>
      <c r="I3198">
        <f t="shared" si="201"/>
        <v>-0.92525260554687527</v>
      </c>
      <c r="J3198">
        <v>1510</v>
      </c>
      <c r="K3198">
        <v>1038</v>
      </c>
      <c r="L3198">
        <v>0.10582307692048441</v>
      </c>
      <c r="M3198">
        <f t="shared" si="204"/>
        <v>-7.5165121657460587E-3</v>
      </c>
      <c r="N3198">
        <v>-1.956328288014235</v>
      </c>
    </row>
    <row r="3199" spans="1:14">
      <c r="A3199" t="s">
        <v>11</v>
      </c>
      <c r="B3199" s="2">
        <f t="shared" si="200"/>
        <v>154</v>
      </c>
      <c r="C3199">
        <v>814</v>
      </c>
      <c r="D3199">
        <v>4</v>
      </c>
      <c r="E3199">
        <v>208</v>
      </c>
      <c r="F3199">
        <f t="shared" si="202"/>
        <v>-2.1985667762134362</v>
      </c>
      <c r="G3199">
        <f t="shared" si="203"/>
        <v>-0.4532609792588489</v>
      </c>
      <c r="I3199">
        <f t="shared" si="201"/>
        <v>-1.3259138777361426</v>
      </c>
      <c r="J3199">
        <v>208</v>
      </c>
      <c r="K3199">
        <v>159</v>
      </c>
      <c r="L3199">
        <v>-0.4532609792588489</v>
      </c>
      <c r="M3199">
        <f t="shared" si="204"/>
        <v>-0.52048718520665904</v>
      </c>
      <c r="N3199">
        <v>-2.1985667762134362</v>
      </c>
    </row>
    <row r="3200" spans="1:14">
      <c r="A3200" t="s">
        <v>12</v>
      </c>
      <c r="B3200" s="2">
        <f t="shared" si="200"/>
        <v>154</v>
      </c>
      <c r="C3200">
        <v>243</v>
      </c>
      <c r="D3200">
        <v>7</v>
      </c>
      <c r="E3200">
        <v>19</v>
      </c>
      <c r="F3200">
        <f t="shared" si="202"/>
        <v>-1.4305105962362528</v>
      </c>
      <c r="G3200">
        <f t="shared" si="203"/>
        <v>-0.96755258197789251</v>
      </c>
      <c r="I3200">
        <f t="shared" si="201"/>
        <v>-1.1990315891070726</v>
      </c>
      <c r="J3200">
        <v>19</v>
      </c>
      <c r="K3200">
        <v>15</v>
      </c>
      <c r="L3200">
        <v>-0.96755258197789251</v>
      </c>
      <c r="M3200">
        <f t="shared" si="204"/>
        <v>-1.0207749191805404</v>
      </c>
      <c r="N3200">
        <v>-1.4305105962362528</v>
      </c>
    </row>
    <row r="3201" spans="1:14">
      <c r="A3201" t="s">
        <v>9</v>
      </c>
      <c r="B3201" s="2">
        <f t="shared" si="200"/>
        <v>154</v>
      </c>
      <c r="C3201">
        <v>427</v>
      </c>
      <c r="D3201">
        <v>9</v>
      </c>
      <c r="E3201">
        <v>395</v>
      </c>
      <c r="F3201">
        <f t="shared" si="202"/>
        <v>-1.5661877282378964</v>
      </c>
      <c r="G3201">
        <f t="shared" si="203"/>
        <v>0.10546931126902716</v>
      </c>
      <c r="I3201">
        <f t="shared" si="201"/>
        <v>-0.73035920848443459</v>
      </c>
      <c r="J3201">
        <v>395</v>
      </c>
      <c r="K3201">
        <v>339</v>
      </c>
      <c r="L3201">
        <v>0.10546931126902716</v>
      </c>
      <c r="M3201">
        <f t="shared" si="204"/>
        <v>8.8511918540148976E-2</v>
      </c>
      <c r="N3201">
        <v>-1.5661877282378964</v>
      </c>
    </row>
    <row r="3202" spans="1:14">
      <c r="A3202" t="s">
        <v>13</v>
      </c>
      <c r="B3202" s="2">
        <f t="shared" si="200"/>
        <v>154</v>
      </c>
      <c r="C3202">
        <v>510</v>
      </c>
      <c r="D3202">
        <v>66</v>
      </c>
      <c r="E3202">
        <v>45</v>
      </c>
      <c r="F3202">
        <f t="shared" si="202"/>
        <v>-0.77802860320826495</v>
      </c>
      <c r="G3202">
        <f t="shared" si="203"/>
        <v>-0.91505757165500201</v>
      </c>
      <c r="I3202">
        <f t="shared" si="201"/>
        <v>-0.84654308743163353</v>
      </c>
      <c r="J3202">
        <v>45</v>
      </c>
      <c r="K3202">
        <v>42</v>
      </c>
      <c r="L3202">
        <v>-0.91505757165500201</v>
      </c>
      <c r="M3202">
        <f t="shared" si="204"/>
        <v>-0.89558079033794524</v>
      </c>
      <c r="N3202">
        <v>-0.77802860320826495</v>
      </c>
    </row>
    <row r="3203" spans="1:14">
      <c r="A3203" t="s">
        <v>14</v>
      </c>
      <c r="B3203" s="2">
        <f t="shared" ref="B3203:B3266" si="205">1+INT((ROW()-2)/21)+1</f>
        <v>154</v>
      </c>
      <c r="C3203">
        <v>946</v>
      </c>
      <c r="D3203">
        <v>12</v>
      </c>
      <c r="E3203">
        <v>77</v>
      </c>
      <c r="F3203">
        <f t="shared" si="202"/>
        <v>-1.7867122530063653</v>
      </c>
      <c r="G3203">
        <f t="shared" si="203"/>
        <v>-0.95010032056172</v>
      </c>
      <c r="I3203">
        <f t="shared" ref="I3203:I3266" si="206">AVERAGE(F3203:G3203)</f>
        <v>-1.3684062867840425</v>
      </c>
      <c r="J3203">
        <v>77</v>
      </c>
      <c r="K3203">
        <v>678</v>
      </c>
      <c r="L3203">
        <v>-0.95010032056172</v>
      </c>
      <c r="M3203">
        <f t="shared" si="204"/>
        <v>4.4078652827361287E-2</v>
      </c>
      <c r="N3203">
        <v>-1.7867122530063653</v>
      </c>
    </row>
    <row r="3204" spans="1:14">
      <c r="A3204" t="s">
        <v>15</v>
      </c>
      <c r="B3204" s="2">
        <f t="shared" si="205"/>
        <v>154</v>
      </c>
      <c r="C3204">
        <v>838</v>
      </c>
      <c r="D3204">
        <v>11</v>
      </c>
      <c r="E3204">
        <v>44</v>
      </c>
      <c r="F3204">
        <f t="shared" si="202"/>
        <v>-1.7718536961242488</v>
      </c>
      <c r="G3204">
        <f t="shared" si="203"/>
        <v>-1.1404912514764982</v>
      </c>
      <c r="I3204">
        <f t="shared" si="206"/>
        <v>-1.4561724738003736</v>
      </c>
      <c r="J3204">
        <v>44</v>
      </c>
      <c r="K3204">
        <v>32</v>
      </c>
      <c r="L3204">
        <v>-1.1404912514764982</v>
      </c>
      <c r="M3204">
        <f t="shared" si="204"/>
        <v>-1.2293539449482798</v>
      </c>
      <c r="N3204">
        <v>-1.7718536961242488</v>
      </c>
    </row>
    <row r="3205" spans="1:14">
      <c r="A3205" t="s">
        <v>16</v>
      </c>
      <c r="B3205" s="2">
        <f t="shared" si="205"/>
        <v>154</v>
      </c>
      <c r="C3205">
        <v>574</v>
      </c>
      <c r="D3205">
        <v>13</v>
      </c>
      <c r="E3205">
        <v>17</v>
      </c>
      <c r="F3205">
        <f t="shared" si="202"/>
        <v>-1.534970902743334</v>
      </c>
      <c r="G3205">
        <f t="shared" si="203"/>
        <v>-1.3891628803521088</v>
      </c>
      <c r="I3205">
        <f t="shared" si="206"/>
        <v>-1.4620668915477215</v>
      </c>
      <c r="J3205">
        <v>17</v>
      </c>
      <c r="K3205">
        <v>10</v>
      </c>
      <c r="L3205">
        <v>-1.3891628803521088</v>
      </c>
      <c r="M3205">
        <f t="shared" si="204"/>
        <v>-1.5701717970358828</v>
      </c>
      <c r="N3205">
        <v>-1.534970902743334</v>
      </c>
    </row>
    <row r="3206" spans="1:14">
      <c r="A3206" t="s">
        <v>17</v>
      </c>
      <c r="B3206" s="2">
        <f t="shared" si="205"/>
        <v>154</v>
      </c>
      <c r="C3206">
        <v>893</v>
      </c>
      <c r="D3206">
        <v>247</v>
      </c>
      <c r="E3206">
        <v>99</v>
      </c>
      <c r="F3206">
        <f t="shared" si="202"/>
        <v>-0.44815686828107804</v>
      </c>
      <c r="G3206">
        <f t="shared" si="203"/>
        <v>-0.81591617362340574</v>
      </c>
      <c r="I3206">
        <f t="shared" si="206"/>
        <v>-0.63203652095224183</v>
      </c>
      <c r="J3206">
        <v>99</v>
      </c>
      <c r="K3206">
        <v>121</v>
      </c>
      <c r="L3206">
        <v>-0.81591617362340574</v>
      </c>
      <c r="M3206">
        <f t="shared" si="204"/>
        <v>-0.67932599321000564</v>
      </c>
      <c r="N3206">
        <v>-0.44815686828107804</v>
      </c>
    </row>
    <row r="3207" spans="1:14">
      <c r="A3207" t="s">
        <v>18</v>
      </c>
      <c r="B3207" s="2">
        <f t="shared" si="205"/>
        <v>154</v>
      </c>
      <c r="C3207">
        <v>231</v>
      </c>
      <c r="D3207">
        <v>378</v>
      </c>
      <c r="E3207">
        <v>49</v>
      </c>
      <c r="F3207">
        <f t="shared" si="202"/>
        <v>0.3238774572928837</v>
      </c>
      <c r="G3207">
        <f t="shared" si="203"/>
        <v>-0.53411580919603985</v>
      </c>
      <c r="I3207">
        <f t="shared" si="206"/>
        <v>-0.10511917595157808</v>
      </c>
      <c r="J3207">
        <v>49</v>
      </c>
      <c r="K3207">
        <v>57</v>
      </c>
      <c r="L3207">
        <v>-0.53411580919603985</v>
      </c>
      <c r="M3207">
        <f t="shared" si="204"/>
        <v>-0.41899702885756218</v>
      </c>
      <c r="N3207">
        <v>0.3238774572928837</v>
      </c>
    </row>
    <row r="3208" spans="1:14">
      <c r="A3208" t="s">
        <v>19</v>
      </c>
      <c r="B3208" s="2">
        <f t="shared" si="205"/>
        <v>154</v>
      </c>
      <c r="C3208">
        <v>165163</v>
      </c>
      <c r="D3208">
        <v>128208</v>
      </c>
      <c r="E3208">
        <v>119843</v>
      </c>
      <c r="F3208">
        <f t="shared" si="202"/>
        <v>0</v>
      </c>
      <c r="G3208">
        <f t="shared" si="203"/>
        <v>0</v>
      </c>
      <c r="I3208">
        <f t="shared" si="206"/>
        <v>0</v>
      </c>
      <c r="J3208">
        <v>119843</v>
      </c>
      <c r="K3208">
        <v>106948</v>
      </c>
      <c r="L3208">
        <v>0</v>
      </c>
      <c r="M3208">
        <f t="shared" si="204"/>
        <v>0</v>
      </c>
      <c r="N3208">
        <v>0</v>
      </c>
    </row>
    <row r="3209" spans="1:14">
      <c r="A3209" t="s">
        <v>20</v>
      </c>
      <c r="B3209" s="2">
        <f t="shared" si="205"/>
        <v>154</v>
      </c>
      <c r="C3209">
        <v>400</v>
      </c>
      <c r="D3209">
        <v>406</v>
      </c>
      <c r="E3209">
        <v>90</v>
      </c>
      <c r="F3209">
        <f t="shared" si="202"/>
        <v>0.11646367959703433</v>
      </c>
      <c r="G3209">
        <f t="shared" si="203"/>
        <v>-0.50851739122104678</v>
      </c>
      <c r="I3209">
        <f t="shared" si="206"/>
        <v>-0.19602685581200624</v>
      </c>
      <c r="J3209">
        <v>90</v>
      </c>
      <c r="K3209">
        <v>72</v>
      </c>
      <c r="L3209">
        <v>-0.50851739122104678</v>
      </c>
      <c r="M3209">
        <f t="shared" si="204"/>
        <v>-0.5559873995346033</v>
      </c>
      <c r="N3209">
        <v>0.11646367959703433</v>
      </c>
    </row>
    <row r="3210" spans="1:14">
      <c r="A3210" t="s">
        <v>21</v>
      </c>
      <c r="B3210" s="2">
        <f t="shared" si="205"/>
        <v>154</v>
      </c>
      <c r="C3210">
        <v>240</v>
      </c>
      <c r="D3210">
        <v>67</v>
      </c>
      <c r="E3210">
        <v>378</v>
      </c>
      <c r="F3210">
        <f t="shared" si="202"/>
        <v>-0.44413880166297692</v>
      </c>
      <c r="G3210">
        <f t="shared" si="203"/>
        <v>0.33658064879321009</v>
      </c>
      <c r="I3210">
        <f t="shared" si="206"/>
        <v>-5.3779076434883416E-2</v>
      </c>
      <c r="J3210">
        <v>378</v>
      </c>
      <c r="K3210">
        <v>279</v>
      </c>
      <c r="L3210">
        <v>0.33658064879321009</v>
      </c>
      <c r="M3210">
        <f t="shared" si="204"/>
        <v>0.25413305692408228</v>
      </c>
      <c r="N3210">
        <v>-0.44413880166297692</v>
      </c>
    </row>
    <row r="3211" spans="1:14">
      <c r="A3211" t="s">
        <v>22</v>
      </c>
      <c r="B3211" s="2">
        <f t="shared" si="205"/>
        <v>154</v>
      </c>
      <c r="C3211">
        <v>662</v>
      </c>
      <c r="D3211">
        <v>6</v>
      </c>
      <c r="E3211">
        <v>82</v>
      </c>
      <c r="F3211">
        <f t="shared" si="202"/>
        <v>-1.9327091017082536</v>
      </c>
      <c r="G3211">
        <f t="shared" si="203"/>
        <v>-0.76774404638839255</v>
      </c>
      <c r="I3211">
        <f t="shared" si="206"/>
        <v>-1.350226574048323</v>
      </c>
      <c r="J3211">
        <v>82</v>
      </c>
      <c r="K3211">
        <v>366</v>
      </c>
      <c r="L3211">
        <v>-0.76774404638839255</v>
      </c>
      <c r="M3211">
        <f t="shared" si="204"/>
        <v>-6.8636808683198602E-2</v>
      </c>
      <c r="N3211">
        <v>-1.9327091017082536</v>
      </c>
    </row>
    <row r="3212" spans="1:14">
      <c r="A3212" t="s">
        <v>23</v>
      </c>
      <c r="B3212" s="2">
        <f t="shared" si="205"/>
        <v>154</v>
      </c>
      <c r="C3212">
        <v>811</v>
      </c>
      <c r="D3212">
        <v>36</v>
      </c>
      <c r="E3212">
        <v>96</v>
      </c>
      <c r="F3212">
        <f t="shared" si="202"/>
        <v>-1.242720716096066</v>
      </c>
      <c r="G3212">
        <f t="shared" si="203"/>
        <v>-0.78744953050399691</v>
      </c>
      <c r="I3212">
        <f t="shared" si="206"/>
        <v>-1.0150851233000315</v>
      </c>
      <c r="J3212">
        <v>96</v>
      </c>
      <c r="K3212">
        <v>90</v>
      </c>
      <c r="L3212">
        <v>-0.78744953050399691</v>
      </c>
      <c r="M3212">
        <f t="shared" si="204"/>
        <v>-0.76603824940974052</v>
      </c>
      <c r="N3212">
        <v>-1.242720716096066</v>
      </c>
    </row>
    <row r="3213" spans="1:14">
      <c r="A3213" t="s">
        <v>24</v>
      </c>
      <c r="B3213" s="2">
        <f t="shared" si="205"/>
        <v>154</v>
      </c>
      <c r="C3213">
        <v>860</v>
      </c>
      <c r="D3213">
        <v>20</v>
      </c>
      <c r="E3213">
        <v>1739</v>
      </c>
      <c r="F3213">
        <f t="shared" si="202"/>
        <v>-1.523470818231784</v>
      </c>
      <c r="G3213">
        <f t="shared" si="203"/>
        <v>0.44510122142673558</v>
      </c>
      <c r="I3213">
        <f t="shared" si="206"/>
        <v>-0.5391847984025242</v>
      </c>
      <c r="J3213">
        <v>1739</v>
      </c>
      <c r="K3213">
        <v>245</v>
      </c>
      <c r="L3213">
        <v>0.44510122142673558</v>
      </c>
      <c r="M3213">
        <f t="shared" si="204"/>
        <v>-0.3565922715169445</v>
      </c>
      <c r="N3213">
        <v>-1.523470818231784</v>
      </c>
    </row>
    <row r="3214" spans="1:14">
      <c r="A3214" t="s">
        <v>25</v>
      </c>
      <c r="B3214" s="2">
        <f t="shared" si="205"/>
        <v>154</v>
      </c>
      <c r="C3214">
        <v>1838</v>
      </c>
      <c r="D3214">
        <v>16</v>
      </c>
      <c r="E3214">
        <v>588</v>
      </c>
      <c r="F3214">
        <f t="shared" si="202"/>
        <v>-1.950227887046365</v>
      </c>
      <c r="G3214">
        <f t="shared" si="203"/>
        <v>-0.35566809030636315</v>
      </c>
      <c r="I3214">
        <f t="shared" si="206"/>
        <v>-1.1529479886763641</v>
      </c>
      <c r="J3214">
        <v>588</v>
      </c>
      <c r="K3214">
        <v>345</v>
      </c>
      <c r="L3214">
        <v>-0.35566809030636315</v>
      </c>
      <c r="M3214">
        <f t="shared" si="204"/>
        <v>-0.53778631661472764</v>
      </c>
      <c r="N3214">
        <v>-1.950227887046365</v>
      </c>
    </row>
    <row r="3215" spans="1:14">
      <c r="A3215" t="s">
        <v>7</v>
      </c>
      <c r="B3215" s="2">
        <f t="shared" si="205"/>
        <v>155</v>
      </c>
      <c r="C3215">
        <v>1208</v>
      </c>
      <c r="D3215">
        <v>8</v>
      </c>
      <c r="E3215">
        <v>22</v>
      </c>
      <c r="F3215">
        <f t="shared" si="202"/>
        <v>-2.0689793099453668</v>
      </c>
      <c r="G3215">
        <f t="shared" si="203"/>
        <v>-1.6003441627953161</v>
      </c>
      <c r="I3215">
        <f t="shared" si="206"/>
        <v>-1.8346617363703415</v>
      </c>
      <c r="J3215">
        <v>22</v>
      </c>
      <c r="K3215">
        <v>29</v>
      </c>
      <c r="L3215">
        <v>-1.6003441627953161</v>
      </c>
      <c r="M3215">
        <f t="shared" si="204"/>
        <v>-1.4309288410240661</v>
      </c>
      <c r="N3215">
        <v>-2.0689793099453668</v>
      </c>
    </row>
    <row r="3216" spans="1:14">
      <c r="A3216" t="s">
        <v>8</v>
      </c>
      <c r="B3216" s="2">
        <f t="shared" si="205"/>
        <v>155</v>
      </c>
      <c r="C3216">
        <v>1774</v>
      </c>
      <c r="D3216">
        <v>18</v>
      </c>
      <c r="E3216">
        <v>645</v>
      </c>
      <c r="F3216">
        <f t="shared" si="202"/>
        <v>-1.8836834730445988</v>
      </c>
      <c r="G3216">
        <f t="shared" si="203"/>
        <v>-0.30009381019284909</v>
      </c>
      <c r="I3216">
        <f t="shared" si="206"/>
        <v>-1.0918886416187239</v>
      </c>
      <c r="J3216">
        <v>645</v>
      </c>
      <c r="K3216">
        <v>531</v>
      </c>
      <c r="L3216">
        <v>-0.30009381019284909</v>
      </c>
      <c r="M3216">
        <f t="shared" si="204"/>
        <v>-0.33511899905214781</v>
      </c>
      <c r="N3216">
        <v>-1.8836834730445988</v>
      </c>
    </row>
    <row r="3217" spans="1:14">
      <c r="A3217" t="s">
        <v>5</v>
      </c>
      <c r="B3217" s="2">
        <f t="shared" si="205"/>
        <v>155</v>
      </c>
      <c r="C3217">
        <v>685</v>
      </c>
      <c r="D3217">
        <v>7</v>
      </c>
      <c r="E3217">
        <v>2093</v>
      </c>
      <c r="F3217">
        <f t="shared" si="202"/>
        <v>-1.8805948941303661</v>
      </c>
      <c r="G3217">
        <f t="shared" si="203"/>
        <v>0.6243787475138517</v>
      </c>
      <c r="I3217">
        <f t="shared" si="206"/>
        <v>-0.62810807330825713</v>
      </c>
      <c r="J3217">
        <v>2093</v>
      </c>
      <c r="K3217">
        <v>2040</v>
      </c>
      <c r="L3217">
        <v>0.6243787475138517</v>
      </c>
      <c r="M3217">
        <f t="shared" si="204"/>
        <v>0.66267969129556392</v>
      </c>
      <c r="N3217">
        <v>-1.8805948941303661</v>
      </c>
    </row>
    <row r="3218" spans="1:14">
      <c r="A3218" t="s">
        <v>6</v>
      </c>
      <c r="B3218" s="2">
        <f t="shared" si="205"/>
        <v>155</v>
      </c>
      <c r="C3218">
        <v>1075</v>
      </c>
      <c r="D3218">
        <v>8</v>
      </c>
      <c r="E3218">
        <v>38</v>
      </c>
      <c r="F3218">
        <f t="shared" si="202"/>
        <v>-2.0183208399118779</v>
      </c>
      <c r="G3218">
        <f t="shared" si="203"/>
        <v>-1.3123247769672233</v>
      </c>
      <c r="I3218">
        <f t="shared" si="206"/>
        <v>-1.6653228084395506</v>
      </c>
      <c r="J3218">
        <v>38</v>
      </c>
      <c r="K3218">
        <v>16</v>
      </c>
      <c r="L3218">
        <v>-1.3123247769672233</v>
      </c>
      <c r="M3218">
        <f t="shared" si="204"/>
        <v>-1.6385483862336088</v>
      </c>
      <c r="N3218">
        <v>-2.0183208399118779</v>
      </c>
    </row>
    <row r="3219" spans="1:14">
      <c r="A3219" t="s">
        <v>10</v>
      </c>
      <c r="B3219" s="2">
        <f t="shared" si="205"/>
        <v>155</v>
      </c>
      <c r="C3219">
        <v>1233</v>
      </c>
      <c r="D3219">
        <v>13</v>
      </c>
      <c r="E3219">
        <v>1304</v>
      </c>
      <c r="F3219">
        <f t="shared" ref="F3219:F3282" si="207">LOG10(D3219/C3219)-LOG10(128208/165163)</f>
        <v>-1.8670220869410923</v>
      </c>
      <c r="G3219">
        <f t="shared" ref="G3219:G3282" si="208">LOG10(E3219/C3219)-LOG10(119843/165163)</f>
        <v>0.16361460546776049</v>
      </c>
      <c r="I3219">
        <f t="shared" si="206"/>
        <v>-0.85170374073666588</v>
      </c>
      <c r="J3219">
        <v>1304</v>
      </c>
      <c r="K3219">
        <v>1383</v>
      </c>
      <c r="L3219">
        <v>0.16361460546776049</v>
      </c>
      <c r="M3219">
        <f t="shared" ref="M3219:M3282" si="209">LOG10(K3219/C3219)-LOG10(106948/165163)</f>
        <v>0.23859919887566966</v>
      </c>
      <c r="N3219">
        <v>-1.8670220869410923</v>
      </c>
    </row>
    <row r="3220" spans="1:14">
      <c r="A3220" t="s">
        <v>11</v>
      </c>
      <c r="B3220" s="2">
        <f t="shared" si="205"/>
        <v>155</v>
      </c>
      <c r="C3220">
        <v>2379</v>
      </c>
      <c r="D3220">
        <v>20</v>
      </c>
      <c r="E3220">
        <v>149</v>
      </c>
      <c r="F3220">
        <f t="shared" si="207"/>
        <v>-1.9653668090254823</v>
      </c>
      <c r="G3220">
        <f t="shared" si="208"/>
        <v>-1.0639080829574015</v>
      </c>
      <c r="I3220">
        <f t="shared" si="206"/>
        <v>-1.514637445991442</v>
      </c>
      <c r="J3220">
        <v>149</v>
      </c>
      <c r="K3220">
        <v>87</v>
      </c>
      <c r="L3220">
        <v>-1.0639080829574015</v>
      </c>
      <c r="M3220">
        <f t="shared" si="209"/>
        <v>-1.2481350940565572</v>
      </c>
      <c r="N3220">
        <v>-1.9653668090254823</v>
      </c>
    </row>
    <row r="3221" spans="1:14">
      <c r="A3221" t="s">
        <v>12</v>
      </c>
      <c r="B3221" s="2">
        <f t="shared" si="205"/>
        <v>155</v>
      </c>
      <c r="C3221">
        <v>2591</v>
      </c>
      <c r="D3221">
        <v>79</v>
      </c>
      <c r="E3221">
        <v>142</v>
      </c>
      <c r="F3221">
        <f t="shared" si="207"/>
        <v>-1.4058426843475806</v>
      </c>
      <c r="G3221">
        <f t="shared" si="208"/>
        <v>-1.1218789779351777</v>
      </c>
      <c r="I3221">
        <f t="shared" si="206"/>
        <v>-1.263860831141379</v>
      </c>
      <c r="J3221">
        <v>142</v>
      </c>
      <c r="K3221">
        <v>92</v>
      </c>
      <c r="L3221">
        <v>-1.1218789779351777</v>
      </c>
      <c r="M3221">
        <f t="shared" si="209"/>
        <v>-1.260939490278179</v>
      </c>
      <c r="N3221">
        <v>-1.4058426843475806</v>
      </c>
    </row>
    <row r="3222" spans="1:14">
      <c r="A3222" t="s">
        <v>9</v>
      </c>
      <c r="B3222" s="2">
        <f t="shared" si="205"/>
        <v>155</v>
      </c>
      <c r="C3222">
        <v>574</v>
      </c>
      <c r="D3222">
        <v>5</v>
      </c>
      <c r="E3222">
        <v>32</v>
      </c>
      <c r="F3222">
        <f t="shared" si="207"/>
        <v>-1.9499442507141522</v>
      </c>
      <c r="G3222">
        <f t="shared" si="208"/>
        <v>-1.1144618234104768</v>
      </c>
      <c r="I3222">
        <f t="shared" si="206"/>
        <v>-1.5322030370623145</v>
      </c>
      <c r="J3222">
        <v>32</v>
      </c>
      <c r="K3222">
        <v>23</v>
      </c>
      <c r="L3222">
        <v>-1.1144618234104768</v>
      </c>
      <c r="M3222">
        <f t="shared" si="209"/>
        <v>-1.2084439610182898</v>
      </c>
      <c r="N3222">
        <v>-1.9499442507141522</v>
      </c>
    </row>
    <row r="3223" spans="1:14">
      <c r="A3223" t="s">
        <v>13</v>
      </c>
      <c r="B3223" s="2">
        <f t="shared" si="205"/>
        <v>155</v>
      </c>
      <c r="C3223">
        <v>1352</v>
      </c>
      <c r="D3223">
        <v>73</v>
      </c>
      <c r="E3223">
        <v>2793</v>
      </c>
      <c r="F3223">
        <f t="shared" si="207"/>
        <v>-1.1576561941373587</v>
      </c>
      <c r="G3223">
        <f t="shared" si="208"/>
        <v>0.45439433476297875</v>
      </c>
      <c r="I3223">
        <f t="shared" si="206"/>
        <v>-0.35163092968718995</v>
      </c>
      <c r="J3223">
        <v>2793</v>
      </c>
      <c r="K3223">
        <v>1837</v>
      </c>
      <c r="L3223">
        <v>0.45439433476297875</v>
      </c>
      <c r="M3223">
        <f t="shared" si="209"/>
        <v>0.32187256006228188</v>
      </c>
      <c r="N3223">
        <v>-1.1576561941373587</v>
      </c>
    </row>
    <row r="3224" spans="1:14">
      <c r="A3224" t="s">
        <v>14</v>
      </c>
      <c r="B3224" s="2">
        <f t="shared" si="205"/>
        <v>155</v>
      </c>
      <c r="C3224">
        <v>826</v>
      </c>
      <c r="D3224">
        <v>3</v>
      </c>
      <c r="E3224">
        <v>35</v>
      </c>
      <c r="F3224">
        <f t="shared" si="207"/>
        <v>-2.3298611552529174</v>
      </c>
      <c r="G3224">
        <f t="shared" si="208"/>
        <v>-1.2336119123025158</v>
      </c>
      <c r="I3224">
        <f t="shared" si="206"/>
        <v>-1.7817365337777167</v>
      </c>
      <c r="J3224">
        <v>35</v>
      </c>
      <c r="K3224">
        <v>33</v>
      </c>
      <c r="L3224">
        <v>-1.2336119123025158</v>
      </c>
      <c r="M3224">
        <f t="shared" si="209"/>
        <v>-1.2097260120804041</v>
      </c>
      <c r="N3224">
        <v>-2.3298611552529174</v>
      </c>
    </row>
    <row r="3225" spans="1:14">
      <c r="A3225" t="s">
        <v>15</v>
      </c>
      <c r="B3225" s="2">
        <f t="shared" si="205"/>
        <v>155</v>
      </c>
      <c r="C3225">
        <v>2433</v>
      </c>
      <c r="D3225">
        <v>18</v>
      </c>
      <c r="E3225">
        <v>993</v>
      </c>
      <c r="F3225">
        <f t="shared" si="207"/>
        <v>-2.0208719664797101</v>
      </c>
      <c r="G3225">
        <f t="shared" si="208"/>
        <v>-0.2498927697678465</v>
      </c>
      <c r="I3225">
        <f t="shared" si="206"/>
        <v>-1.1353823681237782</v>
      </c>
      <c r="J3225">
        <v>993</v>
      </c>
      <c r="K3225">
        <v>1105</v>
      </c>
      <c r="L3225">
        <v>-0.2498927697678465</v>
      </c>
      <c r="M3225">
        <f t="shared" si="209"/>
        <v>-0.15403973554759831</v>
      </c>
      <c r="N3225">
        <v>-2.0208719664797101</v>
      </c>
    </row>
    <row r="3226" spans="1:14">
      <c r="A3226" t="s">
        <v>16</v>
      </c>
      <c r="B3226" s="2">
        <f t="shared" si="205"/>
        <v>155</v>
      </c>
      <c r="C3226">
        <v>1021</v>
      </c>
      <c r="D3226">
        <v>6</v>
      </c>
      <c r="E3226">
        <v>33</v>
      </c>
      <c r="F3226">
        <f t="shared" si="207"/>
        <v>-2.1208768543554641</v>
      </c>
      <c r="G3226">
        <f t="shared" si="208"/>
        <v>-1.3512117115414322</v>
      </c>
      <c r="I3226">
        <f t="shared" si="206"/>
        <v>-1.7360442829484481</v>
      </c>
      <c r="J3226">
        <v>33</v>
      </c>
      <c r="K3226">
        <v>39</v>
      </c>
      <c r="L3226">
        <v>-1.3512117115414322</v>
      </c>
      <c r="M3226">
        <f t="shared" si="209"/>
        <v>-1.2292210396983205</v>
      </c>
      <c r="N3226">
        <v>-2.1208768543554641</v>
      </c>
    </row>
    <row r="3227" spans="1:14">
      <c r="A3227" t="s">
        <v>17</v>
      </c>
      <c r="B3227" s="2">
        <f t="shared" si="205"/>
        <v>155</v>
      </c>
      <c r="C3227">
        <v>616</v>
      </c>
      <c r="D3227">
        <v>548</v>
      </c>
      <c r="E3227">
        <v>296</v>
      </c>
      <c r="F3227">
        <f t="shared" si="207"/>
        <v>5.9197483667746353E-2</v>
      </c>
      <c r="G3227">
        <f t="shared" si="208"/>
        <v>-0.17898891043789608</v>
      </c>
      <c r="I3227">
        <f t="shared" si="206"/>
        <v>-5.9895713385074864E-2</v>
      </c>
      <c r="J3227">
        <v>296</v>
      </c>
      <c r="K3227">
        <v>104</v>
      </c>
      <c r="L3227">
        <v>-0.17898891043789608</v>
      </c>
      <c r="M3227">
        <f t="shared" si="209"/>
        <v>-0.58380727750355443</v>
      </c>
      <c r="N3227">
        <v>5.9197483667746353E-2</v>
      </c>
    </row>
    <row r="3228" spans="1:14">
      <c r="A3228" t="s">
        <v>18</v>
      </c>
      <c r="B3228" s="2">
        <f t="shared" si="205"/>
        <v>155</v>
      </c>
      <c r="C3228">
        <v>1221</v>
      </c>
      <c r="D3228">
        <v>22</v>
      </c>
      <c r="E3228">
        <v>57</v>
      </c>
      <c r="F3228">
        <f t="shared" si="207"/>
        <v>-1.6342953457748737</v>
      </c>
      <c r="G3228">
        <f t="shared" si="208"/>
        <v>-1.1915407176048003</v>
      </c>
      <c r="I3228">
        <f t="shared" si="206"/>
        <v>-1.4129180316898369</v>
      </c>
      <c r="J3228">
        <v>57</v>
      </c>
      <c r="K3228">
        <v>80</v>
      </c>
      <c r="L3228">
        <v>-1.1915407176048003</v>
      </c>
      <c r="M3228">
        <f t="shared" si="209"/>
        <v>-0.99488558159084828</v>
      </c>
      <c r="N3228">
        <v>-1.6342953457748737</v>
      </c>
    </row>
    <row r="3229" spans="1:14">
      <c r="A3229" t="s">
        <v>19</v>
      </c>
      <c r="B3229" s="2">
        <f t="shared" si="205"/>
        <v>155</v>
      </c>
      <c r="C3229">
        <v>892</v>
      </c>
      <c r="D3229">
        <v>1882</v>
      </c>
      <c r="E3229">
        <v>956</v>
      </c>
      <c r="F3229">
        <f t="shared" si="207"/>
        <v>0.43425240206291771</v>
      </c>
      <c r="G3229">
        <f t="shared" si="208"/>
        <v>0.16939312856756777</v>
      </c>
      <c r="I3229">
        <f t="shared" si="206"/>
        <v>0.30182276531524277</v>
      </c>
      <c r="J3229">
        <v>956</v>
      </c>
      <c r="K3229">
        <v>449</v>
      </c>
      <c r="L3229">
        <v>0.16939312856756777</v>
      </c>
      <c r="M3229">
        <f t="shared" si="209"/>
        <v>-0.10937841801070924</v>
      </c>
      <c r="N3229">
        <v>0.43425240206291771</v>
      </c>
    </row>
    <row r="3230" spans="1:14">
      <c r="A3230" t="s">
        <v>20</v>
      </c>
      <c r="B3230" s="2">
        <f t="shared" si="205"/>
        <v>155</v>
      </c>
      <c r="C3230">
        <v>1757</v>
      </c>
      <c r="D3230">
        <v>1274</v>
      </c>
      <c r="E3230">
        <v>1369</v>
      </c>
      <c r="F3230">
        <f t="shared" si="207"/>
        <v>-2.9604696148160678E-2</v>
      </c>
      <c r="G3230">
        <f t="shared" si="208"/>
        <v>3.0931777306285824E-2</v>
      </c>
      <c r="I3230">
        <f t="shared" si="206"/>
        <v>6.6354057906257286E-4</v>
      </c>
      <c r="J3230">
        <v>1369</v>
      </c>
      <c r="K3230">
        <v>1294</v>
      </c>
      <c r="L3230">
        <v>3.0931777306285824E-2</v>
      </c>
      <c r="M3230">
        <f t="shared" si="209"/>
        <v>5.5902610199477287E-2</v>
      </c>
      <c r="N3230">
        <v>-2.9604696148160678E-2</v>
      </c>
    </row>
    <row r="3231" spans="1:14">
      <c r="A3231" t="s">
        <v>21</v>
      </c>
      <c r="B3231" s="2">
        <f t="shared" si="205"/>
        <v>155</v>
      </c>
      <c r="C3231">
        <v>57</v>
      </c>
      <c r="D3231">
        <v>1</v>
      </c>
      <c r="E3231">
        <v>4</v>
      </c>
      <c r="F3231">
        <f t="shared" si="207"/>
        <v>-1.6458772183246888</v>
      </c>
      <c r="G3231">
        <f t="shared" si="208"/>
        <v>-1.0145147736769382</v>
      </c>
      <c r="I3231">
        <f t="shared" si="206"/>
        <v>-1.3301959960008136</v>
      </c>
      <c r="J3231">
        <v>4</v>
      </c>
      <c r="K3231">
        <v>5</v>
      </c>
      <c r="L3231">
        <v>-1.0145147736769382</v>
      </c>
      <c r="M3231">
        <f t="shared" si="209"/>
        <v>-0.86816475597438203</v>
      </c>
      <c r="N3231">
        <v>-1.6458772183246888</v>
      </c>
    </row>
    <row r="3232" spans="1:14">
      <c r="A3232" t="s">
        <v>22</v>
      </c>
      <c r="B3232" s="2">
        <f t="shared" si="205"/>
        <v>155</v>
      </c>
      <c r="C3232">
        <v>692</v>
      </c>
      <c r="D3232">
        <v>12</v>
      </c>
      <c r="E3232">
        <v>96</v>
      </c>
      <c r="F3232">
        <f t="shared" si="207"/>
        <v>-1.6509272110613304</v>
      </c>
      <c r="G3232">
        <f t="shared" si="208"/>
        <v>-0.71853477074959871</v>
      </c>
      <c r="I3232">
        <f t="shared" si="206"/>
        <v>-1.1847309909054646</v>
      </c>
      <c r="J3232">
        <v>96</v>
      </c>
      <c r="K3232">
        <v>89</v>
      </c>
      <c r="L3232">
        <v>-0.71853477074959871</v>
      </c>
      <c r="M3232">
        <f t="shared" si="209"/>
        <v>-0.70197599244975428</v>
      </c>
      <c r="N3232">
        <v>-1.6509272110613304</v>
      </c>
    </row>
    <row r="3233" spans="1:14">
      <c r="A3233" t="s">
        <v>23</v>
      </c>
      <c r="B3233" s="2">
        <f t="shared" si="205"/>
        <v>155</v>
      </c>
      <c r="C3233">
        <v>1352</v>
      </c>
      <c r="D3233">
        <v>188</v>
      </c>
      <c r="E3233">
        <v>258</v>
      </c>
      <c r="F3233">
        <f t="shared" si="207"/>
        <v>-0.74682120499413462</v>
      </c>
      <c r="G3233">
        <f t="shared" si="208"/>
        <v>-0.58005689497479618</v>
      </c>
      <c r="I3233">
        <f t="shared" si="206"/>
        <v>-0.66343904998446535</v>
      </c>
      <c r="J3233">
        <v>258</v>
      </c>
      <c r="K3233">
        <v>153</v>
      </c>
      <c r="L3233">
        <v>-0.58005689497479618</v>
      </c>
      <c r="M3233">
        <f t="shared" si="209"/>
        <v>-0.75754516542592765</v>
      </c>
      <c r="N3233">
        <v>-0.74682120499413462</v>
      </c>
    </row>
    <row r="3234" spans="1:14">
      <c r="A3234" t="s">
        <v>24</v>
      </c>
      <c r="B3234" s="2">
        <f t="shared" si="205"/>
        <v>155</v>
      </c>
      <c r="C3234">
        <v>1937</v>
      </c>
      <c r="D3234">
        <v>18</v>
      </c>
      <c r="E3234">
        <v>161</v>
      </c>
      <c r="F3234">
        <f t="shared" si="207"/>
        <v>-1.9218594782680023</v>
      </c>
      <c r="G3234">
        <f t="shared" si="208"/>
        <v>-0.94100365401967023</v>
      </c>
      <c r="I3234">
        <f t="shared" si="206"/>
        <v>-1.4314315661438362</v>
      </c>
      <c r="J3234">
        <v>161</v>
      </c>
      <c r="K3234">
        <v>103</v>
      </c>
      <c r="L3234">
        <v>-0.94100365401967023</v>
      </c>
      <c r="M3234">
        <f t="shared" si="209"/>
        <v>-1.0855523006518477</v>
      </c>
      <c r="N3234">
        <v>-1.9218594782680023</v>
      </c>
    </row>
    <row r="3235" spans="1:14">
      <c r="A3235" t="s">
        <v>25</v>
      </c>
      <c r="B3235" s="2">
        <f t="shared" si="205"/>
        <v>155</v>
      </c>
      <c r="C3235">
        <v>1336</v>
      </c>
      <c r="D3235">
        <v>37</v>
      </c>
      <c r="E3235">
        <v>213</v>
      </c>
      <c r="F3235">
        <f t="shared" si="207"/>
        <v>-1.4476070967247292</v>
      </c>
      <c r="G3235">
        <f t="shared" si="208"/>
        <v>-0.65812676403319836</v>
      </c>
      <c r="I3235">
        <f t="shared" si="206"/>
        <v>-1.0528669303789637</v>
      </c>
      <c r="J3235">
        <v>213</v>
      </c>
      <c r="K3235">
        <v>120</v>
      </c>
      <c r="L3235">
        <v>-0.65812676403319836</v>
      </c>
      <c r="M3235">
        <f t="shared" si="209"/>
        <v>-0.85788511672981127</v>
      </c>
      <c r="N3235">
        <v>-1.4476070967247292</v>
      </c>
    </row>
    <row r="3236" spans="1:14">
      <c r="A3236" t="s">
        <v>7</v>
      </c>
      <c r="B3236" s="2">
        <f t="shared" si="205"/>
        <v>156</v>
      </c>
      <c r="C3236">
        <v>1258</v>
      </c>
      <c r="D3236">
        <v>9790</v>
      </c>
      <c r="E3236">
        <v>492</v>
      </c>
      <c r="F3236">
        <f t="shared" si="207"/>
        <v>1.0010996880416902</v>
      </c>
      <c r="G3236">
        <f t="shared" si="208"/>
        <v>-0.26841544767429903</v>
      </c>
      <c r="I3236">
        <f t="shared" si="206"/>
        <v>0.36634212018369561</v>
      </c>
      <c r="J3236">
        <v>492</v>
      </c>
      <c r="K3236">
        <v>625</v>
      </c>
      <c r="L3236">
        <v>-0.26841544767429903</v>
      </c>
      <c r="M3236">
        <f t="shared" si="209"/>
        <v>-0.11506052840308423</v>
      </c>
      <c r="N3236">
        <v>1.0010996880416902</v>
      </c>
    </row>
    <row r="3237" spans="1:14">
      <c r="A3237" t="s">
        <v>8</v>
      </c>
      <c r="B3237" s="2">
        <f t="shared" si="205"/>
        <v>156</v>
      </c>
      <c r="C3237">
        <v>1713</v>
      </c>
      <c r="D3237">
        <v>391</v>
      </c>
      <c r="E3237">
        <v>188</v>
      </c>
      <c r="F3237">
        <f t="shared" si="207"/>
        <v>-0.53158296822184103</v>
      </c>
      <c r="G3237">
        <f t="shared" si="208"/>
        <v>-0.82029942303423986</v>
      </c>
      <c r="I3237">
        <f t="shared" si="206"/>
        <v>-0.67594119562804045</v>
      </c>
      <c r="J3237">
        <v>188</v>
      </c>
      <c r="K3237">
        <v>125</v>
      </c>
      <c r="L3237">
        <v>-0.82029942303423986</v>
      </c>
      <c r="M3237">
        <f t="shared" si="209"/>
        <v>-0.94810725459536338</v>
      </c>
      <c r="N3237">
        <v>-0.53158296822184103</v>
      </c>
    </row>
    <row r="3238" spans="1:14">
      <c r="A3238" t="s">
        <v>5</v>
      </c>
      <c r="B3238" s="2">
        <f t="shared" si="205"/>
        <v>156</v>
      </c>
      <c r="C3238">
        <v>835</v>
      </c>
      <c r="D3238">
        <v>34</v>
      </c>
      <c r="E3238">
        <v>430</v>
      </c>
      <c r="F3238">
        <f t="shared" si="207"/>
        <v>-1.2802099210935443</v>
      </c>
      <c r="G3238">
        <f t="shared" si="208"/>
        <v>-0.1489179292364248</v>
      </c>
      <c r="I3238">
        <f t="shared" si="206"/>
        <v>-0.71456392516498457</v>
      </c>
      <c r="J3238">
        <v>430</v>
      </c>
      <c r="K3238">
        <v>85</v>
      </c>
      <c r="L3238">
        <v>-0.1489179292364248</v>
      </c>
      <c r="M3238">
        <f t="shared" si="209"/>
        <v>-0.80352745440721862</v>
      </c>
      <c r="N3238">
        <v>-1.2802099210935443</v>
      </c>
    </row>
    <row r="3239" spans="1:14">
      <c r="A3239" t="s">
        <v>6</v>
      </c>
      <c r="B3239" s="2">
        <f t="shared" si="205"/>
        <v>156</v>
      </c>
      <c r="C3239">
        <v>955</v>
      </c>
      <c r="D3239">
        <v>116</v>
      </c>
      <c r="E3239">
        <v>721</v>
      </c>
      <c r="F3239">
        <f t="shared" si="207"/>
        <v>-0.80554774500902526</v>
      </c>
      <c r="G3239">
        <f t="shared" si="208"/>
        <v>1.7231983803273468E-2</v>
      </c>
      <c r="I3239">
        <f t="shared" si="206"/>
        <v>-0.39415788060287588</v>
      </c>
      <c r="J3239">
        <v>721</v>
      </c>
      <c r="K3239">
        <v>69</v>
      </c>
      <c r="L3239">
        <v>1.7231983803273468E-2</v>
      </c>
      <c r="M3239">
        <f t="shared" si="209"/>
        <v>-0.95241418548440027</v>
      </c>
      <c r="N3239">
        <v>-0.80554774500902526</v>
      </c>
    </row>
    <row r="3240" spans="1:14">
      <c r="A3240" t="s">
        <v>10</v>
      </c>
      <c r="B3240" s="2">
        <f t="shared" si="205"/>
        <v>156</v>
      </c>
      <c r="C3240">
        <v>1180</v>
      </c>
      <c r="D3240">
        <v>370</v>
      </c>
      <c r="E3240">
        <v>400</v>
      </c>
      <c r="F3240">
        <f t="shared" si="207"/>
        <v>-0.39368264589132773</v>
      </c>
      <c r="G3240">
        <f t="shared" si="208"/>
        <v>-0.33052192531057223</v>
      </c>
      <c r="I3240">
        <f t="shared" si="206"/>
        <v>-0.36210228560094998</v>
      </c>
      <c r="J3240">
        <v>400</v>
      </c>
      <c r="K3240">
        <v>9582</v>
      </c>
      <c r="L3240">
        <v>-0.33052192531057223</v>
      </c>
      <c r="M3240">
        <f t="shared" si="209"/>
        <v>1.098314254578092</v>
      </c>
      <c r="N3240">
        <v>-0.39368264589132773</v>
      </c>
    </row>
    <row r="3241" spans="1:14">
      <c r="A3241" t="s">
        <v>11</v>
      </c>
      <c r="B3241" s="2">
        <f t="shared" si="205"/>
        <v>156</v>
      </c>
      <c r="C3241">
        <v>1945</v>
      </c>
      <c r="D3241">
        <v>414</v>
      </c>
      <c r="E3241">
        <v>694</v>
      </c>
      <c r="F3241">
        <f t="shared" si="207"/>
        <v>-0.56192162719302496</v>
      </c>
      <c r="G3241">
        <f t="shared" si="208"/>
        <v>-0.3082600445392808</v>
      </c>
      <c r="I3241">
        <f t="shared" si="206"/>
        <v>-0.43509083586615288</v>
      </c>
      <c r="J3241">
        <v>694</v>
      </c>
      <c r="K3241">
        <v>434</v>
      </c>
      <c r="L3241">
        <v>-0.3082600445392808</v>
      </c>
      <c r="M3241">
        <f t="shared" si="209"/>
        <v>-0.46268978078712519</v>
      </c>
      <c r="N3241">
        <v>-0.56192162719302496</v>
      </c>
    </row>
    <row r="3242" spans="1:14">
      <c r="A3242" t="s">
        <v>12</v>
      </c>
      <c r="B3242" s="2">
        <f t="shared" si="205"/>
        <v>156</v>
      </c>
      <c r="C3242">
        <v>36</v>
      </c>
      <c r="D3242">
        <v>32</v>
      </c>
      <c r="E3242">
        <v>29</v>
      </c>
      <c r="F3242">
        <f t="shared" si="207"/>
        <v>5.8845114900421332E-2</v>
      </c>
      <c r="G3242">
        <f t="shared" si="208"/>
        <v>4.5395587799259618E-2</v>
      </c>
      <c r="I3242">
        <f t="shared" si="206"/>
        <v>5.2120351349840471E-2</v>
      </c>
      <c r="J3242">
        <v>29</v>
      </c>
      <c r="K3242">
        <v>25</v>
      </c>
      <c r="L3242">
        <v>4.5395587799259618E-2</v>
      </c>
      <c r="M3242">
        <f t="shared" si="209"/>
        <v>3.0377603266841025E-2</v>
      </c>
      <c r="N3242">
        <v>5.8845114900421332E-2</v>
      </c>
    </row>
    <row r="3243" spans="1:14">
      <c r="A3243" t="s">
        <v>9</v>
      </c>
      <c r="B3243" s="2">
        <f t="shared" si="205"/>
        <v>156</v>
      </c>
      <c r="C3243">
        <v>1512</v>
      </c>
      <c r="D3243">
        <v>227</v>
      </c>
      <c r="E3243">
        <v>144</v>
      </c>
      <c r="F3243">
        <f t="shared" si="207"/>
        <v>-0.71352829662426231</v>
      </c>
      <c r="G3243">
        <f t="shared" si="208"/>
        <v>-0.8818892084023473</v>
      </c>
      <c r="I3243">
        <f t="shared" si="206"/>
        <v>-0.79770875251330486</v>
      </c>
      <c r="J3243">
        <v>144</v>
      </c>
      <c r="K3243">
        <v>200</v>
      </c>
      <c r="L3243">
        <v>-0.8818892084023473</v>
      </c>
      <c r="M3243">
        <f t="shared" si="209"/>
        <v>-0.68978170013911588</v>
      </c>
      <c r="N3243">
        <v>-0.71352829662426231</v>
      </c>
    </row>
    <row r="3244" spans="1:14">
      <c r="A3244" t="s">
        <v>13</v>
      </c>
      <c r="B3244" s="2">
        <f t="shared" si="205"/>
        <v>156</v>
      </c>
      <c r="C3244">
        <v>1254</v>
      </c>
      <c r="D3244">
        <v>8</v>
      </c>
      <c r="E3244">
        <v>98</v>
      </c>
      <c r="F3244">
        <f t="shared" si="207"/>
        <v>-2.0852099121549514</v>
      </c>
      <c r="G3244">
        <f t="shared" si="208"/>
        <v>-0.96777137013461201</v>
      </c>
      <c r="I3244">
        <f t="shared" si="206"/>
        <v>-1.5264906411447816</v>
      </c>
      <c r="J3244">
        <v>98</v>
      </c>
      <c r="K3244">
        <v>62</v>
      </c>
      <c r="L3244">
        <v>-0.96777137013461201</v>
      </c>
      <c r="M3244">
        <f t="shared" si="209"/>
        <v>-1.1171657516343529</v>
      </c>
      <c r="N3244">
        <v>-2.0852099121549514</v>
      </c>
    </row>
    <row r="3245" spans="1:14">
      <c r="A3245" t="s">
        <v>14</v>
      </c>
      <c r="B3245" s="2">
        <f t="shared" si="205"/>
        <v>156</v>
      </c>
      <c r="C3245">
        <v>1115</v>
      </c>
      <c r="D3245">
        <v>20</v>
      </c>
      <c r="E3245">
        <v>43</v>
      </c>
      <c r="F3245">
        <f t="shared" si="207"/>
        <v>-1.6362472343723957</v>
      </c>
      <c r="G3245">
        <f t="shared" si="208"/>
        <v>-1.2745063211370022</v>
      </c>
      <c r="I3245">
        <f t="shared" si="206"/>
        <v>-1.4553767777546991</v>
      </c>
      <c r="J3245">
        <v>43</v>
      </c>
      <c r="K3245">
        <v>42</v>
      </c>
      <c r="L3245">
        <v>-1.2745063211370022</v>
      </c>
      <c r="M3245">
        <f t="shared" si="209"/>
        <v>-1.2352854816241883</v>
      </c>
      <c r="N3245">
        <v>-1.6362472343723957</v>
      </c>
    </row>
    <row r="3246" spans="1:14">
      <c r="A3246" t="s">
        <v>15</v>
      </c>
      <c r="B3246" s="2">
        <f t="shared" si="205"/>
        <v>156</v>
      </c>
      <c r="C3246">
        <v>2080</v>
      </c>
      <c r="D3246">
        <v>2500</v>
      </c>
      <c r="E3246">
        <v>3854</v>
      </c>
      <c r="F3246">
        <f t="shared" si="207"/>
        <v>0.18987431105707869</v>
      </c>
      <c r="G3246">
        <f t="shared" si="208"/>
        <v>0.40714846602426336</v>
      </c>
      <c r="I3246">
        <f t="shared" si="206"/>
        <v>0.29851138854067105</v>
      </c>
      <c r="J3246">
        <v>3854</v>
      </c>
      <c r="K3246">
        <v>1719</v>
      </c>
      <c r="L3246">
        <v>0.40714846602426336</v>
      </c>
      <c r="M3246">
        <f t="shared" si="209"/>
        <v>0.10595263708638153</v>
      </c>
      <c r="N3246">
        <v>0.18987431105707869</v>
      </c>
    </row>
    <row r="3247" spans="1:14">
      <c r="A3247" t="s">
        <v>16</v>
      </c>
      <c r="B3247" s="2">
        <f t="shared" si="205"/>
        <v>156</v>
      </c>
      <c r="C3247">
        <v>989</v>
      </c>
      <c r="D3247">
        <v>137</v>
      </c>
      <c r="E3247">
        <v>666</v>
      </c>
      <c r="F3247">
        <f t="shared" si="207"/>
        <v>-0.74847808709296992</v>
      </c>
      <c r="G3247">
        <f t="shared" si="208"/>
        <v>-3.2421971759287543E-2</v>
      </c>
      <c r="I3247">
        <f t="shared" si="206"/>
        <v>-0.39045002942612872</v>
      </c>
      <c r="J3247">
        <v>666</v>
      </c>
      <c r="K3247">
        <v>418</v>
      </c>
      <c r="L3247">
        <v>-3.2421971759287543E-2</v>
      </c>
      <c r="M3247">
        <f t="shared" si="209"/>
        <v>-0.18527991446005354</v>
      </c>
      <c r="N3247">
        <v>-0.74847808709296992</v>
      </c>
    </row>
    <row r="3248" spans="1:14">
      <c r="A3248" t="s">
        <v>17</v>
      </c>
      <c r="B3248" s="2">
        <f t="shared" si="205"/>
        <v>156</v>
      </c>
      <c r="C3248">
        <v>1299</v>
      </c>
      <c r="D3248">
        <v>161</v>
      </c>
      <c r="E3248">
        <v>356</v>
      </c>
      <c r="F3248">
        <f t="shared" si="207"/>
        <v>-0.79678563769337551</v>
      </c>
      <c r="G3248">
        <f t="shared" si="208"/>
        <v>-0.42285906243256199</v>
      </c>
      <c r="I3248">
        <f t="shared" si="206"/>
        <v>-0.6098223500629687</v>
      </c>
      <c r="J3248">
        <v>356</v>
      </c>
      <c r="K3248">
        <v>217</v>
      </c>
      <c r="L3248">
        <v>-0.42285906243256199</v>
      </c>
      <c r="M3248">
        <f t="shared" si="209"/>
        <v>-0.58840932186240769</v>
      </c>
      <c r="N3248">
        <v>-0.79678563769337551</v>
      </c>
    </row>
    <row r="3249" spans="1:14">
      <c r="A3249" t="s">
        <v>18</v>
      </c>
      <c r="B3249" s="2">
        <f t="shared" si="205"/>
        <v>156</v>
      </c>
      <c r="C3249">
        <v>688</v>
      </c>
      <c r="D3249">
        <v>31</v>
      </c>
      <c r="E3249">
        <v>528</v>
      </c>
      <c r="F3249">
        <f t="shared" si="207"/>
        <v>-1.2362291070534359</v>
      </c>
      <c r="G3249">
        <f t="shared" si="208"/>
        <v>2.434557496589175E-2</v>
      </c>
      <c r="I3249">
        <f t="shared" si="206"/>
        <v>-0.60594176604377203</v>
      </c>
      <c r="J3249">
        <v>528</v>
      </c>
      <c r="K3249">
        <v>367</v>
      </c>
      <c r="L3249">
        <v>2.434557496589175E-2</v>
      </c>
      <c r="M3249">
        <f t="shared" si="209"/>
        <v>-8.4182278621331319E-2</v>
      </c>
      <c r="N3249">
        <v>-1.2362291070534359</v>
      </c>
    </row>
    <row r="3250" spans="1:14">
      <c r="A3250" t="s">
        <v>19</v>
      </c>
      <c r="B3250" s="2">
        <f t="shared" si="205"/>
        <v>156</v>
      </c>
      <c r="C3250">
        <v>1590</v>
      </c>
      <c r="D3250">
        <v>26</v>
      </c>
      <c r="E3250">
        <v>335</v>
      </c>
      <c r="F3250">
        <f t="shared" si="207"/>
        <v>-1.6764261390018309</v>
      </c>
      <c r="G3250">
        <f t="shared" si="208"/>
        <v>-0.53705222661601548</v>
      </c>
      <c r="I3250">
        <f t="shared" si="206"/>
        <v>-1.1067391828089232</v>
      </c>
      <c r="J3250">
        <v>335</v>
      </c>
      <c r="K3250">
        <v>44</v>
      </c>
      <c r="L3250">
        <v>-0.53705222661601548</v>
      </c>
      <c r="M3250">
        <f t="shared" si="209"/>
        <v>-1.3692043524721735</v>
      </c>
      <c r="N3250">
        <v>-1.6764261390018309</v>
      </c>
    </row>
    <row r="3251" spans="1:14">
      <c r="A3251" t="s">
        <v>20</v>
      </c>
      <c r="B3251" s="2">
        <f t="shared" si="205"/>
        <v>156</v>
      </c>
      <c r="C3251">
        <v>1943</v>
      </c>
      <c r="D3251">
        <v>10</v>
      </c>
      <c r="E3251">
        <v>994</v>
      </c>
      <c r="F3251">
        <f t="shared" si="207"/>
        <v>-2.1784751632519801</v>
      </c>
      <c r="G3251">
        <f t="shared" si="208"/>
        <v>-0.15178632553487845</v>
      </c>
      <c r="I3251">
        <f t="shared" si="206"/>
        <v>-1.1651307443934293</v>
      </c>
      <c r="J3251">
        <v>994</v>
      </c>
      <c r="K3251">
        <v>453</v>
      </c>
      <c r="L3251">
        <v>-0.15178632553487845</v>
      </c>
      <c r="M3251">
        <f t="shared" si="209"/>
        <v>-0.44363450322485998</v>
      </c>
      <c r="N3251">
        <v>-2.1784751632519801</v>
      </c>
    </row>
    <row r="3252" spans="1:14">
      <c r="A3252" t="s">
        <v>21</v>
      </c>
      <c r="B3252" s="2">
        <f t="shared" si="205"/>
        <v>156</v>
      </c>
      <c r="C3252">
        <v>1586</v>
      </c>
      <c r="D3252">
        <v>131</v>
      </c>
      <c r="E3252">
        <v>765</v>
      </c>
      <c r="F3252">
        <f t="shared" si="207"/>
        <v>-0.97303424997801802</v>
      </c>
      <c r="G3252">
        <f t="shared" si="208"/>
        <v>-0.17734165716037661</v>
      </c>
      <c r="I3252">
        <f t="shared" si="206"/>
        <v>-0.57518795356919727</v>
      </c>
      <c r="J3252">
        <v>765</v>
      </c>
      <c r="K3252">
        <v>377</v>
      </c>
      <c r="L3252">
        <v>-0.17734165716037661</v>
      </c>
      <c r="M3252">
        <f t="shared" si="209"/>
        <v>-0.43522173741370151</v>
      </c>
      <c r="N3252">
        <v>-0.97303424997801802</v>
      </c>
    </row>
    <row r="3253" spans="1:14">
      <c r="A3253" t="s">
        <v>22</v>
      </c>
      <c r="B3253" s="2">
        <f t="shared" si="205"/>
        <v>156</v>
      </c>
      <c r="C3253">
        <v>887</v>
      </c>
      <c r="D3253">
        <v>12</v>
      </c>
      <c r="E3253">
        <v>39</v>
      </c>
      <c r="F3253">
        <f t="shared" si="207"/>
        <v>-1.7587447364362989</v>
      </c>
      <c r="G3253">
        <f t="shared" si="208"/>
        <v>-1.2175589221376364</v>
      </c>
      <c r="I3253">
        <f t="shared" si="206"/>
        <v>-1.4881518292869678</v>
      </c>
      <c r="J3253">
        <v>39</v>
      </c>
      <c r="K3253">
        <v>63</v>
      </c>
      <c r="L3253">
        <v>-1.2175589221376364</v>
      </c>
      <c r="M3253">
        <f t="shared" si="209"/>
        <v>-0.95984297501605409</v>
      </c>
      <c r="N3253">
        <v>-1.7587447364362989</v>
      </c>
    </row>
    <row r="3254" spans="1:14">
      <c r="A3254" t="s">
        <v>23</v>
      </c>
      <c r="B3254" s="2">
        <f t="shared" si="205"/>
        <v>156</v>
      </c>
      <c r="C3254">
        <v>532</v>
      </c>
      <c r="D3254">
        <v>6</v>
      </c>
      <c r="E3254">
        <v>25</v>
      </c>
      <c r="F3254">
        <f t="shared" si="207"/>
        <v>-1.837762744563602</v>
      </c>
      <c r="G3254">
        <f t="shared" si="208"/>
        <v>-1.1886715329554198</v>
      </c>
      <c r="I3254">
        <f t="shared" si="206"/>
        <v>-1.513217138759511</v>
      </c>
      <c r="J3254">
        <v>25</v>
      </c>
      <c r="K3254">
        <v>18</v>
      </c>
      <c r="L3254">
        <v>-1.1886715329554198</v>
      </c>
      <c r="M3254">
        <f t="shared" si="209"/>
        <v>-1.2818990318296515</v>
      </c>
      <c r="N3254">
        <v>-1.837762744563602</v>
      </c>
    </row>
    <row r="3255" spans="1:14">
      <c r="A3255" t="s">
        <v>24</v>
      </c>
      <c r="B3255" s="2">
        <f t="shared" si="205"/>
        <v>156</v>
      </c>
      <c r="C3255">
        <v>670</v>
      </c>
      <c r="D3255">
        <v>2</v>
      </c>
      <c r="E3255">
        <v>37</v>
      </c>
      <c r="F3255">
        <f t="shared" si="207"/>
        <v>-2.4150471696890428</v>
      </c>
      <c r="G3255">
        <f t="shared" si="208"/>
        <v>-1.1185729879662407</v>
      </c>
      <c r="I3255">
        <f t="shared" si="206"/>
        <v>-1.7668100788276417</v>
      </c>
      <c r="J3255">
        <v>37</v>
      </c>
      <c r="K3255">
        <v>38</v>
      </c>
      <c r="L3255">
        <v>-1.1185729879662407</v>
      </c>
      <c r="M3255">
        <f t="shared" si="209"/>
        <v>-1.0575511107219255</v>
      </c>
      <c r="N3255">
        <v>-2.4150471696890428</v>
      </c>
    </row>
    <row r="3256" spans="1:14">
      <c r="A3256" t="s">
        <v>25</v>
      </c>
      <c r="B3256" s="2">
        <f t="shared" si="205"/>
        <v>156</v>
      </c>
      <c r="C3256">
        <v>1008</v>
      </c>
      <c r="D3256">
        <v>56</v>
      </c>
      <c r="E3256">
        <v>71</v>
      </c>
      <c r="F3256">
        <f t="shared" si="207"/>
        <v>-1.1452748677555034</v>
      </c>
      <c r="G3256">
        <f t="shared" si="208"/>
        <v>-1.0129020927228405</v>
      </c>
      <c r="I3256">
        <f t="shared" si="206"/>
        <v>-1.079088480239172</v>
      </c>
      <c r="J3256">
        <v>71</v>
      </c>
      <c r="K3256">
        <v>104</v>
      </c>
      <c r="L3256">
        <v>-1.0129020927228405</v>
      </c>
      <c r="M3256">
        <f t="shared" si="209"/>
        <v>-0.79768709744863542</v>
      </c>
      <c r="N3256">
        <v>-1.1452748677555034</v>
      </c>
    </row>
    <row r="3257" spans="1:14">
      <c r="A3257" t="s">
        <v>7</v>
      </c>
      <c r="B3257" s="2">
        <f t="shared" si="205"/>
        <v>157</v>
      </c>
      <c r="C3257">
        <v>2759</v>
      </c>
      <c r="D3257">
        <v>34</v>
      </c>
      <c r="E3257">
        <v>637</v>
      </c>
      <c r="F3257">
        <f t="shared" si="207"/>
        <v>-1.7992751460891276</v>
      </c>
      <c r="G3257">
        <f t="shared" si="208"/>
        <v>-0.49731217747624434</v>
      </c>
      <c r="I3257">
        <f t="shared" si="206"/>
        <v>-1.148293661782686</v>
      </c>
      <c r="J3257">
        <v>637</v>
      </c>
      <c r="K3257">
        <v>409</v>
      </c>
      <c r="L3257">
        <v>-0.49731217747624434</v>
      </c>
      <c r="M3257">
        <f t="shared" si="209"/>
        <v>-0.64028829710975299</v>
      </c>
      <c r="N3257">
        <v>-1.7992751460891276</v>
      </c>
    </row>
    <row r="3258" spans="1:14">
      <c r="A3258" t="s">
        <v>8</v>
      </c>
      <c r="B3258" s="2">
        <f t="shared" si="205"/>
        <v>157</v>
      </c>
      <c r="C3258">
        <v>2642</v>
      </c>
      <c r="D3258">
        <v>43</v>
      </c>
      <c r="E3258">
        <v>484</v>
      </c>
      <c r="F3258">
        <f t="shared" si="207"/>
        <v>-1.6784667203511192</v>
      </c>
      <c r="G3258">
        <f t="shared" si="208"/>
        <v>-0.5977873609665052</v>
      </c>
      <c r="I3258">
        <f t="shared" si="206"/>
        <v>-1.1381270406588122</v>
      </c>
      <c r="J3258">
        <v>484</v>
      </c>
      <c r="K3258">
        <v>406</v>
      </c>
      <c r="L3258">
        <v>-0.5977873609665052</v>
      </c>
      <c r="M3258">
        <f t="shared" si="209"/>
        <v>-0.62466668433922368</v>
      </c>
      <c r="N3258">
        <v>-1.6784667203511192</v>
      </c>
    </row>
    <row r="3259" spans="1:14">
      <c r="A3259" t="s">
        <v>5</v>
      </c>
      <c r="B3259" s="2">
        <f t="shared" si="205"/>
        <v>157</v>
      </c>
      <c r="C3259">
        <v>2019</v>
      </c>
      <c r="D3259">
        <v>91</v>
      </c>
      <c r="E3259">
        <v>100</v>
      </c>
      <c r="F3259">
        <f t="shared" si="207"/>
        <v>-1.236097289274743</v>
      </c>
      <c r="G3259">
        <f t="shared" si="208"/>
        <v>-1.1658362282760486</v>
      </c>
      <c r="I3259">
        <f t="shared" si="206"/>
        <v>-1.2009667587753958</v>
      </c>
      <c r="J3259">
        <v>100</v>
      </c>
      <c r="K3259">
        <v>56</v>
      </c>
      <c r="L3259">
        <v>-1.1658362282760486</v>
      </c>
      <c r="M3259">
        <f t="shared" si="209"/>
        <v>-1.3682081965753481</v>
      </c>
      <c r="N3259">
        <v>-1.236097289274743</v>
      </c>
    </row>
    <row r="3260" spans="1:14">
      <c r="A3260" t="s">
        <v>6</v>
      </c>
      <c r="B3260" s="2">
        <f t="shared" si="205"/>
        <v>157</v>
      </c>
      <c r="C3260">
        <v>960</v>
      </c>
      <c r="D3260">
        <v>20</v>
      </c>
      <c r="E3260">
        <v>27</v>
      </c>
      <c r="F3260">
        <f t="shared" si="207"/>
        <v>-1.5712436000277845</v>
      </c>
      <c r="G3260">
        <f t="shared" si="208"/>
        <v>-1.4116073782129903</v>
      </c>
      <c r="I3260">
        <f t="shared" si="206"/>
        <v>-1.4914254891203873</v>
      </c>
      <c r="J3260">
        <v>27</v>
      </c>
      <c r="K3260">
        <v>40</v>
      </c>
      <c r="L3260">
        <v>-1.4116073782129903</v>
      </c>
      <c r="M3260">
        <f t="shared" si="209"/>
        <v>-1.1914711463495156</v>
      </c>
      <c r="N3260">
        <v>-1.5712436000277845</v>
      </c>
    </row>
    <row r="3261" spans="1:14">
      <c r="A3261" t="s">
        <v>10</v>
      </c>
      <c r="B3261" s="2">
        <f t="shared" si="205"/>
        <v>157</v>
      </c>
      <c r="C3261">
        <v>2566</v>
      </c>
      <c r="D3261">
        <v>30</v>
      </c>
      <c r="E3261">
        <v>2608</v>
      </c>
      <c r="F3261">
        <f t="shared" si="207"/>
        <v>-1.8221377599714446</v>
      </c>
      <c r="G3261">
        <f t="shared" si="208"/>
        <v>0.14635102568856365</v>
      </c>
      <c r="I3261">
        <f t="shared" si="206"/>
        <v>-0.83789336714144047</v>
      </c>
      <c r="J3261">
        <v>2608</v>
      </c>
      <c r="K3261">
        <v>1209</v>
      </c>
      <c r="L3261">
        <v>0.14635102568856365</v>
      </c>
      <c r="M3261">
        <f t="shared" si="209"/>
        <v>-0.13809025581604711</v>
      </c>
      <c r="N3261">
        <v>-1.8221377599714446</v>
      </c>
    </row>
    <row r="3262" spans="1:14">
      <c r="A3262" t="s">
        <v>11</v>
      </c>
      <c r="B3262" s="2">
        <f t="shared" si="205"/>
        <v>157</v>
      </c>
      <c r="C3262">
        <v>1231</v>
      </c>
      <c r="D3262">
        <v>13</v>
      </c>
      <c r="E3262">
        <v>41</v>
      </c>
      <c r="F3262">
        <f t="shared" si="207"/>
        <v>-1.8663170632766768</v>
      </c>
      <c r="G3262">
        <f t="shared" si="208"/>
        <v>-1.33817410554399</v>
      </c>
      <c r="I3262">
        <f t="shared" si="206"/>
        <v>-1.6022455844103334</v>
      </c>
      <c r="J3262">
        <v>41</v>
      </c>
      <c r="K3262">
        <v>38</v>
      </c>
      <c r="L3262">
        <v>-1.33817410554399</v>
      </c>
      <c r="M3262">
        <f t="shared" si="209"/>
        <v>-1.3217343609524153</v>
      </c>
      <c r="N3262">
        <v>-1.8663170632766768</v>
      </c>
    </row>
    <row r="3263" spans="1:14">
      <c r="A3263" t="s">
        <v>12</v>
      </c>
      <c r="B3263" s="2">
        <f t="shared" si="205"/>
        <v>157</v>
      </c>
      <c r="C3263">
        <v>1345</v>
      </c>
      <c r="D3263">
        <v>14</v>
      </c>
      <c r="E3263">
        <v>94</v>
      </c>
      <c r="F3263">
        <f t="shared" si="207"/>
        <v>-1.8725966113123862</v>
      </c>
      <c r="G3263">
        <f t="shared" si="208"/>
        <v>-1.0162943400711375</v>
      </c>
      <c r="I3263">
        <f t="shared" si="206"/>
        <v>-1.444445475691762</v>
      </c>
      <c r="J3263">
        <v>94</v>
      </c>
      <c r="K3263">
        <v>44</v>
      </c>
      <c r="L3263">
        <v>-1.0162943400711375</v>
      </c>
      <c r="M3263">
        <f t="shared" si="209"/>
        <v>-1.2965295124901486</v>
      </c>
      <c r="N3263">
        <v>-1.8725966113123862</v>
      </c>
    </row>
    <row r="3264" spans="1:14">
      <c r="A3264" t="s">
        <v>9</v>
      </c>
      <c r="B3264" s="2">
        <f t="shared" si="205"/>
        <v>157</v>
      </c>
      <c r="C3264">
        <v>1167</v>
      </c>
      <c r="D3264">
        <v>6</v>
      </c>
      <c r="E3264">
        <v>46</v>
      </c>
      <c r="F3264">
        <f t="shared" si="207"/>
        <v>-2.178921968313924</v>
      </c>
      <c r="G3264">
        <f t="shared" si="208"/>
        <v>-1.2650129336962053</v>
      </c>
      <c r="I3264">
        <f t="shared" si="206"/>
        <v>-1.7219674510050647</v>
      </c>
      <c r="J3264">
        <v>46</v>
      </c>
      <c r="K3264">
        <v>51</v>
      </c>
      <c r="L3264">
        <v>-1.2650129336962053</v>
      </c>
      <c r="M3264">
        <f t="shared" si="209"/>
        <v>-1.1707605845853433</v>
      </c>
      <c r="N3264">
        <v>-2.178921968313924</v>
      </c>
    </row>
    <row r="3265" spans="1:14">
      <c r="A3265" t="s">
        <v>13</v>
      </c>
      <c r="B3265" s="2">
        <f t="shared" si="205"/>
        <v>157</v>
      </c>
      <c r="C3265">
        <v>1669</v>
      </c>
      <c r="D3265">
        <v>19</v>
      </c>
      <c r="E3265">
        <v>248</v>
      </c>
      <c r="F3265">
        <f t="shared" si="207"/>
        <v>-1.8337050983786152</v>
      </c>
      <c r="G3265">
        <f t="shared" si="208"/>
        <v>-0.68870456518543965</v>
      </c>
      <c r="I3265">
        <f t="shared" si="206"/>
        <v>-1.2612048317820275</v>
      </c>
      <c r="J3265">
        <v>248</v>
      </c>
      <c r="K3265">
        <v>429</v>
      </c>
      <c r="L3265">
        <v>-0.68870456518543965</v>
      </c>
      <c r="M3265">
        <f t="shared" si="209"/>
        <v>-0.40125894913243176</v>
      </c>
      <c r="N3265">
        <v>-1.8337050983786152</v>
      </c>
    </row>
    <row r="3266" spans="1:14">
      <c r="A3266" t="s">
        <v>14</v>
      </c>
      <c r="B3266" s="2">
        <f t="shared" si="205"/>
        <v>157</v>
      </c>
      <c r="C3266">
        <v>865</v>
      </c>
      <c r="D3266">
        <v>7</v>
      </c>
      <c r="E3266">
        <v>511</v>
      </c>
      <c r="F3266">
        <f t="shared" si="207"/>
        <v>-1.9819204301027546</v>
      </c>
      <c r="G3266">
        <f t="shared" si="208"/>
        <v>-8.9295116662510721E-2</v>
      </c>
      <c r="I3266">
        <f t="shared" si="206"/>
        <v>-1.0356077733826328</v>
      </c>
      <c r="J3266">
        <v>511</v>
      </c>
      <c r="K3266">
        <v>261</v>
      </c>
      <c r="L3266">
        <v>-8.9295116662510721E-2</v>
      </c>
      <c r="M3266">
        <f t="shared" si="209"/>
        <v>-0.33163550476444259</v>
      </c>
      <c r="N3266">
        <v>-1.9819204301027546</v>
      </c>
    </row>
    <row r="3267" spans="1:14">
      <c r="A3267" t="s">
        <v>15</v>
      </c>
      <c r="B3267" s="2">
        <f t="shared" ref="B3267:B3330" si="210">1+INT((ROW()-2)/21)+1</f>
        <v>157</v>
      </c>
      <c r="C3267">
        <v>1523</v>
      </c>
      <c r="D3267">
        <v>9</v>
      </c>
      <c r="E3267">
        <v>54</v>
      </c>
      <c r="F3267">
        <f t="shared" si="207"/>
        <v>-2.1184597565489152</v>
      </c>
      <c r="G3267">
        <f t="shared" si="208"/>
        <v>-1.3110060528454832</v>
      </c>
      <c r="I3267">
        <f t="shared" ref="I3267:I3330" si="211">AVERAGE(F3267:G3267)</f>
        <v>-1.7147329046971991</v>
      </c>
      <c r="J3267">
        <v>54</v>
      </c>
      <c r="K3267">
        <v>34</v>
      </c>
      <c r="L3267">
        <v>-1.3110060528454832</v>
      </c>
      <c r="M3267">
        <f t="shared" si="209"/>
        <v>-1.4624808909316966</v>
      </c>
      <c r="N3267">
        <v>-2.1184597565489152</v>
      </c>
    </row>
    <row r="3268" spans="1:14">
      <c r="A3268" t="s">
        <v>16</v>
      </c>
      <c r="B3268" s="2">
        <f t="shared" si="210"/>
        <v>157</v>
      </c>
      <c r="C3268">
        <v>1212</v>
      </c>
      <c r="D3268">
        <v>13</v>
      </c>
      <c r="E3268">
        <v>41</v>
      </c>
      <c r="F3268">
        <f t="shared" si="207"/>
        <v>-1.8595616301756279</v>
      </c>
      <c r="G3268">
        <f t="shared" si="208"/>
        <v>-1.3314186724429411</v>
      </c>
      <c r="I3268">
        <f t="shared" si="211"/>
        <v>-1.5954901513092845</v>
      </c>
      <c r="J3268">
        <v>41</v>
      </c>
      <c r="K3268">
        <v>44</v>
      </c>
      <c r="L3268">
        <v>-1.3314186724429411</v>
      </c>
      <c r="M3268">
        <f t="shared" si="209"/>
        <v>-1.2513098479819891</v>
      </c>
      <c r="N3268">
        <v>-1.8595616301756279</v>
      </c>
    </row>
    <row r="3269" spans="1:14">
      <c r="A3269" t="s">
        <v>17</v>
      </c>
      <c r="B3269" s="2">
        <f t="shared" si="210"/>
        <v>157</v>
      </c>
      <c r="C3269">
        <v>745</v>
      </c>
      <c r="D3269">
        <v>12</v>
      </c>
      <c r="E3269">
        <v>94</v>
      </c>
      <c r="F3269">
        <f t="shared" si="207"/>
        <v>-1.6829773893528652</v>
      </c>
      <c r="G3269">
        <f t="shared" si="208"/>
        <v>-0.75972832848100347</v>
      </c>
      <c r="I3269">
        <f t="shared" si="211"/>
        <v>-1.2213528589169345</v>
      </c>
      <c r="J3269">
        <v>94</v>
      </c>
      <c r="K3269">
        <v>23</v>
      </c>
      <c r="L3269">
        <v>-0.75972832848100347</v>
      </c>
      <c r="M3269">
        <f t="shared" si="209"/>
        <v>-1.3216883413686094</v>
      </c>
      <c r="N3269">
        <v>-1.6829773893528652</v>
      </c>
    </row>
    <row r="3270" spans="1:14">
      <c r="A3270" t="s">
        <v>18</v>
      </c>
      <c r="B3270" s="2">
        <f t="shared" si="210"/>
        <v>157</v>
      </c>
      <c r="C3270">
        <v>1511</v>
      </c>
      <c r="D3270">
        <v>9</v>
      </c>
      <c r="E3270">
        <v>249</v>
      </c>
      <c r="F3270">
        <f t="shared" si="207"/>
        <v>-2.1150243175518981</v>
      </c>
      <c r="G3270">
        <f t="shared" si="208"/>
        <v>-0.64376502657569823</v>
      </c>
      <c r="I3270">
        <f t="shared" si="211"/>
        <v>-1.3793946720637982</v>
      </c>
      <c r="J3270">
        <v>249</v>
      </c>
      <c r="K3270">
        <v>402</v>
      </c>
      <c r="L3270">
        <v>-0.64376502657569823</v>
      </c>
      <c r="M3270">
        <f t="shared" si="209"/>
        <v>-0.38629831589246455</v>
      </c>
      <c r="N3270">
        <v>-2.1150243175518981</v>
      </c>
    </row>
    <row r="3271" spans="1:14">
      <c r="A3271" t="s">
        <v>19</v>
      </c>
      <c r="B3271" s="2">
        <f t="shared" si="210"/>
        <v>157</v>
      </c>
      <c r="C3271">
        <v>1582</v>
      </c>
      <c r="D3271">
        <v>29</v>
      </c>
      <c r="E3271">
        <v>104</v>
      </c>
      <c r="F3271">
        <f t="shared" si="207"/>
        <v>-1.6268108439148989</v>
      </c>
      <c r="G3271">
        <f t="shared" si="208"/>
        <v>-1.0428730491952867</v>
      </c>
      <c r="I3271">
        <f t="shared" si="211"/>
        <v>-1.3348419465550929</v>
      </c>
      <c r="J3271">
        <v>104</v>
      </c>
      <c r="K3271">
        <v>72</v>
      </c>
      <c r="L3271">
        <v>-1.0428730491952867</v>
      </c>
      <c r="M3271">
        <f t="shared" si="209"/>
        <v>-1.1531338873682988</v>
      </c>
      <c r="N3271">
        <v>-1.6268108439148989</v>
      </c>
    </row>
    <row r="3272" spans="1:14">
      <c r="A3272" t="s">
        <v>20</v>
      </c>
      <c r="B3272" s="2">
        <f t="shared" si="210"/>
        <v>157</v>
      </c>
      <c r="C3272">
        <v>1537</v>
      </c>
      <c r="D3272">
        <v>10</v>
      </c>
      <c r="E3272">
        <v>83</v>
      </c>
      <c r="F3272">
        <f t="shared" si="207"/>
        <v>-2.0766762301519428</v>
      </c>
      <c r="G3272">
        <f t="shared" si="208"/>
        <v>-1.1282956844560805</v>
      </c>
      <c r="I3272">
        <f t="shared" si="211"/>
        <v>-1.6024859573040118</v>
      </c>
      <c r="J3272">
        <v>83</v>
      </c>
      <c r="K3272">
        <v>119</v>
      </c>
      <c r="L3272">
        <v>-1.1282956844560805</v>
      </c>
      <c r="M3272">
        <f t="shared" si="209"/>
        <v>-0.92238681074512374</v>
      </c>
      <c r="N3272">
        <v>-2.0766762301519428</v>
      </c>
    </row>
    <row r="3273" spans="1:14">
      <c r="A3273" t="s">
        <v>21</v>
      </c>
      <c r="B3273" s="2">
        <f t="shared" si="210"/>
        <v>157</v>
      </c>
      <c r="C3273">
        <v>1012</v>
      </c>
      <c r="D3273">
        <v>83</v>
      </c>
      <c r="E3273">
        <v>322</v>
      </c>
      <c r="F3273">
        <f t="shared" si="207"/>
        <v>-0.97610478277990387</v>
      </c>
      <c r="G3273">
        <f t="shared" si="208"/>
        <v>-0.35802455014035861</v>
      </c>
      <c r="I3273">
        <f t="shared" si="211"/>
        <v>-0.66706466646013118</v>
      </c>
      <c r="J3273">
        <v>322</v>
      </c>
      <c r="K3273">
        <v>279</v>
      </c>
      <c r="L3273">
        <v>-0.35802455014035861</v>
      </c>
      <c r="M3273">
        <f t="shared" si="209"/>
        <v>-0.37083621386809207</v>
      </c>
      <c r="N3273">
        <v>-0.97610478277990387</v>
      </c>
    </row>
    <row r="3274" spans="1:14">
      <c r="A3274" t="s">
        <v>22</v>
      </c>
      <c r="B3274" s="2">
        <f t="shared" si="210"/>
        <v>157</v>
      </c>
      <c r="C3274">
        <v>987</v>
      </c>
      <c r="D3274">
        <v>4</v>
      </c>
      <c r="E3274">
        <v>75</v>
      </c>
      <c r="F3274">
        <f t="shared" si="207"/>
        <v>-2.2822595239938717</v>
      </c>
      <c r="G3274">
        <f t="shared" si="208"/>
        <v>-0.97995579861034599</v>
      </c>
      <c r="I3274">
        <f t="shared" si="211"/>
        <v>-1.6311076613021087</v>
      </c>
      <c r="J3274">
        <v>75</v>
      </c>
      <c r="K3274">
        <v>43</v>
      </c>
      <c r="L3274">
        <v>-0.97995579861034599</v>
      </c>
      <c r="M3274">
        <f t="shared" si="209"/>
        <v>-1.1721086017279596</v>
      </c>
      <c r="N3274">
        <v>-2.2822595239938717</v>
      </c>
    </row>
    <row r="3275" spans="1:14">
      <c r="A3275" t="s">
        <v>23</v>
      </c>
      <c r="B3275" s="2">
        <f t="shared" si="210"/>
        <v>157</v>
      </c>
      <c r="C3275">
        <v>136</v>
      </c>
      <c r="D3275">
        <v>48</v>
      </c>
      <c r="E3275">
        <v>86</v>
      </c>
      <c r="F3275">
        <f t="shared" si="207"/>
        <v>-0.3423000336468276</v>
      </c>
      <c r="G3275">
        <f t="shared" si="208"/>
        <v>-5.974036645905903E-2</v>
      </c>
      <c r="I3275">
        <f t="shared" si="211"/>
        <v>-0.2010202000529433</v>
      </c>
      <c r="J3275">
        <v>86</v>
      </c>
      <c r="K3275">
        <v>57</v>
      </c>
      <c r="L3275">
        <v>-5.974036645905903E-2</v>
      </c>
      <c r="M3275">
        <f t="shared" si="209"/>
        <v>-0.18892395733563544</v>
      </c>
      <c r="N3275">
        <v>-0.3423000336468276</v>
      </c>
    </row>
    <row r="3276" spans="1:14">
      <c r="A3276" t="s">
        <v>24</v>
      </c>
      <c r="B3276" s="2">
        <f t="shared" si="210"/>
        <v>157</v>
      </c>
      <c r="C3276">
        <v>966</v>
      </c>
      <c r="D3276">
        <v>9</v>
      </c>
      <c r="E3276">
        <v>104</v>
      </c>
      <c r="F3276">
        <f t="shared" si="207"/>
        <v>-1.920736979628366</v>
      </c>
      <c r="G3276">
        <f t="shared" si="208"/>
        <v>-0.82864369644912217</v>
      </c>
      <c r="I3276">
        <f t="shared" si="211"/>
        <v>-1.3746903380387441</v>
      </c>
      <c r="J3276">
        <v>104</v>
      </c>
      <c r="K3276">
        <v>268</v>
      </c>
      <c r="L3276">
        <v>-0.82864369644912217</v>
      </c>
      <c r="M3276">
        <f t="shared" si="209"/>
        <v>-0.36810223702461387</v>
      </c>
      <c r="N3276">
        <v>-1.920736979628366</v>
      </c>
    </row>
    <row r="3277" spans="1:14">
      <c r="A3277" t="s">
        <v>25</v>
      </c>
      <c r="B3277" s="2">
        <f t="shared" si="210"/>
        <v>157</v>
      </c>
      <c r="C3277">
        <v>564</v>
      </c>
      <c r="D3277">
        <v>1</v>
      </c>
      <c r="E3277">
        <v>902</v>
      </c>
      <c r="F3277">
        <f t="shared" si="207"/>
        <v>-2.6412814666355398</v>
      </c>
      <c r="G3277">
        <f t="shared" si="208"/>
        <v>0.34322752422619018</v>
      </c>
      <c r="I3277">
        <f t="shared" si="211"/>
        <v>-1.1490269712046748</v>
      </c>
      <c r="J3277">
        <v>902</v>
      </c>
      <c r="K3277">
        <v>868</v>
      </c>
      <c r="L3277">
        <v>0.34322752422619018</v>
      </c>
      <c r="M3277">
        <f t="shared" si="209"/>
        <v>0.37598071655524024</v>
      </c>
      <c r="N3277">
        <v>-2.6412814666355398</v>
      </c>
    </row>
    <row r="3278" spans="1:14">
      <c r="A3278" t="s">
        <v>7</v>
      </c>
      <c r="B3278" s="2">
        <f t="shared" si="210"/>
        <v>158</v>
      </c>
      <c r="C3278">
        <v>786</v>
      </c>
      <c r="D3278">
        <v>9</v>
      </c>
      <c r="E3278">
        <v>33</v>
      </c>
      <c r="F3278">
        <f t="shared" si="207"/>
        <v>-1.8311823992522804</v>
      </c>
      <c r="G3278">
        <f t="shared" si="208"/>
        <v>-1.2376085154939296</v>
      </c>
      <c r="I3278">
        <f t="shared" si="211"/>
        <v>-1.5343954573731051</v>
      </c>
      <c r="J3278">
        <v>33</v>
      </c>
      <c r="K3278">
        <v>19</v>
      </c>
      <c r="L3278">
        <v>-1.2376085154939296</v>
      </c>
      <c r="M3278">
        <f t="shared" si="209"/>
        <v>-1.4279288497244882</v>
      </c>
      <c r="N3278">
        <v>-1.8311823992522804</v>
      </c>
    </row>
    <row r="3279" spans="1:14">
      <c r="A3279" t="s">
        <v>8</v>
      </c>
      <c r="B3279" s="2">
        <f t="shared" si="210"/>
        <v>158</v>
      </c>
      <c r="C3279">
        <v>989</v>
      </c>
      <c r="D3279">
        <v>195</v>
      </c>
      <c r="E3279">
        <v>297</v>
      </c>
      <c r="F3279">
        <f t="shared" si="207"/>
        <v>-0.59516404288685876</v>
      </c>
      <c r="G3279">
        <f t="shared" si="208"/>
        <v>-0.38313975161237634</v>
      </c>
      <c r="I3279">
        <f t="shared" si="211"/>
        <v>-0.48915189724961755</v>
      </c>
      <c r="J3279">
        <v>297</v>
      </c>
      <c r="K3279">
        <v>291</v>
      </c>
      <c r="L3279">
        <v>-0.38313975161237634</v>
      </c>
      <c r="M3279">
        <f t="shared" si="209"/>
        <v>-0.34256320724918143</v>
      </c>
      <c r="N3279">
        <v>-0.59516404288685876</v>
      </c>
    </row>
    <row r="3280" spans="1:14">
      <c r="A3280" t="s">
        <v>5</v>
      </c>
      <c r="B3280" s="2">
        <f t="shared" si="210"/>
        <v>158</v>
      </c>
      <c r="C3280">
        <v>1460</v>
      </c>
      <c r="D3280">
        <v>13</v>
      </c>
      <c r="E3280">
        <v>52</v>
      </c>
      <c r="F3280">
        <f t="shared" si="207"/>
        <v>-1.9404118661297975</v>
      </c>
      <c r="G3280">
        <f t="shared" si="208"/>
        <v>-1.3090494214820472</v>
      </c>
      <c r="I3280">
        <f t="shared" si="211"/>
        <v>-1.6247306438059224</v>
      </c>
      <c r="J3280">
        <v>52</v>
      </c>
      <c r="K3280">
        <v>55</v>
      </c>
      <c r="L3280">
        <v>-1.3090494214820472</v>
      </c>
      <c r="M3280">
        <f t="shared" si="209"/>
        <v>-1.2352500709281027</v>
      </c>
      <c r="N3280">
        <v>-1.9404118661297975</v>
      </c>
    </row>
    <row r="3281" spans="1:14">
      <c r="A3281" t="s">
        <v>6</v>
      </c>
      <c r="B3281" s="2">
        <f t="shared" si="210"/>
        <v>158</v>
      </c>
      <c r="C3281">
        <v>1964</v>
      </c>
      <c r="D3281">
        <v>39</v>
      </c>
      <c r="E3281">
        <v>932</v>
      </c>
      <c r="F3281">
        <f t="shared" si="207"/>
        <v>-1.592079239076629</v>
      </c>
      <c r="G3281">
        <f t="shared" si="208"/>
        <v>-0.18442548042935872</v>
      </c>
      <c r="I3281">
        <f t="shared" si="211"/>
        <v>-0.88825235975299388</v>
      </c>
      <c r="J3281">
        <v>932</v>
      </c>
      <c r="K3281">
        <v>558</v>
      </c>
      <c r="L3281">
        <v>-0.18442548042935872</v>
      </c>
      <c r="M3281">
        <f t="shared" si="209"/>
        <v>-0.35776718915126138</v>
      </c>
      <c r="N3281">
        <v>-1.592079239076629</v>
      </c>
    </row>
    <row r="3282" spans="1:14">
      <c r="A3282" t="s">
        <v>10</v>
      </c>
      <c r="B3282" s="2">
        <f t="shared" si="210"/>
        <v>158</v>
      </c>
      <c r="C3282">
        <v>1955</v>
      </c>
      <c r="D3282">
        <v>17</v>
      </c>
      <c r="E3282">
        <v>73</v>
      </c>
      <c r="F3282">
        <f t="shared" si="207"/>
        <v>-1.9507002030058092</v>
      </c>
      <c r="G3282">
        <f t="shared" si="208"/>
        <v>-1.2885238109438388</v>
      </c>
      <c r="I3282">
        <f t="shared" si="211"/>
        <v>-1.6196120069748239</v>
      </c>
      <c r="J3282">
        <v>73</v>
      </c>
      <c r="K3282">
        <v>90</v>
      </c>
      <c r="L3282">
        <v>-1.2885238109438388</v>
      </c>
      <c r="M3282">
        <f t="shared" si="209"/>
        <v>-1.1481641569304699</v>
      </c>
      <c r="N3282">
        <v>-1.9507002030058092</v>
      </c>
    </row>
    <row r="3283" spans="1:14">
      <c r="A3283" t="s">
        <v>11</v>
      </c>
      <c r="B3283" s="2">
        <f t="shared" si="210"/>
        <v>158</v>
      </c>
      <c r="C3283">
        <v>2467</v>
      </c>
      <c r="D3283">
        <v>28</v>
      </c>
      <c r="E3283">
        <v>341</v>
      </c>
      <c r="F3283">
        <f t="shared" ref="F3283:F3346" si="212">LOG10(D3283/C3283)-LOG10(128208/165163)</f>
        <v>-1.835013480799714</v>
      </c>
      <c r="G3283">
        <f t="shared" ref="G3283:G3346" si="213">LOG10(E3283/C3283)-LOG10(119843/165163)</f>
        <v>-0.72011467982964761</v>
      </c>
      <c r="I3283">
        <f t="shared" si="211"/>
        <v>-1.2775640803146808</v>
      </c>
      <c r="J3283">
        <v>341</v>
      </c>
      <c r="K3283">
        <v>421</v>
      </c>
      <c r="L3283">
        <v>-0.72011467982964761</v>
      </c>
      <c r="M3283">
        <f t="shared" ref="M3283:M3346" si="214">LOG10(K3283/C3283)-LOG10(106948/165163)</f>
        <v>-0.57914695829197704</v>
      </c>
      <c r="N3283">
        <v>-1.835013480799714</v>
      </c>
    </row>
    <row r="3284" spans="1:14">
      <c r="A3284" t="s">
        <v>12</v>
      </c>
      <c r="B3284" s="2">
        <f t="shared" si="210"/>
        <v>158</v>
      </c>
      <c r="C3284">
        <v>1098</v>
      </c>
      <c r="D3284">
        <v>11</v>
      </c>
      <c r="E3284">
        <v>53</v>
      </c>
      <c r="F3284">
        <f t="shared" si="212"/>
        <v>-1.8892120176080454</v>
      </c>
      <c r="G3284">
        <f t="shared" si="213"/>
        <v>-1.1770263798456932</v>
      </c>
      <c r="I3284">
        <f t="shared" si="211"/>
        <v>-1.5331191987268693</v>
      </c>
      <c r="J3284">
        <v>53</v>
      </c>
      <c r="K3284">
        <v>36</v>
      </c>
      <c r="L3284">
        <v>-1.1770263798456932</v>
      </c>
      <c r="M3284">
        <f t="shared" si="214"/>
        <v>-1.2955597439846951</v>
      </c>
      <c r="N3284">
        <v>-1.8892120176080454</v>
      </c>
    </row>
    <row r="3285" spans="1:14">
      <c r="A3285" t="s">
        <v>9</v>
      </c>
      <c r="B3285" s="2">
        <f t="shared" si="210"/>
        <v>158</v>
      </c>
      <c r="C3285">
        <v>1311</v>
      </c>
      <c r="D3285">
        <v>22</v>
      </c>
      <c r="E3285">
        <v>128</v>
      </c>
      <c r="F3285">
        <f t="shared" si="212"/>
        <v>-1.6651823735200753</v>
      </c>
      <c r="G3285">
        <f t="shared" si="213"/>
        <v>-0.87109263137462523</v>
      </c>
      <c r="I3285">
        <f t="shared" si="211"/>
        <v>-1.2681375024473502</v>
      </c>
      <c r="J3285">
        <v>128</v>
      </c>
      <c r="K3285">
        <v>152</v>
      </c>
      <c r="L3285">
        <v>-0.87109263137462523</v>
      </c>
      <c r="M3285">
        <f t="shared" si="214"/>
        <v>-0.74701900838322099</v>
      </c>
      <c r="N3285">
        <v>-1.6651823735200753</v>
      </c>
    </row>
    <row r="3286" spans="1:14">
      <c r="A3286" t="s">
        <v>13</v>
      </c>
      <c r="B3286" s="2">
        <f t="shared" si="210"/>
        <v>158</v>
      </c>
      <c r="C3286">
        <v>2954</v>
      </c>
      <c r="D3286">
        <v>51</v>
      </c>
      <c r="E3286">
        <v>176</v>
      </c>
      <c r="F3286">
        <f t="shared" si="212"/>
        <v>-1.6528426775301917</v>
      </c>
      <c r="G3286">
        <f t="shared" si="213"/>
        <v>-1.0855977324941901</v>
      </c>
      <c r="I3286">
        <f t="shared" si="211"/>
        <v>-1.3692202050121909</v>
      </c>
      <c r="J3286">
        <v>176</v>
      </c>
      <c r="K3286">
        <v>1106</v>
      </c>
      <c r="L3286">
        <v>-1.0855977324941901</v>
      </c>
      <c r="M3286">
        <f t="shared" si="214"/>
        <v>-0.23791526864516055</v>
      </c>
      <c r="N3286">
        <v>-1.6528426775301917</v>
      </c>
    </row>
    <row r="3287" spans="1:14">
      <c r="A3287" t="s">
        <v>14</v>
      </c>
      <c r="B3287" s="2">
        <f t="shared" si="210"/>
        <v>158</v>
      </c>
      <c r="C3287">
        <v>1336</v>
      </c>
      <c r="D3287">
        <v>53</v>
      </c>
      <c r="E3287">
        <v>939</v>
      </c>
      <c r="F3287">
        <f t="shared" si="212"/>
        <v>-1.2915329511909353</v>
      </c>
      <c r="G3287">
        <f t="shared" si="213"/>
        <v>-1.384077520582519E-2</v>
      </c>
      <c r="I3287">
        <f t="shared" si="211"/>
        <v>-0.65268686319838021</v>
      </c>
      <c r="J3287">
        <v>939</v>
      </c>
      <c r="K3287">
        <v>663</v>
      </c>
      <c r="L3287">
        <v>-1.384077520582519E-2</v>
      </c>
      <c r="M3287">
        <f t="shared" si="214"/>
        <v>-0.11555283437266306</v>
      </c>
      <c r="N3287">
        <v>-1.2915329511909353</v>
      </c>
    </row>
    <row r="3288" spans="1:14">
      <c r="A3288" t="s">
        <v>15</v>
      </c>
      <c r="B3288" s="2">
        <f t="shared" si="210"/>
        <v>158</v>
      </c>
      <c r="C3288">
        <v>1193</v>
      </c>
      <c r="D3288">
        <v>208</v>
      </c>
      <c r="E3288">
        <v>167</v>
      </c>
      <c r="F3288">
        <f t="shared" si="212"/>
        <v>-0.64857947135977767</v>
      </c>
      <c r="G3288">
        <f t="shared" si="213"/>
        <v>-0.7146238818551679</v>
      </c>
      <c r="I3288">
        <f t="shared" si="211"/>
        <v>-0.68160167660747284</v>
      </c>
      <c r="J3288">
        <v>167</v>
      </c>
      <c r="K3288">
        <v>165</v>
      </c>
      <c r="L3288">
        <v>-0.7146238818551679</v>
      </c>
      <c r="M3288">
        <f t="shared" si="214"/>
        <v>-0.67041640409434489</v>
      </c>
      <c r="N3288">
        <v>-0.64857947135977767</v>
      </c>
    </row>
    <row r="3289" spans="1:14">
      <c r="A3289" t="s">
        <v>16</v>
      </c>
      <c r="B3289" s="2">
        <f t="shared" si="210"/>
        <v>158</v>
      </c>
      <c r="C3289">
        <v>165163</v>
      </c>
      <c r="D3289">
        <v>128208</v>
      </c>
      <c r="E3289">
        <v>119843</v>
      </c>
      <c r="F3289">
        <f t="shared" si="212"/>
        <v>0</v>
      </c>
      <c r="G3289">
        <f t="shared" si="213"/>
        <v>0</v>
      </c>
      <c r="I3289">
        <f t="shared" si="211"/>
        <v>0</v>
      </c>
      <c r="J3289">
        <v>119843</v>
      </c>
      <c r="K3289">
        <v>106948</v>
      </c>
      <c r="L3289">
        <v>0</v>
      </c>
      <c r="M3289">
        <f t="shared" si="214"/>
        <v>0</v>
      </c>
      <c r="N3289">
        <v>0</v>
      </c>
    </row>
    <row r="3290" spans="1:14">
      <c r="A3290" t="s">
        <v>17</v>
      </c>
      <c r="B3290" s="2">
        <f t="shared" si="210"/>
        <v>158</v>
      </c>
      <c r="C3290">
        <v>2479</v>
      </c>
      <c r="D3290">
        <v>32</v>
      </c>
      <c r="E3290">
        <v>1337</v>
      </c>
      <c r="F3290">
        <f t="shared" si="212"/>
        <v>-1.7791289111001127</v>
      </c>
      <c r="G3290">
        <f t="shared" si="213"/>
        <v>-0.12884502883824625</v>
      </c>
      <c r="I3290">
        <f t="shared" si="211"/>
        <v>-0.95398696996917953</v>
      </c>
      <c r="J3290">
        <v>1337</v>
      </c>
      <c r="K3290">
        <v>1652</v>
      </c>
      <c r="L3290">
        <v>-0.12884502883824625</v>
      </c>
      <c r="M3290">
        <f t="shared" si="214"/>
        <v>1.2473611578632665E-2</v>
      </c>
      <c r="N3290">
        <v>-1.7791289111001127</v>
      </c>
    </row>
    <row r="3291" spans="1:14">
      <c r="A3291" t="s">
        <v>18</v>
      </c>
      <c r="B3291" s="2">
        <f t="shared" si="210"/>
        <v>158</v>
      </c>
      <c r="C3291">
        <v>1928</v>
      </c>
      <c r="D3291">
        <v>61</v>
      </c>
      <c r="E3291">
        <v>133</v>
      </c>
      <c r="F3291">
        <f t="shared" si="212"/>
        <v>-1.3897795572082423</v>
      </c>
      <c r="G3291">
        <f t="shared" si="213"/>
        <v>-1.0219552979321354</v>
      </c>
      <c r="I3291">
        <f t="shared" si="211"/>
        <v>-1.2058674275701888</v>
      </c>
      <c r="J3291">
        <v>133</v>
      </c>
      <c r="K3291">
        <v>129</v>
      </c>
      <c r="L3291">
        <v>-1.0219552979321354</v>
      </c>
      <c r="M3291">
        <f t="shared" si="214"/>
        <v>-0.9857772239054724</v>
      </c>
      <c r="N3291">
        <v>-1.3897795572082423</v>
      </c>
    </row>
    <row r="3292" spans="1:14">
      <c r="A3292" t="s">
        <v>19</v>
      </c>
      <c r="B3292" s="2">
        <f t="shared" si="210"/>
        <v>158</v>
      </c>
      <c r="C3292">
        <v>904</v>
      </c>
      <c r="D3292">
        <v>13</v>
      </c>
      <c r="E3292">
        <v>54</v>
      </c>
      <c r="F3292">
        <f t="shared" si="212"/>
        <v>-1.7322274408207239</v>
      </c>
      <c r="G3292">
        <f t="shared" si="213"/>
        <v>-1.0844745799848041</v>
      </c>
      <c r="I3292">
        <f t="shared" si="211"/>
        <v>-1.4083510104027641</v>
      </c>
      <c r="J3292">
        <v>54</v>
      </c>
      <c r="K3292">
        <v>34</v>
      </c>
      <c r="L3292">
        <v>-1.0844745799848041</v>
      </c>
      <c r="M3292">
        <f t="shared" si="214"/>
        <v>-1.2359494180710175</v>
      </c>
      <c r="N3292">
        <v>-1.7322274408207239</v>
      </c>
    </row>
    <row r="3293" spans="1:14">
      <c r="A3293" t="s">
        <v>20</v>
      </c>
      <c r="B3293" s="2">
        <f t="shared" si="210"/>
        <v>158</v>
      </c>
      <c r="C3293">
        <v>1445</v>
      </c>
      <c r="D3293">
        <v>8</v>
      </c>
      <c r="E3293">
        <v>107</v>
      </c>
      <c r="F3293">
        <f t="shared" si="212"/>
        <v>-2.1467802227528208</v>
      </c>
      <c r="G3293">
        <f t="shared" si="213"/>
        <v>-0.99118397873976627</v>
      </c>
      <c r="I3293">
        <f t="shared" si="211"/>
        <v>-1.5689821007462936</v>
      </c>
      <c r="J3293">
        <v>107</v>
      </c>
      <c r="K3293">
        <v>44</v>
      </c>
      <c r="L3293">
        <v>-0.99118397873976627</v>
      </c>
      <c r="M3293">
        <f t="shared" si="214"/>
        <v>-1.3276750752442887</v>
      </c>
      <c r="N3293">
        <v>-2.1467802227528208</v>
      </c>
    </row>
    <row r="3294" spans="1:14">
      <c r="A3294" t="s">
        <v>21</v>
      </c>
      <c r="B3294" s="2">
        <f t="shared" si="210"/>
        <v>158</v>
      </c>
      <c r="C3294">
        <v>2487</v>
      </c>
      <c r="D3294">
        <v>28</v>
      </c>
      <c r="E3294">
        <v>2240</v>
      </c>
      <c r="F3294">
        <f t="shared" si="212"/>
        <v>-1.8385201165799141</v>
      </c>
      <c r="G3294">
        <f t="shared" si="213"/>
        <v>9.3872323731817614E-2</v>
      </c>
      <c r="I3294">
        <f t="shared" si="211"/>
        <v>-0.87232389642404828</v>
      </c>
      <c r="J3294">
        <v>2240</v>
      </c>
      <c r="K3294">
        <v>1709</v>
      </c>
      <c r="L3294">
        <v>9.3872323731817614E-2</v>
      </c>
      <c r="M3294">
        <f t="shared" si="214"/>
        <v>2.5806372812891554E-2</v>
      </c>
      <c r="N3294">
        <v>-1.8385201165799141</v>
      </c>
    </row>
    <row r="3295" spans="1:14">
      <c r="A3295" t="s">
        <v>22</v>
      </c>
      <c r="B3295" s="2">
        <f t="shared" si="210"/>
        <v>158</v>
      </c>
      <c r="C3295">
        <v>479</v>
      </c>
      <c r="D3295">
        <v>13</v>
      </c>
      <c r="E3295">
        <v>28</v>
      </c>
      <c r="F3295">
        <f t="shared" si="212"/>
        <v>-1.4563945237599238</v>
      </c>
      <c r="G3295">
        <f t="shared" si="213"/>
        <v>-1.0938773914047533</v>
      </c>
      <c r="I3295">
        <f t="shared" si="211"/>
        <v>-1.2751359575823384</v>
      </c>
      <c r="J3295">
        <v>28</v>
      </c>
      <c r="K3295">
        <v>12</v>
      </c>
      <c r="L3295">
        <v>-1.0938773914047533</v>
      </c>
      <c r="M3295">
        <f t="shared" si="214"/>
        <v>-1.4124141720048478</v>
      </c>
      <c r="N3295">
        <v>-1.4563945237599238</v>
      </c>
    </row>
    <row r="3296" spans="1:14">
      <c r="A3296" t="s">
        <v>23</v>
      </c>
      <c r="B3296" s="2">
        <f t="shared" si="210"/>
        <v>158</v>
      </c>
      <c r="C3296">
        <v>840</v>
      </c>
      <c r="D3296">
        <v>10</v>
      </c>
      <c r="E3296">
        <v>67</v>
      </c>
      <c r="F3296">
        <f t="shared" si="212"/>
        <v>-1.8142816487140789</v>
      </c>
      <c r="G3296">
        <f t="shared" si="213"/>
        <v>-0.95890439269346461</v>
      </c>
      <c r="I3296">
        <f t="shared" si="211"/>
        <v>-1.3865930207037718</v>
      </c>
      <c r="J3296">
        <v>67</v>
      </c>
      <c r="K3296">
        <v>38</v>
      </c>
      <c r="L3296">
        <v>-0.95890439269346461</v>
      </c>
      <c r="M3296">
        <f t="shared" si="214"/>
        <v>-1.1557555940829807</v>
      </c>
      <c r="N3296">
        <v>-1.8142816487140789</v>
      </c>
    </row>
    <row r="3297" spans="1:14">
      <c r="A3297" t="s">
        <v>24</v>
      </c>
      <c r="B3297" s="2">
        <f t="shared" si="210"/>
        <v>158</v>
      </c>
      <c r="C3297">
        <v>1234</v>
      </c>
      <c r="D3297">
        <v>12</v>
      </c>
      <c r="E3297">
        <v>254</v>
      </c>
      <c r="F3297">
        <f t="shared" si="212"/>
        <v>-1.9021362763017955</v>
      </c>
      <c r="G3297">
        <f t="shared" si="213"/>
        <v>-0.54718135240969412</v>
      </c>
      <c r="I3297">
        <f t="shared" si="211"/>
        <v>-1.2246588143557449</v>
      </c>
      <c r="J3297">
        <v>254</v>
      </c>
      <c r="K3297">
        <v>33</v>
      </c>
      <c r="L3297">
        <v>-0.54718135240969412</v>
      </c>
      <c r="M3297">
        <f t="shared" si="214"/>
        <v>-1.3840611244572445</v>
      </c>
      <c r="N3297">
        <v>-1.9021362763017955</v>
      </c>
    </row>
    <row r="3298" spans="1:14">
      <c r="A3298" t="s">
        <v>25</v>
      </c>
      <c r="B3298" s="2">
        <f t="shared" si="210"/>
        <v>158</v>
      </c>
      <c r="C3298">
        <v>1080</v>
      </c>
      <c r="D3298">
        <v>9</v>
      </c>
      <c r="E3298">
        <v>1546</v>
      </c>
      <c r="F3298">
        <f t="shared" si="212"/>
        <v>-1.969183608699822</v>
      </c>
      <c r="G3298">
        <f t="shared" si="213"/>
        <v>0.2950858247629472</v>
      </c>
      <c r="I3298">
        <f t="shared" si="211"/>
        <v>-0.83704889196843735</v>
      </c>
      <c r="J3298">
        <v>1546</v>
      </c>
      <c r="K3298">
        <v>603</v>
      </c>
      <c r="L3298">
        <v>0.2950858247629472</v>
      </c>
      <c r="M3298">
        <f t="shared" si="214"/>
        <v>-6.4366347984707695E-2</v>
      </c>
      <c r="N3298">
        <v>-1.969183608699822</v>
      </c>
    </row>
    <row r="3299" spans="1:14">
      <c r="A3299" t="s">
        <v>7</v>
      </c>
      <c r="B3299" s="2">
        <f t="shared" si="210"/>
        <v>159</v>
      </c>
      <c r="C3299">
        <v>837</v>
      </c>
      <c r="D3299">
        <v>105</v>
      </c>
      <c r="E3299">
        <v>136</v>
      </c>
      <c r="F3299">
        <f t="shared" si="212"/>
        <v>-0.79153852157551929</v>
      </c>
      <c r="G3299">
        <f t="shared" si="213"/>
        <v>-0.64988645895545172</v>
      </c>
      <c r="I3299">
        <f t="shared" si="211"/>
        <v>-0.72071249026548556</v>
      </c>
      <c r="J3299">
        <v>136</v>
      </c>
      <c r="K3299">
        <v>64</v>
      </c>
      <c r="L3299">
        <v>-0.64988645895545172</v>
      </c>
      <c r="M3299">
        <f t="shared" si="214"/>
        <v>-0.92780538864728224</v>
      </c>
      <c r="N3299">
        <v>-0.79153852157551929</v>
      </c>
    </row>
    <row r="3300" spans="1:14">
      <c r="A3300" t="s">
        <v>8</v>
      </c>
      <c r="B3300" s="2">
        <f t="shared" si="210"/>
        <v>159</v>
      </c>
      <c r="C3300">
        <v>715</v>
      </c>
      <c r="D3300">
        <v>104</v>
      </c>
      <c r="E3300">
        <v>75</v>
      </c>
      <c r="F3300">
        <f t="shared" si="212"/>
        <v>-0.72727506515449758</v>
      </c>
      <c r="G3300">
        <f t="shared" si="213"/>
        <v>-0.83994468774178976</v>
      </c>
      <c r="I3300">
        <f t="shared" si="211"/>
        <v>-0.78360987644814362</v>
      </c>
      <c r="J3300">
        <v>75</v>
      </c>
      <c r="K3300">
        <v>55</v>
      </c>
      <c r="L3300">
        <v>-0.83994468774178976</v>
      </c>
      <c r="M3300">
        <f t="shared" si="214"/>
        <v>-0.92520325694474603</v>
      </c>
      <c r="N3300">
        <v>-0.72727506515449758</v>
      </c>
    </row>
    <row r="3301" spans="1:14">
      <c r="A3301" t="s">
        <v>5</v>
      </c>
      <c r="B3301" s="2">
        <f t="shared" si="210"/>
        <v>159</v>
      </c>
      <c r="C3301">
        <v>165163</v>
      </c>
      <c r="D3301">
        <v>128208</v>
      </c>
      <c r="E3301">
        <v>119843</v>
      </c>
      <c r="F3301">
        <f t="shared" si="212"/>
        <v>0</v>
      </c>
      <c r="G3301">
        <f t="shared" si="213"/>
        <v>0</v>
      </c>
      <c r="I3301">
        <f t="shared" si="211"/>
        <v>0</v>
      </c>
      <c r="J3301">
        <v>119843</v>
      </c>
      <c r="K3301">
        <v>106948</v>
      </c>
      <c r="L3301">
        <v>0</v>
      </c>
      <c r="M3301">
        <f t="shared" si="214"/>
        <v>0</v>
      </c>
      <c r="N3301">
        <v>0</v>
      </c>
    </row>
    <row r="3302" spans="1:14">
      <c r="A3302" t="s">
        <v>6</v>
      </c>
      <c r="B3302" s="2">
        <f t="shared" si="210"/>
        <v>159</v>
      </c>
      <c r="C3302">
        <v>2435</v>
      </c>
      <c r="D3302">
        <v>1763</v>
      </c>
      <c r="E3302">
        <v>5497</v>
      </c>
      <c r="F3302">
        <f t="shared" si="212"/>
        <v>-3.0249015903528478E-2</v>
      </c>
      <c r="G3302">
        <f t="shared" si="213"/>
        <v>0.49292686208266823</v>
      </c>
      <c r="I3302">
        <f t="shared" si="211"/>
        <v>0.23133892308956988</v>
      </c>
      <c r="J3302">
        <v>5497</v>
      </c>
      <c r="K3302">
        <v>29797</v>
      </c>
      <c r="L3302">
        <v>0.49292686208266823</v>
      </c>
      <c r="M3302">
        <f t="shared" si="214"/>
        <v>1.2764136707658307</v>
      </c>
      <c r="N3302">
        <v>-3.0249015903528478E-2</v>
      </c>
    </row>
    <row r="3303" spans="1:14">
      <c r="A3303" t="s">
        <v>10</v>
      </c>
      <c r="B3303" s="2">
        <f t="shared" si="210"/>
        <v>159</v>
      </c>
      <c r="C3303">
        <v>1291</v>
      </c>
      <c r="D3303">
        <v>179</v>
      </c>
      <c r="E3303">
        <v>510</v>
      </c>
      <c r="F3303">
        <f t="shared" si="212"/>
        <v>-0.74807557393872448</v>
      </c>
      <c r="G3303">
        <f t="shared" si="213"/>
        <v>-0.26405597550089321</v>
      </c>
      <c r="I3303">
        <f t="shared" si="211"/>
        <v>-0.50606577471980885</v>
      </c>
      <c r="J3303">
        <v>510</v>
      </c>
      <c r="K3303">
        <v>520</v>
      </c>
      <c r="L3303">
        <v>-0.26405597550089321</v>
      </c>
      <c r="M3303">
        <f t="shared" si="214"/>
        <v>-0.20618280326953048</v>
      </c>
      <c r="N3303">
        <v>-0.74807557393872448</v>
      </c>
    </row>
    <row r="3304" spans="1:14">
      <c r="A3304" t="s">
        <v>11</v>
      </c>
      <c r="B3304" s="2">
        <f t="shared" si="210"/>
        <v>159</v>
      </c>
      <c r="C3304">
        <v>1090</v>
      </c>
      <c r="D3304">
        <v>355</v>
      </c>
      <c r="E3304">
        <v>82</v>
      </c>
      <c r="F3304">
        <f t="shared" si="212"/>
        <v>-0.37720050753772688</v>
      </c>
      <c r="G3304">
        <f t="shared" si="213"/>
        <v>-0.98431255488931613</v>
      </c>
      <c r="I3304">
        <f t="shared" si="211"/>
        <v>-0.68075653121352153</v>
      </c>
      <c r="J3304">
        <v>82</v>
      </c>
      <c r="K3304">
        <v>69</v>
      </c>
      <c r="L3304">
        <v>-0.98431255488931613</v>
      </c>
      <c r="M3304">
        <f t="shared" si="214"/>
        <v>-1.0098373118412778</v>
      </c>
      <c r="N3304">
        <v>-0.37720050753772688</v>
      </c>
    </row>
    <row r="3305" spans="1:14">
      <c r="A3305" t="s">
        <v>12</v>
      </c>
      <c r="B3305" s="2">
        <f t="shared" si="210"/>
        <v>159</v>
      </c>
      <c r="C3305">
        <v>881</v>
      </c>
      <c r="D3305">
        <v>231</v>
      </c>
      <c r="E3305">
        <v>917</v>
      </c>
      <c r="F3305">
        <f t="shared" si="212"/>
        <v>-0.47136629117210094</v>
      </c>
      <c r="G3305">
        <f t="shared" si="213"/>
        <v>0.15669351792556399</v>
      </c>
      <c r="I3305">
        <f t="shared" si="211"/>
        <v>-0.15733638662326849</v>
      </c>
      <c r="J3305">
        <v>917</v>
      </c>
      <c r="K3305">
        <v>599</v>
      </c>
      <c r="L3305">
        <v>0.15669351792556399</v>
      </c>
      <c r="M3305">
        <f t="shared" si="214"/>
        <v>2.1191009339354111E-2</v>
      </c>
      <c r="N3305">
        <v>-0.47136629117210094</v>
      </c>
    </row>
    <row r="3306" spans="1:14">
      <c r="A3306" t="s">
        <v>9</v>
      </c>
      <c r="B3306" s="2">
        <f t="shared" si="210"/>
        <v>159</v>
      </c>
      <c r="C3306">
        <v>577</v>
      </c>
      <c r="D3306">
        <v>333</v>
      </c>
      <c r="E3306">
        <v>968</v>
      </c>
      <c r="F3306">
        <f t="shared" si="212"/>
        <v>-0.12873394230160889</v>
      </c>
      <c r="G3306">
        <f t="shared" si="213"/>
        <v>0.36399963482025299</v>
      </c>
      <c r="I3306">
        <f t="shared" si="211"/>
        <v>0.11763284625932205</v>
      </c>
      <c r="J3306">
        <v>968</v>
      </c>
      <c r="K3306">
        <v>793</v>
      </c>
      <c r="L3306">
        <v>0.36399963482025299</v>
      </c>
      <c r="M3306">
        <f t="shared" si="214"/>
        <v>0.32683746952396309</v>
      </c>
      <c r="N3306">
        <v>-0.12873394230160889</v>
      </c>
    </row>
    <row r="3307" spans="1:14">
      <c r="A3307" t="s">
        <v>13</v>
      </c>
      <c r="B3307" s="2">
        <f t="shared" si="210"/>
        <v>159</v>
      </c>
      <c r="C3307">
        <v>1039</v>
      </c>
      <c r="D3307">
        <v>869</v>
      </c>
      <c r="E3307">
        <v>969</v>
      </c>
      <c r="F3307">
        <f t="shared" si="212"/>
        <v>3.2401866239291727E-2</v>
      </c>
      <c r="G3307">
        <f t="shared" si="213"/>
        <v>0.1090083201611787</v>
      </c>
      <c r="I3307">
        <f t="shared" si="211"/>
        <v>7.0705093200235214E-2</v>
      </c>
      <c r="J3307">
        <v>969</v>
      </c>
      <c r="K3307">
        <v>746</v>
      </c>
      <c r="L3307">
        <v>0.1090083201611787</v>
      </c>
      <c r="M3307">
        <f t="shared" si="214"/>
        <v>4.4863375277582107E-2</v>
      </c>
      <c r="N3307">
        <v>3.2401866239291727E-2</v>
      </c>
    </row>
    <row r="3308" spans="1:14">
      <c r="A3308" t="s">
        <v>14</v>
      </c>
      <c r="B3308" s="2">
        <f t="shared" si="210"/>
        <v>159</v>
      </c>
      <c r="C3308">
        <v>1209</v>
      </c>
      <c r="D3308">
        <v>296</v>
      </c>
      <c r="E3308">
        <v>1207</v>
      </c>
      <c r="F3308">
        <f t="shared" si="212"/>
        <v>-0.50113695245403067</v>
      </c>
      <c r="G3308">
        <f t="shared" si="213"/>
        <v>0.13858105990416811</v>
      </c>
      <c r="I3308">
        <f t="shared" si="211"/>
        <v>-0.18127794627493127</v>
      </c>
      <c r="J3308">
        <v>1207</v>
      </c>
      <c r="K3308">
        <v>144</v>
      </c>
      <c r="L3308">
        <v>0.13858105990416811</v>
      </c>
      <c r="M3308">
        <f t="shared" si="214"/>
        <v>-0.7353237134034315</v>
      </c>
      <c r="N3308">
        <v>-0.50113695245403067</v>
      </c>
    </row>
    <row r="3309" spans="1:14">
      <c r="A3309" t="s">
        <v>15</v>
      </c>
      <c r="B3309" s="2">
        <f t="shared" si="210"/>
        <v>159</v>
      </c>
      <c r="C3309">
        <v>373</v>
      </c>
      <c r="D3309">
        <v>340</v>
      </c>
      <c r="E3309">
        <v>42</v>
      </c>
      <c r="F3309">
        <f t="shared" si="212"/>
        <v>6.9767722581370178E-2</v>
      </c>
      <c r="G3309">
        <f t="shared" si="213"/>
        <v>-0.8091594507431964</v>
      </c>
      <c r="I3309">
        <f t="shared" si="211"/>
        <v>-0.36969586408091309</v>
      </c>
      <c r="J3309">
        <v>42</v>
      </c>
      <c r="K3309">
        <v>292</v>
      </c>
      <c r="L3309">
        <v>-0.8091594507431964</v>
      </c>
      <c r="M3309">
        <f t="shared" si="214"/>
        <v>8.2414115001821359E-2</v>
      </c>
      <c r="N3309">
        <v>6.9767722581370178E-2</v>
      </c>
    </row>
    <row r="3310" spans="1:14">
      <c r="A3310" t="s">
        <v>16</v>
      </c>
      <c r="B3310" s="2">
        <f t="shared" si="210"/>
        <v>159</v>
      </c>
      <c r="C3310">
        <v>896</v>
      </c>
      <c r="D3310">
        <v>651</v>
      </c>
      <c r="E3310">
        <v>152</v>
      </c>
      <c r="F3310">
        <f t="shared" si="212"/>
        <v>-2.8729383746130613E-2</v>
      </c>
      <c r="G3310">
        <f t="shared" si="213"/>
        <v>-0.63116433104976188</v>
      </c>
      <c r="I3310">
        <f t="shared" si="211"/>
        <v>-0.32994685739794627</v>
      </c>
      <c r="J3310">
        <v>152</v>
      </c>
      <c r="K3310">
        <v>1074</v>
      </c>
      <c r="L3310">
        <v>-0.63116433104976188</v>
      </c>
      <c r="M3310">
        <f t="shared" si="214"/>
        <v>0.26743636706350227</v>
      </c>
      <c r="N3310">
        <v>-2.8729383746130613E-2</v>
      </c>
    </row>
    <row r="3311" spans="1:14">
      <c r="A3311" t="s">
        <v>17</v>
      </c>
      <c r="B3311" s="2">
        <f t="shared" si="210"/>
        <v>159</v>
      </c>
      <c r="C3311">
        <v>862</v>
      </c>
      <c r="D3311">
        <v>291</v>
      </c>
      <c r="E3311">
        <v>989</v>
      </c>
      <c r="F3311">
        <f t="shared" si="212"/>
        <v>-0.36161663949100287</v>
      </c>
      <c r="G3311">
        <f t="shared" si="213"/>
        <v>0.19898911644005735</v>
      </c>
      <c r="I3311">
        <f t="shared" si="211"/>
        <v>-8.1313761525472761E-2</v>
      </c>
      <c r="J3311">
        <v>989</v>
      </c>
      <c r="K3311">
        <v>148</v>
      </c>
      <c r="L3311">
        <v>0.19898911644005735</v>
      </c>
      <c r="M3311">
        <f t="shared" si="214"/>
        <v>-0.57650545506766471</v>
      </c>
      <c r="N3311">
        <v>-0.36161663949100287</v>
      </c>
    </row>
    <row r="3312" spans="1:14">
      <c r="A3312" t="s">
        <v>18</v>
      </c>
      <c r="B3312" s="2">
        <f t="shared" si="210"/>
        <v>159</v>
      </c>
      <c r="C3312">
        <v>1733</v>
      </c>
      <c r="D3312">
        <v>1986</v>
      </c>
      <c r="E3312">
        <v>2209</v>
      </c>
      <c r="F3312">
        <f t="shared" si="212"/>
        <v>0.16917831879324802</v>
      </c>
      <c r="G3312">
        <f t="shared" si="213"/>
        <v>0.24469724382510871</v>
      </c>
      <c r="I3312">
        <f t="shared" si="211"/>
        <v>0.20693778130917836</v>
      </c>
      <c r="J3312">
        <v>2209</v>
      </c>
      <c r="K3312">
        <v>1334</v>
      </c>
      <c r="L3312">
        <v>0.24469724382510871</v>
      </c>
      <c r="M3312">
        <f t="shared" si="214"/>
        <v>7.5097362228703821E-2</v>
      </c>
      <c r="N3312">
        <v>0.16917831879324802</v>
      </c>
    </row>
    <row r="3313" spans="1:14">
      <c r="A3313" t="s">
        <v>19</v>
      </c>
      <c r="B3313" s="2">
        <f t="shared" si="210"/>
        <v>159</v>
      </c>
      <c r="C3313">
        <v>925</v>
      </c>
      <c r="D3313">
        <v>121</v>
      </c>
      <c r="E3313">
        <v>272</v>
      </c>
      <c r="F3313">
        <f t="shared" si="212"/>
        <v>-0.77335872507477987</v>
      </c>
      <c r="G3313">
        <f t="shared" si="213"/>
        <v>-0.39227273803724316</v>
      </c>
      <c r="I3313">
        <f t="shared" si="211"/>
        <v>-0.58281573155601152</v>
      </c>
      <c r="J3313">
        <v>272</v>
      </c>
      <c r="K3313">
        <v>419</v>
      </c>
      <c r="L3313">
        <v>-0.39227273803724316</v>
      </c>
      <c r="M3313">
        <f t="shared" si="214"/>
        <v>-0.1551876144106466</v>
      </c>
      <c r="N3313">
        <v>-0.77335872507477987</v>
      </c>
    </row>
    <row r="3314" spans="1:14">
      <c r="A3314" t="s">
        <v>20</v>
      </c>
      <c r="B3314" s="2">
        <f t="shared" si="210"/>
        <v>159</v>
      </c>
      <c r="C3314">
        <v>1433</v>
      </c>
      <c r="D3314">
        <v>144</v>
      </c>
      <c r="E3314">
        <v>169</v>
      </c>
      <c r="F3314">
        <f t="shared" si="212"/>
        <v>-0.88788606095429212</v>
      </c>
      <c r="G3314">
        <f t="shared" si="213"/>
        <v>-0.78905939511608014</v>
      </c>
      <c r="I3314">
        <f t="shared" si="211"/>
        <v>-0.83847272803518613</v>
      </c>
      <c r="J3314">
        <v>169</v>
      </c>
      <c r="K3314">
        <v>61</v>
      </c>
      <c r="L3314">
        <v>-0.78905939511608014</v>
      </c>
      <c r="M3314">
        <f t="shared" si="214"/>
        <v>-1.1821762600244869</v>
      </c>
      <c r="N3314">
        <v>-0.88788606095429212</v>
      </c>
    </row>
    <row r="3315" spans="1:14">
      <c r="A3315" t="s">
        <v>21</v>
      </c>
      <c r="B3315" s="2">
        <f t="shared" si="210"/>
        <v>159</v>
      </c>
      <c r="C3315">
        <v>1576</v>
      </c>
      <c r="D3315">
        <v>510</v>
      </c>
      <c r="E3315">
        <v>481</v>
      </c>
      <c r="F3315">
        <f t="shared" si="212"/>
        <v>-0.37998839970779752</v>
      </c>
      <c r="G3315">
        <f t="shared" si="213"/>
        <v>-0.37611104611211399</v>
      </c>
      <c r="I3315">
        <f t="shared" si="211"/>
        <v>-0.37804972290995575</v>
      </c>
      <c r="J3315">
        <v>481</v>
      </c>
      <c r="K3315">
        <v>503</v>
      </c>
      <c r="L3315">
        <v>-0.37611104611211399</v>
      </c>
      <c r="M3315">
        <f t="shared" si="214"/>
        <v>-0.30724813273551843</v>
      </c>
      <c r="N3315">
        <v>-0.37998839970779752</v>
      </c>
    </row>
    <row r="3316" spans="1:14">
      <c r="A3316" t="s">
        <v>22</v>
      </c>
      <c r="B3316" s="2">
        <f t="shared" si="210"/>
        <v>159</v>
      </c>
      <c r="C3316">
        <v>1027</v>
      </c>
      <c r="D3316">
        <v>128</v>
      </c>
      <c r="E3316">
        <v>1397</v>
      </c>
      <c r="F3316">
        <f t="shared" si="212"/>
        <v>-0.79436283660160711</v>
      </c>
      <c r="G3316">
        <f t="shared" si="213"/>
        <v>0.27292605318449448</v>
      </c>
      <c r="I3316">
        <f t="shared" si="211"/>
        <v>-0.26071839170855632</v>
      </c>
      <c r="J3316">
        <v>1397</v>
      </c>
      <c r="K3316">
        <v>489</v>
      </c>
      <c r="L3316">
        <v>0.27292605318449448</v>
      </c>
      <c r="M3316">
        <f t="shared" si="214"/>
        <v>-0.13352148911156725</v>
      </c>
      <c r="N3316">
        <v>-0.79436283660160711</v>
      </c>
    </row>
    <row r="3317" spans="1:14">
      <c r="A3317" t="s">
        <v>23</v>
      </c>
      <c r="B3317" s="2">
        <f t="shared" si="210"/>
        <v>159</v>
      </c>
      <c r="C3317">
        <v>1397</v>
      </c>
      <c r="D3317">
        <v>43</v>
      </c>
      <c r="E3317">
        <v>304</v>
      </c>
      <c r="F3317">
        <f t="shared" si="212"/>
        <v>-1.4017303131867926</v>
      </c>
      <c r="G3317">
        <f t="shared" si="213"/>
        <v>-0.52302273183783743</v>
      </c>
      <c r="I3317">
        <f t="shared" si="211"/>
        <v>-0.96237652251231509</v>
      </c>
      <c r="J3317">
        <v>304</v>
      </c>
      <c r="K3317">
        <v>253</v>
      </c>
      <c r="L3317">
        <v>-0.52302273183783743</v>
      </c>
      <c r="M3317">
        <f t="shared" si="214"/>
        <v>-0.55333578957627327</v>
      </c>
      <c r="N3317">
        <v>-1.4017303131867926</v>
      </c>
    </row>
    <row r="3318" spans="1:14">
      <c r="A3318" t="s">
        <v>24</v>
      </c>
      <c r="B3318" s="2">
        <f t="shared" si="210"/>
        <v>159</v>
      </c>
      <c r="C3318">
        <v>1260</v>
      </c>
      <c r="D3318">
        <v>93</v>
      </c>
      <c r="E3318">
        <v>1408</v>
      </c>
      <c r="F3318">
        <f t="shared" si="212"/>
        <v>-1.021889959215825</v>
      </c>
      <c r="G3318">
        <f t="shared" si="213"/>
        <v>0.18753220035612128</v>
      </c>
      <c r="I3318">
        <f t="shared" si="211"/>
        <v>-0.41717887942985188</v>
      </c>
      <c r="J3318">
        <v>1408</v>
      </c>
      <c r="K3318">
        <v>939</v>
      </c>
      <c r="L3318">
        <v>0.18753220035612128</v>
      </c>
      <c r="M3318">
        <f t="shared" si="214"/>
        <v>6.1035142510638712E-2</v>
      </c>
      <c r="N3318">
        <v>-1.021889959215825</v>
      </c>
    </row>
    <row r="3319" spans="1:14">
      <c r="A3319" t="s">
        <v>25</v>
      </c>
      <c r="B3319" s="2">
        <f t="shared" si="210"/>
        <v>159</v>
      </c>
      <c r="C3319">
        <v>1880</v>
      </c>
      <c r="D3319">
        <v>130</v>
      </c>
      <c r="E3319">
        <v>160</v>
      </c>
      <c r="F3319">
        <f t="shared" si="212"/>
        <v>-1.0502168596090404</v>
      </c>
      <c r="G3319">
        <f t="shared" si="213"/>
        <v>-0.93073777594016427</v>
      </c>
      <c r="I3319">
        <f t="shared" si="211"/>
        <v>-0.99047731777460235</v>
      </c>
      <c r="J3319">
        <v>160</v>
      </c>
      <c r="K3319">
        <v>84</v>
      </c>
      <c r="L3319">
        <v>-0.93073777594016427</v>
      </c>
      <c r="M3319">
        <f t="shared" si="214"/>
        <v>-1.1611384678397076</v>
      </c>
      <c r="N3319">
        <v>-1.0502168596090404</v>
      </c>
    </row>
    <row r="3320" spans="1:14">
      <c r="A3320" t="s">
        <v>7</v>
      </c>
      <c r="B3320" s="2">
        <f t="shared" si="210"/>
        <v>160</v>
      </c>
      <c r="C3320">
        <v>500</v>
      </c>
      <c r="D3320">
        <v>28</v>
      </c>
      <c r="E3320">
        <v>41</v>
      </c>
      <c r="F3320">
        <f t="shared" si="212"/>
        <v>-1.1418143356459969</v>
      </c>
      <c r="G3320">
        <f t="shared" si="213"/>
        <v>-0.94688605694869254</v>
      </c>
      <c r="I3320">
        <f t="shared" si="211"/>
        <v>-1.0443501962973447</v>
      </c>
      <c r="J3320">
        <v>41</v>
      </c>
      <c r="K3320">
        <v>53</v>
      </c>
      <c r="L3320">
        <v>-0.94688605694869254</v>
      </c>
      <c r="M3320">
        <f t="shared" si="214"/>
        <v>-0.78595403937313912</v>
      </c>
      <c r="N3320">
        <v>-1.1418143356459969</v>
      </c>
    </row>
    <row r="3321" spans="1:14">
      <c r="A3321" t="s">
        <v>8</v>
      </c>
      <c r="B3321" s="2">
        <f t="shared" si="210"/>
        <v>160</v>
      </c>
      <c r="C3321">
        <v>1180</v>
      </c>
      <c r="D3321">
        <v>19</v>
      </c>
      <c r="E3321">
        <v>98</v>
      </c>
      <c r="F3321">
        <f t="shared" si="212"/>
        <v>-1.6831307690054937</v>
      </c>
      <c r="G3321">
        <f t="shared" si="213"/>
        <v>-0.94135584094603986</v>
      </c>
      <c r="I3321">
        <f t="shared" si="211"/>
        <v>-1.3122433049757669</v>
      </c>
      <c r="J3321">
        <v>98</v>
      </c>
      <c r="K3321">
        <v>54</v>
      </c>
      <c r="L3321">
        <v>-0.94135584094603986</v>
      </c>
      <c r="M3321">
        <f t="shared" si="214"/>
        <v>-1.1507481521210661</v>
      </c>
      <c r="N3321">
        <v>-1.6831307690054937</v>
      </c>
    </row>
    <row r="3322" spans="1:14">
      <c r="A3322" t="s">
        <v>5</v>
      </c>
      <c r="B3322" s="2">
        <f t="shared" si="210"/>
        <v>160</v>
      </c>
      <c r="C3322">
        <v>336</v>
      </c>
      <c r="D3322">
        <v>7</v>
      </c>
      <c r="E3322">
        <v>10</v>
      </c>
      <c r="F3322">
        <f t="shared" si="212"/>
        <v>-1.5712436000277845</v>
      </c>
      <c r="G3322">
        <f t="shared" si="213"/>
        <v>-1.3870391867222533</v>
      </c>
      <c r="I3322">
        <f t="shared" si="211"/>
        <v>-1.479141393375019</v>
      </c>
      <c r="J3322">
        <v>10</v>
      </c>
      <c r="K3322">
        <v>1</v>
      </c>
      <c r="L3322">
        <v>-1.3870391867222533</v>
      </c>
      <c r="M3322">
        <f t="shared" si="214"/>
        <v>-2.3375991820277533</v>
      </c>
      <c r="N3322">
        <v>-1.5712436000277845</v>
      </c>
    </row>
    <row r="3323" spans="1:14">
      <c r="A3323" t="s">
        <v>6</v>
      </c>
      <c r="B3323" s="2">
        <f t="shared" si="210"/>
        <v>160</v>
      </c>
      <c r="C3323">
        <v>935</v>
      </c>
      <c r="D3323">
        <v>28</v>
      </c>
      <c r="E3323">
        <v>133</v>
      </c>
      <c r="F3323">
        <f t="shared" si="212"/>
        <v>-1.4136559421824959</v>
      </c>
      <c r="G3323">
        <f t="shared" si="213"/>
        <v>-0.70765987923784124</v>
      </c>
      <c r="I3323">
        <f t="shared" si="211"/>
        <v>-1.0606579107101686</v>
      </c>
      <c r="J3323">
        <v>133</v>
      </c>
      <c r="K3323">
        <v>265</v>
      </c>
      <c r="L3323">
        <v>-0.70765987923784124</v>
      </c>
      <c r="M3323">
        <f t="shared" si="214"/>
        <v>-0.35882564157361918</v>
      </c>
      <c r="N3323">
        <v>-1.4136559421824959</v>
      </c>
    </row>
    <row r="3324" spans="1:14">
      <c r="A3324" t="s">
        <v>10</v>
      </c>
      <c r="B3324" s="2">
        <f t="shared" si="210"/>
        <v>160</v>
      </c>
      <c r="C3324">
        <v>1060</v>
      </c>
      <c r="D3324">
        <v>576</v>
      </c>
      <c r="E3324">
        <v>124</v>
      </c>
      <c r="F3324">
        <f t="shared" si="212"/>
        <v>-0.15488574449375553</v>
      </c>
      <c r="G3324">
        <f t="shared" si="213"/>
        <v>-0.79258408943494441</v>
      </c>
      <c r="I3324">
        <f t="shared" si="211"/>
        <v>-0.47373491696434999</v>
      </c>
      <c r="J3324">
        <v>124</v>
      </c>
      <c r="K3324">
        <v>296</v>
      </c>
      <c r="L3324">
        <v>-0.79258408943494441</v>
      </c>
      <c r="M3324">
        <f t="shared" si="214"/>
        <v>-0.36527405884374098</v>
      </c>
      <c r="N3324">
        <v>-0.15488574449375553</v>
      </c>
    </row>
    <row r="3325" spans="1:14">
      <c r="A3325" t="s">
        <v>11</v>
      </c>
      <c r="B3325" s="2">
        <f t="shared" si="210"/>
        <v>160</v>
      </c>
      <c r="C3325">
        <v>1634</v>
      </c>
      <c r="D3325">
        <v>89711</v>
      </c>
      <c r="E3325">
        <v>421</v>
      </c>
      <c r="F3325">
        <f t="shared" si="212"/>
        <v>1.8495912828934478</v>
      </c>
      <c r="G3325">
        <f t="shared" si="213"/>
        <v>-0.4496698656931376</v>
      </c>
      <c r="I3325">
        <f t="shared" si="211"/>
        <v>0.69996070860015513</v>
      </c>
      <c r="J3325">
        <v>421</v>
      </c>
      <c r="K3325">
        <v>267</v>
      </c>
      <c r="L3325">
        <v>-0.4496698656931376</v>
      </c>
      <c r="M3325">
        <f t="shared" si="214"/>
        <v>-0.59800069546973078</v>
      </c>
      <c r="N3325">
        <v>1.8495912828934478</v>
      </c>
    </row>
    <row r="3326" spans="1:14">
      <c r="A3326" t="s">
        <v>12</v>
      </c>
      <c r="B3326" s="2">
        <f t="shared" si="210"/>
        <v>160</v>
      </c>
      <c r="C3326">
        <v>782</v>
      </c>
      <c r="D3326">
        <v>46</v>
      </c>
      <c r="E3326">
        <v>38</v>
      </c>
      <c r="F3326">
        <f t="shared" si="212"/>
        <v>-1.1204512840304712</v>
      </c>
      <c r="G3326">
        <f t="shared" si="213"/>
        <v>-1.1741230657754471</v>
      </c>
      <c r="I3326">
        <f t="shared" si="211"/>
        <v>-1.1472871749029592</v>
      </c>
      <c r="J3326">
        <v>38</v>
      </c>
      <c r="K3326">
        <v>39</v>
      </c>
      <c r="L3326">
        <v>-1.1741230657754471</v>
      </c>
      <c r="M3326">
        <f t="shared" si="214"/>
        <v>-1.1134020506712581</v>
      </c>
      <c r="N3326">
        <v>-1.1204512840304712</v>
      </c>
    </row>
    <row r="3327" spans="1:14">
      <c r="A3327" t="s">
        <v>9</v>
      </c>
      <c r="B3327" s="2">
        <f t="shared" si="210"/>
        <v>160</v>
      </c>
      <c r="C3327">
        <v>1104</v>
      </c>
      <c r="D3327">
        <v>32</v>
      </c>
      <c r="E3327">
        <v>26</v>
      </c>
      <c r="F3327">
        <f t="shared" si="212"/>
        <v>-1.4278214577254715</v>
      </c>
      <c r="G3327">
        <f t="shared" si="213"/>
        <v>-1.4886956347547713</v>
      </c>
      <c r="I3327">
        <f t="shared" si="211"/>
        <v>-1.4582585462401214</v>
      </c>
      <c r="J3327">
        <v>26</v>
      </c>
      <c r="K3327">
        <v>59</v>
      </c>
      <c r="L3327">
        <v>-1.4886956347547713</v>
      </c>
      <c r="M3327">
        <f t="shared" si="214"/>
        <v>-1.0833769663889452</v>
      </c>
      <c r="N3327">
        <v>-1.4278214577254715</v>
      </c>
    </row>
    <row r="3328" spans="1:14">
      <c r="A3328" t="s">
        <v>13</v>
      </c>
      <c r="B3328" s="2">
        <f t="shared" si="210"/>
        <v>160</v>
      </c>
      <c r="C3328">
        <v>917</v>
      </c>
      <c r="D3328">
        <v>518</v>
      </c>
      <c r="E3328">
        <v>1254</v>
      </c>
      <c r="F3328">
        <f t="shared" si="212"/>
        <v>-0.13804193857698538</v>
      </c>
      <c r="G3328">
        <f t="shared" si="213"/>
        <v>0.2752282914922673</v>
      </c>
      <c r="I3328">
        <f t="shared" si="211"/>
        <v>6.8593176457640959E-2</v>
      </c>
      <c r="J3328">
        <v>1254</v>
      </c>
      <c r="K3328">
        <v>535</v>
      </c>
      <c r="L3328">
        <v>0.2752282914922673</v>
      </c>
      <c r="M3328">
        <f t="shared" si="214"/>
        <v>-4.5275458286701931E-2</v>
      </c>
      <c r="N3328">
        <v>-0.13804193857698538</v>
      </c>
    </row>
    <row r="3329" spans="1:14">
      <c r="A3329" t="s">
        <v>14</v>
      </c>
      <c r="B3329" s="2">
        <f t="shared" si="210"/>
        <v>160</v>
      </c>
      <c r="C3329">
        <v>368</v>
      </c>
      <c r="D3329">
        <v>78</v>
      </c>
      <c r="E3329">
        <v>52</v>
      </c>
      <c r="F3329">
        <f t="shared" si="212"/>
        <v>-0.56375557863523462</v>
      </c>
      <c r="G3329">
        <f t="shared" si="213"/>
        <v>-0.71054438437112777</v>
      </c>
      <c r="I3329">
        <f t="shared" si="211"/>
        <v>-0.63714998150318114</v>
      </c>
      <c r="J3329">
        <v>52</v>
      </c>
      <c r="K3329">
        <v>27</v>
      </c>
      <c r="L3329">
        <v>-0.71054438437112777</v>
      </c>
      <c r="M3329">
        <f t="shared" si="214"/>
        <v>-0.94574395915243958</v>
      </c>
      <c r="N3329">
        <v>-0.56375557863523462</v>
      </c>
    </row>
    <row r="3330" spans="1:14">
      <c r="A3330" t="s">
        <v>15</v>
      </c>
      <c r="B3330" s="2">
        <f t="shared" si="210"/>
        <v>160</v>
      </c>
      <c r="C3330">
        <v>165163</v>
      </c>
      <c r="D3330">
        <v>128208</v>
      </c>
      <c r="E3330">
        <v>119843</v>
      </c>
      <c r="F3330">
        <f t="shared" si="212"/>
        <v>0</v>
      </c>
      <c r="G3330">
        <f t="shared" si="213"/>
        <v>0</v>
      </c>
      <c r="I3330">
        <f t="shared" si="211"/>
        <v>0</v>
      </c>
      <c r="J3330">
        <v>119843</v>
      </c>
      <c r="K3330">
        <v>106948</v>
      </c>
      <c r="L3330">
        <v>0</v>
      </c>
      <c r="M3330">
        <f t="shared" si="214"/>
        <v>0</v>
      </c>
      <c r="N3330">
        <v>0</v>
      </c>
    </row>
    <row r="3331" spans="1:14">
      <c r="A3331" t="s">
        <v>16</v>
      </c>
      <c r="B3331" s="2">
        <f t="shared" ref="B3331:B3394" si="215">1+INT((ROW()-2)/21)+1</f>
        <v>160</v>
      </c>
      <c r="C3331">
        <v>1297</v>
      </c>
      <c r="D3331">
        <v>321</v>
      </c>
      <c r="E3331">
        <v>825</v>
      </c>
      <c r="F3331">
        <f t="shared" si="212"/>
        <v>-0.49643730633140537</v>
      </c>
      <c r="G3331">
        <f t="shared" si="213"/>
        <v>-5.7185936866564174E-2</v>
      </c>
      <c r="I3331">
        <f t="shared" ref="I3331:I3394" si="216">AVERAGE(F3331:G3331)</f>
        <v>-0.27681162159898476</v>
      </c>
      <c r="J3331">
        <v>825</v>
      </c>
      <c r="K3331">
        <v>519</v>
      </c>
      <c r="L3331">
        <v>-5.7185936866564174E-2</v>
      </c>
      <c r="M3331">
        <f t="shared" si="214"/>
        <v>-0.20903252287353158</v>
      </c>
      <c r="N3331">
        <v>-0.49643730633140537</v>
      </c>
    </row>
    <row r="3332" spans="1:14">
      <c r="A3332" t="s">
        <v>17</v>
      </c>
      <c r="B3332" s="2">
        <f t="shared" si="215"/>
        <v>160</v>
      </c>
      <c r="C3332">
        <v>581</v>
      </c>
      <c r="D3332">
        <v>20</v>
      </c>
      <c r="E3332">
        <v>67</v>
      </c>
      <c r="F3332">
        <f t="shared" si="212"/>
        <v>-1.353148499378547</v>
      </c>
      <c r="G3332">
        <f t="shared" si="213"/>
        <v>-0.79880123902191358</v>
      </c>
      <c r="I3332">
        <f t="shared" si="216"/>
        <v>-1.0759748692002302</v>
      </c>
      <c r="J3332">
        <v>67</v>
      </c>
      <c r="K3332">
        <v>37</v>
      </c>
      <c r="L3332">
        <v>-0.79880123902191358</v>
      </c>
      <c r="M3332">
        <f t="shared" si="214"/>
        <v>-1.0072343129612449</v>
      </c>
      <c r="N3332">
        <v>-1.353148499378547</v>
      </c>
    </row>
    <row r="3333" spans="1:14">
      <c r="A3333" t="s">
        <v>18</v>
      </c>
      <c r="B3333" s="2">
        <f t="shared" si="215"/>
        <v>160</v>
      </c>
      <c r="C3333">
        <v>1685</v>
      </c>
      <c r="D3333">
        <v>4039</v>
      </c>
      <c r="E3333">
        <v>642</v>
      </c>
      <c r="F3333">
        <f t="shared" si="212"/>
        <v>0.48967158531043353</v>
      </c>
      <c r="G3333">
        <f t="shared" si="213"/>
        <v>-0.27976478647091341</v>
      </c>
      <c r="I3333">
        <f t="shared" si="216"/>
        <v>0.10495339941976006</v>
      </c>
      <c r="J3333">
        <v>642</v>
      </c>
      <c r="K3333">
        <v>1050</v>
      </c>
      <c r="L3333">
        <v>-0.27976478647091341</v>
      </c>
      <c r="M3333">
        <f t="shared" si="214"/>
        <v>-1.667051077532869E-2</v>
      </c>
      <c r="N3333">
        <v>0.48967158531043353</v>
      </c>
    </row>
    <row r="3334" spans="1:14">
      <c r="A3334" t="s">
        <v>19</v>
      </c>
      <c r="B3334" s="2">
        <f t="shared" si="215"/>
        <v>160</v>
      </c>
      <c r="C3334">
        <v>409</v>
      </c>
      <c r="D3334">
        <v>1747</v>
      </c>
      <c r="E3334">
        <v>96</v>
      </c>
      <c r="F3334">
        <f t="shared" si="212"/>
        <v>0.74056723432339178</v>
      </c>
      <c r="G3334">
        <f t="shared" si="213"/>
        <v>-0.4901519843001827</v>
      </c>
      <c r="I3334">
        <f t="shared" si="216"/>
        <v>0.12520762501160454</v>
      </c>
      <c r="J3334">
        <v>96</v>
      </c>
      <c r="K3334">
        <v>135</v>
      </c>
      <c r="L3334">
        <v>-0.4901519843001827</v>
      </c>
      <c r="M3334">
        <f t="shared" si="214"/>
        <v>-0.29264944415024496</v>
      </c>
      <c r="N3334">
        <v>0.74056723432339178</v>
      </c>
    </row>
    <row r="3335" spans="1:14">
      <c r="A3335" t="s">
        <v>20</v>
      </c>
      <c r="B3335" s="2">
        <f t="shared" si="215"/>
        <v>160</v>
      </c>
      <c r="C3335">
        <v>685</v>
      </c>
      <c r="D3335">
        <v>31</v>
      </c>
      <c r="E3335">
        <v>49</v>
      </c>
      <c r="F3335">
        <f t="shared" si="212"/>
        <v>-1.2343312403103501</v>
      </c>
      <c r="G3335">
        <f t="shared" si="213"/>
        <v>-1.0061944007963213</v>
      </c>
      <c r="I3335">
        <f t="shared" si="216"/>
        <v>-1.1202628205533358</v>
      </c>
      <c r="J3335">
        <v>49</v>
      </c>
      <c r="K3335">
        <v>46</v>
      </c>
      <c r="L3335">
        <v>-1.0061944007963213</v>
      </c>
      <c r="M3335">
        <f t="shared" si="214"/>
        <v>-0.98419264444876087</v>
      </c>
      <c r="N3335">
        <v>-1.2343312403103501</v>
      </c>
    </row>
    <row r="3336" spans="1:14">
      <c r="A3336" t="s">
        <v>21</v>
      </c>
      <c r="B3336" s="2">
        <f t="shared" si="215"/>
        <v>160</v>
      </c>
      <c r="C3336">
        <v>1069</v>
      </c>
      <c r="D3336">
        <v>23</v>
      </c>
      <c r="E3336">
        <v>56</v>
      </c>
      <c r="F3336">
        <f t="shared" si="212"/>
        <v>-1.5572522318433824</v>
      </c>
      <c r="G3336">
        <f t="shared" si="213"/>
        <v>-1.1414895875349869</v>
      </c>
      <c r="I3336">
        <f t="shared" si="216"/>
        <v>-1.3493709096891846</v>
      </c>
      <c r="J3336">
        <v>56</v>
      </c>
      <c r="K3336">
        <v>78</v>
      </c>
      <c r="L3336">
        <v>-1.1414895875349869</v>
      </c>
      <c r="M3336">
        <f t="shared" si="214"/>
        <v>-0.94814300715620703</v>
      </c>
      <c r="N3336">
        <v>-1.5572522318433824</v>
      </c>
    </row>
    <row r="3337" spans="1:14">
      <c r="A3337" t="s">
        <v>22</v>
      </c>
      <c r="B3337" s="2">
        <f t="shared" si="215"/>
        <v>160</v>
      </c>
      <c r="C3337">
        <v>1233</v>
      </c>
      <c r="D3337">
        <v>44</v>
      </c>
      <c r="E3337">
        <v>99</v>
      </c>
      <c r="F3337">
        <f t="shared" si="212"/>
        <v>-1.3375127627617416</v>
      </c>
      <c r="G3337">
        <f t="shared" si="213"/>
        <v>-0.95602779133059101</v>
      </c>
      <c r="I3337">
        <f t="shared" si="216"/>
        <v>-1.1467702770461663</v>
      </c>
      <c r="J3337">
        <v>99</v>
      </c>
      <c r="K3337">
        <v>72</v>
      </c>
      <c r="L3337">
        <v>-0.95602779133059101</v>
      </c>
      <c r="M3337">
        <f t="shared" si="214"/>
        <v>-1.0448904848023726</v>
      </c>
      <c r="N3337">
        <v>-1.3375127627617416</v>
      </c>
    </row>
    <row r="3338" spans="1:14">
      <c r="A3338" t="s">
        <v>23</v>
      </c>
      <c r="B3338" s="2">
        <f t="shared" si="215"/>
        <v>160</v>
      </c>
      <c r="C3338">
        <v>1533</v>
      </c>
      <c r="D3338">
        <v>50</v>
      </c>
      <c r="E3338">
        <v>3782</v>
      </c>
      <c r="F3338">
        <f t="shared" si="212"/>
        <v>-1.3765745131705538</v>
      </c>
      <c r="G3338">
        <f t="shared" si="213"/>
        <v>0.53147946032223659</v>
      </c>
      <c r="I3338">
        <f t="shared" si="216"/>
        <v>-0.4225475264241586</v>
      </c>
      <c r="J3338">
        <v>3782</v>
      </c>
      <c r="K3338">
        <v>2263</v>
      </c>
      <c r="L3338">
        <v>0.53147946032223659</v>
      </c>
      <c r="M3338">
        <f t="shared" si="214"/>
        <v>0.35788249446244413</v>
      </c>
      <c r="N3338">
        <v>-1.3765745131705538</v>
      </c>
    </row>
    <row r="3339" spans="1:14">
      <c r="A3339" t="s">
        <v>24</v>
      </c>
      <c r="B3339" s="2">
        <f t="shared" si="215"/>
        <v>160</v>
      </c>
      <c r="C3339">
        <v>1896</v>
      </c>
      <c r="D3339">
        <v>25</v>
      </c>
      <c r="E3339">
        <v>56</v>
      </c>
      <c r="F3339">
        <f t="shared" si="212"/>
        <v>-1.7699006869822071</v>
      </c>
      <c r="G3339">
        <f t="shared" si="213"/>
        <v>-1.3903502153282563</v>
      </c>
      <c r="I3339">
        <f t="shared" si="216"/>
        <v>-1.5801254511552316</v>
      </c>
      <c r="J3339">
        <v>56</v>
      </c>
      <c r="K3339">
        <v>76</v>
      </c>
      <c r="L3339">
        <v>-1.3903502153282563</v>
      </c>
      <c r="M3339">
        <f t="shared" si="214"/>
        <v>-1.2082846453591656</v>
      </c>
      <c r="N3339">
        <v>-1.7699006869822071</v>
      </c>
    </row>
    <row r="3340" spans="1:14">
      <c r="A3340" t="s">
        <v>25</v>
      </c>
      <c r="B3340" s="2">
        <f t="shared" si="215"/>
        <v>160</v>
      </c>
      <c r="C3340">
        <v>917</v>
      </c>
      <c r="D3340">
        <v>8</v>
      </c>
      <c r="E3340">
        <v>32</v>
      </c>
      <c r="F3340">
        <f t="shared" si="212"/>
        <v>-1.9492817113302749</v>
      </c>
      <c r="G3340">
        <f t="shared" si="213"/>
        <v>-1.3179192666825243</v>
      </c>
      <c r="I3340">
        <f t="shared" si="216"/>
        <v>-1.6336004890063998</v>
      </c>
      <c r="J3340">
        <v>32</v>
      </c>
      <c r="K3340">
        <v>349</v>
      </c>
      <c r="L3340">
        <v>-1.3179192666825243</v>
      </c>
      <c r="M3340">
        <f t="shared" si="214"/>
        <v>-0.23080381334875055</v>
      </c>
      <c r="N3340">
        <v>-1.9492817113302749</v>
      </c>
    </row>
    <row r="3341" spans="1:14">
      <c r="A3341" t="s">
        <v>7</v>
      </c>
      <c r="B3341" s="2">
        <f t="shared" si="215"/>
        <v>161</v>
      </c>
      <c r="C3341">
        <v>659</v>
      </c>
      <c r="D3341">
        <v>938</v>
      </c>
      <c r="E3341">
        <v>101</v>
      </c>
      <c r="F3341">
        <f t="shared" si="212"/>
        <v>0.26331506113285724</v>
      </c>
      <c r="G3341">
        <f t="shared" si="213"/>
        <v>-0.6752639501437766</v>
      </c>
      <c r="I3341">
        <f t="shared" si="216"/>
        <v>-0.20597444450545968</v>
      </c>
      <c r="J3341">
        <v>101</v>
      </c>
      <c r="K3341">
        <v>4019</v>
      </c>
      <c r="L3341">
        <v>-0.6752639501437766</v>
      </c>
      <c r="M3341">
        <f t="shared" si="214"/>
        <v>0.97397268696011563</v>
      </c>
      <c r="N3341">
        <v>0.26331506113285724</v>
      </c>
    </row>
    <row r="3342" spans="1:14">
      <c r="A3342" t="s">
        <v>8</v>
      </c>
      <c r="B3342" s="2">
        <f t="shared" si="215"/>
        <v>161</v>
      </c>
      <c r="C3342">
        <v>165163</v>
      </c>
      <c r="D3342">
        <v>128208</v>
      </c>
      <c r="E3342">
        <v>119843</v>
      </c>
      <c r="F3342">
        <f t="shared" si="212"/>
        <v>0</v>
      </c>
      <c r="G3342">
        <f t="shared" si="213"/>
        <v>0</v>
      </c>
      <c r="I3342">
        <f t="shared" si="216"/>
        <v>0</v>
      </c>
      <c r="J3342">
        <v>119843</v>
      </c>
      <c r="K3342">
        <v>106948</v>
      </c>
      <c r="L3342">
        <v>0</v>
      </c>
      <c r="M3342">
        <f t="shared" si="214"/>
        <v>0</v>
      </c>
      <c r="N3342">
        <v>0</v>
      </c>
    </row>
    <row r="3343" spans="1:14">
      <c r="A3343" t="s">
        <v>5</v>
      </c>
      <c r="B3343" s="2">
        <f t="shared" si="215"/>
        <v>161</v>
      </c>
      <c r="C3343">
        <v>294</v>
      </c>
      <c r="D3343">
        <v>22</v>
      </c>
      <c r="E3343">
        <v>31</v>
      </c>
      <c r="F3343">
        <f t="shared" si="212"/>
        <v>-1.0159270122421484</v>
      </c>
      <c r="G3343">
        <f t="shared" si="213"/>
        <v>-0.83768554591029387</v>
      </c>
      <c r="I3343">
        <f t="shared" si="216"/>
        <v>-0.92680627907622115</v>
      </c>
      <c r="J3343">
        <v>31</v>
      </c>
      <c r="K3343">
        <v>21</v>
      </c>
      <c r="L3343">
        <v>-0.83768554591029387</v>
      </c>
      <c r="M3343">
        <f t="shared" si="214"/>
        <v>-0.95738794031614727</v>
      </c>
      <c r="N3343">
        <v>-1.0159270122421484</v>
      </c>
    </row>
    <row r="3344" spans="1:14">
      <c r="A3344" t="s">
        <v>6</v>
      </c>
      <c r="B3344" s="2">
        <f t="shared" si="215"/>
        <v>161</v>
      </c>
      <c r="C3344">
        <v>961</v>
      </c>
      <c r="D3344">
        <v>165</v>
      </c>
      <c r="E3344">
        <v>137</v>
      </c>
      <c r="F3344">
        <f t="shared" si="212"/>
        <v>-0.65524180610683636</v>
      </c>
      <c r="G3344">
        <f t="shared" si="213"/>
        <v>-0.70670272984454785</v>
      </c>
      <c r="I3344">
        <f t="shared" si="216"/>
        <v>-0.6809722679756921</v>
      </c>
      <c r="J3344">
        <v>137</v>
      </c>
      <c r="K3344">
        <v>133</v>
      </c>
      <c r="L3344">
        <v>-0.70670272984454785</v>
      </c>
      <c r="M3344">
        <f t="shared" si="214"/>
        <v>-0.67013165133936892</v>
      </c>
      <c r="N3344">
        <v>-0.65524180610683636</v>
      </c>
    </row>
    <row r="3345" spans="1:14">
      <c r="A3345" t="s">
        <v>10</v>
      </c>
      <c r="B3345" s="2">
        <f t="shared" si="215"/>
        <v>161</v>
      </c>
      <c r="C3345">
        <v>782</v>
      </c>
      <c r="D3345">
        <v>163</v>
      </c>
      <c r="E3345">
        <v>1360</v>
      </c>
      <c r="F3345">
        <f t="shared" si="212"/>
        <v>-0.57102151130808754</v>
      </c>
      <c r="G3345">
        <f t="shared" si="213"/>
        <v>0.3796322459779603</v>
      </c>
      <c r="I3345">
        <f t="shared" si="216"/>
        <v>-9.5694632665063617E-2</v>
      </c>
      <c r="J3345">
        <v>1360</v>
      </c>
      <c r="K3345">
        <v>1178</v>
      </c>
      <c r="L3345">
        <v>0.3796322459779603</v>
      </c>
      <c r="M3345">
        <f t="shared" si="214"/>
        <v>0.36667863275332557</v>
      </c>
      <c r="N3345">
        <v>-0.57102151130808754</v>
      </c>
    </row>
    <row r="3346" spans="1:14">
      <c r="A3346" t="s">
        <v>11</v>
      </c>
      <c r="B3346" s="2">
        <f t="shared" si="215"/>
        <v>161</v>
      </c>
      <c r="C3346">
        <v>873</v>
      </c>
      <c r="D3346">
        <v>162</v>
      </c>
      <c r="E3346">
        <v>624</v>
      </c>
      <c r="F3346">
        <f t="shared" si="212"/>
        <v>-0.62150159181513609</v>
      </c>
      <c r="G3346">
        <f t="shared" si="213"/>
        <v>-6.5295633555549626E-3</v>
      </c>
      <c r="I3346">
        <f t="shared" si="216"/>
        <v>-0.31401557758534554</v>
      </c>
      <c r="J3346">
        <v>624</v>
      </c>
      <c r="K3346">
        <v>376</v>
      </c>
      <c r="L3346">
        <v>-6.5295633555549626E-3</v>
      </c>
      <c r="M3346">
        <f t="shared" si="214"/>
        <v>-0.17708630341581799</v>
      </c>
      <c r="N3346">
        <v>-0.62150159181513609</v>
      </c>
    </row>
    <row r="3347" spans="1:14">
      <c r="A3347" t="s">
        <v>12</v>
      </c>
      <c r="B3347" s="2">
        <f t="shared" si="215"/>
        <v>161</v>
      </c>
      <c r="C3347">
        <v>1052</v>
      </c>
      <c r="D3347">
        <v>590</v>
      </c>
      <c r="E3347">
        <v>134</v>
      </c>
      <c r="F3347">
        <f t="shared" ref="F3347:F3410" si="217">LOG10(D3347/C3347)-LOG10(128208/165163)</f>
        <v>-0.14116609082777343</v>
      </c>
      <c r="G3347">
        <f t="shared" ref="G3347:G3410" si="218">LOG10(E3347/C3347)-LOG10(119843/165163)</f>
        <v>-0.75561085078532186</v>
      </c>
      <c r="I3347">
        <f t="shared" si="216"/>
        <v>-0.44838847080654765</v>
      </c>
      <c r="J3347">
        <v>134</v>
      </c>
      <c r="K3347">
        <v>100</v>
      </c>
      <c r="L3347">
        <v>-0.75561085078532186</v>
      </c>
      <c r="M3347">
        <f t="shared" ref="M3347:M3410" si="219">LOG10(K3347/C3347)-LOG10(106948/165163)</f>
        <v>-0.83327564445562963</v>
      </c>
      <c r="N3347">
        <v>-0.14116609082777343</v>
      </c>
    </row>
    <row r="3348" spans="1:14">
      <c r="A3348" t="s">
        <v>9</v>
      </c>
      <c r="B3348" s="2">
        <f t="shared" si="215"/>
        <v>161</v>
      </c>
      <c r="C3348">
        <v>347</v>
      </c>
      <c r="D3348">
        <v>215</v>
      </c>
      <c r="E3348">
        <v>92</v>
      </c>
      <c r="F3348">
        <f t="shared" si="217"/>
        <v>-9.7893377527465755E-2</v>
      </c>
      <c r="G3348">
        <f t="shared" si="218"/>
        <v>-0.43724155677772769</v>
      </c>
      <c r="I3348">
        <f t="shared" si="216"/>
        <v>-0.26756746715259672</v>
      </c>
      <c r="J3348">
        <v>92</v>
      </c>
      <c r="K3348">
        <v>105</v>
      </c>
      <c r="L3348">
        <v>-0.43724155677772769</v>
      </c>
      <c r="M3348">
        <f t="shared" si="219"/>
        <v>-0.33040008035884494</v>
      </c>
      <c r="N3348">
        <v>-9.7893377527465755E-2</v>
      </c>
    </row>
    <row r="3349" spans="1:14">
      <c r="A3349" t="s">
        <v>13</v>
      </c>
      <c r="B3349" s="2">
        <f t="shared" si="215"/>
        <v>161</v>
      </c>
      <c r="C3349">
        <v>792</v>
      </c>
      <c r="D3349">
        <v>130</v>
      </c>
      <c r="E3349">
        <v>42</v>
      </c>
      <c r="F3349">
        <f t="shared" si="217"/>
        <v>-0.67478419193485406</v>
      </c>
      <c r="G3349">
        <f t="shared" si="218"/>
        <v>-1.1361758005240024</v>
      </c>
      <c r="I3349">
        <f t="shared" si="216"/>
        <v>-0.90547999622942821</v>
      </c>
      <c r="J3349">
        <v>42</v>
      </c>
      <c r="K3349">
        <v>3674</v>
      </c>
      <c r="L3349">
        <v>-1.1361758005240024</v>
      </c>
      <c r="M3349">
        <f t="shared" si="219"/>
        <v>0.85515406574238673</v>
      </c>
      <c r="N3349">
        <v>-0.67478419193485406</v>
      </c>
    </row>
    <row r="3350" spans="1:14">
      <c r="A3350" t="s">
        <v>14</v>
      </c>
      <c r="B3350" s="2">
        <f t="shared" si="215"/>
        <v>161</v>
      </c>
      <c r="C3350">
        <v>1042</v>
      </c>
      <c r="D3350">
        <v>480</v>
      </c>
      <c r="E3350">
        <v>766</v>
      </c>
      <c r="F3350">
        <f t="shared" si="217"/>
        <v>-0.22662884424011576</v>
      </c>
      <c r="G3350">
        <f t="shared" si="218"/>
        <v>5.6611413366890184E-3</v>
      </c>
      <c r="I3350">
        <f t="shared" si="216"/>
        <v>-0.11048385145171337</v>
      </c>
      <c r="J3350">
        <v>766</v>
      </c>
      <c r="K3350">
        <v>1035</v>
      </c>
      <c r="L3350">
        <v>5.6611413366890184E-3</v>
      </c>
      <c r="M3350">
        <f t="shared" si="219"/>
        <v>0.18581272619152159</v>
      </c>
      <c r="N3350">
        <v>-0.22662884424011576</v>
      </c>
    </row>
    <row r="3351" spans="1:14">
      <c r="A3351" t="s">
        <v>15</v>
      </c>
      <c r="B3351" s="2">
        <f t="shared" si="215"/>
        <v>161</v>
      </c>
      <c r="C3351">
        <v>513</v>
      </c>
      <c r="D3351">
        <v>306</v>
      </c>
      <c r="E3351">
        <v>300</v>
      </c>
      <c r="F3351">
        <f t="shared" si="217"/>
        <v>-0.11439830128243365</v>
      </c>
      <c r="G3351">
        <f t="shared" si="218"/>
        <v>-9.3696019724563095E-2</v>
      </c>
      <c r="I3351">
        <f t="shared" si="216"/>
        <v>-0.10404716050349838</v>
      </c>
      <c r="J3351">
        <v>300</v>
      </c>
      <c r="K3351">
        <v>99</v>
      </c>
      <c r="L3351">
        <v>-9.3696019724563095E-2</v>
      </c>
      <c r="M3351">
        <f t="shared" si="219"/>
        <v>-0.52574207515217575</v>
      </c>
      <c r="N3351">
        <v>-0.11439830128243365</v>
      </c>
    </row>
    <row r="3352" spans="1:14">
      <c r="A3352" t="s">
        <v>16</v>
      </c>
      <c r="B3352" s="2">
        <f t="shared" si="215"/>
        <v>161</v>
      </c>
      <c r="C3352">
        <v>995</v>
      </c>
      <c r="D3352">
        <v>1092</v>
      </c>
      <c r="E3352">
        <v>437</v>
      </c>
      <c r="F3352">
        <f t="shared" si="217"/>
        <v>0.15039719497079557</v>
      </c>
      <c r="G3352">
        <f t="shared" si="218"/>
        <v>-0.21804155310771281</v>
      </c>
      <c r="I3352">
        <f t="shared" si="216"/>
        <v>-3.3822179068458622E-2</v>
      </c>
      <c r="J3352">
        <v>437</v>
      </c>
      <c r="K3352">
        <v>231</v>
      </c>
      <c r="L3352">
        <v>-0.21804155310771281</v>
      </c>
      <c r="M3352">
        <f t="shared" si="219"/>
        <v>-0.44547100549149043</v>
      </c>
      <c r="N3352">
        <v>0.15039719497079557</v>
      </c>
    </row>
    <row r="3353" spans="1:14">
      <c r="A3353" t="s">
        <v>17</v>
      </c>
      <c r="B3353" s="2">
        <f t="shared" si="215"/>
        <v>161</v>
      </c>
      <c r="C3353">
        <v>1040</v>
      </c>
      <c r="D3353">
        <v>146</v>
      </c>
      <c r="E3353">
        <v>67</v>
      </c>
      <c r="F3353">
        <f t="shared" si="217"/>
        <v>-0.74268284616654057</v>
      </c>
      <c r="G3353">
        <f t="shared" si="218"/>
        <v>-1.0516584459303633</v>
      </c>
      <c r="I3353">
        <f t="shared" si="216"/>
        <v>-0.89717064604845187</v>
      </c>
      <c r="J3353">
        <v>67</v>
      </c>
      <c r="K3353">
        <v>135</v>
      </c>
      <c r="L3353">
        <v>-1.0516584459303633</v>
      </c>
      <c r="M3353">
        <f t="shared" si="219"/>
        <v>-0.69795947544168346</v>
      </c>
      <c r="N3353">
        <v>-0.74268284616654057</v>
      </c>
    </row>
    <row r="3354" spans="1:14">
      <c r="A3354" t="s">
        <v>18</v>
      </c>
      <c r="B3354" s="2">
        <f t="shared" si="215"/>
        <v>161</v>
      </c>
      <c r="C3354">
        <v>537</v>
      </c>
      <c r="D3354">
        <v>401</v>
      </c>
      <c r="E3354">
        <v>47</v>
      </c>
      <c r="F3354">
        <f t="shared" si="217"/>
        <v>-1.6832275731570631E-2</v>
      </c>
      <c r="G3354">
        <f t="shared" si="218"/>
        <v>-0.91857633709624742</v>
      </c>
      <c r="I3354">
        <f t="shared" si="216"/>
        <v>-0.46770430641390903</v>
      </c>
      <c r="J3354">
        <v>47</v>
      </c>
      <c r="K3354">
        <v>50</v>
      </c>
      <c r="L3354">
        <v>-0.91857633709624742</v>
      </c>
      <c r="M3354">
        <f t="shared" si="219"/>
        <v>-0.84226418600144604</v>
      </c>
      <c r="N3354">
        <v>-1.6832275731570631E-2</v>
      </c>
    </row>
    <row r="3355" spans="1:14">
      <c r="A3355" t="s">
        <v>19</v>
      </c>
      <c r="B3355" s="2">
        <f t="shared" si="215"/>
        <v>161</v>
      </c>
      <c r="C3355">
        <v>757</v>
      </c>
      <c r="D3355">
        <v>186</v>
      </c>
      <c r="E3355">
        <v>438</v>
      </c>
      <c r="F3355">
        <f t="shared" si="217"/>
        <v>-0.4995852979343538</v>
      </c>
      <c r="G3355">
        <f t="shared" si="218"/>
        <v>-9.8321678328382428E-2</v>
      </c>
      <c r="I3355">
        <f t="shared" si="216"/>
        <v>-0.29895348813136813</v>
      </c>
      <c r="J3355">
        <v>438</v>
      </c>
      <c r="K3355">
        <v>89</v>
      </c>
      <c r="L3355">
        <v>-9.8321678328382428E-2</v>
      </c>
      <c r="M3355">
        <f t="shared" si="219"/>
        <v>-0.74096577749306924</v>
      </c>
      <c r="N3355">
        <v>-0.4995852979343538</v>
      </c>
    </row>
    <row r="3356" spans="1:14">
      <c r="A3356" t="s">
        <v>20</v>
      </c>
      <c r="B3356" s="2">
        <f t="shared" si="215"/>
        <v>161</v>
      </c>
      <c r="C3356">
        <v>310</v>
      </c>
      <c r="D3356">
        <v>64</v>
      </c>
      <c r="E3356">
        <v>185</v>
      </c>
      <c r="F3356">
        <f t="shared" si="217"/>
        <v>-0.57518408250258291</v>
      </c>
      <c r="G3356">
        <f t="shared" si="218"/>
        <v>-8.4889874763668077E-2</v>
      </c>
      <c r="I3356">
        <f t="shared" si="216"/>
        <v>-0.33003697863312548</v>
      </c>
      <c r="J3356">
        <v>185</v>
      </c>
      <c r="K3356">
        <v>36</v>
      </c>
      <c r="L3356">
        <v>-8.4889874763668077E-2</v>
      </c>
      <c r="M3356">
        <f t="shared" si="219"/>
        <v>-0.74631909770489469</v>
      </c>
      <c r="N3356">
        <v>-0.57518408250258291</v>
      </c>
    </row>
    <row r="3357" spans="1:14">
      <c r="A3357" t="s">
        <v>21</v>
      </c>
      <c r="B3357" s="2">
        <f t="shared" si="215"/>
        <v>161</v>
      </c>
      <c r="C3357">
        <v>926</v>
      </c>
      <c r="D3357">
        <v>48</v>
      </c>
      <c r="E3357">
        <v>850</v>
      </c>
      <c r="F3357">
        <f t="shared" si="217"/>
        <v>-1.1753721119585445</v>
      </c>
      <c r="G3357">
        <f t="shared" si="218"/>
        <v>0.10210802969994916</v>
      </c>
      <c r="I3357">
        <f t="shared" si="216"/>
        <v>-0.53663204112929763</v>
      </c>
      <c r="J3357">
        <v>850</v>
      </c>
      <c r="K3357">
        <v>462</v>
      </c>
      <c r="L3357">
        <v>0.10210802969994916</v>
      </c>
      <c r="M3357">
        <f t="shared" si="219"/>
        <v>-0.11322891576371813</v>
      </c>
      <c r="N3357">
        <v>-1.1753721119585445</v>
      </c>
    </row>
    <row r="3358" spans="1:14">
      <c r="A3358" t="s">
        <v>22</v>
      </c>
      <c r="B3358" s="2">
        <f t="shared" si="215"/>
        <v>161</v>
      </c>
      <c r="C3358">
        <v>926</v>
      </c>
      <c r="D3358">
        <v>157</v>
      </c>
      <c r="E3358">
        <v>1134</v>
      </c>
      <c r="F3358">
        <f t="shared" si="217"/>
        <v>-0.6607136969248979</v>
      </c>
      <c r="G3358">
        <f t="shared" si="218"/>
        <v>0.22730215854254421</v>
      </c>
      <c r="I3358">
        <f t="shared" si="216"/>
        <v>-0.21670576919117684</v>
      </c>
      <c r="J3358">
        <v>1134</v>
      </c>
      <c r="K3358">
        <v>77</v>
      </c>
      <c r="L3358">
        <v>0.22730215854254421</v>
      </c>
      <c r="M3358">
        <f t="shared" si="219"/>
        <v>-0.89138016614736182</v>
      </c>
      <c r="N3358">
        <v>-0.6607136969248979</v>
      </c>
    </row>
    <row r="3359" spans="1:14">
      <c r="A3359" t="s">
        <v>23</v>
      </c>
      <c r="B3359" s="2">
        <f t="shared" si="215"/>
        <v>161</v>
      </c>
      <c r="C3359">
        <v>687</v>
      </c>
      <c r="D3359">
        <v>21</v>
      </c>
      <c r="E3359">
        <v>68</v>
      </c>
      <c r="F3359">
        <f t="shared" si="217"/>
        <v>-1.4047398049778286</v>
      </c>
      <c r="G3359">
        <f t="shared" si="218"/>
        <v>-0.8651477336857234</v>
      </c>
      <c r="I3359">
        <f t="shared" si="216"/>
        <v>-1.1349437693317759</v>
      </c>
      <c r="J3359">
        <v>68</v>
      </c>
      <c r="K3359">
        <v>51</v>
      </c>
      <c r="L3359">
        <v>-0.8651477336857234</v>
      </c>
      <c r="M3359">
        <f t="shared" si="219"/>
        <v>-0.94064646559952336</v>
      </c>
      <c r="N3359">
        <v>-1.4047398049778286</v>
      </c>
    </row>
    <row r="3360" spans="1:14">
      <c r="A3360" t="s">
        <v>24</v>
      </c>
      <c r="B3360" s="2">
        <f t="shared" si="215"/>
        <v>161</v>
      </c>
      <c r="C3360">
        <v>589</v>
      </c>
      <c r="D3360">
        <v>30</v>
      </c>
      <c r="E3360">
        <v>38</v>
      </c>
      <c r="F3360">
        <f t="shared" si="217"/>
        <v>-1.1829964027196365</v>
      </c>
      <c r="G3360">
        <f t="shared" si="218"/>
        <v>-1.0510316075027006</v>
      </c>
      <c r="I3360">
        <f t="shared" si="216"/>
        <v>-1.1170140051111686</v>
      </c>
      <c r="J3360">
        <v>38</v>
      </c>
      <c r="K3360">
        <v>376</v>
      </c>
      <c r="L3360">
        <v>-1.0510316075027006</v>
      </c>
      <c r="M3360">
        <f t="shared" si="219"/>
        <v>-6.1873544973498895E-3</v>
      </c>
      <c r="N3360">
        <v>-1.1829964027196365</v>
      </c>
    </row>
    <row r="3361" spans="1:14">
      <c r="A3361" t="s">
        <v>25</v>
      </c>
      <c r="B3361" s="2">
        <f t="shared" si="215"/>
        <v>161</v>
      </c>
      <c r="C3361">
        <v>706</v>
      </c>
      <c r="D3361">
        <v>8</v>
      </c>
      <c r="E3361">
        <v>35</v>
      </c>
      <c r="F3361">
        <f t="shared" si="217"/>
        <v>-1.8357170767120574</v>
      </c>
      <c r="G3361">
        <f t="shared" si="218"/>
        <v>-1.1654365660339374</v>
      </c>
      <c r="I3361">
        <f t="shared" si="216"/>
        <v>-1.5005768213729973</v>
      </c>
      <c r="J3361">
        <v>35</v>
      </c>
      <c r="K3361">
        <v>15</v>
      </c>
      <c r="L3361">
        <v>-1.1654365660339374</v>
      </c>
      <c r="M3361">
        <f t="shared" si="219"/>
        <v>-1.4839733466340319</v>
      </c>
      <c r="N3361">
        <v>-1.8357170767120574</v>
      </c>
    </row>
    <row r="3362" spans="1:14">
      <c r="A3362" t="s">
        <v>7</v>
      </c>
      <c r="B3362" s="2">
        <f t="shared" si="215"/>
        <v>162</v>
      </c>
      <c r="C3362">
        <v>523</v>
      </c>
      <c r="D3362">
        <v>335</v>
      </c>
      <c r="E3362">
        <v>156</v>
      </c>
      <c r="F3362">
        <f t="shared" si="217"/>
        <v>-8.3459244482626385E-2</v>
      </c>
      <c r="G3362">
        <f t="shared" si="218"/>
        <v>-0.38607699984522192</v>
      </c>
      <c r="I3362">
        <f t="shared" si="216"/>
        <v>-0.23476812216392415</v>
      </c>
      <c r="J3362">
        <v>156</v>
      </c>
      <c r="K3362">
        <v>342</v>
      </c>
      <c r="L3362">
        <v>-0.38607699984522192</v>
      </c>
      <c r="M3362">
        <f t="shared" si="219"/>
        <v>4.2645125509514492E-3</v>
      </c>
      <c r="N3362">
        <v>-8.3459244482626385E-2</v>
      </c>
    </row>
    <row r="3363" spans="1:14">
      <c r="A3363" t="s">
        <v>8</v>
      </c>
      <c r="B3363" s="2">
        <f t="shared" si="215"/>
        <v>162</v>
      </c>
      <c r="C3363">
        <v>353</v>
      </c>
      <c r="D3363">
        <v>450</v>
      </c>
      <c r="E3363">
        <v>72</v>
      </c>
      <c r="F3363">
        <f t="shared" si="217"/>
        <v>0.21543544573532378</v>
      </c>
      <c r="G3363">
        <f t="shared" si="218"/>
        <v>-0.55114211828896342</v>
      </c>
      <c r="I3363">
        <f t="shared" si="216"/>
        <v>-0.16785333627681981</v>
      </c>
      <c r="J3363">
        <v>72</v>
      </c>
      <c r="K3363">
        <v>43</v>
      </c>
      <c r="L3363">
        <v>-0.55114211828896342</v>
      </c>
      <c r="M3363">
        <f t="shared" si="219"/>
        <v>-0.72556615444614536</v>
      </c>
      <c r="N3363">
        <v>0.21543544573532378</v>
      </c>
    </row>
    <row r="3364" spans="1:14">
      <c r="A3364" t="s">
        <v>5</v>
      </c>
      <c r="B3364" s="2">
        <f t="shared" si="215"/>
        <v>162</v>
      </c>
      <c r="C3364">
        <v>792</v>
      </c>
      <c r="D3364">
        <v>915</v>
      </c>
      <c r="E3364">
        <v>2466</v>
      </c>
      <c r="F3364">
        <f t="shared" si="217"/>
        <v>0.1726935498247574</v>
      </c>
      <c r="G3364">
        <f t="shared" si="218"/>
        <v>0.63256798133781011</v>
      </c>
      <c r="I3364">
        <f t="shared" si="216"/>
        <v>0.40263076558128374</v>
      </c>
      <c r="J3364">
        <v>2466</v>
      </c>
      <c r="K3364">
        <v>706</v>
      </c>
      <c r="L3364">
        <v>0.63256798133781011</v>
      </c>
      <c r="M3364">
        <f t="shared" si="219"/>
        <v>0.13881961482440097</v>
      </c>
      <c r="N3364">
        <v>0.1726935498247574</v>
      </c>
    </row>
    <row r="3365" spans="1:14">
      <c r="A3365" t="s">
        <v>6</v>
      </c>
      <c r="B3365" s="2">
        <f t="shared" si="215"/>
        <v>162</v>
      </c>
      <c r="C3365">
        <v>543</v>
      </c>
      <c r="D3365">
        <v>950</v>
      </c>
      <c r="E3365">
        <v>308</v>
      </c>
      <c r="F3365">
        <f t="shared" si="217"/>
        <v>0.35292141304780345</v>
      </c>
      <c r="G3365">
        <f t="shared" si="218"/>
        <v>-0.10694902242081192</v>
      </c>
      <c r="I3365">
        <f t="shared" si="216"/>
        <v>0.12298619531349576</v>
      </c>
      <c r="J3365">
        <v>308</v>
      </c>
      <c r="K3365">
        <v>317</v>
      </c>
      <c r="L3365">
        <v>-0.10694902242081192</v>
      </c>
      <c r="M3365">
        <f t="shared" si="219"/>
        <v>-4.500047200900481E-2</v>
      </c>
      <c r="N3365">
        <v>0.35292141304780345</v>
      </c>
    </row>
    <row r="3366" spans="1:14">
      <c r="A3366" t="s">
        <v>10</v>
      </c>
      <c r="B3366" s="2">
        <f t="shared" si="215"/>
        <v>162</v>
      </c>
      <c r="C3366">
        <v>531</v>
      </c>
      <c r="D3366">
        <v>632</v>
      </c>
      <c r="E3366">
        <v>111</v>
      </c>
      <c r="F3366">
        <f t="shared" si="217"/>
        <v>0.18562019454871859</v>
      </c>
      <c r="G3366">
        <f t="shared" si="218"/>
        <v>-0.54047145162722088</v>
      </c>
      <c r="I3366">
        <f t="shared" si="216"/>
        <v>-0.17742562853925115</v>
      </c>
      <c r="J3366">
        <v>111</v>
      </c>
      <c r="K3366">
        <v>105</v>
      </c>
      <c r="L3366">
        <v>-0.54047145162722088</v>
      </c>
      <c r="M3366">
        <f t="shared" si="219"/>
        <v>-0.51516512664944025</v>
      </c>
      <c r="N3366">
        <v>0.18562019454871859</v>
      </c>
    </row>
    <row r="3367" spans="1:14">
      <c r="A3367" t="s">
        <v>11</v>
      </c>
      <c r="B3367" s="2">
        <f t="shared" si="215"/>
        <v>162</v>
      </c>
      <c r="C3367">
        <v>1106</v>
      </c>
      <c r="D3367">
        <v>1009</v>
      </c>
      <c r="E3367">
        <v>162</v>
      </c>
      <c r="F3367">
        <f t="shared" si="217"/>
        <v>7.0133676616033702E-2</v>
      </c>
      <c r="G3367">
        <f t="shared" si="218"/>
        <v>-0.69494002175845782</v>
      </c>
      <c r="I3367">
        <f t="shared" si="216"/>
        <v>-0.31240317257121208</v>
      </c>
      <c r="J3367">
        <v>162</v>
      </c>
      <c r="K3367">
        <v>140</v>
      </c>
      <c r="L3367">
        <v>-0.69494002175845782</v>
      </c>
      <c r="M3367">
        <f t="shared" si="219"/>
        <v>-0.70888699592835069</v>
      </c>
      <c r="N3367">
        <v>7.0133676616033702E-2</v>
      </c>
    </row>
    <row r="3368" spans="1:14">
      <c r="A3368" t="s">
        <v>12</v>
      </c>
      <c r="B3368" s="2">
        <f t="shared" si="215"/>
        <v>162</v>
      </c>
      <c r="C3368">
        <v>165163</v>
      </c>
      <c r="D3368">
        <v>128208</v>
      </c>
      <c r="E3368">
        <v>119843</v>
      </c>
      <c r="F3368">
        <f t="shared" si="217"/>
        <v>0</v>
      </c>
      <c r="G3368">
        <f t="shared" si="218"/>
        <v>0</v>
      </c>
      <c r="I3368">
        <f t="shared" si="216"/>
        <v>0</v>
      </c>
      <c r="J3368">
        <v>119843</v>
      </c>
      <c r="K3368">
        <v>106948</v>
      </c>
      <c r="L3368">
        <v>0</v>
      </c>
      <c r="M3368">
        <f t="shared" si="219"/>
        <v>0</v>
      </c>
      <c r="N3368">
        <v>0</v>
      </c>
    </row>
    <row r="3369" spans="1:14">
      <c r="A3369" t="s">
        <v>9</v>
      </c>
      <c r="B3369" s="2">
        <f t="shared" si="215"/>
        <v>162</v>
      </c>
      <c r="C3369">
        <v>320</v>
      </c>
      <c r="D3369">
        <v>185</v>
      </c>
      <c r="E3369">
        <v>61</v>
      </c>
      <c r="F3369">
        <f t="shared" si="217"/>
        <v>-0.12798061256908955</v>
      </c>
      <c r="G3369">
        <f t="shared" si="218"/>
        <v>-0.58052005264154827</v>
      </c>
      <c r="I3369">
        <f t="shared" si="216"/>
        <v>-0.35425033260531891</v>
      </c>
      <c r="J3369">
        <v>61</v>
      </c>
      <c r="K3369">
        <v>68</v>
      </c>
      <c r="L3369">
        <v>-0.58052005264154827</v>
      </c>
      <c r="M3369">
        <f t="shared" si="219"/>
        <v>-0.48390097025157897</v>
      </c>
      <c r="N3369">
        <v>-0.12798061256908955</v>
      </c>
    </row>
    <row r="3370" spans="1:14">
      <c r="A3370" t="s">
        <v>13</v>
      </c>
      <c r="B3370" s="2">
        <f t="shared" si="215"/>
        <v>162</v>
      </c>
      <c r="C3370">
        <v>943</v>
      </c>
      <c r="D3370">
        <v>643</v>
      </c>
      <c r="E3370">
        <v>204</v>
      </c>
      <c r="F3370">
        <f t="shared" si="217"/>
        <v>-5.6303082465303675E-2</v>
      </c>
      <c r="G3370">
        <f t="shared" si="218"/>
        <v>-0.52558143464383889</v>
      </c>
      <c r="I3370">
        <f t="shared" si="216"/>
        <v>-0.29094225855457129</v>
      </c>
      <c r="J3370">
        <v>204</v>
      </c>
      <c r="K3370">
        <v>87</v>
      </c>
      <c r="L3370">
        <v>-0.52558143464383889</v>
      </c>
      <c r="M3370">
        <f t="shared" si="219"/>
        <v>-0.84625234475661915</v>
      </c>
      <c r="N3370">
        <v>-5.6303082465303675E-2</v>
      </c>
    </row>
    <row r="3371" spans="1:14">
      <c r="A3371" t="s">
        <v>14</v>
      </c>
      <c r="B3371" s="2">
        <f t="shared" si="215"/>
        <v>162</v>
      </c>
      <c r="C3371">
        <v>868</v>
      </c>
      <c r="D3371">
        <v>1059</v>
      </c>
      <c r="E3371">
        <v>130</v>
      </c>
      <c r="F3371">
        <f t="shared" si="217"/>
        <v>0.19637387227879571</v>
      </c>
      <c r="G3371">
        <f t="shared" si="218"/>
        <v>-0.68527628220206438</v>
      </c>
      <c r="I3371">
        <f t="shared" si="216"/>
        <v>-0.24445120496163433</v>
      </c>
      <c r="J3371">
        <v>130</v>
      </c>
      <c r="K3371">
        <v>128</v>
      </c>
      <c r="L3371">
        <v>-0.68527628220206438</v>
      </c>
      <c r="M3371">
        <f t="shared" si="219"/>
        <v>-0.64256966016653283</v>
      </c>
      <c r="N3371">
        <v>0.19637387227879571</v>
      </c>
    </row>
    <row r="3372" spans="1:14">
      <c r="A3372" t="s">
        <v>15</v>
      </c>
      <c r="B3372" s="2">
        <f t="shared" si="215"/>
        <v>162</v>
      </c>
      <c r="C3372">
        <v>759</v>
      </c>
      <c r="D3372">
        <v>510</v>
      </c>
      <c r="E3372">
        <v>152</v>
      </c>
      <c r="F3372">
        <f t="shared" si="217"/>
        <v>-6.2673962449741341E-2</v>
      </c>
      <c r="G3372">
        <f t="shared" si="218"/>
        <v>-0.5590980972831171</v>
      </c>
      <c r="I3372">
        <f t="shared" si="216"/>
        <v>-0.31088602986642921</v>
      </c>
      <c r="J3372">
        <v>152</v>
      </c>
      <c r="K3372">
        <v>101</v>
      </c>
      <c r="L3372">
        <v>-0.5590980972831171</v>
      </c>
      <c r="M3372">
        <f t="shared" si="219"/>
        <v>-0.68718030675074715</v>
      </c>
      <c r="N3372">
        <v>-6.2673962449741341E-2</v>
      </c>
    </row>
    <row r="3373" spans="1:14">
      <c r="A3373" t="s">
        <v>16</v>
      </c>
      <c r="B3373" s="2">
        <f t="shared" si="215"/>
        <v>162</v>
      </c>
      <c r="C3373">
        <v>1090</v>
      </c>
      <c r="D3373">
        <v>9048</v>
      </c>
      <c r="E3373">
        <v>479</v>
      </c>
      <c r="F3373">
        <f t="shared" si="217"/>
        <v>1.0291237313245778</v>
      </c>
      <c r="G3373">
        <f t="shared" si="218"/>
        <v>-0.21779089385846964</v>
      </c>
      <c r="I3373">
        <f t="shared" si="216"/>
        <v>0.40566641873305409</v>
      </c>
      <c r="J3373">
        <v>479</v>
      </c>
      <c r="K3373">
        <v>956</v>
      </c>
      <c r="L3373">
        <v>-0.21779089385846964</v>
      </c>
      <c r="M3373">
        <f t="shared" si="219"/>
        <v>0.13177148969756713</v>
      </c>
      <c r="N3373">
        <v>1.0291237313245778</v>
      </c>
    </row>
    <row r="3374" spans="1:14">
      <c r="A3374" t="s">
        <v>17</v>
      </c>
      <c r="B3374" s="2">
        <f t="shared" si="215"/>
        <v>162</v>
      </c>
      <c r="C3374">
        <v>1192</v>
      </c>
      <c r="D3374">
        <v>560</v>
      </c>
      <c r="E3374">
        <v>10237</v>
      </c>
      <c r="F3374">
        <f t="shared" si="217"/>
        <v>-0.21809059105021456</v>
      </c>
      <c r="G3374">
        <f t="shared" si="218"/>
        <v>1.0731965385501518</v>
      </c>
      <c r="I3374">
        <f t="shared" si="216"/>
        <v>0.42755297374996865</v>
      </c>
      <c r="J3374">
        <v>10237</v>
      </c>
      <c r="K3374">
        <v>2087</v>
      </c>
      <c r="L3374">
        <v>1.0731965385501518</v>
      </c>
      <c r="M3374">
        <f t="shared" si="219"/>
        <v>0.43198628902332703</v>
      </c>
      <c r="N3374">
        <v>-0.21809059105021456</v>
      </c>
    </row>
    <row r="3375" spans="1:14">
      <c r="A3375" t="s">
        <v>18</v>
      </c>
      <c r="B3375" s="2">
        <f t="shared" si="215"/>
        <v>162</v>
      </c>
      <c r="C3375">
        <v>755</v>
      </c>
      <c r="D3375">
        <v>298</v>
      </c>
      <c r="E3375">
        <v>534</v>
      </c>
      <c r="F3375">
        <f t="shared" si="217"/>
        <v>-0.29373305020513035</v>
      </c>
      <c r="G3375">
        <f t="shared" si="218"/>
        <v>-1.1105603933041053E-2</v>
      </c>
      <c r="I3375">
        <f t="shared" si="216"/>
        <v>-0.1524193270690857</v>
      </c>
      <c r="J3375">
        <v>534</v>
      </c>
      <c r="K3375">
        <v>54</v>
      </c>
      <c r="L3375">
        <v>-1.1105603933041053E-2</v>
      </c>
      <c r="M3375">
        <f t="shared" si="219"/>
        <v>-0.95681309644412893</v>
      </c>
      <c r="N3375">
        <v>-0.29373305020513035</v>
      </c>
    </row>
    <row r="3376" spans="1:14">
      <c r="A3376" t="s">
        <v>19</v>
      </c>
      <c r="B3376" s="2">
        <f t="shared" si="215"/>
        <v>162</v>
      </c>
      <c r="C3376">
        <v>1149</v>
      </c>
      <c r="D3376">
        <v>647</v>
      </c>
      <c r="E3376">
        <v>217</v>
      </c>
      <c r="F3376">
        <f t="shared" si="217"/>
        <v>-0.13941811067178217</v>
      </c>
      <c r="G3376">
        <f t="shared" si="218"/>
        <v>-0.58456020417216492</v>
      </c>
      <c r="I3376">
        <f t="shared" si="216"/>
        <v>-0.36198915742197357</v>
      </c>
      <c r="J3376">
        <v>217</v>
      </c>
      <c r="K3376">
        <v>216</v>
      </c>
      <c r="L3376">
        <v>-0.58456020417216492</v>
      </c>
      <c r="M3376">
        <f t="shared" si="219"/>
        <v>-0.53712618217526364</v>
      </c>
      <c r="N3376">
        <v>-0.13941811067178217</v>
      </c>
    </row>
    <row r="3377" spans="1:14">
      <c r="A3377" t="s">
        <v>20</v>
      </c>
      <c r="B3377" s="2">
        <f t="shared" si="215"/>
        <v>162</v>
      </c>
      <c r="C3377">
        <v>1214</v>
      </c>
      <c r="D3377">
        <v>140</v>
      </c>
      <c r="E3377">
        <v>750</v>
      </c>
      <c r="F3377">
        <f t="shared" si="217"/>
        <v>-0.8280930137131981</v>
      </c>
      <c r="G3377">
        <f t="shared" si="218"/>
        <v>-6.9857332679947953E-2</v>
      </c>
      <c r="I3377">
        <f t="shared" si="216"/>
        <v>-0.44897517319657304</v>
      </c>
      <c r="J3377">
        <v>750</v>
      </c>
      <c r="K3377">
        <v>357</v>
      </c>
      <c r="L3377">
        <v>-6.9857332679947953E-2</v>
      </c>
      <c r="M3377">
        <f t="shared" si="219"/>
        <v>-0.34281037526495484</v>
      </c>
      <c r="N3377">
        <v>-0.8280930137131981</v>
      </c>
    </row>
    <row r="3378" spans="1:14">
      <c r="A3378" t="s">
        <v>21</v>
      </c>
      <c r="B3378" s="2">
        <f t="shared" si="215"/>
        <v>162</v>
      </c>
      <c r="C3378">
        <v>945</v>
      </c>
      <c r="D3378">
        <v>286</v>
      </c>
      <c r="E3378">
        <v>407</v>
      </c>
      <c r="F3378">
        <f t="shared" si="217"/>
        <v>-0.40906813803241726</v>
      </c>
      <c r="G3378">
        <f t="shared" si="218"/>
        <v>-0.22653730861645213</v>
      </c>
      <c r="I3378">
        <f t="shared" si="216"/>
        <v>-0.31780272332443471</v>
      </c>
      <c r="J3378">
        <v>407</v>
      </c>
      <c r="K3378">
        <v>255</v>
      </c>
      <c r="L3378">
        <v>-0.22653730861645213</v>
      </c>
      <c r="M3378">
        <f t="shared" si="219"/>
        <v>-0.38015153271321711</v>
      </c>
      <c r="N3378">
        <v>-0.40906813803241726</v>
      </c>
    </row>
    <row r="3379" spans="1:14">
      <c r="A3379" t="s">
        <v>22</v>
      </c>
      <c r="B3379" s="2">
        <f t="shared" si="215"/>
        <v>162</v>
      </c>
      <c r="C3379">
        <v>134</v>
      </c>
      <c r="D3379">
        <v>102</v>
      </c>
      <c r="E3379">
        <v>143</v>
      </c>
      <c r="F3379">
        <f t="shared" si="217"/>
        <v>-8.5069892550874437E-3</v>
      </c>
      <c r="G3379">
        <f t="shared" si="218"/>
        <v>0.16753132976784499</v>
      </c>
      <c r="I3379">
        <f t="shared" si="216"/>
        <v>7.9512170256378772E-2</v>
      </c>
      <c r="J3379">
        <v>143</v>
      </c>
      <c r="K3379">
        <v>388</v>
      </c>
      <c r="L3379">
        <v>0.16753132976784499</v>
      </c>
      <c r="M3379">
        <f t="shared" si="219"/>
        <v>0.65046702259149036</v>
      </c>
      <c r="N3379">
        <v>-8.5069892550874437E-3</v>
      </c>
    </row>
    <row r="3380" spans="1:14">
      <c r="A3380" t="s">
        <v>23</v>
      </c>
      <c r="B3380" s="2">
        <f t="shared" si="215"/>
        <v>162</v>
      </c>
      <c r="C3380">
        <v>385</v>
      </c>
      <c r="D3380">
        <v>26</v>
      </c>
      <c r="E3380">
        <v>24</v>
      </c>
      <c r="F3380">
        <f t="shared" si="217"/>
        <v>-1.0604897441898802</v>
      </c>
      <c r="G3380">
        <f t="shared" si="218"/>
        <v>-1.0659493971293039</v>
      </c>
      <c r="I3380">
        <f t="shared" si="216"/>
        <v>-1.0632195706595922</v>
      </c>
      <c r="J3380">
        <v>24</v>
      </c>
      <c r="K3380">
        <v>4</v>
      </c>
      <c r="L3380">
        <v>-1.0659493971293039</v>
      </c>
      <c r="M3380">
        <f t="shared" si="219"/>
        <v>-1.7946606428184477</v>
      </c>
      <c r="N3380">
        <v>-1.0604897441898802</v>
      </c>
    </row>
    <row r="3381" spans="1:14">
      <c r="A3381" t="s">
        <v>24</v>
      </c>
      <c r="B3381" s="2">
        <f t="shared" si="215"/>
        <v>162</v>
      </c>
      <c r="C3381">
        <v>779</v>
      </c>
      <c r="D3381">
        <v>109</v>
      </c>
      <c r="E3381">
        <v>35</v>
      </c>
      <c r="F3381">
        <f t="shared" si="217"/>
        <v>-0.74411332238413819</v>
      </c>
      <c r="G3381">
        <f t="shared" si="218"/>
        <v>-1.2081693226546981</v>
      </c>
      <c r="I3381">
        <f t="shared" si="216"/>
        <v>-0.97614132251941821</v>
      </c>
      <c r="J3381">
        <v>35</v>
      </c>
      <c r="K3381">
        <v>53</v>
      </c>
      <c r="L3381">
        <v>-1.2081693226546981</v>
      </c>
      <c r="M3381">
        <f t="shared" si="219"/>
        <v>-0.97852149270968469</v>
      </c>
      <c r="N3381">
        <v>-0.74411332238413819</v>
      </c>
    </row>
    <row r="3382" spans="1:14">
      <c r="A3382" t="s">
        <v>25</v>
      </c>
      <c r="B3382" s="2">
        <f t="shared" si="215"/>
        <v>162</v>
      </c>
      <c r="C3382">
        <v>858</v>
      </c>
      <c r="D3382">
        <v>4</v>
      </c>
      <c r="E3382">
        <v>216</v>
      </c>
      <c r="F3382">
        <f t="shared" si="217"/>
        <v>-2.2214296591729408</v>
      </c>
      <c r="G3382">
        <f t="shared" si="218"/>
        <v>-0.45973344603018373</v>
      </c>
      <c r="I3382">
        <f t="shared" si="216"/>
        <v>-1.3405815526015623</v>
      </c>
      <c r="J3382">
        <v>216</v>
      </c>
      <c r="K3382">
        <v>156</v>
      </c>
      <c r="L3382">
        <v>-0.45973344603018373</v>
      </c>
      <c r="M3382">
        <f t="shared" si="219"/>
        <v>-0.5516225941321532</v>
      </c>
      <c r="N3382">
        <v>-2.2214296591729408</v>
      </c>
    </row>
    <row r="3383" spans="1:14">
      <c r="A3383" t="s">
        <v>7</v>
      </c>
      <c r="B3383" s="2">
        <f t="shared" si="215"/>
        <v>163</v>
      </c>
      <c r="C3383">
        <v>673</v>
      </c>
      <c r="D3383">
        <v>495</v>
      </c>
      <c r="E3383">
        <v>324</v>
      </c>
      <c r="F3383">
        <f t="shared" si="217"/>
        <v>-2.341222794260546E-2</v>
      </c>
      <c r="G3383">
        <f t="shared" si="218"/>
        <v>-0.17816996334977395</v>
      </c>
      <c r="I3383">
        <f t="shared" si="216"/>
        <v>-0.10079109564618971</v>
      </c>
      <c r="J3383">
        <v>324</v>
      </c>
      <c r="K3383">
        <v>187</v>
      </c>
      <c r="L3383">
        <v>-0.17816996334977395</v>
      </c>
      <c r="M3383">
        <f t="shared" si="219"/>
        <v>-0.36743336232538715</v>
      </c>
      <c r="N3383">
        <v>-2.341222794260546E-2</v>
      </c>
    </row>
    <row r="3384" spans="1:14">
      <c r="A3384" t="s">
        <v>8</v>
      </c>
      <c r="B3384" s="2">
        <f t="shared" si="215"/>
        <v>163</v>
      </c>
      <c r="C3384">
        <v>611</v>
      </c>
      <c r="D3384">
        <v>1335</v>
      </c>
      <c r="E3384">
        <v>5001</v>
      </c>
      <c r="F3384">
        <f t="shared" si="217"/>
        <v>0.44943769280584245</v>
      </c>
      <c r="G3384">
        <f t="shared" si="218"/>
        <v>1.0523157349727044</v>
      </c>
      <c r="I3384">
        <f t="shared" si="216"/>
        <v>0.75087671388927335</v>
      </c>
      <c r="J3384">
        <v>5001</v>
      </c>
      <c r="K3384">
        <v>3014</v>
      </c>
      <c r="L3384">
        <v>1.0523157349727044</v>
      </c>
      <c r="M3384">
        <f t="shared" si="219"/>
        <v>0.88184213309814941</v>
      </c>
      <c r="N3384">
        <v>0.44943769280584245</v>
      </c>
    </row>
    <row r="3385" spans="1:14">
      <c r="A3385" t="s">
        <v>5</v>
      </c>
      <c r="B3385" s="2">
        <f t="shared" si="215"/>
        <v>163</v>
      </c>
      <c r="C3385">
        <v>746</v>
      </c>
      <c r="D3385">
        <v>1780</v>
      </c>
      <c r="E3385">
        <v>211</v>
      </c>
      <c r="F3385">
        <f t="shared" si="217"/>
        <v>0.48767881218402781</v>
      </c>
      <c r="G3385">
        <f t="shared" si="218"/>
        <v>-0.40915628150738537</v>
      </c>
      <c r="I3385">
        <f t="shared" si="216"/>
        <v>3.9261265338321222E-2</v>
      </c>
      <c r="J3385">
        <v>211</v>
      </c>
      <c r="K3385">
        <v>149</v>
      </c>
      <c r="L3385">
        <v>-0.40915628150738537</v>
      </c>
      <c r="M3385">
        <f t="shared" si="219"/>
        <v>-0.51081246369830413</v>
      </c>
      <c r="N3385">
        <v>0.48767881218402781</v>
      </c>
    </row>
    <row r="3386" spans="1:14">
      <c r="A3386" t="s">
        <v>6</v>
      </c>
      <c r="B3386" s="2">
        <f t="shared" si="215"/>
        <v>163</v>
      </c>
      <c r="C3386">
        <v>895</v>
      </c>
      <c r="D3386">
        <v>2269</v>
      </c>
      <c r="E3386">
        <v>181</v>
      </c>
      <c r="F3386">
        <f t="shared" si="217"/>
        <v>0.5140090979168267</v>
      </c>
      <c r="G3386">
        <f t="shared" si="218"/>
        <v>-0.55484436977913665</v>
      </c>
      <c r="I3386">
        <f t="shared" si="216"/>
        <v>-2.0417635931154976E-2</v>
      </c>
      <c r="J3386">
        <v>181</v>
      </c>
      <c r="K3386">
        <v>115</v>
      </c>
      <c r="L3386">
        <v>-0.55484436977913665</v>
      </c>
      <c r="M3386">
        <f t="shared" si="219"/>
        <v>-0.70238509960020956</v>
      </c>
      <c r="N3386">
        <v>0.5140090979168267</v>
      </c>
    </row>
    <row r="3387" spans="1:14">
      <c r="A3387" t="s">
        <v>10</v>
      </c>
      <c r="B3387" s="2">
        <f t="shared" si="215"/>
        <v>163</v>
      </c>
      <c r="C3387">
        <v>1605</v>
      </c>
      <c r="D3387">
        <v>1607</v>
      </c>
      <c r="E3387">
        <v>851</v>
      </c>
      <c r="F3387">
        <f t="shared" si="217"/>
        <v>0.11053847737025634</v>
      </c>
      <c r="G3387">
        <f t="shared" si="218"/>
        <v>-0.13624538598871225</v>
      </c>
      <c r="I3387">
        <f t="shared" si="216"/>
        <v>-1.2853454309227956E-2</v>
      </c>
      <c r="J3387">
        <v>851</v>
      </c>
      <c r="K3387">
        <v>1610</v>
      </c>
      <c r="L3387">
        <v>-0.13624538598871225</v>
      </c>
      <c r="M3387">
        <f t="shared" si="219"/>
        <v>0.19009093465304946</v>
      </c>
      <c r="N3387">
        <v>0.11053847737025634</v>
      </c>
    </row>
    <row r="3388" spans="1:14">
      <c r="A3388" t="s">
        <v>11</v>
      </c>
      <c r="B3388" s="2">
        <f t="shared" si="215"/>
        <v>163</v>
      </c>
      <c r="C3388">
        <v>1125</v>
      </c>
      <c r="D3388">
        <v>2218</v>
      </c>
      <c r="E3388">
        <v>767</v>
      </c>
      <c r="F3388">
        <f t="shared" si="217"/>
        <v>0.40480665671356264</v>
      </c>
      <c r="G3388">
        <f t="shared" si="218"/>
        <v>-2.7057067830809522E-2</v>
      </c>
      <c r="I3388">
        <f t="shared" si="216"/>
        <v>0.18887479444137656</v>
      </c>
      <c r="J3388">
        <v>767</v>
      </c>
      <c r="K3388">
        <v>268</v>
      </c>
      <c r="L3388">
        <v>-2.7057067830809522E-2</v>
      </c>
      <c r="M3388">
        <f t="shared" si="219"/>
        <v>-0.4342776330565018</v>
      </c>
      <c r="N3388">
        <v>0.40480665671356264</v>
      </c>
    </row>
    <row r="3389" spans="1:14">
      <c r="A3389" t="s">
        <v>12</v>
      </c>
      <c r="B3389" s="2">
        <f t="shared" si="215"/>
        <v>163</v>
      </c>
      <c r="C3389">
        <v>791</v>
      </c>
      <c r="D3389">
        <v>3368</v>
      </c>
      <c r="E3389">
        <v>599</v>
      </c>
      <c r="F3389">
        <f t="shared" si="217"/>
        <v>0.73919323667773795</v>
      </c>
      <c r="G3389">
        <f t="shared" si="218"/>
        <v>1.8550429559225617E-2</v>
      </c>
      <c r="I3389">
        <f t="shared" si="216"/>
        <v>0.37887183311848177</v>
      </c>
      <c r="J3389">
        <v>599</v>
      </c>
      <c r="K3389">
        <v>341</v>
      </c>
      <c r="L3389">
        <v>1.8550429559225617E-2</v>
      </c>
      <c r="M3389">
        <f t="shared" si="219"/>
        <v>-0.17668200914308813</v>
      </c>
      <c r="N3389">
        <v>0.73919323667773795</v>
      </c>
    </row>
    <row r="3390" spans="1:14">
      <c r="A3390" t="s">
        <v>9</v>
      </c>
      <c r="B3390" s="2">
        <f t="shared" si="215"/>
        <v>163</v>
      </c>
      <c r="C3390">
        <v>454</v>
      </c>
      <c r="D3390">
        <v>403</v>
      </c>
      <c r="E3390">
        <v>112</v>
      </c>
      <c r="F3390">
        <f t="shared" si="217"/>
        <v>5.8246830631808182E-2</v>
      </c>
      <c r="G3390">
        <f t="shared" si="218"/>
        <v>-0.46853773951933153</v>
      </c>
      <c r="I3390">
        <f t="shared" si="216"/>
        <v>-0.20514545444376167</v>
      </c>
      <c r="J3390">
        <v>112</v>
      </c>
      <c r="K3390">
        <v>58</v>
      </c>
      <c r="L3390">
        <v>-0.46853773951933153</v>
      </c>
      <c r="M3390">
        <f t="shared" si="219"/>
        <v>-0.70488776393207597</v>
      </c>
      <c r="N3390">
        <v>5.8246830631808182E-2</v>
      </c>
    </row>
    <row r="3391" spans="1:14">
      <c r="A3391" t="s">
        <v>13</v>
      </c>
      <c r="B3391" s="2">
        <f t="shared" si="215"/>
        <v>163</v>
      </c>
      <c r="C3391">
        <v>491</v>
      </c>
      <c r="D3391">
        <v>345</v>
      </c>
      <c r="E3391">
        <v>144</v>
      </c>
      <c r="F3391">
        <f t="shared" si="217"/>
        <v>-4.3264759701891684E-2</v>
      </c>
      <c r="G3391">
        <f t="shared" si="218"/>
        <v>-0.39341890936012813</v>
      </c>
      <c r="I3391">
        <f t="shared" si="216"/>
        <v>-0.21834183453100992</v>
      </c>
      <c r="J3391">
        <v>144</v>
      </c>
      <c r="K3391">
        <v>203</v>
      </c>
      <c r="L3391">
        <v>-0.39341890936012813</v>
      </c>
      <c r="M3391">
        <f t="shared" si="219"/>
        <v>-0.19484535884766485</v>
      </c>
      <c r="N3391">
        <v>-4.3264759701891684E-2</v>
      </c>
    </row>
    <row r="3392" spans="1:14">
      <c r="A3392" t="s">
        <v>14</v>
      </c>
      <c r="B3392" s="2">
        <f t="shared" si="215"/>
        <v>163</v>
      </c>
      <c r="C3392">
        <v>165163</v>
      </c>
      <c r="D3392">
        <v>128208</v>
      </c>
      <c r="E3392">
        <v>119843</v>
      </c>
      <c r="F3392">
        <f t="shared" si="217"/>
        <v>0</v>
      </c>
      <c r="G3392">
        <f t="shared" si="218"/>
        <v>0</v>
      </c>
      <c r="I3392">
        <f t="shared" si="216"/>
        <v>0</v>
      </c>
      <c r="J3392">
        <v>119843</v>
      </c>
      <c r="K3392">
        <v>106948</v>
      </c>
      <c r="L3392">
        <v>0</v>
      </c>
      <c r="M3392">
        <f t="shared" si="219"/>
        <v>0</v>
      </c>
      <c r="N3392">
        <v>0</v>
      </c>
    </row>
    <row r="3393" spans="1:14">
      <c r="A3393" t="s">
        <v>15</v>
      </c>
      <c r="B3393" s="2">
        <f t="shared" si="215"/>
        <v>163</v>
      </c>
      <c r="C3393">
        <v>915</v>
      </c>
      <c r="D3393">
        <v>3707</v>
      </c>
      <c r="E3393">
        <v>612</v>
      </c>
      <c r="F3393">
        <f t="shared" si="217"/>
        <v>0.71759912931091796</v>
      </c>
      <c r="G3393">
        <f t="shared" si="218"/>
        <v>-3.5369581253296312E-2</v>
      </c>
      <c r="I3393">
        <f t="shared" si="216"/>
        <v>0.34111477402881085</v>
      </c>
      <c r="J3393">
        <v>612</v>
      </c>
      <c r="K3393">
        <v>1519</v>
      </c>
      <c r="L3393">
        <v>-3.5369581253296312E-2</v>
      </c>
      <c r="M3393">
        <f t="shared" si="219"/>
        <v>0.40887677515842874</v>
      </c>
      <c r="N3393">
        <v>0.71759912931091796</v>
      </c>
    </row>
    <row r="3394" spans="1:14">
      <c r="A3394" t="s">
        <v>16</v>
      </c>
      <c r="B3394" s="2">
        <f t="shared" si="215"/>
        <v>163</v>
      </c>
      <c r="C3394">
        <v>1398</v>
      </c>
      <c r="D3394">
        <v>1080</v>
      </c>
      <c r="E3394">
        <v>222</v>
      </c>
      <c r="F3394">
        <f t="shared" si="217"/>
        <v>-2.0857785749102825E-3</v>
      </c>
      <c r="G3394">
        <f t="shared" si="218"/>
        <v>-0.65985410629143326</v>
      </c>
      <c r="I3394">
        <f t="shared" si="216"/>
        <v>-0.33096994243317179</v>
      </c>
      <c r="J3394">
        <v>222</v>
      </c>
      <c r="K3394">
        <v>278</v>
      </c>
      <c r="L3394">
        <v>-0.65985410629143326</v>
      </c>
      <c r="M3394">
        <f t="shared" si="219"/>
        <v>-0.51272228012949561</v>
      </c>
      <c r="N3394">
        <v>-2.0857785749102825E-3</v>
      </c>
    </row>
    <row r="3395" spans="1:14">
      <c r="A3395" t="s">
        <v>17</v>
      </c>
      <c r="B3395" s="2">
        <f t="shared" ref="B3395:B3458" si="220">1+INT((ROW()-2)/21)+1</f>
        <v>163</v>
      </c>
      <c r="C3395">
        <v>668</v>
      </c>
      <c r="D3395">
        <v>215</v>
      </c>
      <c r="E3395">
        <v>129</v>
      </c>
      <c r="F3395">
        <f t="shared" si="217"/>
        <v>-0.38234036521213766</v>
      </c>
      <c r="G3395">
        <f t="shared" si="218"/>
        <v>-0.57488666150870593</v>
      </c>
      <c r="I3395">
        <f t="shared" ref="I3395:I3458" si="221">AVERAGE(F3395:G3395)</f>
        <v>-0.47861351336042179</v>
      </c>
      <c r="J3395">
        <v>129</v>
      </c>
      <c r="K3395">
        <v>212</v>
      </c>
      <c r="L3395">
        <v>-0.57488666150870593</v>
      </c>
      <c r="M3395">
        <f t="shared" si="219"/>
        <v>-0.30970050618470352</v>
      </c>
      <c r="N3395">
        <v>-0.38234036521213766</v>
      </c>
    </row>
    <row r="3396" spans="1:14">
      <c r="A3396" t="s">
        <v>18</v>
      </c>
      <c r="B3396" s="2">
        <f t="shared" si="220"/>
        <v>163</v>
      </c>
      <c r="C3396">
        <v>1153</v>
      </c>
      <c r="D3396">
        <v>790</v>
      </c>
      <c r="E3396">
        <v>246</v>
      </c>
      <c r="F3396">
        <f t="shared" si="217"/>
        <v>-5.4204578656454991E-2</v>
      </c>
      <c r="G3396">
        <f t="shared" si="218"/>
        <v>-0.5315941095237291</v>
      </c>
      <c r="I3396">
        <f t="shared" si="221"/>
        <v>-0.29289934409009205</v>
      </c>
      <c r="J3396">
        <v>246</v>
      </c>
      <c r="K3396">
        <v>17923</v>
      </c>
      <c r="L3396">
        <v>-0.5315941095237291</v>
      </c>
      <c r="M3396">
        <f t="shared" si="219"/>
        <v>1.380321492857759</v>
      </c>
      <c r="N3396">
        <v>-5.4204578656454991E-2</v>
      </c>
    </row>
    <row r="3397" spans="1:14">
      <c r="A3397" t="s">
        <v>19</v>
      </c>
      <c r="B3397" s="2">
        <f t="shared" si="220"/>
        <v>163</v>
      </c>
      <c r="C3397">
        <v>769</v>
      </c>
      <c r="D3397">
        <v>490</v>
      </c>
      <c r="E3397">
        <v>1046</v>
      </c>
      <c r="F3397">
        <f t="shared" si="217"/>
        <v>-8.5732622425114771E-2</v>
      </c>
      <c r="G3397">
        <f t="shared" si="218"/>
        <v>0.27290543539741519</v>
      </c>
      <c r="I3397">
        <f t="shared" si="221"/>
        <v>9.3586406486150214E-2</v>
      </c>
      <c r="J3397">
        <v>1046</v>
      </c>
      <c r="K3397">
        <v>392</v>
      </c>
      <c r="L3397">
        <v>0.27290543539741519</v>
      </c>
      <c r="M3397">
        <f t="shared" si="219"/>
        <v>-0.10390017741888308</v>
      </c>
      <c r="N3397">
        <v>-8.5732622425114771E-2</v>
      </c>
    </row>
    <row r="3398" spans="1:14">
      <c r="A3398" t="s">
        <v>20</v>
      </c>
      <c r="B3398" s="2">
        <f t="shared" si="220"/>
        <v>163</v>
      </c>
      <c r="C3398">
        <v>743</v>
      </c>
      <c r="D3398">
        <v>236</v>
      </c>
      <c r="E3398">
        <v>89</v>
      </c>
      <c r="F3398">
        <f t="shared" si="217"/>
        <v>-0.38807917344266607</v>
      </c>
      <c r="G3398">
        <f t="shared" si="218"/>
        <v>-0.78229871644807181</v>
      </c>
      <c r="I3398">
        <f t="shared" si="221"/>
        <v>-0.58518894494536888</v>
      </c>
      <c r="J3398">
        <v>89</v>
      </c>
      <c r="K3398">
        <v>129</v>
      </c>
      <c r="L3398">
        <v>-0.78229871644807181</v>
      </c>
      <c r="M3398">
        <f t="shared" si="219"/>
        <v>-0.57165900809923564</v>
      </c>
      <c r="N3398">
        <v>-0.38807917344266607</v>
      </c>
    </row>
    <row r="3399" spans="1:14">
      <c r="A3399" t="s">
        <v>21</v>
      </c>
      <c r="B3399" s="2">
        <f t="shared" si="220"/>
        <v>163</v>
      </c>
      <c r="C3399">
        <v>1377</v>
      </c>
      <c r="D3399">
        <v>1356</v>
      </c>
      <c r="E3399">
        <v>10094</v>
      </c>
      <c r="F3399">
        <f t="shared" si="217"/>
        <v>0.10332338662192353</v>
      </c>
      <c r="G3399">
        <f t="shared" si="218"/>
        <v>1.0044294508083342</v>
      </c>
      <c r="I3399">
        <f t="shared" si="221"/>
        <v>0.55387641871512883</v>
      </c>
      <c r="J3399">
        <v>10094</v>
      </c>
      <c r="K3399">
        <v>1402</v>
      </c>
      <c r="L3399">
        <v>1.0044294508083342</v>
      </c>
      <c r="M3399">
        <f t="shared" si="219"/>
        <v>0.19655416873580683</v>
      </c>
      <c r="N3399">
        <v>0.10332338662192353</v>
      </c>
    </row>
    <row r="3400" spans="1:14">
      <c r="A3400" t="s">
        <v>22</v>
      </c>
      <c r="B3400" s="2">
        <f t="shared" si="220"/>
        <v>163</v>
      </c>
      <c r="C3400">
        <v>592</v>
      </c>
      <c r="D3400">
        <v>279</v>
      </c>
      <c r="E3400">
        <v>75</v>
      </c>
      <c r="F3400">
        <f t="shared" si="217"/>
        <v>-0.21671986610151955</v>
      </c>
      <c r="G3400">
        <f t="shared" si="218"/>
        <v>-0.75796035266362893</v>
      </c>
      <c r="I3400">
        <f t="shared" si="221"/>
        <v>-0.48734010938257422</v>
      </c>
      <c r="J3400">
        <v>75</v>
      </c>
      <c r="K3400">
        <v>60</v>
      </c>
      <c r="L3400">
        <v>-0.75796035266362893</v>
      </c>
      <c r="M3400">
        <f t="shared" si="219"/>
        <v>-0.80543036097718546</v>
      </c>
      <c r="N3400">
        <v>-0.21671986610151955</v>
      </c>
    </row>
    <row r="3401" spans="1:14">
      <c r="A3401" t="s">
        <v>23</v>
      </c>
      <c r="B3401" s="2">
        <f t="shared" si="220"/>
        <v>163</v>
      </c>
      <c r="C3401">
        <v>787</v>
      </c>
      <c r="D3401">
        <v>199</v>
      </c>
      <c r="E3401">
        <v>69</v>
      </c>
      <c r="F3401">
        <f t="shared" si="217"/>
        <v>-0.4871240186015553</v>
      </c>
      <c r="G3401">
        <f t="shared" si="218"/>
        <v>-0.91782555095421858</v>
      </c>
      <c r="I3401">
        <f t="shared" si="221"/>
        <v>-0.70247478477788694</v>
      </c>
      <c r="J3401">
        <v>69</v>
      </c>
      <c r="K3401">
        <v>110</v>
      </c>
      <c r="L3401">
        <v>-0.91782555095421858</v>
      </c>
      <c r="M3401">
        <f t="shared" si="219"/>
        <v>-0.66584195183874884</v>
      </c>
      <c r="N3401">
        <v>-0.4871240186015553</v>
      </c>
    </row>
    <row r="3402" spans="1:14">
      <c r="A3402" t="s">
        <v>24</v>
      </c>
      <c r="B3402" s="2">
        <f t="shared" si="220"/>
        <v>163</v>
      </c>
      <c r="C3402">
        <v>1399</v>
      </c>
      <c r="D3402">
        <v>462</v>
      </c>
      <c r="E3402">
        <v>88</v>
      </c>
      <c r="F3402">
        <f t="shared" si="217"/>
        <v>-0.37117810158789943</v>
      </c>
      <c r="G3402">
        <f t="shared" si="218"/>
        <v>-1.0620349516740684</v>
      </c>
      <c r="I3402">
        <f t="shared" si="221"/>
        <v>-0.7166065266309839</v>
      </c>
      <c r="J3402">
        <v>88</v>
      </c>
      <c r="K3402">
        <v>231</v>
      </c>
      <c r="L3402">
        <v>-1.0620349516740684</v>
      </c>
      <c r="M3402">
        <f t="shared" si="219"/>
        <v>-0.59346563923759266</v>
      </c>
      <c r="N3402">
        <v>-0.37117810158789943</v>
      </c>
    </row>
    <row r="3403" spans="1:14">
      <c r="A3403" t="s">
        <v>25</v>
      </c>
      <c r="B3403" s="2">
        <f t="shared" si="220"/>
        <v>163</v>
      </c>
      <c r="C3403">
        <v>619</v>
      </c>
      <c r="D3403">
        <v>5</v>
      </c>
      <c r="E3403">
        <v>157</v>
      </c>
      <c r="F3403">
        <f t="shared" si="217"/>
        <v>-1.9827230073362967</v>
      </c>
      <c r="G3403">
        <f t="shared" si="218"/>
        <v>-0.45649090594329356</v>
      </c>
      <c r="I3403">
        <f t="shared" si="221"/>
        <v>-1.2196069566397951</v>
      </c>
      <c r="J3403">
        <v>157</v>
      </c>
      <c r="K3403">
        <v>237</v>
      </c>
      <c r="L3403">
        <v>-0.45649090594329356</v>
      </c>
      <c r="M3403">
        <f t="shared" si="219"/>
        <v>-0.22820220764792343</v>
      </c>
      <c r="N3403">
        <v>-1.9827230073362967</v>
      </c>
    </row>
    <row r="3404" spans="1:14">
      <c r="A3404" t="s">
        <v>7</v>
      </c>
      <c r="B3404" s="2">
        <f t="shared" si="220"/>
        <v>164</v>
      </c>
      <c r="C3404">
        <v>1078</v>
      </c>
      <c r="D3404">
        <v>2466</v>
      </c>
      <c r="E3404">
        <v>994</v>
      </c>
      <c r="F3404">
        <f t="shared" si="217"/>
        <v>0.46937194875679561</v>
      </c>
      <c r="G3404">
        <f t="shared" si="218"/>
        <v>0.10406771421418418</v>
      </c>
      <c r="I3404">
        <f t="shared" si="221"/>
        <v>0.28671983148548991</v>
      </c>
      <c r="J3404">
        <v>994</v>
      </c>
      <c r="K3404">
        <v>201</v>
      </c>
      <c r="L3404">
        <v>0.10406771421418418</v>
      </c>
      <c r="M3404">
        <f t="shared" si="219"/>
        <v>-0.54068260806814028</v>
      </c>
      <c r="N3404">
        <v>0.46937194875679561</v>
      </c>
    </row>
    <row r="3405" spans="1:14">
      <c r="A3405" t="s">
        <v>8</v>
      </c>
      <c r="B3405" s="2">
        <f t="shared" si="220"/>
        <v>164</v>
      </c>
      <c r="C3405">
        <v>72</v>
      </c>
      <c r="D3405">
        <v>59</v>
      </c>
      <c r="E3405">
        <v>47</v>
      </c>
      <c r="F3405">
        <f t="shared" si="217"/>
        <v>2.3517152558678367E-2</v>
      </c>
      <c r="G3405">
        <f t="shared" si="218"/>
        <v>-4.593454782796022E-2</v>
      </c>
      <c r="I3405">
        <f t="shared" si="221"/>
        <v>-1.1208697634640927E-2</v>
      </c>
      <c r="J3405">
        <v>47</v>
      </c>
      <c r="K3405">
        <v>34</v>
      </c>
      <c r="L3405">
        <v>-4.593454782796022E-2</v>
      </c>
      <c r="M3405">
        <f t="shared" si="219"/>
        <v>-0.13711348402692264</v>
      </c>
      <c r="N3405">
        <v>2.3517152558678367E-2</v>
      </c>
    </row>
    <row r="3406" spans="1:14">
      <c r="A3406" t="s">
        <v>5</v>
      </c>
      <c r="B3406" s="2">
        <f t="shared" si="220"/>
        <v>164</v>
      </c>
      <c r="C3406">
        <v>311</v>
      </c>
      <c r="D3406">
        <v>4</v>
      </c>
      <c r="E3406">
        <v>11</v>
      </c>
      <c r="F3406">
        <f t="shared" si="217"/>
        <v>-1.7807027603510726</v>
      </c>
      <c r="G3406">
        <f t="shared" si="218"/>
        <v>-1.3120676132010216</v>
      </c>
      <c r="I3406">
        <f t="shared" si="221"/>
        <v>-1.546385186776047</v>
      </c>
      <c r="J3406">
        <v>11</v>
      </c>
      <c r="K3406">
        <v>8</v>
      </c>
      <c r="L3406">
        <v>-1.3120676132010216</v>
      </c>
      <c r="M3406">
        <f t="shared" si="219"/>
        <v>-1.4009303066728034</v>
      </c>
      <c r="N3406">
        <v>-1.7807027603510726</v>
      </c>
    </row>
    <row r="3407" spans="1:14">
      <c r="A3407" t="s">
        <v>6</v>
      </c>
      <c r="B3407" s="2">
        <f t="shared" si="220"/>
        <v>164</v>
      </c>
      <c r="C3407">
        <v>684</v>
      </c>
      <c r="D3407">
        <v>4</v>
      </c>
      <c r="E3407">
        <v>1660</v>
      </c>
      <c r="F3407">
        <f t="shared" si="217"/>
        <v>-2.1229984730443516</v>
      </c>
      <c r="G3407">
        <f t="shared" si="218"/>
        <v>0.52435207698752972</v>
      </c>
      <c r="I3407">
        <f t="shared" si="221"/>
        <v>-0.79932319802841101</v>
      </c>
      <c r="J3407">
        <v>1660</v>
      </c>
      <c r="K3407">
        <v>28</v>
      </c>
      <c r="L3407">
        <v>0.52435207698752972</v>
      </c>
      <c r="M3407">
        <f t="shared" si="219"/>
        <v>-1.1991579750158063</v>
      </c>
      <c r="N3407">
        <v>-2.1229984730443516</v>
      </c>
    </row>
    <row r="3408" spans="1:14">
      <c r="A3408" t="s">
        <v>10</v>
      </c>
      <c r="B3408" s="2">
        <f t="shared" si="220"/>
        <v>164</v>
      </c>
      <c r="C3408">
        <v>811</v>
      </c>
      <c r="D3408">
        <v>7</v>
      </c>
      <c r="E3408">
        <v>120</v>
      </c>
      <c r="F3408">
        <f t="shared" si="217"/>
        <v>-1.9539251768490964</v>
      </c>
      <c r="G3408">
        <f t="shared" si="218"/>
        <v>-0.69053951749594045</v>
      </c>
      <c r="I3408">
        <f t="shared" si="221"/>
        <v>-1.3222323471725184</v>
      </c>
      <c r="J3408">
        <v>120</v>
      </c>
      <c r="K3408">
        <v>28</v>
      </c>
      <c r="L3408">
        <v>-0.69053951749594045</v>
      </c>
      <c r="M3408">
        <f t="shared" si="219"/>
        <v>-1.2731227275068462</v>
      </c>
      <c r="N3408">
        <v>-1.9539251768490964</v>
      </c>
    </row>
    <row r="3409" spans="1:14">
      <c r="A3409" t="s">
        <v>11</v>
      </c>
      <c r="B3409" s="2">
        <f t="shared" si="220"/>
        <v>164</v>
      </c>
      <c r="C3409">
        <v>871</v>
      </c>
      <c r="D3409">
        <v>22</v>
      </c>
      <c r="E3409">
        <v>52</v>
      </c>
      <c r="F3409">
        <f t="shared" si="217"/>
        <v>-1.4875978368376543</v>
      </c>
      <c r="G3409">
        <f t="shared" si="218"/>
        <v>-1.0847147207052732</v>
      </c>
      <c r="I3409">
        <f t="shared" si="221"/>
        <v>-1.2861562787714638</v>
      </c>
      <c r="J3409">
        <v>52</v>
      </c>
      <c r="K3409">
        <v>93</v>
      </c>
      <c r="L3409">
        <v>-1.0847147207052732</v>
      </c>
      <c r="M3409">
        <f t="shared" si="219"/>
        <v>-0.78279511109163746</v>
      </c>
      <c r="N3409">
        <v>-1.4875978368376543</v>
      </c>
    </row>
    <row r="3410" spans="1:14">
      <c r="A3410" t="s">
        <v>12</v>
      </c>
      <c r="B3410" s="2">
        <f t="shared" si="220"/>
        <v>164</v>
      </c>
      <c r="C3410">
        <v>411</v>
      </c>
      <c r="D3410">
        <v>436</v>
      </c>
      <c r="E3410">
        <v>59</v>
      </c>
      <c r="F3410">
        <f t="shared" si="217"/>
        <v>0.13564230474031946</v>
      </c>
      <c r="G3410">
        <f t="shared" si="218"/>
        <v>-0.7036897195663343</v>
      </c>
      <c r="I3410">
        <f t="shared" si="221"/>
        <v>-0.28402370741300742</v>
      </c>
      <c r="J3410">
        <v>59</v>
      </c>
      <c r="K3410">
        <v>71</v>
      </c>
      <c r="L3410">
        <v>-0.7036897195663343</v>
      </c>
      <c r="M3410">
        <f t="shared" si="219"/>
        <v>-0.57384337779490324</v>
      </c>
      <c r="N3410">
        <v>0.13564230474031946</v>
      </c>
    </row>
    <row r="3411" spans="1:14">
      <c r="A3411" t="s">
        <v>9</v>
      </c>
      <c r="B3411" s="2">
        <f t="shared" si="220"/>
        <v>164</v>
      </c>
      <c r="C3411">
        <v>609</v>
      </c>
      <c r="D3411">
        <v>563</v>
      </c>
      <c r="E3411">
        <v>77</v>
      </c>
      <c r="F3411">
        <f t="shared" ref="F3411:F3474" si="222">LOG10(D3411/C3411)-LOG10(128208/165163)</f>
        <v>7.5888739566273511E-2</v>
      </c>
      <c r="G3411">
        <f t="shared" ref="G3411:G3474" si="223">LOG10(E3411/C3411)-LOG10(119843/165163)</f>
        <v>-0.75882647679280268</v>
      </c>
      <c r="I3411">
        <f t="shared" si="221"/>
        <v>-0.34146886861326459</v>
      </c>
      <c r="J3411">
        <v>77</v>
      </c>
      <c r="K3411">
        <v>70</v>
      </c>
      <c r="L3411">
        <v>-0.75882647679280268</v>
      </c>
      <c r="M3411">
        <f t="shared" ref="M3411:M3474" si="224">LOG10(K3411/C3411)-LOG10(106948/165163)</f>
        <v>-0.75077915725652788</v>
      </c>
      <c r="N3411">
        <v>7.5888739566273511E-2</v>
      </c>
    </row>
    <row r="3412" spans="1:14">
      <c r="A3412" t="s">
        <v>13</v>
      </c>
      <c r="B3412" s="2">
        <f t="shared" si="220"/>
        <v>164</v>
      </c>
      <c r="C3412">
        <v>204</v>
      </c>
      <c r="D3412">
        <v>55814</v>
      </c>
      <c r="E3412">
        <v>31</v>
      </c>
      <c r="F3412">
        <f t="shared" si="222"/>
        <v>2.5471106179658407</v>
      </c>
      <c r="G3412">
        <f t="shared" si="223"/>
        <v>-0.67896838292403539</v>
      </c>
      <c r="I3412">
        <f t="shared" si="221"/>
        <v>0.93407111752090266</v>
      </c>
      <c r="J3412">
        <v>31</v>
      </c>
      <c r="K3412">
        <v>123</v>
      </c>
      <c r="L3412">
        <v>-0.67896838292403539</v>
      </c>
      <c r="M3412">
        <f t="shared" si="224"/>
        <v>-3.0984960624410168E-2</v>
      </c>
      <c r="N3412">
        <v>2.5471106179658407</v>
      </c>
    </row>
    <row r="3413" spans="1:14">
      <c r="A3413" t="s">
        <v>14</v>
      </c>
      <c r="B3413" s="2">
        <f t="shared" si="220"/>
        <v>164</v>
      </c>
      <c r="C3413">
        <v>294</v>
      </c>
      <c r="D3413">
        <v>91</v>
      </c>
      <c r="E3413">
        <v>36</v>
      </c>
      <c r="F3413">
        <f t="shared" si="222"/>
        <v>-0.39930830074326107</v>
      </c>
      <c r="G3413">
        <f t="shared" si="223"/>
        <v>-0.77274473897727924</v>
      </c>
      <c r="I3413">
        <f t="shared" si="221"/>
        <v>-0.5860265198602701</v>
      </c>
      <c r="J3413">
        <v>36</v>
      </c>
      <c r="K3413">
        <v>36</v>
      </c>
      <c r="L3413">
        <v>-0.77274473897727924</v>
      </c>
      <c r="M3413">
        <f t="shared" si="224"/>
        <v>-0.7233047342827793</v>
      </c>
      <c r="N3413">
        <v>-0.39930830074326107</v>
      </c>
    </row>
    <row r="3414" spans="1:14">
      <c r="A3414" t="s">
        <v>15</v>
      </c>
      <c r="B3414" s="2">
        <f t="shared" si="220"/>
        <v>164</v>
      </c>
      <c r="C3414">
        <v>822</v>
      </c>
      <c r="D3414">
        <v>114</v>
      </c>
      <c r="E3414">
        <v>546</v>
      </c>
      <c r="F3414">
        <f t="shared" si="222"/>
        <v>-0.74796932885577516</v>
      </c>
      <c r="G3414">
        <f t="shared" si="223"/>
        <v>-3.8379084167722427E-2</v>
      </c>
      <c r="I3414">
        <f t="shared" si="221"/>
        <v>-0.39317420651174878</v>
      </c>
      <c r="J3414">
        <v>546</v>
      </c>
      <c r="K3414">
        <v>502</v>
      </c>
      <c r="L3414">
        <v>-3.8379084167722427E-2</v>
      </c>
      <c r="M3414">
        <f t="shared" si="224"/>
        <v>-2.5428005032940348E-2</v>
      </c>
      <c r="N3414">
        <v>-0.74796932885577516</v>
      </c>
    </row>
    <row r="3415" spans="1:14">
      <c r="A3415" t="s">
        <v>16</v>
      </c>
      <c r="B3415" s="2">
        <f t="shared" si="220"/>
        <v>164</v>
      </c>
      <c r="C3415">
        <v>651</v>
      </c>
      <c r="D3415">
        <v>78</v>
      </c>
      <c r="E3415">
        <v>24</v>
      </c>
      <c r="F3415">
        <f t="shared" si="222"/>
        <v>-0.81148874852990893</v>
      </c>
      <c r="G3415">
        <f t="shared" si="223"/>
        <v>-1.2940696561889953</v>
      </c>
      <c r="I3415">
        <f t="shared" si="221"/>
        <v>-1.052779202359452</v>
      </c>
      <c r="J3415">
        <v>24</v>
      </c>
      <c r="K3415">
        <v>1056</v>
      </c>
      <c r="L3415">
        <v>-1.2940696561889953</v>
      </c>
      <c r="M3415">
        <f t="shared" si="224"/>
        <v>0.3988230249916922</v>
      </c>
      <c r="N3415">
        <v>-0.81148874852990893</v>
      </c>
    </row>
    <row r="3416" spans="1:14">
      <c r="A3416" t="s">
        <v>17</v>
      </c>
      <c r="B3416" s="2">
        <f t="shared" si="220"/>
        <v>164</v>
      </c>
      <c r="C3416">
        <v>338</v>
      </c>
      <c r="D3416">
        <v>39</v>
      </c>
      <c r="E3416">
        <v>276</v>
      </c>
      <c r="F3416">
        <f t="shared" si="222"/>
        <v>-0.82785445590335283</v>
      </c>
      <c r="G3416">
        <f t="shared" si="223"/>
        <v>5.1292472455153726E-2</v>
      </c>
      <c r="I3416">
        <f t="shared" si="221"/>
        <v>-0.38828099172409958</v>
      </c>
      <c r="J3416">
        <v>276</v>
      </c>
      <c r="K3416">
        <v>82</v>
      </c>
      <c r="L3416">
        <v>5.1292472455153726E-2</v>
      </c>
      <c r="M3416">
        <f t="shared" si="224"/>
        <v>-0.42636275253184741</v>
      </c>
      <c r="N3416">
        <v>-0.82785445590335283</v>
      </c>
    </row>
    <row r="3417" spans="1:14">
      <c r="A3417" t="s">
        <v>18</v>
      </c>
      <c r="B3417" s="2">
        <f t="shared" si="220"/>
        <v>164</v>
      </c>
      <c r="C3417">
        <v>456</v>
      </c>
      <c r="D3417">
        <v>73</v>
      </c>
      <c r="E3417">
        <v>201</v>
      </c>
      <c r="F3417">
        <f t="shared" si="222"/>
        <v>-0.68564434519617645</v>
      </c>
      <c r="G3417">
        <f t="shared" si="223"/>
        <v>-0.21646869457635534</v>
      </c>
      <c r="I3417">
        <f t="shared" si="221"/>
        <v>-0.45105651988626588</v>
      </c>
      <c r="J3417">
        <v>201</v>
      </c>
      <c r="K3417">
        <v>25</v>
      </c>
      <c r="L3417">
        <v>-0.21646869457635534</v>
      </c>
      <c r="M3417">
        <f t="shared" si="224"/>
        <v>-1.0722847386303069</v>
      </c>
      <c r="N3417">
        <v>-0.68564434519617645</v>
      </c>
    </row>
    <row r="3418" spans="1:14">
      <c r="A3418" t="s">
        <v>19</v>
      </c>
      <c r="B3418" s="2">
        <f t="shared" si="220"/>
        <v>164</v>
      </c>
      <c r="C3418">
        <v>231</v>
      </c>
      <c r="D3418">
        <v>124</v>
      </c>
      <c r="E3418">
        <v>15</v>
      </c>
      <c r="F3418">
        <f t="shared" si="222"/>
        <v>-0.16019265738210653</v>
      </c>
      <c r="G3418">
        <f t="shared" si="223"/>
        <v>-1.0482206301688723</v>
      </c>
      <c r="I3418">
        <f t="shared" si="221"/>
        <v>-0.60420664377548938</v>
      </c>
      <c r="J3418">
        <v>15</v>
      </c>
      <c r="K3418">
        <v>8</v>
      </c>
      <c r="L3418">
        <v>-1.0482206301688723</v>
      </c>
      <c r="M3418">
        <f t="shared" si="224"/>
        <v>-1.2717818975381099</v>
      </c>
      <c r="N3418">
        <v>-0.16019265738210653</v>
      </c>
    </row>
    <row r="3419" spans="1:14">
      <c r="A3419" t="s">
        <v>20</v>
      </c>
      <c r="B3419" s="2">
        <f t="shared" si="220"/>
        <v>164</v>
      </c>
      <c r="C3419">
        <v>554</v>
      </c>
      <c r="D3419">
        <v>48</v>
      </c>
      <c r="E3419">
        <v>24</v>
      </c>
      <c r="F3419">
        <f t="shared" si="222"/>
        <v>-0.95227089000503984</v>
      </c>
      <c r="G3419">
        <f t="shared" si="223"/>
        <v>-1.223998432349233</v>
      </c>
      <c r="I3419">
        <f t="shared" si="221"/>
        <v>-1.0881346611771363</v>
      </c>
      <c r="J3419">
        <v>24</v>
      </c>
      <c r="K3419">
        <v>26</v>
      </c>
      <c r="L3419">
        <v>-1.223998432349233</v>
      </c>
      <c r="M3419">
        <f t="shared" si="224"/>
        <v>-1.1397963213955209</v>
      </c>
      <c r="N3419">
        <v>-0.95227089000503984</v>
      </c>
    </row>
    <row r="3420" spans="1:14">
      <c r="A3420" t="s">
        <v>21</v>
      </c>
      <c r="B3420" s="2">
        <f t="shared" si="220"/>
        <v>164</v>
      </c>
      <c r="C3420">
        <v>1317</v>
      </c>
      <c r="D3420">
        <v>11</v>
      </c>
      <c r="E3420">
        <v>88</v>
      </c>
      <c r="F3420">
        <f t="shared" si="222"/>
        <v>-1.9681954524557563</v>
      </c>
      <c r="G3420">
        <f t="shared" si="223"/>
        <v>-1.0358030121440245</v>
      </c>
      <c r="I3420">
        <f t="shared" si="221"/>
        <v>-1.5019992322998905</v>
      </c>
      <c r="J3420">
        <v>88</v>
      </c>
      <c r="K3420">
        <v>90</v>
      </c>
      <c r="L3420">
        <v>-1.0358030121440245</v>
      </c>
      <c r="M3420">
        <f t="shared" si="224"/>
        <v>-0.97660317016036824</v>
      </c>
      <c r="N3420">
        <v>-1.9681954524557563</v>
      </c>
    </row>
    <row r="3421" spans="1:14">
      <c r="A3421" t="s">
        <v>22</v>
      </c>
      <c r="B3421" s="2">
        <f t="shared" si="220"/>
        <v>164</v>
      </c>
      <c r="C3421">
        <v>239</v>
      </c>
      <c r="D3421">
        <v>10</v>
      </c>
      <c r="E3421">
        <v>192</v>
      </c>
      <c r="F3421">
        <f t="shared" si="222"/>
        <v>-1.2684002636003351</v>
      </c>
      <c r="G3421">
        <f t="shared" si="223"/>
        <v>4.4203418423002697E-2</v>
      </c>
      <c r="I3421">
        <f t="shared" si="221"/>
        <v>-0.6120984225886662</v>
      </c>
      <c r="J3421">
        <v>192</v>
      </c>
      <c r="K3421">
        <v>108</v>
      </c>
      <c r="L3421">
        <v>4.4203418423002697E-2</v>
      </c>
      <c r="M3421">
        <f t="shared" si="224"/>
        <v>-0.1562340500990973</v>
      </c>
      <c r="N3421">
        <v>-1.2684002636003351</v>
      </c>
    </row>
    <row r="3422" spans="1:14">
      <c r="A3422" t="s">
        <v>23</v>
      </c>
      <c r="B3422" s="2">
        <f t="shared" si="220"/>
        <v>164</v>
      </c>
      <c r="C3422">
        <v>338</v>
      </c>
      <c r="D3422">
        <v>3</v>
      </c>
      <c r="E3422">
        <v>4</v>
      </c>
      <c r="F3422">
        <f t="shared" si="222"/>
        <v>-1.9417978082101894</v>
      </c>
      <c r="G3422">
        <f t="shared" si="223"/>
        <v>-1.7875566182821017</v>
      </c>
      <c r="I3422">
        <f t="shared" si="221"/>
        <v>-1.8646772132461455</v>
      </c>
      <c r="J3422">
        <v>4</v>
      </c>
      <c r="K3422">
        <v>13</v>
      </c>
      <c r="L3422">
        <v>-1.7875566182821017</v>
      </c>
      <c r="M3422">
        <f t="shared" si="224"/>
        <v>-1.2262332526087274</v>
      </c>
      <c r="N3422">
        <v>-1.9417978082101894</v>
      </c>
    </row>
    <row r="3423" spans="1:14">
      <c r="A3423" t="s">
        <v>24</v>
      </c>
      <c r="B3423" s="2">
        <f t="shared" si="220"/>
        <v>164</v>
      </c>
      <c r="C3423">
        <v>500</v>
      </c>
      <c r="D3423">
        <v>2</v>
      </c>
      <c r="E3423">
        <v>208</v>
      </c>
      <c r="F3423">
        <f t="shared" si="222"/>
        <v>-2.2879423713242351</v>
      </c>
      <c r="G3423">
        <f t="shared" si="223"/>
        <v>-0.24160657870566651</v>
      </c>
      <c r="I3423">
        <f t="shared" si="221"/>
        <v>-1.2647744750149508</v>
      </c>
      <c r="J3423">
        <v>208</v>
      </c>
      <c r="K3423">
        <v>1406</v>
      </c>
      <c r="L3423">
        <v>-0.24160657870566651</v>
      </c>
      <c r="M3423">
        <f t="shared" si="224"/>
        <v>0.63775541170987693</v>
      </c>
      <c r="N3423">
        <v>-2.2879423713242351</v>
      </c>
    </row>
    <row r="3424" spans="1:14">
      <c r="A3424" t="s">
        <v>25</v>
      </c>
      <c r="B3424" s="2">
        <f t="shared" si="220"/>
        <v>164</v>
      </c>
      <c r="C3424">
        <v>330</v>
      </c>
      <c r="D3424">
        <v>1</v>
      </c>
      <c r="E3424">
        <v>37</v>
      </c>
      <c r="F3424">
        <f t="shared" si="222"/>
        <v>-2.4085163025300851</v>
      </c>
      <c r="G3424">
        <f t="shared" si="223"/>
        <v>-0.81101212514330168</v>
      </c>
      <c r="I3424">
        <f t="shared" si="221"/>
        <v>-1.6097642138366934</v>
      </c>
      <c r="J3424">
        <v>37</v>
      </c>
      <c r="K3424">
        <v>31</v>
      </c>
      <c r="L3424">
        <v>-0.81101212514330168</v>
      </c>
      <c r="M3424">
        <f t="shared" si="224"/>
        <v>-0.83841215068152419</v>
      </c>
      <c r="N3424">
        <v>-2.4085163025300851</v>
      </c>
    </row>
    <row r="3425" spans="1:14">
      <c r="A3425" t="s">
        <v>7</v>
      </c>
      <c r="B3425" s="2">
        <f t="shared" si="220"/>
        <v>165</v>
      </c>
      <c r="C3425">
        <v>362</v>
      </c>
      <c r="D3425">
        <v>45</v>
      </c>
      <c r="E3425">
        <v>517</v>
      </c>
      <c r="F3425">
        <f t="shared" si="222"/>
        <v>-0.79549841941001931</v>
      </c>
      <c r="G3425">
        <f t="shared" si="223"/>
        <v>0.29408206322836761</v>
      </c>
      <c r="I3425">
        <f t="shared" si="221"/>
        <v>-0.25070817809082585</v>
      </c>
      <c r="J3425">
        <v>517</v>
      </c>
      <c r="K3425">
        <v>43</v>
      </c>
      <c r="L3425">
        <v>0.29408206322836761</v>
      </c>
      <c r="M3425">
        <f t="shared" si="224"/>
        <v>-0.73650001959148848</v>
      </c>
      <c r="N3425">
        <v>-0.79549841941001931</v>
      </c>
    </row>
    <row r="3426" spans="1:14">
      <c r="A3426" t="s">
        <v>8</v>
      </c>
      <c r="B3426" s="2">
        <f t="shared" si="220"/>
        <v>165</v>
      </c>
      <c r="C3426">
        <v>550</v>
      </c>
      <c r="D3426">
        <v>6</v>
      </c>
      <c r="E3426">
        <v>24</v>
      </c>
      <c r="F3426">
        <f t="shared" si="222"/>
        <v>-1.8522138017627976</v>
      </c>
      <c r="G3426">
        <f t="shared" si="223"/>
        <v>-1.220851357115047</v>
      </c>
      <c r="I3426">
        <f t="shared" si="221"/>
        <v>-1.5365325794389224</v>
      </c>
      <c r="J3426">
        <v>24</v>
      </c>
      <c r="K3426">
        <v>20</v>
      </c>
      <c r="L3426">
        <v>-1.220851357115047</v>
      </c>
      <c r="M3426">
        <f t="shared" si="224"/>
        <v>-1.2505925984681721</v>
      </c>
      <c r="N3426">
        <v>-1.8522138017627976</v>
      </c>
    </row>
    <row r="3427" spans="1:14">
      <c r="A3427" t="s">
        <v>5</v>
      </c>
      <c r="B3427" s="2">
        <f t="shared" si="220"/>
        <v>165</v>
      </c>
      <c r="C3427">
        <v>165163</v>
      </c>
      <c r="D3427">
        <v>128208</v>
      </c>
      <c r="E3427">
        <v>119843</v>
      </c>
      <c r="F3427">
        <f t="shared" si="222"/>
        <v>0</v>
      </c>
      <c r="G3427">
        <f t="shared" si="223"/>
        <v>0</v>
      </c>
      <c r="I3427">
        <f t="shared" si="221"/>
        <v>0</v>
      </c>
      <c r="J3427">
        <v>119843</v>
      </c>
      <c r="K3427">
        <v>106948</v>
      </c>
      <c r="L3427">
        <v>0</v>
      </c>
      <c r="M3427">
        <f t="shared" si="224"/>
        <v>0</v>
      </c>
      <c r="N3427">
        <v>0</v>
      </c>
    </row>
    <row r="3428" spans="1:14">
      <c r="A3428" t="s">
        <v>6</v>
      </c>
      <c r="B3428" s="2">
        <f t="shared" si="220"/>
        <v>165</v>
      </c>
      <c r="C3428">
        <v>613</v>
      </c>
      <c r="D3428">
        <v>468</v>
      </c>
      <c r="E3428">
        <v>135</v>
      </c>
      <c r="F3428">
        <f t="shared" si="222"/>
        <v>-7.2169840964883963E-3</v>
      </c>
      <c r="G3428">
        <f t="shared" si="223"/>
        <v>-0.5178266153558182</v>
      </c>
      <c r="I3428">
        <f t="shared" si="221"/>
        <v>-0.2625217997261533</v>
      </c>
      <c r="J3428">
        <v>135</v>
      </c>
      <c r="K3428">
        <v>114</v>
      </c>
      <c r="L3428">
        <v>-0.5178266153558182</v>
      </c>
      <c r="M3428">
        <f t="shared" si="224"/>
        <v>-0.54181552781985176</v>
      </c>
      <c r="N3428">
        <v>-7.2169840964883963E-3</v>
      </c>
    </row>
    <row r="3429" spans="1:14">
      <c r="A3429" t="s">
        <v>10</v>
      </c>
      <c r="B3429" s="2">
        <f t="shared" si="220"/>
        <v>165</v>
      </c>
      <c r="C3429">
        <v>744</v>
      </c>
      <c r="D3429">
        <v>12</v>
      </c>
      <c r="E3429">
        <v>34</v>
      </c>
      <c r="F3429">
        <f t="shared" si="222"/>
        <v>-1.6823940521504512</v>
      </c>
      <c r="G3429">
        <f t="shared" si="223"/>
        <v>-1.2007939278360329</v>
      </c>
      <c r="I3429">
        <f t="shared" si="221"/>
        <v>-1.4415939899932422</v>
      </c>
      <c r="J3429">
        <v>34</v>
      </c>
      <c r="K3429">
        <v>146</v>
      </c>
      <c r="L3429">
        <v>-1.2007939278360329</v>
      </c>
      <c r="M3429">
        <f t="shared" si="224"/>
        <v>-0.51847998439935095</v>
      </c>
      <c r="N3429">
        <v>-1.6823940521504512</v>
      </c>
    </row>
    <row r="3430" spans="1:14">
      <c r="A3430" t="s">
        <v>11</v>
      </c>
      <c r="B3430" s="2">
        <f t="shared" si="220"/>
        <v>165</v>
      </c>
      <c r="C3430">
        <v>627</v>
      </c>
      <c r="D3430">
        <v>7</v>
      </c>
      <c r="E3430">
        <v>135</v>
      </c>
      <c r="F3430">
        <f t="shared" si="222"/>
        <v>-1.842171863468657</v>
      </c>
      <c r="G3430">
        <f t="shared" si="223"/>
        <v>-0.52763368166811953</v>
      </c>
      <c r="I3430">
        <f t="shared" si="221"/>
        <v>-1.1849027725683883</v>
      </c>
      <c r="J3430">
        <v>135</v>
      </c>
      <c r="K3430">
        <v>150</v>
      </c>
      <c r="L3430">
        <v>-0.52763368166811953</v>
      </c>
      <c r="M3430">
        <f t="shared" si="224"/>
        <v>-0.43243618641294446</v>
      </c>
      <c r="N3430">
        <v>-1.842171863468657</v>
      </c>
    </row>
    <row r="3431" spans="1:14">
      <c r="A3431" t="s">
        <v>12</v>
      </c>
      <c r="B3431" s="2">
        <f t="shared" si="220"/>
        <v>165</v>
      </c>
      <c r="C3431">
        <v>433</v>
      </c>
      <c r="D3431">
        <v>255</v>
      </c>
      <c r="E3431">
        <v>30</v>
      </c>
      <c r="F3431">
        <f t="shared" si="222"/>
        <v>-0.11995007857160762</v>
      </c>
      <c r="G3431">
        <f t="shared" si="223"/>
        <v>-1.0200665509661122</v>
      </c>
      <c r="I3431">
        <f t="shared" si="221"/>
        <v>-0.57000831476885994</v>
      </c>
      <c r="J3431">
        <v>30</v>
      </c>
      <c r="K3431">
        <v>51</v>
      </c>
      <c r="L3431">
        <v>-1.0200665509661122</v>
      </c>
      <c r="M3431">
        <f t="shared" si="224"/>
        <v>-0.74017762489333838</v>
      </c>
      <c r="N3431">
        <v>-0.11995007857160762</v>
      </c>
    </row>
    <row r="3432" spans="1:14">
      <c r="A3432" t="s">
        <v>9</v>
      </c>
      <c r="B3432" s="2">
        <f t="shared" si="220"/>
        <v>165</v>
      </c>
      <c r="C3432">
        <v>1551</v>
      </c>
      <c r="D3432">
        <v>39</v>
      </c>
      <c r="E3432">
        <v>56</v>
      </c>
      <c r="F3432">
        <f t="shared" si="222"/>
        <v>-1.4895495534393031</v>
      </c>
      <c r="G3432">
        <f t="shared" si="223"/>
        <v>-1.3031236801398138</v>
      </c>
      <c r="I3432">
        <f t="shared" si="221"/>
        <v>-1.3963366167895583</v>
      </c>
      <c r="J3432">
        <v>56</v>
      </c>
      <c r="K3432">
        <v>52</v>
      </c>
      <c r="L3432">
        <v>-1.3031236801398138</v>
      </c>
      <c r="M3432">
        <f t="shared" si="224"/>
        <v>-1.2858683588167152</v>
      </c>
      <c r="N3432">
        <v>-1.4895495534393031</v>
      </c>
    </row>
    <row r="3433" spans="1:14">
      <c r="A3433" t="s">
        <v>13</v>
      </c>
      <c r="B3433" s="2">
        <f t="shared" si="220"/>
        <v>165</v>
      </c>
      <c r="C3433">
        <v>651</v>
      </c>
      <c r="D3433">
        <v>279</v>
      </c>
      <c r="E3433">
        <v>62</v>
      </c>
      <c r="F3433">
        <f t="shared" si="222"/>
        <v>-0.25797914794679178</v>
      </c>
      <c r="G3433">
        <f t="shared" si="223"/>
        <v>-0.8818892084023473</v>
      </c>
      <c r="I3433">
        <f t="shared" si="221"/>
        <v>-0.56993417817456948</v>
      </c>
      <c r="J3433">
        <v>62</v>
      </c>
      <c r="K3433">
        <v>107</v>
      </c>
      <c r="L3433">
        <v>-0.8818892084023473</v>
      </c>
      <c r="M3433">
        <f t="shared" si="224"/>
        <v>-0.59545711552089164</v>
      </c>
      <c r="N3433">
        <v>-0.25797914794679178</v>
      </c>
    </row>
    <row r="3434" spans="1:14">
      <c r="A3434" t="s">
        <v>14</v>
      </c>
      <c r="B3434" s="2">
        <f t="shared" si="220"/>
        <v>165</v>
      </c>
      <c r="C3434">
        <v>309</v>
      </c>
      <c r="D3434">
        <v>57</v>
      </c>
      <c r="E3434">
        <v>28</v>
      </c>
      <c r="F3434">
        <f t="shared" si="222"/>
        <v>-0.6240859864045406</v>
      </c>
      <c r="G3434">
        <f t="shared" si="223"/>
        <v>-0.90350035741502466</v>
      </c>
      <c r="I3434">
        <f t="shared" si="221"/>
        <v>-0.76379317190978258</v>
      </c>
      <c r="J3434">
        <v>28</v>
      </c>
      <c r="K3434">
        <v>29</v>
      </c>
      <c r="L3434">
        <v>-0.90350035741502466</v>
      </c>
      <c r="M3434">
        <f t="shared" si="224"/>
        <v>-0.83882038616378785</v>
      </c>
      <c r="N3434">
        <v>-0.6240859864045406</v>
      </c>
    </row>
    <row r="3435" spans="1:14">
      <c r="A3435" t="s">
        <v>15</v>
      </c>
      <c r="B3435" s="2">
        <f t="shared" si="220"/>
        <v>165</v>
      </c>
      <c r="C3435">
        <v>376</v>
      </c>
      <c r="D3435">
        <v>47</v>
      </c>
      <c r="E3435">
        <v>89</v>
      </c>
      <c r="F3435">
        <f t="shared" si="222"/>
        <v>-0.79309234964414088</v>
      </c>
      <c r="G3435">
        <f t="shared" si="223"/>
        <v>-0.48649774761515752</v>
      </c>
      <c r="I3435">
        <f t="shared" si="221"/>
        <v>-0.6397950486296492</v>
      </c>
      <c r="J3435">
        <v>89</v>
      </c>
      <c r="K3435">
        <v>31</v>
      </c>
      <c r="L3435">
        <v>-0.48649774761515752</v>
      </c>
      <c r="M3435">
        <f t="shared" si="224"/>
        <v>-0.89508605573129774</v>
      </c>
      <c r="N3435">
        <v>-0.79309234964414088</v>
      </c>
    </row>
    <row r="3436" spans="1:14">
      <c r="A3436" t="s">
        <v>16</v>
      </c>
      <c r="B3436" s="2">
        <f t="shared" si="220"/>
        <v>165</v>
      </c>
      <c r="C3436">
        <v>560</v>
      </c>
      <c r="D3436">
        <v>6</v>
      </c>
      <c r="E3436">
        <v>270</v>
      </c>
      <c r="F3436">
        <f t="shared" si="222"/>
        <v>-1.8600391392747542</v>
      </c>
      <c r="G3436">
        <f t="shared" si="223"/>
        <v>-0.17752417217962232</v>
      </c>
      <c r="I3436">
        <f t="shared" si="221"/>
        <v>-1.0187816557271883</v>
      </c>
      <c r="J3436">
        <v>270</v>
      </c>
      <c r="K3436">
        <v>251</v>
      </c>
      <c r="L3436">
        <v>-0.17752417217962232</v>
      </c>
      <c r="M3436">
        <f t="shared" si="224"/>
        <v>-0.15977421016307158</v>
      </c>
      <c r="N3436">
        <v>-1.8600391392747542</v>
      </c>
    </row>
    <row r="3437" spans="1:14">
      <c r="A3437" t="s">
        <v>17</v>
      </c>
      <c r="B3437" s="2">
        <f t="shared" si="220"/>
        <v>165</v>
      </c>
      <c r="C3437">
        <v>1244</v>
      </c>
      <c r="D3437">
        <v>296</v>
      </c>
      <c r="E3437">
        <v>161</v>
      </c>
      <c r="F3437">
        <f t="shared" si="222"/>
        <v>-0.5135310319480586</v>
      </c>
      <c r="G3437">
        <f t="shared" si="223"/>
        <v>-0.74869441365535938</v>
      </c>
      <c r="I3437">
        <f t="shared" si="221"/>
        <v>-0.63111272280170905</v>
      </c>
      <c r="J3437">
        <v>161</v>
      </c>
      <c r="K3437">
        <v>72</v>
      </c>
      <c r="L3437">
        <v>-0.74869441365535938</v>
      </c>
      <c r="M3437">
        <f t="shared" si="224"/>
        <v>-1.0487477885614407</v>
      </c>
      <c r="N3437">
        <v>-0.5135310319480586</v>
      </c>
    </row>
    <row r="3438" spans="1:14">
      <c r="A3438" t="s">
        <v>18</v>
      </c>
      <c r="B3438" s="2">
        <f t="shared" si="220"/>
        <v>165</v>
      </c>
      <c r="C3438">
        <v>524</v>
      </c>
      <c r="D3438">
        <v>45</v>
      </c>
      <c r="E3438">
        <v>83</v>
      </c>
      <c r="F3438">
        <f t="shared" si="222"/>
        <v>-0.95612113586058034</v>
      </c>
      <c r="G3438">
        <f t="shared" si="223"/>
        <v>-0.66095310394006201</v>
      </c>
      <c r="I3438">
        <f t="shared" si="221"/>
        <v>-0.80853711990032118</v>
      </c>
      <c r="J3438">
        <v>83</v>
      </c>
      <c r="K3438">
        <v>142</v>
      </c>
      <c r="L3438">
        <v>-0.66095310394006201</v>
      </c>
      <c r="M3438">
        <f t="shared" si="224"/>
        <v>-0.37830284723857943</v>
      </c>
      <c r="N3438">
        <v>-0.95612113586058034</v>
      </c>
    </row>
    <row r="3439" spans="1:14">
      <c r="A3439" t="s">
        <v>19</v>
      </c>
      <c r="B3439" s="2">
        <f t="shared" si="220"/>
        <v>165</v>
      </c>
      <c r="C3439">
        <v>690</v>
      </c>
      <c r="D3439">
        <v>37</v>
      </c>
      <c r="E3439">
        <v>1226</v>
      </c>
      <c r="F3439">
        <f t="shared" si="222"/>
        <v>-1.1606497293224576</v>
      </c>
      <c r="G3439">
        <f t="shared" si="223"/>
        <v>0.38894147011273172</v>
      </c>
      <c r="I3439">
        <f t="shared" si="221"/>
        <v>-0.38585412960486293</v>
      </c>
      <c r="J3439">
        <v>1226</v>
      </c>
      <c r="K3439">
        <v>1958</v>
      </c>
      <c r="L3439">
        <v>0.38894147011273172</v>
      </c>
      <c r="M3439">
        <f t="shared" si="224"/>
        <v>0.64170369209195433</v>
      </c>
      <c r="N3439">
        <v>-1.1606497293224576</v>
      </c>
    </row>
    <row r="3440" spans="1:14">
      <c r="A3440" t="s">
        <v>20</v>
      </c>
      <c r="B3440" s="2">
        <f t="shared" si="220"/>
        <v>165</v>
      </c>
      <c r="C3440">
        <v>607</v>
      </c>
      <c r="D3440">
        <v>19</v>
      </c>
      <c r="E3440">
        <v>28</v>
      </c>
      <c r="F3440">
        <f t="shared" si="222"/>
        <v>-1.3944374527746259</v>
      </c>
      <c r="G3440">
        <f t="shared" si="223"/>
        <v>-1.1967305690654475</v>
      </c>
      <c r="I3440">
        <f t="shared" si="221"/>
        <v>-1.2955840109200367</v>
      </c>
      <c r="J3440">
        <v>28</v>
      </c>
      <c r="K3440">
        <v>29</v>
      </c>
      <c r="L3440">
        <v>-1.1967305690654475</v>
      </c>
      <c r="M3440">
        <f t="shared" si="224"/>
        <v>-1.1320505978142106</v>
      </c>
      <c r="N3440">
        <v>-1.3944374527746259</v>
      </c>
    </row>
    <row r="3441" spans="1:14">
      <c r="A3441" t="s">
        <v>21</v>
      </c>
      <c r="B3441" s="2">
        <f t="shared" si="220"/>
        <v>165</v>
      </c>
      <c r="C3441">
        <v>877</v>
      </c>
      <c r="D3441">
        <v>6</v>
      </c>
      <c r="E3441">
        <v>827</v>
      </c>
      <c r="F3441">
        <f t="shared" si="222"/>
        <v>-2.0548507056345944</v>
      </c>
      <c r="G3441">
        <f t="shared" si="223"/>
        <v>0.11380600685409695</v>
      </c>
      <c r="I3441">
        <f t="shared" si="221"/>
        <v>-0.97052234939024873</v>
      </c>
      <c r="J3441">
        <v>827</v>
      </c>
      <c r="K3441">
        <v>314</v>
      </c>
      <c r="L3441">
        <v>0.11380600685409695</v>
      </c>
      <c r="M3441">
        <f t="shared" si="224"/>
        <v>-0.25732984993073488</v>
      </c>
      <c r="N3441">
        <v>-2.0548507056345944</v>
      </c>
    </row>
    <row r="3442" spans="1:14">
      <c r="A3442" t="s">
        <v>22</v>
      </c>
      <c r="B3442" s="2">
        <f t="shared" si="220"/>
        <v>165</v>
      </c>
      <c r="C3442">
        <v>619</v>
      </c>
      <c r="D3442">
        <v>10</v>
      </c>
      <c r="E3442">
        <v>492</v>
      </c>
      <c r="F3442">
        <f t="shared" si="222"/>
        <v>-1.6816930116723152</v>
      </c>
      <c r="G3442">
        <f t="shared" si="223"/>
        <v>3.9574544414833115E-2</v>
      </c>
      <c r="I3442">
        <f t="shared" si="221"/>
        <v>-0.821059233628741</v>
      </c>
      <c r="J3442">
        <v>492</v>
      </c>
      <c r="K3442">
        <v>564</v>
      </c>
      <c r="L3442">
        <v>3.9574544414833115E-2</v>
      </c>
      <c r="M3442">
        <f t="shared" si="224"/>
        <v>0.14832855032531503</v>
      </c>
      <c r="N3442">
        <v>-1.6816930116723152</v>
      </c>
    </row>
    <row r="3443" spans="1:14">
      <c r="A3443" t="s">
        <v>23</v>
      </c>
      <c r="B3443" s="2">
        <f t="shared" si="220"/>
        <v>165</v>
      </c>
      <c r="C3443">
        <v>917</v>
      </c>
      <c r="D3443">
        <v>10</v>
      </c>
      <c r="E3443">
        <v>82</v>
      </c>
      <c r="F3443">
        <f t="shared" si="222"/>
        <v>-1.8523716983222185</v>
      </c>
      <c r="G3443">
        <f t="shared" si="223"/>
        <v>-0.90925539261871369</v>
      </c>
      <c r="I3443">
        <f t="shared" si="221"/>
        <v>-1.380813545470466</v>
      </c>
      <c r="J3443">
        <v>82</v>
      </c>
      <c r="K3443">
        <v>28</v>
      </c>
      <c r="L3443">
        <v>-0.90925539261871369</v>
      </c>
      <c r="M3443">
        <f t="shared" si="224"/>
        <v>-1.3264712089657111</v>
      </c>
      <c r="N3443">
        <v>-1.8523716983222185</v>
      </c>
    </row>
    <row r="3444" spans="1:14">
      <c r="A3444" t="s">
        <v>24</v>
      </c>
      <c r="B3444" s="2">
        <f t="shared" si="220"/>
        <v>165</v>
      </c>
      <c r="C3444">
        <v>697</v>
      </c>
      <c r="D3444">
        <v>9</v>
      </c>
      <c r="E3444">
        <v>269</v>
      </c>
      <c r="F3444">
        <f t="shared" si="222"/>
        <v>-1.7789926313108819</v>
      </c>
      <c r="G3444">
        <f t="shared" si="223"/>
        <v>-0.27418040742801064</v>
      </c>
      <c r="I3444">
        <f t="shared" si="221"/>
        <v>-1.0265865193694463</v>
      </c>
      <c r="J3444">
        <v>269</v>
      </c>
      <c r="K3444">
        <v>231</v>
      </c>
      <c r="L3444">
        <v>-0.27418040742801064</v>
      </c>
      <c r="M3444">
        <f t="shared" si="224"/>
        <v>-0.29088070284377443</v>
      </c>
      <c r="N3444">
        <v>-1.7789926313108819</v>
      </c>
    </row>
    <row r="3445" spans="1:14">
      <c r="A3445" t="s">
        <v>25</v>
      </c>
      <c r="B3445" s="2">
        <f t="shared" si="220"/>
        <v>165</v>
      </c>
      <c r="C3445">
        <v>1114</v>
      </c>
      <c r="D3445">
        <v>14</v>
      </c>
      <c r="E3445">
        <v>236</v>
      </c>
      <c r="F3445">
        <f t="shared" si="222"/>
        <v>-1.7907595178116693</v>
      </c>
      <c r="G3445">
        <f t="shared" si="223"/>
        <v>-0.53467309720001277</v>
      </c>
      <c r="I3445">
        <f t="shared" si="221"/>
        <v>-1.1627163075058411</v>
      </c>
      <c r="J3445">
        <v>236</v>
      </c>
      <c r="K3445">
        <v>151</v>
      </c>
      <c r="L3445">
        <v>-0.53467309720001277</v>
      </c>
      <c r="M3445">
        <f t="shared" si="224"/>
        <v>-0.67916814818244997</v>
      </c>
      <c r="N3445">
        <v>-1.7907595178116693</v>
      </c>
    </row>
    <row r="3446" spans="1:14">
      <c r="A3446" t="s">
        <v>7</v>
      </c>
      <c r="B3446" s="2">
        <f t="shared" si="220"/>
        <v>166</v>
      </c>
      <c r="C3446">
        <v>489</v>
      </c>
      <c r="D3446">
        <v>34</v>
      </c>
      <c r="E3446">
        <v>27</v>
      </c>
      <c r="F3446">
        <f t="shared" si="222"/>
        <v>-1.0478323047335625</v>
      </c>
      <c r="G3446">
        <f t="shared" si="223"/>
        <v>-1.1186450042970422</v>
      </c>
      <c r="I3446">
        <f t="shared" si="221"/>
        <v>-1.0832386545153023</v>
      </c>
      <c r="J3446">
        <v>27</v>
      </c>
      <c r="K3446">
        <v>25</v>
      </c>
      <c r="L3446">
        <v>-1.1186450042970422</v>
      </c>
      <c r="M3446">
        <f t="shared" si="224"/>
        <v>-1.102628755089492</v>
      </c>
      <c r="N3446">
        <v>-1.0478323047335625</v>
      </c>
    </row>
    <row r="3447" spans="1:14">
      <c r="A3447" t="s">
        <v>8</v>
      </c>
      <c r="B3447" s="2">
        <f t="shared" si="220"/>
        <v>166</v>
      </c>
      <c r="C3447">
        <v>875</v>
      </c>
      <c r="D3447">
        <v>35</v>
      </c>
      <c r="E3447">
        <v>535</v>
      </c>
      <c r="F3447">
        <f t="shared" si="222"/>
        <v>-1.2879423713242348</v>
      </c>
      <c r="G3447">
        <f t="shared" si="223"/>
        <v>-7.435418033349403E-2</v>
      </c>
      <c r="I3447">
        <f t="shared" si="221"/>
        <v>-0.68114827582886439</v>
      </c>
      <c r="J3447">
        <v>535</v>
      </c>
      <c r="K3447">
        <v>346</v>
      </c>
      <c r="L3447">
        <v>-7.435418033349403E-2</v>
      </c>
      <c r="M3447">
        <f t="shared" si="224"/>
        <v>-0.21419185886744596</v>
      </c>
      <c r="N3447">
        <v>-1.2879423713242348</v>
      </c>
    </row>
    <row r="3448" spans="1:14">
      <c r="A3448" t="s">
        <v>5</v>
      </c>
      <c r="B3448" s="2">
        <f t="shared" si="220"/>
        <v>166</v>
      </c>
      <c r="C3448">
        <v>310</v>
      </c>
      <c r="D3448">
        <v>222</v>
      </c>
      <c r="E3448">
        <v>462</v>
      </c>
      <c r="F3448">
        <f t="shared" si="222"/>
        <v>-3.5011082035831378E-2</v>
      </c>
      <c r="G3448">
        <f t="shared" si="223"/>
        <v>0.31258037238944358</v>
      </c>
      <c r="I3448">
        <f t="shared" si="221"/>
        <v>0.13878464517680611</v>
      </c>
      <c r="J3448">
        <v>462</v>
      </c>
      <c r="K3448">
        <v>22</v>
      </c>
      <c r="L3448">
        <v>0.31258037238944358</v>
      </c>
      <c r="M3448">
        <f t="shared" si="224"/>
        <v>-0.96019891764997578</v>
      </c>
      <c r="N3448">
        <v>-3.5011082035831378E-2</v>
      </c>
    </row>
    <row r="3449" spans="1:14">
      <c r="A3449" t="s">
        <v>6</v>
      </c>
      <c r="B3449" s="2">
        <f t="shared" si="220"/>
        <v>166</v>
      </c>
      <c r="C3449">
        <v>1445</v>
      </c>
      <c r="D3449">
        <v>1349</v>
      </c>
      <c r="E3449">
        <v>196</v>
      </c>
      <c r="F3449">
        <f t="shared" si="222"/>
        <v>8.0141739927140215E-2</v>
      </c>
      <c r="G3449">
        <f t="shared" si="223"/>
        <v>-0.72831168506849986</v>
      </c>
      <c r="I3449">
        <f t="shared" si="221"/>
        <v>-0.32408497257067981</v>
      </c>
      <c r="J3449">
        <v>196</v>
      </c>
      <c r="K3449">
        <v>176</v>
      </c>
      <c r="L3449">
        <v>-0.72831168506849986</v>
      </c>
      <c r="M3449">
        <f t="shared" si="224"/>
        <v>-0.72561508391632612</v>
      </c>
      <c r="N3449">
        <v>8.0141739927140215E-2</v>
      </c>
    </row>
    <row r="3450" spans="1:14">
      <c r="A3450" t="s">
        <v>10</v>
      </c>
      <c r="B3450" s="2">
        <f t="shared" si="220"/>
        <v>166</v>
      </c>
      <c r="C3450">
        <v>457</v>
      </c>
      <c r="D3450">
        <v>206</v>
      </c>
      <c r="E3450">
        <v>39</v>
      </c>
      <c r="F3450">
        <f t="shared" si="222"/>
        <v>-0.23605134235289416</v>
      </c>
      <c r="G3450">
        <f t="shared" si="223"/>
        <v>-0.92955150237576034</v>
      </c>
      <c r="I3450">
        <f t="shared" si="221"/>
        <v>-0.58280142236432719</v>
      </c>
      <c r="J3450">
        <v>39</v>
      </c>
      <c r="K3450">
        <v>44</v>
      </c>
      <c r="L3450">
        <v>-0.92955150237576034</v>
      </c>
      <c r="M3450">
        <f t="shared" si="224"/>
        <v>-0.82772342822157208</v>
      </c>
      <c r="N3450">
        <v>-0.23605134235289416</v>
      </c>
    </row>
    <row r="3451" spans="1:14">
      <c r="A3451" t="s">
        <v>11</v>
      </c>
      <c r="B3451" s="2">
        <f t="shared" si="220"/>
        <v>166</v>
      </c>
      <c r="C3451">
        <v>813</v>
      </c>
      <c r="D3451">
        <v>11</v>
      </c>
      <c r="E3451">
        <v>37</v>
      </c>
      <c r="F3451">
        <f t="shared" si="222"/>
        <v>-1.7587002230880404</v>
      </c>
      <c r="G3451">
        <f t="shared" si="223"/>
        <v>-1.2025887308594825</v>
      </c>
      <c r="I3451">
        <f t="shared" si="221"/>
        <v>-1.4806444769737614</v>
      </c>
      <c r="J3451">
        <v>37</v>
      </c>
      <c r="K3451">
        <v>38</v>
      </c>
      <c r="L3451">
        <v>-1.2025887308594825</v>
      </c>
      <c r="M3451">
        <f t="shared" si="224"/>
        <v>-1.1415668536151675</v>
      </c>
      <c r="N3451">
        <v>-1.7587002230880404</v>
      </c>
    </row>
    <row r="3452" spans="1:14">
      <c r="A3452" t="s">
        <v>12</v>
      </c>
      <c r="B3452" s="2">
        <f t="shared" si="220"/>
        <v>166</v>
      </c>
      <c r="C3452">
        <v>796</v>
      </c>
      <c r="D3452">
        <v>182</v>
      </c>
      <c r="E3452">
        <v>80</v>
      </c>
      <c r="F3452">
        <f t="shared" si="222"/>
        <v>-0.53084404240479166</v>
      </c>
      <c r="G3452">
        <f t="shared" si="223"/>
        <v>-0.85852299007813471</v>
      </c>
      <c r="I3452">
        <f t="shared" si="221"/>
        <v>-0.69468351624146318</v>
      </c>
      <c r="J3452">
        <v>80</v>
      </c>
      <c r="K3452">
        <v>267</v>
      </c>
      <c r="L3452">
        <v>-0.85852299007813471</v>
      </c>
      <c r="M3452">
        <f t="shared" si="224"/>
        <v>-0.28566171101100313</v>
      </c>
      <c r="N3452">
        <v>-0.53084404240479166</v>
      </c>
    </row>
    <row r="3453" spans="1:14">
      <c r="A3453" t="s">
        <v>9</v>
      </c>
      <c r="B3453" s="2">
        <f t="shared" si="220"/>
        <v>166</v>
      </c>
      <c r="C3453">
        <v>454</v>
      </c>
      <c r="D3453">
        <v>137</v>
      </c>
      <c r="E3453">
        <v>21</v>
      </c>
      <c r="F3453">
        <f t="shared" si="222"/>
        <v>-0.41033764835289444</v>
      </c>
      <c r="G3453">
        <f t="shared" si="223"/>
        <v>-1.1955364674555939</v>
      </c>
      <c r="I3453">
        <f t="shared" si="221"/>
        <v>-0.80293705790424419</v>
      </c>
      <c r="J3453">
        <v>21</v>
      </c>
      <c r="K3453">
        <v>130</v>
      </c>
      <c r="L3453">
        <v>-1.1955364674555939</v>
      </c>
      <c r="M3453">
        <f t="shared" si="224"/>
        <v>-0.35437240518817648</v>
      </c>
      <c r="N3453">
        <v>-0.41033764835289444</v>
      </c>
    </row>
    <row r="3454" spans="1:14">
      <c r="A3454" t="s">
        <v>13</v>
      </c>
      <c r="B3454" s="2">
        <f t="shared" si="220"/>
        <v>166</v>
      </c>
      <c r="C3454">
        <v>419</v>
      </c>
      <c r="D3454">
        <v>351</v>
      </c>
      <c r="E3454">
        <v>65</v>
      </c>
      <c r="F3454">
        <f t="shared" si="222"/>
        <v>3.3090730847331398E-2</v>
      </c>
      <c r="G3454">
        <f t="shared" si="223"/>
        <v>-0.67000057565584903</v>
      </c>
      <c r="I3454">
        <f t="shared" si="221"/>
        <v>-0.31845492240425882</v>
      </c>
      <c r="J3454">
        <v>65</v>
      </c>
      <c r="K3454">
        <v>23</v>
      </c>
      <c r="L3454">
        <v>-0.67000057565584903</v>
      </c>
      <c r="M3454">
        <f t="shared" si="224"/>
        <v>-1.0717460915866117</v>
      </c>
      <c r="N3454">
        <v>3.3090730847331398E-2</v>
      </c>
    </row>
    <row r="3455" spans="1:14">
      <c r="A3455" t="s">
        <v>14</v>
      </c>
      <c r="B3455" s="2">
        <f t="shared" si="220"/>
        <v>166</v>
      </c>
      <c r="C3455">
        <v>817</v>
      </c>
      <c r="D3455">
        <v>33</v>
      </c>
      <c r="E3455">
        <v>191</v>
      </c>
      <c r="F3455">
        <f t="shared" si="222"/>
        <v>-1.2837104793067253</v>
      </c>
      <c r="G3455">
        <f t="shared" si="223"/>
        <v>-0.49188859861709722</v>
      </c>
      <c r="I3455">
        <f t="shared" si="221"/>
        <v>-0.88779953896191133</v>
      </c>
      <c r="J3455">
        <v>191</v>
      </c>
      <c r="K3455">
        <v>42</v>
      </c>
      <c r="L3455">
        <v>-0.49188859861709722</v>
      </c>
      <c r="M3455">
        <f t="shared" si="224"/>
        <v>-1.1002326707724244</v>
      </c>
      <c r="N3455">
        <v>-1.2837104793067253</v>
      </c>
    </row>
    <row r="3456" spans="1:14">
      <c r="A3456" t="s">
        <v>15</v>
      </c>
      <c r="B3456" s="2">
        <f t="shared" si="220"/>
        <v>166</v>
      </c>
      <c r="C3456">
        <v>1541</v>
      </c>
      <c r="D3456">
        <v>1177</v>
      </c>
      <c r="E3456">
        <v>174</v>
      </c>
      <c r="F3456">
        <f t="shared" si="222"/>
        <v>-7.0285385271820072E-3</v>
      </c>
      <c r="G3456">
        <f t="shared" si="223"/>
        <v>-0.80795329976822883</v>
      </c>
      <c r="I3456">
        <f t="shared" si="221"/>
        <v>-0.40749091914770541</v>
      </c>
      <c r="J3456">
        <v>174</v>
      </c>
      <c r="K3456">
        <v>150</v>
      </c>
      <c r="L3456">
        <v>-0.80795329976822883</v>
      </c>
      <c r="M3456">
        <f t="shared" si="224"/>
        <v>-0.82297128430064748</v>
      </c>
      <c r="N3456">
        <v>-7.0285385271820072E-3</v>
      </c>
    </row>
    <row r="3457" spans="1:14">
      <c r="A3457" t="s">
        <v>16</v>
      </c>
      <c r="B3457" s="2">
        <f t="shared" si="220"/>
        <v>166</v>
      </c>
      <c r="C3457">
        <v>407</v>
      </c>
      <c r="D3457">
        <v>4</v>
      </c>
      <c r="E3457">
        <v>19</v>
      </c>
      <c r="F3457">
        <f t="shared" si="222"/>
        <v>-1.8975367805494552</v>
      </c>
      <c r="G3457">
        <f t="shared" si="223"/>
        <v>-1.1915407176048003</v>
      </c>
      <c r="I3457">
        <f t="shared" si="221"/>
        <v>-1.5445387490771276</v>
      </c>
      <c r="J3457">
        <v>19</v>
      </c>
      <c r="K3457">
        <v>18</v>
      </c>
      <c r="L3457">
        <v>-1.1915407176048003</v>
      </c>
      <c r="M3457">
        <f t="shared" si="224"/>
        <v>-1.1655818087598231</v>
      </c>
      <c r="N3457">
        <v>-1.8975367805494552</v>
      </c>
    </row>
    <row r="3458" spans="1:14">
      <c r="A3458" t="s">
        <v>17</v>
      </c>
      <c r="B3458" s="2">
        <f t="shared" si="220"/>
        <v>166</v>
      </c>
      <c r="C3458">
        <v>655</v>
      </c>
      <c r="D3458">
        <v>295</v>
      </c>
      <c r="E3458">
        <v>207</v>
      </c>
      <c r="F3458">
        <f t="shared" si="222"/>
        <v>-0.23642164666581744</v>
      </c>
      <c r="G3458">
        <f t="shared" si="223"/>
        <v>-0.36097086386727462</v>
      </c>
      <c r="I3458">
        <f t="shared" si="221"/>
        <v>-0.29869625526654603</v>
      </c>
      <c r="J3458">
        <v>207</v>
      </c>
      <c r="K3458">
        <v>198</v>
      </c>
      <c r="L3458">
        <v>-0.36097086386727462</v>
      </c>
      <c r="M3458">
        <f t="shared" si="224"/>
        <v>-0.33083601436816135</v>
      </c>
      <c r="N3458">
        <v>-0.23642164666581744</v>
      </c>
    </row>
    <row r="3459" spans="1:14">
      <c r="A3459" t="s">
        <v>18</v>
      </c>
      <c r="B3459" s="2">
        <f t="shared" ref="B3459:B3522" si="225">1+INT((ROW()-2)/21)+1</f>
        <v>166</v>
      </c>
      <c r="C3459">
        <v>660</v>
      </c>
      <c r="D3459">
        <v>71</v>
      </c>
      <c r="E3459">
        <v>224</v>
      </c>
      <c r="F3459">
        <f t="shared" si="222"/>
        <v>-0.85828794947499076</v>
      </c>
      <c r="G3459">
        <f t="shared" si="223"/>
        <v>-0.32999582654011506</v>
      </c>
      <c r="I3459">
        <f t="shared" ref="I3459:I3522" si="226">AVERAGE(F3459:G3459)</f>
        <v>-0.59414188800755285</v>
      </c>
      <c r="J3459">
        <v>224</v>
      </c>
      <c r="K3459">
        <v>192</v>
      </c>
      <c r="L3459">
        <v>-0.32999582654011506</v>
      </c>
      <c r="M3459">
        <f t="shared" si="224"/>
        <v>-0.34750261147622841</v>
      </c>
      <c r="N3459">
        <v>-0.85828794947499076</v>
      </c>
    </row>
    <row r="3460" spans="1:14">
      <c r="A3460" t="s">
        <v>19</v>
      </c>
      <c r="B3460" s="2">
        <f t="shared" si="225"/>
        <v>166</v>
      </c>
      <c r="C3460">
        <v>515</v>
      </c>
      <c r="D3460">
        <v>192</v>
      </c>
      <c r="E3460">
        <v>66</v>
      </c>
      <c r="F3460">
        <f t="shared" si="222"/>
        <v>-0.31850836298983876</v>
      </c>
      <c r="G3460">
        <f t="shared" si="223"/>
        <v>-0.75296320283173157</v>
      </c>
      <c r="I3460">
        <f t="shared" si="226"/>
        <v>-0.53573578291078516</v>
      </c>
      <c r="J3460">
        <v>66</v>
      </c>
      <c r="K3460">
        <v>148</v>
      </c>
      <c r="L3460">
        <v>-0.75296320283173157</v>
      </c>
      <c r="M3460">
        <f t="shared" si="224"/>
        <v>-0.35280541828414302</v>
      </c>
      <c r="N3460">
        <v>-0.31850836298983876</v>
      </c>
    </row>
    <row r="3461" spans="1:14">
      <c r="A3461" t="s">
        <v>20</v>
      </c>
      <c r="B3461" s="2">
        <f t="shared" si="225"/>
        <v>166</v>
      </c>
      <c r="C3461">
        <v>59</v>
      </c>
      <c r="D3461">
        <v>26</v>
      </c>
      <c r="E3461">
        <v>27</v>
      </c>
      <c r="F3461">
        <f t="shared" si="222"/>
        <v>-0.2458810263235236</v>
      </c>
      <c r="G3461">
        <f t="shared" si="223"/>
        <v>-0.20018815681556609</v>
      </c>
      <c r="I3461">
        <f t="shared" si="226"/>
        <v>-0.22303459156954486</v>
      </c>
      <c r="J3461">
        <v>27</v>
      </c>
      <c r="K3461">
        <v>34</v>
      </c>
      <c r="L3461">
        <v>-0.20018815681556609</v>
      </c>
      <c r="M3461">
        <f t="shared" si="224"/>
        <v>-5.0632999237798376E-2</v>
      </c>
      <c r="N3461">
        <v>-0.2458810263235236</v>
      </c>
    </row>
    <row r="3462" spans="1:14">
      <c r="A3462" t="s">
        <v>21</v>
      </c>
      <c r="B3462" s="2">
        <f t="shared" si="225"/>
        <v>166</v>
      </c>
      <c r="C3462">
        <v>973</v>
      </c>
      <c r="D3462">
        <v>1241</v>
      </c>
      <c r="E3462">
        <v>1105</v>
      </c>
      <c r="F3462">
        <f t="shared" si="222"/>
        <v>0.21565657857818055</v>
      </c>
      <c r="G3462">
        <f t="shared" si="223"/>
        <v>0.19454952842036835</v>
      </c>
      <c r="I3462">
        <f t="shared" si="226"/>
        <v>0.20510305349927443</v>
      </c>
      <c r="J3462">
        <v>1105</v>
      </c>
      <c r="K3462">
        <v>537</v>
      </c>
      <c r="L3462">
        <v>0.19454952842036835</v>
      </c>
      <c r="M3462">
        <f t="shared" si="224"/>
        <v>-6.9398459206705621E-2</v>
      </c>
      <c r="N3462">
        <v>0.21565657857818055</v>
      </c>
    </row>
    <row r="3463" spans="1:14">
      <c r="A3463" t="s">
        <v>22</v>
      </c>
      <c r="B3463" s="2">
        <f t="shared" si="225"/>
        <v>166</v>
      </c>
      <c r="C3463">
        <v>320</v>
      </c>
      <c r="D3463">
        <v>34</v>
      </c>
      <c r="E3463">
        <v>14</v>
      </c>
      <c r="F3463">
        <f t="shared" si="222"/>
        <v>-0.86367342392984825</v>
      </c>
      <c r="G3463">
        <f t="shared" si="223"/>
        <v>-1.2197218519740771</v>
      </c>
      <c r="I3463">
        <f t="shared" si="226"/>
        <v>-1.0416976379519627</v>
      </c>
      <c r="J3463">
        <v>14</v>
      </c>
      <c r="K3463">
        <v>26</v>
      </c>
      <c r="L3463">
        <v>-1.2197218519740771</v>
      </c>
      <c r="M3463">
        <f t="shared" si="224"/>
        <v>-0.90143653498699738</v>
      </c>
      <c r="N3463">
        <v>-0.86367342392984825</v>
      </c>
    </row>
    <row r="3464" spans="1:14">
      <c r="A3464" t="s">
        <v>23</v>
      </c>
      <c r="B3464" s="2">
        <f t="shared" si="225"/>
        <v>166</v>
      </c>
      <c r="C3464">
        <v>322</v>
      </c>
      <c r="D3464">
        <v>541</v>
      </c>
      <c r="E3464">
        <v>487</v>
      </c>
      <c r="F3464">
        <f t="shared" si="222"/>
        <v>0.33533903075854116</v>
      </c>
      <c r="G3464">
        <f t="shared" si="223"/>
        <v>0.3189731801863942</v>
      </c>
      <c r="I3464">
        <f t="shared" si="226"/>
        <v>0.32715610547246765</v>
      </c>
      <c r="J3464">
        <v>487</v>
      </c>
      <c r="K3464">
        <v>346</v>
      </c>
      <c r="L3464">
        <v>0.3189731801863942</v>
      </c>
      <c r="M3464">
        <f t="shared" si="224"/>
        <v>0.21996032245903635</v>
      </c>
      <c r="N3464">
        <v>0.33533903075854116</v>
      </c>
    </row>
    <row r="3465" spans="1:14">
      <c r="A3465" t="s">
        <v>24</v>
      </c>
      <c r="B3465" s="2">
        <f t="shared" si="225"/>
        <v>166</v>
      </c>
      <c r="C3465">
        <v>1263</v>
      </c>
      <c r="D3465">
        <v>330</v>
      </c>
      <c r="E3465">
        <v>148</v>
      </c>
      <c r="F3465">
        <f t="shared" si="222"/>
        <v>-0.47289177332964061</v>
      </c>
      <c r="G3465">
        <f t="shared" si="223"/>
        <v>-0.79184154449278266</v>
      </c>
      <c r="I3465">
        <f t="shared" si="226"/>
        <v>-0.63236665891121158</v>
      </c>
      <c r="J3465">
        <v>148</v>
      </c>
      <c r="K3465">
        <v>455</v>
      </c>
      <c r="L3465">
        <v>-0.79184154449278266</v>
      </c>
      <c r="M3465">
        <f t="shared" si="224"/>
        <v>-0.25465185853612765</v>
      </c>
      <c r="N3465">
        <v>-0.47289177332964061</v>
      </c>
    </row>
    <row r="3466" spans="1:14">
      <c r="A3466" t="s">
        <v>25</v>
      </c>
      <c r="B3466" s="2">
        <f t="shared" si="225"/>
        <v>166</v>
      </c>
      <c r="C3466">
        <v>688</v>
      </c>
      <c r="D3466">
        <v>1</v>
      </c>
      <c r="E3466">
        <v>14</v>
      </c>
      <c r="F3466">
        <f t="shared" si="222"/>
        <v>-2.7275908008877088</v>
      </c>
      <c r="G3466">
        <f t="shared" si="223"/>
        <v>-1.5521603118896825</v>
      </c>
      <c r="I3466">
        <f t="shared" si="226"/>
        <v>-2.1398755563886955</v>
      </c>
      <c r="J3466">
        <v>14</v>
      </c>
      <c r="K3466">
        <v>8</v>
      </c>
      <c r="L3466">
        <v>-1.5521603118896825</v>
      </c>
      <c r="M3466">
        <f t="shared" si="224"/>
        <v>-1.7457583558814771</v>
      </c>
      <c r="N3466">
        <v>-2.7275908008877088</v>
      </c>
    </row>
    <row r="3467" spans="1:14">
      <c r="A3467" t="s">
        <v>7</v>
      </c>
      <c r="B3467" s="2">
        <f t="shared" si="225"/>
        <v>167</v>
      </c>
      <c r="C3467">
        <v>1116</v>
      </c>
      <c r="D3467">
        <v>820</v>
      </c>
      <c r="E3467">
        <v>1381</v>
      </c>
      <c r="F3467">
        <f t="shared" si="222"/>
        <v>-2.3852704870040584E-2</v>
      </c>
      <c r="G3467">
        <f t="shared" si="223"/>
        <v>0.23182957464466208</v>
      </c>
      <c r="I3467">
        <f t="shared" si="226"/>
        <v>0.10398843488731074</v>
      </c>
      <c r="J3467">
        <v>1381</v>
      </c>
      <c r="K3467">
        <v>551</v>
      </c>
      <c r="L3467">
        <v>0.23182957464466208</v>
      </c>
      <c r="M3467">
        <f t="shared" si="224"/>
        <v>-0.11777250038768416</v>
      </c>
      <c r="N3467">
        <v>-2.3852704870040584E-2</v>
      </c>
    </row>
    <row r="3468" spans="1:14">
      <c r="A3468" t="s">
        <v>8</v>
      </c>
      <c r="B3468" s="2">
        <f t="shared" si="225"/>
        <v>167</v>
      </c>
      <c r="C3468">
        <v>632</v>
      </c>
      <c r="D3468">
        <v>208</v>
      </c>
      <c r="E3468">
        <v>483</v>
      </c>
      <c r="F3468">
        <f t="shared" si="222"/>
        <v>-0.37265610597182086</v>
      </c>
      <c r="G3468">
        <f t="shared" si="223"/>
        <v>2.2530143136717889E-2</v>
      </c>
      <c r="I3468">
        <f t="shared" si="226"/>
        <v>-0.1750629814175515</v>
      </c>
      <c r="J3468">
        <v>483</v>
      </c>
      <c r="K3468">
        <v>327</v>
      </c>
      <c r="L3468">
        <v>2.2530143136717889E-2</v>
      </c>
      <c r="M3468">
        <f t="shared" si="224"/>
        <v>-9.742923026000827E-2</v>
      </c>
      <c r="N3468">
        <v>-0.37265610597182086</v>
      </c>
    </row>
    <row r="3469" spans="1:14">
      <c r="A3469" t="s">
        <v>5</v>
      </c>
      <c r="B3469" s="2">
        <f t="shared" si="225"/>
        <v>167</v>
      </c>
      <c r="C3469">
        <v>455</v>
      </c>
      <c r="D3469">
        <v>1608</v>
      </c>
      <c r="E3469">
        <v>207</v>
      </c>
      <c r="F3469">
        <f t="shared" si="222"/>
        <v>0.65827228510312275</v>
      </c>
      <c r="G3469">
        <f t="shared" si="223"/>
        <v>-0.2027409605326039</v>
      </c>
      <c r="I3469">
        <f t="shared" si="226"/>
        <v>0.22776566228525941</v>
      </c>
      <c r="J3469">
        <v>207</v>
      </c>
      <c r="K3469">
        <v>900</v>
      </c>
      <c r="L3469">
        <v>-0.2027409605326039</v>
      </c>
      <c r="M3469">
        <f t="shared" si="224"/>
        <v>0.48497120814430317</v>
      </c>
      <c r="N3469">
        <v>0.65827228510312275</v>
      </c>
    </row>
    <row r="3470" spans="1:14">
      <c r="A3470" t="s">
        <v>6</v>
      </c>
      <c r="B3470" s="2">
        <f t="shared" si="225"/>
        <v>167</v>
      </c>
      <c r="C3470">
        <v>324</v>
      </c>
      <c r="D3470">
        <v>133</v>
      </c>
      <c r="E3470">
        <v>204</v>
      </c>
      <c r="F3470">
        <f t="shared" si="222"/>
        <v>-0.2766957318917237</v>
      </c>
      <c r="G3470">
        <f t="shared" si="223"/>
        <v>-6.1614752113122589E-2</v>
      </c>
      <c r="I3470">
        <f t="shared" si="226"/>
        <v>-0.16915524200242316</v>
      </c>
      <c r="J3470">
        <v>204</v>
      </c>
      <c r="K3470">
        <v>167</v>
      </c>
      <c r="L3470">
        <v>-6.1614752113122589E-2</v>
      </c>
      <c r="M3470">
        <f t="shared" si="224"/>
        <v>-9.90884436969382E-2</v>
      </c>
      <c r="N3470">
        <v>-0.2766957318917237</v>
      </c>
    </row>
    <row r="3471" spans="1:14">
      <c r="A3471" t="s">
        <v>10</v>
      </c>
      <c r="B3471" s="2">
        <f t="shared" si="225"/>
        <v>167</v>
      </c>
      <c r="C3471">
        <v>424</v>
      </c>
      <c r="D3471">
        <v>119</v>
      </c>
      <c r="E3471">
        <v>37</v>
      </c>
      <c r="F3471">
        <f t="shared" si="222"/>
        <v>-0.44182125785239923</v>
      </c>
      <c r="G3471">
        <f t="shared" si="223"/>
        <v>-0.91986404185814696</v>
      </c>
      <c r="I3471">
        <f t="shared" si="226"/>
        <v>-0.6808426498552731</v>
      </c>
      <c r="J3471">
        <v>37</v>
      </c>
      <c r="K3471">
        <v>50</v>
      </c>
      <c r="L3471">
        <v>-0.91986404185814696</v>
      </c>
      <c r="M3471">
        <f t="shared" si="224"/>
        <v>-0.73965575689462315</v>
      </c>
      <c r="N3471">
        <v>-0.44182125785239923</v>
      </c>
    </row>
    <row r="3472" spans="1:14">
      <c r="A3472" t="s">
        <v>11</v>
      </c>
      <c r="B3472" s="2">
        <f t="shared" si="225"/>
        <v>167</v>
      </c>
      <c r="C3472">
        <v>384</v>
      </c>
      <c r="D3472">
        <v>6</v>
      </c>
      <c r="E3472">
        <v>26</v>
      </c>
      <c r="F3472">
        <f t="shared" si="222"/>
        <v>-1.6961823366360844</v>
      </c>
      <c r="G3472">
        <f t="shared" si="223"/>
        <v>-1.0300577857291222</v>
      </c>
      <c r="I3472">
        <f t="shared" si="226"/>
        <v>-1.3631200611826033</v>
      </c>
      <c r="J3472">
        <v>26</v>
      </c>
      <c r="K3472">
        <v>41</v>
      </c>
      <c r="L3472">
        <v>-1.0300577857291222</v>
      </c>
      <c r="M3472">
        <f t="shared" si="224"/>
        <v>-0.78280727228570468</v>
      </c>
      <c r="N3472">
        <v>-1.6961823366360844</v>
      </c>
    </row>
    <row r="3473" spans="1:14">
      <c r="A3473" t="s">
        <v>12</v>
      </c>
      <c r="B3473" s="2">
        <f t="shared" si="225"/>
        <v>167</v>
      </c>
      <c r="C3473">
        <v>514</v>
      </c>
      <c r="D3473">
        <v>344</v>
      </c>
      <c r="E3473">
        <v>94</v>
      </c>
      <c r="F3473">
        <f t="shared" si="222"/>
        <v>-6.4407039075943015E-2</v>
      </c>
      <c r="G3473">
        <f t="shared" si="223"/>
        <v>-0.59853517472798634</v>
      </c>
      <c r="I3473">
        <f t="shared" si="226"/>
        <v>-0.33147110690196468</v>
      </c>
      <c r="J3473">
        <v>94</v>
      </c>
      <c r="K3473">
        <v>109</v>
      </c>
      <c r="L3473">
        <v>-0.59853517472798634</v>
      </c>
      <c r="M3473">
        <f t="shared" si="224"/>
        <v>-0.48479652569256138</v>
      </c>
      <c r="N3473">
        <v>-6.4407039075943015E-2</v>
      </c>
    </row>
    <row r="3474" spans="1:14">
      <c r="A3474" t="s">
        <v>9</v>
      </c>
      <c r="B3474" s="2">
        <f t="shared" si="225"/>
        <v>167</v>
      </c>
      <c r="C3474">
        <v>52</v>
      </c>
      <c r="D3474">
        <v>28</v>
      </c>
      <c r="E3474">
        <v>36</v>
      </c>
      <c r="F3474">
        <f t="shared" si="222"/>
        <v>-0.15884767494477731</v>
      </c>
      <c r="G3474">
        <f t="shared" si="223"/>
        <v>-2.0400752199921129E-2</v>
      </c>
      <c r="I3474">
        <f t="shared" si="226"/>
        <v>-8.9624213572349218E-2</v>
      </c>
      <c r="J3474">
        <v>36</v>
      </c>
      <c r="K3474">
        <v>36</v>
      </c>
      <c r="L3474">
        <v>-2.0400752199921129E-2</v>
      </c>
      <c r="M3474">
        <f t="shared" si="224"/>
        <v>2.9039252494578782E-2</v>
      </c>
      <c r="N3474">
        <v>-0.15884767494477731</v>
      </c>
    </row>
    <row r="3475" spans="1:14">
      <c r="A3475" t="s">
        <v>13</v>
      </c>
      <c r="B3475" s="2">
        <f t="shared" si="225"/>
        <v>167</v>
      </c>
      <c r="C3475">
        <v>407</v>
      </c>
      <c r="D3475">
        <v>108</v>
      </c>
      <c r="E3475">
        <v>62</v>
      </c>
      <c r="F3475">
        <f t="shared" ref="F3475:F3529" si="227">LOG10(D3475/C3475)-LOG10(128208/165163)</f>
        <v>-0.46617301639046771</v>
      </c>
      <c r="G3475">
        <f t="shared" ref="G3475:G3538" si="228">LOG10(E3475/C3475)-LOG10(119843/165163)</f>
        <v>-0.67790262905937537</v>
      </c>
      <c r="I3475">
        <f t="shared" si="226"/>
        <v>-0.57203782272492154</v>
      </c>
      <c r="J3475">
        <v>62</v>
      </c>
      <c r="K3475">
        <v>75</v>
      </c>
      <c r="L3475">
        <v>-0.67790262905937537</v>
      </c>
      <c r="M3475">
        <f t="shared" ref="M3475:M3529" si="229">LOG10(K3475/C3475)-LOG10(106948/165163)</f>
        <v>-0.54579305047142934</v>
      </c>
      <c r="N3475">
        <v>-0.46617301639046771</v>
      </c>
    </row>
    <row r="3476" spans="1:14">
      <c r="A3476" t="s">
        <v>14</v>
      </c>
      <c r="B3476" s="2">
        <f t="shared" si="225"/>
        <v>167</v>
      </c>
      <c r="C3476">
        <v>558</v>
      </c>
      <c r="D3476">
        <v>345</v>
      </c>
      <c r="E3476">
        <v>465</v>
      </c>
      <c r="F3476">
        <f t="shared" si="227"/>
        <v>-9.8817466516501987E-2</v>
      </c>
      <c r="G3476">
        <f t="shared" si="228"/>
        <v>6.0118844619965972E-2</v>
      </c>
      <c r="I3476">
        <f t="shared" si="226"/>
        <v>-1.9349310948268007E-2</v>
      </c>
      <c r="J3476">
        <v>465</v>
      </c>
      <c r="K3476">
        <v>99</v>
      </c>
      <c r="L3476">
        <v>6.0118844619965972E-2</v>
      </c>
      <c r="M3476">
        <f t="shared" si="229"/>
        <v>-0.56225890897793818</v>
      </c>
      <c r="N3476">
        <v>-9.8817466516501987E-2</v>
      </c>
    </row>
    <row r="3477" spans="1:14">
      <c r="A3477" t="s">
        <v>15</v>
      </c>
      <c r="B3477" s="2">
        <f t="shared" si="225"/>
        <v>167</v>
      </c>
      <c r="C3477">
        <v>1133</v>
      </c>
      <c r="D3477">
        <v>898</v>
      </c>
      <c r="E3477">
        <v>1099</v>
      </c>
      <c r="F3477">
        <f t="shared" si="227"/>
        <v>9.0440641517097742E-3</v>
      </c>
      <c r="G3477">
        <f t="shared" si="228"/>
        <v>0.12606787322768412</v>
      </c>
      <c r="I3477">
        <f t="shared" si="226"/>
        <v>6.7555968689696946E-2</v>
      </c>
      <c r="J3477">
        <v>1099</v>
      </c>
      <c r="K3477">
        <v>1721</v>
      </c>
      <c r="L3477">
        <v>0.12606787322768412</v>
      </c>
      <c r="M3477">
        <f t="shared" si="229"/>
        <v>0.37029105582625371</v>
      </c>
      <c r="N3477">
        <v>9.0440641517097742E-3</v>
      </c>
    </row>
    <row r="3478" spans="1:14">
      <c r="A3478" t="s">
        <v>16</v>
      </c>
      <c r="B3478" s="2">
        <f t="shared" si="225"/>
        <v>167</v>
      </c>
      <c r="C3478">
        <v>2120</v>
      </c>
      <c r="D3478">
        <v>299</v>
      </c>
      <c r="E3478">
        <v>694</v>
      </c>
      <c r="F3478">
        <f t="shared" si="227"/>
        <v>-0.74066703525651911</v>
      </c>
      <c r="G3478">
        <f t="shared" si="228"/>
        <v>-0.34567629980630576</v>
      </c>
      <c r="I3478">
        <f t="shared" si="226"/>
        <v>-0.54317166753141244</v>
      </c>
      <c r="J3478">
        <v>694</v>
      </c>
      <c r="K3478">
        <v>147</v>
      </c>
      <c r="L3478">
        <v>-0.34567629980630576</v>
      </c>
      <c r="M3478">
        <f t="shared" si="229"/>
        <v>-0.97027843081848475</v>
      </c>
      <c r="N3478">
        <v>-0.74066703525651911</v>
      </c>
    </row>
    <row r="3479" spans="1:14">
      <c r="A3479" t="s">
        <v>17</v>
      </c>
      <c r="B3479" s="2">
        <f t="shared" si="225"/>
        <v>167</v>
      </c>
      <c r="C3479">
        <v>686</v>
      </c>
      <c r="D3479">
        <v>436</v>
      </c>
      <c r="E3479">
        <v>458</v>
      </c>
      <c r="F3479">
        <f t="shared" si="227"/>
        <v>-8.6839989090363015E-2</v>
      </c>
      <c r="G3479">
        <f t="shared" si="228"/>
        <v>-3.6158547035291727E-2</v>
      </c>
      <c r="I3479">
        <f t="shared" si="226"/>
        <v>-6.1499268062827371E-2</v>
      </c>
      <c r="J3479">
        <v>458</v>
      </c>
      <c r="K3479">
        <v>1025</v>
      </c>
      <c r="L3479">
        <v>-3.6158547035291727E-2</v>
      </c>
      <c r="M3479">
        <f t="shared" si="229"/>
        <v>0.36313984504711211</v>
      </c>
      <c r="N3479">
        <v>-8.6839989090363015E-2</v>
      </c>
    </row>
    <row r="3480" spans="1:14">
      <c r="A3480" t="s">
        <v>18</v>
      </c>
      <c r="B3480" s="2">
        <f t="shared" si="225"/>
        <v>167</v>
      </c>
      <c r="C3480">
        <v>656</v>
      </c>
      <c r="D3480">
        <v>208</v>
      </c>
      <c r="E3480">
        <v>348</v>
      </c>
      <c r="F3480">
        <f t="shared" si="227"/>
        <v>-0.38884286706509608</v>
      </c>
      <c r="G3480">
        <f t="shared" si="228"/>
        <v>-0.13602450476148856</v>
      </c>
      <c r="I3480">
        <f t="shared" si="226"/>
        <v>-0.2624336859132923</v>
      </c>
      <c r="J3480">
        <v>348</v>
      </c>
      <c r="K3480">
        <v>266</v>
      </c>
      <c r="L3480">
        <v>-0.13602450476148856</v>
      </c>
      <c r="M3480">
        <f t="shared" si="229"/>
        <v>-0.20328210738250257</v>
      </c>
      <c r="N3480">
        <v>-0.38884286706509608</v>
      </c>
    </row>
    <row r="3481" spans="1:14">
      <c r="A3481" t="s">
        <v>19</v>
      </c>
      <c r="B3481" s="2">
        <f t="shared" si="225"/>
        <v>167</v>
      </c>
      <c r="C3481">
        <v>857</v>
      </c>
      <c r="D3481">
        <v>135</v>
      </c>
      <c r="E3481">
        <v>89</v>
      </c>
      <c r="F3481">
        <f t="shared" si="227"/>
        <v>-0.69264941608038944</v>
      </c>
      <c r="G3481">
        <f t="shared" si="228"/>
        <v>-0.84429072461069465</v>
      </c>
      <c r="I3481">
        <f t="shared" si="226"/>
        <v>-0.76847007034554204</v>
      </c>
      <c r="J3481">
        <v>89</v>
      </c>
      <c r="K3481">
        <v>92</v>
      </c>
      <c r="L3481">
        <v>-0.84429072461069465</v>
      </c>
      <c r="M3481">
        <f t="shared" si="229"/>
        <v>-0.78045289921555216</v>
      </c>
      <c r="N3481">
        <v>-0.69264941608038944</v>
      </c>
    </row>
    <row r="3482" spans="1:14">
      <c r="A3482" t="s">
        <v>20</v>
      </c>
      <c r="B3482" s="2">
        <f t="shared" si="225"/>
        <v>167</v>
      </c>
      <c r="C3482">
        <v>547</v>
      </c>
      <c r="D3482">
        <v>51</v>
      </c>
      <c r="E3482">
        <v>643</v>
      </c>
      <c r="F3482">
        <f t="shared" si="227"/>
        <v>-0.92041951288769175</v>
      </c>
      <c r="G3482">
        <f t="shared" si="228"/>
        <v>0.20952373725838211</v>
      </c>
      <c r="I3482">
        <f t="shared" si="226"/>
        <v>-0.35544788781465481</v>
      </c>
      <c r="J3482">
        <v>643</v>
      </c>
      <c r="K3482">
        <v>415</v>
      </c>
      <c r="L3482">
        <v>0.20952373725838211</v>
      </c>
      <c r="M3482">
        <f t="shared" si="229"/>
        <v>6.8800865740752656E-2</v>
      </c>
      <c r="N3482">
        <v>-0.92041951288769175</v>
      </c>
    </row>
    <row r="3483" spans="1:14">
      <c r="A3483" t="s">
        <v>21</v>
      </c>
      <c r="B3483" s="2">
        <f t="shared" si="225"/>
        <v>167</v>
      </c>
      <c r="C3483">
        <v>1014</v>
      </c>
      <c r="D3483">
        <v>281</v>
      </c>
      <c r="E3483">
        <v>357</v>
      </c>
      <c r="F3483">
        <f t="shared" si="227"/>
        <v>-0.44733399774443461</v>
      </c>
      <c r="G3483">
        <f t="shared" si="228"/>
        <v>-0.31406964821753314</v>
      </c>
      <c r="I3483">
        <f t="shared" si="226"/>
        <v>-0.38070182298098387</v>
      </c>
      <c r="J3483">
        <v>357</v>
      </c>
      <c r="K3483">
        <v>477</v>
      </c>
      <c r="L3483">
        <v>-0.31406964821753314</v>
      </c>
      <c r="M3483">
        <f t="shared" si="229"/>
        <v>-0.13877948059511253</v>
      </c>
      <c r="N3483">
        <v>-0.44733399774443461</v>
      </c>
    </row>
    <row r="3484" spans="1:14">
      <c r="A3484" t="s">
        <v>22</v>
      </c>
      <c r="B3484" s="2">
        <f t="shared" si="225"/>
        <v>167</v>
      </c>
      <c r="C3484">
        <v>286</v>
      </c>
      <c r="D3484">
        <v>83</v>
      </c>
      <c r="E3484">
        <v>17</v>
      </c>
      <c r="F3484">
        <f t="shared" si="227"/>
        <v>-0.42729030340516649</v>
      </c>
      <c r="G3484">
        <f t="shared" si="228"/>
        <v>-1.0866170210831783</v>
      </c>
      <c r="I3484">
        <f t="shared" si="226"/>
        <v>-0.75695366224417238</v>
      </c>
      <c r="J3484">
        <v>17</v>
      </c>
      <c r="K3484">
        <v>32</v>
      </c>
      <c r="L3484">
        <v>-1.0866170210831783</v>
      </c>
      <c r="M3484">
        <f t="shared" si="229"/>
        <v>-0.76247595944704638</v>
      </c>
      <c r="N3484">
        <v>-0.42729030340516649</v>
      </c>
    </row>
    <row r="3485" spans="1:14">
      <c r="A3485" t="s">
        <v>23</v>
      </c>
      <c r="B3485" s="2">
        <f t="shared" si="225"/>
        <v>167</v>
      </c>
      <c r="C3485">
        <v>299</v>
      </c>
      <c r="D3485">
        <v>51</v>
      </c>
      <c r="E3485">
        <v>27</v>
      </c>
      <c r="F3485">
        <f t="shared" si="227"/>
        <v>-0.65810337487869064</v>
      </c>
      <c r="G3485">
        <f t="shared" si="228"/>
        <v>-0.90500733349785167</v>
      </c>
      <c r="I3485">
        <f t="shared" si="226"/>
        <v>-0.78155535418827116</v>
      </c>
      <c r="J3485">
        <v>27</v>
      </c>
      <c r="K3485">
        <v>11</v>
      </c>
      <c r="L3485">
        <v>-0.90500733349785167</v>
      </c>
      <c r="M3485">
        <f t="shared" si="229"/>
        <v>-1.2455384078041138</v>
      </c>
      <c r="N3485">
        <v>-0.65810337487869064</v>
      </c>
    </row>
    <row r="3486" spans="1:14">
      <c r="A3486" t="s">
        <v>24</v>
      </c>
      <c r="B3486" s="2">
        <f t="shared" si="225"/>
        <v>167</v>
      </c>
      <c r="C3486">
        <v>663</v>
      </c>
      <c r="D3486">
        <v>58</v>
      </c>
      <c r="E3486">
        <v>192</v>
      </c>
      <c r="F3486">
        <f t="shared" si="227"/>
        <v>-0.94808789749403322</v>
      </c>
      <c r="G3486">
        <f t="shared" si="228"/>
        <v>-0.39891220903363278</v>
      </c>
      <c r="I3486">
        <f t="shared" si="226"/>
        <v>-0.673500053263833</v>
      </c>
      <c r="J3486">
        <v>192</v>
      </c>
      <c r="K3486">
        <v>151</v>
      </c>
      <c r="L3486">
        <v>-0.39891220903363278</v>
      </c>
      <c r="M3486">
        <f t="shared" si="229"/>
        <v>-0.45379648574951303</v>
      </c>
      <c r="N3486">
        <v>-0.94808789749403322</v>
      </c>
    </row>
    <row r="3487" spans="1:14">
      <c r="A3487" t="s">
        <v>25</v>
      </c>
      <c r="B3487" s="2">
        <f t="shared" si="225"/>
        <v>167</v>
      </c>
      <c r="C3487">
        <v>588</v>
      </c>
      <c r="D3487">
        <v>11</v>
      </c>
      <c r="E3487">
        <v>34</v>
      </c>
      <c r="F3487">
        <f t="shared" si="227"/>
        <v>-1.6179870035701107</v>
      </c>
      <c r="G3487">
        <f t="shared" si="228"/>
        <v>-1.0985983183662926</v>
      </c>
      <c r="I3487">
        <f t="shared" si="226"/>
        <v>-1.3582926609682016</v>
      </c>
      <c r="J3487">
        <v>34</v>
      </c>
      <c r="K3487">
        <v>72</v>
      </c>
      <c r="L3487">
        <v>-1.0985983183662926</v>
      </c>
      <c r="M3487">
        <f t="shared" si="229"/>
        <v>-0.7233047342827793</v>
      </c>
      <c r="N3487">
        <v>-1.6179870035701107</v>
      </c>
    </row>
    <row r="3488" spans="1:14">
      <c r="A3488" t="s">
        <v>7</v>
      </c>
      <c r="B3488" s="2">
        <f t="shared" si="225"/>
        <v>168</v>
      </c>
      <c r="C3488">
        <v>309</v>
      </c>
      <c r="D3488">
        <v>0</v>
      </c>
      <c r="E3488">
        <v>10</v>
      </c>
      <c r="F3488" t="e">
        <f t="shared" si="227"/>
        <v>#NUM!</v>
      </c>
      <c r="G3488">
        <f t="shared" si="228"/>
        <v>-1.3506583887572439</v>
      </c>
      <c r="I3488" t="e">
        <f t="shared" si="226"/>
        <v>#NUM!</v>
      </c>
      <c r="J3488">
        <v>10</v>
      </c>
      <c r="K3488">
        <v>6</v>
      </c>
      <c r="L3488">
        <v>-1.3506583887572439</v>
      </c>
      <c r="M3488">
        <f t="shared" si="229"/>
        <v>-1.5230671336791004</v>
      </c>
      <c r="N3488" t="e">
        <v>#NUM!</v>
      </c>
    </row>
    <row r="3489" spans="1:14">
      <c r="A3489" t="s">
        <v>8</v>
      </c>
      <c r="B3489" s="2">
        <f t="shared" si="225"/>
        <v>168</v>
      </c>
      <c r="C3489">
        <v>176</v>
      </c>
      <c r="D3489">
        <v>1</v>
      </c>
      <c r="E3489">
        <v>97</v>
      </c>
      <c r="F3489">
        <f t="shared" si="227"/>
        <v>-2.1355150304663475</v>
      </c>
      <c r="G3489">
        <f t="shared" si="228"/>
        <v>-0.11944084288031417</v>
      </c>
      <c r="I3489">
        <f t="shared" si="226"/>
        <v>-1.1274779366733307</v>
      </c>
      <c r="J3489">
        <v>97</v>
      </c>
      <c r="K3489">
        <v>56</v>
      </c>
      <c r="L3489">
        <v>-0.11944084288031417</v>
      </c>
      <c r="M3489">
        <f t="shared" si="229"/>
        <v>-0.30858454544585873</v>
      </c>
      <c r="N3489">
        <v>-2.1355150304663475</v>
      </c>
    </row>
    <row r="3490" spans="1:14">
      <c r="A3490" t="s">
        <v>5</v>
      </c>
      <c r="B3490" s="2">
        <f t="shared" si="225"/>
        <v>168</v>
      </c>
      <c r="C3490">
        <v>344</v>
      </c>
      <c r="D3490">
        <v>8</v>
      </c>
      <c r="E3490">
        <v>19</v>
      </c>
      <c r="F3490">
        <f t="shared" si="227"/>
        <v>-1.523470818231784</v>
      </c>
      <c r="G3490">
        <f t="shared" si="228"/>
        <v>-1.1185047509511103</v>
      </c>
      <c r="I3490">
        <f t="shared" si="226"/>
        <v>-1.3209877845914471</v>
      </c>
      <c r="J3490">
        <v>19</v>
      </c>
      <c r="K3490">
        <v>6</v>
      </c>
      <c r="L3490">
        <v>-1.1185047509511103</v>
      </c>
      <c r="M3490">
        <f t="shared" si="229"/>
        <v>-1.5696670968257957</v>
      </c>
      <c r="N3490">
        <v>-1.523470818231784</v>
      </c>
    </row>
    <row r="3491" spans="1:14">
      <c r="A3491" t="s">
        <v>6</v>
      </c>
      <c r="B3491" s="2">
        <f t="shared" si="225"/>
        <v>168</v>
      </c>
      <c r="C3491">
        <v>197</v>
      </c>
      <c r="D3491">
        <v>4</v>
      </c>
      <c r="E3491">
        <v>3</v>
      </c>
      <c r="F3491">
        <f t="shared" si="227"/>
        <v>-1.582408597485828</v>
      </c>
      <c r="G3491">
        <f t="shared" si="228"/>
        <v>-1.6780448807743398</v>
      </c>
      <c r="I3491">
        <f t="shared" si="226"/>
        <v>-1.6302267391300838</v>
      </c>
      <c r="J3491">
        <v>3</v>
      </c>
      <c r="K3491">
        <v>3</v>
      </c>
      <c r="L3491">
        <v>-1.6780448807743398</v>
      </c>
      <c r="M3491">
        <f t="shared" si="229"/>
        <v>-1.6286048760798399</v>
      </c>
      <c r="N3491">
        <v>-1.582408597485828</v>
      </c>
    </row>
    <row r="3492" spans="1:14">
      <c r="A3492" t="s">
        <v>10</v>
      </c>
      <c r="B3492" s="2">
        <f t="shared" si="225"/>
        <v>168</v>
      </c>
      <c r="C3492">
        <v>471</v>
      </c>
      <c r="D3492">
        <v>3</v>
      </c>
      <c r="E3492">
        <v>132</v>
      </c>
      <c r="F3492">
        <f t="shared" si="227"/>
        <v>-2.0859020150614311</v>
      </c>
      <c r="G3492">
        <f t="shared" si="228"/>
        <v>-0.41314688525545562</v>
      </c>
      <c r="I3492">
        <f t="shared" si="226"/>
        <v>-1.2495244501584435</v>
      </c>
      <c r="J3492">
        <v>132</v>
      </c>
      <c r="K3492">
        <v>24</v>
      </c>
      <c r="L3492">
        <v>-0.41314688525545562</v>
      </c>
      <c r="M3492">
        <f t="shared" si="229"/>
        <v>-1.1040695700551995</v>
      </c>
      <c r="N3492">
        <v>-2.0859020150614311</v>
      </c>
    </row>
    <row r="3493" spans="1:14">
      <c r="A3493" t="s">
        <v>11</v>
      </c>
      <c r="B3493" s="2">
        <f t="shared" si="225"/>
        <v>168</v>
      </c>
      <c r="C3493">
        <v>457</v>
      </c>
      <c r="D3493">
        <v>4</v>
      </c>
      <c r="E3493">
        <v>52</v>
      </c>
      <c r="F3493">
        <f t="shared" si="227"/>
        <v>-1.9478585713940852</v>
      </c>
      <c r="G3493">
        <f t="shared" si="228"/>
        <v>-0.80461276576746033</v>
      </c>
      <c r="I3493">
        <f t="shared" si="226"/>
        <v>-1.3762356685807728</v>
      </c>
      <c r="J3493">
        <v>52</v>
      </c>
      <c r="K3493">
        <v>22</v>
      </c>
      <c r="L3493">
        <v>-0.80461276576746033</v>
      </c>
      <c r="M3493">
        <f t="shared" si="229"/>
        <v>-1.1287534238855534</v>
      </c>
      <c r="N3493">
        <v>-1.9478585713940852</v>
      </c>
    </row>
    <row r="3494" spans="1:14">
      <c r="A3494" t="s">
        <v>12</v>
      </c>
      <c r="B3494" s="2">
        <f t="shared" si="225"/>
        <v>168</v>
      </c>
      <c r="C3494">
        <v>208</v>
      </c>
      <c r="D3494">
        <v>2</v>
      </c>
      <c r="E3494">
        <v>3</v>
      </c>
      <c r="F3494">
        <f t="shared" si="227"/>
        <v>-1.9070357019509776</v>
      </c>
      <c r="G3494">
        <f t="shared" si="228"/>
        <v>-1.7016419895755084</v>
      </c>
      <c r="I3494">
        <f t="shared" si="226"/>
        <v>-1.804338845763243</v>
      </c>
      <c r="J3494">
        <v>3</v>
      </c>
      <c r="K3494">
        <v>10</v>
      </c>
      <c r="L3494">
        <v>-1.7016419895755084</v>
      </c>
      <c r="M3494">
        <f t="shared" si="229"/>
        <v>-1.1293232396006707</v>
      </c>
      <c r="N3494">
        <v>-1.9070357019509776</v>
      </c>
    </row>
    <row r="3495" spans="1:14">
      <c r="A3495" t="s">
        <v>9</v>
      </c>
      <c r="B3495" s="2">
        <f t="shared" si="225"/>
        <v>168</v>
      </c>
      <c r="C3495">
        <v>314</v>
      </c>
      <c r="D3495">
        <v>4</v>
      </c>
      <c r="E3495">
        <v>76</v>
      </c>
      <c r="F3495">
        <f t="shared" si="227"/>
        <v>-1.7848720193974499</v>
      </c>
      <c r="G3495">
        <f t="shared" si="228"/>
        <v>-0.47681596512483282</v>
      </c>
      <c r="I3495">
        <f t="shared" si="226"/>
        <v>-1.1308439922611413</v>
      </c>
      <c r="J3495">
        <v>76</v>
      </c>
      <c r="K3495">
        <v>63</v>
      </c>
      <c r="L3495">
        <v>-0.47681596512483282</v>
      </c>
      <c r="M3495">
        <f t="shared" si="229"/>
        <v>-0.50884900325754256</v>
      </c>
      <c r="N3495">
        <v>-1.7848720193974499</v>
      </c>
    </row>
    <row r="3496" spans="1:14">
      <c r="A3496" t="s">
        <v>13</v>
      </c>
      <c r="B3496" s="2">
        <f t="shared" si="225"/>
        <v>168</v>
      </c>
      <c r="C3496">
        <v>203</v>
      </c>
      <c r="D3496">
        <v>4</v>
      </c>
      <c r="E3496">
        <v>129</v>
      </c>
      <c r="F3496">
        <f t="shared" si="227"/>
        <v>-1.5954384092374478</v>
      </c>
      <c r="G3496">
        <f t="shared" si="228"/>
        <v>-5.7606236946373179E-2</v>
      </c>
      <c r="I3496">
        <f t="shared" si="226"/>
        <v>-0.82652232309191054</v>
      </c>
      <c r="J3496">
        <v>129</v>
      </c>
      <c r="K3496">
        <v>8</v>
      </c>
      <c r="L3496">
        <v>-5.7606236946373179E-2</v>
      </c>
      <c r="M3496">
        <f t="shared" si="229"/>
        <v>-1.2156659555591784</v>
      </c>
      <c r="N3496">
        <v>-1.5954384092374478</v>
      </c>
    </row>
    <row r="3497" spans="1:14">
      <c r="A3497" t="s">
        <v>14</v>
      </c>
      <c r="B3497" s="2">
        <f t="shared" si="225"/>
        <v>168</v>
      </c>
      <c r="C3497">
        <v>100</v>
      </c>
      <c r="D3497">
        <v>1</v>
      </c>
      <c r="E3497">
        <v>14</v>
      </c>
      <c r="F3497">
        <f t="shared" si="227"/>
        <v>-1.8900023626521973</v>
      </c>
      <c r="G3497">
        <f t="shared" si="228"/>
        <v>-0.71457187365417119</v>
      </c>
      <c r="I3497">
        <f t="shared" si="226"/>
        <v>-1.3022871181531843</v>
      </c>
      <c r="J3497">
        <v>14</v>
      </c>
      <c r="K3497">
        <v>3</v>
      </c>
      <c r="L3497">
        <v>-0.71457187365417119</v>
      </c>
      <c r="M3497">
        <f t="shared" si="229"/>
        <v>-1.334138649918247</v>
      </c>
      <c r="N3497">
        <v>-1.8900023626521973</v>
      </c>
    </row>
    <row r="3498" spans="1:14">
      <c r="A3498" t="s">
        <v>15</v>
      </c>
      <c r="B3498" s="2">
        <f t="shared" si="225"/>
        <v>168</v>
      </c>
      <c r="C3498">
        <v>431</v>
      </c>
      <c r="D3498">
        <v>7</v>
      </c>
      <c r="E3498">
        <v>893</v>
      </c>
      <c r="F3498">
        <f t="shared" si="227"/>
        <v>-1.6793815927986722</v>
      </c>
      <c r="G3498">
        <f t="shared" si="228"/>
        <v>0.45567427939540561</v>
      </c>
      <c r="I3498">
        <f t="shared" si="226"/>
        <v>-0.61185365670163328</v>
      </c>
      <c r="J3498">
        <v>893</v>
      </c>
      <c r="K3498">
        <v>324</v>
      </c>
      <c r="L3498">
        <v>0.45567427939540561</v>
      </c>
      <c r="M3498">
        <f t="shared" si="229"/>
        <v>6.4807835407971234E-2</v>
      </c>
      <c r="N3498">
        <v>-1.6793815927986722</v>
      </c>
    </row>
    <row r="3499" spans="1:14">
      <c r="A3499" t="s">
        <v>16</v>
      </c>
      <c r="B3499" s="2">
        <f t="shared" si="225"/>
        <v>168</v>
      </c>
      <c r="C3499">
        <v>569</v>
      </c>
      <c r="D3499">
        <v>6</v>
      </c>
      <c r="E3499">
        <v>20</v>
      </c>
      <c r="F3499">
        <f t="shared" si="227"/>
        <v>-1.8669633786636248</v>
      </c>
      <c r="G3499">
        <f t="shared" si="228"/>
        <v>-1.3147821800634991</v>
      </c>
      <c r="I3499">
        <f t="shared" si="226"/>
        <v>-1.590872779363562</v>
      </c>
      <c r="J3499">
        <v>20</v>
      </c>
      <c r="K3499">
        <v>14</v>
      </c>
      <c r="L3499">
        <v>-1.3147821800634991</v>
      </c>
      <c r="M3499">
        <f t="shared" si="229"/>
        <v>-1.4202441353547424</v>
      </c>
      <c r="N3499">
        <v>-1.8669633786636248</v>
      </c>
    </row>
    <row r="3500" spans="1:14">
      <c r="A3500" t="s">
        <v>17</v>
      </c>
      <c r="B3500" s="2">
        <f t="shared" si="225"/>
        <v>168</v>
      </c>
      <c r="C3500">
        <v>165163</v>
      </c>
      <c r="D3500">
        <v>128208</v>
      </c>
      <c r="E3500">
        <v>119843</v>
      </c>
      <c r="F3500">
        <f t="shared" si="227"/>
        <v>0</v>
      </c>
      <c r="G3500">
        <f t="shared" si="228"/>
        <v>0</v>
      </c>
      <c r="I3500">
        <f t="shared" si="226"/>
        <v>0</v>
      </c>
      <c r="J3500">
        <v>119843</v>
      </c>
      <c r="K3500">
        <v>106948</v>
      </c>
      <c r="L3500">
        <v>0</v>
      </c>
      <c r="M3500">
        <f t="shared" si="229"/>
        <v>0</v>
      </c>
      <c r="N3500">
        <v>0</v>
      </c>
    </row>
    <row r="3501" spans="1:14">
      <c r="A3501" t="s">
        <v>18</v>
      </c>
      <c r="B3501" s="2">
        <f t="shared" si="225"/>
        <v>168</v>
      </c>
      <c r="C3501">
        <v>466</v>
      </c>
      <c r="D3501">
        <v>2</v>
      </c>
      <c r="E3501">
        <v>547</v>
      </c>
      <c r="F3501">
        <f t="shared" si="227"/>
        <v>-2.2573582836782164</v>
      </c>
      <c r="G3501">
        <f t="shared" si="228"/>
        <v>0.20890150031102139</v>
      </c>
      <c r="I3501">
        <f t="shared" si="226"/>
        <v>-1.0242283916835975</v>
      </c>
      <c r="J3501">
        <v>547</v>
      </c>
      <c r="K3501">
        <v>97</v>
      </c>
      <c r="L3501">
        <v>0.20890150031102139</v>
      </c>
      <c r="M3501">
        <f t="shared" si="229"/>
        <v>-0.49287408706166469</v>
      </c>
      <c r="N3501">
        <v>-2.2573582836782164</v>
      </c>
    </row>
    <row r="3502" spans="1:14">
      <c r="A3502" t="s">
        <v>19</v>
      </c>
      <c r="B3502" s="2">
        <f t="shared" si="225"/>
        <v>168</v>
      </c>
      <c r="C3502">
        <v>470</v>
      </c>
      <c r="D3502">
        <v>6</v>
      </c>
      <c r="E3502">
        <v>197</v>
      </c>
      <c r="F3502">
        <f t="shared" si="227"/>
        <v>-1.7839489702042712</v>
      </c>
      <c r="G3502">
        <f t="shared" si="228"/>
        <v>-0.23833154110653379</v>
      </c>
      <c r="I3502">
        <f t="shared" si="226"/>
        <v>-1.0111402556554026</v>
      </c>
      <c r="J3502">
        <v>197</v>
      </c>
      <c r="K3502">
        <v>114</v>
      </c>
      <c r="L3502">
        <v>-0.23833154110653379</v>
      </c>
      <c r="M3502">
        <f t="shared" si="229"/>
        <v>-0.42645291123715423</v>
      </c>
      <c r="N3502">
        <v>-1.7839489702042712</v>
      </c>
    </row>
    <row r="3503" spans="1:14">
      <c r="A3503" t="s">
        <v>20</v>
      </c>
      <c r="B3503" s="2">
        <f t="shared" si="225"/>
        <v>168</v>
      </c>
      <c r="C3503">
        <v>598</v>
      </c>
      <c r="D3503">
        <v>71</v>
      </c>
      <c r="E3503">
        <v>306</v>
      </c>
      <c r="F3503">
        <f t="shared" si="227"/>
        <v>-0.81544519792153292</v>
      </c>
      <c r="G3503">
        <f t="shared" si="228"/>
        <v>-0.15167966683924008</v>
      </c>
      <c r="I3503">
        <f t="shared" si="226"/>
        <v>-0.48356243238038649</v>
      </c>
      <c r="J3503">
        <v>306</v>
      </c>
      <c r="K3503">
        <v>360</v>
      </c>
      <c r="L3503">
        <v>-0.15167966683924008</v>
      </c>
      <c r="M3503">
        <f t="shared" si="229"/>
        <v>-3.1658587859032861E-2</v>
      </c>
      <c r="N3503">
        <v>-0.81544519792153292</v>
      </c>
    </row>
    <row r="3504" spans="1:14">
      <c r="A3504" t="s">
        <v>21</v>
      </c>
      <c r="B3504" s="2">
        <f t="shared" si="225"/>
        <v>168</v>
      </c>
      <c r="C3504">
        <v>266</v>
      </c>
      <c r="D3504">
        <v>17</v>
      </c>
      <c r="E3504">
        <v>15</v>
      </c>
      <c r="F3504">
        <f t="shared" si="227"/>
        <v>-1.0844350779049905</v>
      </c>
      <c r="G3504">
        <f t="shared" si="228"/>
        <v>-1.1094902869077949</v>
      </c>
      <c r="I3504">
        <f t="shared" si="226"/>
        <v>-1.0969626824063927</v>
      </c>
      <c r="J3504">
        <v>15</v>
      </c>
      <c r="K3504">
        <v>15</v>
      </c>
      <c r="L3504">
        <v>-1.1094902869077949</v>
      </c>
      <c r="M3504">
        <f t="shared" si="229"/>
        <v>-1.0600502822132949</v>
      </c>
      <c r="N3504">
        <v>-1.0844350779049905</v>
      </c>
    </row>
    <row r="3505" spans="1:14">
      <c r="A3505" t="s">
        <v>22</v>
      </c>
      <c r="B3505" s="2">
        <f t="shared" si="225"/>
        <v>168</v>
      </c>
      <c r="C3505">
        <v>254</v>
      </c>
      <c r="D3505">
        <v>1</v>
      </c>
      <c r="E3505">
        <v>142</v>
      </c>
      <c r="F3505">
        <f t="shared" si="227"/>
        <v>-2.2948360792721356</v>
      </c>
      <c r="G3505">
        <f t="shared" si="228"/>
        <v>-0.11324528156929078</v>
      </c>
      <c r="I3505">
        <f t="shared" si="226"/>
        <v>-1.2040406804207131</v>
      </c>
      <c r="J3505">
        <v>142</v>
      </c>
      <c r="K3505">
        <v>11</v>
      </c>
      <c r="L3505">
        <v>-0.11324528156929078</v>
      </c>
      <c r="M3505">
        <f t="shared" si="229"/>
        <v>-1.1747009360996223</v>
      </c>
      <c r="N3505">
        <v>-2.2948360792721356</v>
      </c>
    </row>
    <row r="3506" spans="1:14">
      <c r="A3506" t="s">
        <v>23</v>
      </c>
      <c r="B3506" s="2">
        <f t="shared" si="225"/>
        <v>168</v>
      </c>
      <c r="C3506">
        <v>328</v>
      </c>
      <c r="D3506">
        <v>6</v>
      </c>
      <c r="E3506">
        <v>9</v>
      </c>
      <c r="F3506">
        <f t="shared" si="227"/>
        <v>-1.6277249559802329</v>
      </c>
      <c r="G3506">
        <f t="shared" si="228"/>
        <v>-1.4223312436047635</v>
      </c>
      <c r="I3506">
        <f t="shared" si="226"/>
        <v>-1.5250280997924981</v>
      </c>
      <c r="J3506">
        <v>9</v>
      </c>
      <c r="K3506">
        <v>24</v>
      </c>
      <c r="L3506">
        <v>-1.4223312436047635</v>
      </c>
      <c r="M3506">
        <f t="shared" si="229"/>
        <v>-0.94692250663798239</v>
      </c>
      <c r="N3506">
        <v>-1.6277249559802329</v>
      </c>
    </row>
    <row r="3507" spans="1:14">
      <c r="A3507" t="s">
        <v>24</v>
      </c>
      <c r="B3507" s="2">
        <f t="shared" si="225"/>
        <v>168</v>
      </c>
      <c r="C3507">
        <v>1091</v>
      </c>
      <c r="D3507">
        <v>9</v>
      </c>
      <c r="E3507">
        <v>194</v>
      </c>
      <c r="F3507">
        <f t="shared" si="227"/>
        <v>-1.9735846038012144</v>
      </c>
      <c r="G3507">
        <f t="shared" si="228"/>
        <v>-0.61072292999052502</v>
      </c>
      <c r="I3507">
        <f t="shared" si="226"/>
        <v>-1.2921537668958698</v>
      </c>
      <c r="J3507">
        <v>194</v>
      </c>
      <c r="K3507">
        <v>176</v>
      </c>
      <c r="L3507">
        <v>-0.61072292999052502</v>
      </c>
      <c r="M3507">
        <f t="shared" si="229"/>
        <v>-0.60357198741210139</v>
      </c>
      <c r="N3507">
        <v>-1.9735846038012144</v>
      </c>
    </row>
    <row r="3508" spans="1:14">
      <c r="A3508" t="s">
        <v>25</v>
      </c>
      <c r="B3508" s="2">
        <f t="shared" si="225"/>
        <v>168</v>
      </c>
      <c r="C3508">
        <v>1518</v>
      </c>
      <c r="D3508">
        <v>50</v>
      </c>
      <c r="E3508">
        <v>825</v>
      </c>
      <c r="F3508">
        <f t="shared" si="227"/>
        <v>-1.37230412987564</v>
      </c>
      <c r="G3508">
        <f t="shared" si="228"/>
        <v>-0.12551773234194571</v>
      </c>
      <c r="I3508">
        <f t="shared" si="226"/>
        <v>-0.74891093110879281</v>
      </c>
      <c r="J3508">
        <v>825</v>
      </c>
      <c r="K3508">
        <v>1447</v>
      </c>
      <c r="L3508">
        <v>-0.12551773234194571</v>
      </c>
      <c r="M3508">
        <f t="shared" si="229"/>
        <v>0.1679368549216666</v>
      </c>
      <c r="N3508">
        <v>-1.37230412987564</v>
      </c>
    </row>
    <row r="3509" spans="1:14">
      <c r="A3509" t="s">
        <v>7</v>
      </c>
      <c r="B3509" s="2">
        <f t="shared" si="225"/>
        <v>169</v>
      </c>
      <c r="C3509">
        <v>19</v>
      </c>
      <c r="D3509">
        <v>2</v>
      </c>
      <c r="E3509">
        <v>0</v>
      </c>
      <c r="F3509">
        <f t="shared" si="227"/>
        <v>-0.86772596794104517</v>
      </c>
      <c r="G3509" t="e">
        <f t="shared" si="228"/>
        <v>#NUM!</v>
      </c>
      <c r="I3509" t="e">
        <f t="shared" si="226"/>
        <v>#NUM!</v>
      </c>
      <c r="J3509">
        <v>0</v>
      </c>
      <c r="K3509">
        <v>0</v>
      </c>
      <c r="L3509" t="e">
        <v>#NUM!</v>
      </c>
      <c r="M3509" t="e">
        <f t="shared" si="229"/>
        <v>#NUM!</v>
      </c>
      <c r="N3509">
        <v>-0.86772596794104517</v>
      </c>
    </row>
    <row r="3510" spans="1:14">
      <c r="A3510" t="s">
        <v>8</v>
      </c>
      <c r="B3510" s="2">
        <f t="shared" si="225"/>
        <v>169</v>
      </c>
      <c r="C3510">
        <v>25</v>
      </c>
      <c r="D3510">
        <v>0</v>
      </c>
      <c r="E3510">
        <v>0</v>
      </c>
      <c r="F3510" t="e">
        <f t="shared" si="227"/>
        <v>#NUM!</v>
      </c>
      <c r="G3510" t="e">
        <f t="shared" si="228"/>
        <v>#NUM!</v>
      </c>
      <c r="I3510" t="e">
        <f t="shared" si="226"/>
        <v>#NUM!</v>
      </c>
      <c r="J3510">
        <v>0</v>
      </c>
      <c r="K3510">
        <v>0</v>
      </c>
      <c r="L3510" t="e">
        <v>#NUM!</v>
      </c>
      <c r="M3510" t="e">
        <f t="shared" si="229"/>
        <v>#NUM!</v>
      </c>
      <c r="N3510" t="e">
        <v>#NUM!</v>
      </c>
    </row>
    <row r="3511" spans="1:14">
      <c r="A3511" t="s">
        <v>5</v>
      </c>
      <c r="B3511" s="2">
        <f t="shared" si="225"/>
        <v>169</v>
      </c>
      <c r="C3511">
        <v>0</v>
      </c>
      <c r="D3511">
        <v>0</v>
      </c>
      <c r="E3511">
        <v>0</v>
      </c>
      <c r="F3511" t="e">
        <f t="shared" si="227"/>
        <v>#DIV/0!</v>
      </c>
      <c r="G3511" t="e">
        <f t="shared" si="228"/>
        <v>#DIV/0!</v>
      </c>
      <c r="I3511" t="e">
        <f t="shared" si="226"/>
        <v>#DIV/0!</v>
      </c>
      <c r="J3511">
        <v>0</v>
      </c>
      <c r="K3511">
        <v>1</v>
      </c>
      <c r="L3511" t="e">
        <v>#DIV/0!</v>
      </c>
      <c r="M3511" t="e">
        <f t="shared" si="229"/>
        <v>#DIV/0!</v>
      </c>
      <c r="N3511" t="e">
        <v>#DIV/0!</v>
      </c>
    </row>
    <row r="3512" spans="1:14">
      <c r="A3512" t="s">
        <v>6</v>
      </c>
      <c r="B3512" s="2">
        <f t="shared" si="225"/>
        <v>169</v>
      </c>
      <c r="C3512">
        <v>13</v>
      </c>
      <c r="D3512">
        <v>0</v>
      </c>
      <c r="E3512">
        <v>0</v>
      </c>
      <c r="F3512" t="e">
        <f t="shared" si="227"/>
        <v>#NUM!</v>
      </c>
      <c r="G3512" t="e">
        <f t="shared" si="228"/>
        <v>#NUM!</v>
      </c>
      <c r="I3512" t="e">
        <f t="shared" si="226"/>
        <v>#NUM!</v>
      </c>
      <c r="J3512">
        <v>0</v>
      </c>
      <c r="K3512">
        <v>0</v>
      </c>
      <c r="L3512" t="e">
        <v>#NUM!</v>
      </c>
      <c r="M3512" t="e">
        <f t="shared" si="229"/>
        <v>#NUM!</v>
      </c>
      <c r="N3512" t="e">
        <v>#NUM!</v>
      </c>
    </row>
    <row r="3513" spans="1:14">
      <c r="A3513" t="s">
        <v>10</v>
      </c>
      <c r="B3513" s="2">
        <f t="shared" si="225"/>
        <v>169</v>
      </c>
      <c r="C3513">
        <v>108</v>
      </c>
      <c r="D3513">
        <v>0</v>
      </c>
      <c r="E3513">
        <v>2</v>
      </c>
      <c r="F3513" t="e">
        <f t="shared" si="227"/>
        <v>#NUM!</v>
      </c>
      <c r="G3513">
        <f t="shared" si="228"/>
        <v>-1.5930936691553779</v>
      </c>
      <c r="I3513" t="e">
        <f t="shared" si="226"/>
        <v>#NUM!</v>
      </c>
      <c r="J3513">
        <v>2</v>
      </c>
      <c r="K3513">
        <v>4</v>
      </c>
      <c r="L3513">
        <v>-1.5930936691553779</v>
      </c>
      <c r="M3513">
        <f t="shared" si="229"/>
        <v>-1.2426236687968966</v>
      </c>
      <c r="N3513" t="e">
        <v>#NUM!</v>
      </c>
    </row>
    <row r="3514" spans="1:14">
      <c r="A3514" t="s">
        <v>11</v>
      </c>
      <c r="B3514" s="2">
        <f t="shared" si="225"/>
        <v>169</v>
      </c>
      <c r="C3514">
        <v>258</v>
      </c>
      <c r="D3514">
        <v>3</v>
      </c>
      <c r="E3514">
        <v>8</v>
      </c>
      <c r="F3514">
        <f t="shared" si="227"/>
        <v>-1.824500813895765</v>
      </c>
      <c r="G3514">
        <f t="shared" si="228"/>
        <v>-1.3692296283036958</v>
      </c>
      <c r="I3514">
        <f t="shared" si="226"/>
        <v>-1.5968652210997303</v>
      </c>
      <c r="J3514">
        <v>8</v>
      </c>
      <c r="K3514">
        <v>12</v>
      </c>
      <c r="L3514">
        <v>-1.3692296283036958</v>
      </c>
      <c r="M3514">
        <f t="shared" si="229"/>
        <v>-1.1436983645535146</v>
      </c>
      <c r="N3514">
        <v>-1.824500813895765</v>
      </c>
    </row>
    <row r="3515" spans="1:14">
      <c r="A3515" t="s">
        <v>12</v>
      </c>
      <c r="B3515" s="2">
        <f t="shared" si="225"/>
        <v>169</v>
      </c>
      <c r="C3515">
        <v>57</v>
      </c>
      <c r="D3515">
        <v>2</v>
      </c>
      <c r="E3515">
        <v>0</v>
      </c>
      <c r="F3515">
        <f t="shared" si="227"/>
        <v>-1.3448472226607076</v>
      </c>
      <c r="G3515" t="e">
        <f t="shared" si="228"/>
        <v>#NUM!</v>
      </c>
      <c r="I3515" t="e">
        <f t="shared" si="226"/>
        <v>#NUM!</v>
      </c>
      <c r="J3515">
        <v>0</v>
      </c>
      <c r="K3515">
        <v>4</v>
      </c>
      <c r="L3515" t="e">
        <v>#NUM!</v>
      </c>
      <c r="M3515">
        <f t="shared" si="229"/>
        <v>-0.96507476898243827</v>
      </c>
      <c r="N3515">
        <v>-1.3448472226607076</v>
      </c>
    </row>
    <row r="3516" spans="1:14">
      <c r="A3516" t="s">
        <v>9</v>
      </c>
      <c r="B3516" s="2">
        <f t="shared" si="225"/>
        <v>169</v>
      </c>
      <c r="C3516">
        <v>119</v>
      </c>
      <c r="D3516">
        <v>0</v>
      </c>
      <c r="E3516">
        <v>4</v>
      </c>
      <c r="F3516" t="e">
        <f t="shared" si="227"/>
        <v>#NUM!</v>
      </c>
      <c r="G3516">
        <f t="shared" si="228"/>
        <v>-1.3341868793969776</v>
      </c>
      <c r="I3516" t="e">
        <f t="shared" si="226"/>
        <v>#NUM!</v>
      </c>
      <c r="J3516">
        <v>4</v>
      </c>
      <c r="K3516">
        <v>3</v>
      </c>
      <c r="L3516">
        <v>-1.3341868793969776</v>
      </c>
      <c r="M3516">
        <f t="shared" si="229"/>
        <v>-1.4096856113107776</v>
      </c>
      <c r="N3516" t="e">
        <v>#NUM!</v>
      </c>
    </row>
    <row r="3517" spans="1:14">
      <c r="A3517" t="s">
        <v>13</v>
      </c>
      <c r="B3517" s="2">
        <f t="shared" si="225"/>
        <v>169</v>
      </c>
      <c r="C3517">
        <v>40</v>
      </c>
      <c r="D3517">
        <v>1</v>
      </c>
      <c r="E3517">
        <v>0</v>
      </c>
      <c r="F3517">
        <f t="shared" si="227"/>
        <v>-1.4920623539801596</v>
      </c>
      <c r="G3517" t="e">
        <f t="shared" si="228"/>
        <v>#NUM!</v>
      </c>
      <c r="I3517" t="e">
        <f t="shared" si="226"/>
        <v>#NUM!</v>
      </c>
      <c r="J3517">
        <v>0</v>
      </c>
      <c r="K3517">
        <v>0</v>
      </c>
      <c r="L3517" t="e">
        <v>#NUM!</v>
      </c>
      <c r="M3517" t="e">
        <f t="shared" si="229"/>
        <v>#NUM!</v>
      </c>
      <c r="N3517">
        <v>-1.4920623539801596</v>
      </c>
    </row>
    <row r="3518" spans="1:14">
      <c r="A3518" t="s">
        <v>14</v>
      </c>
      <c r="B3518" s="2">
        <f t="shared" si="225"/>
        <v>169</v>
      </c>
      <c r="C3518">
        <v>128</v>
      </c>
      <c r="D3518">
        <v>1</v>
      </c>
      <c r="E3518">
        <v>45</v>
      </c>
      <c r="F3518">
        <f t="shared" si="227"/>
        <v>-1.9972123323000657</v>
      </c>
      <c r="G3518">
        <f t="shared" si="228"/>
        <v>-0.31469736520493397</v>
      </c>
      <c r="I3518">
        <f t="shared" si="226"/>
        <v>-1.1559548487524998</v>
      </c>
      <c r="J3518">
        <v>45</v>
      </c>
      <c r="K3518">
        <v>52</v>
      </c>
      <c r="L3518">
        <v>-0.31469736520493397</v>
      </c>
      <c r="M3518">
        <f t="shared" si="229"/>
        <v>-0.20246653065097853</v>
      </c>
      <c r="N3518">
        <v>-1.9972123323000657</v>
      </c>
    </row>
    <row r="3519" spans="1:14">
      <c r="A3519" t="s">
        <v>15</v>
      </c>
      <c r="B3519" s="2">
        <f t="shared" si="225"/>
        <v>169</v>
      </c>
      <c r="C3519">
        <v>105</v>
      </c>
      <c r="D3519">
        <v>0</v>
      </c>
      <c r="E3519">
        <v>3</v>
      </c>
      <c r="F3519" t="e">
        <f t="shared" si="227"/>
        <v>#NUM!</v>
      </c>
      <c r="G3519">
        <f t="shared" si="228"/>
        <v>-1.4047679536826849</v>
      </c>
      <c r="I3519" t="e">
        <f t="shared" si="226"/>
        <v>#NUM!</v>
      </c>
      <c r="J3519">
        <v>3</v>
      </c>
      <c r="K3519">
        <v>0</v>
      </c>
      <c r="L3519">
        <v>-1.4047679536826849</v>
      </c>
      <c r="M3519" t="e">
        <f t="shared" si="229"/>
        <v>#NUM!</v>
      </c>
      <c r="N3519" t="e">
        <v>#NUM!</v>
      </c>
    </row>
    <row r="3520" spans="1:14">
      <c r="A3520" t="s">
        <v>16</v>
      </c>
      <c r="B3520" s="2">
        <f t="shared" si="225"/>
        <v>169</v>
      </c>
      <c r="C3520">
        <v>37</v>
      </c>
      <c r="D3520">
        <v>1</v>
      </c>
      <c r="E3520">
        <v>1</v>
      </c>
      <c r="F3520">
        <f t="shared" si="227"/>
        <v>-1.4582040867191923</v>
      </c>
      <c r="G3520">
        <f t="shared" si="228"/>
        <v>-1.4289016333994042</v>
      </c>
      <c r="I3520">
        <f t="shared" si="226"/>
        <v>-1.4435528600592984</v>
      </c>
      <c r="J3520">
        <v>1</v>
      </c>
      <c r="K3520">
        <v>1</v>
      </c>
      <c r="L3520">
        <v>-1.4289016333994042</v>
      </c>
      <c r="M3520">
        <f t="shared" si="229"/>
        <v>-1.3794616287049042</v>
      </c>
      <c r="N3520">
        <v>-1.4582040867191923</v>
      </c>
    </row>
    <row r="3521" spans="1:14">
      <c r="A3521" t="s">
        <v>17</v>
      </c>
      <c r="B3521" s="2">
        <f t="shared" si="225"/>
        <v>169</v>
      </c>
      <c r="C3521">
        <v>165163</v>
      </c>
      <c r="D3521">
        <v>128208</v>
      </c>
      <c r="E3521">
        <v>119843</v>
      </c>
      <c r="F3521">
        <f t="shared" si="227"/>
        <v>0</v>
      </c>
      <c r="G3521">
        <f t="shared" si="228"/>
        <v>0</v>
      </c>
      <c r="I3521">
        <f t="shared" si="226"/>
        <v>0</v>
      </c>
      <c r="J3521">
        <v>119843</v>
      </c>
      <c r="K3521">
        <v>106948</v>
      </c>
      <c r="L3521">
        <v>0</v>
      </c>
      <c r="M3521">
        <f t="shared" si="229"/>
        <v>0</v>
      </c>
      <c r="N3521">
        <v>0</v>
      </c>
    </row>
    <row r="3522" spans="1:14">
      <c r="A3522" t="s">
        <v>18</v>
      </c>
      <c r="B3522" s="2">
        <f t="shared" si="225"/>
        <v>169</v>
      </c>
      <c r="C3522">
        <v>33</v>
      </c>
      <c r="D3522">
        <v>2</v>
      </c>
      <c r="E3522">
        <v>0</v>
      </c>
      <c r="F3522">
        <f t="shared" si="227"/>
        <v>-1.1074863068661036</v>
      </c>
      <c r="G3522" t="e">
        <f t="shared" si="228"/>
        <v>#NUM!</v>
      </c>
      <c r="I3522" t="e">
        <f t="shared" si="226"/>
        <v>#NUM!</v>
      </c>
      <c r="J3522">
        <v>0</v>
      </c>
      <c r="K3522">
        <v>1</v>
      </c>
      <c r="L3522" t="e">
        <v>#NUM!</v>
      </c>
      <c r="M3522">
        <f t="shared" si="229"/>
        <v>-1.3297738445157967</v>
      </c>
      <c r="N3522">
        <v>-1.1074863068661036</v>
      </c>
    </row>
    <row r="3523" spans="1:14">
      <c r="A3523" t="s">
        <v>19</v>
      </c>
      <c r="B3523" s="2">
        <f t="shared" ref="B3523:B3586" si="230">1+INT((ROW()-2)/21)+1</f>
        <v>169</v>
      </c>
      <c r="C3523">
        <v>65</v>
      </c>
      <c r="D3523">
        <v>0</v>
      </c>
      <c r="E3523">
        <v>0</v>
      </c>
      <c r="F3523" t="e">
        <f t="shared" si="227"/>
        <v>#NUM!</v>
      </c>
      <c r="G3523" t="e">
        <f t="shared" si="228"/>
        <v>#NUM!</v>
      </c>
      <c r="I3523" t="e">
        <f t="shared" ref="I3523:I3586" si="231">AVERAGE(F3523:G3523)</f>
        <v>#NUM!</v>
      </c>
      <c r="J3523">
        <v>0</v>
      </c>
      <c r="K3523">
        <v>3</v>
      </c>
      <c r="L3523" t="e">
        <v>#NUM!</v>
      </c>
      <c r="M3523">
        <f t="shared" si="229"/>
        <v>-1.1470520065611023</v>
      </c>
      <c r="N3523" t="e">
        <v>#NUM!</v>
      </c>
    </row>
    <row r="3524" spans="1:14">
      <c r="A3524" t="s">
        <v>20</v>
      </c>
      <c r="B3524" s="2">
        <f t="shared" si="230"/>
        <v>169</v>
      </c>
      <c r="C3524">
        <v>178</v>
      </c>
      <c r="D3524">
        <v>27</v>
      </c>
      <c r="E3524">
        <v>23</v>
      </c>
      <c r="F3524">
        <f t="shared" si="227"/>
        <v>-0.70905860080210403</v>
      </c>
      <c r="G3524">
        <f t="shared" si="228"/>
        <v>-0.74939207562371035</v>
      </c>
      <c r="I3524">
        <f t="shared" si="231"/>
        <v>-0.72922533821290725</v>
      </c>
      <c r="J3524">
        <v>23</v>
      </c>
      <c r="K3524">
        <v>25</v>
      </c>
      <c r="L3524">
        <v>-0.74939207562371035</v>
      </c>
      <c r="M3524">
        <f t="shared" si="229"/>
        <v>-0.66373989827476565</v>
      </c>
      <c r="N3524">
        <v>-0.70905860080210403</v>
      </c>
    </row>
    <row r="3525" spans="1:14">
      <c r="A3525" t="s">
        <v>21</v>
      </c>
      <c r="B3525" s="2">
        <f t="shared" si="230"/>
        <v>169</v>
      </c>
      <c r="C3525">
        <v>695</v>
      </c>
      <c r="D3525">
        <v>2</v>
      </c>
      <c r="E3525">
        <v>28</v>
      </c>
      <c r="F3525">
        <f t="shared" si="227"/>
        <v>-2.4309571715783305</v>
      </c>
      <c r="G3525">
        <f t="shared" si="228"/>
        <v>-1.255526682580304</v>
      </c>
      <c r="I3525">
        <f t="shared" si="231"/>
        <v>-1.8432419270793172</v>
      </c>
      <c r="J3525">
        <v>28</v>
      </c>
      <c r="K3525">
        <v>31</v>
      </c>
      <c r="L3525">
        <v>-1.255526682580304</v>
      </c>
      <c r="M3525">
        <f t="shared" si="229"/>
        <v>-1.1618830153937507</v>
      </c>
      <c r="N3525">
        <v>-2.4309571715783305</v>
      </c>
    </row>
    <row r="3526" spans="1:14">
      <c r="A3526" t="s">
        <v>22</v>
      </c>
      <c r="B3526" s="2">
        <f t="shared" si="230"/>
        <v>169</v>
      </c>
      <c r="C3526">
        <v>26</v>
      </c>
      <c r="D3526">
        <v>0</v>
      </c>
      <c r="E3526">
        <v>0</v>
      </c>
      <c r="F3526" t="e">
        <f t="shared" si="227"/>
        <v>#NUM!</v>
      </c>
      <c r="G3526" t="e">
        <f t="shared" si="228"/>
        <v>#NUM!</v>
      </c>
      <c r="I3526" t="e">
        <f t="shared" si="231"/>
        <v>#NUM!</v>
      </c>
      <c r="J3526">
        <v>0</v>
      </c>
      <c r="K3526">
        <v>0</v>
      </c>
      <c r="L3526" t="e">
        <v>#NUM!</v>
      </c>
      <c r="M3526" t="e">
        <f t="shared" si="229"/>
        <v>#NUM!</v>
      </c>
      <c r="N3526" t="e">
        <v>#NUM!</v>
      </c>
    </row>
    <row r="3527" spans="1:14">
      <c r="A3527" t="s">
        <v>23</v>
      </c>
      <c r="B3527" s="2">
        <f t="shared" si="230"/>
        <v>169</v>
      </c>
      <c r="C3527">
        <v>91</v>
      </c>
      <c r="D3527">
        <v>1</v>
      </c>
      <c r="E3527">
        <v>6</v>
      </c>
      <c r="F3527">
        <f t="shared" si="227"/>
        <v>-1.849043754973291</v>
      </c>
      <c r="G3527">
        <f t="shared" si="228"/>
        <v>-1.0415900512698593</v>
      </c>
      <c r="I3527">
        <f t="shared" si="231"/>
        <v>-1.4453169031215751</v>
      </c>
      <c r="J3527">
        <v>6</v>
      </c>
      <c r="K3527">
        <v>0</v>
      </c>
      <c r="L3527">
        <v>-1.0415900512698593</v>
      </c>
      <c r="M3527" t="e">
        <f t="shared" si="229"/>
        <v>#NUM!</v>
      </c>
      <c r="N3527">
        <v>-1.849043754973291</v>
      </c>
    </row>
    <row r="3528" spans="1:14">
      <c r="A3528" t="s">
        <v>24</v>
      </c>
      <c r="B3528" s="2">
        <f t="shared" si="230"/>
        <v>169</v>
      </c>
      <c r="C3528">
        <v>217</v>
      </c>
      <c r="D3528">
        <v>2</v>
      </c>
      <c r="E3528">
        <v>10</v>
      </c>
      <c r="F3528">
        <f t="shared" si="227"/>
        <v>-1.9254321008367457</v>
      </c>
      <c r="G3528">
        <f t="shared" si="228"/>
        <v>-1.1971596431809388</v>
      </c>
      <c r="I3528">
        <f t="shared" si="231"/>
        <v>-1.5612958720088423</v>
      </c>
      <c r="J3528">
        <v>10</v>
      </c>
      <c r="K3528">
        <v>7</v>
      </c>
      <c r="L3528">
        <v>-1.1971596431809388</v>
      </c>
      <c r="M3528">
        <f t="shared" si="229"/>
        <v>-1.3026215984721818</v>
      </c>
      <c r="N3528">
        <v>-1.9254321008367457</v>
      </c>
    </row>
    <row r="3529" spans="1:14">
      <c r="A3529" t="s">
        <v>25</v>
      </c>
      <c r="B3529" s="2">
        <f t="shared" si="230"/>
        <v>169</v>
      </c>
      <c r="C3529">
        <v>248</v>
      </c>
      <c r="D3529">
        <v>0</v>
      </c>
      <c r="E3529">
        <v>9</v>
      </c>
      <c r="F3529" t="e">
        <f t="shared" si="227"/>
        <v>#NUM!</v>
      </c>
      <c r="G3529">
        <f t="shared" si="228"/>
        <v>-1.3009090807193007</v>
      </c>
      <c r="I3529" t="e">
        <f t="shared" si="231"/>
        <v>#NUM!</v>
      </c>
      <c r="J3529">
        <v>9</v>
      </c>
      <c r="K3529">
        <v>19</v>
      </c>
      <c r="L3529">
        <v>-1.3009090807193007</v>
      </c>
      <c r="M3529">
        <f t="shared" si="229"/>
        <v>-0.92695798451129663</v>
      </c>
      <c r="N3529" t="e">
        <v>#NUM!</v>
      </c>
    </row>
    <row r="3530" spans="1:14">
      <c r="A3530" t="s">
        <v>7</v>
      </c>
      <c r="B3530" s="2">
        <f t="shared" si="230"/>
        <v>170</v>
      </c>
      <c r="C3530">
        <v>137</v>
      </c>
      <c r="D3530">
        <v>19</v>
      </c>
      <c r="F3530">
        <f>LOG10(D3530/C3530)-LOG10(196575/149168)</f>
        <v>-0.97781958366511001</v>
      </c>
      <c r="G3530" t="e">
        <f t="shared" si="228"/>
        <v>#NUM!</v>
      </c>
      <c r="I3530" t="e">
        <f t="shared" si="231"/>
        <v>#NUM!</v>
      </c>
    </row>
    <row r="3531" spans="1:14">
      <c r="A3531" t="s">
        <v>8</v>
      </c>
      <c r="B3531" s="2">
        <f t="shared" si="230"/>
        <v>170</v>
      </c>
      <c r="C3531">
        <v>18</v>
      </c>
      <c r="D3531">
        <v>0</v>
      </c>
      <c r="E3531">
        <v>1</v>
      </c>
      <c r="F3531" t="e">
        <f t="shared" ref="F3531:F3594" si="232">LOG10(D3531/C3531)-LOG10(196575/149168)</f>
        <v>#NUM!</v>
      </c>
      <c r="G3531">
        <f t="shared" si="228"/>
        <v>-1.1159724144357153</v>
      </c>
      <c r="I3531" t="e">
        <f t="shared" si="231"/>
        <v>#NUM!</v>
      </c>
    </row>
    <row r="3532" spans="1:14">
      <c r="A3532" t="s">
        <v>5</v>
      </c>
      <c r="B3532" s="2">
        <f t="shared" si="230"/>
        <v>170</v>
      </c>
      <c r="C3532">
        <v>149168</v>
      </c>
      <c r="D3532">
        <v>196575</v>
      </c>
      <c r="E3532">
        <v>183475</v>
      </c>
      <c r="F3532">
        <f t="shared" si="232"/>
        <v>0</v>
      </c>
      <c r="G3532">
        <f t="shared" si="228"/>
        <v>0.22920132016248879</v>
      </c>
      <c r="I3532">
        <f t="shared" si="231"/>
        <v>0.11460066008124439</v>
      </c>
    </row>
    <row r="3533" spans="1:14">
      <c r="A3533" t="s">
        <v>6</v>
      </c>
      <c r="B3533" s="2">
        <f t="shared" si="230"/>
        <v>170</v>
      </c>
      <c r="C3533">
        <v>15</v>
      </c>
      <c r="D3533">
        <v>5</v>
      </c>
      <c r="E3533">
        <v>7</v>
      </c>
      <c r="F3533">
        <f t="shared" si="232"/>
        <v>-0.59697387218119458</v>
      </c>
      <c r="G3533">
        <f t="shared" si="228"/>
        <v>-0.19169312837383365</v>
      </c>
      <c r="I3533">
        <f t="shared" si="231"/>
        <v>-0.39433350027751413</v>
      </c>
    </row>
    <row r="3534" spans="1:14">
      <c r="A3534" t="s">
        <v>10</v>
      </c>
      <c r="B3534" s="2">
        <f t="shared" si="230"/>
        <v>170</v>
      </c>
      <c r="C3534">
        <v>142</v>
      </c>
      <c r="D3534">
        <v>2</v>
      </c>
      <c r="E3534">
        <v>3</v>
      </c>
      <c r="F3534">
        <f t="shared" si="232"/>
        <v>-1.9711109661806074</v>
      </c>
      <c r="G3534">
        <f t="shared" si="228"/>
        <v>-1.5358669989958034</v>
      </c>
      <c r="I3534">
        <f t="shared" si="231"/>
        <v>-1.7534889825882054</v>
      </c>
    </row>
    <row r="3535" spans="1:14">
      <c r="A3535" t="s">
        <v>11</v>
      </c>
      <c r="B3535" s="2">
        <f t="shared" si="230"/>
        <v>170</v>
      </c>
      <c r="C3535">
        <v>51</v>
      </c>
      <c r="D3535">
        <v>1</v>
      </c>
      <c r="E3535">
        <v>2</v>
      </c>
      <c r="F3535">
        <f t="shared" si="232"/>
        <v>-1.8274227935594685</v>
      </c>
      <c r="G3535">
        <f t="shared" si="228"/>
        <v>-1.2672400897663645</v>
      </c>
      <c r="I3535">
        <f t="shared" si="231"/>
        <v>-1.5473314416629165</v>
      </c>
    </row>
    <row r="3536" spans="1:14">
      <c r="A3536" t="s">
        <v>12</v>
      </c>
      <c r="B3536" s="2">
        <f t="shared" si="230"/>
        <v>170</v>
      </c>
      <c r="C3536">
        <v>189</v>
      </c>
      <c r="D3536">
        <v>6</v>
      </c>
      <c r="E3536">
        <v>5</v>
      </c>
      <c r="F3536">
        <f t="shared" si="232"/>
        <v>-1.6181631712511326</v>
      </c>
      <c r="G3536">
        <f t="shared" si="228"/>
        <v>-1.4381917091696346</v>
      </c>
      <c r="I3536">
        <f t="shared" si="231"/>
        <v>-1.5281774402103836</v>
      </c>
    </row>
    <row r="3537" spans="1:9">
      <c r="A3537" t="s">
        <v>9</v>
      </c>
      <c r="B3537" s="2">
        <f t="shared" si="230"/>
        <v>170</v>
      </c>
      <c r="C3537">
        <v>167</v>
      </c>
      <c r="D3537">
        <v>22</v>
      </c>
      <c r="E3537">
        <v>25</v>
      </c>
      <c r="F3537">
        <f t="shared" si="232"/>
        <v>-1.0001464077869091</v>
      </c>
      <c r="G3537">
        <f t="shared" si="228"/>
        <v>-0.68547637180795495</v>
      </c>
      <c r="I3537">
        <f t="shared" si="231"/>
        <v>-0.84281138979743209</v>
      </c>
    </row>
    <row r="3538" spans="1:9">
      <c r="A3538" t="s">
        <v>13</v>
      </c>
      <c r="B3538" s="2">
        <f t="shared" si="230"/>
        <v>170</v>
      </c>
      <c r="C3538">
        <v>66</v>
      </c>
      <c r="D3538">
        <v>8</v>
      </c>
      <c r="E3538">
        <v>0</v>
      </c>
      <c r="F3538">
        <f t="shared" si="232"/>
        <v>-1.0363065660114572</v>
      </c>
      <c r="G3538" t="e">
        <f t="shared" si="228"/>
        <v>#NUM!</v>
      </c>
      <c r="I3538" t="e">
        <f t="shared" si="231"/>
        <v>#NUM!</v>
      </c>
    </row>
    <row r="3539" spans="1:9">
      <c r="A3539" t="s">
        <v>14</v>
      </c>
      <c r="B3539" s="2">
        <f t="shared" si="230"/>
        <v>170</v>
      </c>
      <c r="C3539">
        <v>40</v>
      </c>
      <c r="D3539">
        <v>1</v>
      </c>
      <c r="E3539">
        <v>0</v>
      </c>
      <c r="F3539">
        <f t="shared" si="232"/>
        <v>-1.7219126087894945</v>
      </c>
      <c r="G3539" t="e">
        <f t="shared" ref="G3539:G3602" si="233">LOG10(E3539/C3539)-LOG10(119843/165163)</f>
        <v>#NUM!</v>
      </c>
      <c r="I3539" t="e">
        <f t="shared" si="231"/>
        <v>#NUM!</v>
      </c>
    </row>
    <row r="3540" spans="1:9">
      <c r="A3540" t="s">
        <v>15</v>
      </c>
      <c r="B3540" s="2">
        <f t="shared" si="230"/>
        <v>170</v>
      </c>
      <c r="C3540">
        <v>36</v>
      </c>
      <c r="D3540">
        <v>8</v>
      </c>
      <c r="E3540">
        <v>5</v>
      </c>
      <c r="F3540">
        <f t="shared" si="232"/>
        <v>-0.77306513123687592</v>
      </c>
      <c r="G3540">
        <f t="shared" si="233"/>
        <v>-0.71803240576367766</v>
      </c>
      <c r="I3540">
        <f t="shared" si="231"/>
        <v>-0.74554876850027685</v>
      </c>
    </row>
    <row r="3541" spans="1:9">
      <c r="A3541" t="s">
        <v>16</v>
      </c>
      <c r="B3541" s="2">
        <f t="shared" si="230"/>
        <v>170</v>
      </c>
      <c r="C3541">
        <v>29</v>
      </c>
      <c r="D3541">
        <v>1</v>
      </c>
      <c r="E3541">
        <v>1</v>
      </c>
      <c r="F3541">
        <f t="shared" si="232"/>
        <v>-1.5822506153604883</v>
      </c>
      <c r="G3541">
        <f t="shared" si="233"/>
        <v>-1.3230979072313653</v>
      </c>
      <c r="I3541">
        <f t="shared" si="231"/>
        <v>-1.4526742612959267</v>
      </c>
    </row>
    <row r="3542" spans="1:9">
      <c r="A3542" t="s">
        <v>17</v>
      </c>
      <c r="B3542" s="2">
        <f t="shared" si="230"/>
        <v>170</v>
      </c>
      <c r="C3542">
        <v>53</v>
      </c>
      <c r="D3542">
        <v>4</v>
      </c>
      <c r="E3542">
        <v>0</v>
      </c>
      <c r="F3542">
        <f t="shared" si="232"/>
        <v>-1.2420684957343588</v>
      </c>
      <c r="G3542" t="e">
        <f t="shared" si="233"/>
        <v>#NUM!</v>
      </c>
      <c r="I3542" t="e">
        <f t="shared" si="231"/>
        <v>#NUM!</v>
      </c>
    </row>
    <row r="3543" spans="1:9">
      <c r="A3543" t="s">
        <v>18</v>
      </c>
      <c r="B3543" s="2">
        <f t="shared" si="230"/>
        <v>170</v>
      </c>
      <c r="C3543">
        <v>4</v>
      </c>
      <c r="D3543">
        <v>0</v>
      </c>
      <c r="E3543">
        <v>0</v>
      </c>
      <c r="F3543" t="e">
        <f t="shared" si="232"/>
        <v>#NUM!</v>
      </c>
      <c r="G3543" t="e">
        <f t="shared" si="233"/>
        <v>#NUM!</v>
      </c>
      <c r="I3543" t="e">
        <f t="shared" si="231"/>
        <v>#NUM!</v>
      </c>
    </row>
    <row r="3544" spans="1:9">
      <c r="A3544" t="s">
        <v>19</v>
      </c>
      <c r="B3544" s="2">
        <f t="shared" si="230"/>
        <v>170</v>
      </c>
      <c r="C3544">
        <v>17</v>
      </c>
      <c r="D3544">
        <v>0</v>
      </c>
      <c r="E3544">
        <v>0</v>
      </c>
      <c r="F3544" t="e">
        <f t="shared" si="232"/>
        <v>#NUM!</v>
      </c>
      <c r="G3544" t="e">
        <f t="shared" si="233"/>
        <v>#NUM!</v>
      </c>
      <c r="I3544" t="e">
        <f t="shared" si="231"/>
        <v>#NUM!</v>
      </c>
    </row>
    <row r="3545" spans="1:9">
      <c r="A3545" t="s">
        <v>20</v>
      </c>
      <c r="B3545" s="2">
        <f t="shared" si="230"/>
        <v>170</v>
      </c>
      <c r="C3545">
        <v>46</v>
      </c>
      <c r="D3545">
        <v>0</v>
      </c>
      <c r="E3545">
        <v>1</v>
      </c>
      <c r="F3545" t="e">
        <f t="shared" si="232"/>
        <v>#NUM!</v>
      </c>
      <c r="G3545">
        <f t="shared" si="233"/>
        <v>-1.5234577410139833</v>
      </c>
      <c r="I3545" t="e">
        <f t="shared" si="231"/>
        <v>#NUM!</v>
      </c>
    </row>
    <row r="3546" spans="1:9">
      <c r="A3546" t="s">
        <v>21</v>
      </c>
      <c r="B3546" s="2">
        <f t="shared" si="230"/>
        <v>170</v>
      </c>
      <c r="C3546">
        <v>19</v>
      </c>
      <c r="D3546">
        <v>0</v>
      </c>
      <c r="E3546">
        <v>0</v>
      </c>
      <c r="F3546" t="e">
        <f t="shared" si="232"/>
        <v>#NUM!</v>
      </c>
      <c r="G3546" t="e">
        <f t="shared" si="233"/>
        <v>#NUM!</v>
      </c>
      <c r="I3546" t="e">
        <f t="shared" si="231"/>
        <v>#NUM!</v>
      </c>
    </row>
    <row r="3547" spans="1:9">
      <c r="A3547" t="s">
        <v>22</v>
      </c>
      <c r="B3547" s="2">
        <f t="shared" si="230"/>
        <v>170</v>
      </c>
      <c r="C3547">
        <v>18</v>
      </c>
      <c r="D3547">
        <v>2</v>
      </c>
      <c r="E3547">
        <v>0</v>
      </c>
      <c r="F3547">
        <f t="shared" si="232"/>
        <v>-1.074095126900857</v>
      </c>
      <c r="G3547" t="e">
        <f t="shared" si="233"/>
        <v>#NUM!</v>
      </c>
      <c r="I3547" t="e">
        <f t="shared" si="231"/>
        <v>#NUM!</v>
      </c>
    </row>
    <row r="3548" spans="1:9">
      <c r="A3548" t="s">
        <v>23</v>
      </c>
      <c r="B3548" s="2">
        <f t="shared" si="230"/>
        <v>170</v>
      </c>
      <c r="C3548">
        <v>18</v>
      </c>
      <c r="D3548">
        <v>0</v>
      </c>
      <c r="E3548">
        <v>0</v>
      </c>
      <c r="F3548" t="e">
        <f t="shared" si="232"/>
        <v>#NUM!</v>
      </c>
      <c r="G3548" t="e">
        <f t="shared" si="233"/>
        <v>#NUM!</v>
      </c>
      <c r="I3548" t="e">
        <f t="shared" si="231"/>
        <v>#NUM!</v>
      </c>
    </row>
    <row r="3549" spans="1:9">
      <c r="A3549" t="s">
        <v>24</v>
      </c>
      <c r="B3549" s="2">
        <f t="shared" si="230"/>
        <v>170</v>
      </c>
      <c r="C3549">
        <v>19</v>
      </c>
      <c r="D3549">
        <v>0</v>
      </c>
      <c r="E3549">
        <v>0</v>
      </c>
      <c r="F3549" t="e">
        <f t="shared" si="232"/>
        <v>#NUM!</v>
      </c>
      <c r="G3549" t="e">
        <f t="shared" si="233"/>
        <v>#NUM!</v>
      </c>
      <c r="I3549" t="e">
        <f t="shared" si="231"/>
        <v>#NUM!</v>
      </c>
    </row>
    <row r="3550" spans="1:9">
      <c r="A3550" t="s">
        <v>25</v>
      </c>
      <c r="B3550" s="2">
        <f t="shared" si="230"/>
        <v>170</v>
      </c>
      <c r="C3550">
        <v>43</v>
      </c>
      <c r="D3550">
        <v>2</v>
      </c>
      <c r="E3550">
        <v>1</v>
      </c>
      <c r="F3550">
        <f t="shared" si="232"/>
        <v>-1.4522910773771376</v>
      </c>
      <c r="G3550">
        <f t="shared" si="233"/>
        <v>-1.4941683649119959</v>
      </c>
      <c r="I3550">
        <f t="shared" si="231"/>
        <v>-1.4732297211445666</v>
      </c>
    </row>
    <row r="3551" spans="1:9">
      <c r="A3551" t="s">
        <v>7</v>
      </c>
      <c r="B3551" s="2">
        <f t="shared" si="230"/>
        <v>171</v>
      </c>
      <c r="C3551">
        <v>82</v>
      </c>
      <c r="D3551">
        <v>108</v>
      </c>
      <c r="E3551">
        <v>37</v>
      </c>
      <c r="F3551">
        <f t="shared" si="232"/>
        <v>-2.4271435829913146E-4</v>
      </c>
      <c r="G3551">
        <f t="shared" si="233"/>
        <v>-0.20631203764913089</v>
      </c>
      <c r="I3551">
        <f t="shared" si="231"/>
        <v>-0.103277376003715</v>
      </c>
    </row>
    <row r="3552" spans="1:9">
      <c r="A3552" t="s">
        <v>8</v>
      </c>
      <c r="B3552" s="2">
        <f t="shared" si="230"/>
        <v>171</v>
      </c>
      <c r="C3552">
        <v>356</v>
      </c>
      <c r="D3552">
        <v>33</v>
      </c>
      <c r="E3552">
        <v>12</v>
      </c>
      <c r="F3552">
        <f t="shared" si="232"/>
        <v>-1.15278867555652</v>
      </c>
      <c r="G3552">
        <f t="shared" si="233"/>
        <v>-1.3329686612576597</v>
      </c>
      <c r="I3552">
        <f t="shared" si="231"/>
        <v>-1.2428786684070898</v>
      </c>
    </row>
    <row r="3553" spans="1:9">
      <c r="A3553" t="s">
        <v>5</v>
      </c>
      <c r="B3553" s="2">
        <f t="shared" si="230"/>
        <v>171</v>
      </c>
      <c r="C3553">
        <v>205</v>
      </c>
      <c r="D3553">
        <v>20</v>
      </c>
      <c r="E3553">
        <v>7</v>
      </c>
      <c r="F3553">
        <f t="shared" si="232"/>
        <v>-1.1305764828533054</v>
      </c>
      <c r="G3553">
        <f t="shared" si="233"/>
        <v>-1.3273557303739068</v>
      </c>
      <c r="I3553">
        <f t="shared" si="231"/>
        <v>-1.2289661066136062</v>
      </c>
    </row>
    <row r="3554" spans="1:9">
      <c r="A3554" t="s">
        <v>6</v>
      </c>
      <c r="B3554" s="2">
        <f t="shared" si="230"/>
        <v>171</v>
      </c>
      <c r="C3554">
        <v>302</v>
      </c>
      <c r="D3554">
        <v>36</v>
      </c>
      <c r="E3554">
        <v>20</v>
      </c>
      <c r="F3554">
        <f t="shared" si="232"/>
        <v>-1.0435570596513954</v>
      </c>
      <c r="G3554">
        <f t="shared" si="233"/>
        <v>-1.0396768566255787</v>
      </c>
      <c r="I3554">
        <f t="shared" si="231"/>
        <v>-1.0416169581384871</v>
      </c>
    </row>
    <row r="3555" spans="1:9">
      <c r="A3555" t="s">
        <v>10</v>
      </c>
      <c r="B3555" s="2">
        <f t="shared" si="230"/>
        <v>171</v>
      </c>
      <c r="C3555">
        <v>458</v>
      </c>
      <c r="D3555">
        <v>82</v>
      </c>
      <c r="E3555">
        <v>47</v>
      </c>
      <c r="F3555">
        <f t="shared" si="232"/>
        <v>-0.86690424308168468</v>
      </c>
      <c r="G3555">
        <f t="shared" si="233"/>
        <v>-0.84946752940056092</v>
      </c>
      <c r="I3555">
        <f t="shared" si="231"/>
        <v>-0.8581858862411228</v>
      </c>
    </row>
    <row r="3556" spans="1:9">
      <c r="A3556" t="s">
        <v>11</v>
      </c>
      <c r="B3556" s="2">
        <f t="shared" si="230"/>
        <v>171</v>
      </c>
      <c r="C3556">
        <v>473</v>
      </c>
      <c r="D3556">
        <v>5</v>
      </c>
      <c r="E3556">
        <v>4</v>
      </c>
      <c r="F3556">
        <f t="shared" si="232"/>
        <v>-2.0957437538633248</v>
      </c>
      <c r="G3556">
        <f t="shared" si="233"/>
        <v>-1.9335010587422583</v>
      </c>
      <c r="I3556">
        <f t="shared" si="231"/>
        <v>-2.0146224063027915</v>
      </c>
    </row>
    <row r="3557" spans="1:9">
      <c r="A3557" t="s">
        <v>12</v>
      </c>
      <c r="B3557" s="2">
        <f t="shared" si="230"/>
        <v>171</v>
      </c>
      <c r="C3557">
        <v>21</v>
      </c>
      <c r="D3557">
        <v>24</v>
      </c>
      <c r="E3557">
        <v>37</v>
      </c>
      <c r="F3557">
        <f t="shared" si="232"/>
        <v>-6.1860670483845435E-2</v>
      </c>
      <c r="G3557">
        <f t="shared" si="233"/>
        <v>0.38528252000066648</v>
      </c>
      <c r="I3557">
        <f t="shared" si="231"/>
        <v>0.16171092475841053</v>
      </c>
    </row>
    <row r="3558" spans="1:9">
      <c r="A3558" t="s">
        <v>9</v>
      </c>
      <c r="B3558" s="2">
        <f t="shared" si="230"/>
        <v>171</v>
      </c>
      <c r="C3558">
        <v>268</v>
      </c>
      <c r="D3558">
        <v>7</v>
      </c>
      <c r="E3558">
        <v>8</v>
      </c>
      <c r="F3558">
        <f t="shared" si="232"/>
        <v>-1.7028893714760642</v>
      </c>
      <c r="G3558">
        <f t="shared" si="233"/>
        <v>-1.3857447163692544</v>
      </c>
      <c r="I3558">
        <f t="shared" si="231"/>
        <v>-1.5443170439226592</v>
      </c>
    </row>
    <row r="3559" spans="1:9">
      <c r="A3559" t="s">
        <v>13</v>
      </c>
      <c r="B3559" s="2">
        <f t="shared" si="230"/>
        <v>171</v>
      </c>
      <c r="C3559">
        <v>101</v>
      </c>
      <c r="D3559">
        <v>0</v>
      </c>
      <c r="E3559">
        <v>0</v>
      </c>
      <c r="F3559" t="e">
        <f t="shared" si="232"/>
        <v>#NUM!</v>
      </c>
      <c r="G3559" t="e">
        <f t="shared" si="233"/>
        <v>#NUM!</v>
      </c>
      <c r="I3559" t="e">
        <f t="shared" si="231"/>
        <v>#NUM!</v>
      </c>
    </row>
    <row r="3560" spans="1:9">
      <c r="A3560" t="s">
        <v>14</v>
      </c>
      <c r="B3560" s="2">
        <f t="shared" si="230"/>
        <v>171</v>
      </c>
      <c r="C3560">
        <v>178</v>
      </c>
      <c r="D3560">
        <v>7</v>
      </c>
      <c r="E3560">
        <v>5</v>
      </c>
      <c r="F3560">
        <f t="shared" si="232"/>
        <v>-1.5251745797561693</v>
      </c>
      <c r="G3560">
        <f t="shared" si="233"/>
        <v>-1.4121499073052843</v>
      </c>
      <c r="I3560">
        <f t="shared" si="231"/>
        <v>-1.4686622435307268</v>
      </c>
    </row>
    <row r="3561" spans="1:9">
      <c r="A3561" t="s">
        <v>15</v>
      </c>
      <c r="B3561" s="2">
        <f t="shared" si="230"/>
        <v>171</v>
      </c>
      <c r="C3561">
        <v>398</v>
      </c>
      <c r="D3561">
        <v>151</v>
      </c>
      <c r="E3561">
        <v>141</v>
      </c>
      <c r="F3561">
        <f t="shared" si="232"/>
        <v>-0.54075874224205056</v>
      </c>
      <c r="G3561">
        <f t="shared" si="233"/>
        <v>-0.3113638687507172</v>
      </c>
      <c r="I3561">
        <f t="shared" si="231"/>
        <v>-0.42606130549638388</v>
      </c>
    </row>
    <row r="3562" spans="1:9">
      <c r="A3562" t="s">
        <v>16</v>
      </c>
      <c r="B3562" s="2">
        <f t="shared" si="230"/>
        <v>171</v>
      </c>
      <c r="C3562">
        <v>242</v>
      </c>
      <c r="D3562">
        <v>7</v>
      </c>
      <c r="E3562">
        <v>0</v>
      </c>
      <c r="F3562">
        <f t="shared" si="232"/>
        <v>-1.6585699434277066</v>
      </c>
      <c r="G3562" t="e">
        <f t="shared" si="233"/>
        <v>#NUM!</v>
      </c>
      <c r="I3562" t="e">
        <f t="shared" si="231"/>
        <v>#NUM!</v>
      </c>
    </row>
    <row r="3563" spans="1:9">
      <c r="A3563" t="s">
        <v>17</v>
      </c>
      <c r="B3563" s="2">
        <f t="shared" si="230"/>
        <v>171</v>
      </c>
      <c r="C3563">
        <v>78</v>
      </c>
      <c r="D3563">
        <v>0</v>
      </c>
      <c r="E3563">
        <v>0</v>
      </c>
      <c r="F3563" t="e">
        <f t="shared" si="232"/>
        <v>#NUM!</v>
      </c>
      <c r="G3563" t="e">
        <f t="shared" si="233"/>
        <v>#NUM!</v>
      </c>
      <c r="I3563" t="e">
        <f t="shared" si="231"/>
        <v>#NUM!</v>
      </c>
    </row>
    <row r="3564" spans="1:9">
      <c r="A3564" t="s">
        <v>18</v>
      </c>
      <c r="B3564" s="2">
        <f t="shared" si="230"/>
        <v>171</v>
      </c>
      <c r="C3564">
        <v>186</v>
      </c>
      <c r="D3564">
        <v>8</v>
      </c>
      <c r="E3564">
        <v>3</v>
      </c>
      <c r="F3564">
        <f t="shared" si="232"/>
        <v>-1.4862755746875049</v>
      </c>
      <c r="G3564">
        <f t="shared" si="233"/>
        <v>-1.6530915988306631</v>
      </c>
      <c r="I3564">
        <f t="shared" si="231"/>
        <v>-1.5696835867590839</v>
      </c>
    </row>
    <row r="3565" spans="1:9">
      <c r="A3565" t="s">
        <v>19</v>
      </c>
      <c r="B3565" s="2">
        <f t="shared" si="230"/>
        <v>171</v>
      </c>
      <c r="C3565">
        <v>290</v>
      </c>
      <c r="D3565">
        <v>3</v>
      </c>
      <c r="E3565">
        <v>3</v>
      </c>
      <c r="F3565">
        <f t="shared" si="232"/>
        <v>-2.1051293606408259</v>
      </c>
      <c r="G3565">
        <f t="shared" si="233"/>
        <v>-1.845976652511703</v>
      </c>
      <c r="I3565">
        <f t="shared" si="231"/>
        <v>-1.9755530065762645</v>
      </c>
    </row>
    <row r="3566" spans="1:9">
      <c r="A3566" t="s">
        <v>20</v>
      </c>
      <c r="B3566" s="2">
        <f t="shared" si="230"/>
        <v>171</v>
      </c>
      <c r="C3566">
        <v>298</v>
      </c>
      <c r="D3566">
        <v>7</v>
      </c>
      <c r="E3566">
        <v>5</v>
      </c>
      <c r="F3566">
        <f t="shared" si="232"/>
        <v>-1.7489708415235306</v>
      </c>
      <c r="G3566">
        <f t="shared" si="233"/>
        <v>-1.6359461690726458</v>
      </c>
      <c r="I3566">
        <f t="shared" si="231"/>
        <v>-1.6924585052980881</v>
      </c>
    </row>
    <row r="3567" spans="1:9">
      <c r="A3567" t="s">
        <v>21</v>
      </c>
      <c r="B3567" s="2">
        <f t="shared" si="230"/>
        <v>171</v>
      </c>
      <c r="C3567">
        <v>609</v>
      </c>
      <c r="D3567">
        <v>53</v>
      </c>
      <c r="E3567">
        <v>44</v>
      </c>
      <c r="F3567">
        <f t="shared" si="232"/>
        <v>-1.1801940404936184</v>
      </c>
      <c r="G3567">
        <f t="shared" si="233"/>
        <v>-1.0018645254790972</v>
      </c>
      <c r="I3567">
        <f t="shared" si="231"/>
        <v>-1.0910292829863577</v>
      </c>
    </row>
    <row r="3568" spans="1:9">
      <c r="A3568" t="s">
        <v>22</v>
      </c>
      <c r="B3568" s="2">
        <f t="shared" si="230"/>
        <v>171</v>
      </c>
      <c r="C3568">
        <v>117</v>
      </c>
      <c r="D3568">
        <v>1</v>
      </c>
      <c r="E3568">
        <v>0</v>
      </c>
      <c r="F3568">
        <f t="shared" si="232"/>
        <v>-2.1880384792076937</v>
      </c>
      <c r="G3568" t="e">
        <f t="shared" si="233"/>
        <v>#NUM!</v>
      </c>
      <c r="I3568" t="e">
        <f t="shared" si="231"/>
        <v>#NUM!</v>
      </c>
    </row>
    <row r="3569" spans="1:9">
      <c r="A3569" t="s">
        <v>23</v>
      </c>
      <c r="B3569" s="2">
        <f t="shared" si="230"/>
        <v>171</v>
      </c>
      <c r="C3569">
        <v>160</v>
      </c>
      <c r="D3569">
        <v>4</v>
      </c>
      <c r="E3569">
        <v>2</v>
      </c>
      <c r="F3569">
        <f t="shared" si="232"/>
        <v>-1.7219126087894945</v>
      </c>
      <c r="G3569">
        <f t="shared" si="233"/>
        <v>-1.7637898963243528</v>
      </c>
      <c r="I3569">
        <f t="shared" si="231"/>
        <v>-1.7428512525569237</v>
      </c>
    </row>
    <row r="3570" spans="1:9">
      <c r="A3570" t="s">
        <v>24</v>
      </c>
      <c r="B3570" s="2">
        <f t="shared" si="230"/>
        <v>171</v>
      </c>
      <c r="C3570">
        <v>152</v>
      </c>
      <c r="D3570">
        <v>4</v>
      </c>
      <c r="E3570">
        <v>1</v>
      </c>
      <c r="F3570">
        <f t="shared" si="232"/>
        <v>-1.6996362140783423</v>
      </c>
      <c r="G3570">
        <f t="shared" si="233"/>
        <v>-2.0425434972771819</v>
      </c>
      <c r="I3570">
        <f t="shared" si="231"/>
        <v>-1.871089855677762</v>
      </c>
    </row>
    <row r="3571" spans="1:9">
      <c r="A3571" t="s">
        <v>25</v>
      </c>
      <c r="B3571" s="2">
        <f t="shared" si="230"/>
        <v>171</v>
      </c>
      <c r="C3571">
        <v>183</v>
      </c>
      <c r="D3571">
        <v>51</v>
      </c>
      <c r="E3571">
        <v>46</v>
      </c>
      <c r="F3571">
        <f t="shared" si="232"/>
        <v>-0.67473353109402534</v>
      </c>
      <c r="G3571">
        <f t="shared" si="233"/>
        <v>-0.46039316738126468</v>
      </c>
      <c r="I3571">
        <f t="shared" si="231"/>
        <v>-0.56756334923764507</v>
      </c>
    </row>
    <row r="3572" spans="1:9">
      <c r="A3572" t="s">
        <v>7</v>
      </c>
      <c r="B3572" s="2">
        <f t="shared" si="230"/>
        <v>172</v>
      </c>
      <c r="C3572">
        <v>433</v>
      </c>
      <c r="D3572">
        <v>10</v>
      </c>
      <c r="E3572">
        <v>2</v>
      </c>
      <c r="F3572">
        <f t="shared" si="232"/>
        <v>-1.7563405138148975</v>
      </c>
      <c r="G3572">
        <f t="shared" si="233"/>
        <v>-2.1961578100217936</v>
      </c>
      <c r="I3572">
        <f t="shared" si="231"/>
        <v>-1.9762491619183455</v>
      </c>
    </row>
    <row r="3573" spans="1:9">
      <c r="A3573" t="s">
        <v>8</v>
      </c>
      <c r="B3573" s="2">
        <f t="shared" si="230"/>
        <v>172</v>
      </c>
      <c r="C3573">
        <v>669</v>
      </c>
      <c r="D3573">
        <v>19</v>
      </c>
      <c r="E3573">
        <v>8</v>
      </c>
      <c r="F3573">
        <f t="shared" si="232"/>
        <v>-1.6665251342765264</v>
      </c>
      <c r="G3573">
        <f t="shared" si="233"/>
        <v>-1.7830360401082888</v>
      </c>
      <c r="I3573">
        <f t="shared" si="231"/>
        <v>-1.7247805871924076</v>
      </c>
    </row>
    <row r="3574" spans="1:9">
      <c r="A3574" t="s">
        <v>5</v>
      </c>
      <c r="B3574" s="2">
        <f t="shared" si="230"/>
        <v>172</v>
      </c>
      <c r="C3574">
        <v>115</v>
      </c>
      <c r="D3574">
        <v>2</v>
      </c>
      <c r="E3574">
        <v>1</v>
      </c>
      <c r="F3574">
        <f t="shared" si="232"/>
        <v>-1.8795204621511628</v>
      </c>
      <c r="G3574">
        <f t="shared" si="233"/>
        <v>-1.9213977496860211</v>
      </c>
      <c r="I3574">
        <f t="shared" si="231"/>
        <v>-1.9004591059185918</v>
      </c>
    </row>
    <row r="3575" spans="1:9">
      <c r="A3575" t="s">
        <v>6</v>
      </c>
      <c r="B3575" s="2">
        <f t="shared" si="230"/>
        <v>172</v>
      </c>
      <c r="C3575">
        <v>602</v>
      </c>
      <c r="D3575">
        <v>16</v>
      </c>
      <c r="E3575">
        <v>13</v>
      </c>
      <c r="F3575">
        <f t="shared" si="232"/>
        <v>-1.695329126063432</v>
      </c>
      <c r="G3575">
        <f t="shared" si="233"/>
        <v>-1.5263530482833971</v>
      </c>
      <c r="I3575">
        <f t="shared" si="231"/>
        <v>-1.6108410871734145</v>
      </c>
    </row>
    <row r="3576" spans="1:9">
      <c r="A3576" t="s">
        <v>10</v>
      </c>
      <c r="B3576" s="2">
        <f t="shared" si="230"/>
        <v>172</v>
      </c>
      <c r="C3576">
        <v>893</v>
      </c>
      <c r="D3576">
        <v>22</v>
      </c>
      <c r="E3576">
        <v>9</v>
      </c>
      <c r="F3576">
        <f t="shared" si="232"/>
        <v>-1.7282813955278724</v>
      </c>
      <c r="G3576">
        <f t="shared" si="233"/>
        <v>-1.8573088587816309</v>
      </c>
      <c r="I3576">
        <f t="shared" si="231"/>
        <v>-1.7927951271547515</v>
      </c>
    </row>
    <row r="3577" spans="1:9">
      <c r="A3577" t="s">
        <v>11</v>
      </c>
      <c r="B3577" s="2">
        <f t="shared" si="230"/>
        <v>172</v>
      </c>
      <c r="C3577">
        <v>473</v>
      </c>
      <c r="D3577">
        <v>18</v>
      </c>
      <c r="E3577">
        <v>12</v>
      </c>
      <c r="F3577">
        <f t="shared" si="232"/>
        <v>-1.5394412530960377</v>
      </c>
      <c r="G3577">
        <f t="shared" si="233"/>
        <v>-1.4563798040225959</v>
      </c>
      <c r="I3577">
        <f t="shared" si="231"/>
        <v>-1.4979105285593168</v>
      </c>
    </row>
    <row r="3578" spans="1:9">
      <c r="A3578" t="s">
        <v>12</v>
      </c>
      <c r="B3578" s="2">
        <f t="shared" si="230"/>
        <v>172</v>
      </c>
      <c r="C3578">
        <v>711</v>
      </c>
      <c r="D3578">
        <v>18</v>
      </c>
      <c r="E3578">
        <v>5</v>
      </c>
      <c r="F3578">
        <f t="shared" si="232"/>
        <v>-1.7164497130879925</v>
      </c>
      <c r="G3578">
        <f t="shared" si="233"/>
        <v>-2.0135995057261566</v>
      </c>
      <c r="I3578">
        <f t="shared" si="231"/>
        <v>-1.8650246094070746</v>
      </c>
    </row>
    <row r="3579" spans="1:9">
      <c r="A3579" t="s">
        <v>9</v>
      </c>
      <c r="B3579" s="2">
        <f t="shared" si="230"/>
        <v>172</v>
      </c>
      <c r="C3579">
        <v>597</v>
      </c>
      <c r="D3579">
        <v>4</v>
      </c>
      <c r="E3579">
        <v>3</v>
      </c>
      <c r="F3579">
        <f t="shared" si="232"/>
        <v>-2.2937669572629384</v>
      </c>
      <c r="G3579">
        <f t="shared" si="233"/>
        <v>-2.1595529857421161</v>
      </c>
      <c r="I3579">
        <f t="shared" si="231"/>
        <v>-2.226659971502527</v>
      </c>
    </row>
    <row r="3580" spans="1:9">
      <c r="A3580" t="s">
        <v>13</v>
      </c>
      <c r="B3580" s="2">
        <f t="shared" si="230"/>
        <v>172</v>
      </c>
      <c r="C3580">
        <v>274</v>
      </c>
      <c r="D3580">
        <v>10</v>
      </c>
      <c r="E3580">
        <v>5</v>
      </c>
      <c r="F3580">
        <f t="shared" si="232"/>
        <v>-1.5576031802819201</v>
      </c>
      <c r="G3580">
        <f t="shared" si="233"/>
        <v>-1.5994804678167784</v>
      </c>
      <c r="I3580">
        <f t="shared" si="231"/>
        <v>-1.5785418240493492</v>
      </c>
    </row>
    <row r="3581" spans="1:9">
      <c r="A3581" t="s">
        <v>14</v>
      </c>
      <c r="B3581" s="2">
        <f t="shared" si="230"/>
        <v>172</v>
      </c>
      <c r="C3581">
        <v>463</v>
      </c>
      <c r="D3581">
        <v>3</v>
      </c>
      <c r="E3581">
        <v>1</v>
      </c>
      <c r="F3581">
        <f t="shared" si="232"/>
        <v>-2.3083123537598227</v>
      </c>
      <c r="G3581">
        <f t="shared" si="233"/>
        <v>-2.5262809003503626</v>
      </c>
      <c r="I3581">
        <f t="shared" si="231"/>
        <v>-2.4172966270550926</v>
      </c>
    </row>
    <row r="3582" spans="1:9">
      <c r="A3582" t="s">
        <v>15</v>
      </c>
      <c r="B3582" s="2">
        <f t="shared" si="230"/>
        <v>172</v>
      </c>
      <c r="C3582">
        <v>708</v>
      </c>
      <c r="D3582">
        <v>21</v>
      </c>
      <c r="E3582">
        <v>8</v>
      </c>
      <c r="F3582">
        <f t="shared" si="232"/>
        <v>-1.647666580417382</v>
      </c>
      <c r="G3582">
        <f t="shared" si="233"/>
        <v>-1.8076431800302346</v>
      </c>
      <c r="I3582">
        <f t="shared" si="231"/>
        <v>-1.7276548802238083</v>
      </c>
    </row>
    <row r="3583" spans="1:9">
      <c r="A3583" t="s">
        <v>16</v>
      </c>
      <c r="B3583" s="2">
        <f t="shared" si="230"/>
        <v>172</v>
      </c>
      <c r="C3583">
        <v>964</v>
      </c>
      <c r="D3583">
        <v>32</v>
      </c>
      <c r="E3583">
        <v>15</v>
      </c>
      <c r="F3583">
        <f t="shared" si="232"/>
        <v>-1.598779673044457</v>
      </c>
      <c r="G3583">
        <f t="shared" si="233"/>
        <v>-1.6686856841795588</v>
      </c>
      <c r="I3583">
        <f t="shared" si="231"/>
        <v>-1.6337326786120079</v>
      </c>
    </row>
    <row r="3584" spans="1:9">
      <c r="A3584" t="s">
        <v>17</v>
      </c>
      <c r="B3584" s="2">
        <f t="shared" si="230"/>
        <v>172</v>
      </c>
      <c r="C3584">
        <v>149168</v>
      </c>
      <c r="D3584">
        <v>196575</v>
      </c>
      <c r="E3584">
        <v>183475</v>
      </c>
      <c r="F3584">
        <f t="shared" si="232"/>
        <v>0</v>
      </c>
      <c r="G3584">
        <f t="shared" si="233"/>
        <v>0.22920132016248879</v>
      </c>
      <c r="I3584">
        <f t="shared" si="231"/>
        <v>0.11460066008124439</v>
      </c>
    </row>
    <row r="3585" spans="1:9">
      <c r="A3585" t="s">
        <v>18</v>
      </c>
      <c r="B3585" s="2">
        <f t="shared" si="230"/>
        <v>172</v>
      </c>
      <c r="C3585">
        <v>358</v>
      </c>
      <c r="D3585">
        <v>6</v>
      </c>
      <c r="E3585">
        <v>9</v>
      </c>
      <c r="F3585">
        <f t="shared" si="232"/>
        <v>-1.8955843937217629</v>
      </c>
      <c r="G3585">
        <f t="shared" si="233"/>
        <v>-1.4603404265369586</v>
      </c>
      <c r="I3585">
        <f t="shared" si="231"/>
        <v>-1.6779624101293606</v>
      </c>
    </row>
    <row r="3586" spans="1:9">
      <c r="A3586" t="s">
        <v>19</v>
      </c>
      <c r="B3586" s="2">
        <f t="shared" si="230"/>
        <v>172</v>
      </c>
      <c r="C3586">
        <v>396</v>
      </c>
      <c r="D3586">
        <v>14</v>
      </c>
      <c r="E3586">
        <v>7</v>
      </c>
      <c r="F3586">
        <f t="shared" si="232"/>
        <v>-1.5714197677088064</v>
      </c>
      <c r="G3586">
        <f t="shared" si="233"/>
        <v>-1.6132970552436647</v>
      </c>
      <c r="I3586">
        <f t="shared" si="231"/>
        <v>-1.5923584114762357</v>
      </c>
    </row>
    <row r="3587" spans="1:9">
      <c r="A3587" t="s">
        <v>20</v>
      </c>
      <c r="B3587" s="2">
        <f t="shared" ref="B3587:B3650" si="234">1+INT((ROW()-2)/21)+1</f>
        <v>172</v>
      </c>
      <c r="C3587">
        <v>772</v>
      </c>
      <c r="D3587">
        <v>88</v>
      </c>
      <c r="E3587">
        <v>79</v>
      </c>
      <c r="F3587">
        <f t="shared" si="232"/>
        <v>-1.0629872456470997</v>
      </c>
      <c r="G3587">
        <f t="shared" si="233"/>
        <v>-0.85069011837770392</v>
      </c>
      <c r="I3587">
        <f t="shared" ref="I3587:I3650" si="235">AVERAGE(F3587:G3587)</f>
        <v>-0.95683868201240174</v>
      </c>
    </row>
    <row r="3588" spans="1:9">
      <c r="A3588" t="s">
        <v>21</v>
      </c>
      <c r="B3588" s="2">
        <f t="shared" si="234"/>
        <v>172</v>
      </c>
      <c r="C3588">
        <v>293</v>
      </c>
      <c r="D3588">
        <v>6</v>
      </c>
      <c r="E3588">
        <v>5</v>
      </c>
      <c r="F3588">
        <f t="shared" si="232"/>
        <v>-1.8085689874319981</v>
      </c>
      <c r="G3588">
        <f t="shared" si="233"/>
        <v>-1.6285975253504998</v>
      </c>
      <c r="I3588">
        <f t="shared" si="235"/>
        <v>-1.7185832563912489</v>
      </c>
    </row>
    <row r="3589" spans="1:9">
      <c r="A3589" t="s">
        <v>22</v>
      </c>
      <c r="B3589" s="2">
        <f t="shared" si="234"/>
        <v>172</v>
      </c>
      <c r="C3589">
        <v>819</v>
      </c>
      <c r="D3589">
        <v>11</v>
      </c>
      <c r="E3589">
        <v>9</v>
      </c>
      <c r="F3589">
        <f t="shared" si="232"/>
        <v>-1.9917438340637257</v>
      </c>
      <c r="G3589">
        <f t="shared" si="233"/>
        <v>-1.8197413016535029</v>
      </c>
      <c r="I3589">
        <f t="shared" si="235"/>
        <v>-1.9057425678586144</v>
      </c>
    </row>
    <row r="3590" spans="1:9">
      <c r="A3590" t="s">
        <v>23</v>
      </c>
      <c r="B3590" s="2">
        <f t="shared" si="234"/>
        <v>172</v>
      </c>
      <c r="C3590">
        <v>236</v>
      </c>
      <c r="D3590">
        <v>8</v>
      </c>
      <c r="E3590">
        <v>12</v>
      </c>
      <c r="F3590">
        <f t="shared" si="232"/>
        <v>-1.5896746334396952</v>
      </c>
      <c r="G3590">
        <f t="shared" si="233"/>
        <v>-1.1544306662548909</v>
      </c>
      <c r="I3590">
        <f t="shared" si="235"/>
        <v>-1.3720526498472929</v>
      </c>
    </row>
    <row r="3591" spans="1:9">
      <c r="A3591" t="s">
        <v>24</v>
      </c>
      <c r="B3591" s="2">
        <f t="shared" si="234"/>
        <v>172</v>
      </c>
      <c r="C3591">
        <v>384</v>
      </c>
      <c r="D3591">
        <v>7</v>
      </c>
      <c r="E3591">
        <v>6</v>
      </c>
      <c r="F3591">
        <f t="shared" si="232"/>
        <v>-1.8590858018148062</v>
      </c>
      <c r="G3591">
        <f t="shared" si="233"/>
        <v>-1.6668798833162963</v>
      </c>
      <c r="I3591">
        <f t="shared" si="235"/>
        <v>-1.7629828425655512</v>
      </c>
    </row>
    <row r="3592" spans="1:9">
      <c r="A3592" t="s">
        <v>25</v>
      </c>
      <c r="B3592" s="2">
        <f t="shared" si="234"/>
        <v>172</v>
      </c>
      <c r="C3592">
        <v>389</v>
      </c>
      <c r="D3592">
        <v>10</v>
      </c>
      <c r="E3592">
        <v>3</v>
      </c>
      <c r="F3592">
        <f t="shared" si="232"/>
        <v>-1.7098022187872399</v>
      </c>
      <c r="G3592">
        <f t="shared" si="233"/>
        <v>-1.9735282559384544</v>
      </c>
      <c r="I3592">
        <f t="shared" si="235"/>
        <v>-1.841665237362847</v>
      </c>
    </row>
    <row r="3593" spans="1:9">
      <c r="A3593" t="s">
        <v>7</v>
      </c>
      <c r="B3593" s="2">
        <f t="shared" si="234"/>
        <v>173</v>
      </c>
      <c r="C3593">
        <v>476</v>
      </c>
      <c r="D3593">
        <v>11</v>
      </c>
      <c r="E3593">
        <v>9</v>
      </c>
      <c r="F3593">
        <f t="shared" si="232"/>
        <v>-1.7560668850238004</v>
      </c>
      <c r="G3593">
        <f t="shared" si="233"/>
        <v>-1.5840643526135776</v>
      </c>
      <c r="I3593">
        <f t="shared" si="235"/>
        <v>-1.6700656188186889</v>
      </c>
    </row>
    <row r="3594" spans="1:9">
      <c r="A3594" t="s">
        <v>8</v>
      </c>
      <c r="B3594" s="2">
        <f t="shared" si="234"/>
        <v>173</v>
      </c>
      <c r="C3594">
        <v>564</v>
      </c>
      <c r="D3594">
        <v>10</v>
      </c>
      <c r="E3594">
        <v>6</v>
      </c>
      <c r="F3594">
        <f t="shared" si="232"/>
        <v>-1.8711317214448744</v>
      </c>
      <c r="G3594">
        <f t="shared" si="233"/>
        <v>-1.833827762932108</v>
      </c>
      <c r="I3594">
        <f t="shared" si="235"/>
        <v>-1.8524797421884913</v>
      </c>
    </row>
    <row r="3595" spans="1:9">
      <c r="A3595" t="s">
        <v>5</v>
      </c>
      <c r="B3595" s="2">
        <f t="shared" si="234"/>
        <v>173</v>
      </c>
      <c r="C3595">
        <v>330</v>
      </c>
      <c r="D3595">
        <v>5</v>
      </c>
      <c r="E3595">
        <v>0</v>
      </c>
      <c r="F3595">
        <f t="shared" ref="F3595:F3658" si="236">LOG10(D3595/C3595)-LOG10(196575/149168)</f>
        <v>-1.9393965530034007</v>
      </c>
      <c r="G3595" t="e">
        <f t="shared" si="233"/>
        <v>#NUM!</v>
      </c>
      <c r="I3595" t="e">
        <f t="shared" si="235"/>
        <v>#NUM!</v>
      </c>
    </row>
    <row r="3596" spans="1:9">
      <c r="A3596" t="s">
        <v>6</v>
      </c>
      <c r="B3596" s="2">
        <f t="shared" si="234"/>
        <v>173</v>
      </c>
      <c r="C3596">
        <v>699</v>
      </c>
      <c r="D3596">
        <v>11</v>
      </c>
      <c r="E3596">
        <v>7</v>
      </c>
      <c r="F3596">
        <f t="shared" si="236"/>
        <v>-1.9229371080489885</v>
      </c>
      <c r="G3596">
        <f t="shared" si="233"/>
        <v>-1.8600790450638338</v>
      </c>
      <c r="I3596">
        <f t="shared" si="235"/>
        <v>-1.8915080765564112</v>
      </c>
    </row>
    <row r="3597" spans="1:9">
      <c r="A3597" t="s">
        <v>10</v>
      </c>
      <c r="B3597" s="2">
        <f t="shared" si="234"/>
        <v>173</v>
      </c>
      <c r="C3597">
        <v>499</v>
      </c>
      <c r="D3597">
        <v>8</v>
      </c>
      <c r="E3597">
        <v>5</v>
      </c>
      <c r="F3597">
        <f t="shared" si="236"/>
        <v>-1.9148631760929786</v>
      </c>
      <c r="G3597">
        <f t="shared" si="233"/>
        <v>-1.8598304506197805</v>
      </c>
      <c r="I3597">
        <f t="shared" si="235"/>
        <v>-1.8873468133563795</v>
      </c>
    </row>
    <row r="3598" spans="1:9">
      <c r="A3598" t="s">
        <v>11</v>
      </c>
      <c r="B3598" s="2">
        <f t="shared" si="234"/>
        <v>173</v>
      </c>
      <c r="C3598">
        <v>363</v>
      </c>
      <c r="D3598">
        <v>2</v>
      </c>
      <c r="E3598">
        <v>3</v>
      </c>
      <c r="F3598">
        <f t="shared" si="236"/>
        <v>-2.3787292468336632</v>
      </c>
      <c r="G3598">
        <f t="shared" si="233"/>
        <v>-1.9434852796488595</v>
      </c>
      <c r="I3598">
        <f t="shared" si="235"/>
        <v>-2.1611072632412611</v>
      </c>
    </row>
    <row r="3599" spans="1:9">
      <c r="A3599" t="s">
        <v>12</v>
      </c>
      <c r="B3599" s="2">
        <f t="shared" si="234"/>
        <v>173</v>
      </c>
      <c r="C3599">
        <v>1174</v>
      </c>
      <c r="D3599">
        <v>91</v>
      </c>
      <c r="E3599">
        <v>34</v>
      </c>
      <c r="F3599">
        <f t="shared" si="236"/>
        <v>-1.2304793220520343</v>
      </c>
      <c r="G3599">
        <f t="shared" si="233"/>
        <v>-1.3988890892017498</v>
      </c>
      <c r="I3599">
        <f t="shared" si="235"/>
        <v>-1.3146842056268921</v>
      </c>
    </row>
    <row r="3600" spans="1:9">
      <c r="A3600" t="s">
        <v>9</v>
      </c>
      <c r="B3600" s="2">
        <f t="shared" si="234"/>
        <v>173</v>
      </c>
      <c r="C3600">
        <v>520</v>
      </c>
      <c r="D3600">
        <v>24</v>
      </c>
      <c r="E3600">
        <v>20</v>
      </c>
      <c r="F3600">
        <f t="shared" si="236"/>
        <v>-1.4556447193847253</v>
      </c>
      <c r="G3600">
        <f t="shared" si="233"/>
        <v>-1.2756732573032272</v>
      </c>
      <c r="I3600">
        <f t="shared" si="235"/>
        <v>-1.3656589883439763</v>
      </c>
    </row>
    <row r="3601" spans="1:9">
      <c r="A3601" t="s">
        <v>13</v>
      </c>
      <c r="B3601" s="2">
        <f t="shared" si="234"/>
        <v>173</v>
      </c>
      <c r="C3601">
        <v>287</v>
      </c>
      <c r="D3601">
        <v>18</v>
      </c>
      <c r="E3601">
        <v>23</v>
      </c>
      <c r="F3601">
        <f t="shared" si="236"/>
        <v>-1.3224620090922186</v>
      </c>
      <c r="G3601">
        <f t="shared" si="233"/>
        <v>-0.95685397004880879</v>
      </c>
      <c r="I3601">
        <f t="shared" si="235"/>
        <v>-1.1396579895705137</v>
      </c>
    </row>
    <row r="3602" spans="1:9">
      <c r="A3602" t="s">
        <v>14</v>
      </c>
      <c r="B3602" s="2">
        <f t="shared" si="234"/>
        <v>173</v>
      </c>
      <c r="C3602">
        <v>280</v>
      </c>
      <c r="D3602">
        <v>5</v>
      </c>
      <c r="E3602">
        <v>3</v>
      </c>
      <c r="F3602">
        <f t="shared" si="236"/>
        <v>-1.8680406444677327</v>
      </c>
      <c r="G3602">
        <f t="shared" si="233"/>
        <v>-1.8307366859549661</v>
      </c>
      <c r="I3602">
        <f t="shared" si="235"/>
        <v>-1.8493886652113494</v>
      </c>
    </row>
    <row r="3603" spans="1:9">
      <c r="A3603" t="s">
        <v>15</v>
      </c>
      <c r="B3603" s="2">
        <f t="shared" si="234"/>
        <v>173</v>
      </c>
      <c r="C3603">
        <v>1060</v>
      </c>
      <c r="D3603">
        <v>44</v>
      </c>
      <c r="E3603">
        <v>14</v>
      </c>
      <c r="F3603">
        <f t="shared" si="236"/>
        <v>-1.501705806240115</v>
      </c>
      <c r="G3603">
        <f t="shared" ref="G3603:G3666" si="237">LOG10(E3603/C3603)-LOG10(119843/165163)</f>
        <v>-1.7398777389189415</v>
      </c>
      <c r="I3603">
        <f t="shared" si="235"/>
        <v>-1.6207917725795282</v>
      </c>
    </row>
    <row r="3604" spans="1:9">
      <c r="A3604" t="s">
        <v>16</v>
      </c>
      <c r="B3604" s="2">
        <f t="shared" si="234"/>
        <v>173</v>
      </c>
      <c r="C3604">
        <v>382</v>
      </c>
      <c r="D3604">
        <v>7</v>
      </c>
      <c r="E3604">
        <v>3</v>
      </c>
      <c r="F3604">
        <f t="shared" si="236"/>
        <v>-1.8568179403589842</v>
      </c>
      <c r="G3604">
        <f t="shared" si="237"/>
        <v>-1.9656420175244556</v>
      </c>
      <c r="I3604">
        <f t="shared" si="235"/>
        <v>-1.9112299789417198</v>
      </c>
    </row>
    <row r="3605" spans="1:9">
      <c r="A3605" t="s">
        <v>17</v>
      </c>
      <c r="B3605" s="2">
        <f t="shared" si="234"/>
        <v>173</v>
      </c>
      <c r="C3605">
        <v>446</v>
      </c>
      <c r="D3605">
        <v>81</v>
      </c>
      <c r="E3605">
        <v>74</v>
      </c>
      <c r="F3605">
        <f t="shared" si="236"/>
        <v>-0.86070245729502437</v>
      </c>
      <c r="G3605">
        <f t="shared" si="237"/>
        <v>-0.64080304831357493</v>
      </c>
      <c r="I3605">
        <f t="shared" si="235"/>
        <v>-0.75075275280429965</v>
      </c>
    </row>
    <row r="3606" spans="1:9">
      <c r="A3606" t="s">
        <v>18</v>
      </c>
      <c r="B3606" s="2">
        <f t="shared" si="234"/>
        <v>173</v>
      </c>
      <c r="C3606">
        <v>370</v>
      </c>
      <c r="D3606">
        <v>26841</v>
      </c>
      <c r="E3606">
        <v>142</v>
      </c>
      <c r="F3606">
        <f t="shared" si="236"/>
        <v>1.7407443505344358</v>
      </c>
      <c r="G3606">
        <f t="shared" si="237"/>
        <v>-0.27661328901634774</v>
      </c>
      <c r="I3606">
        <f t="shared" si="235"/>
        <v>0.73206553075904401</v>
      </c>
    </row>
    <row r="3607" spans="1:9">
      <c r="A3607" t="s">
        <v>19</v>
      </c>
      <c r="B3607" s="2">
        <f t="shared" si="234"/>
        <v>173</v>
      </c>
      <c r="C3607">
        <v>514</v>
      </c>
      <c r="D3607">
        <v>177</v>
      </c>
      <c r="E3607">
        <v>216</v>
      </c>
      <c r="F3607">
        <f t="shared" si="236"/>
        <v>-0.58284247009500123</v>
      </c>
      <c r="G3607">
        <f t="shared" si="237"/>
        <v>-0.23720927717675408</v>
      </c>
      <c r="I3607">
        <f t="shared" si="235"/>
        <v>-0.41002587363587767</v>
      </c>
    </row>
    <row r="3608" spans="1:9">
      <c r="A3608" t="s">
        <v>20</v>
      </c>
      <c r="B3608" s="2">
        <f t="shared" si="234"/>
        <v>173</v>
      </c>
      <c r="C3608">
        <v>149168</v>
      </c>
      <c r="D3608">
        <v>196575</v>
      </c>
      <c r="E3608">
        <v>183475</v>
      </c>
      <c r="F3608">
        <f t="shared" si="236"/>
        <v>0</v>
      </c>
      <c r="G3608">
        <f t="shared" si="237"/>
        <v>0.22920132016248879</v>
      </c>
      <c r="I3608">
        <f t="shared" si="235"/>
        <v>0.11460066008124439</v>
      </c>
    </row>
    <row r="3609" spans="1:9">
      <c r="A3609" t="s">
        <v>21</v>
      </c>
      <c r="B3609" s="2">
        <f t="shared" si="234"/>
        <v>173</v>
      </c>
      <c r="C3609">
        <v>487</v>
      </c>
      <c r="D3609">
        <v>26</v>
      </c>
      <c r="E3609">
        <v>23</v>
      </c>
      <c r="F3609">
        <f t="shared" si="236"/>
        <v>-1.3924082307053485</v>
      </c>
      <c r="G3609">
        <f t="shared" si="237"/>
        <v>-1.1865010345294507</v>
      </c>
      <c r="I3609">
        <f t="shared" si="235"/>
        <v>-1.2894546326173995</v>
      </c>
    </row>
    <row r="3610" spans="1:9">
      <c r="A3610" t="s">
        <v>22</v>
      </c>
      <c r="B3610" s="2">
        <f t="shared" si="234"/>
        <v>173</v>
      </c>
      <c r="C3610">
        <v>521</v>
      </c>
      <c r="D3610">
        <v>19</v>
      </c>
      <c r="E3610">
        <v>4</v>
      </c>
      <c r="F3610">
        <f t="shared" si="236"/>
        <v>-1.5579367398082278</v>
      </c>
      <c r="G3610">
        <f t="shared" si="237"/>
        <v>-1.9754776413039714</v>
      </c>
      <c r="I3610">
        <f t="shared" si="235"/>
        <v>-1.7667071905560996</v>
      </c>
    </row>
    <row r="3611" spans="1:9">
      <c r="A3611" t="s">
        <v>23</v>
      </c>
      <c r="B3611" s="2">
        <f t="shared" si="234"/>
        <v>173</v>
      </c>
      <c r="C3611">
        <v>306</v>
      </c>
      <c r="D3611">
        <v>65</v>
      </c>
      <c r="E3611">
        <v>27</v>
      </c>
      <c r="F3611">
        <f t="shared" si="236"/>
        <v>-0.79266068730025663</v>
      </c>
      <c r="G3611">
        <f t="shared" si="237"/>
        <v>-0.91505757165500201</v>
      </c>
      <c r="I3611">
        <f t="shared" si="235"/>
        <v>-0.85385912947762932</v>
      </c>
    </row>
    <row r="3612" spans="1:9">
      <c r="A3612" t="s">
        <v>24</v>
      </c>
      <c r="B3612" s="2">
        <f t="shared" si="234"/>
        <v>173</v>
      </c>
      <c r="C3612">
        <v>766</v>
      </c>
      <c r="D3612">
        <v>15</v>
      </c>
      <c r="E3612">
        <v>14</v>
      </c>
      <c r="F3612">
        <f t="shared" si="236"/>
        <v>-1.827990128038455</v>
      </c>
      <c r="G3612">
        <f t="shared" si="237"/>
        <v>-1.5988006432867752</v>
      </c>
      <c r="I3612">
        <f t="shared" si="235"/>
        <v>-1.713395385662615</v>
      </c>
    </row>
    <row r="3613" spans="1:9">
      <c r="A3613" t="s">
        <v>25</v>
      </c>
      <c r="B3613" s="2">
        <f t="shared" si="234"/>
        <v>173</v>
      </c>
      <c r="C3613">
        <v>773</v>
      </c>
      <c r="D3613">
        <v>10</v>
      </c>
      <c r="E3613">
        <v>4</v>
      </c>
      <c r="F3613">
        <f t="shared" si="236"/>
        <v>-2.0080321113798569</v>
      </c>
      <c r="G3613">
        <f t="shared" si="237"/>
        <v>-2.1468194119227717</v>
      </c>
      <c r="I3613">
        <f t="shared" si="235"/>
        <v>-2.0774257616513143</v>
      </c>
    </row>
    <row r="3614" spans="1:9">
      <c r="A3614" t="s">
        <v>7</v>
      </c>
      <c r="B3614" s="2">
        <f t="shared" si="234"/>
        <v>174</v>
      </c>
      <c r="C3614">
        <v>448</v>
      </c>
      <c r="D3614">
        <v>43</v>
      </c>
      <c r="E3614">
        <v>37</v>
      </c>
      <c r="F3614">
        <f t="shared" si="236"/>
        <v>-1.1376621758800896</v>
      </c>
      <c r="G3614">
        <f t="shared" si="237"/>
        <v>-0.94377619926355827</v>
      </c>
      <c r="I3614">
        <f t="shared" si="235"/>
        <v>-1.040719187571824</v>
      </c>
    </row>
    <row r="3615" spans="1:9">
      <c r="A3615" t="s">
        <v>8</v>
      </c>
      <c r="B3615" s="2">
        <f t="shared" si="234"/>
        <v>174</v>
      </c>
      <c r="C3615">
        <v>531</v>
      </c>
      <c r="D3615">
        <v>327</v>
      </c>
      <c r="E3615">
        <v>329</v>
      </c>
      <c r="F3615">
        <f t="shared" si="236"/>
        <v>-0.33039938588271517</v>
      </c>
      <c r="G3615">
        <f t="shared" si="237"/>
        <v>-6.8598532463903988E-2</v>
      </c>
      <c r="I3615">
        <f t="shared" si="235"/>
        <v>-0.19949895917330956</v>
      </c>
    </row>
    <row r="3616" spans="1:9">
      <c r="A3616" t="s">
        <v>5</v>
      </c>
      <c r="B3616" s="2">
        <f t="shared" si="234"/>
        <v>174</v>
      </c>
      <c r="C3616">
        <v>280</v>
      </c>
      <c r="D3616">
        <v>204</v>
      </c>
      <c r="E3616">
        <v>388</v>
      </c>
      <c r="F3616">
        <f t="shared" si="236"/>
        <v>-0.25738048137785263</v>
      </c>
      <c r="G3616">
        <f t="shared" si="237"/>
        <v>0.28097378491957881</v>
      </c>
      <c r="I3616">
        <f t="shared" si="235"/>
        <v>1.1796651770863087E-2</v>
      </c>
    </row>
    <row r="3617" spans="1:9">
      <c r="A3617" t="s">
        <v>6</v>
      </c>
      <c r="B3617" s="2">
        <f t="shared" si="234"/>
        <v>174</v>
      </c>
      <c r="C3617">
        <v>487</v>
      </c>
      <c r="D3617">
        <v>182</v>
      </c>
      <c r="E3617">
        <v>443</v>
      </c>
      <c r="F3617">
        <f t="shared" si="236"/>
        <v>-0.54731019069109177</v>
      </c>
      <c r="G3617">
        <f t="shared" si="237"/>
        <v>9.8174855676025991E-2</v>
      </c>
      <c r="I3617">
        <f t="shared" si="235"/>
        <v>-0.22456766750753288</v>
      </c>
    </row>
    <row r="3618" spans="1:9">
      <c r="A3618" t="s">
        <v>10</v>
      </c>
      <c r="B3618" s="2">
        <f t="shared" si="234"/>
        <v>174</v>
      </c>
      <c r="C3618">
        <v>247</v>
      </c>
      <c r="D3618">
        <v>254</v>
      </c>
      <c r="E3618">
        <v>75</v>
      </c>
      <c r="F3618">
        <f t="shared" si="236"/>
        <v>-0.10771585410125986</v>
      </c>
      <c r="G3618">
        <f t="shared" si="237"/>
        <v>-0.37833559920037496</v>
      </c>
      <c r="I3618">
        <f t="shared" si="235"/>
        <v>-0.2430257266508174</v>
      </c>
    </row>
    <row r="3619" spans="1:9">
      <c r="A3619" t="s">
        <v>11</v>
      </c>
      <c r="B3619" s="2">
        <f t="shared" si="234"/>
        <v>174</v>
      </c>
      <c r="C3619">
        <v>931</v>
      </c>
      <c r="D3619">
        <v>22</v>
      </c>
      <c r="E3619">
        <v>9</v>
      </c>
      <c r="F3619">
        <f t="shared" si="236"/>
        <v>-1.7463796176206685</v>
      </c>
      <c r="G3619">
        <f t="shared" si="237"/>
        <v>-1.8754070808744272</v>
      </c>
      <c r="I3619">
        <f t="shared" si="235"/>
        <v>-1.8108933492475479</v>
      </c>
    </row>
    <row r="3620" spans="1:9">
      <c r="A3620" t="s">
        <v>12</v>
      </c>
      <c r="B3620" s="2">
        <f t="shared" si="234"/>
        <v>174</v>
      </c>
      <c r="C3620">
        <v>565</v>
      </c>
      <c r="D3620">
        <v>134</v>
      </c>
      <c r="E3620">
        <v>205</v>
      </c>
      <c r="F3620">
        <f t="shared" si="236"/>
        <v>-0.74479626691616307</v>
      </c>
      <c r="G3620">
        <f t="shared" si="237"/>
        <v>-0.30099449609609341</v>
      </c>
      <c r="I3620">
        <f t="shared" si="235"/>
        <v>-0.52289538150612824</v>
      </c>
    </row>
    <row r="3621" spans="1:9">
      <c r="A3621" t="s">
        <v>9</v>
      </c>
      <c r="B3621" s="2">
        <f t="shared" si="234"/>
        <v>174</v>
      </c>
      <c r="C3621">
        <v>212</v>
      </c>
      <c r="D3621">
        <v>150</v>
      </c>
      <c r="E3621">
        <v>14</v>
      </c>
      <c r="F3621">
        <f t="shared" si="236"/>
        <v>-0.2700972193346024</v>
      </c>
      <c r="G3621">
        <f t="shared" si="237"/>
        <v>-1.0409077345829227</v>
      </c>
      <c r="I3621">
        <f t="shared" si="235"/>
        <v>-0.65550247695876251</v>
      </c>
    </row>
    <row r="3622" spans="1:9">
      <c r="A3622" t="s">
        <v>13</v>
      </c>
      <c r="B3622" s="2">
        <f t="shared" si="234"/>
        <v>174</v>
      </c>
      <c r="C3622">
        <v>146</v>
      </c>
      <c r="D3622">
        <v>111</v>
      </c>
      <c r="E3622">
        <v>32</v>
      </c>
      <c r="F3622">
        <f t="shared" si="236"/>
        <v>-0.23888249445931181</v>
      </c>
      <c r="G3622">
        <f t="shared" si="237"/>
        <v>-0.51990278679694035</v>
      </c>
      <c r="I3622">
        <f t="shared" si="235"/>
        <v>-0.37939264062812605</v>
      </c>
    </row>
    <row r="3623" spans="1:9">
      <c r="A3623" t="s">
        <v>14</v>
      </c>
      <c r="B3623" s="2">
        <f t="shared" si="234"/>
        <v>174</v>
      </c>
      <c r="C3623">
        <v>181</v>
      </c>
      <c r="D3623">
        <v>91</v>
      </c>
      <c r="E3623">
        <v>43</v>
      </c>
      <c r="F3623">
        <f t="shared" si="236"/>
        <v>-0.41848980000962299</v>
      </c>
      <c r="G3623">
        <f t="shared" si="237"/>
        <v>-0.48491002862200727</v>
      </c>
      <c r="I3623">
        <f t="shared" si="235"/>
        <v>-0.45169991431581513</v>
      </c>
    </row>
    <row r="3624" spans="1:9">
      <c r="A3624" t="s">
        <v>15</v>
      </c>
      <c r="B3624" s="2">
        <f t="shared" si="234"/>
        <v>174</v>
      </c>
      <c r="C3624">
        <v>209</v>
      </c>
      <c r="D3624">
        <v>121</v>
      </c>
      <c r="E3624">
        <v>19</v>
      </c>
      <c r="F3624">
        <f t="shared" si="236"/>
        <v>-0.35721353325613608</v>
      </c>
      <c r="G3624">
        <f t="shared" si="237"/>
        <v>-0.90209259449063417</v>
      </c>
      <c r="I3624">
        <f t="shared" si="235"/>
        <v>-0.62965306387338515</v>
      </c>
    </row>
    <row r="3625" spans="1:9">
      <c r="A3625" t="s">
        <v>16</v>
      </c>
      <c r="B3625" s="2">
        <f t="shared" si="234"/>
        <v>174</v>
      </c>
      <c r="C3625">
        <v>462</v>
      </c>
      <c r="D3625">
        <v>129</v>
      </c>
      <c r="E3625">
        <v>35</v>
      </c>
      <c r="F3625">
        <f t="shared" si="236"/>
        <v>-0.67390488271840876</v>
      </c>
      <c r="G3625">
        <f t="shared" si="237"/>
        <v>-0.98127384053825906</v>
      </c>
      <c r="I3625">
        <f t="shared" si="235"/>
        <v>-0.82758936162833385</v>
      </c>
    </row>
    <row r="3626" spans="1:9">
      <c r="A3626" t="s">
        <v>17</v>
      </c>
      <c r="B3626" s="2">
        <f t="shared" si="234"/>
        <v>174</v>
      </c>
      <c r="C3626">
        <v>161</v>
      </c>
      <c r="D3626">
        <v>96</v>
      </c>
      <c r="E3626">
        <v>40</v>
      </c>
      <c r="F3626">
        <f t="shared" si="236"/>
        <v>-0.34440726045381342</v>
      </c>
      <c r="G3626">
        <f t="shared" si="237"/>
        <v>-0.46546579403629662</v>
      </c>
      <c r="I3626">
        <f t="shared" si="235"/>
        <v>-0.40493652724505502</v>
      </c>
    </row>
    <row r="3627" spans="1:9">
      <c r="A3627" t="s">
        <v>18</v>
      </c>
      <c r="B3627" s="2">
        <f t="shared" si="234"/>
        <v>174</v>
      </c>
      <c r="C3627">
        <v>222</v>
      </c>
      <c r="D3627">
        <v>95</v>
      </c>
      <c r="E3627">
        <v>127</v>
      </c>
      <c r="F3627">
        <f t="shared" si="236"/>
        <v>-0.48848198662332298</v>
      </c>
      <c r="G3627">
        <f t="shared" si="237"/>
        <v>-0.10324916282709096</v>
      </c>
      <c r="I3627">
        <f t="shared" si="235"/>
        <v>-0.29586557472520697</v>
      </c>
    </row>
    <row r="3628" spans="1:9">
      <c r="A3628" t="s">
        <v>19</v>
      </c>
      <c r="B3628" s="2">
        <f t="shared" si="234"/>
        <v>174</v>
      </c>
      <c r="C3628">
        <v>149168</v>
      </c>
      <c r="D3628">
        <v>196575</v>
      </c>
      <c r="E3628">
        <v>183475</v>
      </c>
      <c r="F3628">
        <f t="shared" si="236"/>
        <v>0</v>
      </c>
      <c r="G3628">
        <f t="shared" si="237"/>
        <v>0.22920132016248879</v>
      </c>
      <c r="I3628">
        <f t="shared" si="235"/>
        <v>0.11460066008124439</v>
      </c>
    </row>
    <row r="3629" spans="1:9">
      <c r="A3629" t="s">
        <v>20</v>
      </c>
      <c r="B3629" s="2">
        <f t="shared" si="234"/>
        <v>174</v>
      </c>
      <c r="C3629">
        <v>418</v>
      </c>
      <c r="D3629">
        <v>4993</v>
      </c>
      <c r="E3629">
        <v>681</v>
      </c>
      <c r="F3629">
        <f t="shared" si="236"/>
        <v>0.95733266681854245</v>
      </c>
      <c r="G3629">
        <f t="shared" si="237"/>
        <v>0.35127092080534073</v>
      </c>
      <c r="I3629">
        <f t="shared" si="235"/>
        <v>0.65430179381194153</v>
      </c>
    </row>
    <row r="3630" spans="1:9">
      <c r="A3630" t="s">
        <v>21</v>
      </c>
      <c r="B3630" s="2">
        <f t="shared" si="234"/>
        <v>174</v>
      </c>
      <c r="C3630">
        <v>296</v>
      </c>
      <c r="D3630">
        <v>345</v>
      </c>
      <c r="E3630">
        <v>1347</v>
      </c>
      <c r="F3630">
        <f t="shared" si="236"/>
        <v>-5.3325233447196613E-2</v>
      </c>
      <c r="G3630">
        <f t="shared" si="237"/>
        <v>0.79737597533163773</v>
      </c>
      <c r="I3630">
        <f t="shared" si="235"/>
        <v>0.37202537094222055</v>
      </c>
    </row>
    <row r="3631" spans="1:9">
      <c r="A3631" t="s">
        <v>22</v>
      </c>
      <c r="B3631" s="2">
        <f t="shared" si="234"/>
        <v>174</v>
      </c>
      <c r="C3631">
        <v>385</v>
      </c>
      <c r="D3631">
        <v>108</v>
      </c>
      <c r="E3631">
        <v>127</v>
      </c>
      <c r="F3631">
        <f t="shared" si="236"/>
        <v>-0.67188959148308325</v>
      </c>
      <c r="G3631">
        <f t="shared" si="237"/>
        <v>-0.34235691788495304</v>
      </c>
      <c r="I3631">
        <f t="shared" si="235"/>
        <v>-0.50712325468401809</v>
      </c>
    </row>
    <row r="3632" spans="1:9">
      <c r="A3632" t="s">
        <v>23</v>
      </c>
      <c r="B3632" s="2">
        <f t="shared" si="234"/>
        <v>174</v>
      </c>
      <c r="C3632">
        <v>400</v>
      </c>
      <c r="D3632">
        <v>51</v>
      </c>
      <c r="E3632">
        <v>64</v>
      </c>
      <c r="F3632">
        <f t="shared" si="236"/>
        <v>-1.0143424326915582</v>
      </c>
      <c r="G3632">
        <f t="shared" si="237"/>
        <v>-0.65657992667648446</v>
      </c>
      <c r="I3632">
        <f t="shared" si="235"/>
        <v>-0.83546117968402134</v>
      </c>
    </row>
    <row r="3633" spans="1:9">
      <c r="A3633" t="s">
        <v>24</v>
      </c>
      <c r="B3633" s="2">
        <f t="shared" si="234"/>
        <v>174</v>
      </c>
      <c r="C3633">
        <v>362</v>
      </c>
      <c r="D3633">
        <v>45</v>
      </c>
      <c r="E3633">
        <v>25</v>
      </c>
      <c r="F3633">
        <f t="shared" si="236"/>
        <v>-1.0253486742193541</v>
      </c>
      <c r="G3633">
        <f t="shared" si="237"/>
        <v>-1.0214684711935373</v>
      </c>
      <c r="I3633">
        <f t="shared" si="235"/>
        <v>-1.0234085727064457</v>
      </c>
    </row>
    <row r="3634" spans="1:9">
      <c r="A3634" t="s">
        <v>25</v>
      </c>
      <c r="B3634" s="2">
        <f t="shared" si="234"/>
        <v>174</v>
      </c>
      <c r="C3634">
        <v>472</v>
      </c>
      <c r="D3634">
        <v>7</v>
      </c>
      <c r="E3634">
        <v>3</v>
      </c>
      <c r="F3634">
        <f t="shared" si="236"/>
        <v>-1.948696576081363</v>
      </c>
      <c r="G3634">
        <f t="shared" si="237"/>
        <v>-2.0575206532468346</v>
      </c>
      <c r="I3634">
        <f t="shared" si="235"/>
        <v>-2.0031086146640988</v>
      </c>
    </row>
    <row r="3635" spans="1:9">
      <c r="A3635" t="s">
        <v>7</v>
      </c>
      <c r="B3635" s="2">
        <f t="shared" si="234"/>
        <v>175</v>
      </c>
      <c r="C3635">
        <v>538</v>
      </c>
      <c r="D3635">
        <v>6</v>
      </c>
      <c r="E3635">
        <v>9</v>
      </c>
      <c r="F3635">
        <f t="shared" si="236"/>
        <v>-2.0724836427442774</v>
      </c>
      <c r="G3635">
        <f t="shared" si="237"/>
        <v>-1.6372396755594736</v>
      </c>
      <c r="I3635">
        <f t="shared" si="235"/>
        <v>-1.8548616591518754</v>
      </c>
    </row>
    <row r="3636" spans="1:9">
      <c r="A3636" t="s">
        <v>8</v>
      </c>
      <c r="B3636" s="2">
        <f t="shared" si="234"/>
        <v>175</v>
      </c>
      <c r="C3636">
        <v>784</v>
      </c>
      <c r="D3636">
        <v>22</v>
      </c>
      <c r="E3636">
        <v>7</v>
      </c>
      <c r="F3636">
        <f t="shared" si="236"/>
        <v>-1.6717459993237644</v>
      </c>
      <c r="G3636">
        <f t="shared" si="237"/>
        <v>-1.9099179320025907</v>
      </c>
      <c r="I3636">
        <f t="shared" si="235"/>
        <v>-1.7908319656631777</v>
      </c>
    </row>
    <row r="3637" spans="1:9">
      <c r="A3637" t="s">
        <v>5</v>
      </c>
      <c r="B3637" s="2">
        <f t="shared" si="234"/>
        <v>175</v>
      </c>
      <c r="C3637">
        <v>563</v>
      </c>
      <c r="D3637">
        <v>8</v>
      </c>
      <c r="E3637">
        <v>13</v>
      </c>
      <c r="F3637">
        <f t="shared" si="236"/>
        <v>-1.9672710253209349</v>
      </c>
      <c r="G3637">
        <f t="shared" si="237"/>
        <v>-1.4972649518769188</v>
      </c>
      <c r="I3637">
        <f t="shared" si="235"/>
        <v>-1.7322679885989269</v>
      </c>
    </row>
    <row r="3638" spans="1:9">
      <c r="A3638" t="s">
        <v>6</v>
      </c>
      <c r="B3638" s="2">
        <f t="shared" si="234"/>
        <v>175</v>
      </c>
      <c r="C3638">
        <v>112</v>
      </c>
      <c r="D3638">
        <v>42</v>
      </c>
      <c r="E3638">
        <v>119</v>
      </c>
      <c r="F3638">
        <f t="shared" si="236"/>
        <v>-0.54582134973381335</v>
      </c>
      <c r="G3638">
        <f t="shared" si="237"/>
        <v>0.16562902938993992</v>
      </c>
      <c r="I3638">
        <f t="shared" si="235"/>
        <v>-0.1900961601719367</v>
      </c>
    </row>
    <row r="3639" spans="1:9">
      <c r="A3639" t="s">
        <v>10</v>
      </c>
      <c r="B3639" s="2">
        <f t="shared" si="234"/>
        <v>175</v>
      </c>
      <c r="C3639">
        <v>390</v>
      </c>
      <c r="D3639">
        <v>9</v>
      </c>
      <c r="E3639">
        <v>8</v>
      </c>
      <c r="F3639">
        <f t="shared" si="236"/>
        <v>-1.7566747150487065</v>
      </c>
      <c r="G3639">
        <f t="shared" si="237"/>
        <v>-1.5486745293669648</v>
      </c>
      <c r="I3639">
        <f t="shared" si="235"/>
        <v>-1.6526746222078357</v>
      </c>
    </row>
    <row r="3640" spans="1:9">
      <c r="A3640" t="s">
        <v>11</v>
      </c>
      <c r="B3640" s="2">
        <f t="shared" si="234"/>
        <v>175</v>
      </c>
      <c r="C3640">
        <v>1462</v>
      </c>
      <c r="D3640">
        <v>46</v>
      </c>
      <c r="E3640">
        <v>31</v>
      </c>
      <c r="F3640">
        <f t="shared" si="236"/>
        <v>-1.6220421584017999</v>
      </c>
      <c r="G3640">
        <f t="shared" si="237"/>
        <v>-1.5342855881199782</v>
      </c>
      <c r="I3640">
        <f t="shared" si="235"/>
        <v>-1.5781638732608889</v>
      </c>
    </row>
    <row r="3641" spans="1:9">
      <c r="A3641" t="s">
        <v>12</v>
      </c>
      <c r="B3641" s="2">
        <f t="shared" si="234"/>
        <v>175</v>
      </c>
      <c r="C3641">
        <v>461</v>
      </c>
      <c r="D3641">
        <v>7</v>
      </c>
      <c r="E3641">
        <v>19</v>
      </c>
      <c r="F3641">
        <f t="shared" si="236"/>
        <v>-1.9384555028369235</v>
      </c>
      <c r="G3641">
        <f t="shared" si="237"/>
        <v>-1.2456472337692284</v>
      </c>
      <c r="I3641">
        <f t="shared" si="235"/>
        <v>-1.5920513683030759</v>
      </c>
    </row>
    <row r="3642" spans="1:9">
      <c r="A3642" t="s">
        <v>9</v>
      </c>
      <c r="B3642" s="2">
        <f t="shared" si="234"/>
        <v>175</v>
      </c>
      <c r="C3642">
        <v>598</v>
      </c>
      <c r="D3642">
        <v>11</v>
      </c>
      <c r="E3642">
        <v>548</v>
      </c>
      <c r="F3642">
        <f t="shared" si="236"/>
        <v>-1.8551611162917179</v>
      </c>
      <c r="G3642">
        <f t="shared" si="237"/>
        <v>0.10137946516354907</v>
      </c>
      <c r="I3642">
        <f t="shared" si="235"/>
        <v>-0.87689082556408438</v>
      </c>
    </row>
    <row r="3643" spans="1:9">
      <c r="A3643" t="s">
        <v>13</v>
      </c>
      <c r="B3643" s="2">
        <f t="shared" si="234"/>
        <v>175</v>
      </c>
      <c r="C3643">
        <v>683</v>
      </c>
      <c r="D3643">
        <v>9</v>
      </c>
      <c r="E3643">
        <v>21</v>
      </c>
      <c r="F3643">
        <f t="shared" si="236"/>
        <v>-2.00003081170374</v>
      </c>
      <c r="G3643">
        <f t="shared" si="237"/>
        <v>-1.3729013182800225</v>
      </c>
      <c r="I3643">
        <f t="shared" si="235"/>
        <v>-1.6864660649918812</v>
      </c>
    </row>
    <row r="3644" spans="1:9">
      <c r="A3644" t="s">
        <v>14</v>
      </c>
      <c r="B3644" s="2">
        <f t="shared" si="234"/>
        <v>175</v>
      </c>
      <c r="C3644">
        <v>706</v>
      </c>
      <c r="D3644">
        <v>15</v>
      </c>
      <c r="E3644">
        <v>11</v>
      </c>
      <c r="F3644">
        <f t="shared" si="236"/>
        <v>-1.7925660594576547</v>
      </c>
      <c r="G3644">
        <f t="shared" si="237"/>
        <v>-1.6681119252259879</v>
      </c>
      <c r="I3644">
        <f t="shared" si="235"/>
        <v>-1.7303389923418213</v>
      </c>
    </row>
    <row r="3645" spans="1:9">
      <c r="A3645" t="s">
        <v>15</v>
      </c>
      <c r="B3645" s="2">
        <f t="shared" si="234"/>
        <v>175</v>
      </c>
      <c r="C3645">
        <v>440</v>
      </c>
      <c r="D3645">
        <v>15</v>
      </c>
      <c r="E3645">
        <v>6</v>
      </c>
      <c r="F3645">
        <f t="shared" si="236"/>
        <v>-1.5872140348920385</v>
      </c>
      <c r="G3645">
        <f t="shared" si="237"/>
        <v>-1.726001335434953</v>
      </c>
      <c r="I3645">
        <f t="shared" si="235"/>
        <v>-1.6566076851634959</v>
      </c>
    </row>
    <row r="3646" spans="1:9">
      <c r="A3646" t="s">
        <v>16</v>
      </c>
      <c r="B3646" s="2">
        <f t="shared" si="234"/>
        <v>175</v>
      </c>
      <c r="C3646">
        <v>837</v>
      </c>
      <c r="D3646">
        <v>17</v>
      </c>
      <c r="E3646">
        <v>408</v>
      </c>
      <c r="F3646">
        <f t="shared" si="236"/>
        <v>-1.8121291540765183</v>
      </c>
      <c r="G3646">
        <f t="shared" si="237"/>
        <v>-0.17276520423578925</v>
      </c>
      <c r="I3646">
        <f t="shared" si="235"/>
        <v>-0.99244717915615377</v>
      </c>
    </row>
    <row r="3647" spans="1:9">
      <c r="A3647" t="s">
        <v>17</v>
      </c>
      <c r="B3647" s="2">
        <f t="shared" si="234"/>
        <v>175</v>
      </c>
      <c r="C3647">
        <v>814</v>
      </c>
      <c r="D3647">
        <v>15</v>
      </c>
      <c r="E3647">
        <v>12</v>
      </c>
      <c r="F3647">
        <f t="shared" si="236"/>
        <v>-1.8543857632950522</v>
      </c>
      <c r="G3647">
        <f t="shared" si="237"/>
        <v>-1.6921430681739857</v>
      </c>
      <c r="I3647">
        <f t="shared" si="235"/>
        <v>-1.773264415734519</v>
      </c>
    </row>
    <row r="3648" spans="1:9">
      <c r="A3648" t="s">
        <v>18</v>
      </c>
      <c r="B3648" s="2">
        <f t="shared" si="234"/>
        <v>175</v>
      </c>
      <c r="C3648">
        <v>685</v>
      </c>
      <c r="D3648">
        <v>27</v>
      </c>
      <c r="E3648">
        <v>11</v>
      </c>
      <c r="F3648">
        <f t="shared" si="236"/>
        <v>-1.5241794247949705</v>
      </c>
      <c r="G3648">
        <f t="shared" si="237"/>
        <v>-1.6549977956666098</v>
      </c>
      <c r="I3648">
        <f t="shared" si="235"/>
        <v>-1.5895886102307901</v>
      </c>
    </row>
    <row r="3649" spans="1:9">
      <c r="A3649" t="s">
        <v>19</v>
      </c>
      <c r="B3649" s="2">
        <f t="shared" si="234"/>
        <v>175</v>
      </c>
      <c r="C3649">
        <v>923</v>
      </c>
      <c r="D3649">
        <v>36</v>
      </c>
      <c r="E3649">
        <v>18</v>
      </c>
      <c r="F3649">
        <f t="shared" si="236"/>
        <v>-1.5287518177201569</v>
      </c>
      <c r="G3649">
        <f t="shared" si="237"/>
        <v>-1.5706291052550152</v>
      </c>
      <c r="I3649">
        <f t="shared" si="235"/>
        <v>-1.5496904614875859</v>
      </c>
    </row>
    <row r="3650" spans="1:9">
      <c r="A3650" t="s">
        <v>20</v>
      </c>
      <c r="B3650" s="2">
        <f t="shared" si="234"/>
        <v>175</v>
      </c>
      <c r="C3650">
        <v>721</v>
      </c>
      <c r="D3650">
        <v>25</v>
      </c>
      <c r="E3650">
        <v>29</v>
      </c>
      <c r="F3650">
        <f t="shared" si="236"/>
        <v>-1.5798478735089236</v>
      </c>
      <c r="G3650">
        <f t="shared" si="237"/>
        <v>-1.2562371761528821</v>
      </c>
      <c r="I3650">
        <f t="shared" si="235"/>
        <v>-1.418042524830903</v>
      </c>
    </row>
    <row r="3651" spans="1:9">
      <c r="A3651" t="s">
        <v>21</v>
      </c>
      <c r="B3651" s="2">
        <f t="shared" ref="B3651:B3714" si="238">1+INT((ROW()-2)/21)+1</f>
        <v>175</v>
      </c>
      <c r="C3651">
        <v>998</v>
      </c>
      <c r="D3651">
        <v>130</v>
      </c>
      <c r="E3651">
        <v>112</v>
      </c>
      <c r="F3651">
        <f t="shared" si="236"/>
        <v>-1.0050398064420665</v>
      </c>
      <c r="G3651">
        <f t="shared" si="237"/>
        <v>-0.81061242794959876</v>
      </c>
      <c r="I3651">
        <f t="shared" ref="I3651:I3714" si="239">AVERAGE(F3651:G3651)</f>
        <v>-0.90782611719583262</v>
      </c>
    </row>
    <row r="3652" spans="1:9">
      <c r="A3652" t="s">
        <v>22</v>
      </c>
      <c r="B3652" s="2">
        <f t="shared" si="238"/>
        <v>175</v>
      </c>
      <c r="C3652">
        <v>339</v>
      </c>
      <c r="D3652">
        <v>9</v>
      </c>
      <c r="E3652">
        <v>2</v>
      </c>
      <c r="F3652">
        <f t="shared" si="236"/>
        <v>-1.6958098062252895</v>
      </c>
      <c r="G3652">
        <f t="shared" si="237"/>
        <v>-2.0898696118715101</v>
      </c>
      <c r="I3652">
        <f t="shared" si="239"/>
        <v>-1.8928397090483999</v>
      </c>
    </row>
    <row r="3653" spans="1:9">
      <c r="A3653" t="s">
        <v>23</v>
      </c>
      <c r="B3653" s="2">
        <f t="shared" si="238"/>
        <v>175</v>
      </c>
      <c r="C3653">
        <v>699</v>
      </c>
      <c r="D3653">
        <v>15</v>
      </c>
      <c r="E3653">
        <v>4</v>
      </c>
      <c r="F3653">
        <f t="shared" si="236"/>
        <v>-1.7882385341515323</v>
      </c>
      <c r="G3653">
        <f t="shared" si="237"/>
        <v>-2.1031170937501282</v>
      </c>
      <c r="I3653">
        <f t="shared" si="239"/>
        <v>-1.9456778139508302</v>
      </c>
    </row>
    <row r="3654" spans="1:9">
      <c r="A3654" t="s">
        <v>24</v>
      </c>
      <c r="B3654" s="2">
        <f t="shared" si="238"/>
        <v>175</v>
      </c>
      <c r="C3654">
        <v>394</v>
      </c>
      <c r="D3654">
        <v>103</v>
      </c>
      <c r="E3654">
        <v>107</v>
      </c>
      <c r="F3654">
        <f t="shared" si="236"/>
        <v>-0.70251161458193412</v>
      </c>
      <c r="G3654">
        <f t="shared" si="237"/>
        <v>-0.4268123534727738</v>
      </c>
      <c r="I3654">
        <f t="shared" si="239"/>
        <v>-0.5646619840273539</v>
      </c>
    </row>
    <row r="3655" spans="1:9">
      <c r="A3655" t="s">
        <v>25</v>
      </c>
      <c r="B3655" s="2">
        <f t="shared" si="238"/>
        <v>175</v>
      </c>
      <c r="C3655">
        <v>389</v>
      </c>
      <c r="D3655">
        <v>6</v>
      </c>
      <c r="E3655">
        <v>10</v>
      </c>
      <c r="F3655">
        <f t="shared" si="236"/>
        <v>-1.9316509684035963</v>
      </c>
      <c r="G3655">
        <f t="shared" si="237"/>
        <v>-1.450649510658117</v>
      </c>
      <c r="I3655">
        <f t="shared" si="239"/>
        <v>-1.6911502395308566</v>
      </c>
    </row>
    <row r="3656" spans="1:9">
      <c r="A3656" t="s">
        <v>7</v>
      </c>
      <c r="B3656" s="2">
        <f t="shared" si="238"/>
        <v>176</v>
      </c>
      <c r="C3656">
        <v>1130</v>
      </c>
      <c r="D3656">
        <v>30</v>
      </c>
      <c r="E3656">
        <v>9</v>
      </c>
      <c r="F3656">
        <f t="shared" si="236"/>
        <v>-1.6958098062252895</v>
      </c>
      <c r="G3656">
        <f t="shared" si="237"/>
        <v>-1.959535843376504</v>
      </c>
      <c r="I3656">
        <f t="shared" si="239"/>
        <v>-1.8276728248008967</v>
      </c>
    </row>
    <row r="3657" spans="1:9">
      <c r="A3657" t="s">
        <v>8</v>
      </c>
      <c r="B3657" s="2">
        <f t="shared" si="238"/>
        <v>176</v>
      </c>
      <c r="C3657">
        <v>736</v>
      </c>
      <c r="D3657">
        <v>86</v>
      </c>
      <c r="E3657">
        <v>58</v>
      </c>
      <c r="F3657">
        <f t="shared" si="236"/>
        <v>-1.0522319805554632</v>
      </c>
      <c r="G3657">
        <f t="shared" si="237"/>
        <v>-0.9641497301069708</v>
      </c>
      <c r="I3657">
        <f t="shared" si="239"/>
        <v>-1.0081908553312169</v>
      </c>
    </row>
    <row r="3658" spans="1:9">
      <c r="A3658" t="s">
        <v>5</v>
      </c>
      <c r="B3658" s="2">
        <f t="shared" si="238"/>
        <v>176</v>
      </c>
      <c r="C3658">
        <v>697</v>
      </c>
      <c r="D3658">
        <v>5</v>
      </c>
      <c r="E3658">
        <v>27</v>
      </c>
      <c r="F3658">
        <f t="shared" si="236"/>
        <v>-2.2641153912235228</v>
      </c>
      <c r="G3658">
        <f t="shared" si="237"/>
        <v>-1.2725689232714315</v>
      </c>
      <c r="I3658">
        <f t="shared" si="239"/>
        <v>-1.7683421572474771</v>
      </c>
    </row>
    <row r="3659" spans="1:9">
      <c r="A3659" t="s">
        <v>6</v>
      </c>
      <c r="B3659" s="2">
        <f t="shared" si="238"/>
        <v>176</v>
      </c>
      <c r="C3659">
        <v>1328</v>
      </c>
      <c r="D3659">
        <v>28</v>
      </c>
      <c r="E3659">
        <v>10</v>
      </c>
      <c r="F3659">
        <f t="shared" ref="F3659:F3722" si="240">LOG10(D3659/C3659)-LOG10(196575/149168)</f>
        <v>-1.7958926611513117</v>
      </c>
      <c r="G3659">
        <f t="shared" si="237"/>
        <v>-1.983897984364408</v>
      </c>
      <c r="I3659">
        <f t="shared" si="239"/>
        <v>-1.8898953227578599</v>
      </c>
    </row>
    <row r="3660" spans="1:9">
      <c r="A3660" t="s">
        <v>10</v>
      </c>
      <c r="B3660" s="2">
        <f t="shared" si="238"/>
        <v>176</v>
      </c>
      <c r="C3660">
        <v>1028</v>
      </c>
      <c r="D3660">
        <v>22</v>
      </c>
      <c r="E3660">
        <v>13</v>
      </c>
      <c r="F3660">
        <f t="shared" si="240"/>
        <v>-1.7894230512985829</v>
      </c>
      <c r="G3660">
        <f t="shared" si="237"/>
        <v>-1.7587496716848294</v>
      </c>
      <c r="I3660">
        <f t="shared" si="239"/>
        <v>-1.7740863614917062</v>
      </c>
    </row>
    <row r="3661" spans="1:9">
      <c r="A3661" t="s">
        <v>11</v>
      </c>
      <c r="B3661" s="2">
        <f t="shared" si="238"/>
        <v>176</v>
      </c>
      <c r="C3661">
        <v>656</v>
      </c>
      <c r="D3661">
        <v>7</v>
      </c>
      <c r="E3661">
        <v>6</v>
      </c>
      <c r="F3661">
        <f t="shared" si="240"/>
        <v>-2.0916584168229355</v>
      </c>
      <c r="G3661">
        <f t="shared" si="237"/>
        <v>-1.8994524983244259</v>
      </c>
      <c r="I3661">
        <f t="shared" si="239"/>
        <v>-1.9955554575736807</v>
      </c>
    </row>
    <row r="3662" spans="1:9">
      <c r="A3662" t="s">
        <v>12</v>
      </c>
      <c r="B3662" s="2">
        <f t="shared" si="238"/>
        <v>176</v>
      </c>
      <c r="C3662">
        <v>838</v>
      </c>
      <c r="D3662">
        <v>36</v>
      </c>
      <c r="E3662">
        <v>22</v>
      </c>
      <c r="F3662">
        <f t="shared" si="240"/>
        <v>-1.4867941353245215</v>
      </c>
      <c r="G3662">
        <f t="shared" si="237"/>
        <v>-1.4415212471404795</v>
      </c>
      <c r="I3662">
        <f t="shared" si="239"/>
        <v>-1.4641576912325005</v>
      </c>
    </row>
    <row r="3663" spans="1:9">
      <c r="A3663" t="s">
        <v>9</v>
      </c>
      <c r="B3663" s="2">
        <f t="shared" si="238"/>
        <v>176</v>
      </c>
      <c r="C3663">
        <v>716</v>
      </c>
      <c r="D3663">
        <v>24</v>
      </c>
      <c r="E3663">
        <v>16</v>
      </c>
      <c r="F3663">
        <f t="shared" si="240"/>
        <v>-1.5945543980577817</v>
      </c>
      <c r="G3663">
        <f t="shared" si="237"/>
        <v>-1.5114929489843401</v>
      </c>
      <c r="I3663">
        <f t="shared" si="239"/>
        <v>-1.5530236735210607</v>
      </c>
    </row>
    <row r="3664" spans="1:9">
      <c r="A3664" t="s">
        <v>13</v>
      </c>
      <c r="B3664" s="2">
        <f t="shared" si="238"/>
        <v>176</v>
      </c>
      <c r="C3664">
        <v>637</v>
      </c>
      <c r="D3664">
        <v>99</v>
      </c>
      <c r="E3664">
        <v>144</v>
      </c>
      <c r="F3664">
        <f t="shared" si="240"/>
        <v>-0.92835685519933275</v>
      </c>
      <c r="G3664">
        <f t="shared" si="237"/>
        <v>-0.50647684957251005</v>
      </c>
      <c r="I3664">
        <f t="shared" si="239"/>
        <v>-0.71741685238592146</v>
      </c>
    </row>
    <row r="3665" spans="1:9">
      <c r="A3665" t="s">
        <v>14</v>
      </c>
      <c r="B3665" s="2">
        <f t="shared" si="238"/>
        <v>176</v>
      </c>
      <c r="C3665">
        <v>1025</v>
      </c>
      <c r="D3665">
        <v>154</v>
      </c>
      <c r="E3665">
        <v>183</v>
      </c>
      <c r="F3665">
        <f t="shared" si="240"/>
        <v>-0.94305576201684227</v>
      </c>
      <c r="G3665">
        <f t="shared" si="237"/>
        <v>-0.6089726849937529</v>
      </c>
      <c r="I3665">
        <f t="shared" si="239"/>
        <v>-0.77601422350529758</v>
      </c>
    </row>
    <row r="3666" spans="1:9">
      <c r="A3666" t="s">
        <v>15</v>
      </c>
      <c r="B3666" s="2">
        <f t="shared" si="238"/>
        <v>176</v>
      </c>
      <c r="C3666">
        <v>29</v>
      </c>
      <c r="D3666">
        <v>28</v>
      </c>
      <c r="E3666">
        <v>23</v>
      </c>
      <c r="F3666">
        <f t="shared" si="240"/>
        <v>-0.13509258401826901</v>
      </c>
      <c r="G3666">
        <f t="shared" si="237"/>
        <v>3.8629928786227591E-2</v>
      </c>
      <c r="I3666">
        <f t="shared" si="239"/>
        <v>-4.8231327616020711E-2</v>
      </c>
    </row>
    <row r="3667" spans="1:9">
      <c r="A3667" t="s">
        <v>16</v>
      </c>
      <c r="B3667" s="2">
        <f t="shared" si="238"/>
        <v>176</v>
      </c>
      <c r="C3667">
        <v>876</v>
      </c>
      <c r="D3667">
        <v>38</v>
      </c>
      <c r="E3667">
        <v>21</v>
      </c>
      <c r="F3667">
        <f t="shared" si="240"/>
        <v>-1.4825731270128029</v>
      </c>
      <c r="G3667">
        <f t="shared" ref="G3667:G3672" si="241">LOG10(E3667/C3667)-LOG10(119843/165163)</f>
        <v>-1.4809847207665707</v>
      </c>
      <c r="I3667">
        <f t="shared" si="239"/>
        <v>-1.4817789238896868</v>
      </c>
    </row>
    <row r="3668" spans="1:9">
      <c r="A3668" t="s">
        <v>17</v>
      </c>
      <c r="B3668" s="2">
        <f t="shared" si="238"/>
        <v>176</v>
      </c>
      <c r="C3668">
        <v>660</v>
      </c>
      <c r="D3668">
        <v>3757</v>
      </c>
      <c r="E3668">
        <v>9594</v>
      </c>
      <c r="F3668">
        <f t="shared" si="240"/>
        <v>0.63544464205998374</v>
      </c>
      <c r="G3668">
        <f t="shared" si="241"/>
        <v>1.3017558692556004</v>
      </c>
      <c r="I3668">
        <f t="shared" si="239"/>
        <v>0.96860025565779206</v>
      </c>
    </row>
    <row r="3669" spans="1:9">
      <c r="A3669" t="s">
        <v>18</v>
      </c>
      <c r="B3669" s="2">
        <f t="shared" si="238"/>
        <v>176</v>
      </c>
      <c r="C3669">
        <v>486</v>
      </c>
      <c r="D3669">
        <v>2995</v>
      </c>
      <c r="E3669">
        <v>3602</v>
      </c>
      <c r="F3669">
        <f t="shared" si="240"/>
        <v>0.66990794000150455</v>
      </c>
      <c r="G3669">
        <f t="shared" si="241"/>
        <v>1.0092075298888119</v>
      </c>
      <c r="I3669">
        <f t="shared" si="239"/>
        <v>0.83955773494515817</v>
      </c>
    </row>
    <row r="3670" spans="1:9">
      <c r="A3670" t="s">
        <v>19</v>
      </c>
      <c r="B3670" s="2">
        <f t="shared" si="238"/>
        <v>176</v>
      </c>
      <c r="C3670">
        <v>817</v>
      </c>
      <c r="D3670">
        <v>956</v>
      </c>
      <c r="E3670">
        <v>494</v>
      </c>
      <c r="F3670">
        <f t="shared" si="240"/>
        <v>-5.1616781717847587E-2</v>
      </c>
      <c r="G3670">
        <f t="shared" si="241"/>
        <v>-7.9195016941177809E-2</v>
      </c>
      <c r="I3670">
        <f t="shared" si="239"/>
        <v>-6.5405899329512698E-2</v>
      </c>
    </row>
    <row r="3671" spans="1:9">
      <c r="A3671" t="s">
        <v>20</v>
      </c>
      <c r="B3671" s="2">
        <f t="shared" si="238"/>
        <v>176</v>
      </c>
      <c r="C3671">
        <v>1105</v>
      </c>
      <c r="D3671">
        <v>4373</v>
      </c>
      <c r="E3671">
        <v>4973</v>
      </c>
      <c r="F3671">
        <f t="shared" si="240"/>
        <v>0.4775645818621953</v>
      </c>
      <c r="G3671">
        <f t="shared" si="241"/>
        <v>0.79255627187868616</v>
      </c>
      <c r="I3671">
        <f t="shared" si="239"/>
        <v>0.63506042687044073</v>
      </c>
    </row>
    <row r="3672" spans="1:9">
      <c r="A3672" t="s">
        <v>21</v>
      </c>
      <c r="B3672" s="2">
        <f t="shared" si="238"/>
        <v>176</v>
      </c>
      <c r="C3672">
        <v>939</v>
      </c>
      <c r="D3672">
        <v>2654</v>
      </c>
      <c r="E3672">
        <v>1783</v>
      </c>
      <c r="F3672">
        <f t="shared" si="240"/>
        <v>0.33138270880077358</v>
      </c>
      <c r="G3672">
        <f t="shared" si="241"/>
        <v>0.41778584157683452</v>
      </c>
      <c r="I3672">
        <f t="shared" si="239"/>
        <v>0.37458427518880405</v>
      </c>
    </row>
    <row r="3673" spans="1:9">
      <c r="A3673" t="s">
        <v>22</v>
      </c>
      <c r="B3673" s="2">
        <f t="shared" si="238"/>
        <v>176</v>
      </c>
      <c r="C3673">
        <v>849</v>
      </c>
      <c r="D3673">
        <v>19</v>
      </c>
      <c r="E3673">
        <v>14</v>
      </c>
      <c r="F3673">
        <f t="shared" si="240"/>
        <v>-1.7700067067526559</v>
      </c>
      <c r="G3673">
        <f t="shared" ref="G3659:G3722" si="242">LOG10(E3673/C3673)-LOG10(183475/149168)</f>
        <v>-1.8726808840606126</v>
      </c>
      <c r="I3673">
        <f t="shared" si="239"/>
        <v>-1.8213437954066343</v>
      </c>
    </row>
    <row r="3674" spans="1:9">
      <c r="A3674" t="s">
        <v>23</v>
      </c>
      <c r="B3674" s="2">
        <f t="shared" si="238"/>
        <v>176</v>
      </c>
      <c r="C3674">
        <v>1442</v>
      </c>
      <c r="D3674">
        <v>37</v>
      </c>
      <c r="E3674">
        <v>27</v>
      </c>
      <c r="F3674">
        <f t="shared" si="240"/>
        <v>-1.7106161537779474</v>
      </c>
      <c r="G3674">
        <f t="shared" si="242"/>
        <v>-1.817502725719321</v>
      </c>
      <c r="I3674">
        <f t="shared" si="239"/>
        <v>-1.7640594397486342</v>
      </c>
    </row>
    <row r="3675" spans="1:9">
      <c r="A3675" t="s">
        <v>24</v>
      </c>
      <c r="B3675" s="2">
        <f t="shared" si="238"/>
        <v>176</v>
      </c>
      <c r="C3675">
        <v>1893</v>
      </c>
      <c r="D3675">
        <v>47</v>
      </c>
      <c r="E3675">
        <v>26</v>
      </c>
      <c r="F3675">
        <f t="shared" si="240"/>
        <v>-1.7249053734896114</v>
      </c>
      <c r="G3675">
        <f t="shared" si="242"/>
        <v>-1.9520784954878767</v>
      </c>
      <c r="I3675">
        <f t="shared" si="239"/>
        <v>-1.838491934488744</v>
      </c>
    </row>
    <row r="3676" spans="1:9">
      <c r="A3676" t="s">
        <v>25</v>
      </c>
      <c r="B3676" s="2">
        <f t="shared" si="238"/>
        <v>176</v>
      </c>
      <c r="C3676">
        <v>1153</v>
      </c>
      <c r="D3676">
        <v>22</v>
      </c>
      <c r="E3676">
        <v>15</v>
      </c>
      <c r="F3676">
        <f t="shared" si="240"/>
        <v>-1.839259243934025</v>
      </c>
      <c r="G3676">
        <f t="shared" si="242"/>
        <v>-1.9756392777339158</v>
      </c>
      <c r="I3676">
        <f t="shared" si="239"/>
        <v>-1.9074492608339704</v>
      </c>
    </row>
    <row r="3677" spans="1:9">
      <c r="A3677" t="s">
        <v>7</v>
      </c>
      <c r="B3677" s="2">
        <f t="shared" si="238"/>
        <v>177</v>
      </c>
      <c r="C3677">
        <v>149168</v>
      </c>
      <c r="D3677">
        <v>196575</v>
      </c>
      <c r="E3677">
        <v>183475</v>
      </c>
      <c r="F3677">
        <f t="shared" si="240"/>
        <v>0</v>
      </c>
      <c r="G3677">
        <f t="shared" si="242"/>
        <v>0</v>
      </c>
      <c r="I3677">
        <f t="shared" si="239"/>
        <v>0</v>
      </c>
    </row>
    <row r="3678" spans="1:9">
      <c r="A3678" t="s">
        <v>8</v>
      </c>
      <c r="B3678" s="2">
        <f t="shared" si="238"/>
        <v>177</v>
      </c>
      <c r="C3678">
        <v>903</v>
      </c>
      <c r="D3678">
        <v>36</v>
      </c>
      <c r="E3678">
        <v>21</v>
      </c>
      <c r="F3678">
        <f t="shared" si="240"/>
        <v>-1.5192378670077507</v>
      </c>
      <c r="G3678">
        <f t="shared" si="242"/>
        <v>-1.7233696850744846</v>
      </c>
      <c r="I3678">
        <f t="shared" si="239"/>
        <v>-1.6213037760411178</v>
      </c>
    </row>
    <row r="3679" spans="1:9">
      <c r="A3679" t="s">
        <v>5</v>
      </c>
      <c r="B3679" s="2">
        <f t="shared" si="238"/>
        <v>177</v>
      </c>
      <c r="C3679">
        <v>626</v>
      </c>
      <c r="D3679">
        <v>68</v>
      </c>
      <c r="E3679">
        <v>80</v>
      </c>
      <c r="F3679">
        <f t="shared" si="240"/>
        <v>-1.0839180379657256</v>
      </c>
      <c r="G3679">
        <f t="shared" si="242"/>
        <v>-0.98338557571338414</v>
      </c>
      <c r="I3679">
        <f t="shared" si="239"/>
        <v>-1.0336518068395548</v>
      </c>
    </row>
    <row r="3680" spans="1:9">
      <c r="A3680" t="s">
        <v>6</v>
      </c>
      <c r="B3680" s="2">
        <f t="shared" si="238"/>
        <v>177</v>
      </c>
      <c r="C3680">
        <v>1365</v>
      </c>
      <c r="D3680">
        <v>101</v>
      </c>
      <c r="E3680">
        <v>31</v>
      </c>
      <c r="F3680">
        <f t="shared" si="240"/>
        <v>-1.2506638950556646</v>
      </c>
      <c r="G3680">
        <f t="shared" si="242"/>
        <v>-1.7336721870374001</v>
      </c>
      <c r="I3680">
        <f t="shared" si="239"/>
        <v>-1.4921680410465323</v>
      </c>
    </row>
    <row r="3681" spans="1:9">
      <c r="A3681" t="s">
        <v>10</v>
      </c>
      <c r="B3681" s="2">
        <f t="shared" si="238"/>
        <v>177</v>
      </c>
      <c r="C3681">
        <v>532</v>
      </c>
      <c r="D3681">
        <v>75</v>
      </c>
      <c r="E3681">
        <v>45</v>
      </c>
      <c r="F3681">
        <f t="shared" si="240"/>
        <v>-0.97070298636488028</v>
      </c>
      <c r="G3681">
        <f t="shared" si="242"/>
        <v>-1.1626003480146025</v>
      </c>
      <c r="I3681">
        <f t="shared" si="239"/>
        <v>-1.0666516671897415</v>
      </c>
    </row>
    <row r="3682" spans="1:9">
      <c r="A3682" t="s">
        <v>11</v>
      </c>
      <c r="B3682" s="2">
        <f t="shared" si="238"/>
        <v>177</v>
      </c>
      <c r="C3682">
        <v>788</v>
      </c>
      <c r="D3682">
        <v>11</v>
      </c>
      <c r="E3682">
        <v>7</v>
      </c>
      <c r="F3682">
        <f t="shared" si="240"/>
        <v>-1.9749861497928625</v>
      </c>
      <c r="G3682">
        <f t="shared" si="242"/>
        <v>-2.1413294069701965</v>
      </c>
      <c r="I3682">
        <f t="shared" si="239"/>
        <v>-2.0581577783815295</v>
      </c>
    </row>
    <row r="3683" spans="1:9">
      <c r="A3683" t="s">
        <v>12</v>
      </c>
      <c r="B3683" s="2">
        <f t="shared" si="238"/>
        <v>177</v>
      </c>
      <c r="C3683">
        <v>678</v>
      </c>
      <c r="D3683">
        <v>439</v>
      </c>
      <c r="E3683">
        <v>109</v>
      </c>
      <c r="F3683">
        <f t="shared" si="240"/>
        <v>-0.30861779108647414</v>
      </c>
      <c r="G3683">
        <f t="shared" si="242"/>
        <v>-0.88370442542133776</v>
      </c>
      <c r="I3683">
        <f t="shared" si="239"/>
        <v>-0.596161108253906</v>
      </c>
    </row>
    <row r="3684" spans="1:9">
      <c r="A3684" t="s">
        <v>9</v>
      </c>
      <c r="B3684" s="2">
        <f t="shared" si="238"/>
        <v>177</v>
      </c>
      <c r="C3684">
        <v>608</v>
      </c>
      <c r="D3684">
        <v>19</v>
      </c>
      <c r="E3684">
        <v>15</v>
      </c>
      <c r="F3684">
        <f t="shared" si="240"/>
        <v>-1.6250025957814382</v>
      </c>
      <c r="G3684">
        <f t="shared" si="242"/>
        <v>-1.6977135497119518</v>
      </c>
      <c r="I3684">
        <f t="shared" si="239"/>
        <v>-1.661358072746695</v>
      </c>
    </row>
    <row r="3685" spans="1:9">
      <c r="A3685" t="s">
        <v>13</v>
      </c>
      <c r="B3685" s="2">
        <f t="shared" si="238"/>
        <v>177</v>
      </c>
      <c r="C3685">
        <v>406</v>
      </c>
      <c r="D3685">
        <v>147</v>
      </c>
      <c r="E3685">
        <v>87</v>
      </c>
      <c r="F3685">
        <f t="shared" si="240"/>
        <v>-0.56106131629055023</v>
      </c>
      <c r="G3685">
        <f t="shared" si="242"/>
        <v>-0.75890801045347356</v>
      </c>
      <c r="I3685">
        <f t="shared" si="239"/>
        <v>-0.65998466337201189</v>
      </c>
    </row>
    <row r="3686" spans="1:9">
      <c r="A3686" t="s">
        <v>14</v>
      </c>
      <c r="B3686" s="2">
        <f t="shared" si="238"/>
        <v>177</v>
      </c>
      <c r="C3686">
        <v>270</v>
      </c>
      <c r="D3686">
        <v>66</v>
      </c>
      <c r="E3686">
        <v>61</v>
      </c>
      <c r="F3686">
        <f t="shared" si="240"/>
        <v>-0.7316724460786509</v>
      </c>
      <c r="G3686">
        <f t="shared" si="242"/>
        <v>-0.73593515864311831</v>
      </c>
      <c r="I3686">
        <f t="shared" si="239"/>
        <v>-0.7338038023608846</v>
      </c>
    </row>
    <row r="3687" spans="1:9">
      <c r="A3687" t="s">
        <v>15</v>
      </c>
      <c r="B3687" s="2">
        <f t="shared" si="238"/>
        <v>177</v>
      </c>
      <c r="C3687">
        <v>690</v>
      </c>
      <c r="D3687">
        <v>127</v>
      </c>
      <c r="E3687">
        <v>117</v>
      </c>
      <c r="F3687">
        <f t="shared" si="240"/>
        <v>-0.85489798724283061</v>
      </c>
      <c r="G3687">
        <f t="shared" si="242"/>
        <v>-0.86056445848599172</v>
      </c>
      <c r="I3687">
        <f t="shared" si="239"/>
        <v>-0.85773122286441117</v>
      </c>
    </row>
    <row r="3688" spans="1:9">
      <c r="A3688" t="s">
        <v>16</v>
      </c>
      <c r="B3688" s="2">
        <f t="shared" si="238"/>
        <v>177</v>
      </c>
      <c r="C3688">
        <v>784</v>
      </c>
      <c r="D3688">
        <v>76</v>
      </c>
      <c r="E3688">
        <v>19</v>
      </c>
      <c r="F3688">
        <f t="shared" si="240"/>
        <v>-1.1333550878651792</v>
      </c>
      <c r="G3688">
        <f t="shared" si="242"/>
        <v>-1.7054636912265075</v>
      </c>
      <c r="I3688">
        <f t="shared" si="239"/>
        <v>-1.4194093895458435</v>
      </c>
    </row>
    <row r="3689" spans="1:9">
      <c r="A3689" t="s">
        <v>17</v>
      </c>
      <c r="B3689" s="2">
        <f t="shared" si="238"/>
        <v>177</v>
      </c>
      <c r="C3689">
        <v>354</v>
      </c>
      <c r="D3689">
        <v>284</v>
      </c>
      <c r="E3689">
        <v>105</v>
      </c>
      <c r="F3689">
        <f t="shared" si="240"/>
        <v>-0.21553753944028228</v>
      </c>
      <c r="G3689">
        <f t="shared" si="242"/>
        <v>-0.6177151924507478</v>
      </c>
      <c r="I3689">
        <f t="shared" si="239"/>
        <v>-0.41662636594551505</v>
      </c>
    </row>
    <row r="3690" spans="1:9">
      <c r="A3690" t="s">
        <v>18</v>
      </c>
      <c r="B3690" s="2">
        <f t="shared" si="238"/>
        <v>177</v>
      </c>
      <c r="C3690">
        <v>630</v>
      </c>
      <c r="D3690">
        <v>801</v>
      </c>
      <c r="E3690">
        <v>283</v>
      </c>
      <c r="F3690">
        <f t="shared" si="240"/>
        <v>-1.5560650830876238E-2</v>
      </c>
      <c r="G3690">
        <f t="shared" si="242"/>
        <v>-0.43745534342418946</v>
      </c>
      <c r="I3690">
        <f t="shared" si="239"/>
        <v>-0.22650799712753283</v>
      </c>
    </row>
    <row r="3691" spans="1:9">
      <c r="A3691" t="s">
        <v>19</v>
      </c>
      <c r="B3691" s="2">
        <f t="shared" si="238"/>
        <v>177</v>
      </c>
      <c r="C3691">
        <v>469</v>
      </c>
      <c r="D3691">
        <v>87</v>
      </c>
      <c r="E3691">
        <v>34</v>
      </c>
      <c r="F3691">
        <f t="shared" si="240"/>
        <v>-0.85150620755799689</v>
      </c>
      <c r="G3691">
        <f t="shared" si="242"/>
        <v>-1.2295951551677262</v>
      </c>
      <c r="I3691">
        <f t="shared" si="239"/>
        <v>-1.0405506813628616</v>
      </c>
    </row>
    <row r="3692" spans="1:9">
      <c r="A3692" t="s">
        <v>20</v>
      </c>
      <c r="B3692" s="2">
        <f t="shared" si="238"/>
        <v>177</v>
      </c>
      <c r="C3692">
        <v>336</v>
      </c>
      <c r="D3692">
        <v>796</v>
      </c>
      <c r="E3692">
        <v>153</v>
      </c>
      <c r="F3692">
        <f t="shared" si="240"/>
        <v>0.25472117288629281</v>
      </c>
      <c r="G3692">
        <f t="shared" si="242"/>
        <v>-0.43154907606714321</v>
      </c>
      <c r="I3692">
        <f t="shared" si="239"/>
        <v>-8.8413951590425199E-2</v>
      </c>
    </row>
    <row r="3693" spans="1:9">
      <c r="A3693" t="s">
        <v>21</v>
      </c>
      <c r="B3693" s="2">
        <f t="shared" si="238"/>
        <v>177</v>
      </c>
      <c r="C3693">
        <v>439</v>
      </c>
      <c r="D3693">
        <v>633</v>
      </c>
      <c r="E3693">
        <v>453</v>
      </c>
      <c r="F3693">
        <f t="shared" si="240"/>
        <v>3.9086572313701551E-2</v>
      </c>
      <c r="G3693">
        <f t="shared" si="242"/>
        <v>-7.6267547724187507E-2</v>
      </c>
      <c r="I3693">
        <f t="shared" si="239"/>
        <v>-1.8590487705242978E-2</v>
      </c>
    </row>
    <row r="3694" spans="1:9">
      <c r="A3694" t="s">
        <v>22</v>
      </c>
      <c r="B3694" s="2">
        <f t="shared" si="238"/>
        <v>177</v>
      </c>
      <c r="C3694">
        <v>507</v>
      </c>
      <c r="D3694">
        <v>63</v>
      </c>
      <c r="E3694">
        <v>58</v>
      </c>
      <c r="F3694">
        <f t="shared" si="240"/>
        <v>-1.0255200273412863</v>
      </c>
      <c r="G3694">
        <f t="shared" si="242"/>
        <v>-1.0314811952652967</v>
      </c>
      <c r="I3694">
        <f t="shared" si="239"/>
        <v>-1.0285006113032915</v>
      </c>
    </row>
    <row r="3695" spans="1:9">
      <c r="A3695" t="s">
        <v>23</v>
      </c>
      <c r="B3695" s="2">
        <f t="shared" si="238"/>
        <v>177</v>
      </c>
      <c r="C3695">
        <v>495</v>
      </c>
      <c r="D3695">
        <v>381</v>
      </c>
      <c r="E3695">
        <v>129</v>
      </c>
      <c r="F3695">
        <f t="shared" si="240"/>
        <v>-0.2335328407194816</v>
      </c>
      <c r="G3695">
        <f t="shared" si="242"/>
        <v>-0.67391671812921772</v>
      </c>
      <c r="I3695">
        <f t="shared" si="239"/>
        <v>-0.45372477942434963</v>
      </c>
    </row>
    <row r="3696" spans="1:9">
      <c r="A3696" t="s">
        <v>24</v>
      </c>
      <c r="B3696" s="2">
        <f t="shared" si="238"/>
        <v>177</v>
      </c>
      <c r="C3696">
        <v>861</v>
      </c>
      <c r="D3696">
        <v>10</v>
      </c>
      <c r="E3696">
        <v>11</v>
      </c>
      <c r="F3696">
        <f t="shared" si="240"/>
        <v>-2.054855768915187</v>
      </c>
      <c r="G3696">
        <f t="shared" si="242"/>
        <v>-1.9835116957903276</v>
      </c>
      <c r="I3696">
        <f t="shared" si="239"/>
        <v>-2.0191837323527571</v>
      </c>
    </row>
    <row r="3697" spans="1:9">
      <c r="A3697" t="s">
        <v>25</v>
      </c>
      <c r="B3697" s="2">
        <f t="shared" si="238"/>
        <v>177</v>
      </c>
      <c r="C3697">
        <v>468</v>
      </c>
      <c r="D3697">
        <v>5</v>
      </c>
      <c r="E3697">
        <v>11</v>
      </c>
      <c r="F3697">
        <f t="shared" si="240"/>
        <v>-2.0911284661996374</v>
      </c>
      <c r="G3697">
        <f t="shared" si="242"/>
        <v>-1.7187543974107971</v>
      </c>
      <c r="I3697">
        <f t="shared" si="239"/>
        <v>-1.9049414318052174</v>
      </c>
    </row>
    <row r="3698" spans="1:9">
      <c r="A3698" t="s">
        <v>7</v>
      </c>
      <c r="B3698" s="2">
        <f t="shared" si="238"/>
        <v>178</v>
      </c>
      <c r="C3698">
        <v>149168</v>
      </c>
      <c r="D3698">
        <v>196575</v>
      </c>
      <c r="E3698">
        <v>183475</v>
      </c>
      <c r="F3698">
        <f t="shared" si="240"/>
        <v>0</v>
      </c>
      <c r="G3698">
        <f t="shared" si="242"/>
        <v>0</v>
      </c>
      <c r="I3698">
        <f t="shared" si="239"/>
        <v>0</v>
      </c>
    </row>
    <row r="3699" spans="1:9">
      <c r="A3699" t="s">
        <v>8</v>
      </c>
      <c r="B3699" s="2">
        <f t="shared" si="238"/>
        <v>178</v>
      </c>
      <c r="C3699">
        <v>1307</v>
      </c>
      <c r="D3699">
        <v>184</v>
      </c>
      <c r="E3699">
        <v>172</v>
      </c>
      <c r="F3699">
        <f t="shared" si="240"/>
        <v>-0.97131038203254005</v>
      </c>
      <c r="G3699">
        <f t="shared" si="242"/>
        <v>-0.9706483701678934</v>
      </c>
      <c r="I3699">
        <f t="shared" si="239"/>
        <v>-0.97097937610021678</v>
      </c>
    </row>
    <row r="3700" spans="1:9">
      <c r="A3700" t="s">
        <v>5</v>
      </c>
      <c r="B3700" s="2">
        <f t="shared" si="238"/>
        <v>178</v>
      </c>
      <c r="C3700">
        <v>404</v>
      </c>
      <c r="D3700">
        <v>592</v>
      </c>
      <c r="E3700">
        <v>443</v>
      </c>
      <c r="F3700">
        <f t="shared" si="240"/>
        <v>4.6087724150782633E-2</v>
      </c>
      <c r="G3700">
        <f t="shared" si="242"/>
        <v>-4.987886838243337E-2</v>
      </c>
      <c r="I3700">
        <f t="shared" si="239"/>
        <v>-1.8955721158253683E-3</v>
      </c>
    </row>
    <row r="3701" spans="1:9">
      <c r="A3701" t="s">
        <v>6</v>
      </c>
      <c r="B3701" s="2">
        <f t="shared" si="238"/>
        <v>178</v>
      </c>
      <c r="C3701">
        <v>1104</v>
      </c>
      <c r="D3701">
        <v>2188</v>
      </c>
      <c r="E3701">
        <v>836</v>
      </c>
      <c r="F3701">
        <f t="shared" si="240"/>
        <v>0.17722562680668089</v>
      </c>
      <c r="G3701">
        <f t="shared" si="242"/>
        <v>-0.21066402544906168</v>
      </c>
      <c r="I3701">
        <f t="shared" si="239"/>
        <v>-1.6719199321190398E-2</v>
      </c>
    </row>
    <row r="3702" spans="1:9">
      <c r="A3702" t="s">
        <v>10</v>
      </c>
      <c r="B3702" s="2">
        <f t="shared" si="238"/>
        <v>178</v>
      </c>
      <c r="C3702">
        <v>2621</v>
      </c>
      <c r="D3702">
        <v>827</v>
      </c>
      <c r="E3702">
        <v>389</v>
      </c>
      <c r="F3702">
        <f t="shared" si="240"/>
        <v>-0.62081412885558596</v>
      </c>
      <c r="G3702">
        <f t="shared" si="242"/>
        <v>-0.91841864911579074</v>
      </c>
      <c r="I3702">
        <f t="shared" si="239"/>
        <v>-0.7696163889856884</v>
      </c>
    </row>
    <row r="3703" spans="1:9">
      <c r="A3703" t="s">
        <v>11</v>
      </c>
      <c r="B3703" s="2">
        <f t="shared" si="238"/>
        <v>178</v>
      </c>
      <c r="C3703">
        <v>3061</v>
      </c>
      <c r="D3703">
        <v>50</v>
      </c>
      <c r="E3703">
        <v>50</v>
      </c>
      <c r="F3703">
        <f t="shared" si="240"/>
        <v>-1.9067459427228481</v>
      </c>
      <c r="G3703">
        <f t="shared" si="242"/>
        <v>-1.8767945547562139</v>
      </c>
      <c r="I3703">
        <f t="shared" si="239"/>
        <v>-1.8917702487395309</v>
      </c>
    </row>
    <row r="3704" spans="1:9">
      <c r="A3704" t="s">
        <v>12</v>
      </c>
      <c r="B3704" s="2">
        <f t="shared" si="238"/>
        <v>178</v>
      </c>
      <c r="C3704">
        <v>780</v>
      </c>
      <c r="D3704">
        <v>788</v>
      </c>
      <c r="E3704">
        <v>475</v>
      </c>
      <c r="F3704">
        <f t="shared" si="240"/>
        <v>-0.11542100266245726</v>
      </c>
      <c r="G3704">
        <f t="shared" si="242"/>
        <v>-0.30530222256051187</v>
      </c>
      <c r="I3704">
        <f t="shared" si="239"/>
        <v>-0.21036161261148456</v>
      </c>
    </row>
    <row r="3705" spans="1:9">
      <c r="A3705" t="s">
        <v>9</v>
      </c>
      <c r="B3705" s="2">
        <f t="shared" si="238"/>
        <v>178</v>
      </c>
      <c r="C3705">
        <v>277</v>
      </c>
      <c r="D3705">
        <v>305</v>
      </c>
      <c r="E3705">
        <v>53</v>
      </c>
      <c r="F3705">
        <f t="shared" si="240"/>
        <v>-7.8032547179194833E-2</v>
      </c>
      <c r="G3705">
        <f t="shared" si="242"/>
        <v>-0.80810512895855746</v>
      </c>
      <c r="I3705">
        <f t="shared" si="239"/>
        <v>-0.44306883806887615</v>
      </c>
    </row>
    <row r="3706" spans="1:9">
      <c r="A3706" t="s">
        <v>13</v>
      </c>
      <c r="B3706" s="2">
        <f t="shared" si="238"/>
        <v>178</v>
      </c>
      <c r="C3706">
        <v>661</v>
      </c>
      <c r="D3706">
        <v>265</v>
      </c>
      <c r="E3706">
        <v>388</v>
      </c>
      <c r="F3706">
        <f t="shared" si="240"/>
        <v>-0.51680820301036456</v>
      </c>
      <c r="G3706">
        <f t="shared" si="242"/>
        <v>-0.32127096338633104</v>
      </c>
      <c r="I3706">
        <f t="shared" si="239"/>
        <v>-0.41903958319834778</v>
      </c>
    </row>
    <row r="3707" spans="1:9">
      <c r="A3707" t="s">
        <v>14</v>
      </c>
      <c r="B3707" s="2">
        <f t="shared" si="238"/>
        <v>178</v>
      </c>
      <c r="C3707">
        <v>670</v>
      </c>
      <c r="D3707">
        <v>263</v>
      </c>
      <c r="E3707">
        <v>301</v>
      </c>
      <c r="F3707">
        <f t="shared" si="240"/>
        <v>-0.52597167167260073</v>
      </c>
      <c r="G3707">
        <f t="shared" si="242"/>
        <v>-0.43740953660188109</v>
      </c>
      <c r="I3707">
        <f t="shared" si="239"/>
        <v>-0.48169060413724091</v>
      </c>
    </row>
    <row r="3708" spans="1:9">
      <c r="A3708" t="s">
        <v>15</v>
      </c>
      <c r="B3708" s="2">
        <f t="shared" si="238"/>
        <v>178</v>
      </c>
      <c r="C3708">
        <v>910</v>
      </c>
      <c r="D3708">
        <v>1196</v>
      </c>
      <c r="E3708">
        <v>1125</v>
      </c>
      <c r="F3708">
        <f t="shared" si="240"/>
        <v>-1.1628301302337302E-3</v>
      </c>
      <c r="G3708">
        <f t="shared" si="242"/>
        <v>2.2099006313897052E-3</v>
      </c>
      <c r="I3708">
        <f t="shared" si="239"/>
        <v>5.235352505779875E-4</v>
      </c>
    </row>
    <row r="3709" spans="1:9">
      <c r="A3709" t="s">
        <v>16</v>
      </c>
      <c r="B3709" s="2">
        <f t="shared" si="238"/>
        <v>178</v>
      </c>
      <c r="C3709">
        <v>736</v>
      </c>
      <c r="D3709">
        <v>79</v>
      </c>
      <c r="E3709">
        <v>50</v>
      </c>
      <c r="F3709">
        <f t="shared" si="240"/>
        <v>-1.0891033405085895</v>
      </c>
      <c r="G3709">
        <f t="shared" si="242"/>
        <v>-1.2578090394963781</v>
      </c>
      <c r="I3709">
        <f t="shared" si="239"/>
        <v>-1.1734561900024838</v>
      </c>
    </row>
    <row r="3710" spans="1:9">
      <c r="A3710" t="s">
        <v>17</v>
      </c>
      <c r="B3710" s="2">
        <f t="shared" si="238"/>
        <v>178</v>
      </c>
      <c r="C3710">
        <v>829</v>
      </c>
      <c r="D3710">
        <v>448</v>
      </c>
      <c r="E3710">
        <v>421</v>
      </c>
      <c r="F3710">
        <f t="shared" si="240"/>
        <v>-0.38712913401366167</v>
      </c>
      <c r="G3710">
        <f t="shared" si="242"/>
        <v>-0.38417366420950322</v>
      </c>
      <c r="I3710">
        <f t="shared" si="239"/>
        <v>-0.38565139911158242</v>
      </c>
    </row>
    <row r="3711" spans="1:9">
      <c r="A3711" t="s">
        <v>18</v>
      </c>
      <c r="B3711" s="2">
        <f t="shared" si="238"/>
        <v>178</v>
      </c>
      <c r="C3711">
        <v>1356</v>
      </c>
      <c r="D3711">
        <v>354</v>
      </c>
      <c r="E3711">
        <v>627</v>
      </c>
      <c r="F3711">
        <f t="shared" si="240"/>
        <v>-0.70310904496678894</v>
      </c>
      <c r="G3711">
        <f t="shared" si="242"/>
        <v>-0.4248933781952261</v>
      </c>
      <c r="I3711">
        <f t="shared" si="239"/>
        <v>-0.56400121158100758</v>
      </c>
    </row>
    <row r="3712" spans="1:9">
      <c r="A3712" t="s">
        <v>19</v>
      </c>
      <c r="B3712" s="2">
        <f t="shared" si="238"/>
        <v>178</v>
      </c>
      <c r="C3712">
        <v>484</v>
      </c>
      <c r="D3712">
        <v>13</v>
      </c>
      <c r="E3712">
        <v>13</v>
      </c>
      <c r="F3712">
        <f t="shared" si="240"/>
        <v>-1.6907546267991078</v>
      </c>
      <c r="G3712">
        <f t="shared" si="242"/>
        <v>-1.6608032388324736</v>
      </c>
      <c r="I3712">
        <f t="shared" si="239"/>
        <v>-1.6757789328157906</v>
      </c>
    </row>
    <row r="3713" spans="1:9">
      <c r="A3713" t="s">
        <v>20</v>
      </c>
      <c r="B3713" s="2">
        <f t="shared" si="238"/>
        <v>178</v>
      </c>
      <c r="C3713">
        <v>408</v>
      </c>
      <c r="D3713">
        <v>598</v>
      </c>
      <c r="E3713">
        <v>313</v>
      </c>
      <c r="F3713">
        <f t="shared" si="240"/>
        <v>4.6188403436998704E-2</v>
      </c>
      <c r="G3713">
        <f t="shared" si="242"/>
        <v>-0.20501705503832945</v>
      </c>
      <c r="I3713">
        <f t="shared" si="239"/>
        <v>-7.9414325800665375E-2</v>
      </c>
    </row>
    <row r="3714" spans="1:9">
      <c r="A3714" t="s">
        <v>21</v>
      </c>
      <c r="B3714" s="2">
        <f t="shared" si="238"/>
        <v>178</v>
      </c>
      <c r="C3714">
        <v>1504</v>
      </c>
      <c r="D3714">
        <v>912</v>
      </c>
      <c r="E3714">
        <v>1442</v>
      </c>
      <c r="F3714">
        <f t="shared" si="240"/>
        <v>-0.3371056153887394</v>
      </c>
      <c r="G3714">
        <f t="shared" si="242"/>
        <v>-0.1081838053671112</v>
      </c>
      <c r="I3714">
        <f t="shared" si="239"/>
        <v>-0.2226447103779253</v>
      </c>
    </row>
    <row r="3715" spans="1:9">
      <c r="A3715" t="s">
        <v>22</v>
      </c>
      <c r="B3715" s="2">
        <f t="shared" ref="B3715:B3778" si="243">1+INT((ROW()-2)/21)+1</f>
        <v>178</v>
      </c>
      <c r="C3715">
        <v>461</v>
      </c>
      <c r="D3715">
        <v>14</v>
      </c>
      <c r="E3715">
        <v>4</v>
      </c>
      <c r="F3715">
        <f t="shared" si="240"/>
        <v>-1.6374255071729424</v>
      </c>
      <c r="G3715">
        <f t="shared" si="242"/>
        <v>-2.1515421635565839</v>
      </c>
      <c r="I3715">
        <f t="shared" ref="I3715:I3778" si="244">AVERAGE(F3715:G3715)</f>
        <v>-1.8944838353647633</v>
      </c>
    </row>
    <row r="3716" spans="1:9">
      <c r="A3716" t="s">
        <v>23</v>
      </c>
      <c r="B3716" s="2">
        <f t="shared" si="243"/>
        <v>178</v>
      </c>
      <c r="C3716">
        <v>816</v>
      </c>
      <c r="D3716">
        <v>20</v>
      </c>
      <c r="E3716">
        <v>16</v>
      </c>
      <c r="F3716">
        <f t="shared" si="240"/>
        <v>-1.7305127805514122</v>
      </c>
      <c r="G3716">
        <f t="shared" si="242"/>
        <v>-1.7974714055928342</v>
      </c>
      <c r="I3716">
        <f t="shared" si="244"/>
        <v>-1.7639920930721233</v>
      </c>
    </row>
    <row r="3717" spans="1:9">
      <c r="A3717" t="s">
        <v>24</v>
      </c>
      <c r="B3717" s="2">
        <f t="shared" si="243"/>
        <v>178</v>
      </c>
      <c r="C3717">
        <v>1225</v>
      </c>
      <c r="D3717">
        <v>42</v>
      </c>
      <c r="E3717">
        <v>24</v>
      </c>
      <c r="F3717">
        <f t="shared" si="240"/>
        <v>-1.584739415764183</v>
      </c>
      <c r="G3717">
        <f t="shared" si="242"/>
        <v>-1.7978260764838432</v>
      </c>
      <c r="I3717">
        <f t="shared" si="244"/>
        <v>-1.691282746124013</v>
      </c>
    </row>
    <row r="3718" spans="1:9">
      <c r="A3718" t="s">
        <v>25</v>
      </c>
      <c r="B3718" s="2">
        <f t="shared" si="243"/>
        <v>178</v>
      </c>
      <c r="C3718">
        <v>803</v>
      </c>
      <c r="D3718">
        <v>13</v>
      </c>
      <c r="E3718">
        <v>8</v>
      </c>
      <c r="F3718">
        <f t="shared" si="240"/>
        <v>-1.9106248104333765</v>
      </c>
      <c r="G3718">
        <f t="shared" si="242"/>
        <v>-2.0915267877816355</v>
      </c>
      <c r="I3718">
        <f t="shared" si="244"/>
        <v>-2.0010757991075061</v>
      </c>
    </row>
    <row r="3719" spans="1:9">
      <c r="A3719" t="s">
        <v>7</v>
      </c>
      <c r="B3719" s="2">
        <f t="shared" si="243"/>
        <v>179</v>
      </c>
      <c r="C3719">
        <v>827</v>
      </c>
      <c r="D3719">
        <v>49</v>
      </c>
      <c r="E3719">
        <v>15</v>
      </c>
      <c r="F3719">
        <f t="shared" si="240"/>
        <v>-1.3471620469855652</v>
      </c>
      <c r="G3719">
        <f t="shared" si="242"/>
        <v>-1.8313154799917635</v>
      </c>
      <c r="I3719">
        <f t="shared" si="244"/>
        <v>-1.5892387634886642</v>
      </c>
    </row>
    <row r="3720" spans="1:9">
      <c r="A3720" t="s">
        <v>8</v>
      </c>
      <c r="B3720" s="2">
        <f t="shared" si="243"/>
        <v>179</v>
      </c>
      <c r="C3720">
        <v>1159</v>
      </c>
      <c r="D3720">
        <v>16</v>
      </c>
      <c r="E3720">
        <v>13</v>
      </c>
      <c r="F3720">
        <f t="shared" si="240"/>
        <v>-1.9798160707692034</v>
      </c>
      <c r="G3720">
        <f t="shared" si="242"/>
        <v>-2.0400413131516575</v>
      </c>
      <c r="I3720">
        <f t="shared" si="244"/>
        <v>-2.0099286919604307</v>
      </c>
    </row>
    <row r="3721" spans="1:9">
      <c r="A3721" t="s">
        <v>5</v>
      </c>
      <c r="B3721" s="2">
        <f t="shared" si="243"/>
        <v>179</v>
      </c>
      <c r="C3721">
        <v>410</v>
      </c>
      <c r="D3721">
        <v>13</v>
      </c>
      <c r="E3721">
        <v>15</v>
      </c>
      <c r="F3721">
        <f t="shared" si="240"/>
        <v>-1.6186931218744309</v>
      </c>
      <c r="G3721">
        <f t="shared" si="242"/>
        <v>-1.5265938271589523</v>
      </c>
      <c r="I3721">
        <f t="shared" si="244"/>
        <v>-1.5726434745166915</v>
      </c>
    </row>
    <row r="3722" spans="1:9">
      <c r="A3722" t="s">
        <v>6</v>
      </c>
      <c r="B3722" s="2">
        <f t="shared" si="243"/>
        <v>179</v>
      </c>
      <c r="C3722">
        <v>1703</v>
      </c>
      <c r="D3722">
        <v>21</v>
      </c>
      <c r="E3722">
        <v>13</v>
      </c>
      <c r="F3722">
        <f t="shared" si="240"/>
        <v>-2.0288479706902138</v>
      </c>
      <c r="G3722">
        <f t="shared" si="242"/>
        <v>-2.2071725251506624</v>
      </c>
      <c r="I3722">
        <f t="shared" si="244"/>
        <v>-2.1180102479204379</v>
      </c>
    </row>
    <row r="3723" spans="1:9">
      <c r="A3723" t="s">
        <v>10</v>
      </c>
      <c r="B3723" s="2">
        <f t="shared" si="243"/>
        <v>179</v>
      </c>
      <c r="C3723">
        <v>1830</v>
      </c>
      <c r="D3723">
        <v>28</v>
      </c>
      <c r="E3723">
        <v>22</v>
      </c>
      <c r="F3723">
        <f t="shared" ref="F3723:F3786" si="245">LOG10(D3723/C3723)-LOG10(196575/149168)</f>
        <v>-1.9351456758497425</v>
      </c>
      <c r="G3723">
        <f t="shared" ref="G3723:G3786" si="246">LOG10(E3723/C3723)-LOG10(183475/149168)</f>
        <v>-2.0099296384031211</v>
      </c>
      <c r="I3723">
        <f t="shared" si="244"/>
        <v>-1.9725376571264319</v>
      </c>
    </row>
    <row r="3724" spans="1:9">
      <c r="A3724" t="s">
        <v>11</v>
      </c>
      <c r="B3724" s="2">
        <f t="shared" si="243"/>
        <v>179</v>
      </c>
      <c r="C3724">
        <v>2447</v>
      </c>
      <c r="D3724">
        <v>213</v>
      </c>
      <c r="E3724">
        <v>177</v>
      </c>
      <c r="F3724">
        <f t="shared" si="245"/>
        <v>-1.1801069833745836</v>
      </c>
      <c r="G3724">
        <f t="shared" si="246"/>
        <v>-1.2305619324848804</v>
      </c>
      <c r="I3724">
        <f t="shared" si="244"/>
        <v>-1.205334457929732</v>
      </c>
    </row>
    <row r="3725" spans="1:9">
      <c r="A3725" t="s">
        <v>12</v>
      </c>
      <c r="B3725" s="2">
        <f t="shared" si="243"/>
        <v>179</v>
      </c>
      <c r="C3725">
        <v>2158</v>
      </c>
      <c r="D3725">
        <v>49</v>
      </c>
      <c r="E3725">
        <v>24</v>
      </c>
      <c r="F3725">
        <f t="shared" si="245"/>
        <v>-1.7637079777799105</v>
      </c>
      <c r="G3725">
        <f t="shared" si="246"/>
        <v>-2.043741428130184</v>
      </c>
      <c r="I3725">
        <f t="shared" si="244"/>
        <v>-1.9037247029550473</v>
      </c>
    </row>
    <row r="3726" spans="1:9">
      <c r="A3726" t="s">
        <v>9</v>
      </c>
      <c r="B3726" s="2">
        <f t="shared" si="243"/>
        <v>179</v>
      </c>
      <c r="C3726">
        <v>240</v>
      </c>
      <c r="D3726">
        <v>2</v>
      </c>
      <c r="E3726">
        <v>4</v>
      </c>
      <c r="F3726">
        <f t="shared" si="245"/>
        <v>-2.1990338635091566</v>
      </c>
      <c r="G3726">
        <f t="shared" si="246"/>
        <v>-1.8680524798785416</v>
      </c>
      <c r="I3726">
        <f t="shared" si="244"/>
        <v>-2.0335431716938492</v>
      </c>
    </row>
    <row r="3727" spans="1:9">
      <c r="A3727" t="s">
        <v>13</v>
      </c>
      <c r="B3727" s="2">
        <f t="shared" si="243"/>
        <v>179</v>
      </c>
      <c r="C3727">
        <v>863</v>
      </c>
      <c r="D3727">
        <v>18</v>
      </c>
      <c r="E3727">
        <v>17</v>
      </c>
      <c r="F3727">
        <f t="shared" si="245"/>
        <v>-1.8005909080734357</v>
      </c>
      <c r="G3727">
        <f t="shared" si="246"/>
        <v>-1.7954631038318336</v>
      </c>
      <c r="I3727">
        <f t="shared" si="244"/>
        <v>-1.7980270059526346</v>
      </c>
    </row>
    <row r="3728" spans="1:9">
      <c r="A3728" t="s">
        <v>14</v>
      </c>
      <c r="B3728" s="2">
        <f t="shared" si="243"/>
        <v>179</v>
      </c>
      <c r="C3728">
        <v>848</v>
      </c>
      <c r="D3728">
        <v>8</v>
      </c>
      <c r="E3728">
        <v>5</v>
      </c>
      <c r="F3728">
        <f t="shared" si="245"/>
        <v>-2.1451584827263024</v>
      </c>
      <c r="G3728">
        <f t="shared" si="246"/>
        <v>-2.319327077415593</v>
      </c>
      <c r="I3728">
        <f t="shared" si="244"/>
        <v>-2.2322427800709477</v>
      </c>
    </row>
    <row r="3729" spans="1:9">
      <c r="A3729" t="s">
        <v>15</v>
      </c>
      <c r="B3729" s="2">
        <f t="shared" si="243"/>
        <v>179</v>
      </c>
      <c r="C3729">
        <v>2429</v>
      </c>
      <c r="D3729">
        <v>251</v>
      </c>
      <c r="E3729">
        <v>172</v>
      </c>
      <c r="F3729">
        <f t="shared" si="245"/>
        <v>-1.1056064107856245</v>
      </c>
      <c r="G3729">
        <f t="shared" si="246"/>
        <v>-1.2398002973924795</v>
      </c>
      <c r="I3729">
        <f t="shared" si="244"/>
        <v>-1.1727033540890521</v>
      </c>
    </row>
    <row r="3730" spans="1:9">
      <c r="A3730" t="s">
        <v>16</v>
      </c>
      <c r="B3730" s="2">
        <f t="shared" si="243"/>
        <v>179</v>
      </c>
      <c r="C3730">
        <v>935</v>
      </c>
      <c r="D3730">
        <v>26</v>
      </c>
      <c r="E3730">
        <v>14</v>
      </c>
      <c r="F3730">
        <f t="shared" si="245"/>
        <v>-1.675690880363232</v>
      </c>
      <c r="G3730">
        <f t="shared" si="246"/>
        <v>-1.9145848046891778</v>
      </c>
      <c r="I3730">
        <f t="shared" si="244"/>
        <v>-1.7951378425262048</v>
      </c>
    </row>
    <row r="3731" spans="1:9">
      <c r="A3731" t="s">
        <v>17</v>
      </c>
      <c r="B3731" s="2">
        <f t="shared" si="243"/>
        <v>179</v>
      </c>
      <c r="C3731">
        <v>266</v>
      </c>
      <c r="D3731">
        <v>16</v>
      </c>
      <c r="E3731">
        <v>18</v>
      </c>
      <c r="F3731">
        <f t="shared" si="245"/>
        <v>-1.3406142714366744</v>
      </c>
      <c r="G3731">
        <f t="shared" si="246"/>
        <v>-1.259510361022659</v>
      </c>
      <c r="I3731">
        <f t="shared" si="244"/>
        <v>-1.3000623162296667</v>
      </c>
    </row>
    <row r="3732" spans="1:9">
      <c r="A3732" t="s">
        <v>18</v>
      </c>
      <c r="B3732" s="2">
        <f t="shared" si="243"/>
        <v>179</v>
      </c>
      <c r="C3732">
        <v>997</v>
      </c>
      <c r="D3732">
        <v>33</v>
      </c>
      <c r="E3732">
        <v>18</v>
      </c>
      <c r="F3732">
        <f t="shared" si="245"/>
        <v>-1.6000338358953003</v>
      </c>
      <c r="G3732">
        <f t="shared" si="246"/>
        <v>-1.8333238827032476</v>
      </c>
      <c r="I3732">
        <f t="shared" si="244"/>
        <v>-1.7166788592992739</v>
      </c>
    </row>
    <row r="3733" spans="1:9">
      <c r="A3733" t="s">
        <v>19</v>
      </c>
      <c r="B3733" s="2">
        <f t="shared" si="243"/>
        <v>179</v>
      </c>
      <c r="C3733">
        <v>557</v>
      </c>
      <c r="D3733">
        <v>9</v>
      </c>
      <c r="E3733">
        <v>2</v>
      </c>
      <c r="F3733">
        <f t="shared" si="245"/>
        <v>-1.9114653031959363</v>
      </c>
      <c r="G3733">
        <f t="shared" si="246"/>
        <v>-2.5347264290046456</v>
      </c>
      <c r="I3733">
        <f t="shared" si="244"/>
        <v>-2.2230958661002909</v>
      </c>
    </row>
    <row r="3734" spans="1:9">
      <c r="A3734" t="s">
        <v>20</v>
      </c>
      <c r="B3734" s="2">
        <f t="shared" si="243"/>
        <v>179</v>
      </c>
      <c r="C3734">
        <v>18</v>
      </c>
      <c r="D3734">
        <v>11</v>
      </c>
      <c r="E3734">
        <v>13</v>
      </c>
      <c r="F3734">
        <f t="shared" si="245"/>
        <v>-0.33373243740661318</v>
      </c>
      <c r="G3734">
        <f t="shared" si="246"/>
        <v>-0.23123038229136733</v>
      </c>
      <c r="I3734">
        <f t="shared" si="244"/>
        <v>-0.28248140984899028</v>
      </c>
    </row>
    <row r="3735" spans="1:9">
      <c r="A3735" t="s">
        <v>21</v>
      </c>
      <c r="B3735" s="2">
        <f t="shared" si="243"/>
        <v>179</v>
      </c>
      <c r="C3735">
        <v>1123</v>
      </c>
      <c r="D3735">
        <v>27</v>
      </c>
      <c r="E3735">
        <v>13</v>
      </c>
      <c r="F3735">
        <f t="shared" si="245"/>
        <v>-1.7388686095640027</v>
      </c>
      <c r="G3735">
        <f t="shared" si="246"/>
        <v>-2.0263376334495189</v>
      </c>
      <c r="I3735">
        <f t="shared" si="244"/>
        <v>-1.8826031215067607</v>
      </c>
    </row>
    <row r="3736" spans="1:9">
      <c r="A3736" t="s">
        <v>22</v>
      </c>
      <c r="B3736" s="2">
        <f t="shared" si="243"/>
        <v>179</v>
      </c>
      <c r="C3736">
        <v>408</v>
      </c>
      <c r="D3736">
        <v>5</v>
      </c>
      <c r="E3736">
        <v>2</v>
      </c>
      <c r="F3736">
        <f t="shared" si="245"/>
        <v>-2.0315427762153933</v>
      </c>
      <c r="G3736">
        <f t="shared" si="246"/>
        <v>-2.3995313969207968</v>
      </c>
      <c r="I3736">
        <f t="shared" si="244"/>
        <v>-2.2155370865680952</v>
      </c>
    </row>
    <row r="3737" spans="1:9">
      <c r="A3737" t="s">
        <v>23</v>
      </c>
      <c r="B3737" s="2">
        <f t="shared" si="243"/>
        <v>179</v>
      </c>
      <c r="C3737">
        <v>621</v>
      </c>
      <c r="D3737">
        <v>438</v>
      </c>
      <c r="E3737">
        <v>331</v>
      </c>
      <c r="F3737">
        <f t="shared" si="245"/>
        <v>-0.27147010713401282</v>
      </c>
      <c r="G3737">
        <f t="shared" si="246"/>
        <v>-0.36316483589575943</v>
      </c>
      <c r="I3737">
        <f t="shared" si="244"/>
        <v>-0.3173174715148861</v>
      </c>
    </row>
    <row r="3738" spans="1:9">
      <c r="A3738" t="s">
        <v>24</v>
      </c>
      <c r="B3738" s="2">
        <f t="shared" si="243"/>
        <v>179</v>
      </c>
      <c r="C3738">
        <v>1235</v>
      </c>
      <c r="D3738">
        <v>10</v>
      </c>
      <c r="E3738">
        <v>10</v>
      </c>
      <c r="F3738">
        <f t="shared" si="245"/>
        <v>-2.2115195750572165</v>
      </c>
      <c r="G3738">
        <f t="shared" si="246"/>
        <v>-2.1815681870905825</v>
      </c>
      <c r="I3738">
        <f t="shared" si="244"/>
        <v>-2.1965438810738993</v>
      </c>
    </row>
    <row r="3739" spans="1:9">
      <c r="A3739" t="s">
        <v>25</v>
      </c>
      <c r="B3739" s="2">
        <f t="shared" si="243"/>
        <v>179</v>
      </c>
      <c r="C3739">
        <v>658</v>
      </c>
      <c r="D3739">
        <v>11</v>
      </c>
      <c r="E3739">
        <v>10</v>
      </c>
      <c r="F3739">
        <f t="shared" si="245"/>
        <v>-1.8966858259172628</v>
      </c>
      <c r="G3739">
        <f t="shared" si="246"/>
        <v>-1.9081271231088535</v>
      </c>
      <c r="I3739">
        <f t="shared" si="244"/>
        <v>-1.9024064745130582</v>
      </c>
    </row>
    <row r="3740" spans="1:9">
      <c r="A3740" t="s">
        <v>7</v>
      </c>
      <c r="B3740" s="2">
        <f t="shared" si="243"/>
        <v>180</v>
      </c>
      <c r="C3740">
        <v>1358</v>
      </c>
      <c r="D3740">
        <v>90</v>
      </c>
      <c r="E3740">
        <v>62</v>
      </c>
      <c r="F3740">
        <f t="shared" si="245"/>
        <v>-1.2985098779666902</v>
      </c>
      <c r="G3740">
        <f t="shared" si="246"/>
        <v>-1.430409309941127</v>
      </c>
      <c r="I3740">
        <f t="shared" si="244"/>
        <v>-1.3644595939539086</v>
      </c>
    </row>
    <row r="3741" spans="1:9">
      <c r="A3741" t="s">
        <v>8</v>
      </c>
      <c r="B3741" s="2">
        <f t="shared" si="243"/>
        <v>180</v>
      </c>
      <c r="C3741">
        <v>1034</v>
      </c>
      <c r="D3741">
        <v>18</v>
      </c>
      <c r="E3741">
        <v>10</v>
      </c>
      <c r="F3741">
        <f t="shared" si="245"/>
        <v>-1.8791006511161499</v>
      </c>
      <c r="G3741">
        <f t="shared" si="246"/>
        <v>-2.1044217682528217</v>
      </c>
      <c r="I3741">
        <f t="shared" si="244"/>
        <v>-1.9917612096844857</v>
      </c>
    </row>
    <row r="3742" spans="1:9">
      <c r="A3742" t="s">
        <v>5</v>
      </c>
      <c r="B3742" s="2">
        <f t="shared" si="243"/>
        <v>180</v>
      </c>
      <c r="C3742">
        <v>512</v>
      </c>
      <c r="D3742">
        <v>16</v>
      </c>
      <c r="E3742">
        <v>17</v>
      </c>
      <c r="F3742">
        <f t="shared" si="245"/>
        <v>-1.6250025957814382</v>
      </c>
      <c r="G3742">
        <f t="shared" si="246"/>
        <v>-1.5687222690924547</v>
      </c>
      <c r="I3742">
        <f t="shared" si="244"/>
        <v>-1.5968624324369465</v>
      </c>
    </row>
    <row r="3743" spans="1:9">
      <c r="A3743" t="s">
        <v>6</v>
      </c>
      <c r="B3743" s="2">
        <f t="shared" si="243"/>
        <v>180</v>
      </c>
      <c r="C3743">
        <v>522</v>
      </c>
      <c r="D3743">
        <v>19</v>
      </c>
      <c r="E3743">
        <v>27</v>
      </c>
      <c r="F3743">
        <f t="shared" si="245"/>
        <v>-1.5587695195109654</v>
      </c>
      <c r="G3743">
        <f t="shared" si="246"/>
        <v>-1.3762079683381729</v>
      </c>
      <c r="I3743">
        <f t="shared" si="244"/>
        <v>-1.4674887439245692</v>
      </c>
    </row>
    <row r="3744" spans="1:9">
      <c r="A3744" t="s">
        <v>10</v>
      </c>
      <c r="B3744" s="2">
        <f t="shared" si="243"/>
        <v>180</v>
      </c>
      <c r="C3744">
        <v>896</v>
      </c>
      <c r="D3744">
        <v>13</v>
      </c>
      <c r="E3744">
        <v>13</v>
      </c>
      <c r="F3744">
        <f t="shared" si="245"/>
        <v>-1.9582172748168205</v>
      </c>
      <c r="G3744">
        <f t="shared" si="246"/>
        <v>-1.9282658868501863</v>
      </c>
      <c r="I3744">
        <f t="shared" si="244"/>
        <v>-1.9432415808335035</v>
      </c>
    </row>
    <row r="3745" spans="1:9">
      <c r="A3745" t="s">
        <v>11</v>
      </c>
      <c r="B3745" s="2">
        <f t="shared" si="243"/>
        <v>180</v>
      </c>
      <c r="C3745">
        <v>1869</v>
      </c>
      <c r="D3745">
        <v>53</v>
      </c>
      <c r="E3745">
        <v>33</v>
      </c>
      <c r="F3745">
        <f t="shared" si="245"/>
        <v>-1.6671860492395751</v>
      </c>
      <c r="G3745">
        <f t="shared" si="246"/>
        <v>-1.8429965909958426</v>
      </c>
      <c r="I3745">
        <f t="shared" si="244"/>
        <v>-1.755091320117709</v>
      </c>
    </row>
    <row r="3746" spans="1:9">
      <c r="A3746" t="s">
        <v>12</v>
      </c>
      <c r="B3746" s="2">
        <f t="shared" si="243"/>
        <v>180</v>
      </c>
      <c r="C3746">
        <v>1224</v>
      </c>
      <c r="D3746">
        <v>14</v>
      </c>
      <c r="E3746">
        <v>11</v>
      </c>
      <c r="F3746">
        <f t="shared" si="245"/>
        <v>-2.0615059995928364</v>
      </c>
      <c r="G3746">
        <f t="shared" si="246"/>
        <v>-2.1362899621462152</v>
      </c>
      <c r="I3746">
        <f t="shared" si="244"/>
        <v>-2.0988979808695261</v>
      </c>
    </row>
    <row r="3747" spans="1:9">
      <c r="A3747" t="s">
        <v>9</v>
      </c>
      <c r="B3747" s="2">
        <f t="shared" si="243"/>
        <v>180</v>
      </c>
      <c r="C3747">
        <v>301</v>
      </c>
      <c r="D3747">
        <v>3</v>
      </c>
      <c r="E3747">
        <v>1</v>
      </c>
      <c r="F3747">
        <f t="shared" si="245"/>
        <v>-2.1212978583357129</v>
      </c>
      <c r="G3747">
        <f t="shared" si="246"/>
        <v>-2.5684677250887415</v>
      </c>
      <c r="I3747">
        <f t="shared" si="244"/>
        <v>-2.3448827917122275</v>
      </c>
    </row>
    <row r="3748" spans="1:9">
      <c r="A3748" t="s">
        <v>13</v>
      </c>
      <c r="B3748" s="2">
        <f t="shared" si="243"/>
        <v>180</v>
      </c>
      <c r="C3748">
        <v>591</v>
      </c>
      <c r="D3748">
        <v>11</v>
      </c>
      <c r="E3748">
        <v>4</v>
      </c>
      <c r="F3748">
        <f t="shared" si="245"/>
        <v>-1.8500474131845626</v>
      </c>
      <c r="G3748">
        <f t="shared" si="246"/>
        <v>-2.259428719048191</v>
      </c>
      <c r="I3748">
        <f t="shared" si="244"/>
        <v>-2.0547380661163768</v>
      </c>
    </row>
    <row r="3749" spans="1:9">
      <c r="A3749" t="s">
        <v>14</v>
      </c>
      <c r="B3749" s="2">
        <f t="shared" si="243"/>
        <v>180</v>
      </c>
      <c r="C3749">
        <v>1308</v>
      </c>
      <c r="D3749">
        <v>27</v>
      </c>
      <c r="E3749">
        <v>24</v>
      </c>
      <c r="F3749">
        <f t="shared" si="245"/>
        <v>-1.8050965972907933</v>
      </c>
      <c r="G3749">
        <f t="shared" si="246"/>
        <v>-1.8262977317715403</v>
      </c>
      <c r="I3749">
        <f t="shared" si="244"/>
        <v>-1.8156971645311668</v>
      </c>
    </row>
    <row r="3750" spans="1:9">
      <c r="A3750" t="s">
        <v>15</v>
      </c>
      <c r="B3750" s="2">
        <f t="shared" si="243"/>
        <v>180</v>
      </c>
      <c r="C3750">
        <v>1171</v>
      </c>
      <c r="D3750">
        <v>68</v>
      </c>
      <c r="E3750">
        <v>37</v>
      </c>
      <c r="F3750">
        <f t="shared" si="245"/>
        <v>-1.355900599827659</v>
      </c>
      <c r="G3750">
        <f t="shared" si="246"/>
        <v>-1.5902564005002662</v>
      </c>
      <c r="I3750">
        <f t="shared" si="244"/>
        <v>-1.4730785001639626</v>
      </c>
    </row>
    <row r="3751" spans="1:9">
      <c r="A3751" t="s">
        <v>16</v>
      </c>
      <c r="B3751" s="2">
        <f t="shared" si="243"/>
        <v>180</v>
      </c>
      <c r="C3751">
        <v>906</v>
      </c>
      <c r="D3751">
        <v>12</v>
      </c>
      <c r="E3751">
        <v>11</v>
      </c>
      <c r="F3751">
        <f t="shared" si="245"/>
        <v>-1.9977995690907204</v>
      </c>
      <c r="G3751">
        <f t="shared" si="246"/>
        <v>-2.0056367420134862</v>
      </c>
      <c r="I3751">
        <f t="shared" si="244"/>
        <v>-2.0017181555521031</v>
      </c>
    </row>
    <row r="3752" spans="1:9">
      <c r="A3752" t="s">
        <v>17</v>
      </c>
      <c r="B3752" s="2">
        <f t="shared" si="243"/>
        <v>180</v>
      </c>
      <c r="C3752">
        <v>314</v>
      </c>
      <c r="D3752">
        <v>10</v>
      </c>
      <c r="E3752">
        <v>12</v>
      </c>
      <c r="F3752">
        <f t="shared" si="245"/>
        <v>-1.616782265534747</v>
      </c>
      <c r="G3752">
        <f t="shared" si="246"/>
        <v>-1.5076496315204881</v>
      </c>
      <c r="I3752">
        <f t="shared" si="244"/>
        <v>-1.5622159485276175</v>
      </c>
    </row>
    <row r="3753" spans="1:9">
      <c r="A3753" t="s">
        <v>18</v>
      </c>
      <c r="B3753" s="2">
        <f t="shared" si="243"/>
        <v>180</v>
      </c>
      <c r="C3753">
        <v>149168</v>
      </c>
      <c r="D3753">
        <v>196575</v>
      </c>
      <c r="E3753">
        <v>183475</v>
      </c>
      <c r="F3753">
        <f t="shared" si="245"/>
        <v>0</v>
      </c>
      <c r="G3753">
        <f t="shared" si="246"/>
        <v>0</v>
      </c>
      <c r="I3753">
        <f t="shared" si="244"/>
        <v>0</v>
      </c>
    </row>
    <row r="3754" spans="1:9">
      <c r="A3754" t="s">
        <v>19</v>
      </c>
      <c r="B3754" s="2">
        <f t="shared" si="243"/>
        <v>180</v>
      </c>
      <c r="C3754">
        <v>826</v>
      </c>
      <c r="D3754">
        <v>9</v>
      </c>
      <c r="E3754">
        <v>1</v>
      </c>
      <c r="F3754">
        <f t="shared" si="245"/>
        <v>-2.0825901553425896</v>
      </c>
      <c r="G3754">
        <f t="shared" si="246"/>
        <v>-3.0068812768152804</v>
      </c>
      <c r="I3754">
        <f t="shared" si="244"/>
        <v>-2.544735716078935</v>
      </c>
    </row>
    <row r="3755" spans="1:9">
      <c r="A3755" t="s">
        <v>20</v>
      </c>
      <c r="B3755" s="2">
        <f t="shared" si="243"/>
        <v>180</v>
      </c>
      <c r="C3755">
        <v>773</v>
      </c>
      <c r="D3755">
        <v>20</v>
      </c>
      <c r="E3755">
        <v>12</v>
      </c>
      <c r="F3755">
        <f t="shared" si="245"/>
        <v>-1.7070021157158759</v>
      </c>
      <c r="G3755">
        <f t="shared" si="246"/>
        <v>-1.8988994773655981</v>
      </c>
      <c r="I3755">
        <f t="shared" si="244"/>
        <v>-1.802950796540737</v>
      </c>
    </row>
    <row r="3756" spans="1:9">
      <c r="A3756" t="s">
        <v>21</v>
      </c>
      <c r="B3756" s="2">
        <f t="shared" si="243"/>
        <v>180</v>
      </c>
      <c r="C3756">
        <v>644</v>
      </c>
      <c r="D3756">
        <v>184</v>
      </c>
      <c r="E3756">
        <v>81</v>
      </c>
      <c r="F3756">
        <f t="shared" si="245"/>
        <v>-0.66392066181180787</v>
      </c>
      <c r="G3756">
        <f t="shared" si="246"/>
        <v>-0.9903020779760604</v>
      </c>
      <c r="I3756">
        <f t="shared" si="244"/>
        <v>-0.82711136989393408</v>
      </c>
    </row>
    <row r="3757" spans="1:9">
      <c r="A3757" t="s">
        <v>22</v>
      </c>
      <c r="B3757" s="2">
        <f t="shared" si="243"/>
        <v>180</v>
      </c>
      <c r="C3757">
        <v>675</v>
      </c>
      <c r="D3757">
        <v>55</v>
      </c>
      <c r="E3757">
        <v>41</v>
      </c>
      <c r="F3757">
        <f t="shared" si="245"/>
        <v>-1.2087937007983132</v>
      </c>
      <c r="G3757">
        <f t="shared" si="246"/>
        <v>-1.3064211456061874</v>
      </c>
      <c r="I3757">
        <f t="shared" si="244"/>
        <v>-1.2576074232022503</v>
      </c>
    </row>
    <row r="3758" spans="1:9">
      <c r="A3758" t="s">
        <v>23</v>
      </c>
      <c r="B3758" s="2">
        <f t="shared" si="243"/>
        <v>180</v>
      </c>
      <c r="C3758">
        <v>621</v>
      </c>
      <c r="D3758">
        <v>56</v>
      </c>
      <c r="E3758">
        <v>33</v>
      </c>
      <c r="F3758">
        <f t="shared" si="245"/>
        <v>-1.1647561906319119</v>
      </c>
      <c r="G3758">
        <f t="shared" si="246"/>
        <v>-1.3644788897935907</v>
      </c>
      <c r="I3758">
        <f t="shared" si="244"/>
        <v>-1.2646175402127513</v>
      </c>
    </row>
    <row r="3759" spans="1:9">
      <c r="A3759" t="s">
        <v>24</v>
      </c>
      <c r="B3759" s="2">
        <f t="shared" si="243"/>
        <v>180</v>
      </c>
      <c r="C3759">
        <v>417</v>
      </c>
      <c r="D3759">
        <v>16</v>
      </c>
      <c r="E3759">
        <v>5</v>
      </c>
      <c r="F3759">
        <f t="shared" si="245"/>
        <v>-1.535868689779365</v>
      </c>
      <c r="G3759">
        <f t="shared" si="246"/>
        <v>-2.0110672801326368</v>
      </c>
      <c r="I3759">
        <f t="shared" si="244"/>
        <v>-1.7734679849560009</v>
      </c>
    </row>
    <row r="3760" spans="1:9">
      <c r="A3760" t="s">
        <v>25</v>
      </c>
      <c r="B3760" s="2">
        <f t="shared" si="243"/>
        <v>180</v>
      </c>
      <c r="C3760">
        <v>466</v>
      </c>
      <c r="D3760">
        <v>4</v>
      </c>
      <c r="E3760">
        <v>4</v>
      </c>
      <c r="F3760">
        <f t="shared" si="245"/>
        <v>-2.1861785428235696</v>
      </c>
      <c r="G3760">
        <f t="shared" si="246"/>
        <v>-2.1562271548569356</v>
      </c>
      <c r="I3760">
        <f t="shared" si="244"/>
        <v>-2.1712028488402524</v>
      </c>
    </row>
    <row r="3761" spans="1:9">
      <c r="A3761" t="s">
        <v>7</v>
      </c>
      <c r="B3761" s="2">
        <f t="shared" si="243"/>
        <v>181</v>
      </c>
      <c r="C3761">
        <v>1458</v>
      </c>
      <c r="D3761">
        <v>583</v>
      </c>
      <c r="E3761">
        <v>322</v>
      </c>
      <c r="F3761">
        <f t="shared" si="245"/>
        <v>-0.51794158668447388</v>
      </c>
      <c r="G3761">
        <f t="shared" si="246"/>
        <v>-0.74580288178102294</v>
      </c>
      <c r="I3761">
        <f t="shared" si="244"/>
        <v>-0.63187223423274841</v>
      </c>
    </row>
    <row r="3762" spans="1:9">
      <c r="A3762" t="s">
        <v>8</v>
      </c>
      <c r="B3762" s="2">
        <f t="shared" si="243"/>
        <v>181</v>
      </c>
      <c r="C3762">
        <v>1431</v>
      </c>
      <c r="D3762">
        <v>233</v>
      </c>
      <c r="E3762">
        <v>155</v>
      </c>
      <c r="F3762">
        <f t="shared" si="245"/>
        <v>-0.90813633019528961</v>
      </c>
      <c r="G3762">
        <f t="shared" si="246"/>
        <v>-1.0552091650843829</v>
      </c>
      <c r="I3762">
        <f t="shared" si="244"/>
        <v>-0.98167274763983625</v>
      </c>
    </row>
    <row r="3763" spans="1:9">
      <c r="A3763" t="s">
        <v>5</v>
      </c>
      <c r="B3763" s="2">
        <f t="shared" si="243"/>
        <v>181</v>
      </c>
      <c r="C3763">
        <v>826</v>
      </c>
      <c r="D3763">
        <v>1523</v>
      </c>
      <c r="E3763">
        <v>890</v>
      </c>
      <c r="F3763">
        <f t="shared" si="245"/>
        <v>0.14586723855412823</v>
      </c>
      <c r="G3763">
        <f t="shared" si="246"/>
        <v>-5.749127017036746E-2</v>
      </c>
      <c r="I3763">
        <f t="shared" si="244"/>
        <v>4.4187984191880386E-2</v>
      </c>
    </row>
    <row r="3764" spans="1:9">
      <c r="A3764" t="s">
        <v>6</v>
      </c>
      <c r="B3764" s="2">
        <f t="shared" si="243"/>
        <v>181</v>
      </c>
      <c r="C3764">
        <v>1174</v>
      </c>
      <c r="D3764">
        <v>2525</v>
      </c>
      <c r="E3764">
        <v>1965</v>
      </c>
      <c r="F3764">
        <f t="shared" si="245"/>
        <v>0.21274066808155231</v>
      </c>
      <c r="G3764">
        <f t="shared" si="246"/>
        <v>0.13379322830495183</v>
      </c>
      <c r="I3764">
        <f t="shared" si="244"/>
        <v>0.17326694819325206</v>
      </c>
    </row>
    <row r="3765" spans="1:9">
      <c r="A3765" t="s">
        <v>10</v>
      </c>
      <c r="B3765" s="2">
        <f t="shared" si="243"/>
        <v>181</v>
      </c>
      <c r="C3765">
        <v>1553</v>
      </c>
      <c r="D3765">
        <v>1196</v>
      </c>
      <c r="E3765">
        <v>1278</v>
      </c>
      <c r="F3765">
        <f t="shared" si="245"/>
        <v>-0.23329289353769866</v>
      </c>
      <c r="G3765">
        <f t="shared" si="246"/>
        <v>-0.17454183140107515</v>
      </c>
      <c r="I3765">
        <f t="shared" si="244"/>
        <v>-0.20391736246938691</v>
      </c>
    </row>
    <row r="3766" spans="1:9">
      <c r="A3766" t="s">
        <v>11</v>
      </c>
      <c r="B3766" s="2">
        <f t="shared" si="243"/>
        <v>181</v>
      </c>
      <c r="C3766">
        <v>1377</v>
      </c>
      <c r="D3766">
        <v>210</v>
      </c>
      <c r="E3766">
        <v>258</v>
      </c>
      <c r="F3766">
        <f t="shared" si="245"/>
        <v>-0.93656726298453663</v>
      </c>
      <c r="G3766">
        <f t="shared" si="246"/>
        <v>-0.81721546378859156</v>
      </c>
      <c r="I3766">
        <f t="shared" si="244"/>
        <v>-0.87689136338656404</v>
      </c>
    </row>
    <row r="3767" spans="1:9">
      <c r="A3767" t="s">
        <v>12</v>
      </c>
      <c r="B3767" s="2">
        <f t="shared" si="243"/>
        <v>181</v>
      </c>
      <c r="C3767">
        <v>901</v>
      </c>
      <c r="D3767">
        <v>313</v>
      </c>
      <c r="E3767">
        <v>439</v>
      </c>
      <c r="F3767">
        <f t="shared" si="245"/>
        <v>-0.57903307089414668</v>
      </c>
      <c r="G3767">
        <f t="shared" si="246"/>
        <v>-0.40216150023183955</v>
      </c>
      <c r="I3767">
        <f t="shared" si="244"/>
        <v>-0.49059728556299309</v>
      </c>
    </row>
    <row r="3768" spans="1:9">
      <c r="A3768" t="s">
        <v>9</v>
      </c>
      <c r="B3768" s="2">
        <f t="shared" si="243"/>
        <v>181</v>
      </c>
      <c r="C3768">
        <v>1234</v>
      </c>
      <c r="D3768">
        <v>489</v>
      </c>
      <c r="E3768">
        <v>347</v>
      </c>
      <c r="F3768">
        <f t="shared" si="245"/>
        <v>-0.52185891803513484</v>
      </c>
      <c r="G3768">
        <f t="shared" si="246"/>
        <v>-0.64088691440124712</v>
      </c>
      <c r="I3768">
        <f t="shared" si="244"/>
        <v>-0.58137291621819098</v>
      </c>
    </row>
    <row r="3769" spans="1:9">
      <c r="A3769" t="s">
        <v>13</v>
      </c>
      <c r="B3769" s="2">
        <f t="shared" si="243"/>
        <v>181</v>
      </c>
      <c r="C3769">
        <v>1172</v>
      </c>
      <c r="D3769">
        <v>617</v>
      </c>
      <c r="E3769">
        <v>107</v>
      </c>
      <c r="F3769">
        <f t="shared" si="245"/>
        <v>-0.39849506511036237</v>
      </c>
      <c r="G3769">
        <f t="shared" si="246"/>
        <v>-1.1294450634917601</v>
      </c>
      <c r="I3769">
        <f t="shared" si="244"/>
        <v>-0.76397006430106118</v>
      </c>
    </row>
    <row r="3770" spans="1:9">
      <c r="A3770" t="s">
        <v>14</v>
      </c>
      <c r="B3770" s="2">
        <f t="shared" si="243"/>
        <v>181</v>
      </c>
      <c r="C3770">
        <v>1230</v>
      </c>
      <c r="D3770">
        <v>540</v>
      </c>
      <c r="E3770">
        <v>491</v>
      </c>
      <c r="F3770">
        <f t="shared" si="245"/>
        <v>-0.47736396907796164</v>
      </c>
      <c r="G3770">
        <f t="shared" si="246"/>
        <v>-0.48872484881132744</v>
      </c>
      <c r="I3770">
        <f t="shared" si="244"/>
        <v>-0.48304440894464451</v>
      </c>
    </row>
    <row r="3771" spans="1:9">
      <c r="A3771" t="s">
        <v>15</v>
      </c>
      <c r="B3771" s="2">
        <f t="shared" si="243"/>
        <v>181</v>
      </c>
      <c r="C3771">
        <v>149168</v>
      </c>
      <c r="D3771">
        <v>196575</v>
      </c>
      <c r="E3771">
        <v>183475</v>
      </c>
      <c r="F3771">
        <f t="shared" si="245"/>
        <v>0</v>
      </c>
      <c r="G3771">
        <f t="shared" si="246"/>
        <v>0</v>
      </c>
      <c r="I3771">
        <f t="shared" si="244"/>
        <v>0</v>
      </c>
    </row>
    <row r="3772" spans="1:9">
      <c r="A3772" t="s">
        <v>16</v>
      </c>
      <c r="B3772" s="2">
        <f t="shared" si="243"/>
        <v>181</v>
      </c>
      <c r="C3772">
        <v>829</v>
      </c>
      <c r="D3772">
        <v>30</v>
      </c>
      <c r="E3772">
        <v>32</v>
      </c>
      <c r="F3772">
        <f t="shared" si="245"/>
        <v>-1.5612858932921432</v>
      </c>
      <c r="G3772">
        <f t="shared" si="246"/>
        <v>-1.5033057817252655</v>
      </c>
      <c r="I3772">
        <f t="shared" si="244"/>
        <v>-1.5322958375087044</v>
      </c>
    </row>
    <row r="3773" spans="1:9">
      <c r="A3773" t="s">
        <v>17</v>
      </c>
      <c r="B3773" s="2">
        <f t="shared" si="243"/>
        <v>181</v>
      </c>
      <c r="C3773">
        <v>796</v>
      </c>
      <c r="D3773">
        <v>308</v>
      </c>
      <c r="E3773">
        <v>353</v>
      </c>
      <c r="F3773">
        <f t="shared" si="245"/>
        <v>-0.53221496869875695</v>
      </c>
      <c r="G3773">
        <f t="shared" si="246"/>
        <v>-0.44303959184474445</v>
      </c>
      <c r="I3773">
        <f t="shared" si="244"/>
        <v>-0.48762728027175073</v>
      </c>
    </row>
    <row r="3774" spans="1:9">
      <c r="A3774" t="s">
        <v>18</v>
      </c>
      <c r="B3774" s="2">
        <f t="shared" si="243"/>
        <v>181</v>
      </c>
      <c r="C3774">
        <v>888</v>
      </c>
      <c r="D3774">
        <v>298</v>
      </c>
      <c r="E3774">
        <v>112</v>
      </c>
      <c r="F3774">
        <f t="shared" si="245"/>
        <v>-0.59404931916387793</v>
      </c>
      <c r="G3774">
        <f t="shared" si="246"/>
        <v>-0.98909617260331739</v>
      </c>
      <c r="I3774">
        <f t="shared" si="244"/>
        <v>-0.79157274588359772</v>
      </c>
    </row>
    <row r="3775" spans="1:9">
      <c r="A3775" t="s">
        <v>19</v>
      </c>
      <c r="B3775" s="2">
        <f t="shared" si="243"/>
        <v>181</v>
      </c>
      <c r="C3775">
        <v>825</v>
      </c>
      <c r="D3775">
        <v>263</v>
      </c>
      <c r="E3775">
        <v>350</v>
      </c>
      <c r="F3775">
        <f t="shared" si="245"/>
        <v>-0.6163508175216994</v>
      </c>
      <c r="G3775">
        <f t="shared" si="246"/>
        <v>-0.46228713369454744</v>
      </c>
      <c r="I3775">
        <f t="shared" si="244"/>
        <v>-0.53931897560812336</v>
      </c>
    </row>
    <row r="3776" spans="1:9">
      <c r="A3776" t="s">
        <v>20</v>
      </c>
      <c r="B3776" s="2">
        <f t="shared" si="243"/>
        <v>181</v>
      </c>
      <c r="C3776">
        <v>1446</v>
      </c>
      <c r="D3776">
        <v>198</v>
      </c>
      <c r="E3776">
        <v>141</v>
      </c>
      <c r="F3776">
        <f t="shared" si="245"/>
        <v>-0.98335572015851302</v>
      </c>
      <c r="G3776">
        <f t="shared" si="246"/>
        <v>-1.1008504097980301</v>
      </c>
      <c r="I3776">
        <f t="shared" si="244"/>
        <v>-1.0421030649782717</v>
      </c>
    </row>
    <row r="3777" spans="1:9">
      <c r="A3777" t="s">
        <v>21</v>
      </c>
      <c r="B3777" s="2">
        <f t="shared" si="243"/>
        <v>181</v>
      </c>
      <c r="C3777">
        <v>1109</v>
      </c>
      <c r="D3777">
        <v>404</v>
      </c>
      <c r="E3777">
        <v>181</v>
      </c>
      <c r="F3777">
        <f t="shared" si="245"/>
        <v>-0.55840279850008723</v>
      </c>
      <c r="G3777">
        <f t="shared" si="246"/>
        <v>-0.87715420077487349</v>
      </c>
      <c r="I3777">
        <f t="shared" si="244"/>
        <v>-0.71777849963748031</v>
      </c>
    </row>
    <row r="3778" spans="1:9">
      <c r="A3778" t="s">
        <v>22</v>
      </c>
      <c r="B3778" s="2">
        <f t="shared" si="243"/>
        <v>181</v>
      </c>
      <c r="C3778">
        <v>231</v>
      </c>
      <c r="D3778">
        <v>65</v>
      </c>
      <c r="E3778">
        <v>18</v>
      </c>
      <c r="F3778">
        <f t="shared" si="245"/>
        <v>-0.67055124071082095</v>
      </c>
      <c r="G3778">
        <f t="shared" si="246"/>
        <v>-1.1982407042837362</v>
      </c>
      <c r="I3778">
        <f t="shared" si="244"/>
        <v>-0.93439597249727857</v>
      </c>
    </row>
    <row r="3779" spans="1:9">
      <c r="A3779" t="s">
        <v>23</v>
      </c>
      <c r="B3779" s="2">
        <f t="shared" ref="B3779:B3842" si="247">1+INT((ROW()-2)/21)+1</f>
        <v>181</v>
      </c>
      <c r="C3779">
        <v>909</v>
      </c>
      <c r="D3779">
        <v>96</v>
      </c>
      <c r="E3779">
        <v>69</v>
      </c>
      <c r="F3779">
        <f t="shared" si="245"/>
        <v>-1.0961452676439312</v>
      </c>
      <c r="G3779">
        <f t="shared" si="246"/>
        <v>-1.2096160219796102</v>
      </c>
      <c r="I3779">
        <f t="shared" ref="I3779:I3842" si="248">AVERAGE(F3779:G3779)</f>
        <v>-1.1528806448117708</v>
      </c>
    </row>
    <row r="3780" spans="1:9">
      <c r="A3780" t="s">
        <v>24</v>
      </c>
      <c r="B3780" s="2">
        <f t="shared" si="247"/>
        <v>181</v>
      </c>
      <c r="C3780">
        <v>1152</v>
      </c>
      <c r="D3780">
        <v>42</v>
      </c>
      <c r="E3780">
        <v>36</v>
      </c>
      <c r="F3780">
        <f t="shared" si="245"/>
        <v>-1.558055806150825</v>
      </c>
      <c r="G3780">
        <f t="shared" si="246"/>
        <v>-1.595051207814804</v>
      </c>
      <c r="I3780">
        <f t="shared" si="248"/>
        <v>-1.5765535069828145</v>
      </c>
    </row>
    <row r="3781" spans="1:9">
      <c r="A3781" t="s">
        <v>25</v>
      </c>
      <c r="B3781" s="2">
        <f t="shared" si="247"/>
        <v>181</v>
      </c>
      <c r="C3781">
        <v>207</v>
      </c>
      <c r="D3781">
        <v>1</v>
      </c>
      <c r="E3781">
        <v>0</v>
      </c>
      <c r="F3781">
        <f t="shared" si="245"/>
        <v>-2.4358229629184498</v>
      </c>
      <c r="G3781" t="e">
        <f t="shared" si="246"/>
        <v>#NUM!</v>
      </c>
      <c r="I3781" t="e">
        <f t="shared" si="248"/>
        <v>#NUM!</v>
      </c>
    </row>
    <row r="3782" spans="1:9">
      <c r="A3782" t="s">
        <v>7</v>
      </c>
      <c r="B3782" s="2">
        <f t="shared" si="247"/>
        <v>182</v>
      </c>
      <c r="C3782">
        <v>538</v>
      </c>
      <c r="D3782">
        <v>53</v>
      </c>
      <c r="E3782">
        <v>50</v>
      </c>
      <c r="F3782">
        <f t="shared" si="245"/>
        <v>-1.1263590235271324</v>
      </c>
      <c r="G3782">
        <f t="shared" si="246"/>
        <v>-1.1217135008252683</v>
      </c>
      <c r="I3782">
        <f t="shared" si="248"/>
        <v>-1.1240362621762003</v>
      </c>
    </row>
    <row r="3783" spans="1:9">
      <c r="A3783" t="s">
        <v>8</v>
      </c>
      <c r="B3783" s="2">
        <f t="shared" si="247"/>
        <v>182</v>
      </c>
      <c r="C3783">
        <v>1010</v>
      </c>
      <c r="D3783">
        <v>63</v>
      </c>
      <c r="E3783">
        <v>76</v>
      </c>
      <c r="F3783">
        <f t="shared" si="245"/>
        <v>-1.3248334417905931</v>
      </c>
      <c r="G3783">
        <f t="shared" si="246"/>
        <v>-1.2134090109967492</v>
      </c>
      <c r="I3783">
        <f t="shared" si="248"/>
        <v>-1.2691212263936711</v>
      </c>
    </row>
    <row r="3784" spans="1:9">
      <c r="A3784" t="s">
        <v>5</v>
      </c>
      <c r="B3784" s="2">
        <f t="shared" si="247"/>
        <v>182</v>
      </c>
      <c r="C3784">
        <v>671</v>
      </c>
      <c r="D3784">
        <v>187</v>
      </c>
      <c r="E3784">
        <v>83</v>
      </c>
      <c r="F3784">
        <f t="shared" si="245"/>
        <v>-0.67473353109402534</v>
      </c>
      <c r="G3784">
        <f t="shared" si="246"/>
        <v>-0.99754565728781619</v>
      </c>
      <c r="I3784">
        <f t="shared" si="248"/>
        <v>-0.83613959419092077</v>
      </c>
    </row>
    <row r="3785" spans="1:9">
      <c r="A3785" t="s">
        <v>6</v>
      </c>
      <c r="B3785" s="2">
        <f t="shared" si="247"/>
        <v>182</v>
      </c>
      <c r="C3785">
        <v>1765</v>
      </c>
      <c r="D3785">
        <v>446</v>
      </c>
      <c r="E3785">
        <v>361</v>
      </c>
      <c r="F3785">
        <f t="shared" si="245"/>
        <v>-0.71726246847323172</v>
      </c>
      <c r="G3785">
        <f t="shared" si="246"/>
        <v>-0.77913873731308136</v>
      </c>
      <c r="I3785">
        <f t="shared" si="248"/>
        <v>-0.74820060289315649</v>
      </c>
    </row>
    <row r="3786" spans="1:9">
      <c r="A3786" t="s">
        <v>10</v>
      </c>
      <c r="B3786" s="2">
        <f t="shared" si="247"/>
        <v>182</v>
      </c>
      <c r="C3786">
        <v>1741</v>
      </c>
      <c r="D3786">
        <v>980</v>
      </c>
      <c r="E3786">
        <v>745</v>
      </c>
      <c r="F3786">
        <f t="shared" si="245"/>
        <v>-0.36942531288636848</v>
      </c>
      <c r="G3786">
        <f t="shared" si="246"/>
        <v>-0.45854372786393632</v>
      </c>
      <c r="I3786">
        <f t="shared" si="248"/>
        <v>-0.41398452037515243</v>
      </c>
    </row>
    <row r="3787" spans="1:9">
      <c r="A3787" t="s">
        <v>11</v>
      </c>
      <c r="B3787" s="2">
        <f t="shared" si="247"/>
        <v>182</v>
      </c>
      <c r="C3787">
        <v>1648</v>
      </c>
      <c r="D3787">
        <v>22</v>
      </c>
      <c r="E3787">
        <v>40</v>
      </c>
      <c r="F3787">
        <f t="shared" ref="F3787:F3850" si="249">LOG10(D3787/C3787)-LOG10(196575/149168)</f>
        <v>-1.9943871440004231</v>
      </c>
      <c r="G3787">
        <f t="shared" ref="G3787:G3850" si="250">LOG10(E3787/C3787)-LOG10(183475/149168)</f>
        <v>-1.7047984455280325</v>
      </c>
      <c r="I3787">
        <f t="shared" si="248"/>
        <v>-1.8495927947642277</v>
      </c>
    </row>
    <row r="3788" spans="1:9">
      <c r="A3788" t="s">
        <v>12</v>
      </c>
      <c r="B3788" s="2">
        <f t="shared" si="247"/>
        <v>182</v>
      </c>
      <c r="C3788">
        <v>1205</v>
      </c>
      <c r="D3788">
        <v>474</v>
      </c>
      <c r="E3788">
        <v>277</v>
      </c>
      <c r="F3788">
        <f t="shared" si="249"/>
        <v>-0.52506132269833428</v>
      </c>
      <c r="G3788">
        <f t="shared" si="250"/>
        <v>-0.72840850734133666</v>
      </c>
      <c r="I3788">
        <f t="shared" si="248"/>
        <v>-0.62673491501983547</v>
      </c>
    </row>
    <row r="3789" spans="1:9">
      <c r="A3789" t="s">
        <v>9</v>
      </c>
      <c r="B3789" s="2">
        <f t="shared" si="247"/>
        <v>182</v>
      </c>
      <c r="C3789">
        <v>823</v>
      </c>
      <c r="D3789">
        <v>714</v>
      </c>
      <c r="E3789">
        <v>4507</v>
      </c>
      <c r="F3789">
        <f t="shared" si="249"/>
        <v>-0.18155424089762759</v>
      </c>
      <c r="G3789">
        <f t="shared" si="250"/>
        <v>0.64858649336380969</v>
      </c>
      <c r="I3789">
        <f t="shared" si="248"/>
        <v>0.23351612623309104</v>
      </c>
    </row>
    <row r="3790" spans="1:9">
      <c r="A3790" t="s">
        <v>13</v>
      </c>
      <c r="B3790" s="2">
        <f t="shared" si="247"/>
        <v>182</v>
      </c>
      <c r="C3790">
        <v>1331</v>
      </c>
      <c r="D3790">
        <v>582</v>
      </c>
      <c r="E3790">
        <v>407</v>
      </c>
      <c r="F3790">
        <f t="shared" si="249"/>
        <v>-0.47910768828631878</v>
      </c>
      <c r="G3790">
        <f t="shared" si="250"/>
        <v>-0.60448487574435306</v>
      </c>
      <c r="I3790">
        <f t="shared" si="248"/>
        <v>-0.54179628201533592</v>
      </c>
    </row>
    <row r="3791" spans="1:9">
      <c r="A3791" t="s">
        <v>14</v>
      </c>
      <c r="B3791" s="2">
        <f t="shared" si="247"/>
        <v>182</v>
      </c>
      <c r="C3791">
        <v>997</v>
      </c>
      <c r="D3791">
        <v>245</v>
      </c>
      <c r="E3791">
        <v>396</v>
      </c>
      <c r="F3791">
        <f t="shared" si="249"/>
        <v>-0.72938169140865539</v>
      </c>
      <c r="G3791">
        <f t="shared" si="250"/>
        <v>-0.49090120188104142</v>
      </c>
      <c r="I3791">
        <f t="shared" si="248"/>
        <v>-0.61014144664484837</v>
      </c>
    </row>
    <row r="3792" spans="1:9">
      <c r="A3792" t="s">
        <v>15</v>
      </c>
      <c r="B3792" s="2">
        <f t="shared" si="247"/>
        <v>182</v>
      </c>
      <c r="C3792">
        <v>19</v>
      </c>
      <c r="D3792">
        <v>12</v>
      </c>
      <c r="E3792">
        <v>9</v>
      </c>
      <c r="F3792">
        <f t="shared" si="249"/>
        <v>-0.31942497236673634</v>
      </c>
      <c r="G3792">
        <f t="shared" si="250"/>
        <v>-0.41441232100840208</v>
      </c>
      <c r="I3792">
        <f t="shared" si="248"/>
        <v>-0.36691864668756924</v>
      </c>
    </row>
    <row r="3793" spans="1:9">
      <c r="A3793" t="s">
        <v>16</v>
      </c>
      <c r="B3793" s="2">
        <f t="shared" si="247"/>
        <v>182</v>
      </c>
      <c r="C3793">
        <v>738</v>
      </c>
      <c r="D3793">
        <v>19</v>
      </c>
      <c r="E3793">
        <v>12</v>
      </c>
      <c r="F3793">
        <f t="shared" si="249"/>
        <v>-1.7091553783317448</v>
      </c>
      <c r="G3793">
        <f t="shared" si="250"/>
        <v>-1.8787763452703146</v>
      </c>
      <c r="I3793">
        <f t="shared" si="248"/>
        <v>-1.7939658618010297</v>
      </c>
    </row>
    <row r="3794" spans="1:9">
      <c r="A3794" t="s">
        <v>17</v>
      </c>
      <c r="B3794" s="2">
        <f t="shared" si="247"/>
        <v>182</v>
      </c>
      <c r="C3794">
        <v>1134</v>
      </c>
      <c r="D3794">
        <v>475</v>
      </c>
      <c r="E3794">
        <v>369</v>
      </c>
      <c r="F3794">
        <f t="shared" si="249"/>
        <v>-0.49777206239355332</v>
      </c>
      <c r="G3794">
        <f t="shared" si="250"/>
        <v>-0.57748791789272536</v>
      </c>
      <c r="I3794">
        <f t="shared" si="248"/>
        <v>-0.53762999014313939</v>
      </c>
    </row>
    <row r="3795" spans="1:9">
      <c r="A3795" t="s">
        <v>18</v>
      </c>
      <c r="B3795" s="2">
        <f t="shared" si="247"/>
        <v>182</v>
      </c>
      <c r="C3795">
        <v>1173</v>
      </c>
      <c r="D3795">
        <v>156</v>
      </c>
      <c r="E3795">
        <v>107</v>
      </c>
      <c r="F3795">
        <f t="shared" si="249"/>
        <v>-0.99602603122259981</v>
      </c>
      <c r="G3795">
        <f t="shared" si="250"/>
        <v>-1.1298154639252176</v>
      </c>
      <c r="I3795">
        <f t="shared" si="248"/>
        <v>-1.0629207475739086</v>
      </c>
    </row>
    <row r="3796" spans="1:9">
      <c r="A3796" t="s">
        <v>19</v>
      </c>
      <c r="B3796" s="2">
        <f t="shared" si="247"/>
        <v>182</v>
      </c>
      <c r="C3796">
        <v>475</v>
      </c>
      <c r="D3796">
        <v>169</v>
      </c>
      <c r="E3796">
        <v>130</v>
      </c>
      <c r="F3796">
        <f t="shared" si="249"/>
        <v>-0.56865952247272522</v>
      </c>
      <c r="G3796">
        <f t="shared" si="250"/>
        <v>-0.65265148681292773</v>
      </c>
      <c r="I3796">
        <f t="shared" si="248"/>
        <v>-0.61065550464282647</v>
      </c>
    </row>
    <row r="3797" spans="1:9">
      <c r="A3797" t="s">
        <v>20</v>
      </c>
      <c r="B3797" s="2">
        <f t="shared" si="247"/>
        <v>182</v>
      </c>
      <c r="C3797">
        <v>853</v>
      </c>
      <c r="D3797">
        <v>108</v>
      </c>
      <c r="E3797">
        <v>74</v>
      </c>
      <c r="F3797">
        <f t="shared" si="249"/>
        <v>-1.0173778931421056</v>
      </c>
      <c r="G3797">
        <f t="shared" si="250"/>
        <v>-1.1516185409314448</v>
      </c>
      <c r="I3797">
        <f t="shared" si="248"/>
        <v>-1.0844982170367752</v>
      </c>
    </row>
    <row r="3798" spans="1:9">
      <c r="A3798" t="s">
        <v>21</v>
      </c>
      <c r="B3798" s="2">
        <f t="shared" si="247"/>
        <v>182</v>
      </c>
      <c r="C3798">
        <v>1844</v>
      </c>
      <c r="D3798">
        <v>650</v>
      </c>
      <c r="E3798">
        <v>986</v>
      </c>
      <c r="F3798">
        <f t="shared" si="249"/>
        <v>-0.5727001775362871</v>
      </c>
      <c r="G3798">
        <f t="shared" si="250"/>
        <v>-0.36178523127129725</v>
      </c>
      <c r="I3798">
        <f t="shared" si="248"/>
        <v>-0.46724270440379218</v>
      </c>
    </row>
    <row r="3799" spans="1:9">
      <c r="A3799" t="s">
        <v>22</v>
      </c>
      <c r="B3799" s="2">
        <f t="shared" si="247"/>
        <v>182</v>
      </c>
      <c r="C3799">
        <v>429</v>
      </c>
      <c r="D3799">
        <v>181</v>
      </c>
      <c r="E3799">
        <v>166</v>
      </c>
      <c r="F3799">
        <f t="shared" si="249"/>
        <v>-0.49463133477707188</v>
      </c>
      <c r="G3799">
        <f t="shared" si="250"/>
        <v>-0.50225043363956712</v>
      </c>
      <c r="I3799">
        <f t="shared" si="248"/>
        <v>-0.4984408842083195</v>
      </c>
    </row>
    <row r="3800" spans="1:9">
      <c r="A3800" t="s">
        <v>23</v>
      </c>
      <c r="B3800" s="2">
        <f t="shared" si="247"/>
        <v>182</v>
      </c>
      <c r="C3800">
        <v>637</v>
      </c>
      <c r="D3800">
        <v>144</v>
      </c>
      <c r="E3800">
        <v>54</v>
      </c>
      <c r="F3800">
        <f t="shared" si="249"/>
        <v>-0.76562955770163299</v>
      </c>
      <c r="G3800">
        <f t="shared" si="250"/>
        <v>-1.1616469020072799</v>
      </c>
      <c r="I3800">
        <f t="shared" si="248"/>
        <v>-0.96363822985445646</v>
      </c>
    </row>
    <row r="3801" spans="1:9">
      <c r="A3801" t="s">
        <v>24</v>
      </c>
      <c r="B3801" s="2">
        <f t="shared" si="247"/>
        <v>182</v>
      </c>
      <c r="C3801">
        <v>734</v>
      </c>
      <c r="D3801">
        <v>12</v>
      </c>
      <c r="E3801">
        <v>8</v>
      </c>
      <c r="F3801">
        <f t="shared" si="249"/>
        <v>-1.9063674313299779</v>
      </c>
      <c r="G3801">
        <f t="shared" si="250"/>
        <v>-2.0525073024190252</v>
      </c>
      <c r="I3801">
        <f t="shared" si="248"/>
        <v>-1.9794373668745016</v>
      </c>
    </row>
    <row r="3802" spans="1:9">
      <c r="A3802" t="s">
        <v>25</v>
      </c>
      <c r="B3802" s="2">
        <f t="shared" si="247"/>
        <v>182</v>
      </c>
      <c r="C3802">
        <v>887</v>
      </c>
      <c r="D3802">
        <v>10</v>
      </c>
      <c r="E3802">
        <v>16</v>
      </c>
      <c r="F3802">
        <f t="shared" si="249"/>
        <v>-2.0677762372932587</v>
      </c>
      <c r="G3802">
        <f t="shared" si="250"/>
        <v>-1.8337048666706997</v>
      </c>
      <c r="I3802">
        <f t="shared" si="248"/>
        <v>-1.9507405519819792</v>
      </c>
    </row>
    <row r="3803" spans="1:9">
      <c r="A3803" t="s">
        <v>7</v>
      </c>
      <c r="B3803" s="2">
        <f t="shared" si="247"/>
        <v>183</v>
      </c>
      <c r="C3803">
        <v>149168</v>
      </c>
      <c r="D3803">
        <v>196575</v>
      </c>
      <c r="E3803">
        <v>183475</v>
      </c>
      <c r="F3803">
        <f t="shared" si="249"/>
        <v>0</v>
      </c>
      <c r="G3803">
        <f t="shared" si="250"/>
        <v>0</v>
      </c>
      <c r="I3803">
        <f t="shared" si="248"/>
        <v>0</v>
      </c>
    </row>
    <row r="3804" spans="1:9">
      <c r="A3804" t="s">
        <v>8</v>
      </c>
      <c r="B3804" s="2">
        <f t="shared" si="247"/>
        <v>183</v>
      </c>
      <c r="C3804">
        <v>690</v>
      </c>
      <c r="D3804">
        <v>62</v>
      </c>
      <c r="E3804">
        <v>76</v>
      </c>
      <c r="F3804">
        <f t="shared" si="249"/>
        <v>-1.1663100187005337</v>
      </c>
      <c r="G3804">
        <f t="shared" si="250"/>
        <v>-1.0479367279513621</v>
      </c>
      <c r="I3804">
        <f t="shared" si="248"/>
        <v>-1.107123373325948</v>
      </c>
    </row>
    <row r="3805" spans="1:9">
      <c r="A3805" t="s">
        <v>5</v>
      </c>
      <c r="B3805" s="2">
        <f t="shared" si="247"/>
        <v>183</v>
      </c>
      <c r="C3805">
        <v>169</v>
      </c>
      <c r="D3805">
        <v>54</v>
      </c>
      <c r="E3805">
        <v>26</v>
      </c>
      <c r="F3805">
        <f t="shared" si="249"/>
        <v>-0.61534556225223713</v>
      </c>
      <c r="G3805">
        <f t="shared" si="250"/>
        <v>-0.90281458613775356</v>
      </c>
      <c r="I3805">
        <f t="shared" si="248"/>
        <v>-0.75908007419499535</v>
      </c>
    </row>
    <row r="3806" spans="1:9">
      <c r="A3806" t="s">
        <v>6</v>
      </c>
      <c r="B3806" s="2">
        <f t="shared" si="247"/>
        <v>183</v>
      </c>
      <c r="C3806">
        <v>1533</v>
      </c>
      <c r="D3806">
        <v>20</v>
      </c>
      <c r="E3806">
        <v>13</v>
      </c>
      <c r="F3806">
        <f t="shared" si="249"/>
        <v>-2.0043647766519261</v>
      </c>
      <c r="G3806">
        <f t="shared" si="250"/>
        <v>-2.1615000320424365</v>
      </c>
      <c r="I3806">
        <f t="shared" si="248"/>
        <v>-2.0829324043471811</v>
      </c>
    </row>
    <row r="3807" spans="1:9">
      <c r="A3807" t="s">
        <v>10</v>
      </c>
      <c r="B3807" s="2">
        <f t="shared" si="247"/>
        <v>183</v>
      </c>
      <c r="C3807">
        <v>994</v>
      </c>
      <c r="D3807">
        <v>9</v>
      </c>
      <c r="E3807">
        <v>8</v>
      </c>
      <c r="F3807">
        <f t="shared" si="249"/>
        <v>-2.1629964924195204</v>
      </c>
      <c r="G3807">
        <f t="shared" si="250"/>
        <v>-2.1841976269002679</v>
      </c>
      <c r="I3807">
        <f t="shared" si="248"/>
        <v>-2.1735970596598939</v>
      </c>
    </row>
    <row r="3808" spans="1:9">
      <c r="A3808" t="s">
        <v>11</v>
      </c>
      <c r="B3808" s="2">
        <f t="shared" si="247"/>
        <v>183</v>
      </c>
      <c r="C3808">
        <v>901</v>
      </c>
      <c r="D3808">
        <v>16</v>
      </c>
      <c r="E3808">
        <v>13</v>
      </c>
      <c r="F3808">
        <f t="shared" si="249"/>
        <v>-1.8704574257846704</v>
      </c>
      <c r="G3808">
        <f t="shared" si="250"/>
        <v>-1.9306826681671241</v>
      </c>
      <c r="I3808">
        <f t="shared" si="248"/>
        <v>-1.9005700469758973</v>
      </c>
    </row>
    <row r="3809" spans="1:9">
      <c r="A3809" t="s">
        <v>12</v>
      </c>
      <c r="B3809" s="2">
        <f t="shared" si="247"/>
        <v>183</v>
      </c>
      <c r="C3809">
        <v>781</v>
      </c>
      <c r="D3809">
        <v>21</v>
      </c>
      <c r="E3809">
        <v>8</v>
      </c>
      <c r="F3809">
        <f t="shared" si="249"/>
        <v>-1.6902843566049133</v>
      </c>
      <c r="G3809">
        <f t="shared" si="250"/>
        <v>-2.079462276380255</v>
      </c>
      <c r="I3809">
        <f t="shared" si="248"/>
        <v>-1.8848733164925842</v>
      </c>
    </row>
    <row r="3810" spans="1:9">
      <c r="A3810" t="s">
        <v>9</v>
      </c>
      <c r="B3810" s="2">
        <f t="shared" si="247"/>
        <v>183</v>
      </c>
      <c r="C3810">
        <v>301</v>
      </c>
      <c r="D3810">
        <v>2</v>
      </c>
      <c r="E3810">
        <v>6</v>
      </c>
      <c r="F3810">
        <f t="shared" si="249"/>
        <v>-2.2973891173913943</v>
      </c>
      <c r="G3810">
        <f t="shared" si="250"/>
        <v>-1.7903164747050977</v>
      </c>
      <c r="I3810">
        <f t="shared" si="248"/>
        <v>-2.0438527960482462</v>
      </c>
    </row>
    <row r="3811" spans="1:9">
      <c r="A3811" t="s">
        <v>13</v>
      </c>
      <c r="B3811" s="2">
        <f t="shared" si="247"/>
        <v>183</v>
      </c>
      <c r="C3811">
        <v>651</v>
      </c>
      <c r="D3811">
        <v>11</v>
      </c>
      <c r="E3811">
        <v>6</v>
      </c>
      <c r="F3811">
        <f t="shared" si="249"/>
        <v>-1.892040920871499</v>
      </c>
      <c r="G3811">
        <f t="shared" si="250"/>
        <v>-2.1253309676794463</v>
      </c>
      <c r="I3811">
        <f t="shared" si="248"/>
        <v>-2.0086859442754728</v>
      </c>
    </row>
    <row r="3812" spans="1:9">
      <c r="A3812" t="s">
        <v>14</v>
      </c>
      <c r="B3812" s="2">
        <f t="shared" si="247"/>
        <v>183</v>
      </c>
      <c r="C3812">
        <v>667</v>
      </c>
      <c r="D3812">
        <v>7</v>
      </c>
      <c r="E3812">
        <v>5</v>
      </c>
      <c r="F3812">
        <f t="shared" si="249"/>
        <v>-2.0988804113638242</v>
      </c>
      <c r="G3812">
        <f t="shared" si="250"/>
        <v>-2.2150570590754279</v>
      </c>
      <c r="I3812">
        <f t="shared" si="248"/>
        <v>-2.1569687352196261</v>
      </c>
    </row>
    <row r="3813" spans="1:9">
      <c r="A3813" t="s">
        <v>15</v>
      </c>
      <c r="B3813" s="2">
        <f t="shared" si="247"/>
        <v>183</v>
      </c>
      <c r="C3813">
        <v>345</v>
      </c>
      <c r="D3813">
        <v>11</v>
      </c>
      <c r="E3813">
        <v>19</v>
      </c>
      <c r="F3813">
        <f t="shared" si="249"/>
        <v>-1.6162790273765812</v>
      </c>
      <c r="G3813">
        <f t="shared" si="250"/>
        <v>-1.3489667236153431</v>
      </c>
      <c r="I3813">
        <f t="shared" si="248"/>
        <v>-1.4826228754959621</v>
      </c>
    </row>
    <row r="3814" spans="1:9">
      <c r="A3814" t="s">
        <v>16</v>
      </c>
      <c r="B3814" s="2">
        <f t="shared" si="247"/>
        <v>183</v>
      </c>
      <c r="C3814">
        <v>647</v>
      </c>
      <c r="D3814">
        <v>44</v>
      </c>
      <c r="E3814">
        <v>50</v>
      </c>
      <c r="F3814">
        <f t="shared" si="249"/>
        <v>-1.2873042216440451</v>
      </c>
      <c r="G3814">
        <f t="shared" si="250"/>
        <v>-1.2018355058275796</v>
      </c>
      <c r="I3814">
        <f t="shared" si="248"/>
        <v>-1.2445698637358125</v>
      </c>
    </row>
    <row r="3815" spans="1:9">
      <c r="A3815" t="s">
        <v>17</v>
      </c>
      <c r="B3815" s="2">
        <f t="shared" si="247"/>
        <v>183</v>
      </c>
      <c r="C3815">
        <v>552</v>
      </c>
      <c r="D3815">
        <v>12</v>
      </c>
      <c r="E3815">
        <v>6</v>
      </c>
      <c r="F3815">
        <f t="shared" si="249"/>
        <v>-1.7826104491431063</v>
      </c>
      <c r="G3815">
        <f t="shared" si="250"/>
        <v>-2.0536890568404536</v>
      </c>
      <c r="I3815">
        <f t="shared" si="248"/>
        <v>-1.9181497529917799</v>
      </c>
    </row>
    <row r="3816" spans="1:9">
      <c r="A3816" t="s">
        <v>18</v>
      </c>
      <c r="B3816" s="2">
        <f t="shared" si="247"/>
        <v>183</v>
      </c>
      <c r="C3816">
        <v>1177</v>
      </c>
      <c r="D3816">
        <v>32</v>
      </c>
      <c r="E3816">
        <v>15</v>
      </c>
      <c r="F3816">
        <f t="shared" si="249"/>
        <v>-1.6854791019850608</v>
      </c>
      <c r="G3816">
        <f t="shared" si="250"/>
        <v>-1.9845864332826515</v>
      </c>
      <c r="I3816">
        <f t="shared" si="248"/>
        <v>-1.835032767633856</v>
      </c>
    </row>
    <row r="3817" spans="1:9">
      <c r="A3817" t="s">
        <v>19</v>
      </c>
      <c r="B3817" s="2">
        <f t="shared" si="247"/>
        <v>183</v>
      </c>
      <c r="C3817">
        <v>402</v>
      </c>
      <c r="D3817">
        <v>8</v>
      </c>
      <c r="E3817">
        <v>4</v>
      </c>
      <c r="F3817">
        <f t="shared" si="249"/>
        <v>-1.8209886835540587</v>
      </c>
      <c r="G3817">
        <f t="shared" si="250"/>
        <v>-2.0920672912514058</v>
      </c>
      <c r="I3817">
        <f t="shared" si="248"/>
        <v>-1.9565279874027324</v>
      </c>
    </row>
    <row r="3818" spans="1:9">
      <c r="A3818" t="s">
        <v>20</v>
      </c>
      <c r="B3818" s="2">
        <f t="shared" si="247"/>
        <v>183</v>
      </c>
      <c r="C3818">
        <v>311</v>
      </c>
      <c r="D3818">
        <v>3</v>
      </c>
      <c r="E3818">
        <v>3</v>
      </c>
      <c r="F3818">
        <f t="shared" si="249"/>
        <v>-2.1354917517687069</v>
      </c>
      <c r="G3818">
        <f t="shared" si="250"/>
        <v>-2.1055403638020729</v>
      </c>
      <c r="I3818">
        <f t="shared" si="248"/>
        <v>-2.1205160577853901</v>
      </c>
    </row>
    <row r="3819" spans="1:9">
      <c r="A3819" t="s">
        <v>21</v>
      </c>
      <c r="B3819" s="2">
        <f t="shared" si="247"/>
        <v>183</v>
      </c>
      <c r="C3819">
        <v>832</v>
      </c>
      <c r="D3819">
        <v>24</v>
      </c>
      <c r="E3819">
        <v>9</v>
      </c>
      <c r="F3819">
        <f t="shared" si="249"/>
        <v>-1.6597647020406501</v>
      </c>
      <c r="G3819">
        <f t="shared" si="250"/>
        <v>-2.0557820463462972</v>
      </c>
      <c r="I3819">
        <f t="shared" si="248"/>
        <v>-1.8577733741934737</v>
      </c>
    </row>
    <row r="3820" spans="1:9">
      <c r="A3820" t="s">
        <v>22</v>
      </c>
      <c r="B3820" s="2">
        <f t="shared" si="247"/>
        <v>183</v>
      </c>
      <c r="C3820">
        <v>615</v>
      </c>
      <c r="D3820">
        <v>10</v>
      </c>
      <c r="E3820">
        <v>4</v>
      </c>
      <c r="F3820">
        <f t="shared" si="249"/>
        <v>-1.9087277332369488</v>
      </c>
      <c r="G3820">
        <f t="shared" si="250"/>
        <v>-2.2767163539423523</v>
      </c>
      <c r="I3820">
        <f t="shared" si="248"/>
        <v>-2.0927220435896503</v>
      </c>
    </row>
    <row r="3821" spans="1:9">
      <c r="A3821" t="s">
        <v>23</v>
      </c>
      <c r="B3821" s="2">
        <f t="shared" si="247"/>
        <v>183</v>
      </c>
      <c r="C3821">
        <v>505</v>
      </c>
      <c r="D3821">
        <v>6</v>
      </c>
      <c r="E3821">
        <v>3</v>
      </c>
      <c r="F3821">
        <f t="shared" si="249"/>
        <v>-2.0449927451965499</v>
      </c>
      <c r="G3821">
        <f t="shared" si="250"/>
        <v>-2.3160713528938968</v>
      </c>
      <c r="I3821">
        <f t="shared" si="248"/>
        <v>-2.1805320490452234</v>
      </c>
    </row>
    <row r="3822" spans="1:9">
      <c r="A3822" t="s">
        <v>24</v>
      </c>
      <c r="B3822" s="2">
        <f t="shared" si="247"/>
        <v>183</v>
      </c>
      <c r="C3822">
        <v>1172</v>
      </c>
      <c r="D3822">
        <v>79</v>
      </c>
      <c r="E3822">
        <v>38</v>
      </c>
      <c r="F3822">
        <f t="shared" si="249"/>
        <v>-1.2911531378531627</v>
      </c>
      <c r="G3822">
        <f t="shared" si="250"/>
        <v>-1.5790452445601597</v>
      </c>
      <c r="I3822">
        <f t="shared" si="248"/>
        <v>-1.4350991912066613</v>
      </c>
    </row>
    <row r="3823" spans="1:9">
      <c r="A3823" t="s">
        <v>25</v>
      </c>
      <c r="B3823" s="2">
        <f t="shared" si="247"/>
        <v>183</v>
      </c>
      <c r="C3823">
        <v>1133</v>
      </c>
      <c r="D3823">
        <v>20</v>
      </c>
      <c r="E3823">
        <v>13</v>
      </c>
      <c r="F3823">
        <f t="shared" si="249"/>
        <v>-1.8730525316609483</v>
      </c>
      <c r="G3823">
        <f t="shared" si="250"/>
        <v>-2.0301877870514584</v>
      </c>
      <c r="I3823">
        <f t="shared" si="248"/>
        <v>-1.9516201593562035</v>
      </c>
    </row>
    <row r="3824" spans="1:9">
      <c r="A3824" t="s">
        <v>7</v>
      </c>
      <c r="B3824" s="2">
        <f t="shared" si="247"/>
        <v>184</v>
      </c>
      <c r="C3824">
        <v>543</v>
      </c>
      <c r="D3824">
        <v>149</v>
      </c>
      <c r="E3824">
        <v>96</v>
      </c>
      <c r="F3824">
        <f t="shared" si="249"/>
        <v>-0.6814661786381051</v>
      </c>
      <c r="G3824">
        <f t="shared" si="250"/>
        <v>-0.84242982604417649</v>
      </c>
      <c r="I3824">
        <f t="shared" si="248"/>
        <v>-0.7619480023411408</v>
      </c>
    </row>
    <row r="3825" spans="1:9">
      <c r="A3825" t="s">
        <v>8</v>
      </c>
      <c r="B3825" s="2">
        <f t="shared" si="247"/>
        <v>184</v>
      </c>
      <c r="C3825">
        <v>1181</v>
      </c>
      <c r="D3825">
        <v>199</v>
      </c>
      <c r="E3825">
        <v>240</v>
      </c>
      <c r="F3825">
        <f t="shared" si="249"/>
        <v>-0.89324943866534035</v>
      </c>
      <c r="G3825">
        <f t="shared" si="250"/>
        <v>-0.78193988539680681</v>
      </c>
      <c r="I3825">
        <f t="shared" si="248"/>
        <v>-0.83759466203107358</v>
      </c>
    </row>
    <row r="3826" spans="1:9">
      <c r="A3826" t="s">
        <v>5</v>
      </c>
      <c r="B3826" s="2">
        <f t="shared" si="247"/>
        <v>184</v>
      </c>
      <c r="C3826">
        <v>440</v>
      </c>
      <c r="D3826">
        <v>411</v>
      </c>
      <c r="E3826">
        <v>160</v>
      </c>
      <c r="F3826">
        <f t="shared" si="249"/>
        <v>-0.14946347207165039</v>
      </c>
      <c r="G3826">
        <f t="shared" si="250"/>
        <v>-0.52923392332516062</v>
      </c>
      <c r="I3826">
        <f t="shared" si="248"/>
        <v>-0.33934869769840548</v>
      </c>
    </row>
    <row r="3827" spans="1:9">
      <c r="A3827" t="s">
        <v>6</v>
      </c>
      <c r="B3827" s="2">
        <f t="shared" si="247"/>
        <v>184</v>
      </c>
      <c r="C3827">
        <v>705</v>
      </c>
      <c r="D3827">
        <v>335</v>
      </c>
      <c r="E3827">
        <v>101</v>
      </c>
      <c r="F3827">
        <f t="shared" si="249"/>
        <v>-0.44299692741608565</v>
      </c>
      <c r="G3827">
        <f t="shared" si="250"/>
        <v>-0.93376897270365411</v>
      </c>
      <c r="I3827">
        <f t="shared" si="248"/>
        <v>-0.68838295005986994</v>
      </c>
    </row>
    <row r="3828" spans="1:9">
      <c r="A3828" t="s">
        <v>10</v>
      </c>
      <c r="B3828" s="2">
        <f t="shared" si="247"/>
        <v>184</v>
      </c>
      <c r="C3828">
        <v>1442</v>
      </c>
      <c r="D3828">
        <v>2364</v>
      </c>
      <c r="E3828">
        <v>804</v>
      </c>
      <c r="F3828">
        <f t="shared" si="249"/>
        <v>9.4829594364275349E-2</v>
      </c>
      <c r="G3828">
        <f t="shared" si="250"/>
        <v>-0.34361044112985695</v>
      </c>
      <c r="I3828">
        <f t="shared" si="248"/>
        <v>-0.1243904233827908</v>
      </c>
    </row>
    <row r="3829" spans="1:9">
      <c r="A3829" t="s">
        <v>11</v>
      </c>
      <c r="B3829" s="2">
        <f t="shared" si="247"/>
        <v>184</v>
      </c>
      <c r="C3829">
        <v>2072</v>
      </c>
      <c r="D3829">
        <v>66</v>
      </c>
      <c r="E3829">
        <v>29</v>
      </c>
      <c r="F3829">
        <f t="shared" si="249"/>
        <v>-1.6166984329928589</v>
      </c>
      <c r="G3829">
        <f t="shared" si="250"/>
        <v>-1.9438929826691373</v>
      </c>
      <c r="I3829">
        <f t="shared" si="248"/>
        <v>-1.780295707830998</v>
      </c>
    </row>
    <row r="3830" spans="1:9">
      <c r="A3830" t="s">
        <v>12</v>
      </c>
      <c r="B3830" s="2">
        <f t="shared" si="247"/>
        <v>184</v>
      </c>
      <c r="C3830">
        <v>763</v>
      </c>
      <c r="D3830">
        <v>272</v>
      </c>
      <c r="E3830">
        <v>326</v>
      </c>
      <c r="F3830">
        <f t="shared" si="249"/>
        <v>-0.56780825138221391</v>
      </c>
      <c r="G3830">
        <f t="shared" si="250"/>
        <v>-0.45920816738183945</v>
      </c>
      <c r="I3830">
        <f t="shared" si="248"/>
        <v>-0.51350820938202668</v>
      </c>
    </row>
    <row r="3831" spans="1:9">
      <c r="A3831" t="s">
        <v>9</v>
      </c>
      <c r="B3831" s="2">
        <f t="shared" si="247"/>
        <v>184</v>
      </c>
      <c r="C3831">
        <v>149168</v>
      </c>
      <c r="D3831">
        <v>196575</v>
      </c>
      <c r="E3831">
        <v>183475</v>
      </c>
      <c r="F3831">
        <f t="shared" si="249"/>
        <v>0</v>
      </c>
      <c r="G3831">
        <f t="shared" si="250"/>
        <v>0</v>
      </c>
      <c r="I3831">
        <f t="shared" si="248"/>
        <v>0</v>
      </c>
    </row>
    <row r="3832" spans="1:9">
      <c r="A3832" t="s">
        <v>13</v>
      </c>
      <c r="B3832" s="2">
        <f t="shared" si="247"/>
        <v>184</v>
      </c>
      <c r="C3832">
        <v>1272</v>
      </c>
      <c r="D3832">
        <v>25</v>
      </c>
      <c r="E3832">
        <v>22</v>
      </c>
      <c r="F3832">
        <f t="shared" si="249"/>
        <v>-1.8263997201018898</v>
      </c>
      <c r="G3832">
        <f t="shared" si="250"/>
        <v>-1.8519656599850869</v>
      </c>
      <c r="I3832">
        <f t="shared" si="248"/>
        <v>-1.8391826900434882</v>
      </c>
    </row>
    <row r="3833" spans="1:9">
      <c r="A3833" t="s">
        <v>14</v>
      </c>
      <c r="B3833" s="2">
        <f t="shared" si="247"/>
        <v>184</v>
      </c>
      <c r="C3833">
        <v>1055</v>
      </c>
      <c r="D3833">
        <v>499</v>
      </c>
      <c r="E3833">
        <v>461</v>
      </c>
      <c r="F3833">
        <f t="shared" si="249"/>
        <v>-0.4450045314718537</v>
      </c>
      <c r="G3833">
        <f t="shared" si="250"/>
        <v>-0.44945276373896131</v>
      </c>
      <c r="I3833">
        <f t="shared" si="248"/>
        <v>-0.44722864760540748</v>
      </c>
    </row>
    <row r="3834" spans="1:9">
      <c r="A3834" t="s">
        <v>15</v>
      </c>
      <c r="B3834" s="2">
        <f t="shared" si="247"/>
        <v>184</v>
      </c>
      <c r="C3834">
        <v>959</v>
      </c>
      <c r="D3834">
        <v>194</v>
      </c>
      <c r="E3834">
        <v>136</v>
      </c>
      <c r="F3834">
        <f t="shared" si="249"/>
        <v>-0.81386949470196979</v>
      </c>
      <c r="G3834">
        <f t="shared" si="250"/>
        <v>-0.93818092829534405</v>
      </c>
      <c r="I3834">
        <f t="shared" si="248"/>
        <v>-0.87602521149865686</v>
      </c>
    </row>
    <row r="3835" spans="1:9">
      <c r="A3835" t="s">
        <v>16</v>
      </c>
      <c r="B3835" s="2">
        <f t="shared" si="247"/>
        <v>184</v>
      </c>
      <c r="C3835">
        <v>1012</v>
      </c>
      <c r="D3835">
        <v>944</v>
      </c>
      <c r="E3835">
        <v>807</v>
      </c>
      <c r="F3835">
        <f t="shared" si="249"/>
        <v>-0.15006113566724349</v>
      </c>
      <c r="G3835">
        <f t="shared" si="250"/>
        <v>-0.18820820727660792</v>
      </c>
      <c r="I3835">
        <f t="shared" si="248"/>
        <v>-0.16913467147192571</v>
      </c>
    </row>
    <row r="3836" spans="1:9">
      <c r="A3836" t="s">
        <v>17</v>
      </c>
      <c r="B3836" s="2">
        <f t="shared" si="247"/>
        <v>184</v>
      </c>
      <c r="C3836">
        <v>589</v>
      </c>
      <c r="D3836">
        <v>33</v>
      </c>
      <c r="E3836">
        <v>33</v>
      </c>
      <c r="F3836">
        <f t="shared" si="249"/>
        <v>-1.3714539723707464</v>
      </c>
      <c r="G3836">
        <f t="shared" si="250"/>
        <v>-1.3415025844041122</v>
      </c>
      <c r="I3836">
        <f t="shared" si="248"/>
        <v>-1.3564782783874292</v>
      </c>
    </row>
    <row r="3837" spans="1:9">
      <c r="A3837" t="s">
        <v>18</v>
      </c>
      <c r="B3837" s="2">
        <f t="shared" si="247"/>
        <v>184</v>
      </c>
      <c r="C3837">
        <v>852</v>
      </c>
      <c r="D3837">
        <v>141</v>
      </c>
      <c r="E3837">
        <v>102</v>
      </c>
      <c r="F3837">
        <f t="shared" si="249"/>
        <v>-0.90107309957285242</v>
      </c>
      <c r="G3837">
        <f t="shared" si="250"/>
        <v>-1.0117406524996806</v>
      </c>
      <c r="I3837">
        <f t="shared" si="248"/>
        <v>-0.95640687603626651</v>
      </c>
    </row>
    <row r="3838" spans="1:9">
      <c r="A3838" t="s">
        <v>19</v>
      </c>
      <c r="B3838" s="2">
        <f t="shared" si="247"/>
        <v>184</v>
      </c>
      <c r="C3838">
        <v>824</v>
      </c>
      <c r="D3838">
        <v>22</v>
      </c>
      <c r="E3838">
        <v>6</v>
      </c>
      <c r="F3838">
        <f t="shared" si="249"/>
        <v>-1.6933571483364418</v>
      </c>
      <c r="G3838">
        <f t="shared" si="250"/>
        <v>-2.2276771908083703</v>
      </c>
      <c r="I3838">
        <f t="shared" si="248"/>
        <v>-1.9605171695724062</v>
      </c>
    </row>
    <row r="3839" spans="1:9">
      <c r="A3839" t="s">
        <v>20</v>
      </c>
      <c r="B3839" s="2">
        <f t="shared" si="247"/>
        <v>184</v>
      </c>
      <c r="C3839">
        <v>543</v>
      </c>
      <c r="D3839">
        <v>21</v>
      </c>
      <c r="E3839">
        <v>26</v>
      </c>
      <c r="F3839">
        <f t="shared" si="249"/>
        <v>-1.5324331523164598</v>
      </c>
      <c r="G3839">
        <f t="shared" si="250"/>
        <v>-1.4097277111129269</v>
      </c>
      <c r="I3839">
        <f t="shared" si="248"/>
        <v>-1.4710804317146935</v>
      </c>
    </row>
    <row r="3840" spans="1:9">
      <c r="A3840" t="s">
        <v>21</v>
      </c>
      <c r="B3840" s="2">
        <f t="shared" si="247"/>
        <v>184</v>
      </c>
      <c r="C3840">
        <v>2075</v>
      </c>
      <c r="D3840">
        <v>71</v>
      </c>
      <c r="E3840">
        <v>36</v>
      </c>
      <c r="F3840">
        <f t="shared" si="249"/>
        <v>-1.5856123697905684</v>
      </c>
      <c r="G3840">
        <f t="shared" si="250"/>
        <v>-1.8506168297757222</v>
      </c>
      <c r="I3840">
        <f t="shared" si="248"/>
        <v>-1.7181145997831453</v>
      </c>
    </row>
    <row r="3841" spans="1:9">
      <c r="A3841" t="s">
        <v>22</v>
      </c>
      <c r="B3841" s="2">
        <f t="shared" si="247"/>
        <v>184</v>
      </c>
      <c r="C3841">
        <v>890</v>
      </c>
      <c r="D3841">
        <v>55</v>
      </c>
      <c r="E3841">
        <v>29</v>
      </c>
      <c r="F3841">
        <f t="shared" si="249"/>
        <v>-1.3288799346122011</v>
      </c>
      <c r="G3841">
        <f t="shared" si="250"/>
        <v>-1.5768932382408547</v>
      </c>
      <c r="I3841">
        <f t="shared" si="248"/>
        <v>-1.4528865864265279</v>
      </c>
    </row>
    <row r="3842" spans="1:9">
      <c r="A3842" t="s">
        <v>23</v>
      </c>
      <c r="B3842" s="2">
        <f t="shared" si="247"/>
        <v>184</v>
      </c>
      <c r="C3842">
        <v>772</v>
      </c>
      <c r="D3842">
        <v>17</v>
      </c>
      <c r="E3842">
        <v>16</v>
      </c>
      <c r="F3842">
        <f t="shared" si="249"/>
        <v>-1.7770209964189945</v>
      </c>
      <c r="G3842">
        <f t="shared" si="250"/>
        <v>-1.7733985471747093</v>
      </c>
      <c r="I3842">
        <f t="shared" si="248"/>
        <v>-1.775209771796852</v>
      </c>
    </row>
    <row r="3843" spans="1:9">
      <c r="A3843" t="s">
        <v>24</v>
      </c>
      <c r="B3843" s="2">
        <f t="shared" ref="B3843:B3906" si="251">1+INT((ROW()-2)/21)+1</f>
        <v>184</v>
      </c>
      <c r="C3843">
        <v>1016</v>
      </c>
      <c r="D3843">
        <v>44</v>
      </c>
      <c r="E3843">
        <v>21</v>
      </c>
      <c r="F3843">
        <f t="shared" si="249"/>
        <v>-1.4832936489232451</v>
      </c>
      <c r="G3843">
        <f t="shared" si="250"/>
        <v>-1.7745756427088792</v>
      </c>
      <c r="I3843">
        <f t="shared" ref="I3843:I3906" si="252">AVERAGE(F3843:G3843)</f>
        <v>-1.6289346458160621</v>
      </c>
    </row>
    <row r="3844" spans="1:9">
      <c r="A3844" t="s">
        <v>25</v>
      </c>
      <c r="B3844" s="2">
        <f t="shared" si="251"/>
        <v>184</v>
      </c>
      <c r="C3844">
        <v>729</v>
      </c>
      <c r="D3844">
        <v>12</v>
      </c>
      <c r="E3844">
        <v>11</v>
      </c>
      <c r="F3844">
        <f t="shared" si="249"/>
        <v>-1.903398899731882</v>
      </c>
      <c r="G3844">
        <f t="shared" si="250"/>
        <v>-1.9112360726546476</v>
      </c>
      <c r="I3844">
        <f t="shared" si="252"/>
        <v>-1.9073174861932647</v>
      </c>
    </row>
    <row r="3845" spans="1:9">
      <c r="A3845" t="s">
        <v>7</v>
      </c>
      <c r="B3845" s="2">
        <f t="shared" si="251"/>
        <v>185</v>
      </c>
      <c r="C3845">
        <v>1010</v>
      </c>
      <c r="D3845">
        <v>12</v>
      </c>
      <c r="E3845">
        <v>7</v>
      </c>
      <c r="F3845">
        <f t="shared" si="249"/>
        <v>-2.0449927451965499</v>
      </c>
      <c r="G3845">
        <f t="shared" si="250"/>
        <v>-2.2491245632632837</v>
      </c>
      <c r="I3845">
        <f t="shared" si="252"/>
        <v>-2.1470586542299168</v>
      </c>
    </row>
    <row r="3846" spans="1:9">
      <c r="A3846" t="s">
        <v>8</v>
      </c>
      <c r="B3846" s="2">
        <f t="shared" si="251"/>
        <v>185</v>
      </c>
      <c r="C3846">
        <v>533</v>
      </c>
      <c r="D3846">
        <v>9</v>
      </c>
      <c r="E3846">
        <v>7</v>
      </c>
      <c r="F3846">
        <f t="shared" si="249"/>
        <v>-1.8923373170487796</v>
      </c>
      <c r="G3846">
        <f t="shared" si="250"/>
        <v>-1.9715303985072135</v>
      </c>
      <c r="I3846">
        <f t="shared" si="252"/>
        <v>-1.9319338577779965</v>
      </c>
    </row>
    <row r="3847" spans="1:9">
      <c r="A3847" t="s">
        <v>5</v>
      </c>
      <c r="B3847" s="2">
        <f t="shared" si="251"/>
        <v>185</v>
      </c>
      <c r="C3847">
        <v>447</v>
      </c>
      <c r="D3847">
        <v>6</v>
      </c>
      <c r="E3847">
        <v>5</v>
      </c>
      <c r="F3847">
        <f t="shared" si="249"/>
        <v>-1.992008890209825</v>
      </c>
      <c r="G3847">
        <f t="shared" si="250"/>
        <v>-2.0412387482908159</v>
      </c>
      <c r="I3847">
        <f t="shared" si="252"/>
        <v>-2.0166238192503205</v>
      </c>
    </row>
    <row r="3848" spans="1:9">
      <c r="A3848" t="s">
        <v>6</v>
      </c>
      <c r="B3848" s="2">
        <f t="shared" si="251"/>
        <v>185</v>
      </c>
      <c r="C3848">
        <v>826</v>
      </c>
      <c r="D3848">
        <v>21</v>
      </c>
      <c r="E3848">
        <v>8</v>
      </c>
      <c r="F3848">
        <f t="shared" si="249"/>
        <v>-1.7146133700479951</v>
      </c>
      <c r="G3848">
        <f t="shared" si="250"/>
        <v>-2.1037912898233366</v>
      </c>
      <c r="I3848">
        <f t="shared" si="252"/>
        <v>-1.909202329935666</v>
      </c>
    </row>
    <row r="3849" spans="1:9">
      <c r="A3849" t="s">
        <v>10</v>
      </c>
      <c r="B3849" s="2">
        <f t="shared" si="251"/>
        <v>185</v>
      </c>
      <c r="C3849">
        <v>793</v>
      </c>
      <c r="D3849">
        <v>69</v>
      </c>
      <c r="E3849">
        <v>30</v>
      </c>
      <c r="F3849">
        <f t="shared" si="249"/>
        <v>-1.1802767140418806</v>
      </c>
      <c r="G3849">
        <f t="shared" si="250"/>
        <v>-1.5120531620928395</v>
      </c>
      <c r="I3849">
        <f t="shared" si="252"/>
        <v>-1.3461649380673602</v>
      </c>
    </row>
    <row r="3850" spans="1:9">
      <c r="A3850" t="s">
        <v>11</v>
      </c>
      <c r="B3850" s="2">
        <f t="shared" si="251"/>
        <v>185</v>
      </c>
      <c r="C3850">
        <v>568</v>
      </c>
      <c r="D3850">
        <v>9</v>
      </c>
      <c r="E3850">
        <v>8</v>
      </c>
      <c r="F3850">
        <f t="shared" si="249"/>
        <v>-1.9199584437332262</v>
      </c>
      <c r="G3850">
        <f t="shared" si="250"/>
        <v>-1.9411595782139732</v>
      </c>
      <c r="I3850">
        <f t="shared" si="252"/>
        <v>-1.9305590109735997</v>
      </c>
    </row>
    <row r="3851" spans="1:9">
      <c r="A3851" t="s">
        <v>12</v>
      </c>
      <c r="B3851" s="2">
        <f t="shared" si="251"/>
        <v>185</v>
      </c>
      <c r="C3851">
        <v>1101</v>
      </c>
      <c r="D3851">
        <v>22</v>
      </c>
      <c r="E3851">
        <v>17</v>
      </c>
      <c r="F3851">
        <f t="shared" ref="F3851:F3914" si="253">LOG10(D3851/C3851)-LOG10(196575/149168)</f>
        <v>-1.8192172556110777</v>
      </c>
      <c r="G3851">
        <f t="shared" ref="G3851:G3914" si="254">LOG10(E3851/C3851)-LOG10(183475/149168)</f>
        <v>-1.9012396270883758</v>
      </c>
      <c r="I3851">
        <f t="shared" si="252"/>
        <v>-1.8602284413497268</v>
      </c>
    </row>
    <row r="3852" spans="1:9">
      <c r="A3852" t="s">
        <v>9</v>
      </c>
      <c r="B3852" s="2">
        <f t="shared" si="251"/>
        <v>185</v>
      </c>
      <c r="C3852">
        <v>236</v>
      </c>
      <c r="D3852">
        <v>5</v>
      </c>
      <c r="E3852">
        <v>1</v>
      </c>
      <c r="F3852">
        <f t="shared" si="253"/>
        <v>-1.79379461609562</v>
      </c>
      <c r="G3852">
        <f t="shared" si="254"/>
        <v>-2.4628132324650047</v>
      </c>
      <c r="I3852">
        <f t="shared" si="252"/>
        <v>-2.1283039242803126</v>
      </c>
    </row>
    <row r="3853" spans="1:9">
      <c r="A3853" t="s">
        <v>13</v>
      </c>
      <c r="B3853" s="2">
        <f t="shared" si="251"/>
        <v>185</v>
      </c>
      <c r="C3853">
        <v>454</v>
      </c>
      <c r="D3853">
        <v>8</v>
      </c>
      <c r="E3853">
        <v>5</v>
      </c>
      <c r="F3853">
        <f t="shared" si="253"/>
        <v>-1.8738184833266924</v>
      </c>
      <c r="G3853">
        <f t="shared" si="254"/>
        <v>-2.047987078015983</v>
      </c>
      <c r="I3853">
        <f t="shared" si="252"/>
        <v>-1.9609027806713377</v>
      </c>
    </row>
    <row r="3854" spans="1:9">
      <c r="A3854" t="s">
        <v>14</v>
      </c>
      <c r="B3854" s="2">
        <f t="shared" si="251"/>
        <v>185</v>
      </c>
      <c r="C3854">
        <v>229</v>
      </c>
      <c r="D3854">
        <v>3</v>
      </c>
      <c r="E3854">
        <v>1</v>
      </c>
      <c r="F3854">
        <f t="shared" si="253"/>
        <v>-2.0025668450817578</v>
      </c>
      <c r="G3854">
        <f t="shared" si="254"/>
        <v>-2.4497367118347859</v>
      </c>
      <c r="I3854">
        <f t="shared" si="252"/>
        <v>-2.2261517784582718</v>
      </c>
    </row>
    <row r="3855" spans="1:9">
      <c r="A3855" t="s">
        <v>15</v>
      </c>
      <c r="B3855" s="2">
        <f t="shared" si="251"/>
        <v>185</v>
      </c>
      <c r="C3855">
        <v>1907</v>
      </c>
      <c r="D3855">
        <v>20</v>
      </c>
      <c r="E3855">
        <v>19</v>
      </c>
      <c r="F3855">
        <f t="shared" si="253"/>
        <v>-2.0991733148435565</v>
      </c>
      <c r="G3855">
        <f t="shared" si="254"/>
        <v>-2.0914983215880745</v>
      </c>
      <c r="I3855">
        <f t="shared" si="252"/>
        <v>-2.0953358182158155</v>
      </c>
    </row>
    <row r="3856" spans="1:9">
      <c r="A3856" t="s">
        <v>16</v>
      </c>
      <c r="B3856" s="2">
        <f t="shared" si="251"/>
        <v>185</v>
      </c>
      <c r="C3856">
        <v>1214</v>
      </c>
      <c r="D3856">
        <v>27</v>
      </c>
      <c r="E3856">
        <v>11</v>
      </c>
      <c r="F3856">
        <f t="shared" si="253"/>
        <v>-1.7727075400417835</v>
      </c>
      <c r="G3856">
        <f t="shared" si="254"/>
        <v>-2.1327272310759118</v>
      </c>
      <c r="I3856">
        <f t="shared" si="252"/>
        <v>-1.9527173855588478</v>
      </c>
    </row>
    <row r="3857" spans="1:9">
      <c r="A3857" t="s">
        <v>17</v>
      </c>
      <c r="B3857" s="2">
        <f t="shared" si="251"/>
        <v>185</v>
      </c>
      <c r="C3857">
        <v>894</v>
      </c>
      <c r="D3857">
        <v>29</v>
      </c>
      <c r="E3857">
        <v>26</v>
      </c>
      <c r="F3857">
        <f t="shared" si="253"/>
        <v>-1.6087921383584938</v>
      </c>
      <c r="G3857">
        <f t="shared" si="254"/>
        <v>-1.6262654003199977</v>
      </c>
      <c r="I3857">
        <f t="shared" si="252"/>
        <v>-1.6175287693392457</v>
      </c>
    </row>
    <row r="3858" spans="1:9">
      <c r="A3858" t="s">
        <v>18</v>
      </c>
      <c r="B3858" s="2">
        <f t="shared" si="251"/>
        <v>185</v>
      </c>
      <c r="C3858">
        <v>1023</v>
      </c>
      <c r="D3858">
        <v>24</v>
      </c>
      <c r="E3858">
        <v>9</v>
      </c>
      <c r="F3858">
        <f t="shared" si="253"/>
        <v>-1.7495170094620864</v>
      </c>
      <c r="G3858">
        <f t="shared" si="254"/>
        <v>-2.1455343537677334</v>
      </c>
      <c r="I3858">
        <f t="shared" si="252"/>
        <v>-1.94752568161491</v>
      </c>
    </row>
    <row r="3859" spans="1:9">
      <c r="A3859" t="s">
        <v>19</v>
      </c>
      <c r="B3859" s="2">
        <f t="shared" si="251"/>
        <v>185</v>
      </c>
      <c r="C3859">
        <v>412</v>
      </c>
      <c r="D3859">
        <v>57</v>
      </c>
      <c r="E3859">
        <v>77</v>
      </c>
      <c r="F3859">
        <f t="shared" si="253"/>
        <v>-0.97887497782217536</v>
      </c>
      <c r="G3859">
        <f t="shared" si="254"/>
        <v>-0.81830772035555066</v>
      </c>
      <c r="I3859">
        <f t="shared" si="252"/>
        <v>-0.89859134908886307</v>
      </c>
    </row>
    <row r="3860" spans="1:9">
      <c r="A3860" t="s">
        <v>20</v>
      </c>
      <c r="B3860" s="2">
        <f t="shared" si="251"/>
        <v>185</v>
      </c>
      <c r="C3860">
        <v>78</v>
      </c>
      <c r="D3860">
        <v>61</v>
      </c>
      <c r="E3860">
        <v>71</v>
      </c>
      <c r="F3860">
        <f t="shared" si="253"/>
        <v>-0.22661738514124552</v>
      </c>
      <c r="G3860">
        <f t="shared" si="254"/>
        <v>-0.13073748346630312</v>
      </c>
      <c r="I3860">
        <f t="shared" si="252"/>
        <v>-0.17867743430377431</v>
      </c>
    </row>
    <row r="3861" spans="1:9">
      <c r="A3861" t="s">
        <v>21</v>
      </c>
      <c r="B3861" s="2">
        <f t="shared" si="251"/>
        <v>185</v>
      </c>
      <c r="C3861">
        <v>896</v>
      </c>
      <c r="D3861">
        <v>19</v>
      </c>
      <c r="E3861">
        <v>17</v>
      </c>
      <c r="F3861">
        <f t="shared" si="253"/>
        <v>-1.7934070261708284</v>
      </c>
      <c r="G3861">
        <f t="shared" si="254"/>
        <v>-1.8117603177787494</v>
      </c>
      <c r="I3861">
        <f t="shared" si="252"/>
        <v>-1.802583671974789</v>
      </c>
    </row>
    <row r="3862" spans="1:9">
      <c r="A3862" t="s">
        <v>22</v>
      </c>
      <c r="B3862" s="2">
        <f t="shared" si="251"/>
        <v>185</v>
      </c>
      <c r="C3862">
        <v>708</v>
      </c>
      <c r="D3862">
        <v>17</v>
      </c>
      <c r="E3862">
        <v>9</v>
      </c>
      <c r="F3862">
        <f t="shared" si="253"/>
        <v>-1.7394369537730272</v>
      </c>
      <c r="G3862">
        <f t="shared" si="254"/>
        <v>-1.9856919777453421</v>
      </c>
      <c r="I3862">
        <f t="shared" si="252"/>
        <v>-1.8625644657591847</v>
      </c>
    </row>
    <row r="3863" spans="1:9">
      <c r="A3863" t="s">
        <v>23</v>
      </c>
      <c r="B3863" s="2">
        <f t="shared" si="251"/>
        <v>185</v>
      </c>
      <c r="C3863">
        <v>540</v>
      </c>
      <c r="D3863">
        <v>10</v>
      </c>
      <c r="E3863">
        <v>4</v>
      </c>
      <c r="F3863">
        <f t="shared" si="253"/>
        <v>-1.8522463772845008</v>
      </c>
      <c r="G3863">
        <f t="shared" si="254"/>
        <v>-2.2202349979899041</v>
      </c>
      <c r="I3863">
        <f t="shared" si="252"/>
        <v>-2.0362406876372026</v>
      </c>
    </row>
    <row r="3864" spans="1:9">
      <c r="A3864" t="s">
        <v>24</v>
      </c>
      <c r="B3864" s="2">
        <f t="shared" si="251"/>
        <v>185</v>
      </c>
      <c r="C3864">
        <v>1251</v>
      </c>
      <c r="D3864">
        <v>26</v>
      </c>
      <c r="E3864">
        <v>18</v>
      </c>
      <c r="F3864">
        <f t="shared" si="253"/>
        <v>-1.8021365791841342</v>
      </c>
      <c r="G3864">
        <f t="shared" si="254"/>
        <v>-1.9318860340850119</v>
      </c>
      <c r="I3864">
        <f t="shared" si="252"/>
        <v>-1.867011306634573</v>
      </c>
    </row>
    <row r="3865" spans="1:9">
      <c r="A3865" t="s">
        <v>25</v>
      </c>
      <c r="B3865" s="2">
        <f t="shared" si="251"/>
        <v>185</v>
      </c>
      <c r="C3865">
        <v>880</v>
      </c>
      <c r="D3865">
        <v>13</v>
      </c>
      <c r="E3865">
        <v>12</v>
      </c>
      <c r="F3865">
        <f t="shared" si="253"/>
        <v>-1.9503919373048642</v>
      </c>
      <c r="G3865">
        <f t="shared" si="254"/>
        <v>-1.9552026555974418</v>
      </c>
      <c r="I3865">
        <f t="shared" si="252"/>
        <v>-1.9527972964511529</v>
      </c>
    </row>
    <row r="3866" spans="1:9">
      <c r="A3866" t="s">
        <v>7</v>
      </c>
      <c r="B3866" s="2">
        <f t="shared" si="251"/>
        <v>186</v>
      </c>
      <c r="C3866">
        <v>149168</v>
      </c>
      <c r="D3866">
        <v>196575</v>
      </c>
      <c r="E3866">
        <v>183475</v>
      </c>
      <c r="F3866">
        <f t="shared" si="253"/>
        <v>0</v>
      </c>
      <c r="G3866">
        <f t="shared" si="254"/>
        <v>0</v>
      </c>
      <c r="I3866">
        <f t="shared" si="252"/>
        <v>0</v>
      </c>
    </row>
    <row r="3867" spans="1:9">
      <c r="A3867" t="s">
        <v>8</v>
      </c>
      <c r="B3867" s="2">
        <f t="shared" si="251"/>
        <v>186</v>
      </c>
      <c r="C3867">
        <v>568</v>
      </c>
      <c r="D3867">
        <v>298</v>
      </c>
      <c r="E3867">
        <v>195</v>
      </c>
      <c r="F3867">
        <f t="shared" si="253"/>
        <v>-0.39998468909629581</v>
      </c>
      <c r="G3867">
        <f t="shared" si="254"/>
        <v>-0.55421495384339892</v>
      </c>
      <c r="I3867">
        <f t="shared" si="252"/>
        <v>-0.47709982146984736</v>
      </c>
    </row>
    <row r="3868" spans="1:9">
      <c r="A3868" t="s">
        <v>5</v>
      </c>
      <c r="B3868" s="2">
        <f t="shared" si="251"/>
        <v>186</v>
      </c>
      <c r="C3868">
        <v>437</v>
      </c>
      <c r="D3868">
        <v>2268</v>
      </c>
      <c r="E3868">
        <v>629</v>
      </c>
      <c r="F3868">
        <f t="shared" si="253"/>
        <v>0.59530899578891494</v>
      </c>
      <c r="G3868">
        <f t="shared" si="254"/>
        <v>6.8267978979949059E-2</v>
      </c>
      <c r="I3868">
        <f t="shared" si="252"/>
        <v>0.33178848738443201</v>
      </c>
    </row>
    <row r="3869" spans="1:9">
      <c r="A3869" t="s">
        <v>6</v>
      </c>
      <c r="B3869" s="2">
        <f t="shared" si="251"/>
        <v>186</v>
      </c>
      <c r="C3869">
        <v>924</v>
      </c>
      <c r="D3869">
        <v>856</v>
      </c>
      <c r="E3869">
        <v>1470</v>
      </c>
      <c r="F3869">
        <f t="shared" si="253"/>
        <v>-0.15305082400448561</v>
      </c>
      <c r="G3869">
        <f t="shared" si="254"/>
        <v>0.11174413403317139</v>
      </c>
      <c r="I3869">
        <f t="shared" si="252"/>
        <v>-2.0653344985657109E-2</v>
      </c>
    </row>
    <row r="3870" spans="1:9">
      <c r="A3870" t="s">
        <v>10</v>
      </c>
      <c r="B3870" s="2">
        <f t="shared" si="251"/>
        <v>186</v>
      </c>
      <c r="C3870">
        <v>437</v>
      </c>
      <c r="D3870">
        <v>858</v>
      </c>
      <c r="E3870">
        <v>312</v>
      </c>
      <c r="F3870">
        <f t="shared" si="253"/>
        <v>0.1731532334167514</v>
      </c>
      <c r="G3870">
        <f t="shared" si="254"/>
        <v>-0.23622807244687705</v>
      </c>
      <c r="I3870">
        <f t="shared" si="252"/>
        <v>-3.1537419515062823E-2</v>
      </c>
    </row>
    <row r="3871" spans="1:9">
      <c r="A3871" t="s">
        <v>11</v>
      </c>
      <c r="B3871" s="2">
        <f t="shared" si="251"/>
        <v>186</v>
      </c>
      <c r="C3871">
        <v>773</v>
      </c>
      <c r="D3871">
        <v>110</v>
      </c>
      <c r="E3871">
        <v>47</v>
      </c>
      <c r="F3871">
        <f t="shared" si="253"/>
        <v>-0.96663942622163201</v>
      </c>
      <c r="G3871">
        <f t="shared" si="254"/>
        <v>-1.3059828654775054</v>
      </c>
      <c r="I3871">
        <f t="shared" si="252"/>
        <v>-1.1363111458495687</v>
      </c>
    </row>
    <row r="3872" spans="1:9">
      <c r="A3872" t="s">
        <v>12</v>
      </c>
      <c r="B3872" s="2">
        <f t="shared" si="251"/>
        <v>186</v>
      </c>
      <c r="C3872">
        <v>674</v>
      </c>
      <c r="D3872">
        <v>605</v>
      </c>
      <c r="E3872">
        <v>3693</v>
      </c>
      <c r="F3872">
        <f t="shared" si="253"/>
        <v>-0.16675713934438313</v>
      </c>
      <c r="G3872">
        <f t="shared" si="254"/>
        <v>0.64881818162076099</v>
      </c>
      <c r="I3872">
        <f t="shared" si="252"/>
        <v>0.24103052113818893</v>
      </c>
    </row>
    <row r="3873" spans="1:9">
      <c r="A3873" t="s">
        <v>9</v>
      </c>
      <c r="B3873" s="2">
        <f t="shared" si="251"/>
        <v>186</v>
      </c>
      <c r="C3873">
        <v>351</v>
      </c>
      <c r="D3873">
        <v>120</v>
      </c>
      <c r="E3873">
        <v>142</v>
      </c>
      <c r="F3873">
        <f t="shared" si="253"/>
        <v>-0.58597848787973139</v>
      </c>
      <c r="G3873">
        <f t="shared" si="254"/>
        <v>-0.48292000157766557</v>
      </c>
      <c r="I3873">
        <f t="shared" si="252"/>
        <v>-0.53444924472869848</v>
      </c>
    </row>
    <row r="3874" spans="1:9">
      <c r="A3874" t="s">
        <v>13</v>
      </c>
      <c r="B3874" s="2">
        <f t="shared" si="251"/>
        <v>186</v>
      </c>
      <c r="C3874">
        <v>1047</v>
      </c>
      <c r="D3874">
        <v>1105</v>
      </c>
      <c r="E3874">
        <v>1702</v>
      </c>
      <c r="F3874">
        <f t="shared" si="253"/>
        <v>-9.6437021119244987E-2</v>
      </c>
      <c r="G3874">
        <f t="shared" si="254"/>
        <v>0.12111164457482874</v>
      </c>
      <c r="I3874">
        <f t="shared" si="252"/>
        <v>1.2337311727791879E-2</v>
      </c>
    </row>
    <row r="3875" spans="1:9">
      <c r="A3875" t="s">
        <v>14</v>
      </c>
      <c r="B3875" s="2">
        <f t="shared" si="251"/>
        <v>186</v>
      </c>
      <c r="C3875">
        <v>1093</v>
      </c>
      <c r="D3875">
        <v>422</v>
      </c>
      <c r="E3875">
        <v>291</v>
      </c>
      <c r="F3875">
        <f t="shared" si="253"/>
        <v>-0.53316032844956107</v>
      </c>
      <c r="G3875">
        <f t="shared" si="254"/>
        <v>-0.66462840245869348</v>
      </c>
      <c r="I3875">
        <f t="shared" si="252"/>
        <v>-0.59889436545412722</v>
      </c>
    </row>
    <row r="3876" spans="1:9">
      <c r="A3876" t="s">
        <v>15</v>
      </c>
      <c r="B3876" s="2">
        <f t="shared" si="251"/>
        <v>186</v>
      </c>
      <c r="C3876">
        <v>864</v>
      </c>
      <c r="D3876">
        <v>617</v>
      </c>
      <c r="E3876">
        <v>586</v>
      </c>
      <c r="F3876">
        <f t="shared" si="253"/>
        <v>-0.26608119590718382</v>
      </c>
      <c r="G3876">
        <f t="shared" si="254"/>
        <v>-0.25851735595570063</v>
      </c>
      <c r="I3876">
        <f t="shared" si="252"/>
        <v>-0.2622992759314422</v>
      </c>
    </row>
    <row r="3877" spans="1:9">
      <c r="A3877" t="s">
        <v>16</v>
      </c>
      <c r="B3877" s="2">
        <f t="shared" si="251"/>
        <v>186</v>
      </c>
      <c r="C3877">
        <v>854</v>
      </c>
      <c r="D3877">
        <v>32</v>
      </c>
      <c r="E3877">
        <v>41</v>
      </c>
      <c r="F3877">
        <f t="shared" si="253"/>
        <v>-1.5461605098306312</v>
      </c>
      <c r="G3877">
        <f t="shared" si="254"/>
        <v>-1.4085752434641676</v>
      </c>
      <c r="I3877">
        <f t="shared" si="252"/>
        <v>-1.4773678766473994</v>
      </c>
    </row>
    <row r="3878" spans="1:9">
      <c r="A3878" t="s">
        <v>17</v>
      </c>
      <c r="B3878" s="2">
        <f t="shared" si="251"/>
        <v>186</v>
      </c>
      <c r="C3878">
        <v>1017</v>
      </c>
      <c r="D3878">
        <v>1664</v>
      </c>
      <c r="E3878">
        <v>743</v>
      </c>
      <c r="F3878">
        <f t="shared" si="253"/>
        <v>9.3979751570428344E-2</v>
      </c>
      <c r="G3878">
        <f t="shared" si="254"/>
        <v>-0.22623336865706728</v>
      </c>
      <c r="I3878">
        <f t="shared" si="252"/>
        <v>-6.6126808543319468E-2</v>
      </c>
    </row>
    <row r="3879" spans="1:9">
      <c r="A3879" t="s">
        <v>18</v>
      </c>
      <c r="B3879" s="2">
        <f t="shared" si="251"/>
        <v>186</v>
      </c>
      <c r="C3879">
        <v>1133</v>
      </c>
      <c r="D3879">
        <v>798</v>
      </c>
      <c r="E3879">
        <v>4307</v>
      </c>
      <c r="F3879">
        <f t="shared" si="253"/>
        <v>-0.27207963597420004</v>
      </c>
      <c r="G3879">
        <f t="shared" si="254"/>
        <v>0.49004373240430488</v>
      </c>
      <c r="I3879">
        <f t="shared" si="252"/>
        <v>0.10898204821505242</v>
      </c>
    </row>
    <row r="3880" spans="1:9">
      <c r="A3880" t="s">
        <v>19</v>
      </c>
      <c r="B3880" s="2">
        <f t="shared" si="251"/>
        <v>186</v>
      </c>
      <c r="C3880">
        <v>927</v>
      </c>
      <c r="D3880">
        <v>2784</v>
      </c>
      <c r="E3880">
        <v>2492</v>
      </c>
      <c r="F3880">
        <f t="shared" si="253"/>
        <v>0.35773687933249521</v>
      </c>
      <c r="G3880">
        <f t="shared" si="254"/>
        <v>0.33956707434773692</v>
      </c>
      <c r="I3880">
        <f t="shared" si="252"/>
        <v>0.34865197684011606</v>
      </c>
    </row>
    <row r="3881" spans="1:9">
      <c r="A3881" t="s">
        <v>20</v>
      </c>
      <c r="B3881" s="2">
        <f t="shared" si="251"/>
        <v>186</v>
      </c>
      <c r="C3881">
        <v>850</v>
      </c>
      <c r="D3881">
        <v>3619</v>
      </c>
      <c r="E3881">
        <v>50807</v>
      </c>
      <c r="F3881">
        <f t="shared" si="253"/>
        <v>0.50931703993237443</v>
      </c>
      <c r="G3881">
        <f t="shared" si="254"/>
        <v>1.6866033966798371</v>
      </c>
      <c r="I3881">
        <f t="shared" si="252"/>
        <v>1.0979602183061057</v>
      </c>
    </row>
    <row r="3882" spans="1:9">
      <c r="A3882" t="s">
        <v>21</v>
      </c>
      <c r="B3882" s="2">
        <f t="shared" si="251"/>
        <v>186</v>
      </c>
      <c r="C3882">
        <v>1294</v>
      </c>
      <c r="D3882">
        <v>7429</v>
      </c>
      <c r="E3882">
        <v>4760</v>
      </c>
      <c r="F3882">
        <f t="shared" si="253"/>
        <v>0.63914346455448201</v>
      </c>
      <c r="G3882">
        <f t="shared" si="254"/>
        <v>0.47577144689291362</v>
      </c>
      <c r="I3882">
        <f t="shared" si="252"/>
        <v>0.55745745572369776</v>
      </c>
    </row>
    <row r="3883" spans="1:9">
      <c r="A3883" t="s">
        <v>22</v>
      </c>
      <c r="B3883" s="2">
        <f t="shared" si="251"/>
        <v>186</v>
      </c>
      <c r="C3883">
        <v>453</v>
      </c>
      <c r="D3883">
        <v>219</v>
      </c>
      <c r="E3883">
        <v>130</v>
      </c>
      <c r="F3883">
        <f t="shared" si="253"/>
        <v>-0.43550670463424568</v>
      </c>
      <c r="G3883">
        <f t="shared" si="254"/>
        <v>-0.63205607920089302</v>
      </c>
      <c r="I3883">
        <f t="shared" si="252"/>
        <v>-0.53378139191756935</v>
      </c>
    </row>
    <row r="3884" spans="1:9">
      <c r="A3884" t="s">
        <v>23</v>
      </c>
      <c r="B3884" s="2">
        <f t="shared" si="251"/>
        <v>186</v>
      </c>
      <c r="C3884">
        <v>665</v>
      </c>
      <c r="D3884">
        <v>465</v>
      </c>
      <c r="E3884">
        <v>317</v>
      </c>
      <c r="F3884">
        <f t="shared" si="253"/>
        <v>-0.27522130987468285</v>
      </c>
      <c r="G3884">
        <f t="shared" si="254"/>
        <v>-0.41166361258025108</v>
      </c>
      <c r="I3884">
        <f t="shared" si="252"/>
        <v>-0.34344246122746697</v>
      </c>
    </row>
    <row r="3885" spans="1:9">
      <c r="A3885" t="s">
        <v>24</v>
      </c>
      <c r="B3885" s="2">
        <f t="shared" si="251"/>
        <v>186</v>
      </c>
      <c r="C3885">
        <v>776</v>
      </c>
      <c r="D3885">
        <v>118</v>
      </c>
      <c r="E3885">
        <v>147</v>
      </c>
      <c r="F3885">
        <f t="shared" si="253"/>
        <v>-0.93783233141359523</v>
      </c>
      <c r="G3885">
        <f t="shared" si="254"/>
        <v>-0.81244561600491039</v>
      </c>
      <c r="I3885">
        <f t="shared" si="252"/>
        <v>-0.87513897370925275</v>
      </c>
    </row>
    <row r="3886" spans="1:9">
      <c r="A3886" t="s">
        <v>25</v>
      </c>
      <c r="B3886" s="2">
        <f t="shared" si="251"/>
        <v>186</v>
      </c>
      <c r="C3886">
        <v>822</v>
      </c>
      <c r="D3886">
        <v>14</v>
      </c>
      <c r="E3886">
        <v>4</v>
      </c>
      <c r="F3886">
        <f t="shared" si="253"/>
        <v>-1.8885963993233446</v>
      </c>
      <c r="G3886">
        <f t="shared" si="254"/>
        <v>-2.402713055706986</v>
      </c>
      <c r="I3886">
        <f t="shared" si="252"/>
        <v>-2.1456547275151654</v>
      </c>
    </row>
    <row r="3887" spans="1:9">
      <c r="A3887" t="s">
        <v>7</v>
      </c>
      <c r="B3887" s="2">
        <f t="shared" si="251"/>
        <v>187</v>
      </c>
      <c r="C3887">
        <v>233</v>
      </c>
      <c r="D3887">
        <v>2</v>
      </c>
      <c r="E3887">
        <v>2</v>
      </c>
      <c r="F3887">
        <f t="shared" si="253"/>
        <v>-2.1861785428235696</v>
      </c>
      <c r="G3887">
        <f t="shared" si="254"/>
        <v>-2.1562271548569356</v>
      </c>
      <c r="I3887">
        <f t="shared" si="252"/>
        <v>-2.1712028488402524</v>
      </c>
    </row>
    <row r="3888" spans="1:9">
      <c r="A3888" t="s">
        <v>8</v>
      </c>
      <c r="B3888" s="2">
        <f t="shared" si="251"/>
        <v>187</v>
      </c>
      <c r="C3888">
        <v>380</v>
      </c>
      <c r="D3888">
        <v>16</v>
      </c>
      <c r="E3888">
        <v>351</v>
      </c>
      <c r="F3888">
        <f t="shared" si="253"/>
        <v>-1.4955162314224175</v>
      </c>
      <c r="G3888">
        <f t="shared" si="254"/>
        <v>-0.12437770964588407</v>
      </c>
      <c r="I3888">
        <f t="shared" si="252"/>
        <v>-0.80994697053415077</v>
      </c>
    </row>
    <row r="3889" spans="1:9">
      <c r="A3889" t="s">
        <v>5</v>
      </c>
      <c r="B3889" s="2">
        <f t="shared" si="251"/>
        <v>187</v>
      </c>
      <c r="C3889">
        <v>445</v>
      </c>
      <c r="D3889">
        <v>12</v>
      </c>
      <c r="E3889">
        <v>2</v>
      </c>
      <c r="F3889">
        <f t="shared" si="253"/>
        <v>-1.6890313823948389</v>
      </c>
      <c r="G3889">
        <f t="shared" si="254"/>
        <v>-2.4372312448118483</v>
      </c>
      <c r="I3889">
        <f t="shared" si="252"/>
        <v>-2.0631313136033436</v>
      </c>
    </row>
    <row r="3890" spans="1:9">
      <c r="A3890" t="s">
        <v>6</v>
      </c>
      <c r="B3890" s="2">
        <f t="shared" si="251"/>
        <v>187</v>
      </c>
      <c r="C3890">
        <v>852</v>
      </c>
      <c r="D3890">
        <v>22</v>
      </c>
      <c r="E3890">
        <v>13</v>
      </c>
      <c r="F3890">
        <f t="shared" si="253"/>
        <v>-1.7078695314060262</v>
      </c>
      <c r="G3890">
        <f t="shared" si="254"/>
        <v>-1.9063974719547614</v>
      </c>
      <c r="I3890">
        <f t="shared" si="252"/>
        <v>-1.8071335016803938</v>
      </c>
    </row>
    <row r="3891" spans="1:9">
      <c r="A3891" t="s">
        <v>10</v>
      </c>
      <c r="B3891" s="2">
        <f t="shared" si="251"/>
        <v>187</v>
      </c>
      <c r="C3891">
        <v>980</v>
      </c>
      <c r="D3891">
        <v>16</v>
      </c>
      <c r="E3891">
        <v>12</v>
      </c>
      <c r="F3891">
        <f t="shared" si="253"/>
        <v>-1.9069587104981023</v>
      </c>
      <c r="G3891">
        <f t="shared" si="254"/>
        <v>-2.001946059139768</v>
      </c>
      <c r="I3891">
        <f t="shared" si="252"/>
        <v>-1.9544523848189352</v>
      </c>
    </row>
    <row r="3892" spans="1:9">
      <c r="A3892" t="s">
        <v>11</v>
      </c>
      <c r="B3892" s="2">
        <f t="shared" si="251"/>
        <v>187</v>
      </c>
      <c r="C3892">
        <v>1020</v>
      </c>
      <c r="D3892">
        <v>18</v>
      </c>
      <c r="E3892">
        <v>11</v>
      </c>
      <c r="F3892">
        <f t="shared" si="253"/>
        <v>-1.8731802841201437</v>
      </c>
      <c r="G3892">
        <f t="shared" si="254"/>
        <v>-2.0571087160985906</v>
      </c>
      <c r="I3892">
        <f t="shared" si="252"/>
        <v>-1.9651445001093673</v>
      </c>
    </row>
    <row r="3893" spans="1:9">
      <c r="A3893" t="s">
        <v>12</v>
      </c>
      <c r="B3893" s="2">
        <f t="shared" si="251"/>
        <v>187</v>
      </c>
      <c r="C3893">
        <v>937</v>
      </c>
      <c r="D3893">
        <v>23</v>
      </c>
      <c r="E3893">
        <v>15</v>
      </c>
      <c r="F3893">
        <f t="shared" si="253"/>
        <v>-1.7298643723317175</v>
      </c>
      <c r="G3893">
        <f t="shared" si="254"/>
        <v>-1.885549561326995</v>
      </c>
      <c r="I3893">
        <f t="shared" si="252"/>
        <v>-1.8077069668293562</v>
      </c>
    </row>
    <row r="3894" spans="1:9">
      <c r="A3894" t="s">
        <v>9</v>
      </c>
      <c r="B3894" s="2">
        <f t="shared" si="251"/>
        <v>187</v>
      </c>
      <c r="C3894">
        <v>275</v>
      </c>
      <c r="D3894">
        <v>1</v>
      </c>
      <c r="E3894">
        <v>5</v>
      </c>
      <c r="F3894">
        <f t="shared" si="253"/>
        <v>-2.5591853112917948</v>
      </c>
      <c r="G3894">
        <f t="shared" si="254"/>
        <v>-1.8302639189891419</v>
      </c>
      <c r="I3894">
        <f t="shared" si="252"/>
        <v>-2.1947246151404682</v>
      </c>
    </row>
    <row r="3895" spans="1:9">
      <c r="A3895" t="s">
        <v>13</v>
      </c>
      <c r="B3895" s="2">
        <f t="shared" si="251"/>
        <v>187</v>
      </c>
      <c r="C3895">
        <v>398</v>
      </c>
      <c r="D3895">
        <v>7</v>
      </c>
      <c r="E3895">
        <v>6</v>
      </c>
      <c r="F3895">
        <f t="shared" si="253"/>
        <v>-1.8746376495209631</v>
      </c>
      <c r="G3895">
        <f t="shared" si="254"/>
        <v>-1.9116330511849422</v>
      </c>
      <c r="I3895">
        <f t="shared" si="252"/>
        <v>-1.8931353503529527</v>
      </c>
    </row>
    <row r="3896" spans="1:9">
      <c r="A3896" t="s">
        <v>14</v>
      </c>
      <c r="B3896" s="2">
        <f t="shared" si="251"/>
        <v>187</v>
      </c>
      <c r="C3896">
        <v>463</v>
      </c>
      <c r="D3896">
        <v>9</v>
      </c>
      <c r="E3896">
        <v>6</v>
      </c>
      <c r="F3896">
        <f t="shared" si="253"/>
        <v>-1.8311910990401605</v>
      </c>
      <c r="G3896">
        <f t="shared" si="254"/>
        <v>-1.9773309701292074</v>
      </c>
      <c r="I3896">
        <f t="shared" si="252"/>
        <v>-1.904261034584684</v>
      </c>
    </row>
    <row r="3897" spans="1:9">
      <c r="A3897" t="s">
        <v>15</v>
      </c>
      <c r="B3897" s="2">
        <f t="shared" si="251"/>
        <v>187</v>
      </c>
      <c r="C3897">
        <v>926</v>
      </c>
      <c r="D3897">
        <v>16</v>
      </c>
      <c r="E3897">
        <v>7</v>
      </c>
      <c r="F3897">
        <f t="shared" si="253"/>
        <v>-1.8823436214875418</v>
      </c>
      <c r="G3897">
        <f t="shared" si="254"/>
        <v>-2.2114141761625756</v>
      </c>
      <c r="I3897">
        <f t="shared" si="252"/>
        <v>-2.0468788988250588</v>
      </c>
    </row>
    <row r="3898" spans="1:9">
      <c r="A3898" t="s">
        <v>16</v>
      </c>
      <c r="B3898" s="2">
        <f t="shared" si="251"/>
        <v>187</v>
      </c>
      <c r="C3898">
        <v>699</v>
      </c>
      <c r="D3898">
        <v>19</v>
      </c>
      <c r="E3898">
        <v>9</v>
      </c>
      <c r="F3898">
        <f t="shared" si="253"/>
        <v>-1.6855761922543846</v>
      </c>
      <c r="G3898">
        <f t="shared" si="254"/>
        <v>-1.9801358958012545</v>
      </c>
      <c r="I3898">
        <f t="shared" si="252"/>
        <v>-1.8328560440278197</v>
      </c>
    </row>
    <row r="3899" spans="1:9">
      <c r="A3899" t="s">
        <v>17</v>
      </c>
      <c r="B3899" s="2">
        <f t="shared" si="251"/>
        <v>187</v>
      </c>
      <c r="C3899">
        <v>954</v>
      </c>
      <c r="D3899">
        <v>26</v>
      </c>
      <c r="E3899">
        <v>15</v>
      </c>
      <c r="F3899">
        <f t="shared" si="253"/>
        <v>-1.6844276441948094</v>
      </c>
      <c r="G3899">
        <f t="shared" si="254"/>
        <v>-1.8933583451433118</v>
      </c>
      <c r="I3899">
        <f t="shared" si="252"/>
        <v>-1.7888929946690606</v>
      </c>
    </row>
    <row r="3900" spans="1:9">
      <c r="A3900" t="s">
        <v>18</v>
      </c>
      <c r="B3900" s="2">
        <f t="shared" si="251"/>
        <v>187</v>
      </c>
      <c r="C3900">
        <v>930</v>
      </c>
      <c r="D3900">
        <v>22</v>
      </c>
      <c r="E3900">
        <v>22</v>
      </c>
      <c r="F3900">
        <f t="shared" si="253"/>
        <v>-1.745912885193261</v>
      </c>
      <c r="G3900">
        <f t="shared" si="254"/>
        <v>-1.7159614972266268</v>
      </c>
      <c r="I3900">
        <f t="shared" si="252"/>
        <v>-1.7309371912099438</v>
      </c>
    </row>
    <row r="3901" spans="1:9">
      <c r="A3901" t="s">
        <v>19</v>
      </c>
      <c r="B3901" s="2">
        <f t="shared" si="251"/>
        <v>187</v>
      </c>
      <c r="C3901">
        <v>69</v>
      </c>
      <c r="D3901">
        <v>90</v>
      </c>
      <c r="E3901">
        <v>69</v>
      </c>
      <c r="F3901">
        <f t="shared" si="253"/>
        <v>-4.4591987594626015E-3</v>
      </c>
      <c r="G3901">
        <f t="shared" si="254"/>
        <v>-8.9901229494897997E-2</v>
      </c>
      <c r="I3901">
        <f t="shared" si="252"/>
        <v>-4.7180214127180299E-2</v>
      </c>
    </row>
    <row r="3902" spans="1:9">
      <c r="A3902" t="s">
        <v>20</v>
      </c>
      <c r="B3902" s="2">
        <f t="shared" si="251"/>
        <v>187</v>
      </c>
      <c r="C3902">
        <v>532</v>
      </c>
      <c r="D3902">
        <v>503</v>
      </c>
      <c r="E3902">
        <v>2071</v>
      </c>
      <c r="F3902">
        <f t="shared" si="253"/>
        <v>-0.14419626470065297</v>
      </c>
      <c r="G3902">
        <f t="shared" si="254"/>
        <v>0.50036723710350639</v>
      </c>
      <c r="I3902">
        <f t="shared" si="252"/>
        <v>0.17808548620142672</v>
      </c>
    </row>
    <row r="3903" spans="1:9">
      <c r="A3903" t="s">
        <v>21</v>
      </c>
      <c r="B3903" s="2">
        <f t="shared" si="251"/>
        <v>187</v>
      </c>
      <c r="C3903">
        <v>1181</v>
      </c>
      <c r="D3903">
        <v>50</v>
      </c>
      <c r="E3903">
        <v>31</v>
      </c>
      <c r="F3903">
        <f t="shared" si="253"/>
        <v>-1.4931325107390281</v>
      </c>
      <c r="G3903">
        <f t="shared" si="254"/>
        <v>-1.67078943327414</v>
      </c>
      <c r="I3903">
        <f t="shared" si="252"/>
        <v>-1.5819609720065841</v>
      </c>
    </row>
    <row r="3904" spans="1:9">
      <c r="A3904" t="s">
        <v>22</v>
      </c>
      <c r="B3904" s="2">
        <f t="shared" si="251"/>
        <v>187</v>
      </c>
      <c r="C3904">
        <v>393</v>
      </c>
      <c r="D3904">
        <v>2</v>
      </c>
      <c r="E3904">
        <v>5</v>
      </c>
      <c r="F3904">
        <f t="shared" si="253"/>
        <v>-2.4132151721729773</v>
      </c>
      <c r="G3904">
        <f t="shared" si="254"/>
        <v>-1.9853237755343058</v>
      </c>
      <c r="I3904">
        <f t="shared" si="252"/>
        <v>-2.1992694738536418</v>
      </c>
    </row>
    <row r="3905" spans="1:9">
      <c r="A3905" t="s">
        <v>23</v>
      </c>
      <c r="B3905" s="2">
        <f t="shared" si="251"/>
        <v>187</v>
      </c>
      <c r="C3905">
        <v>797</v>
      </c>
      <c r="D3905">
        <v>15</v>
      </c>
      <c r="E3905">
        <v>13</v>
      </c>
      <c r="F3905">
        <f t="shared" si="253"/>
        <v>-1.8452196798019633</v>
      </c>
      <c r="G3905">
        <f t="shared" si="254"/>
        <v>-1.8774161985841735</v>
      </c>
      <c r="I3905">
        <f t="shared" si="252"/>
        <v>-1.8613179391930683</v>
      </c>
    </row>
    <row r="3906" spans="1:9">
      <c r="A3906" t="s">
        <v>24</v>
      </c>
      <c r="B3906" s="2">
        <f t="shared" si="251"/>
        <v>187</v>
      </c>
      <c r="C3906">
        <v>1594</v>
      </c>
      <c r="D3906">
        <v>51</v>
      </c>
      <c r="E3906">
        <v>47</v>
      </c>
      <c r="F3906">
        <f t="shared" si="253"/>
        <v>-1.6147707584236894</v>
      </c>
      <c r="G3906">
        <f t="shared" si="254"/>
        <v>-1.620291688619274</v>
      </c>
      <c r="I3906">
        <f t="shared" si="252"/>
        <v>-1.6175312235214818</v>
      </c>
    </row>
    <row r="3907" spans="1:9">
      <c r="A3907" t="s">
        <v>25</v>
      </c>
      <c r="B3907" s="2">
        <f t="shared" ref="B3907:B3970" si="255">1+INT((ROW()-2)/21)+1</f>
        <v>187</v>
      </c>
      <c r="C3907">
        <v>973</v>
      </c>
      <c r="D3907">
        <v>22</v>
      </c>
      <c r="E3907">
        <v>11</v>
      </c>
      <c r="F3907">
        <f t="shared" si="253"/>
        <v>-1.7655427769076779</v>
      </c>
      <c r="G3907">
        <f t="shared" si="254"/>
        <v>-2.036621384605025</v>
      </c>
      <c r="I3907">
        <f t="shared" ref="I3907:I3970" si="256">AVERAGE(F3907:G3907)</f>
        <v>-1.9010820807563515</v>
      </c>
    </row>
    <row r="3908" spans="1:9">
      <c r="A3908" t="s">
        <v>7</v>
      </c>
      <c r="B3908" s="2">
        <f t="shared" si="255"/>
        <v>188</v>
      </c>
      <c r="C3908">
        <v>149168</v>
      </c>
      <c r="D3908">
        <v>196575</v>
      </c>
      <c r="E3908">
        <v>183475</v>
      </c>
      <c r="F3908">
        <f t="shared" si="253"/>
        <v>0</v>
      </c>
      <c r="G3908">
        <f t="shared" si="254"/>
        <v>0</v>
      </c>
      <c r="I3908">
        <f t="shared" si="256"/>
        <v>0</v>
      </c>
    </row>
    <row r="3909" spans="1:9">
      <c r="A3909" t="s">
        <v>8</v>
      </c>
      <c r="B3909" s="2">
        <f t="shared" si="255"/>
        <v>188</v>
      </c>
      <c r="C3909">
        <v>804</v>
      </c>
      <c r="D3909">
        <v>309</v>
      </c>
      <c r="E3909">
        <v>129</v>
      </c>
      <c r="F3909">
        <f t="shared" si="253"/>
        <v>-0.53515018678514881</v>
      </c>
      <c r="G3909">
        <f t="shared" si="254"/>
        <v>-0.8845675679441003</v>
      </c>
      <c r="I3909">
        <f t="shared" si="256"/>
        <v>-0.70985887736462461</v>
      </c>
    </row>
    <row r="3910" spans="1:9">
      <c r="A3910" t="s">
        <v>5</v>
      </c>
      <c r="B3910" s="2">
        <f t="shared" si="255"/>
        <v>188</v>
      </c>
      <c r="C3910">
        <v>213</v>
      </c>
      <c r="D3910">
        <v>371</v>
      </c>
      <c r="E3910">
        <v>499</v>
      </c>
      <c r="F3910">
        <f t="shared" si="253"/>
        <v>0.12114168871477599</v>
      </c>
      <c r="G3910">
        <f t="shared" si="254"/>
        <v>0.2798197126897542</v>
      </c>
      <c r="I3910">
        <f t="shared" si="256"/>
        <v>0.20048070070226509</v>
      </c>
    </row>
    <row r="3911" spans="1:9">
      <c r="A3911" t="s">
        <v>6</v>
      </c>
      <c r="B3911" s="2">
        <f t="shared" si="255"/>
        <v>188</v>
      </c>
      <c r="C3911">
        <v>1218</v>
      </c>
      <c r="D3911">
        <v>2418</v>
      </c>
      <c r="E3911">
        <v>849</v>
      </c>
      <c r="F3911">
        <f t="shared" si="253"/>
        <v>0.17795639076636435</v>
      </c>
      <c r="G3911">
        <f t="shared" si="254"/>
        <v>-0.24664082754780187</v>
      </c>
      <c r="I3911">
        <f t="shared" si="256"/>
        <v>-3.4342218390718757E-2</v>
      </c>
    </row>
    <row r="3912" spans="1:9">
      <c r="A3912" t="s">
        <v>10</v>
      </c>
      <c r="B3912" s="2">
        <f t="shared" si="255"/>
        <v>188</v>
      </c>
      <c r="C3912">
        <v>778</v>
      </c>
      <c r="D3912">
        <v>1396</v>
      </c>
      <c r="E3912">
        <v>3916</v>
      </c>
      <c r="F3912">
        <f t="shared" si="253"/>
        <v>0.1340532038359212</v>
      </c>
      <c r="G3912">
        <f t="shared" si="254"/>
        <v>0.61196185664651337</v>
      </c>
      <c r="I3912">
        <f t="shared" si="256"/>
        <v>0.3730075302412173</v>
      </c>
    </row>
    <row r="3913" spans="1:9">
      <c r="A3913" t="s">
        <v>11</v>
      </c>
      <c r="B3913" s="2">
        <f t="shared" si="255"/>
        <v>188</v>
      </c>
      <c r="C3913">
        <v>960</v>
      </c>
      <c r="D3913">
        <v>47</v>
      </c>
      <c r="E3913">
        <v>38</v>
      </c>
      <c r="F3913">
        <f t="shared" si="253"/>
        <v>-1.4300259925653831</v>
      </c>
      <c r="G3913">
        <f t="shared" si="254"/>
        <v>-1.4923888659176563</v>
      </c>
      <c r="I3913">
        <f t="shared" si="256"/>
        <v>-1.4612074292415196</v>
      </c>
    </row>
    <row r="3914" spans="1:9">
      <c r="A3914" t="s">
        <v>12</v>
      </c>
      <c r="B3914" s="2">
        <f t="shared" si="255"/>
        <v>188</v>
      </c>
      <c r="C3914">
        <v>561</v>
      </c>
      <c r="D3914">
        <v>1082</v>
      </c>
      <c r="E3914">
        <v>921</v>
      </c>
      <c r="F3914">
        <f t="shared" si="253"/>
        <v>0.16541178205285709</v>
      </c>
      <c r="G3914">
        <f t="shared" si="254"/>
        <v>0.12539553944578952</v>
      </c>
      <c r="I3914">
        <f t="shared" si="256"/>
        <v>0.14540366074932332</v>
      </c>
    </row>
    <row r="3915" spans="1:9">
      <c r="A3915" t="s">
        <v>9</v>
      </c>
      <c r="B3915" s="2">
        <f t="shared" si="255"/>
        <v>188</v>
      </c>
      <c r="C3915">
        <v>604</v>
      </c>
      <c r="D3915">
        <v>333</v>
      </c>
      <c r="E3915">
        <v>515</v>
      </c>
      <c r="F3915">
        <f t="shared" ref="F3915:F3978" si="257">LOG10(D3915/C3915)-LOG10(196575/149168)</f>
        <v>-0.37844532257634411</v>
      </c>
      <c r="G3915">
        <f t="shared" ref="G3915:G3978" si="258">LOG10(E3915/C3915)-LOG10(183475/149168)</f>
        <v>-0.15913093907483883</v>
      </c>
      <c r="I3915">
        <f t="shared" si="256"/>
        <v>-0.2687881308255915</v>
      </c>
    </row>
    <row r="3916" spans="1:9">
      <c r="A3916" t="s">
        <v>13</v>
      </c>
      <c r="B3916" s="2">
        <f t="shared" si="255"/>
        <v>188</v>
      </c>
      <c r="C3916">
        <v>685</v>
      </c>
      <c r="D3916">
        <v>377</v>
      </c>
      <c r="E3916">
        <v>478</v>
      </c>
      <c r="F3916">
        <f t="shared" si="257"/>
        <v>-0.37920183874816493</v>
      </c>
      <c r="G3916">
        <f t="shared" si="258"/>
        <v>-0.24616390437520475</v>
      </c>
      <c r="I3916">
        <f t="shared" si="256"/>
        <v>-0.31268287156168484</v>
      </c>
    </row>
    <row r="3917" spans="1:9">
      <c r="A3917" t="s">
        <v>14</v>
      </c>
      <c r="B3917" s="2">
        <f t="shared" si="255"/>
        <v>188</v>
      </c>
      <c r="C3917">
        <v>506</v>
      </c>
      <c r="D3917">
        <v>217</v>
      </c>
      <c r="E3917">
        <v>137</v>
      </c>
      <c r="F3917">
        <f t="shared" si="257"/>
        <v>-0.48754340045280176</v>
      </c>
      <c r="G3917">
        <f t="shared" si="258"/>
        <v>-0.65733117917829031</v>
      </c>
      <c r="I3917">
        <f t="shared" si="256"/>
        <v>-0.57243728981554609</v>
      </c>
    </row>
    <row r="3918" spans="1:9">
      <c r="A3918" t="s">
        <v>15</v>
      </c>
      <c r="B3918" s="2">
        <f t="shared" si="255"/>
        <v>188</v>
      </c>
      <c r="C3918">
        <v>806</v>
      </c>
      <c r="D3918">
        <v>606</v>
      </c>
      <c r="E3918">
        <v>976</v>
      </c>
      <c r="F3918">
        <f t="shared" si="257"/>
        <v>-0.2437150351003366</v>
      </c>
      <c r="G3918">
        <f t="shared" si="258"/>
        <v>-6.7864536332967879E-3</v>
      </c>
      <c r="I3918">
        <f t="shared" si="256"/>
        <v>-0.12525074436681669</v>
      </c>
    </row>
    <row r="3919" spans="1:9">
      <c r="A3919" t="s">
        <v>16</v>
      </c>
      <c r="B3919" s="2">
        <f t="shared" si="255"/>
        <v>188</v>
      </c>
      <c r="C3919">
        <v>691</v>
      </c>
      <c r="D3919">
        <v>536</v>
      </c>
      <c r="E3919">
        <v>237</v>
      </c>
      <c r="F3919">
        <f t="shared" si="257"/>
        <v>-0.23016587514296055</v>
      </c>
      <c r="G3919">
        <f t="shared" si="258"/>
        <v>-0.55463093085899251</v>
      </c>
      <c r="I3919">
        <f t="shared" si="256"/>
        <v>-0.3923984030009765</v>
      </c>
    </row>
    <row r="3920" spans="1:9">
      <c r="A3920" t="s">
        <v>17</v>
      </c>
      <c r="B3920" s="2">
        <f t="shared" si="255"/>
        <v>188</v>
      </c>
      <c r="C3920">
        <v>350</v>
      </c>
      <c r="D3920">
        <v>225</v>
      </c>
      <c r="E3920">
        <v>251</v>
      </c>
      <c r="F3920">
        <f t="shared" si="257"/>
        <v>-0.31173814370044528</v>
      </c>
      <c r="G3920">
        <f t="shared" si="258"/>
        <v>-0.23429555236413546</v>
      </c>
      <c r="I3920">
        <f t="shared" si="256"/>
        <v>-0.27301684803229037</v>
      </c>
    </row>
    <row r="3921" spans="1:9">
      <c r="A3921" t="s">
        <v>18</v>
      </c>
      <c r="B3921" s="2">
        <f t="shared" si="255"/>
        <v>188</v>
      </c>
      <c r="C3921">
        <v>904</v>
      </c>
      <c r="D3921">
        <v>1035</v>
      </c>
      <c r="E3921">
        <v>783</v>
      </c>
      <c r="F3921">
        <f t="shared" si="257"/>
        <v>-6.1080698143958882E-2</v>
      </c>
      <c r="G3921">
        <f t="shared" si="258"/>
        <v>-0.15230789791231791</v>
      </c>
      <c r="I3921">
        <f t="shared" si="256"/>
        <v>-0.1066942980281384</v>
      </c>
    </row>
    <row r="3922" spans="1:9">
      <c r="A3922" t="s">
        <v>19</v>
      </c>
      <c r="B3922" s="2">
        <f t="shared" si="255"/>
        <v>188</v>
      </c>
      <c r="C3922">
        <v>433</v>
      </c>
      <c r="D3922">
        <v>767</v>
      </c>
      <c r="E3922">
        <v>1921</v>
      </c>
      <c r="F3922">
        <f t="shared" si="257"/>
        <v>0.12845485013408334</v>
      </c>
      <c r="G3922">
        <f t="shared" si="258"/>
        <v>0.55713823901343029</v>
      </c>
      <c r="I3922">
        <f t="shared" si="256"/>
        <v>0.3427965445737568</v>
      </c>
    </row>
    <row r="3923" spans="1:9">
      <c r="A3923" t="s">
        <v>20</v>
      </c>
      <c r="B3923" s="2">
        <f t="shared" si="255"/>
        <v>188</v>
      </c>
      <c r="C3923">
        <v>698</v>
      </c>
      <c r="D3923">
        <v>934</v>
      </c>
      <c r="E3923">
        <v>809</v>
      </c>
      <c r="F3923">
        <f t="shared" si="257"/>
        <v>6.6388361454000899E-3</v>
      </c>
      <c r="G3923">
        <f t="shared" si="258"/>
        <v>-2.5808130505786772E-2</v>
      </c>
      <c r="I3923">
        <f t="shared" si="256"/>
        <v>-9.5846471801933411E-3</v>
      </c>
    </row>
    <row r="3924" spans="1:9">
      <c r="A3924" t="s">
        <v>21</v>
      </c>
      <c r="B3924" s="2">
        <f t="shared" si="255"/>
        <v>188</v>
      </c>
      <c r="C3924">
        <v>1490</v>
      </c>
      <c r="D3924">
        <v>3149</v>
      </c>
      <c r="E3924">
        <v>7081</v>
      </c>
      <c r="F3924">
        <f t="shared" si="257"/>
        <v>0.20513377476273767</v>
      </c>
      <c r="G3924">
        <f t="shared" si="258"/>
        <v>0.58700709647952876</v>
      </c>
      <c r="I3924">
        <f t="shared" si="256"/>
        <v>0.3960704356211332</v>
      </c>
    </row>
    <row r="3925" spans="1:9">
      <c r="A3925" t="s">
        <v>22</v>
      </c>
      <c r="B3925" s="2">
        <f t="shared" si="255"/>
        <v>188</v>
      </c>
      <c r="C3925">
        <v>503</v>
      </c>
      <c r="D3925">
        <v>336</v>
      </c>
      <c r="E3925">
        <v>137</v>
      </c>
      <c r="F3925">
        <f t="shared" si="257"/>
        <v>-0.29508132512761553</v>
      </c>
      <c r="G3925">
        <f t="shared" si="258"/>
        <v>-0.65474864739441863</v>
      </c>
      <c r="I3925">
        <f t="shared" si="256"/>
        <v>-0.47491498626101708</v>
      </c>
    </row>
    <row r="3926" spans="1:9">
      <c r="A3926" t="s">
        <v>23</v>
      </c>
      <c r="B3926" s="2">
        <f t="shared" si="255"/>
        <v>188</v>
      </c>
      <c r="C3926">
        <v>777</v>
      </c>
      <c r="D3926">
        <v>267</v>
      </c>
      <c r="E3926">
        <v>314</v>
      </c>
      <c r="F3926">
        <f t="shared" si="257"/>
        <v>-0.58376237489787119</v>
      </c>
      <c r="G3926">
        <f t="shared" si="258"/>
        <v>-0.48339260022259734</v>
      </c>
      <c r="I3926">
        <f t="shared" si="256"/>
        <v>-0.53357748756023426</v>
      </c>
    </row>
    <row r="3927" spans="1:9">
      <c r="A3927" t="s">
        <v>24</v>
      </c>
      <c r="B3927" s="2">
        <f t="shared" si="255"/>
        <v>188</v>
      </c>
      <c r="C3927">
        <v>740</v>
      </c>
      <c r="D3927">
        <v>57</v>
      </c>
      <c r="E3927">
        <v>16</v>
      </c>
      <c r="F3927">
        <f t="shared" si="257"/>
        <v>-1.233209481520017</v>
      </c>
      <c r="G3927">
        <f t="shared" si="258"/>
        <v>-1.7550129665699494</v>
      </c>
      <c r="I3927">
        <f t="shared" si="256"/>
        <v>-1.4941112240449832</v>
      </c>
    </row>
    <row r="3928" spans="1:9">
      <c r="A3928" t="s">
        <v>25</v>
      </c>
      <c r="B3928" s="2">
        <f t="shared" si="255"/>
        <v>188</v>
      </c>
      <c r="C3928">
        <v>306</v>
      </c>
      <c r="D3928">
        <v>6</v>
      </c>
      <c r="E3928">
        <v>3</v>
      </c>
      <c r="F3928">
        <f t="shared" si="257"/>
        <v>-1.8274227935594685</v>
      </c>
      <c r="G3928">
        <f t="shared" si="258"/>
        <v>-2.0985014012568155</v>
      </c>
      <c r="I3928">
        <f t="shared" si="256"/>
        <v>-1.9629620974081421</v>
      </c>
    </row>
    <row r="3929" spans="1:9">
      <c r="A3929" t="s">
        <v>7</v>
      </c>
      <c r="B3929" s="2">
        <f t="shared" si="255"/>
        <v>189</v>
      </c>
      <c r="C3929">
        <v>321</v>
      </c>
      <c r="D3929">
        <v>47</v>
      </c>
      <c r="E3929">
        <v>86</v>
      </c>
      <c r="F3929">
        <f t="shared" si="257"/>
        <v>-0.95425979193068688</v>
      </c>
      <c r="G3929">
        <f t="shared" si="258"/>
        <v>-0.66190781065620241</v>
      </c>
      <c r="I3929">
        <f t="shared" si="256"/>
        <v>-0.80808380129344459</v>
      </c>
    </row>
    <row r="3930" spans="1:9">
      <c r="A3930" t="s">
        <v>8</v>
      </c>
      <c r="B3930" s="2">
        <f t="shared" si="255"/>
        <v>189</v>
      </c>
      <c r="C3930">
        <v>149168</v>
      </c>
      <c r="D3930">
        <v>196575</v>
      </c>
      <c r="E3930">
        <v>183475</v>
      </c>
      <c r="F3930">
        <f t="shared" si="257"/>
        <v>0</v>
      </c>
      <c r="G3930">
        <f t="shared" si="258"/>
        <v>0</v>
      </c>
      <c r="I3930">
        <f t="shared" si="256"/>
        <v>0</v>
      </c>
    </row>
    <row r="3931" spans="1:9">
      <c r="A3931" t="s">
        <v>5</v>
      </c>
      <c r="B3931" s="2">
        <f t="shared" si="255"/>
        <v>189</v>
      </c>
      <c r="C3931">
        <v>325</v>
      </c>
      <c r="D3931">
        <v>3</v>
      </c>
      <c r="E3931">
        <v>7</v>
      </c>
      <c r="F3931">
        <f t="shared" si="257"/>
        <v>-2.1546147237207438</v>
      </c>
      <c r="G3931">
        <f t="shared" si="258"/>
        <v>-1.7566865504595155</v>
      </c>
      <c r="I3931">
        <f t="shared" si="256"/>
        <v>-1.9556506370901297</v>
      </c>
    </row>
    <row r="3932" spans="1:9">
      <c r="A3932" t="s">
        <v>6</v>
      </c>
      <c r="B3932" s="2">
        <f t="shared" si="255"/>
        <v>189</v>
      </c>
      <c r="C3932">
        <v>466</v>
      </c>
      <c r="D3932">
        <v>7</v>
      </c>
      <c r="E3932">
        <v>4</v>
      </c>
      <c r="F3932">
        <f t="shared" si="257"/>
        <v>-1.9431404941372756</v>
      </c>
      <c r="G3932">
        <f t="shared" si="258"/>
        <v>-2.1562271548569356</v>
      </c>
      <c r="I3932">
        <f t="shared" si="256"/>
        <v>-2.0496838244971056</v>
      </c>
    </row>
    <row r="3933" spans="1:9">
      <c r="A3933" t="s">
        <v>10</v>
      </c>
      <c r="B3933" s="2">
        <f t="shared" si="255"/>
        <v>189</v>
      </c>
      <c r="C3933">
        <v>937</v>
      </c>
      <c r="D3933">
        <v>26</v>
      </c>
      <c r="E3933">
        <v>26</v>
      </c>
      <c r="F3933">
        <f t="shared" si="257"/>
        <v>-1.6766188603784924</v>
      </c>
      <c r="G3933">
        <f t="shared" si="258"/>
        <v>-1.6466674724118582</v>
      </c>
      <c r="I3933">
        <f t="shared" si="256"/>
        <v>-1.6616431663951752</v>
      </c>
    </row>
    <row r="3934" spans="1:9">
      <c r="A3934" t="s">
        <v>11</v>
      </c>
      <c r="B3934" s="2">
        <f t="shared" si="255"/>
        <v>189</v>
      </c>
      <c r="C3934">
        <v>698</v>
      </c>
      <c r="D3934">
        <v>10</v>
      </c>
      <c r="E3934">
        <v>5</v>
      </c>
      <c r="F3934">
        <f t="shared" si="257"/>
        <v>-1.9637080400846934</v>
      </c>
      <c r="G3934">
        <f t="shared" si="258"/>
        <v>-2.2347866477820402</v>
      </c>
      <c r="I3934">
        <f t="shared" si="256"/>
        <v>-2.0992473439333668</v>
      </c>
    </row>
    <row r="3935" spans="1:9">
      <c r="A3935" t="s">
        <v>12</v>
      </c>
      <c r="B3935" s="2">
        <f t="shared" si="255"/>
        <v>189</v>
      </c>
      <c r="C3935">
        <v>427</v>
      </c>
      <c r="D3935">
        <v>7</v>
      </c>
      <c r="E3935">
        <v>7</v>
      </c>
      <c r="F3935">
        <f t="shared" si="257"/>
        <v>-1.9051824524722991</v>
      </c>
      <c r="G3935">
        <f t="shared" si="258"/>
        <v>-1.8752310645056649</v>
      </c>
      <c r="I3935">
        <f t="shared" si="256"/>
        <v>-1.8902067584889819</v>
      </c>
    </row>
    <row r="3936" spans="1:9">
      <c r="A3936" t="s">
        <v>9</v>
      </c>
      <c r="B3936" s="2">
        <f t="shared" si="255"/>
        <v>189</v>
      </c>
      <c r="C3936">
        <v>557</v>
      </c>
      <c r="D3936">
        <v>185</v>
      </c>
      <c r="E3936">
        <v>147</v>
      </c>
      <c r="F3936">
        <f t="shared" si="257"/>
        <v>-0.59853608423224725</v>
      </c>
      <c r="G3936">
        <f t="shared" si="258"/>
        <v>-0.66843908992045076</v>
      </c>
      <c r="I3936">
        <f t="shared" si="256"/>
        <v>-0.633487587076349</v>
      </c>
    </row>
    <row r="3937" spans="1:9">
      <c r="A3937" t="s">
        <v>13</v>
      </c>
      <c r="B3937" s="2">
        <f t="shared" si="255"/>
        <v>189</v>
      </c>
      <c r="C3937">
        <v>459</v>
      </c>
      <c r="D3937">
        <v>16</v>
      </c>
      <c r="E3937">
        <v>8</v>
      </c>
      <c r="F3937">
        <f t="shared" si="257"/>
        <v>-1.5775453203428687</v>
      </c>
      <c r="G3937">
        <f t="shared" si="258"/>
        <v>-1.8486239280402157</v>
      </c>
      <c r="I3937">
        <f t="shared" si="256"/>
        <v>-1.7130846241915423</v>
      </c>
    </row>
    <row r="3938" spans="1:9">
      <c r="A3938" t="s">
        <v>14</v>
      </c>
      <c r="B3938" s="2">
        <f t="shared" si="255"/>
        <v>189</v>
      </c>
      <c r="C3938">
        <v>719</v>
      </c>
      <c r="D3938">
        <v>103</v>
      </c>
      <c r="E3938">
        <v>182</v>
      </c>
      <c r="F3938">
        <f t="shared" si="257"/>
        <v>-0.96374428313924265</v>
      </c>
      <c r="G3938">
        <f t="shared" si="258"/>
        <v>-0.68655873189270578</v>
      </c>
      <c r="I3938">
        <f t="shared" si="256"/>
        <v>-0.82515150751597421</v>
      </c>
    </row>
    <row r="3939" spans="1:9">
      <c r="A3939" t="s">
        <v>15</v>
      </c>
      <c r="B3939" s="2">
        <f t="shared" si="255"/>
        <v>189</v>
      </c>
      <c r="C3939">
        <v>484</v>
      </c>
      <c r="D3939">
        <v>7</v>
      </c>
      <c r="E3939">
        <v>5</v>
      </c>
      <c r="F3939">
        <f t="shared" si="257"/>
        <v>-1.9595999390916878</v>
      </c>
      <c r="G3939">
        <f t="shared" si="258"/>
        <v>-2.0757765868032916</v>
      </c>
      <c r="I3939">
        <f t="shared" si="256"/>
        <v>-2.0176882629474897</v>
      </c>
    </row>
    <row r="3940" spans="1:9">
      <c r="A3940" t="s">
        <v>16</v>
      </c>
      <c r="B3940" s="2">
        <f t="shared" si="255"/>
        <v>189</v>
      </c>
      <c r="C3940">
        <v>404</v>
      </c>
      <c r="D3940">
        <v>30</v>
      </c>
      <c r="E3940">
        <v>23</v>
      </c>
      <c r="F3940">
        <f t="shared" si="257"/>
        <v>-1.2491127278524747</v>
      </c>
      <c r="G3940">
        <f t="shared" si="258"/>
        <v>-1.3345547585879101</v>
      </c>
      <c r="I3940">
        <f t="shared" si="256"/>
        <v>-1.2918337432201925</v>
      </c>
    </row>
    <row r="3941" spans="1:9">
      <c r="A3941" t="s">
        <v>17</v>
      </c>
      <c r="B3941" s="2">
        <f t="shared" si="255"/>
        <v>189</v>
      </c>
      <c r="C3941">
        <v>1564</v>
      </c>
      <c r="D3941">
        <v>30</v>
      </c>
      <c r="E3941">
        <v>22</v>
      </c>
      <c r="F3941">
        <f t="shared" si="257"/>
        <v>-1.836968111465699</v>
      </c>
      <c r="G3941">
        <f t="shared" si="258"/>
        <v>-1.941715297396521</v>
      </c>
      <c r="I3941">
        <f t="shared" si="256"/>
        <v>-1.88934170443111</v>
      </c>
    </row>
    <row r="3942" spans="1:9">
      <c r="A3942" t="s">
        <v>18</v>
      </c>
      <c r="B3942" s="2">
        <f t="shared" si="255"/>
        <v>189</v>
      </c>
      <c r="C3942">
        <v>425</v>
      </c>
      <c r="D3942">
        <v>112</v>
      </c>
      <c r="E3942">
        <v>148</v>
      </c>
      <c r="F3942">
        <f t="shared" si="257"/>
        <v>-0.69902352484166208</v>
      </c>
      <c r="G3942">
        <f t="shared" si="258"/>
        <v>-0.5480284441502522</v>
      </c>
      <c r="I3942">
        <f t="shared" si="256"/>
        <v>-0.62352598449595709</v>
      </c>
    </row>
    <row r="3943" spans="1:9">
      <c r="A3943" t="s">
        <v>19</v>
      </c>
      <c r="B3943" s="2">
        <f t="shared" si="255"/>
        <v>189</v>
      </c>
      <c r="C3943">
        <v>461</v>
      </c>
      <c r="D3943">
        <v>16</v>
      </c>
      <c r="E3943">
        <v>20</v>
      </c>
      <c r="F3943">
        <f t="shared" si="257"/>
        <v>-1.5794335601952556</v>
      </c>
      <c r="G3943">
        <f t="shared" si="258"/>
        <v>-1.4525721592205649</v>
      </c>
      <c r="I3943">
        <f t="shared" si="256"/>
        <v>-1.5160028597079103</v>
      </c>
    </row>
    <row r="3944" spans="1:9">
      <c r="A3944" t="s">
        <v>20</v>
      </c>
      <c r="B3944" s="2">
        <f t="shared" si="255"/>
        <v>189</v>
      </c>
      <c r="C3944">
        <v>300</v>
      </c>
      <c r="D3944">
        <v>15</v>
      </c>
      <c r="E3944">
        <v>5</v>
      </c>
      <c r="F3944">
        <f t="shared" si="257"/>
        <v>-1.4208826131255134</v>
      </c>
      <c r="G3944">
        <f t="shared" si="258"/>
        <v>-1.8680524798785416</v>
      </c>
      <c r="I3944">
        <f t="shared" si="256"/>
        <v>-1.6444675465020275</v>
      </c>
    </row>
    <row r="3945" spans="1:9">
      <c r="A3945" t="s">
        <v>21</v>
      </c>
      <c r="B3945" s="2">
        <f t="shared" si="255"/>
        <v>189</v>
      </c>
      <c r="C3945">
        <v>1339</v>
      </c>
      <c r="D3945">
        <v>32</v>
      </c>
      <c r="E3945">
        <v>12</v>
      </c>
      <c r="F3945">
        <f t="shared" si="257"/>
        <v>-1.7414832161536351</v>
      </c>
      <c r="G3945">
        <f t="shared" si="258"/>
        <v>-2.1375005604592823</v>
      </c>
      <c r="I3945">
        <f t="shared" si="256"/>
        <v>-1.9394918883064587</v>
      </c>
    </row>
    <row r="3946" spans="1:9">
      <c r="A3946" t="s">
        <v>22</v>
      </c>
      <c r="B3946" s="2">
        <f t="shared" si="255"/>
        <v>189</v>
      </c>
      <c r="C3946">
        <v>928</v>
      </c>
      <c r="D3946">
        <v>71</v>
      </c>
      <c r="E3946">
        <v>52</v>
      </c>
      <c r="F3946">
        <f t="shared" si="257"/>
        <v>-1.2361422449613191</v>
      </c>
      <c r="G3946">
        <f t="shared" si="258"/>
        <v>-1.3414458620789609</v>
      </c>
      <c r="I3946">
        <f t="shared" si="256"/>
        <v>-1.2887940535201401</v>
      </c>
    </row>
    <row r="3947" spans="1:9">
      <c r="A3947" t="s">
        <v>23</v>
      </c>
      <c r="B3947" s="2">
        <f t="shared" si="255"/>
        <v>189</v>
      </c>
      <c r="C3947">
        <v>995</v>
      </c>
      <c r="D3947">
        <v>16</v>
      </c>
      <c r="E3947">
        <v>14</v>
      </c>
      <c r="F3947">
        <f t="shared" si="257"/>
        <v>-1.9135557155513327</v>
      </c>
      <c r="G3947">
        <f t="shared" si="258"/>
        <v>-1.9415962745623854</v>
      </c>
      <c r="I3947">
        <f t="shared" si="256"/>
        <v>-1.9275759950568592</v>
      </c>
    </row>
    <row r="3948" spans="1:9">
      <c r="A3948" t="s">
        <v>24</v>
      </c>
      <c r="B3948" s="2">
        <f t="shared" si="255"/>
        <v>189</v>
      </c>
      <c r="C3948">
        <v>546</v>
      </c>
      <c r="D3948">
        <v>8</v>
      </c>
      <c r="E3948">
        <v>4</v>
      </c>
      <c r="F3948">
        <f t="shared" si="257"/>
        <v>-1.9539552731743259</v>
      </c>
      <c r="G3948">
        <f t="shared" si="258"/>
        <v>-2.2250338808716728</v>
      </c>
      <c r="I3948">
        <f t="shared" si="256"/>
        <v>-2.0894945770229993</v>
      </c>
    </row>
    <row r="3949" spans="1:9">
      <c r="A3949" t="s">
        <v>25</v>
      </c>
      <c r="B3949" s="2">
        <f t="shared" si="255"/>
        <v>189</v>
      </c>
      <c r="C3949">
        <v>1064</v>
      </c>
      <c r="D3949">
        <v>13</v>
      </c>
      <c r="E3949">
        <v>13</v>
      </c>
      <c r="F3949">
        <f t="shared" si="257"/>
        <v>-2.0328508931137246</v>
      </c>
      <c r="G3949">
        <f t="shared" si="258"/>
        <v>-2.0028995051470906</v>
      </c>
      <c r="I3949">
        <f t="shared" si="256"/>
        <v>-2.0178751991304074</v>
      </c>
    </row>
    <row r="3950" spans="1:9">
      <c r="A3950" t="s">
        <v>7</v>
      </c>
      <c r="B3950" s="2">
        <f t="shared" si="255"/>
        <v>190</v>
      </c>
      <c r="C3950">
        <v>411</v>
      </c>
      <c r="D3950">
        <v>5</v>
      </c>
      <c r="E3950">
        <v>2</v>
      </c>
      <c r="F3950">
        <f t="shared" si="257"/>
        <v>-2.0347244350015825</v>
      </c>
      <c r="G3950">
        <f t="shared" si="258"/>
        <v>-2.402713055706986</v>
      </c>
      <c r="I3950">
        <f t="shared" si="256"/>
        <v>-2.218718745354284</v>
      </c>
    </row>
    <row r="3951" spans="1:9">
      <c r="A3951" t="s">
        <v>8</v>
      </c>
      <c r="B3951" s="2">
        <f t="shared" si="255"/>
        <v>190</v>
      </c>
      <c r="C3951">
        <v>409</v>
      </c>
      <c r="D3951">
        <v>16</v>
      </c>
      <c r="E3951">
        <v>14</v>
      </c>
      <c r="F3951">
        <f t="shared" si="257"/>
        <v>-1.5274559428129493</v>
      </c>
      <c r="G3951">
        <f t="shared" si="258"/>
        <v>-1.5554965018240017</v>
      </c>
      <c r="I3951">
        <f t="shared" si="256"/>
        <v>-1.5414762223184755</v>
      </c>
    </row>
    <row r="3952" spans="1:9">
      <c r="A3952" t="s">
        <v>5</v>
      </c>
      <c r="B3952" s="2">
        <f t="shared" si="255"/>
        <v>190</v>
      </c>
      <c r="C3952">
        <v>337</v>
      </c>
      <c r="D3952">
        <v>34</v>
      </c>
      <c r="E3952">
        <v>31</v>
      </c>
      <c r="F3952">
        <f t="shared" si="257"/>
        <v>-1.1160036012906156</v>
      </c>
      <c r="G3952">
        <f t="shared" si="258"/>
        <v>-1.1261694365319639</v>
      </c>
      <c r="I3952">
        <f t="shared" si="256"/>
        <v>-1.1210865189112897</v>
      </c>
    </row>
    <row r="3953" spans="1:9">
      <c r="A3953" t="s">
        <v>6</v>
      </c>
      <c r="B3953" s="2">
        <f t="shared" si="255"/>
        <v>190</v>
      </c>
      <c r="C3953">
        <v>149168</v>
      </c>
      <c r="D3953">
        <v>196575</v>
      </c>
      <c r="E3953">
        <v>183475</v>
      </c>
      <c r="F3953">
        <f t="shared" si="257"/>
        <v>0</v>
      </c>
      <c r="G3953">
        <f t="shared" si="258"/>
        <v>0</v>
      </c>
      <c r="I3953">
        <f t="shared" si="256"/>
        <v>0</v>
      </c>
    </row>
    <row r="3954" spans="1:9">
      <c r="A3954" t="s">
        <v>10</v>
      </c>
      <c r="B3954" s="2">
        <f t="shared" si="255"/>
        <v>190</v>
      </c>
      <c r="C3954">
        <v>517</v>
      </c>
      <c r="D3954">
        <v>67</v>
      </c>
      <c r="E3954">
        <v>62</v>
      </c>
      <c r="F3954">
        <f t="shared" si="257"/>
        <v>-1.0072683578546482</v>
      </c>
      <c r="G3954">
        <f t="shared" si="258"/>
        <v>-1.0110000830905868</v>
      </c>
      <c r="I3954">
        <f t="shared" si="256"/>
        <v>-1.0091342204726175</v>
      </c>
    </row>
    <row r="3955" spans="1:9">
      <c r="A3955" t="s">
        <v>11</v>
      </c>
      <c r="B3955" s="2">
        <f t="shared" si="255"/>
        <v>190</v>
      </c>
      <c r="C3955">
        <v>533</v>
      </c>
      <c r="D3955">
        <v>46</v>
      </c>
      <c r="E3955">
        <v>23</v>
      </c>
      <c r="F3955">
        <f t="shared" si="257"/>
        <v>-1.1838219948065303</v>
      </c>
      <c r="G3955">
        <f t="shared" si="258"/>
        <v>-1.4549006025038773</v>
      </c>
      <c r="I3955">
        <f t="shared" si="256"/>
        <v>-1.3193612986552039</v>
      </c>
    </row>
    <row r="3956" spans="1:9">
      <c r="A3956" t="s">
        <v>12</v>
      </c>
      <c r="B3956" s="2">
        <f t="shared" si="255"/>
        <v>190</v>
      </c>
      <c r="C3956">
        <v>409</v>
      </c>
      <c r="D3956">
        <v>11</v>
      </c>
      <c r="E3956">
        <v>9</v>
      </c>
      <c r="F3956">
        <f t="shared" si="257"/>
        <v>-1.6901832403106489</v>
      </c>
      <c r="G3956">
        <f t="shared" si="258"/>
        <v>-1.7473820280629149</v>
      </c>
      <c r="I3956">
        <f t="shared" si="256"/>
        <v>-1.7187826341867818</v>
      </c>
    </row>
    <row r="3957" spans="1:9">
      <c r="A3957" t="s">
        <v>9</v>
      </c>
      <c r="B3957" s="2">
        <f t="shared" si="255"/>
        <v>190</v>
      </c>
      <c r="C3957">
        <v>344</v>
      </c>
      <c r="D3957">
        <v>10</v>
      </c>
      <c r="E3957">
        <v>11</v>
      </c>
      <c r="F3957">
        <f t="shared" si="257"/>
        <v>-1.6564110600330624</v>
      </c>
      <c r="G3957">
        <f t="shared" si="258"/>
        <v>-1.585066986908203</v>
      </c>
      <c r="I3957">
        <f t="shared" si="256"/>
        <v>-1.6207390234706327</v>
      </c>
    </row>
    <row r="3958" spans="1:9">
      <c r="A3958" t="s">
        <v>13</v>
      </c>
      <c r="B3958" s="2">
        <f t="shared" si="255"/>
        <v>190</v>
      </c>
      <c r="C3958">
        <v>398</v>
      </c>
      <c r="D3958">
        <v>103</v>
      </c>
      <c r="E3958">
        <v>42</v>
      </c>
      <c r="F3958">
        <f t="shared" si="257"/>
        <v>-0.70689846483004781</v>
      </c>
      <c r="G3958">
        <f t="shared" si="258"/>
        <v>-1.0665350111706855</v>
      </c>
      <c r="I3958">
        <f t="shared" si="256"/>
        <v>-0.88671673800036666</v>
      </c>
    </row>
    <row r="3959" spans="1:9">
      <c r="A3959" t="s">
        <v>14</v>
      </c>
      <c r="B3959" s="2">
        <f t="shared" si="255"/>
        <v>190</v>
      </c>
      <c r="C3959">
        <v>157</v>
      </c>
      <c r="D3959">
        <v>3</v>
      </c>
      <c r="E3959">
        <v>2</v>
      </c>
      <c r="F3959">
        <f t="shared" si="257"/>
        <v>-1.8386310151511036</v>
      </c>
      <c r="G3959">
        <f t="shared" si="258"/>
        <v>-1.9847708862401505</v>
      </c>
      <c r="I3959">
        <f t="shared" si="256"/>
        <v>-1.9117009506956271</v>
      </c>
    </row>
    <row r="3960" spans="1:9">
      <c r="A3960" t="s">
        <v>15</v>
      </c>
      <c r="B3960" s="2">
        <f t="shared" si="255"/>
        <v>190</v>
      </c>
      <c r="C3960">
        <v>985</v>
      </c>
      <c r="D3960">
        <v>32</v>
      </c>
      <c r="E3960">
        <v>18</v>
      </c>
      <c r="F3960">
        <f t="shared" si="257"/>
        <v>-1.608138869639238</v>
      </c>
      <c r="G3960">
        <f t="shared" si="258"/>
        <v>-1.8280649548892036</v>
      </c>
      <c r="I3960">
        <f t="shared" si="256"/>
        <v>-1.7181019122642209</v>
      </c>
    </row>
    <row r="3961" spans="1:9">
      <c r="A3961" t="s">
        <v>16</v>
      </c>
      <c r="B3961" s="2">
        <f t="shared" si="255"/>
        <v>190</v>
      </c>
      <c r="C3961">
        <v>2617</v>
      </c>
      <c r="D3961">
        <v>108</v>
      </c>
      <c r="E3961">
        <v>98</v>
      </c>
      <c r="F3961">
        <f t="shared" si="257"/>
        <v>-1.5042325846144635</v>
      </c>
      <c r="G3961">
        <f t="shared" si="258"/>
        <v>-1.5164788764422841</v>
      </c>
      <c r="I3961">
        <f t="shared" si="256"/>
        <v>-1.5103557305283739</v>
      </c>
    </row>
    <row r="3962" spans="1:9">
      <c r="A3962" t="s">
        <v>17</v>
      </c>
      <c r="B3962" s="2">
        <f t="shared" si="255"/>
        <v>190</v>
      </c>
      <c r="C3962">
        <v>353</v>
      </c>
      <c r="D3962">
        <v>549</v>
      </c>
      <c r="E3962">
        <v>1291</v>
      </c>
      <c r="F3962">
        <f t="shared" si="257"/>
        <v>7.194502160073718E-2</v>
      </c>
      <c r="G3962">
        <f t="shared" si="258"/>
        <v>0.47325030738369978</v>
      </c>
      <c r="I3962">
        <f t="shared" si="256"/>
        <v>0.27259766449221845</v>
      </c>
    </row>
    <row r="3963" spans="1:9">
      <c r="A3963" t="s">
        <v>18</v>
      </c>
      <c r="B3963" s="2">
        <f t="shared" si="255"/>
        <v>190</v>
      </c>
      <c r="C3963">
        <v>562</v>
      </c>
      <c r="D3963">
        <v>89</v>
      </c>
      <c r="E3963">
        <v>76</v>
      </c>
      <c r="F3963">
        <f t="shared" si="257"/>
        <v>-0.92019892638568057</v>
      </c>
      <c r="G3963">
        <f t="shared" si="258"/>
        <v>-0.95882395278316768</v>
      </c>
      <c r="I3963">
        <f t="shared" si="256"/>
        <v>-0.93951143958442418</v>
      </c>
    </row>
    <row r="3964" spans="1:9">
      <c r="A3964" t="s">
        <v>19</v>
      </c>
      <c r="B3964" s="2">
        <f t="shared" si="255"/>
        <v>190</v>
      </c>
      <c r="C3964">
        <v>505</v>
      </c>
      <c r="D3964">
        <v>26</v>
      </c>
      <c r="E3964">
        <v>11</v>
      </c>
      <c r="F3964">
        <f t="shared" si="257"/>
        <v>-1.4081706476093756</v>
      </c>
      <c r="G3964">
        <f t="shared" si="258"/>
        <v>-1.7517999224553344</v>
      </c>
      <c r="I3964">
        <f t="shared" si="256"/>
        <v>-1.579985285032355</v>
      </c>
    </row>
    <row r="3965" spans="1:9">
      <c r="A3965" t="s">
        <v>20</v>
      </c>
      <c r="B3965" s="2">
        <f t="shared" si="255"/>
        <v>190</v>
      </c>
      <c r="C3965">
        <v>453</v>
      </c>
      <c r="D3965">
        <v>22</v>
      </c>
      <c r="E3965">
        <v>42</v>
      </c>
      <c r="F3965">
        <f t="shared" si="257"/>
        <v>-1.4335281386521579</v>
      </c>
      <c r="G3965">
        <f t="shared" si="258"/>
        <v>-1.1227501411098293</v>
      </c>
      <c r="I3965">
        <f t="shared" si="256"/>
        <v>-1.2781391398809936</v>
      </c>
    </row>
    <row r="3966" spans="1:9">
      <c r="A3966" t="s">
        <v>21</v>
      </c>
      <c r="B3966" s="2">
        <f t="shared" si="255"/>
        <v>190</v>
      </c>
      <c r="C3966">
        <v>547</v>
      </c>
      <c r="D3966">
        <v>20</v>
      </c>
      <c r="E3966">
        <v>20</v>
      </c>
      <c r="F3966">
        <f t="shared" si="257"/>
        <v>-1.5568099481309818</v>
      </c>
      <c r="G3966">
        <f t="shared" si="258"/>
        <v>-1.5268585601643476</v>
      </c>
      <c r="I3966">
        <f t="shared" si="256"/>
        <v>-1.5418342541476648</v>
      </c>
    </row>
    <row r="3967" spans="1:9">
      <c r="A3967" t="s">
        <v>22</v>
      </c>
      <c r="B3967" s="2">
        <f t="shared" si="255"/>
        <v>190</v>
      </c>
      <c r="C3967">
        <v>147</v>
      </c>
      <c r="D3967">
        <v>2</v>
      </c>
      <c r="E3967">
        <v>1</v>
      </c>
      <c r="F3967">
        <f t="shared" si="257"/>
        <v>-1.9861399565457272</v>
      </c>
      <c r="G3967">
        <f t="shared" si="258"/>
        <v>-2.257218564243074</v>
      </c>
      <c r="I3967">
        <f t="shared" si="256"/>
        <v>-2.1216792603944006</v>
      </c>
    </row>
    <row r="3968" spans="1:9">
      <c r="A3968" t="s">
        <v>23</v>
      </c>
      <c r="B3968" s="2">
        <f t="shared" si="255"/>
        <v>190</v>
      </c>
      <c r="C3968">
        <v>222</v>
      </c>
      <c r="D3968">
        <v>4</v>
      </c>
      <c r="E3968">
        <v>5</v>
      </c>
      <c r="F3968">
        <f t="shared" si="257"/>
        <v>-1.8641456005842085</v>
      </c>
      <c r="G3968">
        <f t="shared" si="258"/>
        <v>-1.7372841996095179</v>
      </c>
      <c r="I3968">
        <f t="shared" si="256"/>
        <v>-1.8007149000968632</v>
      </c>
    </row>
    <row r="3969" spans="1:9">
      <c r="A3969" t="s">
        <v>24</v>
      </c>
      <c r="B3969" s="2">
        <f t="shared" si="255"/>
        <v>190</v>
      </c>
      <c r="C3969">
        <v>663</v>
      </c>
      <c r="D3969">
        <v>14</v>
      </c>
      <c r="E3969">
        <v>7</v>
      </c>
      <c r="F3969">
        <f t="shared" si="257"/>
        <v>-1.7952381101880672</v>
      </c>
      <c r="G3969">
        <f t="shared" si="258"/>
        <v>-2.0663167178854143</v>
      </c>
      <c r="I3969">
        <f t="shared" si="256"/>
        <v>-1.9307774140367409</v>
      </c>
    </row>
    <row r="3970" spans="1:9">
      <c r="A3970" t="s">
        <v>25</v>
      </c>
      <c r="B3970" s="2">
        <f t="shared" si="255"/>
        <v>190</v>
      </c>
      <c r="C3970">
        <v>389</v>
      </c>
      <c r="D3970">
        <v>7</v>
      </c>
      <c r="E3970">
        <v>3</v>
      </c>
      <c r="F3970">
        <f t="shared" si="257"/>
        <v>-1.864704178772983</v>
      </c>
      <c r="G3970">
        <f t="shared" si="258"/>
        <v>-2.2027295761009431</v>
      </c>
      <c r="I3970">
        <f t="shared" si="256"/>
        <v>-2.0337168774369632</v>
      </c>
    </row>
    <row r="3971" spans="1:9">
      <c r="A3971" t="s">
        <v>7</v>
      </c>
      <c r="B3971" s="2">
        <f t="shared" ref="B3971:B4034" si="259">1+INT((ROW()-2)/21)+1</f>
        <v>191</v>
      </c>
      <c r="C3971">
        <v>522</v>
      </c>
      <c r="D3971">
        <v>26</v>
      </c>
      <c r="E3971">
        <v>29</v>
      </c>
      <c r="F3971">
        <f t="shared" si="257"/>
        <v>-1.4225497724929763</v>
      </c>
      <c r="G3971">
        <f t="shared" si="258"/>
        <v>-1.345173734598204</v>
      </c>
      <c r="I3971">
        <f t="shared" ref="I3971:I4034" si="260">AVERAGE(F3971:G3971)</f>
        <v>-1.3838617535455902</v>
      </c>
    </row>
    <row r="3972" spans="1:9">
      <c r="A3972" t="s">
        <v>8</v>
      </c>
      <c r="B3972" s="2">
        <f t="shared" si="259"/>
        <v>191</v>
      </c>
      <c r="C3972">
        <v>480</v>
      </c>
      <c r="D3972">
        <v>12</v>
      </c>
      <c r="E3972">
        <v>15</v>
      </c>
      <c r="F3972">
        <f t="shared" si="257"/>
        <v>-1.7219126087894945</v>
      </c>
      <c r="G3972">
        <f t="shared" si="258"/>
        <v>-1.595051207814804</v>
      </c>
      <c r="I3972">
        <f t="shared" si="260"/>
        <v>-1.6584819083021491</v>
      </c>
    </row>
    <row r="3973" spans="1:9">
      <c r="A3973" t="s">
        <v>5</v>
      </c>
      <c r="B3973" s="2">
        <f t="shared" si="259"/>
        <v>191</v>
      </c>
      <c r="C3973">
        <v>25</v>
      </c>
      <c r="D3973">
        <v>23</v>
      </c>
      <c r="E3973">
        <v>32</v>
      </c>
      <c r="F3973">
        <f t="shared" si="257"/>
        <v>-0.15606479011597688</v>
      </c>
      <c r="G3973">
        <f t="shared" si="258"/>
        <v>1.7308740152970375E-2</v>
      </c>
      <c r="I3973">
        <f t="shared" si="260"/>
        <v>-6.937802498150325E-2</v>
      </c>
    </row>
    <row r="3974" spans="1:9">
      <c r="A3974" t="s">
        <v>6</v>
      </c>
      <c r="B3974" s="2">
        <f t="shared" si="259"/>
        <v>191</v>
      </c>
      <c r="C3974">
        <v>970</v>
      </c>
      <c r="D3974">
        <v>2215</v>
      </c>
      <c r="E3974">
        <v>2872</v>
      </c>
      <c r="F3974">
        <f t="shared" si="257"/>
        <v>0.23874937883131134</v>
      </c>
      <c r="G3974">
        <f t="shared" si="258"/>
        <v>0.38151147180911993</v>
      </c>
      <c r="I3974">
        <f t="shared" si="260"/>
        <v>0.31013042532021562</v>
      </c>
    </row>
    <row r="3975" spans="1:9">
      <c r="A3975" t="s">
        <v>10</v>
      </c>
      <c r="B3975" s="2">
        <f t="shared" si="259"/>
        <v>191</v>
      </c>
      <c r="C3975">
        <v>479</v>
      </c>
      <c r="D3975">
        <v>42</v>
      </c>
      <c r="E3975">
        <v>29</v>
      </c>
      <c r="F3975">
        <f t="shared" si="257"/>
        <v>-1.1769388404781949</v>
      </c>
      <c r="G3975">
        <f t="shared" si="258"/>
        <v>-1.3078387450105051</v>
      </c>
      <c r="I3975">
        <f t="shared" si="260"/>
        <v>-1.24238879274435</v>
      </c>
    </row>
    <row r="3976" spans="1:9">
      <c r="A3976" t="s">
        <v>11</v>
      </c>
      <c r="B3976" s="2">
        <f t="shared" si="259"/>
        <v>191</v>
      </c>
      <c r="C3976">
        <v>633</v>
      </c>
      <c r="D3976">
        <v>7</v>
      </c>
      <c r="E3976">
        <v>9</v>
      </c>
      <c r="F3976">
        <f t="shared" si="257"/>
        <v>-2.0761582874646303</v>
      </c>
      <c r="G3976">
        <f t="shared" si="258"/>
        <v>-1.9370624300729282</v>
      </c>
      <c r="I3976">
        <f t="shared" si="260"/>
        <v>-2.0066103587687794</v>
      </c>
    </row>
    <row r="3977" spans="1:9">
      <c r="A3977" t="s">
        <v>12</v>
      </c>
      <c r="B3977" s="2">
        <f t="shared" si="259"/>
        <v>191</v>
      </c>
      <c r="C3977">
        <v>337</v>
      </c>
      <c r="D3977">
        <v>33</v>
      </c>
      <c r="E3977">
        <v>39</v>
      </c>
      <c r="F3977">
        <f t="shared" si="257"/>
        <v>-1.1289685784549834</v>
      </c>
      <c r="G3977">
        <f t="shared" si="258"/>
        <v>-1.0264665233397374</v>
      </c>
      <c r="I3977">
        <f t="shared" si="260"/>
        <v>-1.0777175508973604</v>
      </c>
    </row>
    <row r="3978" spans="1:9">
      <c r="A3978" t="s">
        <v>9</v>
      </c>
      <c r="B3978" s="2">
        <f t="shared" si="259"/>
        <v>191</v>
      </c>
      <c r="C3978">
        <v>511</v>
      </c>
      <c r="D3978">
        <v>115</v>
      </c>
      <c r="E3978">
        <v>100</v>
      </c>
      <c r="F3978">
        <f t="shared" si="257"/>
        <v>-0.76757567724263331</v>
      </c>
      <c r="G3978">
        <f t="shared" si="258"/>
        <v>-0.79832212962961069</v>
      </c>
      <c r="I3978">
        <f t="shared" si="260"/>
        <v>-0.782948903436122</v>
      </c>
    </row>
    <row r="3979" spans="1:9">
      <c r="A3979" t="s">
        <v>13</v>
      </c>
      <c r="B3979" s="2">
        <f t="shared" si="259"/>
        <v>191</v>
      </c>
      <c r="C3979">
        <v>669</v>
      </c>
      <c r="D3979">
        <v>124</v>
      </c>
      <c r="E3979">
        <v>205</v>
      </c>
      <c r="F3979">
        <f t="shared" ref="F3979:F4033" si="261">LOG10(D3979/C3979)-LOG10(196575/149168)</f>
        <v>-0.8518570500671202</v>
      </c>
      <c r="G3979">
        <f t="shared" ref="G3979:G4033" si="262">LOG10(E3979/C3979)-LOG10(183475/149168)</f>
        <v>-0.60357348620696682</v>
      </c>
      <c r="I3979">
        <f t="shared" si="260"/>
        <v>-0.72771526813704357</v>
      </c>
    </row>
    <row r="3980" spans="1:9">
      <c r="A3980" t="s">
        <v>14</v>
      </c>
      <c r="B3980" s="2">
        <f t="shared" si="259"/>
        <v>191</v>
      </c>
      <c r="C3980">
        <v>941</v>
      </c>
      <c r="D3980">
        <v>100</v>
      </c>
      <c r="E3980">
        <v>91</v>
      </c>
      <c r="F3980">
        <f t="shared" si="261"/>
        <v>-1.0934422408887892</v>
      </c>
      <c r="G3980">
        <f t="shared" si="262"/>
        <v>-1.1044494606010613</v>
      </c>
      <c r="I3980">
        <f t="shared" si="260"/>
        <v>-1.0989458507449252</v>
      </c>
    </row>
    <row r="3981" spans="1:9">
      <c r="A3981" t="s">
        <v>15</v>
      </c>
      <c r="B3981" s="2">
        <f t="shared" si="259"/>
        <v>191</v>
      </c>
      <c r="C3981">
        <v>1289</v>
      </c>
      <c r="D3981">
        <v>196</v>
      </c>
      <c r="E3981">
        <v>206</v>
      </c>
      <c r="F3981">
        <f t="shared" si="261"/>
        <v>-0.9378494634584591</v>
      </c>
      <c r="G3981">
        <f t="shared" si="262"/>
        <v>-0.88628692647914764</v>
      </c>
      <c r="I3981">
        <f t="shared" si="260"/>
        <v>-0.91206819496880343</v>
      </c>
    </row>
    <row r="3982" spans="1:9">
      <c r="A3982" t="s">
        <v>16</v>
      </c>
      <c r="B3982" s="2">
        <f t="shared" si="259"/>
        <v>191</v>
      </c>
      <c r="C3982">
        <v>1588</v>
      </c>
      <c r="D3982">
        <v>61</v>
      </c>
      <c r="E3982">
        <v>43</v>
      </c>
      <c r="F3982">
        <f t="shared" si="261"/>
        <v>-1.5353732805418425</v>
      </c>
      <c r="G3982">
        <f t="shared" si="262"/>
        <v>-1.6572832720063888</v>
      </c>
      <c r="I3982">
        <f t="shared" si="260"/>
        <v>-1.5963282762741158</v>
      </c>
    </row>
    <row r="3983" spans="1:9">
      <c r="A3983" t="s">
        <v>17</v>
      </c>
      <c r="B3983" s="2">
        <f t="shared" si="259"/>
        <v>191</v>
      </c>
      <c r="C3983">
        <v>542</v>
      </c>
      <c r="D3983">
        <v>110</v>
      </c>
      <c r="E3983">
        <v>87</v>
      </c>
      <c r="F3983">
        <f t="shared" si="261"/>
        <v>-0.81245921884169403</v>
      </c>
      <c r="G3983">
        <f t="shared" si="262"/>
        <v>-0.88438126341466639</v>
      </c>
      <c r="I3983">
        <f t="shared" si="260"/>
        <v>-0.84842024112818026</v>
      </c>
    </row>
    <row r="3984" spans="1:9">
      <c r="A3984" t="s">
        <v>18</v>
      </c>
      <c r="B3984" s="2">
        <f t="shared" si="259"/>
        <v>191</v>
      </c>
      <c r="C3984">
        <v>706</v>
      </c>
      <c r="D3984">
        <v>26</v>
      </c>
      <c r="E3984">
        <v>32</v>
      </c>
      <c r="F3984">
        <f t="shared" si="261"/>
        <v>-1.5536839705425181</v>
      </c>
      <c r="G3984">
        <f t="shared" si="262"/>
        <v>-1.4335559522267958</v>
      </c>
      <c r="I3984">
        <f t="shared" si="260"/>
        <v>-1.493619961384657</v>
      </c>
    </row>
    <row r="3985" spans="1:9">
      <c r="A3985" t="s">
        <v>19</v>
      </c>
      <c r="B3985" s="2">
        <f t="shared" si="259"/>
        <v>191</v>
      </c>
      <c r="C3985">
        <v>1234</v>
      </c>
      <c r="D3985">
        <v>58</v>
      </c>
      <c r="E3985">
        <v>51</v>
      </c>
      <c r="F3985">
        <f t="shared" si="261"/>
        <v>-1.4477397835958179</v>
      </c>
      <c r="G3985">
        <f t="shared" si="262"/>
        <v>-1.4736462130941845</v>
      </c>
      <c r="I3985">
        <f t="shared" si="260"/>
        <v>-1.4606929983450012</v>
      </c>
    </row>
    <row r="3986" spans="1:9">
      <c r="A3986" t="s">
        <v>20</v>
      </c>
      <c r="B3986" s="2">
        <f t="shared" si="259"/>
        <v>191</v>
      </c>
      <c r="C3986">
        <v>534</v>
      </c>
      <c r="D3986">
        <v>149</v>
      </c>
      <c r="E3986">
        <v>81</v>
      </c>
      <c r="F3986">
        <f t="shared" si="261"/>
        <v>-0.6742076060778146</v>
      </c>
      <c r="G3986">
        <f t="shared" si="262"/>
        <v>-0.90895746764480467</v>
      </c>
      <c r="I3986">
        <f t="shared" si="260"/>
        <v>-0.79158253686130964</v>
      </c>
    </row>
    <row r="3987" spans="1:9">
      <c r="A3987" t="s">
        <v>21</v>
      </c>
      <c r="B3987" s="2">
        <f t="shared" si="259"/>
        <v>191</v>
      </c>
      <c r="C3987">
        <v>1168</v>
      </c>
      <c r="D3987">
        <v>152</v>
      </c>
      <c r="E3987">
        <v>67</v>
      </c>
      <c r="F3987">
        <f t="shared" si="261"/>
        <v>-1.0054518722931403</v>
      </c>
      <c r="G3987">
        <f t="shared" si="262"/>
        <v>-1.3312692695704522</v>
      </c>
      <c r="I3987">
        <f t="shared" si="260"/>
        <v>-1.1683605709317963</v>
      </c>
    </row>
    <row r="3988" spans="1:9">
      <c r="A3988" t="s">
        <v>22</v>
      </c>
      <c r="B3988" s="2">
        <f t="shared" si="259"/>
        <v>191</v>
      </c>
      <c r="C3988">
        <v>483</v>
      </c>
      <c r="D3988">
        <v>16</v>
      </c>
      <c r="E3988">
        <v>19</v>
      </c>
      <c r="F3988">
        <f t="shared" si="261"/>
        <v>-1.5996797655571195</v>
      </c>
      <c r="G3988">
        <f t="shared" si="262"/>
        <v>-1.4950947592935813</v>
      </c>
      <c r="I3988">
        <f t="shared" si="260"/>
        <v>-1.5473872624253504</v>
      </c>
    </row>
    <row r="3989" spans="1:9">
      <c r="A3989" t="s">
        <v>23</v>
      </c>
      <c r="B3989" s="2">
        <f t="shared" si="259"/>
        <v>191</v>
      </c>
      <c r="C3989">
        <v>406</v>
      </c>
      <c r="D3989">
        <v>7</v>
      </c>
      <c r="E3989">
        <v>4</v>
      </c>
      <c r="F3989">
        <f t="shared" si="261"/>
        <v>-1.8832806110244695</v>
      </c>
      <c r="G3989">
        <f t="shared" si="262"/>
        <v>-2.0963672717441297</v>
      </c>
      <c r="I3989">
        <f t="shared" si="260"/>
        <v>-1.9898239413842997</v>
      </c>
    </row>
    <row r="3990" spans="1:9">
      <c r="A3990" t="s">
        <v>24</v>
      </c>
      <c r="B3990" s="2">
        <f t="shared" si="259"/>
        <v>191</v>
      </c>
      <c r="C3990">
        <v>573</v>
      </c>
      <c r="D3990">
        <v>7</v>
      </c>
      <c r="E3990">
        <v>3</v>
      </c>
      <c r="F3990">
        <f t="shared" si="261"/>
        <v>-2.0329091994146653</v>
      </c>
      <c r="G3990">
        <f t="shared" si="262"/>
        <v>-2.3709345967426256</v>
      </c>
      <c r="I3990">
        <f t="shared" si="260"/>
        <v>-2.2019218980786457</v>
      </c>
    </row>
    <row r="3991" spans="1:9">
      <c r="A3991" t="s">
        <v>25</v>
      </c>
      <c r="B3991" s="2">
        <f t="shared" si="259"/>
        <v>191</v>
      </c>
      <c r="C3991">
        <v>578</v>
      </c>
      <c r="D3991">
        <v>35</v>
      </c>
      <c r="E3991">
        <v>48</v>
      </c>
      <c r="F3991">
        <f t="shared" si="261"/>
        <v>-1.3377124115317856</v>
      </c>
      <c r="G3991">
        <f t="shared" si="262"/>
        <v>-1.1705878305398398</v>
      </c>
      <c r="I3991">
        <f t="shared" si="260"/>
        <v>-1.2541501210358126</v>
      </c>
    </row>
    <row r="3992" spans="1:9">
      <c r="A3992" t="s">
        <v>7</v>
      </c>
      <c r="B3992" s="2">
        <f t="shared" si="259"/>
        <v>192</v>
      </c>
      <c r="C3992">
        <v>674</v>
      </c>
      <c r="D3992">
        <v>7</v>
      </c>
      <c r="E3992">
        <v>13</v>
      </c>
      <c r="F3992">
        <f t="shared" si="261"/>
        <v>-2.1034144739825953</v>
      </c>
      <c r="G3992">
        <f t="shared" si="262"/>
        <v>-1.8046177737233811</v>
      </c>
      <c r="I3992">
        <f t="shared" si="260"/>
        <v>-1.9540161238529881</v>
      </c>
    </row>
    <row r="3993" spans="1:9">
      <c r="A3993" t="s">
        <v>8</v>
      </c>
      <c r="B3993" s="2">
        <f t="shared" si="259"/>
        <v>192</v>
      </c>
      <c r="C3993">
        <v>391</v>
      </c>
      <c r="D3993">
        <v>160</v>
      </c>
      <c r="E3993">
        <v>123</v>
      </c>
      <c r="F3993">
        <f t="shared" si="261"/>
        <v>-0.50790939220147424</v>
      </c>
      <c r="G3993">
        <f t="shared" si="262"/>
        <v>-0.59217287545136688</v>
      </c>
      <c r="I3993">
        <f t="shared" si="260"/>
        <v>-0.55004113382642061</v>
      </c>
    </row>
    <row r="3994" spans="1:9">
      <c r="A3994" t="s">
        <v>5</v>
      </c>
      <c r="B3994" s="2">
        <f t="shared" si="259"/>
        <v>192</v>
      </c>
      <c r="C3994">
        <v>239</v>
      </c>
      <c r="D3994">
        <v>4</v>
      </c>
      <c r="E3994">
        <v>1</v>
      </c>
      <c r="F3994">
        <f t="shared" si="261"/>
        <v>-1.8961905270817074</v>
      </c>
      <c r="G3994">
        <f t="shared" si="262"/>
        <v>-2.4682991304430355</v>
      </c>
      <c r="I3994">
        <f t="shared" si="260"/>
        <v>-2.1822448287623715</v>
      </c>
    </row>
    <row r="3995" spans="1:9">
      <c r="A3995" t="s">
        <v>6</v>
      </c>
      <c r="B3995" s="2">
        <f t="shared" si="259"/>
        <v>192</v>
      </c>
      <c r="C3995">
        <v>514</v>
      </c>
      <c r="D3995">
        <v>17</v>
      </c>
      <c r="E3995">
        <v>7</v>
      </c>
      <c r="F3995">
        <f t="shared" si="261"/>
        <v>-1.600366815078534</v>
      </c>
      <c r="G3995">
        <f t="shared" si="262"/>
        <v>-1.9557663084759169</v>
      </c>
      <c r="I3995">
        <f t="shared" si="260"/>
        <v>-1.7780665617772256</v>
      </c>
    </row>
    <row r="3996" spans="1:9">
      <c r="A3996" t="s">
        <v>10</v>
      </c>
      <c r="B3996" s="2">
        <f t="shared" si="259"/>
        <v>192</v>
      </c>
      <c r="C3996">
        <v>622</v>
      </c>
      <c r="D3996">
        <v>12</v>
      </c>
      <c r="E3996">
        <v>10</v>
      </c>
      <c r="F3996">
        <f t="shared" si="261"/>
        <v>-1.8344617561047261</v>
      </c>
      <c r="G3996">
        <f t="shared" si="262"/>
        <v>-1.8836916141857167</v>
      </c>
      <c r="I3996">
        <f t="shared" si="260"/>
        <v>-1.8590766851452214</v>
      </c>
    </row>
    <row r="3997" spans="1:9">
      <c r="A3997" t="s">
        <v>11</v>
      </c>
      <c r="B3997" s="2">
        <f t="shared" si="259"/>
        <v>192</v>
      </c>
      <c r="C3997">
        <v>712</v>
      </c>
      <c r="D3997">
        <v>13</v>
      </c>
      <c r="E3997">
        <v>12</v>
      </c>
      <c r="F3997">
        <f t="shared" si="261"/>
        <v>-1.8583892587915518</v>
      </c>
      <c r="G3997">
        <f t="shared" si="262"/>
        <v>-1.8631999770841294</v>
      </c>
      <c r="I3997">
        <f t="shared" si="260"/>
        <v>-1.8607946179378407</v>
      </c>
    </row>
    <row r="3998" spans="1:9">
      <c r="A3998" t="s">
        <v>12</v>
      </c>
      <c r="B3998" s="2">
        <f t="shared" si="259"/>
        <v>192</v>
      </c>
      <c r="C3998">
        <v>609</v>
      </c>
      <c r="D3998">
        <v>11</v>
      </c>
      <c r="E3998">
        <v>2</v>
      </c>
      <c r="F3998">
        <f t="shared" si="261"/>
        <v>-1.8630772249361824</v>
      </c>
      <c r="G3998">
        <f t="shared" si="262"/>
        <v>-2.5734885264637923</v>
      </c>
      <c r="I3998">
        <f t="shared" si="260"/>
        <v>-2.2182828756999875</v>
      </c>
    </row>
    <row r="3999" spans="1:9">
      <c r="A3999" t="s">
        <v>9</v>
      </c>
      <c r="B3999" s="2">
        <f t="shared" si="259"/>
        <v>192</v>
      </c>
      <c r="C3999">
        <v>358</v>
      </c>
      <c r="D3999">
        <v>6</v>
      </c>
      <c r="E3999">
        <v>5</v>
      </c>
      <c r="F3999">
        <f t="shared" si="261"/>
        <v>-1.8955843937217629</v>
      </c>
      <c r="G3999">
        <f t="shared" si="262"/>
        <v>-1.9448142518027536</v>
      </c>
      <c r="I3999">
        <f t="shared" si="260"/>
        <v>-1.9201993227622582</v>
      </c>
    </row>
    <row r="4000" spans="1:9">
      <c r="A4000" t="s">
        <v>13</v>
      </c>
      <c r="B4000" s="2">
        <f t="shared" si="259"/>
        <v>192</v>
      </c>
      <c r="C4000">
        <v>279</v>
      </c>
      <c r="D4000">
        <v>15</v>
      </c>
      <c r="E4000">
        <v>11</v>
      </c>
      <c r="F4000">
        <f t="shared" si="261"/>
        <v>-1.3893655616794485</v>
      </c>
      <c r="G4000">
        <f t="shared" si="262"/>
        <v>-1.4941127476102705</v>
      </c>
      <c r="I4000">
        <f t="shared" si="260"/>
        <v>-1.4417391546448595</v>
      </c>
    </row>
    <row r="4001" spans="1:9">
      <c r="A4001" t="s">
        <v>14</v>
      </c>
      <c r="B4001" s="2">
        <f t="shared" si="259"/>
        <v>192</v>
      </c>
      <c r="C4001">
        <v>224</v>
      </c>
      <c r="D4001">
        <v>4</v>
      </c>
      <c r="E4001">
        <v>0</v>
      </c>
      <c r="F4001">
        <f t="shared" si="261"/>
        <v>-1.8680406444677327</v>
      </c>
      <c r="G4001" t="e">
        <f t="shared" si="262"/>
        <v>#NUM!</v>
      </c>
      <c r="I4001" t="e">
        <f t="shared" si="260"/>
        <v>#NUM!</v>
      </c>
    </row>
    <row r="4002" spans="1:9">
      <c r="A4002" t="s">
        <v>15</v>
      </c>
      <c r="B4002" s="2">
        <f t="shared" si="259"/>
        <v>192</v>
      </c>
      <c r="C4002">
        <v>843</v>
      </c>
      <c r="D4002">
        <v>139</v>
      </c>
      <c r="E4002">
        <v>193</v>
      </c>
      <c r="F4002">
        <f t="shared" si="261"/>
        <v>-0.90266539183217942</v>
      </c>
      <c r="G4002">
        <f t="shared" si="262"/>
        <v>-0.73017149511186652</v>
      </c>
      <c r="I4002">
        <f t="shared" si="260"/>
        <v>-0.81641844347202297</v>
      </c>
    </row>
    <row r="4003" spans="1:9">
      <c r="A4003" t="s">
        <v>16</v>
      </c>
      <c r="B4003" s="2">
        <f t="shared" si="259"/>
        <v>192</v>
      </c>
      <c r="C4003">
        <v>949</v>
      </c>
      <c r="D4003">
        <v>19</v>
      </c>
      <c r="E4003">
        <v>28</v>
      </c>
      <c r="F4003">
        <f t="shared" si="261"/>
        <v>-1.8183652289359959</v>
      </c>
      <c r="G4003">
        <f t="shared" si="262"/>
        <v>-1.6200094105799714</v>
      </c>
      <c r="I4003">
        <f t="shared" si="260"/>
        <v>-1.7191873197579837</v>
      </c>
    </row>
    <row r="4004" spans="1:9">
      <c r="A4004" t="s">
        <v>17</v>
      </c>
      <c r="B4004" s="2">
        <f t="shared" si="259"/>
        <v>192</v>
      </c>
      <c r="C4004">
        <v>338</v>
      </c>
      <c r="D4004">
        <v>10</v>
      </c>
      <c r="E4004">
        <v>3</v>
      </c>
      <c r="F4004">
        <f t="shared" si="261"/>
        <v>-1.6487693177391869</v>
      </c>
      <c r="G4004">
        <f t="shared" si="262"/>
        <v>-2.1416966750528901</v>
      </c>
      <c r="I4004">
        <f t="shared" si="260"/>
        <v>-1.8952329963960386</v>
      </c>
    </row>
    <row r="4005" spans="1:9">
      <c r="A4005" t="s">
        <v>18</v>
      </c>
      <c r="B4005" s="2">
        <f t="shared" si="259"/>
        <v>192</v>
      </c>
      <c r="C4005">
        <v>397</v>
      </c>
      <c r="D4005">
        <v>214</v>
      </c>
      <c r="E4005">
        <v>62</v>
      </c>
      <c r="F4005">
        <f t="shared" si="261"/>
        <v>-0.3882293508754564</v>
      </c>
      <c r="G4005">
        <f t="shared" si="262"/>
        <v>-0.89630004675975916</v>
      </c>
      <c r="I4005">
        <f t="shared" si="260"/>
        <v>-0.64226469881760773</v>
      </c>
    </row>
    <row r="4006" spans="1:9">
      <c r="A4006" t="s">
        <v>19</v>
      </c>
      <c r="B4006" s="2">
        <f t="shared" si="259"/>
        <v>192</v>
      </c>
      <c r="C4006">
        <v>149168</v>
      </c>
      <c r="D4006">
        <v>196575</v>
      </c>
      <c r="E4006">
        <v>183475</v>
      </c>
      <c r="F4006">
        <f t="shared" si="261"/>
        <v>0</v>
      </c>
      <c r="G4006">
        <f t="shared" si="262"/>
        <v>0</v>
      </c>
      <c r="I4006">
        <f t="shared" si="260"/>
        <v>0</v>
      </c>
    </row>
    <row r="4007" spans="1:9">
      <c r="A4007" t="s">
        <v>20</v>
      </c>
      <c r="B4007" s="2">
        <f t="shared" si="259"/>
        <v>192</v>
      </c>
      <c r="C4007">
        <v>163</v>
      </c>
      <c r="D4007">
        <v>49</v>
      </c>
      <c r="E4007">
        <v>55</v>
      </c>
      <c r="F4007">
        <f t="shared" si="261"/>
        <v>-0.64184414183697636</v>
      </c>
      <c r="G4007">
        <f t="shared" si="262"/>
        <v>-0.56172614440461199</v>
      </c>
      <c r="I4007">
        <f t="shared" si="260"/>
        <v>-0.60178514312079412</v>
      </c>
    </row>
    <row r="4008" spans="1:9">
      <c r="A4008" t="s">
        <v>21</v>
      </c>
      <c r="B4008" s="2">
        <f t="shared" si="259"/>
        <v>192</v>
      </c>
      <c r="C4008">
        <v>491</v>
      </c>
      <c r="D4008">
        <v>9</v>
      </c>
      <c r="E4008">
        <v>15</v>
      </c>
      <c r="F4008">
        <f t="shared" si="261"/>
        <v>-1.8566916001451759</v>
      </c>
      <c r="G4008">
        <f t="shared" si="262"/>
        <v>-1.6048914625621853</v>
      </c>
      <c r="I4008">
        <f t="shared" si="260"/>
        <v>-1.7307915313536806</v>
      </c>
    </row>
    <row r="4009" spans="1:9">
      <c r="A4009" t="s">
        <v>22</v>
      </c>
      <c r="B4009" s="2">
        <f t="shared" si="259"/>
        <v>192</v>
      </c>
      <c r="C4009">
        <v>318</v>
      </c>
      <c r="D4009">
        <v>11</v>
      </c>
      <c r="E4009">
        <v>1</v>
      </c>
      <c r="F4009">
        <f t="shared" si="261"/>
        <v>-1.5808870522877398</v>
      </c>
      <c r="G4009">
        <f t="shared" si="262"/>
        <v>-2.5923283494793306</v>
      </c>
      <c r="I4009">
        <f t="shared" si="260"/>
        <v>-2.0866077008835351</v>
      </c>
    </row>
    <row r="4010" spans="1:9">
      <c r="A4010" t="s">
        <v>23</v>
      </c>
      <c r="B4010" s="2">
        <f t="shared" si="259"/>
        <v>192</v>
      </c>
      <c r="C4010">
        <v>412</v>
      </c>
      <c r="D4010">
        <v>24</v>
      </c>
      <c r="E4010">
        <v>23</v>
      </c>
      <c r="F4010">
        <f t="shared" si="261"/>
        <v>-1.3545385917830608</v>
      </c>
      <c r="G4010">
        <f t="shared" si="262"/>
        <v>-1.3430706095104397</v>
      </c>
      <c r="I4010">
        <f t="shared" si="260"/>
        <v>-1.3488046006467502</v>
      </c>
    </row>
    <row r="4011" spans="1:9">
      <c r="A4011" t="s">
        <v>24</v>
      </c>
      <c r="B4011" s="2">
        <f t="shared" si="259"/>
        <v>192</v>
      </c>
      <c r="C4011">
        <v>1078</v>
      </c>
      <c r="D4011">
        <v>15</v>
      </c>
      <c r="E4011">
        <v>10</v>
      </c>
      <c r="F4011">
        <f t="shared" si="261"/>
        <v>-1.9763801192565709</v>
      </c>
      <c r="G4011">
        <f t="shared" si="262"/>
        <v>-2.122519990345618</v>
      </c>
      <c r="I4011">
        <f t="shared" si="260"/>
        <v>-2.0494500548010945</v>
      </c>
    </row>
    <row r="4012" spans="1:9">
      <c r="A4012" t="s">
        <v>25</v>
      </c>
      <c r="B4012" s="2">
        <f t="shared" si="259"/>
        <v>192</v>
      </c>
      <c r="C4012">
        <v>997</v>
      </c>
      <c r="D4012">
        <v>13</v>
      </c>
      <c r="E4012">
        <v>12</v>
      </c>
      <c r="F4012">
        <f t="shared" si="261"/>
        <v>-2.0046044234663509</v>
      </c>
      <c r="G4012">
        <f t="shared" si="262"/>
        <v>-2.0094151417589292</v>
      </c>
      <c r="I4012">
        <f t="shared" si="260"/>
        <v>-2.0070097826126401</v>
      </c>
    </row>
    <row r="4013" spans="1:9">
      <c r="A4013" t="s">
        <v>7</v>
      </c>
      <c r="B4013" s="2">
        <f t="shared" si="259"/>
        <v>193</v>
      </c>
      <c r="C4013">
        <v>319</v>
      </c>
      <c r="D4013">
        <v>9</v>
      </c>
      <c r="E4013">
        <v>2</v>
      </c>
      <c r="F4013">
        <f t="shared" si="261"/>
        <v>-1.6694007910793884</v>
      </c>
      <c r="G4013">
        <f t="shared" si="262"/>
        <v>-2.2926619168880977</v>
      </c>
      <c r="I4013">
        <f t="shared" si="260"/>
        <v>-1.981031353983743</v>
      </c>
    </row>
    <row r="4014" spans="1:9">
      <c r="A4014" t="s">
        <v>8</v>
      </c>
      <c r="B4014" s="2">
        <f t="shared" si="259"/>
        <v>193</v>
      </c>
      <c r="C4014">
        <v>311</v>
      </c>
      <c r="D4014">
        <v>4</v>
      </c>
      <c r="E4014">
        <v>3</v>
      </c>
      <c r="F4014">
        <f t="shared" si="261"/>
        <v>-2.0105530151604074</v>
      </c>
      <c r="G4014">
        <f t="shared" si="262"/>
        <v>-2.1055403638020729</v>
      </c>
      <c r="I4014">
        <f t="shared" si="260"/>
        <v>-2.0580466894812401</v>
      </c>
    </row>
    <row r="4015" spans="1:9">
      <c r="A4015" t="s">
        <v>5</v>
      </c>
      <c r="B4015" s="2">
        <f t="shared" si="259"/>
        <v>193</v>
      </c>
      <c r="C4015">
        <v>213</v>
      </c>
      <c r="D4015">
        <v>5</v>
      </c>
      <c r="E4015">
        <v>0</v>
      </c>
      <c r="F4015">
        <f t="shared" si="261"/>
        <v>-1.7492622165642511</v>
      </c>
      <c r="G4015" t="e">
        <f t="shared" si="262"/>
        <v>#NUM!</v>
      </c>
      <c r="I4015" t="e">
        <f t="shared" si="260"/>
        <v>#NUM!</v>
      </c>
    </row>
    <row r="4016" spans="1:9">
      <c r="A4016" t="s">
        <v>6</v>
      </c>
      <c r="B4016" s="2">
        <f t="shared" si="259"/>
        <v>193</v>
      </c>
      <c r="C4016">
        <v>1603</v>
      </c>
      <c r="D4016">
        <v>169</v>
      </c>
      <c r="E4016">
        <v>118</v>
      </c>
      <c r="F4016">
        <f t="shared" si="261"/>
        <v>-1.0968994352020034</v>
      </c>
      <c r="G4016">
        <f t="shared" si="262"/>
        <v>-1.2229527445429174</v>
      </c>
      <c r="I4016">
        <f t="shared" si="260"/>
        <v>-1.1599260898724604</v>
      </c>
    </row>
    <row r="4017" spans="1:9">
      <c r="A4017" t="s">
        <v>10</v>
      </c>
      <c r="B4017" s="2">
        <f t="shared" si="259"/>
        <v>193</v>
      </c>
      <c r="C4017">
        <v>1299</v>
      </c>
      <c r="D4017">
        <v>27</v>
      </c>
      <c r="E4017">
        <v>27</v>
      </c>
      <c r="F4017">
        <f t="shared" si="261"/>
        <v>-1.8020980043755728</v>
      </c>
      <c r="G4017">
        <f t="shared" si="262"/>
        <v>-1.7721466164089386</v>
      </c>
      <c r="I4017">
        <f t="shared" si="260"/>
        <v>-1.7871223103922556</v>
      </c>
    </row>
    <row r="4018" spans="1:9">
      <c r="A4018" t="s">
        <v>11</v>
      </c>
      <c r="B4018" s="2">
        <f t="shared" si="259"/>
        <v>193</v>
      </c>
      <c r="C4018">
        <v>595</v>
      </c>
      <c r="D4018">
        <v>17</v>
      </c>
      <c r="E4018">
        <v>8</v>
      </c>
      <c r="F4018">
        <f t="shared" si="261"/>
        <v>-1.6639206618118079</v>
      </c>
      <c r="G4018">
        <f t="shared" si="262"/>
        <v>-1.961328208231504</v>
      </c>
      <c r="I4018">
        <f t="shared" si="260"/>
        <v>-1.812624435021656</v>
      </c>
    </row>
    <row r="4019" spans="1:9">
      <c r="A4019" t="s">
        <v>12</v>
      </c>
      <c r="B4019" s="2">
        <f t="shared" si="259"/>
        <v>193</v>
      </c>
      <c r="C4019">
        <v>981</v>
      </c>
      <c r="D4019">
        <v>23</v>
      </c>
      <c r="E4019">
        <v>8</v>
      </c>
      <c r="F4019">
        <f t="shared" si="261"/>
        <v>-1.7497937888238879</v>
      </c>
      <c r="G4019">
        <f t="shared" si="262"/>
        <v>-2.1784802498829028</v>
      </c>
      <c r="I4019">
        <f t="shared" si="260"/>
        <v>-1.9641370193533954</v>
      </c>
    </row>
    <row r="4020" spans="1:9">
      <c r="A4020" t="s">
        <v>9</v>
      </c>
      <c r="B4020" s="2">
        <f t="shared" si="259"/>
        <v>193</v>
      </c>
      <c r="C4020">
        <v>339</v>
      </c>
      <c r="D4020">
        <v>39</v>
      </c>
      <c r="E4020">
        <v>41</v>
      </c>
      <c r="F4020">
        <f t="shared" si="261"/>
        <v>-1.0589877086381152</v>
      </c>
      <c r="G4020">
        <f t="shared" si="262"/>
        <v>-1.0073170709782446</v>
      </c>
      <c r="I4020">
        <f t="shared" si="260"/>
        <v>-1.0331523898081798</v>
      </c>
    </row>
    <row r="4021" spans="1:9">
      <c r="A4021" t="s">
        <v>13</v>
      </c>
      <c r="B4021" s="2">
        <f t="shared" si="259"/>
        <v>193</v>
      </c>
      <c r="C4021">
        <v>166</v>
      </c>
      <c r="D4021">
        <v>19</v>
      </c>
      <c r="E4021">
        <v>21</v>
      </c>
      <c r="F4021">
        <f t="shared" si="261"/>
        <v>-1.0612071045487583</v>
      </c>
      <c r="G4021">
        <f t="shared" si="262"/>
        <v>-0.9877900228010339</v>
      </c>
      <c r="I4021">
        <f t="shared" si="260"/>
        <v>-1.024498563674896</v>
      </c>
    </row>
    <row r="4022" spans="1:9">
      <c r="A4022" t="s">
        <v>14</v>
      </c>
      <c r="B4022" s="2">
        <f t="shared" si="259"/>
        <v>193</v>
      </c>
      <c r="C4022">
        <v>465</v>
      </c>
      <c r="D4022">
        <v>13</v>
      </c>
      <c r="E4022">
        <v>7</v>
      </c>
      <c r="F4022">
        <f t="shared" si="261"/>
        <v>-1.6733622180446492</v>
      </c>
      <c r="G4022">
        <f t="shared" si="262"/>
        <v>-1.912256142370595</v>
      </c>
      <c r="I4022">
        <f t="shared" si="260"/>
        <v>-1.7928091802076223</v>
      </c>
    </row>
    <row r="4023" spans="1:9">
      <c r="A4023" t="s">
        <v>15</v>
      </c>
      <c r="B4023" s="2">
        <f t="shared" si="259"/>
        <v>193</v>
      </c>
      <c r="C4023">
        <v>486</v>
      </c>
      <c r="D4023">
        <v>7</v>
      </c>
      <c r="E4023">
        <v>6</v>
      </c>
      <c r="F4023">
        <f t="shared" si="261"/>
        <v>-1.9613908467095686</v>
      </c>
      <c r="G4023">
        <f t="shared" si="262"/>
        <v>-1.9983862483735477</v>
      </c>
      <c r="I4023">
        <f t="shared" si="260"/>
        <v>-1.9798885475415582</v>
      </c>
    </row>
    <row r="4024" spans="1:9">
      <c r="A4024" t="s">
        <v>16</v>
      </c>
      <c r="B4024" s="2">
        <f t="shared" si="259"/>
        <v>193</v>
      </c>
      <c r="C4024">
        <v>898</v>
      </c>
      <c r="D4024">
        <v>9</v>
      </c>
      <c r="E4024">
        <v>15</v>
      </c>
      <c r="F4024">
        <f t="shared" si="261"/>
        <v>-2.1188864446895117</v>
      </c>
      <c r="G4024">
        <f t="shared" si="262"/>
        <v>-1.8670863071065211</v>
      </c>
      <c r="I4024">
        <f t="shared" si="260"/>
        <v>-1.9929863758980164</v>
      </c>
    </row>
    <row r="4025" spans="1:9">
      <c r="A4025" t="s">
        <v>17</v>
      </c>
      <c r="B4025" s="2">
        <f t="shared" si="259"/>
        <v>193</v>
      </c>
      <c r="C4025">
        <v>374</v>
      </c>
      <c r="D4025">
        <v>35</v>
      </c>
      <c r="E4025">
        <v>21</v>
      </c>
      <c r="F4025">
        <f t="shared" si="261"/>
        <v>-1.1486561753117368</v>
      </c>
      <c r="G4025">
        <f t="shared" si="262"/>
        <v>-1.340553536961459</v>
      </c>
      <c r="I4025">
        <f t="shared" si="260"/>
        <v>-1.2446048561365979</v>
      </c>
    </row>
    <row r="4026" spans="1:9">
      <c r="A4026" t="s">
        <v>18</v>
      </c>
      <c r="B4026" s="2">
        <f t="shared" si="259"/>
        <v>193</v>
      </c>
      <c r="C4026">
        <v>736</v>
      </c>
      <c r="D4026">
        <v>15</v>
      </c>
      <c r="E4026">
        <v>8</v>
      </c>
      <c r="F4026">
        <f t="shared" si="261"/>
        <v>-1.8106391727433497</v>
      </c>
      <c r="G4026">
        <f t="shared" si="262"/>
        <v>-2.0536890568404536</v>
      </c>
      <c r="I4026">
        <f t="shared" si="260"/>
        <v>-1.9321641147919015</v>
      </c>
    </row>
    <row r="4027" spans="1:9">
      <c r="A4027" t="s">
        <v>19</v>
      </c>
      <c r="B4027" s="2">
        <f t="shared" si="259"/>
        <v>193</v>
      </c>
      <c r="C4027">
        <v>347</v>
      </c>
      <c r="D4027">
        <v>24</v>
      </c>
      <c r="E4027">
        <v>25</v>
      </c>
      <c r="F4027">
        <f t="shared" si="261"/>
        <v>-1.2799708505407998</v>
      </c>
      <c r="G4027">
        <f t="shared" si="262"/>
        <v>-1.2322906956137341</v>
      </c>
      <c r="I4027">
        <f t="shared" si="260"/>
        <v>-1.2561307730772668</v>
      </c>
    </row>
    <row r="4028" spans="1:9">
      <c r="A4028" t="s">
        <v>20</v>
      </c>
      <c r="B4028" s="2">
        <f t="shared" si="259"/>
        <v>193</v>
      </c>
      <c r="C4028">
        <v>149168</v>
      </c>
      <c r="D4028">
        <v>196575</v>
      </c>
      <c r="E4028">
        <v>183475</v>
      </c>
      <c r="F4028">
        <f t="shared" si="261"/>
        <v>0</v>
      </c>
      <c r="G4028">
        <f t="shared" si="262"/>
        <v>0</v>
      </c>
      <c r="I4028">
        <f t="shared" si="260"/>
        <v>0</v>
      </c>
    </row>
    <row r="4029" spans="1:9">
      <c r="A4029" t="s">
        <v>21</v>
      </c>
      <c r="B4029" s="2">
        <f t="shared" si="259"/>
        <v>193</v>
      </c>
      <c r="C4029">
        <v>969</v>
      </c>
      <c r="D4029">
        <v>1030</v>
      </c>
      <c r="E4029">
        <v>551</v>
      </c>
      <c r="F4029">
        <f t="shared" si="261"/>
        <v>-9.3339169807125297E-2</v>
      </c>
      <c r="G4029">
        <f t="shared" si="262"/>
        <v>-0.33507340769387828</v>
      </c>
      <c r="I4029">
        <f t="shared" si="260"/>
        <v>-0.21420628875050179</v>
      </c>
    </row>
    <row r="4030" spans="1:9">
      <c r="A4030" t="s">
        <v>22</v>
      </c>
      <c r="B4030" s="2">
        <f t="shared" si="259"/>
        <v>193</v>
      </c>
      <c r="C4030">
        <v>578</v>
      </c>
      <c r="D4030">
        <v>16</v>
      </c>
      <c r="E4030">
        <v>7</v>
      </c>
      <c r="F4030">
        <f t="shared" si="261"/>
        <v>-1.6776604732261364</v>
      </c>
      <c r="G4030">
        <f t="shared" si="262"/>
        <v>-2.0067310279011705</v>
      </c>
      <c r="I4030">
        <f t="shared" si="260"/>
        <v>-1.8421957505636535</v>
      </c>
    </row>
    <row r="4031" spans="1:9">
      <c r="A4031" t="s">
        <v>23</v>
      </c>
      <c r="B4031" s="2">
        <f t="shared" si="259"/>
        <v>193</v>
      </c>
      <c r="C4031">
        <v>307</v>
      </c>
      <c r="D4031">
        <v>37</v>
      </c>
      <c r="E4031">
        <v>23</v>
      </c>
      <c r="F4031">
        <f t="shared" si="261"/>
        <v>-1.0387892688717237</v>
      </c>
      <c r="G4031">
        <f t="shared" si="262"/>
        <v>-1.2153117689544917</v>
      </c>
      <c r="I4031">
        <f t="shared" si="260"/>
        <v>-1.1270505189131077</v>
      </c>
    </row>
    <row r="4032" spans="1:9">
      <c r="A4032" t="s">
        <v>24</v>
      </c>
      <c r="B4032" s="2">
        <f t="shared" si="259"/>
        <v>193</v>
      </c>
      <c r="C4032">
        <v>921</v>
      </c>
      <c r="D4032">
        <v>20</v>
      </c>
      <c r="E4032">
        <v>11</v>
      </c>
      <c r="F4032">
        <f t="shared" si="261"/>
        <v>-1.7830822519943998</v>
      </c>
      <c r="G4032">
        <f t="shared" si="262"/>
        <v>-2.0127681745335222</v>
      </c>
      <c r="I4032">
        <f t="shared" si="260"/>
        <v>-1.897925213263961</v>
      </c>
    </row>
    <row r="4033" spans="1:9">
      <c r="A4033" t="s">
        <v>25</v>
      </c>
      <c r="B4033" s="2">
        <f t="shared" si="259"/>
        <v>193</v>
      </c>
      <c r="C4033">
        <v>725</v>
      </c>
      <c r="D4033">
        <v>15</v>
      </c>
      <c r="E4033">
        <v>15</v>
      </c>
      <c r="F4033">
        <f t="shared" si="261"/>
        <v>-1.8040993649768446</v>
      </c>
      <c r="G4033">
        <f t="shared" si="262"/>
        <v>-1.7741479770102104</v>
      </c>
      <c r="I4033">
        <f t="shared" si="260"/>
        <v>-1.7891236709935274</v>
      </c>
    </row>
    <row r="4034" spans="1:9">
      <c r="A4034" t="s">
        <v>7</v>
      </c>
      <c r="B4034" s="2">
        <f t="shared" si="259"/>
        <v>194</v>
      </c>
      <c r="C4034">
        <v>244</v>
      </c>
      <c r="D4034">
        <v>103</v>
      </c>
      <c r="E4034">
        <v>55</v>
      </c>
      <c r="F4034">
        <f>LOG10(D4034/C4034)-LOG10(173206/42448)</f>
        <v>-0.98525830125952907</v>
      </c>
      <c r="G4034">
        <f>LOG10(E4034/C4034)-LOG10(180879/42448)</f>
        <v>-1.2765580525280416</v>
      </c>
      <c r="I4034">
        <f t="shared" si="260"/>
        <v>-1.1309081768937852</v>
      </c>
    </row>
    <row r="4035" spans="1:9">
      <c r="A4035" t="s">
        <v>8</v>
      </c>
      <c r="B4035" s="2">
        <f t="shared" ref="B4035:B4098" si="263">1+INT((ROW()-2)/21)+1</f>
        <v>194</v>
      </c>
      <c r="C4035">
        <v>239</v>
      </c>
      <c r="D4035">
        <v>20</v>
      </c>
      <c r="E4035">
        <v>19</v>
      </c>
      <c r="F4035">
        <f t="shared" ref="F4035:F4098" si="264">LOG10(D4035/C4035)-LOG10(173206/42448)</f>
        <v>-1.6880736049101284</v>
      </c>
      <c r="G4035">
        <f t="shared" ref="G4035:G4098" si="265">LOG10(E4035/C4035)-LOG10(180879/42448)</f>
        <v>-1.7291752156788647</v>
      </c>
      <c r="I4035">
        <f t="shared" ref="I4035:I4098" si="266">AVERAGE(F4035:G4035)</f>
        <v>-1.7086244102944965</v>
      </c>
    </row>
    <row r="4036" spans="1:9">
      <c r="A4036" t="s">
        <v>5</v>
      </c>
      <c r="B4036" s="2">
        <f t="shared" si="263"/>
        <v>194</v>
      </c>
      <c r="C4036">
        <v>88</v>
      </c>
      <c r="D4036">
        <v>0</v>
      </c>
      <c r="E4036">
        <v>3</v>
      </c>
      <c r="F4036" t="e">
        <f t="shared" si="264"/>
        <v>#NUM!</v>
      </c>
      <c r="G4036">
        <f t="shared" si="265"/>
        <v>-2.0968923331140625</v>
      </c>
      <c r="I4036" t="e">
        <f t="shared" si="266"/>
        <v>#NUM!</v>
      </c>
    </row>
    <row r="4037" spans="1:9">
      <c r="A4037" t="s">
        <v>6</v>
      </c>
      <c r="B4037" s="2">
        <f t="shared" si="263"/>
        <v>194</v>
      </c>
      <c r="C4037">
        <v>133</v>
      </c>
      <c r="D4037">
        <v>25</v>
      </c>
      <c r="E4037">
        <v>18</v>
      </c>
      <c r="F4037">
        <f t="shared" si="264"/>
        <v>-1.3366173319210199</v>
      </c>
      <c r="G4037">
        <f t="shared" si="265"/>
        <v>-1.4981100515473358</v>
      </c>
      <c r="I4037">
        <f t="shared" si="266"/>
        <v>-1.4173636917341779</v>
      </c>
    </row>
    <row r="4038" spans="1:9">
      <c r="A4038" t="s">
        <v>10</v>
      </c>
      <c r="B4038" s="2">
        <f t="shared" si="263"/>
        <v>194</v>
      </c>
      <c r="C4038">
        <v>64</v>
      </c>
      <c r="D4038">
        <v>0</v>
      </c>
      <c r="E4038">
        <v>3</v>
      </c>
      <c r="F4038" t="e">
        <f t="shared" si="264"/>
        <v>#NUM!</v>
      </c>
      <c r="G4038">
        <f t="shared" si="265"/>
        <v>-1.9585896349477809</v>
      </c>
      <c r="I4038" t="e">
        <f t="shared" si="266"/>
        <v>#NUM!</v>
      </c>
    </row>
    <row r="4039" spans="1:9">
      <c r="A4039" t="s">
        <v>11</v>
      </c>
      <c r="B4039" s="2">
        <f t="shared" si="263"/>
        <v>194</v>
      </c>
      <c r="C4039">
        <v>117</v>
      </c>
      <c r="D4039">
        <v>135</v>
      </c>
      <c r="E4039">
        <v>72</v>
      </c>
      <c r="F4039">
        <f t="shared" si="264"/>
        <v>-0.54855779287712747</v>
      </c>
      <c r="G4039">
        <f t="shared" si="265"/>
        <v>-0.84038428099844931</v>
      </c>
      <c r="I4039">
        <f t="shared" si="266"/>
        <v>-0.69447103693778844</v>
      </c>
    </row>
    <row r="4040" spans="1:9">
      <c r="A4040" t="s">
        <v>12</v>
      </c>
      <c r="B4040" s="2">
        <f t="shared" si="263"/>
        <v>194</v>
      </c>
      <c r="C4040">
        <v>212</v>
      </c>
      <c r="D4040">
        <v>64</v>
      </c>
      <c r="E4040">
        <v>11</v>
      </c>
      <c r="F4040">
        <f t="shared" si="264"/>
        <v>-1.1308615865708362</v>
      </c>
      <c r="G4040">
        <f t="shared" si="265"/>
        <v>-1.9144740914540823</v>
      </c>
      <c r="I4040">
        <f t="shared" si="266"/>
        <v>-1.5226678390124593</v>
      </c>
    </row>
    <row r="4041" spans="1:9">
      <c r="A4041" t="s">
        <v>9</v>
      </c>
      <c r="B4041" s="2">
        <f t="shared" si="263"/>
        <v>194</v>
      </c>
      <c r="C4041">
        <v>178</v>
      </c>
      <c r="D4041">
        <v>24</v>
      </c>
      <c r="E4041">
        <v>2</v>
      </c>
      <c r="F4041">
        <f t="shared" si="264"/>
        <v>-1.4809144602232598</v>
      </c>
      <c r="G4041">
        <f t="shared" si="265"/>
        <v>-2.5789209223284688</v>
      </c>
      <c r="I4041">
        <f t="shared" si="266"/>
        <v>-2.0299176912758643</v>
      </c>
    </row>
    <row r="4042" spans="1:9">
      <c r="A4042" t="s">
        <v>13</v>
      </c>
      <c r="B4042" s="2">
        <f t="shared" si="263"/>
        <v>194</v>
      </c>
      <c r="C4042">
        <v>172</v>
      </c>
      <c r="D4042">
        <v>67</v>
      </c>
      <c r="E4042">
        <v>106</v>
      </c>
      <c r="F4042">
        <f t="shared" si="264"/>
        <v>-1.0201593438326944</v>
      </c>
      <c r="G4042">
        <f t="shared" si="265"/>
        <v>-0.83975349732633475</v>
      </c>
      <c r="I4042">
        <f t="shared" si="266"/>
        <v>-0.92995642057951455</v>
      </c>
    </row>
    <row r="4043" spans="1:9">
      <c r="A4043" t="s">
        <v>14</v>
      </c>
      <c r="B4043" s="2">
        <f t="shared" si="263"/>
        <v>194</v>
      </c>
      <c r="C4043">
        <v>103</v>
      </c>
      <c r="D4043">
        <v>49</v>
      </c>
      <c r="E4043">
        <v>30</v>
      </c>
      <c r="F4043">
        <f t="shared" si="264"/>
        <v>-0.93334684430263049</v>
      </c>
      <c r="G4043">
        <f t="shared" si="265"/>
        <v>-1.1652468856690659</v>
      </c>
      <c r="I4043">
        <f t="shared" si="266"/>
        <v>-1.0492968649858483</v>
      </c>
    </row>
    <row r="4044" spans="1:9">
      <c r="A4044" t="s">
        <v>15</v>
      </c>
      <c r="B4044" s="2">
        <f t="shared" si="263"/>
        <v>194</v>
      </c>
      <c r="C4044">
        <v>3</v>
      </c>
      <c r="D4044">
        <v>13</v>
      </c>
      <c r="E4044">
        <v>10</v>
      </c>
      <c r="F4044">
        <f t="shared" si="264"/>
        <v>2.6116397961202464E-2</v>
      </c>
      <c r="G4044">
        <f t="shared" si="265"/>
        <v>-0.1066521704032185</v>
      </c>
      <c r="I4044">
        <f t="shared" si="266"/>
        <v>-4.026788622100802E-2</v>
      </c>
    </row>
    <row r="4045" spans="1:9">
      <c r="A4045" t="s">
        <v>16</v>
      </c>
      <c r="B4045" s="2">
        <f t="shared" si="263"/>
        <v>194</v>
      </c>
      <c r="C4045">
        <v>255</v>
      </c>
      <c r="D4045">
        <v>12</v>
      </c>
      <c r="E4045">
        <v>39</v>
      </c>
      <c r="F4045">
        <f t="shared" si="264"/>
        <v>-1.9380646340123022</v>
      </c>
      <c r="G4045">
        <f t="shared" si="265"/>
        <v>-1.4450064890910119</v>
      </c>
      <c r="I4045">
        <f t="shared" si="266"/>
        <v>-1.6915355615516572</v>
      </c>
    </row>
    <row r="4046" spans="1:9">
      <c r="A4046" t="s">
        <v>17</v>
      </c>
      <c r="B4046" s="2">
        <f t="shared" si="263"/>
        <v>194</v>
      </c>
      <c r="C4046">
        <v>264</v>
      </c>
      <c r="D4046">
        <v>11</v>
      </c>
      <c r="E4046">
        <v>16</v>
      </c>
      <c r="F4046">
        <f t="shared" si="264"/>
        <v>-1.990916941337578</v>
      </c>
      <c r="G4046">
        <f t="shared" si="265"/>
        <v>-1.8470148598974623</v>
      </c>
      <c r="I4046">
        <f t="shared" si="266"/>
        <v>-1.9189659006175201</v>
      </c>
    </row>
    <row r="4047" spans="1:9">
      <c r="A4047" t="s">
        <v>18</v>
      </c>
      <c r="B4047" s="2">
        <f t="shared" si="263"/>
        <v>194</v>
      </c>
      <c r="C4047">
        <v>106</v>
      </c>
      <c r="D4047">
        <v>14</v>
      </c>
      <c r="E4047">
        <v>48</v>
      </c>
      <c r="F4047">
        <f t="shared" si="264"/>
        <v>-1.4898835292125041</v>
      </c>
      <c r="G4047">
        <f t="shared" si="265"/>
        <v>-0.97359554357273914</v>
      </c>
      <c r="I4047">
        <f t="shared" si="266"/>
        <v>-1.2317395363926216</v>
      </c>
    </row>
    <row r="4048" spans="1:9">
      <c r="A4048" t="s">
        <v>19</v>
      </c>
      <c r="B4048" s="2">
        <f t="shared" si="263"/>
        <v>194</v>
      </c>
      <c r="C4048">
        <v>505</v>
      </c>
      <c r="D4048">
        <v>2953</v>
      </c>
      <c r="E4048">
        <v>2058</v>
      </c>
      <c r="F4048">
        <f t="shared" si="264"/>
        <v>0.15626636922044512</v>
      </c>
      <c r="G4048">
        <f t="shared" si="265"/>
        <v>-1.9376923375803323E-2</v>
      </c>
      <c r="I4048">
        <f t="shared" si="266"/>
        <v>6.84447229223209E-2</v>
      </c>
    </row>
    <row r="4049" spans="1:9">
      <c r="A4049" t="s">
        <v>20</v>
      </c>
      <c r="B4049" s="2">
        <f t="shared" si="263"/>
        <v>194</v>
      </c>
      <c r="C4049">
        <v>244</v>
      </c>
      <c r="D4049">
        <v>40</v>
      </c>
      <c r="E4049">
        <v>67</v>
      </c>
      <c r="F4049">
        <f t="shared" si="264"/>
        <v>-1.3960355346367388</v>
      </c>
      <c r="G4049">
        <f t="shared" si="265"/>
        <v>-1.1908459393214592</v>
      </c>
      <c r="I4049">
        <f t="shared" si="266"/>
        <v>-1.293440736979099</v>
      </c>
    </row>
    <row r="4050" spans="1:9">
      <c r="A4050" t="s">
        <v>21</v>
      </c>
      <c r="B4050" s="2">
        <f t="shared" si="263"/>
        <v>194</v>
      </c>
      <c r="C4050">
        <v>230</v>
      </c>
      <c r="D4050">
        <v>5</v>
      </c>
      <c r="E4050">
        <v>13</v>
      </c>
      <c r="F4050">
        <f t="shared" si="264"/>
        <v>-2.273463531307546</v>
      </c>
      <c r="G4050">
        <f t="shared" si="265"/>
        <v>-1.8773153993943121</v>
      </c>
      <c r="I4050">
        <f t="shared" si="266"/>
        <v>-2.0753894653509288</v>
      </c>
    </row>
    <row r="4051" spans="1:9">
      <c r="A4051" t="s">
        <v>22</v>
      </c>
      <c r="B4051" s="2">
        <f t="shared" si="263"/>
        <v>194</v>
      </c>
      <c r="C4051">
        <v>119</v>
      </c>
      <c r="D4051">
        <v>23</v>
      </c>
      <c r="E4051">
        <v>6</v>
      </c>
      <c r="F4051">
        <f t="shared" si="264"/>
        <v>-1.3245248250009096</v>
      </c>
      <c r="G4051">
        <f t="shared" si="265"/>
        <v>-1.9269266266924432</v>
      </c>
      <c r="I4051">
        <f t="shared" si="266"/>
        <v>-1.6257257258466764</v>
      </c>
    </row>
    <row r="4052" spans="1:9">
      <c r="A4052" t="s">
        <v>23</v>
      </c>
      <c r="B4052" s="2">
        <f t="shared" si="263"/>
        <v>194</v>
      </c>
      <c r="C4052">
        <v>114</v>
      </c>
      <c r="D4052">
        <v>14</v>
      </c>
      <c r="E4052">
        <v>8</v>
      </c>
      <c r="F4052">
        <f t="shared" si="264"/>
        <v>-1.5214825152842064</v>
      </c>
      <c r="G4052">
        <f t="shared" si="265"/>
        <v>-1.783345780028085</v>
      </c>
      <c r="I4052">
        <f t="shared" si="266"/>
        <v>-1.6524141476561458</v>
      </c>
    </row>
    <row r="4053" spans="1:9">
      <c r="A4053" t="s">
        <v>24</v>
      </c>
      <c r="B4053" s="2">
        <f t="shared" si="263"/>
        <v>194</v>
      </c>
      <c r="C4053">
        <v>267</v>
      </c>
      <c r="D4053">
        <v>16</v>
      </c>
      <c r="E4053">
        <v>19</v>
      </c>
      <c r="F4053">
        <f t="shared" si="264"/>
        <v>-1.8330969783346223</v>
      </c>
      <c r="G4053">
        <f t="shared" si="265"/>
        <v>-1.7772885760953026</v>
      </c>
      <c r="I4053">
        <f t="shared" si="266"/>
        <v>-1.8051927772149625</v>
      </c>
    </row>
    <row r="4054" spans="1:9">
      <c r="A4054" t="s">
        <v>25</v>
      </c>
      <c r="B4054" s="2">
        <f t="shared" si="263"/>
        <v>194</v>
      </c>
      <c r="C4054">
        <v>86</v>
      </c>
      <c r="D4054">
        <v>48</v>
      </c>
      <c r="E4054">
        <v>23</v>
      </c>
      <c r="F4054">
        <f t="shared" si="264"/>
        <v>-0.86396291349395238</v>
      </c>
      <c r="G4054">
        <f t="shared" si="265"/>
        <v>-1.2023015309095308</v>
      </c>
      <c r="I4054">
        <f t="shared" si="266"/>
        <v>-1.0331322222017416</v>
      </c>
    </row>
    <row r="4055" spans="1:9">
      <c r="A4055" t="s">
        <v>7</v>
      </c>
      <c r="B4055" s="2">
        <f t="shared" si="263"/>
        <v>195</v>
      </c>
      <c r="C4055">
        <v>302</v>
      </c>
      <c r="D4055">
        <v>59</v>
      </c>
      <c r="E4055">
        <v>104</v>
      </c>
      <c r="F4055">
        <f t="shared" si="264"/>
        <v>-1.3198606309409784</v>
      </c>
      <c r="G4055">
        <f t="shared" si="265"/>
        <v>-1.0925045193419265</v>
      </c>
      <c r="I4055">
        <f t="shared" si="266"/>
        <v>-1.2061825751414523</v>
      </c>
    </row>
    <row r="4056" spans="1:9">
      <c r="A4056" t="s">
        <v>8</v>
      </c>
      <c r="B4056" s="2">
        <f t="shared" si="263"/>
        <v>195</v>
      </c>
      <c r="C4056">
        <v>553</v>
      </c>
      <c r="D4056">
        <v>8</v>
      </c>
      <c r="E4056">
        <v>17</v>
      </c>
      <c r="F4056">
        <f t="shared" si="264"/>
        <v>-2.4503408439387266</v>
      </c>
      <c r="G4056">
        <f t="shared" si="265"/>
        <v>-2.1418071256099807</v>
      </c>
      <c r="I4056">
        <f t="shared" si="266"/>
        <v>-2.2960739847743534</v>
      </c>
    </row>
    <row r="4057" spans="1:9">
      <c r="A4057" t="s">
        <v>5</v>
      </c>
      <c r="B4057" s="2">
        <f t="shared" si="263"/>
        <v>195</v>
      </c>
      <c r="C4057">
        <v>971</v>
      </c>
      <c r="D4057">
        <v>67</v>
      </c>
      <c r="E4057">
        <v>74</v>
      </c>
      <c r="F4057">
        <f t="shared" si="264"/>
        <v>-1.7718501268331504</v>
      </c>
      <c r="G4057">
        <f t="shared" si="265"/>
        <v>-1.7475184258605849</v>
      </c>
      <c r="I4057">
        <f t="shared" si="266"/>
        <v>-1.7596842763468676</v>
      </c>
    </row>
    <row r="4058" spans="1:9">
      <c r="A4058" t="s">
        <v>6</v>
      </c>
      <c r="B4058" s="2">
        <f t="shared" si="263"/>
        <v>195</v>
      </c>
      <c r="C4058">
        <v>748</v>
      </c>
      <c r="D4058">
        <v>92</v>
      </c>
      <c r="E4058">
        <v>40</v>
      </c>
      <c r="F4058">
        <f t="shared" si="264"/>
        <v>-1.5208194701448781</v>
      </c>
      <c r="G4058">
        <f t="shared" si="265"/>
        <v>-1.901372522220055</v>
      </c>
      <c r="I4058">
        <f t="shared" si="266"/>
        <v>-1.7110959961824665</v>
      </c>
    </row>
    <row r="4059" spans="1:9">
      <c r="A4059" t="s">
        <v>10</v>
      </c>
      <c r="B4059" s="2">
        <f t="shared" si="263"/>
        <v>195</v>
      </c>
      <c r="C4059">
        <v>731</v>
      </c>
      <c r="D4059">
        <v>651</v>
      </c>
      <c r="E4059">
        <v>783</v>
      </c>
      <c r="F4059">
        <f t="shared" si="264"/>
        <v>-0.66104208801564035</v>
      </c>
      <c r="G4059">
        <f t="shared" si="265"/>
        <v>-0.59968653058347321</v>
      </c>
      <c r="I4059">
        <f t="shared" si="266"/>
        <v>-0.63036430929955678</v>
      </c>
    </row>
    <row r="4060" spans="1:9">
      <c r="A4060" t="s">
        <v>11</v>
      </c>
      <c r="B4060" s="2">
        <f t="shared" si="263"/>
        <v>195</v>
      </c>
      <c r="C4060">
        <v>790</v>
      </c>
      <c r="D4060">
        <v>81</v>
      </c>
      <c r="E4060">
        <v>63</v>
      </c>
      <c r="F4060">
        <f t="shared" si="264"/>
        <v>-1.5998477720377635</v>
      </c>
      <c r="G4060">
        <f t="shared" si="265"/>
        <v>-1.7278174575204157</v>
      </c>
      <c r="I4060">
        <f t="shared" si="266"/>
        <v>-1.6638326147790896</v>
      </c>
    </row>
    <row r="4061" spans="1:9">
      <c r="A4061" t="s">
        <v>12</v>
      </c>
      <c r="B4061" s="2">
        <f t="shared" si="263"/>
        <v>195</v>
      </c>
      <c r="C4061">
        <v>587</v>
      </c>
      <c r="D4061">
        <v>23</v>
      </c>
      <c r="E4061">
        <v>23</v>
      </c>
      <c r="F4061">
        <f t="shared" si="264"/>
        <v>-2.0176159648559935</v>
      </c>
      <c r="G4061">
        <f t="shared" si="265"/>
        <v>-2.0364411809135778</v>
      </c>
      <c r="I4061">
        <f t="shared" si="266"/>
        <v>-2.0270285728847854</v>
      </c>
    </row>
    <row r="4062" spans="1:9">
      <c r="A4062" t="s">
        <v>9</v>
      </c>
      <c r="B4062" s="2">
        <f t="shared" si="263"/>
        <v>195</v>
      </c>
      <c r="C4062">
        <v>410</v>
      </c>
      <c r="D4062">
        <v>15</v>
      </c>
      <c r="E4062">
        <v>8</v>
      </c>
      <c r="F4062">
        <f t="shared" si="264"/>
        <v>-2.0473982972900262</v>
      </c>
      <c r="G4062">
        <f t="shared" si="265"/>
        <v>-2.3392247854113482</v>
      </c>
      <c r="I4062">
        <f t="shared" si="266"/>
        <v>-2.1933115413506874</v>
      </c>
    </row>
    <row r="4063" spans="1:9">
      <c r="A4063" t="s">
        <v>13</v>
      </c>
      <c r="B4063" s="2">
        <f t="shared" si="263"/>
        <v>195</v>
      </c>
      <c r="C4063">
        <v>160</v>
      </c>
      <c r="D4063">
        <v>61</v>
      </c>
      <c r="E4063">
        <v>56</v>
      </c>
      <c r="F4063">
        <f t="shared" si="264"/>
        <v>-1.0294958472711295</v>
      </c>
      <c r="G4063">
        <f t="shared" si="265"/>
        <v>-1.0854628713332806</v>
      </c>
      <c r="I4063">
        <f t="shared" si="266"/>
        <v>-1.0574793593022052</v>
      </c>
    </row>
    <row r="4064" spans="1:9">
      <c r="A4064" t="s">
        <v>14</v>
      </c>
      <c r="B4064" s="2">
        <f t="shared" si="263"/>
        <v>195</v>
      </c>
      <c r="C4064">
        <v>465</v>
      </c>
      <c r="D4064">
        <v>29</v>
      </c>
      <c r="E4064">
        <v>89</v>
      </c>
      <c r="F4064">
        <f t="shared" si="264"/>
        <v>-1.8157606546169698</v>
      </c>
      <c r="G4064">
        <f t="shared" si="265"/>
        <v>-1.3475938619285972</v>
      </c>
      <c r="I4064">
        <f t="shared" si="266"/>
        <v>-1.5816772582727836</v>
      </c>
    </row>
    <row r="4065" spans="1:9">
      <c r="A4065" t="s">
        <v>15</v>
      </c>
      <c r="B4065" s="2">
        <f t="shared" si="263"/>
        <v>195</v>
      </c>
      <c r="C4065">
        <v>10</v>
      </c>
      <c r="D4065">
        <v>17</v>
      </c>
      <c r="E4065">
        <v>23</v>
      </c>
      <c r="F4065">
        <f t="shared" si="264"/>
        <v>-0.38025677824769799</v>
      </c>
      <c r="G4065">
        <f t="shared" si="265"/>
        <v>-0.26780307966596328</v>
      </c>
      <c r="I4065">
        <f t="shared" si="266"/>
        <v>-0.32402992895683064</v>
      </c>
    </row>
    <row r="4066" spans="1:9">
      <c r="A4066" t="s">
        <v>16</v>
      </c>
      <c r="B4066" s="2">
        <f t="shared" si="263"/>
        <v>195</v>
      </c>
      <c r="C4066">
        <v>778</v>
      </c>
      <c r="D4066">
        <v>90</v>
      </c>
      <c r="E4066">
        <v>104</v>
      </c>
      <c r="F4066">
        <f t="shared" si="264"/>
        <v>-1.5474427871763359</v>
      </c>
      <c r="G4066">
        <f t="shared" si="265"/>
        <v>-1.5034771733744647</v>
      </c>
      <c r="I4066">
        <f t="shared" si="266"/>
        <v>-1.5254599802754003</v>
      </c>
    </row>
    <row r="4067" spans="1:9">
      <c r="A4067" t="s">
        <v>17</v>
      </c>
      <c r="B4067" s="2">
        <f t="shared" si="263"/>
        <v>195</v>
      </c>
      <c r="C4067">
        <v>1047</v>
      </c>
      <c r="D4067">
        <v>380</v>
      </c>
      <c r="E4067">
        <v>1055</v>
      </c>
      <c r="F4067">
        <f t="shared" si="264"/>
        <v>-1.050868784688004</v>
      </c>
      <c r="G4067">
        <f t="shared" si="265"/>
        <v>-0.62622513772868693</v>
      </c>
      <c r="I4067">
        <f t="shared" si="266"/>
        <v>-0.83854696120834549</v>
      </c>
    </row>
    <row r="4068" spans="1:9">
      <c r="A4068" t="s">
        <v>18</v>
      </c>
      <c r="B4068" s="2">
        <f t="shared" si="263"/>
        <v>195</v>
      </c>
      <c r="C4068">
        <v>275</v>
      </c>
      <c r="D4068">
        <v>158</v>
      </c>
      <c r="E4068">
        <v>354</v>
      </c>
      <c r="F4068">
        <f t="shared" si="264"/>
        <v>-0.85138130650181187</v>
      </c>
      <c r="G4068">
        <f t="shared" si="265"/>
        <v>-0.51986034748803089</v>
      </c>
      <c r="I4068">
        <f t="shared" si="266"/>
        <v>-0.68562082699492133</v>
      </c>
    </row>
    <row r="4069" spans="1:9">
      <c r="A4069" t="s">
        <v>19</v>
      </c>
      <c r="B4069" s="2">
        <f t="shared" si="263"/>
        <v>195</v>
      </c>
      <c r="C4069">
        <v>410</v>
      </c>
      <c r="D4069">
        <v>191</v>
      </c>
      <c r="E4069">
        <v>653</v>
      </c>
      <c r="F4069">
        <f t="shared" si="264"/>
        <v>-0.94245618909797979</v>
      </c>
      <c r="G4069">
        <f t="shared" si="265"/>
        <v>-0.42740159112821768</v>
      </c>
      <c r="I4069">
        <f t="shared" si="266"/>
        <v>-0.68492889011309877</v>
      </c>
    </row>
    <row r="4070" spans="1:9">
      <c r="A4070" t="s">
        <v>20</v>
      </c>
      <c r="B4070" s="2">
        <f t="shared" si="263"/>
        <v>195</v>
      </c>
      <c r="C4070">
        <v>335</v>
      </c>
      <c r="D4070">
        <v>16</v>
      </c>
      <c r="E4070">
        <v>19</v>
      </c>
      <c r="F4070">
        <f t="shared" si="264"/>
        <v>-1.9316305240068923</v>
      </c>
      <c r="G4070">
        <f t="shared" si="265"/>
        <v>-1.8758221217675723</v>
      </c>
      <c r="I4070">
        <f t="shared" si="266"/>
        <v>-1.9037263228872323</v>
      </c>
    </row>
    <row r="4071" spans="1:9">
      <c r="A4071" t="s">
        <v>21</v>
      </c>
      <c r="B4071" s="2">
        <f t="shared" si="263"/>
        <v>195</v>
      </c>
      <c r="C4071">
        <v>844</v>
      </c>
      <c r="D4071">
        <v>660</v>
      </c>
      <c r="E4071">
        <v>385</v>
      </c>
      <c r="F4071">
        <f t="shared" si="264"/>
        <v>-0.71750421070975823</v>
      </c>
      <c r="G4071">
        <f t="shared" si="265"/>
        <v>-0.97041263280071055</v>
      </c>
      <c r="I4071">
        <f t="shared" si="266"/>
        <v>-0.84395842175523439</v>
      </c>
    </row>
    <row r="4072" spans="1:9">
      <c r="A4072" t="s">
        <v>22</v>
      </c>
      <c r="B4072" s="2">
        <f t="shared" si="263"/>
        <v>195</v>
      </c>
      <c r="C4072">
        <v>429</v>
      </c>
      <c r="D4072">
        <v>261</v>
      </c>
      <c r="E4072">
        <v>257</v>
      </c>
      <c r="F4072">
        <f t="shared" si="264"/>
        <v>-0.82652248447241516</v>
      </c>
      <c r="G4072">
        <f t="shared" si="265"/>
        <v>-0.85205508453698586</v>
      </c>
      <c r="I4072">
        <f t="shared" si="266"/>
        <v>-0.83928878450470057</v>
      </c>
    </row>
    <row r="4073" spans="1:9">
      <c r="A4073" t="s">
        <v>23</v>
      </c>
      <c r="B4073" s="2">
        <f t="shared" si="263"/>
        <v>195</v>
      </c>
      <c r="C4073">
        <v>268</v>
      </c>
      <c r="D4073">
        <v>16</v>
      </c>
      <c r="E4073">
        <v>41</v>
      </c>
      <c r="F4073">
        <f t="shared" si="264"/>
        <v>-1.8347205109988358</v>
      </c>
      <c r="G4073">
        <f t="shared" si="265"/>
        <v>-1.4448818529926095</v>
      </c>
      <c r="I4073">
        <f t="shared" si="266"/>
        <v>-1.6398011819957228</v>
      </c>
    </row>
    <row r="4074" spans="1:9">
      <c r="A4074" t="s">
        <v>24</v>
      </c>
      <c r="B4074" s="2">
        <f t="shared" si="263"/>
        <v>195</v>
      </c>
      <c r="C4074">
        <v>258</v>
      </c>
      <c r="D4074">
        <v>39</v>
      </c>
      <c r="E4074">
        <v>20</v>
      </c>
      <c r="F4074">
        <f t="shared" si="264"/>
        <v>-1.4312607985627028</v>
      </c>
      <c r="G4074">
        <f t="shared" si="265"/>
        <v>-1.7401206259828053</v>
      </c>
      <c r="I4074">
        <f t="shared" si="266"/>
        <v>-1.5856907122727542</v>
      </c>
    </row>
    <row r="4075" spans="1:9">
      <c r="A4075" t="s">
        <v>25</v>
      </c>
      <c r="B4075" s="2">
        <f t="shared" si="263"/>
        <v>195</v>
      </c>
      <c r="C4075">
        <v>265</v>
      </c>
      <c r="D4075">
        <v>26</v>
      </c>
      <c r="E4075">
        <v>6</v>
      </c>
      <c r="F4075">
        <f t="shared" si="264"/>
        <v>-1.6189782255919618</v>
      </c>
      <c r="G4075">
        <f t="shared" si="265"/>
        <v>-2.2746255392367205</v>
      </c>
      <c r="I4075">
        <f t="shared" si="266"/>
        <v>-1.9468018824143412</v>
      </c>
    </row>
    <row r="4076" spans="1:9">
      <c r="A4076" t="s">
        <v>7</v>
      </c>
      <c r="B4076" s="2">
        <f t="shared" si="263"/>
        <v>196</v>
      </c>
      <c r="C4076">
        <v>556</v>
      </c>
      <c r="D4076">
        <v>6</v>
      </c>
      <c r="E4076">
        <v>19</v>
      </c>
      <c r="F4076">
        <f t="shared" si="264"/>
        <v>-2.5776292408243857</v>
      </c>
      <c r="G4076">
        <f t="shared" si="265"/>
        <v>-2.0958521063127846</v>
      </c>
      <c r="I4076">
        <f t="shared" si="266"/>
        <v>-2.3367406735685852</v>
      </c>
    </row>
    <row r="4077" spans="1:9">
      <c r="A4077" t="s">
        <v>8</v>
      </c>
      <c r="B4077" s="2">
        <f t="shared" si="263"/>
        <v>196</v>
      </c>
      <c r="C4077">
        <v>531</v>
      </c>
      <c r="D4077">
        <v>4</v>
      </c>
      <c r="E4077">
        <v>11</v>
      </c>
      <c r="F4077">
        <f t="shared" si="264"/>
        <v>-2.7337402293794781</v>
      </c>
      <c r="G4077">
        <f t="shared" si="265"/>
        <v>-2.3132327516068001</v>
      </c>
      <c r="I4077">
        <f t="shared" si="266"/>
        <v>-2.5234864904931391</v>
      </c>
    </row>
    <row r="4078" spans="1:9">
      <c r="A4078" t="s">
        <v>5</v>
      </c>
      <c r="B4078" s="2">
        <f t="shared" si="263"/>
        <v>196</v>
      </c>
      <c r="C4078">
        <v>923</v>
      </c>
      <c r="D4078">
        <v>92</v>
      </c>
      <c r="E4078">
        <v>18</v>
      </c>
      <c r="F4078">
        <f t="shared" si="264"/>
        <v>-1.6121195733063287</v>
      </c>
      <c r="G4078">
        <f t="shared" si="265"/>
        <v>-2.339460111606162</v>
      </c>
      <c r="I4078">
        <f t="shared" si="266"/>
        <v>-1.9757898424562454</v>
      </c>
    </row>
    <row r="4079" spans="1:9">
      <c r="A4079" t="s">
        <v>6</v>
      </c>
      <c r="B4079" s="2">
        <f t="shared" si="263"/>
        <v>196</v>
      </c>
      <c r="C4079">
        <v>127</v>
      </c>
      <c r="D4079">
        <v>2</v>
      </c>
      <c r="E4079">
        <v>11</v>
      </c>
      <c r="F4079">
        <f t="shared" si="264"/>
        <v>-2.4134794249179476</v>
      </c>
      <c r="G4079">
        <f t="shared" si="265"/>
        <v>-1.6919419514812879</v>
      </c>
      <c r="I4079">
        <f t="shared" si="266"/>
        <v>-2.0527106881996176</v>
      </c>
    </row>
    <row r="4080" spans="1:9">
      <c r="A4080" t="s">
        <v>10</v>
      </c>
      <c r="B4080" s="2">
        <f t="shared" si="263"/>
        <v>196</v>
      </c>
      <c r="C4080">
        <v>1395</v>
      </c>
      <c r="D4080">
        <v>162</v>
      </c>
      <c r="E4080">
        <v>72</v>
      </c>
      <c r="F4080">
        <f t="shared" si="264"/>
        <v>-1.5457648926929572</v>
      </c>
      <c r="G4080">
        <f t="shared" si="265"/>
        <v>-1.9167726268619041</v>
      </c>
      <c r="I4080">
        <f t="shared" si="266"/>
        <v>-1.7312687597774308</v>
      </c>
    </row>
    <row r="4081" spans="1:9">
      <c r="A4081" t="s">
        <v>11</v>
      </c>
      <c r="B4081" s="2">
        <f t="shared" si="263"/>
        <v>196</v>
      </c>
      <c r="C4081">
        <v>695</v>
      </c>
      <c r="D4081">
        <v>33</v>
      </c>
      <c r="E4081">
        <v>25</v>
      </c>
      <c r="F4081">
        <f t="shared" si="264"/>
        <v>-1.9341765643381983</v>
      </c>
      <c r="G4081">
        <f t="shared" si="265"/>
        <v>-2.0735757116016322</v>
      </c>
      <c r="I4081">
        <f t="shared" si="266"/>
        <v>-2.0038761379699155</v>
      </c>
    </row>
    <row r="4082" spans="1:9">
      <c r="A4082" t="s">
        <v>12</v>
      </c>
      <c r="B4082" s="2">
        <f t="shared" si="263"/>
        <v>196</v>
      </c>
      <c r="C4082">
        <v>724</v>
      </c>
      <c r="D4082">
        <v>23</v>
      </c>
      <c r="E4082">
        <v>11</v>
      </c>
      <c r="F4082">
        <f t="shared" si="264"/>
        <v>-2.1087164298055256</v>
      </c>
      <c r="G4082">
        <f t="shared" si="265"/>
        <v>-2.4478767967224782</v>
      </c>
      <c r="I4082">
        <f t="shared" si="266"/>
        <v>-2.2782966132640019</v>
      </c>
    </row>
    <row r="4083" spans="1:9">
      <c r="A4083" t="s">
        <v>9</v>
      </c>
      <c r="B4083" s="2">
        <f t="shared" si="263"/>
        <v>196</v>
      </c>
      <c r="C4083">
        <v>657</v>
      </c>
      <c r="D4083">
        <v>46</v>
      </c>
      <c r="E4083">
        <v>68</v>
      </c>
      <c r="F4083">
        <f t="shared" si="264"/>
        <v>-1.7655132375041787</v>
      </c>
      <c r="G4083">
        <f t="shared" si="265"/>
        <v>-1.6145873725371005</v>
      </c>
      <c r="I4083">
        <f t="shared" si="266"/>
        <v>-1.6900503050206397</v>
      </c>
    </row>
    <row r="4084" spans="1:9">
      <c r="A4084" t="s">
        <v>13</v>
      </c>
      <c r="B4084" s="2">
        <f t="shared" si="263"/>
        <v>196</v>
      </c>
      <c r="C4084">
        <v>427</v>
      </c>
      <c r="D4084">
        <v>7</v>
      </c>
      <c r="E4084">
        <v>9</v>
      </c>
      <c r="F4084">
        <f t="shared" si="264"/>
        <v>-2.3960355346367388</v>
      </c>
      <c r="G4084">
        <f t="shared" si="265"/>
        <v>-2.3057162812692553</v>
      </c>
      <c r="I4084">
        <f t="shared" si="266"/>
        <v>-2.3508759079529971</v>
      </c>
    </row>
    <row r="4085" spans="1:9">
      <c r="A4085" t="s">
        <v>14</v>
      </c>
      <c r="B4085" s="2">
        <f t="shared" si="263"/>
        <v>196</v>
      </c>
      <c r="C4085">
        <v>188</v>
      </c>
      <c r="D4085">
        <v>19</v>
      </c>
      <c r="E4085">
        <v>1</v>
      </c>
      <c r="F4085">
        <f t="shared" si="264"/>
        <v>-1.6061099479368228</v>
      </c>
      <c r="G4085">
        <f t="shared" si="265"/>
        <v>-2.903688764947236</v>
      </c>
      <c r="I4085">
        <f t="shared" si="266"/>
        <v>-2.2548993564420297</v>
      </c>
    </row>
    <row r="4086" spans="1:9">
      <c r="A4086" t="s">
        <v>15</v>
      </c>
      <c r="B4086" s="2">
        <f t="shared" si="263"/>
        <v>196</v>
      </c>
      <c r="C4086">
        <v>659</v>
      </c>
      <c r="D4086">
        <v>43</v>
      </c>
      <c r="E4086">
        <v>5</v>
      </c>
      <c r="F4086">
        <f t="shared" si="264"/>
        <v>-1.7961226586403953</v>
      </c>
      <c r="G4086">
        <f t="shared" si="265"/>
        <v>-2.7494463259415469</v>
      </c>
      <c r="I4086">
        <f t="shared" si="266"/>
        <v>-2.2727844922909712</v>
      </c>
    </row>
    <row r="4087" spans="1:9">
      <c r="A4087" t="s">
        <v>16</v>
      </c>
      <c r="B4087" s="2">
        <f t="shared" si="263"/>
        <v>196</v>
      </c>
      <c r="C4087">
        <v>376</v>
      </c>
      <c r="D4087">
        <v>247</v>
      </c>
      <c r="E4087">
        <v>368</v>
      </c>
      <c r="F4087">
        <f t="shared" si="264"/>
        <v>-0.79319659129396713</v>
      </c>
      <c r="G4087">
        <f t="shared" si="265"/>
        <v>-0.63887094193769955</v>
      </c>
      <c r="I4087">
        <f t="shared" si="266"/>
        <v>-0.7160337666158334</v>
      </c>
    </row>
    <row r="4088" spans="1:9">
      <c r="A4088" t="s">
        <v>17</v>
      </c>
      <c r="B4088" s="2">
        <f t="shared" si="263"/>
        <v>196</v>
      </c>
      <c r="C4088">
        <v>633</v>
      </c>
      <c r="D4088">
        <v>1006</v>
      </c>
      <c r="E4088">
        <v>1611</v>
      </c>
      <c r="F4088">
        <f t="shared" si="264"/>
        <v>-0.40951142892341841</v>
      </c>
      <c r="G4088">
        <f t="shared" si="265"/>
        <v>-0.22383908528169316</v>
      </c>
      <c r="I4088">
        <f t="shared" si="266"/>
        <v>-0.31667525710255578</v>
      </c>
    </row>
    <row r="4089" spans="1:9">
      <c r="A4089" t="s">
        <v>18</v>
      </c>
      <c r="B4089" s="2">
        <f t="shared" si="263"/>
        <v>196</v>
      </c>
      <c r="C4089">
        <v>863</v>
      </c>
      <c r="D4089">
        <v>394</v>
      </c>
      <c r="E4089">
        <v>410</v>
      </c>
      <c r="F4089">
        <f t="shared" si="264"/>
        <v>-0.95122027351560734</v>
      </c>
      <c r="G4089">
        <f t="shared" si="265"/>
        <v>-0.95275785467903029</v>
      </c>
      <c r="I4089">
        <f t="shared" si="266"/>
        <v>-0.95198906409731876</v>
      </c>
    </row>
    <row r="4090" spans="1:9">
      <c r="A4090" t="s">
        <v>19</v>
      </c>
      <c r="B4090" s="2">
        <f t="shared" si="263"/>
        <v>196</v>
      </c>
      <c r="C4090">
        <v>1106</v>
      </c>
      <c r="D4090">
        <v>1720</v>
      </c>
      <c r="E4090">
        <v>523</v>
      </c>
      <c r="F4090">
        <f t="shared" si="264"/>
        <v>-0.4189323796871024</v>
      </c>
      <c r="G4090">
        <f t="shared" si="265"/>
        <v>-0.9547843537849614</v>
      </c>
      <c r="I4090">
        <f t="shared" si="266"/>
        <v>-0.68685836673603196</v>
      </c>
    </row>
    <row r="4091" spans="1:9">
      <c r="A4091" t="s">
        <v>20</v>
      </c>
      <c r="B4091" s="2">
        <f t="shared" si="263"/>
        <v>196</v>
      </c>
      <c r="C4091">
        <v>995</v>
      </c>
      <c r="D4091">
        <v>5680</v>
      </c>
      <c r="E4091">
        <v>5225</v>
      </c>
      <c r="F4091">
        <f t="shared" si="264"/>
        <v>0.14581955533932156</v>
      </c>
      <c r="G4091">
        <f t="shared" si="265"/>
        <v>9.0732298353810026E-2</v>
      </c>
      <c r="I4091">
        <f t="shared" si="266"/>
        <v>0.11827592684656579</v>
      </c>
    </row>
    <row r="4092" spans="1:9">
      <c r="A4092" t="s">
        <v>21</v>
      </c>
      <c r="B4092" s="2">
        <f t="shared" si="263"/>
        <v>196</v>
      </c>
      <c r="C4092">
        <v>42448</v>
      </c>
      <c r="D4092">
        <v>173206</v>
      </c>
      <c r="E4092">
        <v>180879</v>
      </c>
      <c r="F4092">
        <f t="shared" si="264"/>
        <v>0</v>
      </c>
      <c r="G4092">
        <f t="shared" si="265"/>
        <v>0</v>
      </c>
      <c r="I4092">
        <f t="shared" si="266"/>
        <v>0</v>
      </c>
    </row>
    <row r="4093" spans="1:9">
      <c r="A4093" t="s">
        <v>22</v>
      </c>
      <c r="B4093" s="2">
        <f t="shared" si="263"/>
        <v>196</v>
      </c>
      <c r="C4093">
        <v>415</v>
      </c>
      <c r="D4093">
        <v>14</v>
      </c>
      <c r="E4093">
        <v>5</v>
      </c>
      <c r="F4093">
        <f t="shared" si="264"/>
        <v>-2.0826257606598269</v>
      </c>
      <c r="G4093">
        <f t="shared" si="265"/>
        <v>-2.5486090080596302</v>
      </c>
      <c r="I4093">
        <f t="shared" si="266"/>
        <v>-2.3156173843597285</v>
      </c>
    </row>
    <row r="4094" spans="1:9">
      <c r="A4094" t="s">
        <v>23</v>
      </c>
      <c r="B4094" s="2">
        <f t="shared" si="263"/>
        <v>196</v>
      </c>
      <c r="C4094">
        <v>809</v>
      </c>
      <c r="D4094">
        <v>138</v>
      </c>
      <c r="E4094">
        <v>200</v>
      </c>
      <c r="F4094">
        <f t="shared" si="264"/>
        <v>-1.3787751348370076</v>
      </c>
      <c r="G4094">
        <f t="shared" si="265"/>
        <v>-1.2364494416318472</v>
      </c>
      <c r="I4094">
        <f t="shared" si="266"/>
        <v>-1.3076122882344274</v>
      </c>
    </row>
    <row r="4095" spans="1:9">
      <c r="A4095" t="s">
        <v>24</v>
      </c>
      <c r="B4095" s="2">
        <f t="shared" si="263"/>
        <v>196</v>
      </c>
      <c r="C4095">
        <v>460</v>
      </c>
      <c r="D4095">
        <v>8</v>
      </c>
      <c r="E4095">
        <v>15</v>
      </c>
      <c r="F4095">
        <f t="shared" si="264"/>
        <v>-2.3703735443156022</v>
      </c>
      <c r="G4095">
        <f t="shared" si="265"/>
        <v>-2.116197488309449</v>
      </c>
      <c r="I4095">
        <f t="shared" si="266"/>
        <v>-2.2432855163125254</v>
      </c>
    </row>
    <row r="4096" spans="1:9">
      <c r="A4096" t="s">
        <v>25</v>
      </c>
      <c r="B4096" s="2">
        <f t="shared" si="263"/>
        <v>196</v>
      </c>
      <c r="C4096">
        <v>395</v>
      </c>
      <c r="D4096">
        <v>14</v>
      </c>
      <c r="E4096">
        <v>13</v>
      </c>
      <c r="F4096">
        <f t="shared" si="264"/>
        <v>-2.061174759574194</v>
      </c>
      <c r="G4096">
        <f t="shared" si="265"/>
        <v>-2.1121846590031796</v>
      </c>
      <c r="I4096">
        <f t="shared" si="266"/>
        <v>-2.0866797092886866</v>
      </c>
    </row>
    <row r="4097" spans="1:9">
      <c r="A4097" t="s">
        <v>7</v>
      </c>
      <c r="B4097" s="2">
        <f t="shared" si="263"/>
        <v>197</v>
      </c>
      <c r="C4097">
        <v>425</v>
      </c>
      <c r="D4097">
        <v>20</v>
      </c>
      <c r="E4097">
        <v>10</v>
      </c>
      <c r="F4097">
        <f t="shared" si="264"/>
        <v>-1.9380646340123022</v>
      </c>
      <c r="G4097">
        <f t="shared" si="265"/>
        <v>-2.2579198457338676</v>
      </c>
      <c r="I4097">
        <f t="shared" si="266"/>
        <v>-2.097992239873085</v>
      </c>
    </row>
    <row r="4098" spans="1:9">
      <c r="A4098" t="s">
        <v>8</v>
      </c>
      <c r="B4098" s="2">
        <f t="shared" si="263"/>
        <v>197</v>
      </c>
      <c r="C4098">
        <v>307</v>
      </c>
      <c r="D4098">
        <v>52</v>
      </c>
      <c r="E4098">
        <v>21</v>
      </c>
      <c r="F4098">
        <f t="shared" si="264"/>
        <v>-1.3818407314683592</v>
      </c>
      <c r="G4098">
        <f t="shared" si="265"/>
        <v>-1.7944499964268235</v>
      </c>
      <c r="I4098">
        <f t="shared" si="266"/>
        <v>-1.5881453639475913</v>
      </c>
    </row>
    <row r="4099" spans="1:9">
      <c r="A4099" t="s">
        <v>5</v>
      </c>
      <c r="B4099" s="2">
        <f t="shared" ref="B4099:B4162" si="267">1+INT((ROW()-2)/21)+1</f>
        <v>197</v>
      </c>
      <c r="C4099">
        <v>509</v>
      </c>
      <c r="D4099">
        <v>873</v>
      </c>
      <c r="E4099">
        <v>314</v>
      </c>
      <c r="F4099">
        <f t="shared" ref="F4099:F4162" si="268">LOG10(D4099/C4099)-LOG10(173206/42448)</f>
        <v>-0.37640923825716088</v>
      </c>
      <c r="G4099">
        <f t="shared" ref="G4099:G4162" si="269">LOG10(E4099/C4099)-LOG10(180879/42448)</f>
        <v>-0.83931904994709994</v>
      </c>
      <c r="I4099">
        <f t="shared" ref="I4099:I4162" si="270">AVERAGE(F4099:G4099)</f>
        <v>-0.60786414410213041</v>
      </c>
    </row>
    <row r="4100" spans="1:9">
      <c r="A4100" t="s">
        <v>6</v>
      </c>
      <c r="B4100" s="2">
        <f t="shared" si="267"/>
        <v>197</v>
      </c>
      <c r="C4100">
        <v>1054</v>
      </c>
      <c r="D4100">
        <v>31</v>
      </c>
      <c r="E4100">
        <v>9</v>
      </c>
      <c r="F4100">
        <f t="shared" si="268"/>
        <v>-2.142184616668227</v>
      </c>
      <c r="G4100">
        <f t="shared" si="269"/>
        <v>-2.6981290171207588</v>
      </c>
      <c r="I4100">
        <f t="shared" si="270"/>
        <v>-2.4201568168944929</v>
      </c>
    </row>
    <row r="4101" spans="1:9">
      <c r="A4101" t="s">
        <v>10</v>
      </c>
      <c r="B4101" s="2">
        <f t="shared" si="267"/>
        <v>197</v>
      </c>
      <c r="C4101">
        <v>997</v>
      </c>
      <c r="D4101">
        <v>107</v>
      </c>
      <c r="E4101">
        <v>81</v>
      </c>
      <c r="F4101">
        <f t="shared" si="268"/>
        <v>-1.5800170802524178</v>
      </c>
      <c r="G4101">
        <f t="shared" si="269"/>
        <v>-1.7197410551165619</v>
      </c>
      <c r="I4101">
        <f t="shared" si="270"/>
        <v>-1.6498790676844899</v>
      </c>
    </row>
    <row r="4102" spans="1:9">
      <c r="A4102" t="s">
        <v>11</v>
      </c>
      <c r="B4102" s="2">
        <f t="shared" si="267"/>
        <v>197</v>
      </c>
      <c r="C4102">
        <v>662</v>
      </c>
      <c r="D4102">
        <v>37</v>
      </c>
      <c r="E4102">
        <v>21</v>
      </c>
      <c r="F4102">
        <f t="shared" si="268"/>
        <v>-1.8633619649986768</v>
      </c>
      <c r="G4102">
        <f t="shared" si="269"/>
        <v>-2.1281696103893366</v>
      </c>
      <c r="I4102">
        <f t="shared" si="270"/>
        <v>-1.9957657876940067</v>
      </c>
    </row>
    <row r="4103" spans="1:9">
      <c r="A4103" t="s">
        <v>12</v>
      </c>
      <c r="B4103" s="2">
        <f t="shared" si="267"/>
        <v>197</v>
      </c>
      <c r="C4103">
        <v>325</v>
      </c>
      <c r="D4103">
        <v>7</v>
      </c>
      <c r="E4103">
        <v>2</v>
      </c>
      <c r="F4103">
        <f t="shared" si="268"/>
        <v>-2.2774910205905892</v>
      </c>
      <c r="G4103">
        <f t="shared" si="269"/>
        <v>-2.8403842809984492</v>
      </c>
      <c r="I4103">
        <f t="shared" si="270"/>
        <v>-2.558937650794519</v>
      </c>
    </row>
    <row r="4104" spans="1:9">
      <c r="A4104" t="s">
        <v>9</v>
      </c>
      <c r="B4104" s="2">
        <f t="shared" si="267"/>
        <v>197</v>
      </c>
      <c r="C4104">
        <v>490</v>
      </c>
      <c r="D4104">
        <v>21</v>
      </c>
      <c r="E4104">
        <v>25</v>
      </c>
      <c r="F4104">
        <f t="shared" si="268"/>
        <v>-1.9786824849205662</v>
      </c>
      <c r="G4104">
        <f t="shared" si="269"/>
        <v>-1.9217869870400324</v>
      </c>
      <c r="I4104">
        <f t="shared" si="270"/>
        <v>-1.9502347359802994</v>
      </c>
    </row>
    <row r="4105" spans="1:9">
      <c r="A4105" t="s">
        <v>13</v>
      </c>
      <c r="B4105" s="2">
        <f t="shared" si="267"/>
        <v>197</v>
      </c>
      <c r="C4105">
        <v>699</v>
      </c>
      <c r="D4105">
        <v>58</v>
      </c>
      <c r="E4105">
        <v>23</v>
      </c>
      <c r="F4105">
        <f t="shared" si="268"/>
        <v>-1.691754881808716</v>
      </c>
      <c r="G4105">
        <f t="shared" si="269"/>
        <v>-2.1122802554116444</v>
      </c>
      <c r="I4105">
        <f t="shared" si="270"/>
        <v>-1.9020175686101801</v>
      </c>
    </row>
    <row r="4106" spans="1:9">
      <c r="A4106" t="s">
        <v>14</v>
      </c>
      <c r="B4106" s="2">
        <f t="shared" si="267"/>
        <v>197</v>
      </c>
      <c r="C4106">
        <v>663</v>
      </c>
      <c r="D4106">
        <v>17</v>
      </c>
      <c r="E4106">
        <v>32</v>
      </c>
      <c r="F4106">
        <f t="shared" si="268"/>
        <v>-2.2017703066524712</v>
      </c>
      <c r="G4106">
        <f t="shared" si="269"/>
        <v>-1.9458944657684234</v>
      </c>
      <c r="I4106">
        <f t="shared" si="270"/>
        <v>-2.0738323862104471</v>
      </c>
    </row>
    <row r="4107" spans="1:9">
      <c r="A4107" t="s">
        <v>15</v>
      </c>
      <c r="B4107" s="2">
        <f t="shared" si="267"/>
        <v>197</v>
      </c>
      <c r="C4107">
        <v>203</v>
      </c>
      <c r="D4107">
        <v>16</v>
      </c>
      <c r="E4107">
        <v>8</v>
      </c>
      <c r="F4107">
        <f t="shared" si="268"/>
        <v>-1.7140817548832601</v>
      </c>
      <c r="G4107">
        <f t="shared" si="269"/>
        <v>-2.0339369666048253</v>
      </c>
      <c r="I4107">
        <f t="shared" si="270"/>
        <v>-1.8740093607440427</v>
      </c>
    </row>
    <row r="4108" spans="1:9">
      <c r="A4108" t="s">
        <v>16</v>
      </c>
      <c r="B4108" s="2">
        <f t="shared" si="267"/>
        <v>197</v>
      </c>
      <c r="C4108">
        <v>894</v>
      </c>
      <c r="D4108">
        <v>65</v>
      </c>
      <c r="E4108">
        <v>96</v>
      </c>
      <c r="F4108">
        <f t="shared" si="268"/>
        <v>-1.7491298617790341</v>
      </c>
      <c r="G4108">
        <f t="shared" si="269"/>
        <v>-1.5985972014399055</v>
      </c>
      <c r="I4108">
        <f t="shared" si="270"/>
        <v>-1.6738635316094697</v>
      </c>
    </row>
    <row r="4109" spans="1:9">
      <c r="A4109" t="s">
        <v>17</v>
      </c>
      <c r="B4109" s="2">
        <f t="shared" si="267"/>
        <v>197</v>
      </c>
      <c r="C4109">
        <v>309</v>
      </c>
      <c r="D4109">
        <v>68</v>
      </c>
      <c r="E4109">
        <v>45</v>
      </c>
      <c r="F4109">
        <f t="shared" si="268"/>
        <v>-1.2681552663445701</v>
      </c>
      <c r="G4109">
        <f t="shared" si="269"/>
        <v>-1.4662768813330471</v>
      </c>
      <c r="I4109">
        <f t="shared" si="270"/>
        <v>-1.3672160738388086</v>
      </c>
    </row>
    <row r="4110" spans="1:9">
      <c r="A4110" t="s">
        <v>18</v>
      </c>
      <c r="B4110" s="2">
        <f t="shared" si="267"/>
        <v>197</v>
      </c>
      <c r="C4110">
        <v>864</v>
      </c>
      <c r="D4110">
        <v>16</v>
      </c>
      <c r="E4110">
        <v>8</v>
      </c>
      <c r="F4110">
        <f t="shared" si="268"/>
        <v>-2.3430994594489407</v>
      </c>
      <c r="G4110">
        <f t="shared" si="269"/>
        <v>-2.6629546711705059</v>
      </c>
      <c r="I4110">
        <f t="shared" si="270"/>
        <v>-2.5030270653097233</v>
      </c>
    </row>
    <row r="4111" spans="1:9">
      <c r="A4111" t="s">
        <v>19</v>
      </c>
      <c r="B4111" s="2">
        <f t="shared" si="267"/>
        <v>197</v>
      </c>
      <c r="C4111">
        <v>15</v>
      </c>
      <c r="D4111">
        <v>31</v>
      </c>
      <c r="E4111">
        <v>36</v>
      </c>
      <c r="F4111">
        <f t="shared" si="268"/>
        <v>-0.29543526484738042</v>
      </c>
      <c r="G4111">
        <f t="shared" si="269"/>
        <v>-0.2493196739719501</v>
      </c>
      <c r="I4111">
        <f t="shared" si="270"/>
        <v>-0.27237746940966523</v>
      </c>
    </row>
    <row r="4112" spans="1:9">
      <c r="A4112" t="s">
        <v>20</v>
      </c>
      <c r="B4112" s="2">
        <f t="shared" si="267"/>
        <v>197</v>
      </c>
      <c r="C4112">
        <v>155</v>
      </c>
      <c r="D4112">
        <v>7</v>
      </c>
      <c r="E4112">
        <v>9</v>
      </c>
      <c r="F4112">
        <f t="shared" si="268"/>
        <v>-1.9559393577820066</v>
      </c>
      <c r="G4112">
        <f t="shared" si="269"/>
        <v>-1.8656201044145226</v>
      </c>
      <c r="I4112">
        <f t="shared" si="270"/>
        <v>-1.9107797310982646</v>
      </c>
    </row>
    <row r="4113" spans="1:9">
      <c r="A4113" t="s">
        <v>21</v>
      </c>
      <c r="B4113" s="2">
        <f t="shared" si="267"/>
        <v>197</v>
      </c>
      <c r="C4113">
        <v>1236</v>
      </c>
      <c r="D4113">
        <v>103</v>
      </c>
      <c r="E4113">
        <v>65</v>
      </c>
      <c r="F4113">
        <f t="shared" si="268"/>
        <v>-1.6898869456735968</v>
      </c>
      <c r="G4113">
        <f t="shared" si="269"/>
        <v>-1.9086360297934974</v>
      </c>
      <c r="I4113">
        <f t="shared" si="270"/>
        <v>-1.7992614877335471</v>
      </c>
    </row>
    <row r="4114" spans="1:9">
      <c r="A4114" t="s">
        <v>22</v>
      </c>
      <c r="B4114" s="2">
        <f t="shared" si="267"/>
        <v>197</v>
      </c>
      <c r="C4114">
        <v>484</v>
      </c>
      <c r="D4114">
        <v>103</v>
      </c>
      <c r="E4114">
        <v>29</v>
      </c>
      <c r="F4114">
        <f t="shared" si="268"/>
        <v>-1.282713836565212</v>
      </c>
      <c r="G4114">
        <f t="shared" si="269"/>
        <v>-1.8519782794290127</v>
      </c>
      <c r="I4114">
        <f t="shared" si="270"/>
        <v>-1.5673460579971124</v>
      </c>
    </row>
    <row r="4115" spans="1:9">
      <c r="A4115" t="s">
        <v>23</v>
      </c>
      <c r="B4115" s="2">
        <f t="shared" si="267"/>
        <v>197</v>
      </c>
      <c r="C4115">
        <v>353</v>
      </c>
      <c r="D4115">
        <v>4</v>
      </c>
      <c r="E4115">
        <v>9</v>
      </c>
      <c r="F4115">
        <f t="shared" si="268"/>
        <v>-2.5564204136858319</v>
      </c>
      <c r="G4115">
        <f t="shared" si="269"/>
        <v>-2.2230631116320536</v>
      </c>
      <c r="I4115">
        <f t="shared" si="270"/>
        <v>-2.389741762658943</v>
      </c>
    </row>
    <row r="4116" spans="1:9">
      <c r="A4116" t="s">
        <v>24</v>
      </c>
      <c r="B4116" s="2">
        <f t="shared" si="267"/>
        <v>197</v>
      </c>
      <c r="C4116">
        <v>642</v>
      </c>
      <c r="D4116">
        <v>581</v>
      </c>
      <c r="E4116">
        <v>334</v>
      </c>
      <c r="F4116">
        <f t="shared" si="268"/>
        <v>-0.65406459530449435</v>
      </c>
      <c r="G4116">
        <f t="shared" si="269"/>
        <v>-0.91331947694084503</v>
      </c>
      <c r="I4116">
        <f t="shared" si="270"/>
        <v>-0.78369203612266969</v>
      </c>
    </row>
    <row r="4117" spans="1:9">
      <c r="A4117" t="s">
        <v>25</v>
      </c>
      <c r="B4117" s="2">
        <f t="shared" si="267"/>
        <v>197</v>
      </c>
      <c r="C4117">
        <v>660</v>
      </c>
      <c r="D4117">
        <v>36</v>
      </c>
      <c r="E4117">
        <v>29</v>
      </c>
      <c r="F4117">
        <f t="shared" si="268"/>
        <v>-1.8739471344005534</v>
      </c>
      <c r="G4117">
        <f t="shared" si="269"/>
        <v>-1.9866768533264687</v>
      </c>
      <c r="I4117">
        <f t="shared" si="270"/>
        <v>-1.9303119938635112</v>
      </c>
    </row>
    <row r="4118" spans="1:9">
      <c r="A4118" t="s">
        <v>7</v>
      </c>
      <c r="B4118" s="2">
        <f t="shared" si="267"/>
        <v>198</v>
      </c>
      <c r="C4118">
        <v>814</v>
      </c>
      <c r="D4118">
        <v>422</v>
      </c>
      <c r="E4118">
        <v>255</v>
      </c>
      <c r="F4118">
        <f t="shared" si="268"/>
        <v>-0.89601765355349916</v>
      </c>
      <c r="G4118">
        <f t="shared" si="269"/>
        <v>-1.1336151401388022</v>
      </c>
      <c r="I4118">
        <f t="shared" si="270"/>
        <v>-1.0148163968461508</v>
      </c>
    </row>
    <row r="4119" spans="1:9">
      <c r="A4119" t="s">
        <v>8</v>
      </c>
      <c r="B4119" s="2">
        <f t="shared" si="267"/>
        <v>198</v>
      </c>
      <c r="C4119">
        <v>586</v>
      </c>
      <c r="D4119">
        <v>808</v>
      </c>
      <c r="E4119">
        <v>568</v>
      </c>
      <c r="F4119">
        <f t="shared" si="268"/>
        <v>-0.47119195486947635</v>
      </c>
      <c r="G4119">
        <f t="shared" si="269"/>
        <v>-0.64308019599062793</v>
      </c>
      <c r="I4119">
        <f t="shared" si="270"/>
        <v>-0.55713607543005217</v>
      </c>
    </row>
    <row r="4120" spans="1:9">
      <c r="A4120" t="s">
        <v>5</v>
      </c>
      <c r="B4120" s="2">
        <f t="shared" si="267"/>
        <v>198</v>
      </c>
      <c r="C4120">
        <v>42448</v>
      </c>
      <c r="D4120">
        <v>173206</v>
      </c>
      <c r="E4120">
        <v>180879</v>
      </c>
      <c r="F4120">
        <f t="shared" si="268"/>
        <v>0</v>
      </c>
      <c r="G4120">
        <f t="shared" si="269"/>
        <v>0</v>
      </c>
      <c r="I4120">
        <f t="shared" si="270"/>
        <v>0</v>
      </c>
    </row>
    <row r="4121" spans="1:9">
      <c r="A4121" t="s">
        <v>6</v>
      </c>
      <c r="B4121" s="2">
        <f t="shared" si="267"/>
        <v>198</v>
      </c>
      <c r="C4121">
        <v>1031</v>
      </c>
      <c r="D4121">
        <v>2137</v>
      </c>
      <c r="E4121">
        <v>1048</v>
      </c>
      <c r="F4121">
        <f t="shared" si="268"/>
        <v>-0.29415984274541901</v>
      </c>
      <c r="G4121">
        <f t="shared" si="269"/>
        <v>-0.62242829831936486</v>
      </c>
      <c r="I4121">
        <f t="shared" si="270"/>
        <v>-0.45829407053239191</v>
      </c>
    </row>
    <row r="4122" spans="1:9">
      <c r="A4122" t="s">
        <v>10</v>
      </c>
      <c r="B4122" s="2">
        <f t="shared" si="267"/>
        <v>198</v>
      </c>
      <c r="C4122">
        <v>561</v>
      </c>
      <c r="D4122">
        <v>1217</v>
      </c>
      <c r="E4122">
        <v>1271</v>
      </c>
      <c r="F4122">
        <f t="shared" si="268"/>
        <v>-0.27437798265206825</v>
      </c>
      <c r="G4122">
        <f t="shared" si="269"/>
        <v>-0.27434822638570933</v>
      </c>
      <c r="I4122">
        <f t="shared" si="270"/>
        <v>-0.27436310451888879</v>
      </c>
    </row>
    <row r="4123" spans="1:9">
      <c r="A4123" t="s">
        <v>11</v>
      </c>
      <c r="B4123" s="2">
        <f t="shared" si="267"/>
        <v>198</v>
      </c>
      <c r="C4123">
        <v>1068</v>
      </c>
      <c r="D4123">
        <v>263</v>
      </c>
      <c r="E4123">
        <v>343</v>
      </c>
      <c r="F4123">
        <f t="shared" si="268"/>
        <v>-1.2193212038287515</v>
      </c>
      <c r="G4123">
        <f t="shared" si="269"/>
        <v>-1.1228080483333231</v>
      </c>
      <c r="I4123">
        <f t="shared" si="270"/>
        <v>-1.1710646260810373</v>
      </c>
    </row>
    <row r="4124" spans="1:9">
      <c r="A4124" t="s">
        <v>12</v>
      </c>
      <c r="B4124" s="2">
        <f t="shared" si="267"/>
        <v>198</v>
      </c>
      <c r="C4124">
        <v>696</v>
      </c>
      <c r="D4124">
        <v>1527</v>
      </c>
      <c r="E4124">
        <v>1298</v>
      </c>
      <c r="F4124">
        <f t="shared" si="268"/>
        <v>-0.2694759021801128</v>
      </c>
      <c r="G4124">
        <f t="shared" si="269"/>
        <v>-0.35886546282976778</v>
      </c>
      <c r="I4124">
        <f t="shared" si="270"/>
        <v>-0.31417068250494029</v>
      </c>
    </row>
    <row r="4125" spans="1:9">
      <c r="A4125" t="s">
        <v>9</v>
      </c>
      <c r="B4125" s="2">
        <f t="shared" si="267"/>
        <v>198</v>
      </c>
      <c r="C4125">
        <v>248</v>
      </c>
      <c r="D4125">
        <v>206</v>
      </c>
      <c r="E4125">
        <v>252</v>
      </c>
      <c r="F4125">
        <f t="shared" si="268"/>
        <v>-0.69129016008303468</v>
      </c>
      <c r="G4125">
        <f t="shared" si="269"/>
        <v>-0.62258205572822833</v>
      </c>
      <c r="I4125">
        <f t="shared" si="270"/>
        <v>-0.65693610790563151</v>
      </c>
    </row>
    <row r="4126" spans="1:9">
      <c r="A4126" t="s">
        <v>13</v>
      </c>
      <c r="B4126" s="2">
        <f t="shared" si="267"/>
        <v>198</v>
      </c>
      <c r="C4126">
        <v>194</v>
      </c>
      <c r="D4126">
        <v>189</v>
      </c>
      <c r="E4126">
        <v>252</v>
      </c>
      <c r="F4126">
        <f t="shared" si="268"/>
        <v>-0.62204562538295383</v>
      </c>
      <c r="G4126">
        <f t="shared" si="269"/>
        <v>-0.51593210483223806</v>
      </c>
      <c r="I4126">
        <f t="shared" si="270"/>
        <v>-0.56898886510759594</v>
      </c>
    </row>
    <row r="4127" spans="1:9">
      <c r="A4127" t="s">
        <v>14</v>
      </c>
      <c r="B4127" s="2">
        <f t="shared" si="267"/>
        <v>198</v>
      </c>
      <c r="C4127">
        <v>436</v>
      </c>
      <c r="D4127">
        <v>506</v>
      </c>
      <c r="E4127">
        <v>372</v>
      </c>
      <c r="F4127">
        <f t="shared" si="268"/>
        <v>-0.54604167205475873</v>
      </c>
      <c r="G4127">
        <f t="shared" si="269"/>
        <v>-0.69847446507024469</v>
      </c>
      <c r="I4127">
        <f t="shared" si="270"/>
        <v>-0.62225806856250165</v>
      </c>
    </row>
    <row r="4128" spans="1:9">
      <c r="A4128" t="s">
        <v>15</v>
      </c>
      <c r="B4128" s="2">
        <f t="shared" si="267"/>
        <v>198</v>
      </c>
      <c r="C4128">
        <v>1718</v>
      </c>
      <c r="D4128">
        <v>2164</v>
      </c>
      <c r="E4128">
        <v>1839</v>
      </c>
      <c r="F4128">
        <f t="shared" si="268"/>
        <v>-0.51047160268666358</v>
      </c>
      <c r="G4128">
        <f t="shared" si="269"/>
        <v>-0.59997234594070215</v>
      </c>
      <c r="I4128">
        <f t="shared" si="270"/>
        <v>-0.55522197431368281</v>
      </c>
    </row>
    <row r="4129" spans="1:9">
      <c r="A4129" t="s">
        <v>16</v>
      </c>
      <c r="B4129" s="2">
        <f t="shared" si="267"/>
        <v>198</v>
      </c>
      <c r="C4129">
        <v>937</v>
      </c>
      <c r="D4129">
        <v>114</v>
      </c>
      <c r="E4129">
        <v>42</v>
      </c>
      <c r="F4129">
        <f t="shared" si="268"/>
        <v>-1.5255404391772776</v>
      </c>
      <c r="G4129">
        <f t="shared" si="269"/>
        <v>-1.9780212161734338</v>
      </c>
      <c r="I4129">
        <f t="shared" si="270"/>
        <v>-1.7517808276753557</v>
      </c>
    </row>
    <row r="4130" spans="1:9">
      <c r="A4130" t="s">
        <v>17</v>
      </c>
      <c r="B4130" s="2">
        <f t="shared" si="267"/>
        <v>198</v>
      </c>
      <c r="C4130">
        <v>375</v>
      </c>
      <c r="D4130">
        <v>429</v>
      </c>
      <c r="E4130">
        <v>513</v>
      </c>
      <c r="F4130">
        <f t="shared" si="268"/>
        <v>-0.55227967516896648</v>
      </c>
      <c r="G4130">
        <f t="shared" si="269"/>
        <v>-0.49344481829945863</v>
      </c>
      <c r="I4130">
        <f t="shared" si="270"/>
        <v>-0.52286224673421255</v>
      </c>
    </row>
    <row r="4131" spans="1:9">
      <c r="A4131" t="s">
        <v>18</v>
      </c>
      <c r="B4131" s="2">
        <f t="shared" si="267"/>
        <v>198</v>
      </c>
      <c r="C4131">
        <v>662</v>
      </c>
      <c r="D4131">
        <v>232</v>
      </c>
      <c r="E4131">
        <v>179</v>
      </c>
      <c r="F4131">
        <f t="shared" si="268"/>
        <v>-1.0660757041747722</v>
      </c>
      <c r="G4131">
        <f t="shared" si="269"/>
        <v>-1.1975358741433628</v>
      </c>
      <c r="I4131">
        <f t="shared" si="270"/>
        <v>-1.1318057891590674</v>
      </c>
    </row>
    <row r="4132" spans="1:9">
      <c r="A4132" t="s">
        <v>19</v>
      </c>
      <c r="B4132" s="2">
        <f t="shared" si="267"/>
        <v>198</v>
      </c>
      <c r="C4132">
        <v>1103</v>
      </c>
      <c r="D4132">
        <v>1993</v>
      </c>
      <c r="E4132">
        <v>1665</v>
      </c>
      <c r="F4132">
        <f t="shared" si="268"/>
        <v>-0.35377391336567487</v>
      </c>
      <c r="G4132">
        <f t="shared" si="269"/>
        <v>-0.45069219028140806</v>
      </c>
      <c r="I4132">
        <f t="shared" si="270"/>
        <v>-0.40223305182354147</v>
      </c>
    </row>
    <row r="4133" spans="1:9">
      <c r="A4133" t="s">
        <v>20</v>
      </c>
      <c r="B4133" s="2">
        <f t="shared" si="267"/>
        <v>198</v>
      </c>
      <c r="C4133">
        <v>1178</v>
      </c>
      <c r="D4133">
        <v>237</v>
      </c>
      <c r="E4133">
        <v>209</v>
      </c>
      <c r="F4133">
        <f t="shared" si="268"/>
        <v>-1.3071026440669509</v>
      </c>
      <c r="G4133">
        <f t="shared" si="269"/>
        <v>-1.380529920023585</v>
      </c>
      <c r="I4133">
        <f t="shared" si="270"/>
        <v>-1.3438162820452679</v>
      </c>
    </row>
    <row r="4134" spans="1:9">
      <c r="A4134" t="s">
        <v>21</v>
      </c>
      <c r="B4134" s="2">
        <f t="shared" si="267"/>
        <v>198</v>
      </c>
      <c r="C4134">
        <v>1872</v>
      </c>
      <c r="D4134">
        <v>888</v>
      </c>
      <c r="E4134">
        <v>632</v>
      </c>
      <c r="F4134">
        <f t="shared" si="268"/>
        <v>-0.93459857824945725</v>
      </c>
      <c r="G4134">
        <f t="shared" si="269"/>
        <v>-1.1011196818032576</v>
      </c>
      <c r="I4134">
        <f t="shared" si="270"/>
        <v>-1.0178591300263573</v>
      </c>
    </row>
    <row r="4135" spans="1:9">
      <c r="A4135" t="s">
        <v>22</v>
      </c>
      <c r="B4135" s="2">
        <f t="shared" si="267"/>
        <v>198</v>
      </c>
      <c r="C4135">
        <v>460</v>
      </c>
      <c r="D4135">
        <v>575</v>
      </c>
      <c r="E4135">
        <v>317</v>
      </c>
      <c r="F4135">
        <f t="shared" si="268"/>
        <v>-0.51379568661791541</v>
      </c>
      <c r="G4135">
        <f t="shared" si="269"/>
        <v>-0.79122948514737867</v>
      </c>
      <c r="I4135">
        <f t="shared" si="270"/>
        <v>-0.65251258588264704</v>
      </c>
    </row>
    <row r="4136" spans="1:9">
      <c r="A4136" t="s">
        <v>23</v>
      </c>
      <c r="B4136" s="2">
        <f t="shared" si="267"/>
        <v>198</v>
      </c>
      <c r="C4136">
        <v>367</v>
      </c>
      <c r="D4136">
        <v>70</v>
      </c>
      <c r="E4136">
        <v>62</v>
      </c>
      <c r="F4136">
        <f t="shared" si="268"/>
        <v>-1.3302737238638045</v>
      </c>
      <c r="G4136">
        <f t="shared" si="269"/>
        <v>-1.4018052904373914</v>
      </c>
      <c r="I4136">
        <f t="shared" si="270"/>
        <v>-1.366039507150598</v>
      </c>
    </row>
    <row r="4137" spans="1:9">
      <c r="A4137" t="s">
        <v>24</v>
      </c>
      <c r="B4137" s="2">
        <f t="shared" si="267"/>
        <v>198</v>
      </c>
      <c r="C4137">
        <v>925</v>
      </c>
      <c r="D4137">
        <v>318</v>
      </c>
      <c r="E4137">
        <v>466</v>
      </c>
      <c r="F4137">
        <f t="shared" si="268"/>
        <v>-1.0744203123805718</v>
      </c>
      <c r="G4137">
        <f t="shared" si="269"/>
        <v>-0.92728673173258858</v>
      </c>
      <c r="I4137">
        <f t="shared" si="270"/>
        <v>-1.0008535220565802</v>
      </c>
    </row>
    <row r="4138" spans="1:9">
      <c r="A4138" t="s">
        <v>25</v>
      </c>
      <c r="B4138" s="2">
        <f t="shared" si="267"/>
        <v>198</v>
      </c>
      <c r="C4138">
        <v>685</v>
      </c>
      <c r="D4138">
        <v>5</v>
      </c>
      <c r="E4138">
        <v>22</v>
      </c>
      <c r="F4138">
        <f t="shared" si="268"/>
        <v>-2.7474262667823783</v>
      </c>
      <c r="G4138">
        <f t="shared" si="269"/>
        <v>-2.1227988063537753</v>
      </c>
      <c r="I4138">
        <f t="shared" si="270"/>
        <v>-2.4351125365680768</v>
      </c>
    </row>
    <row r="4139" spans="1:9">
      <c r="A4139" t="s">
        <v>7</v>
      </c>
      <c r="B4139" s="2">
        <f t="shared" si="267"/>
        <v>199</v>
      </c>
      <c r="C4139">
        <v>1347</v>
      </c>
      <c r="D4139">
        <v>716</v>
      </c>
      <c r="E4139">
        <v>319</v>
      </c>
      <c r="F4139">
        <f t="shared" si="268"/>
        <v>-0.8851602730411019</v>
      </c>
      <c r="G4139">
        <f t="shared" si="269"/>
        <v>-1.2551078283493606</v>
      </c>
      <c r="I4139">
        <f t="shared" si="270"/>
        <v>-1.0701340506952313</v>
      </c>
    </row>
    <row r="4140" spans="1:9">
      <c r="A4140" t="s">
        <v>8</v>
      </c>
      <c r="B4140" s="2">
        <f t="shared" si="267"/>
        <v>199</v>
      </c>
      <c r="C4140">
        <v>1048</v>
      </c>
      <c r="D4140">
        <v>158</v>
      </c>
      <c r="E4140">
        <v>80</v>
      </c>
      <c r="F4140">
        <f t="shared" si="268"/>
        <v>-1.4324098953192572</v>
      </c>
      <c r="G4140">
        <f t="shared" si="269"/>
        <v>-1.7468022113393205</v>
      </c>
      <c r="I4140">
        <f t="shared" si="270"/>
        <v>-1.5896060533292888</v>
      </c>
    </row>
    <row r="4141" spans="1:9">
      <c r="A4141" t="s">
        <v>5</v>
      </c>
      <c r="B4141" s="2">
        <f t="shared" si="267"/>
        <v>199</v>
      </c>
      <c r="C4141">
        <v>19</v>
      </c>
      <c r="D4141">
        <v>32</v>
      </c>
      <c r="E4141">
        <v>26</v>
      </c>
      <c r="F4141">
        <f t="shared" si="268"/>
        <v>-0.38430932225889491</v>
      </c>
      <c r="G4141">
        <f t="shared" si="269"/>
        <v>-0.49331116866556712</v>
      </c>
      <c r="I4141">
        <f t="shared" si="270"/>
        <v>-0.43881024546223102</v>
      </c>
    </row>
    <row r="4142" spans="1:9">
      <c r="A4142" t="s">
        <v>6</v>
      </c>
      <c r="B4142" s="2">
        <f t="shared" si="267"/>
        <v>199</v>
      </c>
      <c r="C4142">
        <v>1048</v>
      </c>
      <c r="D4142">
        <v>2028</v>
      </c>
      <c r="E4142">
        <v>1825</v>
      </c>
      <c r="F4142">
        <f t="shared" si="268"/>
        <v>-0.32399903161238136</v>
      </c>
      <c r="G4142">
        <f t="shared" si="269"/>
        <v>-0.3886293295387705</v>
      </c>
      <c r="I4142">
        <f t="shared" si="270"/>
        <v>-0.35631418057557596</v>
      </c>
    </row>
    <row r="4143" spans="1:9">
      <c r="A4143" t="s">
        <v>10</v>
      </c>
      <c r="B4143" s="2">
        <f t="shared" si="267"/>
        <v>199</v>
      </c>
      <c r="C4143">
        <v>751</v>
      </c>
      <c r="D4143">
        <v>37</v>
      </c>
      <c r="E4143">
        <v>67</v>
      </c>
      <c r="F4143">
        <f t="shared" si="268"/>
        <v>-1.9181439125631452</v>
      </c>
      <c r="G4143">
        <f t="shared" si="269"/>
        <v>-1.6790960499868981</v>
      </c>
      <c r="I4143">
        <f t="shared" si="270"/>
        <v>-1.7986199812750217</v>
      </c>
    </row>
    <row r="4144" spans="1:9">
      <c r="A4144" t="s">
        <v>11</v>
      </c>
      <c r="B4144" s="2">
        <f t="shared" si="267"/>
        <v>199</v>
      </c>
      <c r="C4144">
        <v>1184</v>
      </c>
      <c r="D4144">
        <v>174</v>
      </c>
      <c r="E4144">
        <v>235</v>
      </c>
      <c r="F4144">
        <f t="shared" si="268"/>
        <v>-1.4435081537302732</v>
      </c>
      <c r="G4144">
        <f t="shared" si="269"/>
        <v>-1.3318147557987208</v>
      </c>
      <c r="I4144">
        <f t="shared" si="270"/>
        <v>-1.387661454764497</v>
      </c>
    </row>
    <row r="4145" spans="1:9">
      <c r="A4145" t="s">
        <v>12</v>
      </c>
      <c r="B4145" s="2">
        <f t="shared" si="267"/>
        <v>199</v>
      </c>
      <c r="C4145">
        <v>491</v>
      </c>
      <c r="D4145">
        <v>83</v>
      </c>
      <c r="E4145">
        <v>118</v>
      </c>
      <c r="F4145">
        <f t="shared" si="268"/>
        <v>-1.3827090993728666</v>
      </c>
      <c r="G4145">
        <f t="shared" si="269"/>
        <v>-1.2487304005003992</v>
      </c>
      <c r="I4145">
        <f t="shared" si="270"/>
        <v>-1.3157197499366329</v>
      </c>
    </row>
    <row r="4146" spans="1:9">
      <c r="A4146" t="s">
        <v>9</v>
      </c>
      <c r="B4146" s="2">
        <f t="shared" si="267"/>
        <v>199</v>
      </c>
      <c r="C4146">
        <v>734</v>
      </c>
      <c r="D4146">
        <v>233</v>
      </c>
      <c r="E4146">
        <v>209</v>
      </c>
      <c r="F4146">
        <f t="shared" si="268"/>
        <v>-1.1090458385160233</v>
      </c>
      <c r="G4146">
        <f t="shared" si="269"/>
        <v>-1.1750806894885728</v>
      </c>
      <c r="I4146">
        <f t="shared" si="270"/>
        <v>-1.1420632640022981</v>
      </c>
    </row>
    <row r="4147" spans="1:9">
      <c r="A4147" t="s">
        <v>13</v>
      </c>
      <c r="B4147" s="2">
        <f t="shared" si="267"/>
        <v>199</v>
      </c>
      <c r="C4147">
        <v>430</v>
      </c>
      <c r="D4147">
        <v>39</v>
      </c>
      <c r="E4147">
        <v>19</v>
      </c>
      <c r="F4147">
        <f t="shared" si="268"/>
        <v>-1.6531095481790592</v>
      </c>
      <c r="G4147">
        <f t="shared" si="269"/>
        <v>-1.9842457703103138</v>
      </c>
      <c r="I4147">
        <f t="shared" si="270"/>
        <v>-1.8186776592446865</v>
      </c>
    </row>
    <row r="4148" spans="1:9">
      <c r="A4148" t="s">
        <v>14</v>
      </c>
      <c r="B4148" s="2">
        <f t="shared" si="267"/>
        <v>199</v>
      </c>
      <c r="C4148">
        <v>667</v>
      </c>
      <c r="D4148">
        <v>37</v>
      </c>
      <c r="E4148">
        <v>39</v>
      </c>
      <c r="F4148">
        <f t="shared" si="268"/>
        <v>-1.8666298094755258</v>
      </c>
      <c r="G4148">
        <f t="shared" si="269"/>
        <v>-1.8625921425736061</v>
      </c>
      <c r="I4148">
        <f t="shared" si="270"/>
        <v>-1.8646109760245659</v>
      </c>
    </row>
    <row r="4149" spans="1:9">
      <c r="A4149" t="s">
        <v>15</v>
      </c>
      <c r="B4149" s="2">
        <f t="shared" si="267"/>
        <v>199</v>
      </c>
      <c r="C4149">
        <v>1139</v>
      </c>
      <c r="D4149">
        <v>620</v>
      </c>
      <c r="E4149">
        <v>404</v>
      </c>
      <c r="F4149">
        <f t="shared" si="268"/>
        <v>-0.87483773420681832</v>
      </c>
      <c r="G4149">
        <f t="shared" si="269"/>
        <v>-1.0796732746520514</v>
      </c>
      <c r="I4149">
        <f t="shared" si="270"/>
        <v>-0.97725550442943487</v>
      </c>
    </row>
    <row r="4150" spans="1:9">
      <c r="A4150" t="s">
        <v>16</v>
      </c>
      <c r="B4150" s="2">
        <f t="shared" si="267"/>
        <v>199</v>
      </c>
      <c r="C4150">
        <v>677</v>
      </c>
      <c r="D4150">
        <v>17</v>
      </c>
      <c r="E4150">
        <v>33</v>
      </c>
      <c r="F4150">
        <f t="shared" si="268"/>
        <v>-2.2108454469328422</v>
      </c>
      <c r="G4150">
        <f t="shared" si="269"/>
        <v>-1.9416056444908127</v>
      </c>
      <c r="I4150">
        <f t="shared" si="270"/>
        <v>-2.0762255457118277</v>
      </c>
    </row>
    <row r="4151" spans="1:9">
      <c r="A4151" t="s">
        <v>17</v>
      </c>
      <c r="B4151" s="2">
        <f t="shared" si="267"/>
        <v>199</v>
      </c>
      <c r="C4151">
        <v>701</v>
      </c>
      <c r="D4151">
        <v>101</v>
      </c>
      <c r="E4151">
        <v>102</v>
      </c>
      <c r="F4151">
        <f t="shared" si="268"/>
        <v>-1.452102343809988</v>
      </c>
      <c r="G4151">
        <f t="shared" si="269"/>
        <v>-1.4666487618882971</v>
      </c>
      <c r="I4151">
        <f t="shared" si="270"/>
        <v>-1.4593755528491426</v>
      </c>
    </row>
    <row r="4152" spans="1:9">
      <c r="A4152" t="s">
        <v>18</v>
      </c>
      <c r="B4152" s="2">
        <f t="shared" si="267"/>
        <v>199</v>
      </c>
      <c r="C4152">
        <v>380</v>
      </c>
      <c r="D4152">
        <v>22</v>
      </c>
      <c r="E4152">
        <v>15</v>
      </c>
      <c r="F4152">
        <f t="shared" si="268"/>
        <v>-1.8480666154205758</v>
      </c>
      <c r="G4152">
        <f t="shared" si="269"/>
        <v>-2.0332232532446852</v>
      </c>
      <c r="I4152">
        <f t="shared" si="270"/>
        <v>-1.9406449343326306</v>
      </c>
    </row>
    <row r="4153" spans="1:9">
      <c r="A4153" t="s">
        <v>19</v>
      </c>
      <c r="B4153" s="2">
        <f t="shared" si="267"/>
        <v>199</v>
      </c>
      <c r="C4153">
        <v>1678</v>
      </c>
      <c r="D4153">
        <v>95</v>
      </c>
      <c r="E4153">
        <v>104</v>
      </c>
      <c r="F4153">
        <f t="shared" si="268"/>
        <v>-1.8577740508298055</v>
      </c>
      <c r="G4153">
        <f t="shared" si="269"/>
        <v>-1.8372895328774574</v>
      </c>
      <c r="I4153">
        <f t="shared" si="270"/>
        <v>-1.8475317918536316</v>
      </c>
    </row>
    <row r="4154" spans="1:9">
      <c r="A4154" t="s">
        <v>20</v>
      </c>
      <c r="B4154" s="2">
        <f t="shared" si="267"/>
        <v>199</v>
      </c>
      <c r="C4154">
        <v>210</v>
      </c>
      <c r="D4154">
        <v>14</v>
      </c>
      <c r="E4154">
        <v>32</v>
      </c>
      <c r="F4154">
        <f t="shared" si="268"/>
        <v>-1.7867969586816532</v>
      </c>
      <c r="G4154">
        <f t="shared" si="269"/>
        <v>-1.4466002320975693</v>
      </c>
      <c r="I4154">
        <f t="shared" si="270"/>
        <v>-1.6166985953896114</v>
      </c>
    </row>
    <row r="4155" spans="1:9">
      <c r="A4155" t="s">
        <v>21</v>
      </c>
      <c r="B4155" s="2">
        <f t="shared" si="267"/>
        <v>199</v>
      </c>
      <c r="C4155">
        <v>614</v>
      </c>
      <c r="D4155">
        <v>27</v>
      </c>
      <c r="E4155">
        <v>18</v>
      </c>
      <c r="F4155">
        <f t="shared" si="268"/>
        <v>-1.9675103066081523</v>
      </c>
      <c r="G4155">
        <f t="shared" si="269"/>
        <v>-2.1624267817214178</v>
      </c>
      <c r="I4155">
        <f t="shared" si="270"/>
        <v>-2.0649685441647851</v>
      </c>
    </row>
    <row r="4156" spans="1:9">
      <c r="A4156" t="s">
        <v>22</v>
      </c>
      <c r="B4156" s="2">
        <f t="shared" si="267"/>
        <v>199</v>
      </c>
      <c r="C4156">
        <v>218</v>
      </c>
      <c r="D4156">
        <v>12</v>
      </c>
      <c r="E4156">
        <v>12</v>
      </c>
      <c r="F4156">
        <f t="shared" si="268"/>
        <v>-1.8699809471829518</v>
      </c>
      <c r="G4156">
        <f t="shared" si="269"/>
        <v>-1.888806163240536</v>
      </c>
      <c r="I4156">
        <f t="shared" si="270"/>
        <v>-1.879393555211744</v>
      </c>
    </row>
    <row r="4157" spans="1:9">
      <c r="A4157" t="s">
        <v>23</v>
      </c>
      <c r="B4157" s="2">
        <f t="shared" si="267"/>
        <v>199</v>
      </c>
      <c r="C4157">
        <v>913</v>
      </c>
      <c r="D4157">
        <v>61</v>
      </c>
      <c r="E4157">
        <v>51</v>
      </c>
      <c r="F4157">
        <f t="shared" si="268"/>
        <v>-1.7858466421495038</v>
      </c>
      <c r="G4157">
        <f t="shared" si="269"/>
        <v>-1.8824315171199189</v>
      </c>
      <c r="I4157">
        <f t="shared" si="270"/>
        <v>-1.8341390796347112</v>
      </c>
    </row>
    <row r="4158" spans="1:9">
      <c r="A4158" t="s">
        <v>24</v>
      </c>
      <c r="B4158" s="2">
        <f t="shared" si="267"/>
        <v>199</v>
      </c>
      <c r="C4158">
        <v>816</v>
      </c>
      <c r="D4158">
        <v>98</v>
      </c>
      <c r="E4158">
        <v>38</v>
      </c>
      <c r="F4158">
        <f t="shared" si="268"/>
        <v>-1.5311697826873383</v>
      </c>
      <c r="G4158">
        <f t="shared" si="269"/>
        <v>-1.9614374778206072</v>
      </c>
      <c r="I4158">
        <f t="shared" si="270"/>
        <v>-1.7463036302539727</v>
      </c>
    </row>
    <row r="4159" spans="1:9">
      <c r="A4159" t="s">
        <v>25</v>
      </c>
      <c r="B4159" s="2">
        <f t="shared" si="267"/>
        <v>199</v>
      </c>
      <c r="C4159">
        <v>908</v>
      </c>
      <c r="D4159">
        <v>31</v>
      </c>
      <c r="E4159">
        <v>54</v>
      </c>
      <c r="F4159">
        <f t="shared" si="268"/>
        <v>-2.0774298543127845</v>
      </c>
      <c r="G4159">
        <f t="shared" si="269"/>
        <v>-1.8552230043816729</v>
      </c>
      <c r="I4159">
        <f t="shared" si="270"/>
        <v>-1.9663264293472287</v>
      </c>
    </row>
    <row r="4160" spans="1:9">
      <c r="A4160" t="s">
        <v>7</v>
      </c>
      <c r="B4160" s="2">
        <f t="shared" si="267"/>
        <v>200</v>
      </c>
      <c r="C4160">
        <v>653</v>
      </c>
      <c r="D4160">
        <v>37</v>
      </c>
      <c r="E4160">
        <v>45</v>
      </c>
      <c r="F4160">
        <f t="shared" si="268"/>
        <v>-1.8574171568340507</v>
      </c>
      <c r="G4160">
        <f t="shared" si="269"/>
        <v>-1.7912315831832863</v>
      </c>
      <c r="I4160">
        <f t="shared" si="270"/>
        <v>-1.8243243700086684</v>
      </c>
    </row>
    <row r="4161" spans="1:9">
      <c r="A4161" t="s">
        <v>8</v>
      </c>
      <c r="B4161" s="2">
        <f t="shared" si="267"/>
        <v>200</v>
      </c>
      <c r="C4161">
        <v>468</v>
      </c>
      <c r="D4161">
        <v>71</v>
      </c>
      <c r="E4161">
        <v>52</v>
      </c>
      <c r="F4161">
        <f t="shared" si="268"/>
        <v>-1.4296932039810206</v>
      </c>
      <c r="G4161">
        <f t="shared" si="269"/>
        <v>-1.583773425122881</v>
      </c>
      <c r="I4161">
        <f t="shared" si="270"/>
        <v>-1.5067333145519508</v>
      </c>
    </row>
    <row r="4162" spans="1:9">
      <c r="A4162" t="s">
        <v>5</v>
      </c>
      <c r="B4162" s="2">
        <f t="shared" si="267"/>
        <v>200</v>
      </c>
      <c r="C4162">
        <v>521</v>
      </c>
      <c r="D4162">
        <v>319</v>
      </c>
      <c r="E4162">
        <v>146</v>
      </c>
      <c r="F4162">
        <f t="shared" si="268"/>
        <v>-0.82375273986831521</v>
      </c>
      <c r="G4162">
        <f t="shared" si="269"/>
        <v>-1.1820157831986435</v>
      </c>
      <c r="I4162">
        <f t="shared" si="270"/>
        <v>-1.0028842615334794</v>
      </c>
    </row>
    <row r="4163" spans="1:9">
      <c r="A4163" t="s">
        <v>6</v>
      </c>
      <c r="B4163" s="2">
        <f t="shared" ref="B4163:B4226" si="271">1+INT((ROW()-2)/21)+1</f>
        <v>200</v>
      </c>
      <c r="C4163">
        <v>1794</v>
      </c>
      <c r="D4163">
        <v>13985</v>
      </c>
      <c r="E4163">
        <v>14280</v>
      </c>
      <c r="F4163">
        <f t="shared" ref="F4163:F4226" si="272">LOG10(D4163/C4163)-LOG10(173206/42448)</f>
        <v>0.28113433237350083</v>
      </c>
      <c r="G4163">
        <f t="shared" ref="G4163:G4226" si="273">LOG10(E4163/C4163)-LOG10(180879/42448)</f>
        <v>0.27137485304852615</v>
      </c>
      <c r="I4163">
        <f t="shared" ref="I4163:I4226" si="274">AVERAGE(F4163:G4163)</f>
        <v>0.27625459271101349</v>
      </c>
    </row>
    <row r="4164" spans="1:9">
      <c r="A4164" t="s">
        <v>10</v>
      </c>
      <c r="B4164" s="2">
        <f t="shared" si="271"/>
        <v>200</v>
      </c>
      <c r="C4164">
        <v>407</v>
      </c>
      <c r="D4164">
        <v>1552</v>
      </c>
      <c r="E4164">
        <v>2220</v>
      </c>
      <c r="F4164">
        <f t="shared" si="272"/>
        <v>-2.9408391929022226E-2</v>
      </c>
      <c r="G4164">
        <f t="shared" si="273"/>
        <v>0.10722764954186248</v>
      </c>
      <c r="I4164">
        <f t="shared" si="274"/>
        <v>3.8909628806420127E-2</v>
      </c>
    </row>
    <row r="4165" spans="1:9">
      <c r="A4165" t="s">
        <v>11</v>
      </c>
      <c r="B4165" s="2">
        <f t="shared" si="271"/>
        <v>200</v>
      </c>
      <c r="C4165">
        <v>809</v>
      </c>
      <c r="D4165">
        <v>379</v>
      </c>
      <c r="E4165">
        <v>102</v>
      </c>
      <c r="F4165">
        <f t="shared" si="272"/>
        <v>-0.94001501127017184</v>
      </c>
      <c r="G4165">
        <f t="shared" si="273"/>
        <v>-1.528879265533911</v>
      </c>
      <c r="I4165">
        <f t="shared" si="274"/>
        <v>-1.2344471384020415</v>
      </c>
    </row>
    <row r="4166" spans="1:9">
      <c r="A4166" t="s">
        <v>12</v>
      </c>
      <c r="B4166" s="2">
        <f t="shared" si="271"/>
        <v>200</v>
      </c>
      <c r="C4166">
        <v>2045</v>
      </c>
      <c r="D4166">
        <v>103</v>
      </c>
      <c r="E4166">
        <v>120</v>
      </c>
      <c r="F4166">
        <f t="shared" si="272"/>
        <v>-1.9085617872641603</v>
      </c>
      <c r="G4166">
        <f t="shared" si="273"/>
        <v>-1.861042981979292</v>
      </c>
      <c r="I4166">
        <f t="shared" si="274"/>
        <v>-1.8848023846217261</v>
      </c>
    </row>
    <row r="4167" spans="1:9">
      <c r="A4167" t="s">
        <v>9</v>
      </c>
      <c r="B4167" s="2">
        <f t="shared" si="271"/>
        <v>200</v>
      </c>
      <c r="C4167">
        <v>4</v>
      </c>
      <c r="D4167">
        <v>47</v>
      </c>
      <c r="E4167">
        <v>29</v>
      </c>
      <c r="F4167">
        <f t="shared" si="272"/>
        <v>0.45933216698178314</v>
      </c>
      <c r="G4167">
        <f t="shared" si="273"/>
        <v>0.23080709088743756</v>
      </c>
      <c r="I4167">
        <f t="shared" si="274"/>
        <v>0.34506962893461035</v>
      </c>
    </row>
    <row r="4168" spans="1:9">
      <c r="A4168" t="s">
        <v>13</v>
      </c>
      <c r="B4168" s="2">
        <f t="shared" si="271"/>
        <v>200</v>
      </c>
      <c r="C4168">
        <v>581</v>
      </c>
      <c r="D4168">
        <v>29</v>
      </c>
      <c r="E4168">
        <v>11</v>
      </c>
      <c r="F4168">
        <f t="shared" si="272"/>
        <v>-1.9124838341173465</v>
      </c>
      <c r="G4168">
        <f t="shared" si="273"/>
        <v>-2.3523143629156618</v>
      </c>
      <c r="I4168">
        <f t="shared" si="274"/>
        <v>-2.1323990985165042</v>
      </c>
    </row>
    <row r="4169" spans="1:9">
      <c r="A4169" t="s">
        <v>14</v>
      </c>
      <c r="B4169" s="2">
        <f t="shared" si="271"/>
        <v>200</v>
      </c>
      <c r="C4169">
        <v>870</v>
      </c>
      <c r="D4169">
        <v>63</v>
      </c>
      <c r="E4169">
        <v>47</v>
      </c>
      <c r="F4169">
        <f t="shared" si="272"/>
        <v>-1.7508844027910087</v>
      </c>
      <c r="G4169">
        <f t="shared" si="273"/>
        <v>-1.8969523103664572</v>
      </c>
      <c r="I4169">
        <f t="shared" si="274"/>
        <v>-1.8239183565787329</v>
      </c>
    </row>
    <row r="4170" spans="1:9">
      <c r="A4170" t="s">
        <v>15</v>
      </c>
      <c r="B4170" s="2">
        <f t="shared" si="271"/>
        <v>200</v>
      </c>
      <c r="C4170">
        <v>2300</v>
      </c>
      <c r="D4170">
        <v>130</v>
      </c>
      <c r="E4170">
        <v>89</v>
      </c>
      <c r="F4170">
        <f t="shared" si="272"/>
        <v>-1.858490183336728</v>
      </c>
      <c r="G4170">
        <f t="shared" si="273"/>
        <v>-2.0418687450562363</v>
      </c>
      <c r="I4170">
        <f t="shared" si="274"/>
        <v>-1.950179464196482</v>
      </c>
    </row>
    <row r="4171" spans="1:9">
      <c r="A4171" t="s">
        <v>16</v>
      </c>
      <c r="B4171" s="2">
        <f t="shared" si="271"/>
        <v>200</v>
      </c>
      <c r="C4171">
        <v>980</v>
      </c>
      <c r="D4171">
        <v>48</v>
      </c>
      <c r="E4171">
        <v>34</v>
      </c>
      <c r="F4171">
        <f t="shared" si="272"/>
        <v>-1.9206905379428796</v>
      </c>
      <c r="G4171">
        <f t="shared" si="273"/>
        <v>-2.0892780743337958</v>
      </c>
      <c r="I4171">
        <f t="shared" si="274"/>
        <v>-2.0049843061383377</v>
      </c>
    </row>
    <row r="4172" spans="1:9">
      <c r="A4172" t="s">
        <v>17</v>
      </c>
      <c r="B4172" s="2">
        <f t="shared" si="271"/>
        <v>200</v>
      </c>
      <c r="C4172">
        <v>695</v>
      </c>
      <c r="D4172">
        <v>16</v>
      </c>
      <c r="E4172">
        <v>22</v>
      </c>
      <c r="F4172">
        <f t="shared" si="272"/>
        <v>-2.2485705215601612</v>
      </c>
      <c r="G4172">
        <f t="shared" si="273"/>
        <v>-2.1290930394514636</v>
      </c>
      <c r="I4172">
        <f t="shared" si="274"/>
        <v>-2.1888317805058124</v>
      </c>
    </row>
    <row r="4173" spans="1:9">
      <c r="A4173" t="s">
        <v>18</v>
      </c>
      <c r="B4173" s="2">
        <f t="shared" si="271"/>
        <v>200</v>
      </c>
      <c r="C4173">
        <v>331</v>
      </c>
      <c r="D4173">
        <v>24</v>
      </c>
      <c r="E4173">
        <v>30</v>
      </c>
      <c r="F4173">
        <f t="shared" si="272"/>
        <v>-1.7503224516900846</v>
      </c>
      <c r="G4173">
        <f t="shared" si="273"/>
        <v>-1.6722376547396123</v>
      </c>
      <c r="I4173">
        <f t="shared" si="274"/>
        <v>-1.7112800532148484</v>
      </c>
    </row>
    <row r="4174" spans="1:9">
      <c r="A4174" t="s">
        <v>19</v>
      </c>
      <c r="B4174" s="2">
        <f t="shared" si="271"/>
        <v>200</v>
      </c>
      <c r="C4174">
        <v>712</v>
      </c>
      <c r="D4174">
        <v>29</v>
      </c>
      <c r="E4174">
        <v>9</v>
      </c>
      <c r="F4174">
        <f t="shared" si="272"/>
        <v>-2.0007876953638721</v>
      </c>
      <c r="G4174">
        <f t="shared" si="273"/>
        <v>-2.5277683998810878</v>
      </c>
      <c r="I4174">
        <f t="shared" si="274"/>
        <v>-2.2642780476224802</v>
      </c>
    </row>
    <row r="4175" spans="1:9">
      <c r="A4175" t="s">
        <v>20</v>
      </c>
      <c r="B4175" s="2">
        <f t="shared" si="271"/>
        <v>200</v>
      </c>
      <c r="C4175">
        <v>183</v>
      </c>
      <c r="D4175">
        <v>2</v>
      </c>
      <c r="E4175">
        <v>7</v>
      </c>
      <c r="F4175">
        <f t="shared" si="272"/>
        <v>-2.5721267936924201</v>
      </c>
      <c r="G4175">
        <f t="shared" si="273"/>
        <v>-2.0468839653997288</v>
      </c>
      <c r="I4175">
        <f t="shared" si="274"/>
        <v>-2.3095053795460743</v>
      </c>
    </row>
    <row r="4176" spans="1:9">
      <c r="A4176" t="s">
        <v>21</v>
      </c>
      <c r="B4176" s="2">
        <f t="shared" si="271"/>
        <v>200</v>
      </c>
      <c r="C4176">
        <v>1108</v>
      </c>
      <c r="D4176">
        <v>75</v>
      </c>
      <c r="E4176">
        <v>54</v>
      </c>
      <c r="F4176">
        <f t="shared" si="272"/>
        <v>-1.7801841966266827</v>
      </c>
      <c r="G4176">
        <f t="shared" si="273"/>
        <v>-1.9416769162529985</v>
      </c>
      <c r="I4176">
        <f t="shared" si="274"/>
        <v>-1.8609305564398406</v>
      </c>
    </row>
    <row r="4177" spans="1:9">
      <c r="A4177" t="s">
        <v>22</v>
      </c>
      <c r="B4177" s="2">
        <f t="shared" si="271"/>
        <v>200</v>
      </c>
      <c r="C4177">
        <v>217</v>
      </c>
      <c r="D4177">
        <v>5</v>
      </c>
      <c r="E4177">
        <v>12</v>
      </c>
      <c r="F4177">
        <f t="shared" si="272"/>
        <v>-2.2481954291384825</v>
      </c>
      <c r="G4177">
        <f t="shared" si="273"/>
        <v>-1.8868094034844609</v>
      </c>
      <c r="I4177">
        <f t="shared" si="274"/>
        <v>-2.0675024163114717</v>
      </c>
    </row>
    <row r="4178" spans="1:9">
      <c r="A4178" t="s">
        <v>23</v>
      </c>
      <c r="B4178" s="2">
        <f t="shared" si="271"/>
        <v>200</v>
      </c>
      <c r="C4178">
        <v>1105</v>
      </c>
      <c r="D4178">
        <v>41</v>
      </c>
      <c r="E4178">
        <v>61</v>
      </c>
      <c r="F4178">
        <f t="shared" si="272"/>
        <v>-2.041284120927366</v>
      </c>
      <c r="G4178">
        <f t="shared" si="273"/>
        <v>-1.8875633586939187</v>
      </c>
      <c r="I4178">
        <f t="shared" si="274"/>
        <v>-1.9644237398106423</v>
      </c>
    </row>
    <row r="4179" spans="1:9">
      <c r="A4179" t="s">
        <v>24</v>
      </c>
      <c r="B4179" s="2">
        <f t="shared" si="271"/>
        <v>200</v>
      </c>
      <c r="C4179">
        <v>962</v>
      </c>
      <c r="D4179">
        <v>123</v>
      </c>
      <c r="E4179">
        <v>67</v>
      </c>
      <c r="F4179">
        <f t="shared" si="272"/>
        <v>-1.5039756602243868</v>
      </c>
      <c r="G4179">
        <f t="shared" si="273"/>
        <v>-1.7866311850205427</v>
      </c>
      <c r="I4179">
        <f t="shared" si="274"/>
        <v>-1.6453034226224648</v>
      </c>
    </row>
    <row r="4180" spans="1:9">
      <c r="A4180" t="s">
        <v>25</v>
      </c>
      <c r="B4180" s="2">
        <f t="shared" si="271"/>
        <v>200</v>
      </c>
      <c r="C4180">
        <v>1186</v>
      </c>
      <c r="D4180">
        <v>771</v>
      </c>
      <c r="E4180">
        <v>573</v>
      </c>
      <c r="F4180">
        <f t="shared" si="272"/>
        <v>-0.79773601060325872</v>
      </c>
      <c r="G4180">
        <f t="shared" si="273"/>
        <v>-0.94546098274440993</v>
      </c>
      <c r="I4180">
        <f t="shared" si="274"/>
        <v>-0.87159849667383438</v>
      </c>
    </row>
    <row r="4181" spans="1:9">
      <c r="A4181" t="s">
        <v>7</v>
      </c>
      <c r="B4181" s="2">
        <f t="shared" si="271"/>
        <v>201</v>
      </c>
      <c r="C4181">
        <v>838</v>
      </c>
      <c r="D4181">
        <v>37</v>
      </c>
      <c r="E4181">
        <v>17</v>
      </c>
      <c r="F4181">
        <f t="shared" si="272"/>
        <v>-1.9657479941892533</v>
      </c>
      <c r="G4181">
        <f t="shared" si="273"/>
        <v>-2.3223260129355587</v>
      </c>
      <c r="I4181">
        <f t="shared" si="274"/>
        <v>-2.1440370035624059</v>
      </c>
    </row>
    <row r="4182" spans="1:9">
      <c r="A4182" t="s">
        <v>8</v>
      </c>
      <c r="B4182" s="2">
        <f t="shared" si="271"/>
        <v>201</v>
      </c>
      <c r="C4182">
        <v>5360</v>
      </c>
      <c r="D4182">
        <v>564</v>
      </c>
      <c r="E4182">
        <v>603</v>
      </c>
      <c r="F4182">
        <f t="shared" si="272"/>
        <v>-1.5885913853353997</v>
      </c>
      <c r="G4182">
        <f t="shared" si="273"/>
        <v>-1.5783783932361748</v>
      </c>
      <c r="I4182">
        <f t="shared" si="274"/>
        <v>-1.5834848892857871</v>
      </c>
    </row>
    <row r="4183" spans="1:9">
      <c r="A4183" t="s">
        <v>5</v>
      </c>
      <c r="B4183" s="2">
        <f t="shared" si="271"/>
        <v>201</v>
      </c>
      <c r="C4183">
        <v>4715</v>
      </c>
      <c r="D4183">
        <v>781</v>
      </c>
      <c r="E4183">
        <v>291</v>
      </c>
      <c r="F4183">
        <f t="shared" si="272"/>
        <v>-1.3915363628220188</v>
      </c>
      <c r="G4183">
        <f t="shared" si="273"/>
        <v>-1.8391196237709959</v>
      </c>
      <c r="I4183">
        <f t="shared" si="274"/>
        <v>-1.6153279932965074</v>
      </c>
    </row>
    <row r="4184" spans="1:9">
      <c r="A4184" t="s">
        <v>6</v>
      </c>
      <c r="B4184" s="2">
        <f t="shared" si="271"/>
        <v>201</v>
      </c>
      <c r="C4184">
        <v>461</v>
      </c>
      <c r="D4184">
        <v>26</v>
      </c>
      <c r="E4184">
        <v>7</v>
      </c>
      <c r="F4184">
        <f t="shared" si="272"/>
        <v>-1.8594332770448021</v>
      </c>
      <c r="G4184">
        <f t="shared" si="273"/>
        <v>-2.4481338010589475</v>
      </c>
      <c r="I4184">
        <f t="shared" si="274"/>
        <v>-2.1537835390518749</v>
      </c>
    </row>
    <row r="4185" spans="1:9">
      <c r="A4185" t="s">
        <v>10</v>
      </c>
      <c r="B4185" s="2">
        <f t="shared" si="271"/>
        <v>201</v>
      </c>
      <c r="C4185">
        <v>5603</v>
      </c>
      <c r="D4185">
        <v>2070</v>
      </c>
      <c r="E4185">
        <v>1505</v>
      </c>
      <c r="F4185">
        <f t="shared" si="272"/>
        <v>-1.0431559766366225</v>
      </c>
      <c r="G4185">
        <f t="shared" si="273"/>
        <v>-1.2004150382212624</v>
      </c>
      <c r="I4185">
        <f t="shared" si="274"/>
        <v>-1.1217855074289425</v>
      </c>
    </row>
    <row r="4186" spans="1:9">
      <c r="A4186" t="s">
        <v>11</v>
      </c>
      <c r="B4186" s="2">
        <f t="shared" si="271"/>
        <v>201</v>
      </c>
      <c r="C4186">
        <v>1219</v>
      </c>
      <c r="D4186">
        <v>186</v>
      </c>
      <c r="E4186">
        <v>157</v>
      </c>
      <c r="F4186">
        <f t="shared" si="272"/>
        <v>-1.4271964610264374</v>
      </c>
      <c r="G4186">
        <f t="shared" si="273"/>
        <v>-1.5196349688927042</v>
      </c>
      <c r="I4186">
        <f t="shared" si="274"/>
        <v>-1.4734157149595708</v>
      </c>
    </row>
    <row r="4187" spans="1:9">
      <c r="A4187" t="s">
        <v>12</v>
      </c>
      <c r="B4187" s="2">
        <f t="shared" si="271"/>
        <v>201</v>
      </c>
      <c r="C4187">
        <v>1781</v>
      </c>
      <c r="D4187">
        <v>213</v>
      </c>
      <c r="E4187">
        <v>100</v>
      </c>
      <c r="F4187">
        <f t="shared" si="272"/>
        <v>-1.5329900156504777</v>
      </c>
      <c r="G4187">
        <f t="shared" si="273"/>
        <v>-1.8801948351467996</v>
      </c>
      <c r="I4187">
        <f t="shared" si="274"/>
        <v>-1.7065924253986386</v>
      </c>
    </row>
    <row r="4188" spans="1:9">
      <c r="A4188" t="s">
        <v>9</v>
      </c>
      <c r="B4188" s="2">
        <f t="shared" si="271"/>
        <v>201</v>
      </c>
      <c r="C4188">
        <v>52469</v>
      </c>
      <c r="D4188">
        <v>20531</v>
      </c>
      <c r="E4188">
        <v>11207</v>
      </c>
      <c r="F4188">
        <f t="shared" si="272"/>
        <v>-1.0181983837450639</v>
      </c>
      <c r="G4188">
        <f t="shared" si="273"/>
        <v>-1.2999443308639007</v>
      </c>
      <c r="I4188">
        <f t="shared" si="274"/>
        <v>-1.1590713573044824</v>
      </c>
    </row>
    <row r="4189" spans="1:9">
      <c r="A4189" t="s">
        <v>13</v>
      </c>
      <c r="B4189" s="2">
        <f t="shared" si="271"/>
        <v>201</v>
      </c>
      <c r="C4189">
        <v>1421</v>
      </c>
      <c r="D4189">
        <v>273</v>
      </c>
      <c r="E4189">
        <v>151</v>
      </c>
      <c r="F4189">
        <f t="shared" si="272"/>
        <v>-1.3271371305126856</v>
      </c>
      <c r="G4189">
        <f t="shared" si="273"/>
        <v>-1.6031480463178565</v>
      </c>
      <c r="I4189">
        <f t="shared" si="274"/>
        <v>-1.4651425884152709</v>
      </c>
    </row>
    <row r="4190" spans="1:9">
      <c r="A4190" t="s">
        <v>14</v>
      </c>
      <c r="B4190" s="2">
        <f t="shared" si="271"/>
        <v>201</v>
      </c>
      <c r="C4190">
        <v>894</v>
      </c>
      <c r="D4190">
        <v>42</v>
      </c>
      <c r="E4190">
        <v>23</v>
      </c>
      <c r="F4190">
        <f t="shared" si="272"/>
        <v>-1.938793928023989</v>
      </c>
      <c r="G4190">
        <f t="shared" si="273"/>
        <v>-2.2191405984618808</v>
      </c>
      <c r="I4190">
        <f t="shared" si="274"/>
        <v>-2.078967263242935</v>
      </c>
    </row>
    <row r="4191" spans="1:9">
      <c r="A4191" t="s">
        <v>15</v>
      </c>
      <c r="B4191" s="2">
        <f t="shared" si="271"/>
        <v>201</v>
      </c>
      <c r="C4191">
        <v>1092</v>
      </c>
      <c r="D4191">
        <v>170</v>
      </c>
      <c r="E4191">
        <v>330</v>
      </c>
      <c r="F4191">
        <f t="shared" si="272"/>
        <v>-1.4184794166164165</v>
      </c>
      <c r="G4191">
        <f t="shared" si="273"/>
        <v>-1.149239614174387</v>
      </c>
      <c r="I4191">
        <f t="shared" si="274"/>
        <v>-1.2838595153954018</v>
      </c>
    </row>
    <row r="4192" spans="1:9">
      <c r="A4192" t="s">
        <v>16</v>
      </c>
      <c r="B4192" s="2">
        <f t="shared" si="271"/>
        <v>201</v>
      </c>
      <c r="C4192">
        <v>868</v>
      </c>
      <c r="D4192">
        <v>52</v>
      </c>
      <c r="E4192">
        <v>36</v>
      </c>
      <c r="F4192">
        <f t="shared" si="272"/>
        <v>-1.8332220811676647</v>
      </c>
      <c r="G4192">
        <f t="shared" si="273"/>
        <v>-2.0117481400927608</v>
      </c>
      <c r="I4192">
        <f t="shared" si="274"/>
        <v>-1.9224851106302128</v>
      </c>
    </row>
    <row r="4193" spans="1:9">
      <c r="A4193" t="s">
        <v>17</v>
      </c>
      <c r="B4193" s="2">
        <f t="shared" si="271"/>
        <v>201</v>
      </c>
      <c r="C4193">
        <v>887</v>
      </c>
      <c r="D4193">
        <v>32</v>
      </c>
      <c r="E4193">
        <v>24</v>
      </c>
      <c r="F4193">
        <f t="shared" si="272"/>
        <v>-2.0534793411377921</v>
      </c>
      <c r="G4193">
        <f t="shared" si="273"/>
        <v>-2.1972432938036763</v>
      </c>
      <c r="I4193">
        <f t="shared" si="274"/>
        <v>-2.125361317470734</v>
      </c>
    </row>
    <row r="4194" spans="1:9">
      <c r="A4194" t="s">
        <v>18</v>
      </c>
      <c r="B4194" s="2">
        <f t="shared" si="271"/>
        <v>201</v>
      </c>
      <c r="C4194">
        <v>1503</v>
      </c>
      <c r="D4194">
        <v>32</v>
      </c>
      <c r="E4194">
        <v>100</v>
      </c>
      <c r="F4194">
        <f t="shared" si="272"/>
        <v>-2.2825147018929739</v>
      </c>
      <c r="G4194">
        <f t="shared" si="273"/>
        <v>-1.8064898962704645</v>
      </c>
      <c r="I4194">
        <f t="shared" si="274"/>
        <v>-2.044502299081719</v>
      </c>
    </row>
    <row r="4195" spans="1:9">
      <c r="A4195" t="s">
        <v>19</v>
      </c>
      <c r="B4195" s="2">
        <f t="shared" si="271"/>
        <v>201</v>
      </c>
      <c r="C4195">
        <v>620</v>
      </c>
      <c r="D4195">
        <v>52</v>
      </c>
      <c r="E4195">
        <v>23</v>
      </c>
      <c r="F4195">
        <f t="shared" si="272"/>
        <v>-1.6870940454894265</v>
      </c>
      <c r="G4195">
        <f t="shared" si="273"/>
        <v>-2.0601947691642173</v>
      </c>
      <c r="I4195">
        <f t="shared" si="274"/>
        <v>-1.8736444073268219</v>
      </c>
    </row>
    <row r="4196" spans="1:9">
      <c r="A4196" t="s">
        <v>20</v>
      </c>
      <c r="B4196" s="2">
        <f t="shared" si="271"/>
        <v>201</v>
      </c>
      <c r="C4196">
        <v>1136</v>
      </c>
      <c r="D4196">
        <v>36</v>
      </c>
      <c r="E4196">
        <v>38</v>
      </c>
      <c r="F4196">
        <f t="shared" si="272"/>
        <v>-2.1097815302336844</v>
      </c>
      <c r="G4196">
        <f t="shared" si="273"/>
        <v>-2.1051256504417459</v>
      </c>
      <c r="I4196">
        <f t="shared" si="274"/>
        <v>-2.1074535903377152</v>
      </c>
    </row>
    <row r="4197" spans="1:9">
      <c r="A4197" t="s">
        <v>21</v>
      </c>
      <c r="B4197" s="2">
        <f t="shared" si="271"/>
        <v>201</v>
      </c>
      <c r="C4197">
        <v>2374</v>
      </c>
      <c r="D4197">
        <v>1795</v>
      </c>
      <c r="E4197">
        <v>799</v>
      </c>
      <c r="F4197">
        <f t="shared" si="272"/>
        <v>-0.73212196133020635</v>
      </c>
      <c r="G4197">
        <f t="shared" si="273"/>
        <v>-1.1024648509881372</v>
      </c>
      <c r="I4197">
        <f t="shared" si="274"/>
        <v>-0.91729340615917176</v>
      </c>
    </row>
    <row r="4198" spans="1:9">
      <c r="A4198" t="s">
        <v>22</v>
      </c>
      <c r="B4198" s="2">
        <f t="shared" si="271"/>
        <v>201</v>
      </c>
      <c r="C4198">
        <v>682</v>
      </c>
      <c r="D4198">
        <v>5514</v>
      </c>
      <c r="E4198">
        <v>8278</v>
      </c>
      <c r="F4198">
        <f t="shared" si="272"/>
        <v>0.2969766874873041</v>
      </c>
      <c r="G4198">
        <f t="shared" si="273"/>
        <v>0.4546101317247061</v>
      </c>
      <c r="I4198">
        <f t="shared" si="274"/>
        <v>0.3757934096060051</v>
      </c>
    </row>
    <row r="4199" spans="1:9">
      <c r="A4199" t="s">
        <v>23</v>
      </c>
      <c r="B4199" s="2">
        <f t="shared" si="271"/>
        <v>201</v>
      </c>
      <c r="C4199">
        <v>19</v>
      </c>
      <c r="D4199">
        <v>65</v>
      </c>
      <c r="E4199">
        <v>51</v>
      </c>
      <c r="F4199">
        <f t="shared" si="272"/>
        <v>-7.6545943935945271E-2</v>
      </c>
      <c r="G4199">
        <f t="shared" si="273"/>
        <v>-0.20071434053844872</v>
      </c>
      <c r="I4199">
        <f t="shared" si="274"/>
        <v>-0.138630142237197</v>
      </c>
    </row>
    <row r="4200" spans="1:9">
      <c r="A4200" t="s">
        <v>24</v>
      </c>
      <c r="B4200" s="2">
        <f t="shared" si="271"/>
        <v>201</v>
      </c>
      <c r="C4200">
        <v>743</v>
      </c>
      <c r="D4200">
        <v>13946</v>
      </c>
      <c r="E4200">
        <v>20038</v>
      </c>
      <c r="F4200">
        <f t="shared" si="272"/>
        <v>0.66275514748235231</v>
      </c>
      <c r="G4200">
        <f t="shared" si="273"/>
        <v>0.80133464282545519</v>
      </c>
      <c r="I4200">
        <f t="shared" si="274"/>
        <v>0.73204489515390381</v>
      </c>
    </row>
    <row r="4201" spans="1:9">
      <c r="A4201" t="s">
        <v>25</v>
      </c>
      <c r="B4201" s="2">
        <f t="shared" si="271"/>
        <v>201</v>
      </c>
      <c r="C4201">
        <v>1301</v>
      </c>
      <c r="D4201">
        <v>136</v>
      </c>
      <c r="E4201">
        <v>81</v>
      </c>
      <c r="F4201">
        <f t="shared" si="272"/>
        <v>-1.5914440878173406</v>
      </c>
      <c r="G4201">
        <f t="shared" si="273"/>
        <v>-1.8353231933664924</v>
      </c>
      <c r="I4201">
        <f t="shared" si="274"/>
        <v>-1.7133836405919165</v>
      </c>
    </row>
    <row r="4202" spans="1:9">
      <c r="A4202" t="s">
        <v>7</v>
      </c>
      <c r="B4202" s="2">
        <f t="shared" si="271"/>
        <v>202</v>
      </c>
      <c r="C4202">
        <v>289</v>
      </c>
      <c r="D4202">
        <v>6</v>
      </c>
      <c r="E4202">
        <v>23</v>
      </c>
      <c r="F4202">
        <f t="shared" si="272"/>
        <v>-2.293452291998876</v>
      </c>
      <c r="G4202">
        <f t="shared" si="273"/>
        <v>-1.7287009224225112</v>
      </c>
      <c r="I4202">
        <f t="shared" si="274"/>
        <v>-2.0110766072106934</v>
      </c>
    </row>
    <row r="4203" spans="1:9">
      <c r="A4203" t="s">
        <v>8</v>
      </c>
      <c r="B4203" s="2">
        <f t="shared" si="271"/>
        <v>202</v>
      </c>
      <c r="C4203">
        <v>1523</v>
      </c>
      <c r="D4203">
        <v>99</v>
      </c>
      <c r="E4203">
        <v>66</v>
      </c>
      <c r="F4203">
        <f t="shared" si="272"/>
        <v>-1.7977704083644646</v>
      </c>
      <c r="G4203">
        <f t="shared" si="273"/>
        <v>-1.99268688347773</v>
      </c>
      <c r="I4203">
        <f t="shared" si="274"/>
        <v>-1.8952286459210974</v>
      </c>
    </row>
    <row r="4204" spans="1:9">
      <c r="A4204" t="s">
        <v>5</v>
      </c>
      <c r="B4204" s="2">
        <f t="shared" si="271"/>
        <v>202</v>
      </c>
      <c r="C4204">
        <v>871</v>
      </c>
      <c r="D4204">
        <v>124</v>
      </c>
      <c r="E4204">
        <v>141</v>
      </c>
      <c r="F4204">
        <f t="shared" si="272"/>
        <v>-1.4573021694713999</v>
      </c>
      <c r="G4204">
        <f t="shared" si="273"/>
        <v>-1.4203299580358395</v>
      </c>
      <c r="I4204">
        <f t="shared" si="274"/>
        <v>-1.4388160637536198</v>
      </c>
    </row>
    <row r="4205" spans="1:9">
      <c r="A4205" t="s">
        <v>6</v>
      </c>
      <c r="B4205" s="2">
        <f t="shared" si="271"/>
        <v>202</v>
      </c>
      <c r="C4205">
        <v>717</v>
      </c>
      <c r="D4205">
        <v>344</v>
      </c>
      <c r="E4205">
        <v>30</v>
      </c>
      <c r="F4205">
        <f t="shared" si="272"/>
        <v>-0.92966641272224193</v>
      </c>
      <c r="G4205">
        <f t="shared" si="273"/>
        <v>-2.007928816631694</v>
      </c>
      <c r="I4205">
        <f t="shared" si="274"/>
        <v>-1.4687976146769679</v>
      </c>
    </row>
    <row r="4206" spans="1:9">
      <c r="A4206" t="s">
        <v>10</v>
      </c>
      <c r="B4206" s="2">
        <f t="shared" si="271"/>
        <v>202</v>
      </c>
      <c r="C4206">
        <v>879</v>
      </c>
      <c r="D4206">
        <v>158</v>
      </c>
      <c r="E4206">
        <v>94</v>
      </c>
      <c r="F4206">
        <f t="shared" si="272"/>
        <v>-1.3560374877453212</v>
      </c>
      <c r="G4206">
        <f t="shared" si="273"/>
        <v>-1.6003919371576294</v>
      </c>
      <c r="I4206">
        <f t="shared" si="274"/>
        <v>-1.4782147124514753</v>
      </c>
    </row>
    <row r="4207" spans="1:9">
      <c r="A4207" t="s">
        <v>11</v>
      </c>
      <c r="B4207" s="2">
        <f t="shared" si="271"/>
        <v>202</v>
      </c>
      <c r="C4207">
        <v>42448</v>
      </c>
      <c r="D4207">
        <v>173206</v>
      </c>
      <c r="E4207">
        <v>180879</v>
      </c>
      <c r="F4207">
        <f t="shared" si="272"/>
        <v>0</v>
      </c>
      <c r="G4207">
        <f t="shared" si="273"/>
        <v>0</v>
      </c>
      <c r="I4207">
        <f t="shared" si="274"/>
        <v>0</v>
      </c>
    </row>
    <row r="4208" spans="1:9">
      <c r="A4208" t="s">
        <v>12</v>
      </c>
      <c r="B4208" s="2">
        <f t="shared" si="271"/>
        <v>202</v>
      </c>
      <c r="C4208">
        <v>1048</v>
      </c>
      <c r="D4208">
        <v>397</v>
      </c>
      <c r="E4208">
        <v>278</v>
      </c>
      <c r="F4208">
        <f t="shared" si="272"/>
        <v>-1.0322764755105647</v>
      </c>
      <c r="G4208">
        <f t="shared" si="273"/>
        <v>-1.2058474024131876</v>
      </c>
      <c r="I4208">
        <f t="shared" si="274"/>
        <v>-1.1190619389618761</v>
      </c>
    </row>
    <row r="4209" spans="1:9">
      <c r="A4209" t="s">
        <v>9</v>
      </c>
      <c r="B4209" s="2">
        <f t="shared" si="271"/>
        <v>202</v>
      </c>
      <c r="C4209">
        <v>1425</v>
      </c>
      <c r="D4209">
        <v>92</v>
      </c>
      <c r="E4209">
        <v>71</v>
      </c>
      <c r="F4209">
        <f t="shared" si="272"/>
        <v>-1.8007327366249457</v>
      </c>
      <c r="G4209">
        <f t="shared" si="273"/>
        <v>-1.93208743130901</v>
      </c>
      <c r="I4209">
        <f t="shared" si="274"/>
        <v>-1.8664100839669779</v>
      </c>
    </row>
    <row r="4210" spans="1:9">
      <c r="A4210" t="s">
        <v>13</v>
      </c>
      <c r="B4210" s="2">
        <f t="shared" si="271"/>
        <v>202</v>
      </c>
      <c r="C4210">
        <v>636</v>
      </c>
      <c r="D4210">
        <v>41</v>
      </c>
      <c r="E4210">
        <v>37</v>
      </c>
      <c r="F4210">
        <f t="shared" si="272"/>
        <v>-1.8013789585546502</v>
      </c>
      <c r="G4210">
        <f t="shared" si="273"/>
        <v>-1.8647863072649749</v>
      </c>
      <c r="I4210">
        <f t="shared" si="274"/>
        <v>-1.8330826329098127</v>
      </c>
    </row>
    <row r="4211" spans="1:9">
      <c r="A4211" t="s">
        <v>14</v>
      </c>
      <c r="B4211" s="2">
        <f t="shared" si="271"/>
        <v>202</v>
      </c>
      <c r="C4211">
        <v>705</v>
      </c>
      <c r="D4211">
        <v>16</v>
      </c>
      <c r="E4211">
        <v>30</v>
      </c>
      <c r="F4211">
        <f t="shared" si="272"/>
        <v>-2.254774833961446</v>
      </c>
      <c r="G4211">
        <f t="shared" si="273"/>
        <v>-2.0005987779552923</v>
      </c>
      <c r="I4211">
        <f t="shared" si="274"/>
        <v>-2.1276868059583691</v>
      </c>
    </row>
    <row r="4212" spans="1:9">
      <c r="A4212" t="s">
        <v>15</v>
      </c>
      <c r="B4212" s="2">
        <f t="shared" si="271"/>
        <v>202</v>
      </c>
      <c r="C4212">
        <v>1201</v>
      </c>
      <c r="D4212">
        <v>49</v>
      </c>
      <c r="E4212">
        <v>48</v>
      </c>
      <c r="F4212">
        <f t="shared" si="272"/>
        <v>-2.0000526270003642</v>
      </c>
      <c r="G4212">
        <f t="shared" si="273"/>
        <v>-2.0278326857108748</v>
      </c>
      <c r="I4212">
        <f t="shared" si="274"/>
        <v>-2.0139426563556198</v>
      </c>
    </row>
    <row r="4213" spans="1:9">
      <c r="A4213" t="s">
        <v>16</v>
      </c>
      <c r="B4213" s="2">
        <f t="shared" si="271"/>
        <v>202</v>
      </c>
      <c r="C4213">
        <v>140</v>
      </c>
      <c r="D4213">
        <v>7</v>
      </c>
      <c r="E4213">
        <v>4</v>
      </c>
      <c r="F4213">
        <f t="shared" si="272"/>
        <v>-1.9117356952899531</v>
      </c>
      <c r="G4213">
        <f t="shared" si="273"/>
        <v>-2.1735989600338317</v>
      </c>
      <c r="I4213">
        <f t="shared" si="274"/>
        <v>-2.0426673276618925</v>
      </c>
    </row>
    <row r="4214" spans="1:9">
      <c r="A4214" t="s">
        <v>17</v>
      </c>
      <c r="B4214" s="2">
        <f t="shared" si="271"/>
        <v>202</v>
      </c>
      <c r="C4214">
        <v>400</v>
      </c>
      <c r="D4214">
        <v>41</v>
      </c>
      <c r="E4214">
        <v>11</v>
      </c>
      <c r="F4214">
        <f t="shared" si="272"/>
        <v>-1.5999818342341987</v>
      </c>
      <c r="G4214">
        <f t="shared" si="273"/>
        <v>-2.1901982218532936</v>
      </c>
      <c r="I4214">
        <f t="shared" si="274"/>
        <v>-1.8950900280437462</v>
      </c>
    </row>
    <row r="4215" spans="1:9">
      <c r="A4215" t="s">
        <v>18</v>
      </c>
      <c r="B4215" s="2">
        <f t="shared" si="271"/>
        <v>202</v>
      </c>
      <c r="C4215">
        <v>440</v>
      </c>
      <c r="D4215">
        <v>27</v>
      </c>
      <c r="E4215">
        <v>18</v>
      </c>
      <c r="F4215">
        <f t="shared" si="272"/>
        <v>-1.8227946119531719</v>
      </c>
      <c r="G4215">
        <f t="shared" si="273"/>
        <v>-2.0177110870664374</v>
      </c>
      <c r="I4215">
        <f t="shared" si="274"/>
        <v>-1.9202528495098048</v>
      </c>
    </row>
    <row r="4216" spans="1:9">
      <c r="A4216" t="s">
        <v>19</v>
      </c>
      <c r="B4216" s="2">
        <f t="shared" si="271"/>
        <v>202</v>
      </c>
      <c r="C4216">
        <v>1017</v>
      </c>
      <c r="D4216">
        <v>934</v>
      </c>
      <c r="E4216">
        <v>421</v>
      </c>
      <c r="F4216">
        <f t="shared" si="272"/>
        <v>-0.64767977631862306</v>
      </c>
      <c r="G4216">
        <f t="shared" si="273"/>
        <v>-1.0125697727706324</v>
      </c>
      <c r="I4216">
        <f t="shared" si="274"/>
        <v>-0.83012477454462774</v>
      </c>
    </row>
    <row r="4217" spans="1:9">
      <c r="A4217" t="s">
        <v>20</v>
      </c>
      <c r="B4217" s="2">
        <f t="shared" si="271"/>
        <v>202</v>
      </c>
      <c r="C4217">
        <v>414</v>
      </c>
      <c r="D4217">
        <v>8</v>
      </c>
      <c r="E4217">
        <v>17</v>
      </c>
      <c r="F4217">
        <f t="shared" si="272"/>
        <v>-2.3246160537549274</v>
      </c>
      <c r="G4217">
        <f t="shared" si="273"/>
        <v>-2.016082335426181</v>
      </c>
      <c r="I4217">
        <f t="shared" si="274"/>
        <v>-2.1703491945905542</v>
      </c>
    </row>
    <row r="4218" spans="1:9">
      <c r="A4218" t="s">
        <v>21</v>
      </c>
      <c r="B4218" s="2">
        <f t="shared" si="271"/>
        <v>202</v>
      </c>
      <c r="C4218">
        <v>872</v>
      </c>
      <c r="D4218">
        <v>29</v>
      </c>
      <c r="E4218">
        <v>27</v>
      </c>
      <c r="F4218">
        <f t="shared" si="272"/>
        <v>-2.0888241866595827</v>
      </c>
      <c r="G4218">
        <f t="shared" si="273"/>
        <v>-2.1386836364571362</v>
      </c>
      <c r="I4218">
        <f t="shared" si="274"/>
        <v>-2.1137539115583595</v>
      </c>
    </row>
    <row r="4219" spans="1:9">
      <c r="A4219" t="s">
        <v>22</v>
      </c>
      <c r="B4219" s="2">
        <f t="shared" si="271"/>
        <v>202</v>
      </c>
      <c r="C4219">
        <v>439</v>
      </c>
      <c r="D4219">
        <v>3</v>
      </c>
      <c r="E4219">
        <v>10</v>
      </c>
      <c r="F4219">
        <f t="shared" si="272"/>
        <v>-2.7760489651484308</v>
      </c>
      <c r="G4219">
        <f t="shared" si="273"/>
        <v>-2.2719954359256773</v>
      </c>
      <c r="I4219">
        <f t="shared" si="274"/>
        <v>-2.5240222005370541</v>
      </c>
    </row>
    <row r="4220" spans="1:9">
      <c r="A4220" t="s">
        <v>23</v>
      </c>
      <c r="B4220" s="2">
        <f t="shared" si="271"/>
        <v>202</v>
      </c>
      <c r="C4220">
        <v>502</v>
      </c>
      <c r="D4220">
        <v>31</v>
      </c>
      <c r="E4220">
        <v>16</v>
      </c>
      <c r="F4220">
        <f t="shared" si="272"/>
        <v>-1.8200477229367185</v>
      </c>
      <c r="G4220">
        <f t="shared" si="273"/>
        <v>-2.1261146501726507</v>
      </c>
      <c r="I4220">
        <f t="shared" si="274"/>
        <v>-1.9730811865546847</v>
      </c>
    </row>
    <row r="4221" spans="1:9">
      <c r="A4221" t="s">
        <v>24</v>
      </c>
      <c r="B4221" s="2">
        <f t="shared" si="271"/>
        <v>202</v>
      </c>
      <c r="C4221">
        <v>213</v>
      </c>
      <c r="D4221">
        <v>325</v>
      </c>
      <c r="E4221">
        <v>319</v>
      </c>
      <c r="F4221">
        <f t="shared" si="272"/>
        <v>-0.42720194208583517</v>
      </c>
      <c r="G4221">
        <f t="shared" si="273"/>
        <v>-0.45411983606511269</v>
      </c>
      <c r="I4221">
        <f t="shared" si="274"/>
        <v>-0.44066088907547396</v>
      </c>
    </row>
    <row r="4222" spans="1:9">
      <c r="A4222" t="s">
        <v>25</v>
      </c>
      <c r="B4222" s="2">
        <f t="shared" si="271"/>
        <v>202</v>
      </c>
      <c r="C4222">
        <v>524</v>
      </c>
      <c r="D4222">
        <v>20</v>
      </c>
      <c r="E4222">
        <v>6</v>
      </c>
      <c r="F4222">
        <f t="shared" si="272"/>
        <v>-2.0290069909457173</v>
      </c>
      <c r="G4222">
        <f t="shared" si="273"/>
        <v>-2.5707109522836391</v>
      </c>
      <c r="I4222">
        <f t="shared" si="274"/>
        <v>-2.299858971614678</v>
      </c>
    </row>
    <row r="4223" spans="1:9">
      <c r="A4223" t="s">
        <v>7</v>
      </c>
      <c r="B4223" s="2">
        <f t="shared" si="271"/>
        <v>203</v>
      </c>
      <c r="C4223">
        <v>283</v>
      </c>
      <c r="D4223">
        <v>25</v>
      </c>
      <c r="E4223">
        <v>7</v>
      </c>
      <c r="F4223">
        <f t="shared" si="272"/>
        <v>-1.6645521264782246</v>
      </c>
      <c r="G4223">
        <f t="shared" si="273"/>
        <v>-2.2362193111935897</v>
      </c>
      <c r="I4223">
        <f t="shared" si="274"/>
        <v>-1.9503857188359071</v>
      </c>
    </row>
    <row r="4224" spans="1:9">
      <c r="A4224" t="s">
        <v>8</v>
      </c>
      <c r="B4224" s="2">
        <f t="shared" si="271"/>
        <v>203</v>
      </c>
      <c r="C4224">
        <v>15</v>
      </c>
      <c r="D4224">
        <v>36</v>
      </c>
      <c r="E4224">
        <v>38</v>
      </c>
      <c r="F4224">
        <f t="shared" si="272"/>
        <v>-0.23049445791436585</v>
      </c>
      <c r="G4224">
        <f t="shared" si="273"/>
        <v>-0.22583857812242725</v>
      </c>
      <c r="I4224">
        <f t="shared" si="274"/>
        <v>-0.22816651801839655</v>
      </c>
    </row>
    <row r="4225" spans="1:9">
      <c r="A4225" t="s">
        <v>5</v>
      </c>
      <c r="B4225" s="2">
        <f t="shared" si="271"/>
        <v>203</v>
      </c>
      <c r="C4225">
        <v>427</v>
      </c>
      <c r="D4225">
        <v>32</v>
      </c>
      <c r="E4225">
        <v>29</v>
      </c>
      <c r="F4225">
        <f t="shared" si="272"/>
        <v>-1.7359835963310897</v>
      </c>
      <c r="G4225">
        <f t="shared" si="273"/>
        <v>-1.797560792809624</v>
      </c>
      <c r="I4225">
        <f t="shared" si="274"/>
        <v>-1.7667721945703567</v>
      </c>
    </row>
    <row r="4226" spans="1:9">
      <c r="A4226" t="s">
        <v>6</v>
      </c>
      <c r="B4226" s="2">
        <f t="shared" si="271"/>
        <v>203</v>
      </c>
      <c r="C4226">
        <v>563</v>
      </c>
      <c r="D4226">
        <v>21</v>
      </c>
      <c r="E4226">
        <v>13</v>
      </c>
      <c r="F4226">
        <f t="shared" si="272"/>
        <v>-2.0389947997433988</v>
      </c>
      <c r="G4226">
        <f t="shared" si="273"/>
        <v>-2.2660959582280658</v>
      </c>
      <c r="I4226">
        <f t="shared" si="274"/>
        <v>-2.1525453789857325</v>
      </c>
    </row>
    <row r="4227" spans="1:9">
      <c r="A4227" t="s">
        <v>10</v>
      </c>
      <c r="B4227" s="2">
        <f t="shared" ref="B4227:B4290" si="275">1+INT((ROW()-2)/21)+1</f>
        <v>203</v>
      </c>
      <c r="C4227">
        <v>173</v>
      </c>
      <c r="D4227">
        <v>19</v>
      </c>
      <c r="E4227">
        <v>3</v>
      </c>
      <c r="F4227">
        <f t="shared" ref="F4227:F4290" si="276">LOG10(D4227/C4227)-LOG10(173206/42448)</f>
        <v>-1.5699982018019383</v>
      </c>
      <c r="G4227">
        <f t="shared" ref="G4227:G4290" si="277">LOG10(E4227/C4227)-LOG10(180879/42448)</f>
        <v>-2.3904557640926893</v>
      </c>
      <c r="I4227">
        <f t="shared" ref="I4227:I4290" si="278">AVERAGE(F4227:G4227)</f>
        <v>-1.9802269829473138</v>
      </c>
    </row>
    <row r="4228" spans="1:9">
      <c r="A4228" t="s">
        <v>11</v>
      </c>
      <c r="B4228" s="2">
        <f t="shared" si="275"/>
        <v>203</v>
      </c>
      <c r="C4228">
        <v>1394</v>
      </c>
      <c r="D4228">
        <v>90</v>
      </c>
      <c r="E4228">
        <v>88</v>
      </c>
      <c r="F4228">
        <f t="shared" si="276"/>
        <v>-1.8007259639486377</v>
      </c>
      <c r="G4228">
        <f t="shared" si="277"/>
        <v>-1.8293110172953782</v>
      </c>
      <c r="I4228">
        <f t="shared" si="278"/>
        <v>-1.8150184906220079</v>
      </c>
    </row>
    <row r="4229" spans="1:9">
      <c r="A4229" t="s">
        <v>12</v>
      </c>
      <c r="B4229" s="2">
        <f t="shared" si="275"/>
        <v>203</v>
      </c>
      <c r="C4229">
        <v>1103</v>
      </c>
      <c r="D4229">
        <v>44</v>
      </c>
      <c r="E4229">
        <v>65</v>
      </c>
      <c r="F4229">
        <f t="shared" si="276"/>
        <v>-2.0098285355799748</v>
      </c>
      <c r="G4229">
        <f t="shared" si="277"/>
        <v>-1.8591930714808913</v>
      </c>
      <c r="I4229">
        <f t="shared" si="278"/>
        <v>-1.934510803530433</v>
      </c>
    </row>
    <row r="4230" spans="1:9">
      <c r="A4230" t="s">
        <v>9</v>
      </c>
      <c r="B4230" s="2">
        <f t="shared" si="275"/>
        <v>203</v>
      </c>
      <c r="C4230">
        <v>413</v>
      </c>
      <c r="D4230">
        <v>18</v>
      </c>
      <c r="E4230">
        <v>34</v>
      </c>
      <c r="F4230">
        <f t="shared" si="276"/>
        <v>-1.9713832461790668</v>
      </c>
      <c r="G4230">
        <f t="shared" si="277"/>
        <v>-1.7140020502977018</v>
      </c>
      <c r="I4230">
        <f t="shared" si="278"/>
        <v>-1.8426926482383843</v>
      </c>
    </row>
    <row r="4231" spans="1:9">
      <c r="A4231" t="s">
        <v>13</v>
      </c>
      <c r="B4231" s="2">
        <f t="shared" si="275"/>
        <v>203</v>
      </c>
      <c r="C4231">
        <v>349</v>
      </c>
      <c r="D4231">
        <v>18</v>
      </c>
      <c r="E4231">
        <v>10</v>
      </c>
      <c r="F4231">
        <f t="shared" si="276"/>
        <v>-1.8982586214818458</v>
      </c>
      <c r="G4231">
        <f t="shared" si="277"/>
        <v>-2.1723563426427361</v>
      </c>
      <c r="I4231">
        <f t="shared" si="278"/>
        <v>-2.035307482062291</v>
      </c>
    </row>
    <row r="4232" spans="1:9">
      <c r="A4232" t="s">
        <v>14</v>
      </c>
      <c r="B4232" s="2">
        <f t="shared" si="275"/>
        <v>203</v>
      </c>
      <c r="C4232">
        <v>1227</v>
      </c>
      <c r="D4232">
        <v>1350</v>
      </c>
      <c r="E4232">
        <v>20</v>
      </c>
      <c r="F4232">
        <f t="shared" si="276"/>
        <v>-0.56921649385797002</v>
      </c>
      <c r="G4232">
        <f t="shared" si="277"/>
        <v>-2.4173454827465792</v>
      </c>
      <c r="I4232">
        <f t="shared" si="278"/>
        <v>-1.4932809883022746</v>
      </c>
    </row>
    <row r="4233" spans="1:9">
      <c r="A4233" t="s">
        <v>15</v>
      </c>
      <c r="B4233" s="2">
        <f t="shared" si="275"/>
        <v>203</v>
      </c>
      <c r="C4233">
        <v>743</v>
      </c>
      <c r="D4233">
        <v>108</v>
      </c>
      <c r="E4233">
        <v>50</v>
      </c>
      <c r="F4233">
        <f t="shared" si="276"/>
        <v>-1.4482707578995975</v>
      </c>
      <c r="G4233">
        <f t="shared" si="277"/>
        <v>-1.8015497251081127</v>
      </c>
      <c r="I4233">
        <f t="shared" si="278"/>
        <v>-1.624910241503855</v>
      </c>
    </row>
    <row r="4234" spans="1:9">
      <c r="A4234" t="s">
        <v>16</v>
      </c>
      <c r="B4234" s="2">
        <f t="shared" si="275"/>
        <v>203</v>
      </c>
      <c r="C4234">
        <v>977</v>
      </c>
      <c r="D4234">
        <v>149</v>
      </c>
      <c r="E4234">
        <v>109</v>
      </c>
      <c r="F4234">
        <f t="shared" si="276"/>
        <v>-1.4274139949324709</v>
      </c>
      <c r="G4234">
        <f t="shared" si="277"/>
        <v>-1.5819989814617057</v>
      </c>
      <c r="I4234">
        <f t="shared" si="278"/>
        <v>-1.5047064881970882</v>
      </c>
    </row>
    <row r="4235" spans="1:9">
      <c r="A4235" t="s">
        <v>17</v>
      </c>
      <c r="B4235" s="2">
        <f t="shared" si="275"/>
        <v>203</v>
      </c>
      <c r="C4235">
        <v>840</v>
      </c>
      <c r="D4235">
        <v>269</v>
      </c>
      <c r="E4235">
        <v>74</v>
      </c>
      <c r="F4235">
        <f t="shared" si="276"/>
        <v>-1.1052327056854456</v>
      </c>
      <c r="G4235">
        <f t="shared" si="277"/>
        <v>-1.6845784820144614</v>
      </c>
      <c r="I4235">
        <f t="shared" si="278"/>
        <v>-1.3949055938499535</v>
      </c>
    </row>
    <row r="4236" spans="1:9">
      <c r="A4236" t="s">
        <v>18</v>
      </c>
      <c r="B4236" s="2">
        <f t="shared" si="275"/>
        <v>203</v>
      </c>
      <c r="C4236">
        <v>819</v>
      </c>
      <c r="D4236">
        <v>14</v>
      </c>
      <c r="E4236">
        <v>16</v>
      </c>
      <c r="F4236">
        <f t="shared" si="276"/>
        <v>-2.3778615657081525</v>
      </c>
      <c r="G4236">
        <f t="shared" si="277"/>
        <v>-2.3386948347880496</v>
      </c>
      <c r="I4236">
        <f t="shared" si="278"/>
        <v>-2.3582782002481011</v>
      </c>
    </row>
    <row r="4237" spans="1:9">
      <c r="A4237" t="s">
        <v>19</v>
      </c>
      <c r="B4237" s="2">
        <f t="shared" si="275"/>
        <v>203</v>
      </c>
      <c r="C4237">
        <v>699</v>
      </c>
      <c r="D4237">
        <v>41</v>
      </c>
      <c r="E4237">
        <v>30</v>
      </c>
      <c r="F4237">
        <f t="shared" si="276"/>
        <v>-1.8423990186519177</v>
      </c>
      <c r="G4237">
        <f t="shared" si="277"/>
        <v>-1.9968868367095749</v>
      </c>
      <c r="I4237">
        <f t="shared" si="278"/>
        <v>-1.9196429276807463</v>
      </c>
    </row>
    <row r="4238" spans="1:9">
      <c r="A4238" t="s">
        <v>20</v>
      </c>
      <c r="B4238" s="2">
        <f t="shared" si="275"/>
        <v>203</v>
      </c>
      <c r="C4238">
        <v>737</v>
      </c>
      <c r="D4238">
        <v>80</v>
      </c>
      <c r="E4238">
        <v>22</v>
      </c>
      <c r="F4238">
        <f t="shared" si="276"/>
        <v>-1.5750832004930797</v>
      </c>
      <c r="G4238">
        <f t="shared" si="277"/>
        <v>-2.1545757227204012</v>
      </c>
      <c r="I4238">
        <f t="shared" si="278"/>
        <v>-1.8648294616067405</v>
      </c>
    </row>
    <row r="4239" spans="1:9">
      <c r="A4239" t="s">
        <v>21</v>
      </c>
      <c r="B4239" s="2">
        <f t="shared" si="275"/>
        <v>203</v>
      </c>
      <c r="C4239">
        <v>780</v>
      </c>
      <c r="D4239">
        <v>51</v>
      </c>
      <c r="E4239">
        <v>63</v>
      </c>
      <c r="F4239">
        <f t="shared" si="276"/>
        <v>-1.795230126218516</v>
      </c>
      <c r="G4239">
        <f t="shared" si="277"/>
        <v>-1.7222849689204547</v>
      </c>
      <c r="I4239">
        <f t="shared" si="278"/>
        <v>-1.7587575475694854</v>
      </c>
    </row>
    <row r="4240" spans="1:9">
      <c r="A4240" t="s">
        <v>22</v>
      </c>
      <c r="B4240" s="2">
        <f t="shared" si="275"/>
        <v>203</v>
      </c>
      <c r="C4240">
        <v>992</v>
      </c>
      <c r="D4240">
        <v>116</v>
      </c>
      <c r="E4240">
        <v>39</v>
      </c>
      <c r="F4240">
        <f t="shared" si="276"/>
        <v>-1.542759382553232</v>
      </c>
      <c r="G4240">
        <f t="shared" si="277"/>
        <v>-2.0349779808112354</v>
      </c>
      <c r="I4240">
        <f t="shared" si="278"/>
        <v>-1.7888686816822337</v>
      </c>
    </row>
    <row r="4241" spans="1:9">
      <c r="A4241" t="s">
        <v>23</v>
      </c>
      <c r="B4241" s="2">
        <f t="shared" si="275"/>
        <v>203</v>
      </c>
      <c r="C4241">
        <v>1857</v>
      </c>
      <c r="D4241">
        <v>112</v>
      </c>
      <c r="E4241">
        <v>164</v>
      </c>
      <c r="F4241">
        <f t="shared" si="276"/>
        <v>-1.8302995806955706</v>
      </c>
      <c r="G4241">
        <f t="shared" si="277"/>
        <v>-1.6834989713756388</v>
      </c>
      <c r="I4241">
        <f t="shared" si="278"/>
        <v>-1.7568992760356048</v>
      </c>
    </row>
    <row r="4242" spans="1:9">
      <c r="A4242" t="s">
        <v>24</v>
      </c>
      <c r="B4242" s="2">
        <f t="shared" si="275"/>
        <v>203</v>
      </c>
      <c r="C4242">
        <v>1425</v>
      </c>
      <c r="D4242">
        <v>78</v>
      </c>
      <c r="E4242">
        <v>52</v>
      </c>
      <c r="F4242">
        <f t="shared" si="276"/>
        <v>-1.8724259612800205</v>
      </c>
      <c r="G4242">
        <f t="shared" si="277"/>
        <v>-2.067342436393286</v>
      </c>
      <c r="I4242">
        <f t="shared" si="278"/>
        <v>-1.9698841988366533</v>
      </c>
    </row>
    <row r="4243" spans="1:9">
      <c r="A4243" t="s">
        <v>25</v>
      </c>
      <c r="B4243" s="2">
        <f t="shared" si="275"/>
        <v>203</v>
      </c>
      <c r="C4243">
        <v>805</v>
      </c>
      <c r="D4243">
        <v>98</v>
      </c>
      <c r="E4243">
        <v>93</v>
      </c>
      <c r="F4243">
        <f t="shared" si="276"/>
        <v>-1.5252755043013455</v>
      </c>
      <c r="G4243">
        <f t="shared" si="277"/>
        <v>-1.5668438474974895</v>
      </c>
      <c r="I4243">
        <f t="shared" si="278"/>
        <v>-1.5460596758994174</v>
      </c>
    </row>
    <row r="4244" spans="1:9">
      <c r="A4244" t="s">
        <v>7</v>
      </c>
      <c r="B4244" s="2">
        <f t="shared" si="275"/>
        <v>204</v>
      </c>
      <c r="C4244">
        <v>2538</v>
      </c>
      <c r="D4244">
        <v>256</v>
      </c>
      <c r="E4244">
        <v>194</v>
      </c>
      <c r="F4244">
        <f t="shared" si="276"/>
        <v>-1.6069573520728082</v>
      </c>
      <c r="G4244">
        <f t="shared" si="277"/>
        <v>-1.7462208035120161</v>
      </c>
      <c r="I4244">
        <f t="shared" si="278"/>
        <v>-1.6765890777924122</v>
      </c>
    </row>
    <row r="4245" spans="1:9">
      <c r="A4245" t="s">
        <v>8</v>
      </c>
      <c r="B4245" s="2">
        <f t="shared" si="275"/>
        <v>204</v>
      </c>
      <c r="C4245">
        <v>941</v>
      </c>
      <c r="D4245">
        <v>135</v>
      </c>
      <c r="E4245">
        <v>113</v>
      </c>
      <c r="F4245">
        <f t="shared" si="276"/>
        <v>-1.4539615545582225</v>
      </c>
      <c r="G4245">
        <f t="shared" si="277"/>
        <v>-1.5500420956273933</v>
      </c>
      <c r="I4245">
        <f t="shared" si="278"/>
        <v>-1.5020018250928078</v>
      </c>
    </row>
    <row r="4246" spans="1:9">
      <c r="A4246" t="s">
        <v>5</v>
      </c>
      <c r="B4246" s="2">
        <f t="shared" si="275"/>
        <v>204</v>
      </c>
      <c r="C4246">
        <v>809</v>
      </c>
      <c r="D4246">
        <v>8</v>
      </c>
      <c r="E4246">
        <v>25</v>
      </c>
      <c r="F4246">
        <f t="shared" si="276"/>
        <v>-2.6155642342463006</v>
      </c>
      <c r="G4246">
        <f t="shared" si="277"/>
        <v>-2.1395394286237908</v>
      </c>
      <c r="I4246">
        <f t="shared" si="278"/>
        <v>-2.3775518314350457</v>
      </c>
    </row>
    <row r="4247" spans="1:9">
      <c r="A4247" t="s">
        <v>6</v>
      </c>
      <c r="B4247" s="2">
        <f t="shared" si="275"/>
        <v>204</v>
      </c>
      <c r="C4247">
        <v>1289</v>
      </c>
      <c r="D4247">
        <v>44</v>
      </c>
      <c r="E4247">
        <v>90</v>
      </c>
      <c r="F4247">
        <f t="shared" si="276"/>
        <v>-2.0775059404931877</v>
      </c>
      <c r="G4247">
        <f t="shared" si="277"/>
        <v>-1.7855413235976343</v>
      </c>
      <c r="I4247">
        <f t="shared" si="278"/>
        <v>-1.931523632045411</v>
      </c>
    </row>
    <row r="4248" spans="1:9">
      <c r="A4248" t="s">
        <v>10</v>
      </c>
      <c r="B4248" s="2">
        <f t="shared" si="275"/>
        <v>204</v>
      </c>
      <c r="C4248">
        <v>327</v>
      </c>
      <c r="D4248">
        <v>19</v>
      </c>
      <c r="E4248">
        <v>10</v>
      </c>
      <c r="F4248">
        <f t="shared" si="276"/>
        <v>-1.846499851333429</v>
      </c>
      <c r="G4248">
        <f t="shared" si="277"/>
        <v>-2.1440786683438424</v>
      </c>
      <c r="I4248">
        <f t="shared" si="278"/>
        <v>-1.9952892598386356</v>
      </c>
    </row>
    <row r="4249" spans="1:9">
      <c r="A4249" t="s">
        <v>11</v>
      </c>
      <c r="B4249" s="2">
        <f t="shared" si="275"/>
        <v>204</v>
      </c>
      <c r="C4249">
        <v>1866</v>
      </c>
      <c r="D4249">
        <v>83</v>
      </c>
      <c r="E4249">
        <v>73</v>
      </c>
      <c r="F4249">
        <f t="shared" si="276"/>
        <v>-1.962539246660379</v>
      </c>
      <c r="G4249">
        <f t="shared" si="277"/>
        <v>-2.0371196949735815</v>
      </c>
      <c r="I4249">
        <f t="shared" si="278"/>
        <v>-1.9998294708169801</v>
      </c>
    </row>
    <row r="4250" spans="1:9">
      <c r="A4250" t="s">
        <v>12</v>
      </c>
      <c r="B4250" s="2">
        <f t="shared" si="275"/>
        <v>204</v>
      </c>
      <c r="C4250">
        <v>306</v>
      </c>
      <c r="D4250">
        <v>13</v>
      </c>
      <c r="E4250">
        <v>12</v>
      </c>
      <c r="F4250">
        <f t="shared" si="276"/>
        <v>-1.9824837738007151</v>
      </c>
      <c r="G4250">
        <f t="shared" si="277"/>
        <v>-2.0360710961175115</v>
      </c>
      <c r="I4250">
        <f t="shared" si="278"/>
        <v>-2.0092774349591132</v>
      </c>
    </row>
    <row r="4251" spans="1:9">
      <c r="A4251" t="s">
        <v>9</v>
      </c>
      <c r="B4251" s="2">
        <f t="shared" si="275"/>
        <v>204</v>
      </c>
      <c r="C4251">
        <v>541</v>
      </c>
      <c r="D4251">
        <v>81</v>
      </c>
      <c r="E4251">
        <v>19</v>
      </c>
      <c r="F4251">
        <f t="shared" si="276"/>
        <v>-1.4354179458538916</v>
      </c>
      <c r="G4251">
        <f t="shared" si="277"/>
        <v>-2.0839745798372964</v>
      </c>
      <c r="I4251">
        <f t="shared" si="278"/>
        <v>-1.7596962628455941</v>
      </c>
    </row>
    <row r="4252" spans="1:9">
      <c r="A4252" t="s">
        <v>13</v>
      </c>
      <c r="B4252" s="2">
        <f t="shared" si="275"/>
        <v>204</v>
      </c>
      <c r="C4252">
        <v>460</v>
      </c>
      <c r="D4252">
        <v>13</v>
      </c>
      <c r="E4252">
        <v>865</v>
      </c>
      <c r="F4252">
        <f t="shared" si="276"/>
        <v>-2.159520179000709</v>
      </c>
      <c r="G4252">
        <f t="shared" si="277"/>
        <v>-0.35527263990031599</v>
      </c>
      <c r="I4252">
        <f t="shared" si="278"/>
        <v>-1.2573964094505126</v>
      </c>
    </row>
    <row r="4253" spans="1:9">
      <c r="A4253" t="s">
        <v>14</v>
      </c>
      <c r="B4253" s="2">
        <f t="shared" si="275"/>
        <v>204</v>
      </c>
      <c r="C4253">
        <v>427</v>
      </c>
      <c r="D4253">
        <v>11</v>
      </c>
      <c r="E4253">
        <v>12</v>
      </c>
      <c r="F4253">
        <f t="shared" si="276"/>
        <v>-2.1997408894927704</v>
      </c>
      <c r="G4253">
        <f t="shared" si="277"/>
        <v>-2.180777544660955</v>
      </c>
      <c r="I4253">
        <f t="shared" si="278"/>
        <v>-2.1902592170768624</v>
      </c>
    </row>
    <row r="4254" spans="1:9">
      <c r="A4254" t="s">
        <v>15</v>
      </c>
      <c r="B4254" s="2">
        <f t="shared" si="275"/>
        <v>204</v>
      </c>
      <c r="C4254">
        <v>812</v>
      </c>
      <c r="D4254">
        <v>62</v>
      </c>
      <c r="E4254">
        <v>78</v>
      </c>
      <c r="F4254">
        <f t="shared" si="276"/>
        <v>-1.7278700393688933</v>
      </c>
      <c r="G4254">
        <f t="shared" si="277"/>
        <v>-1.6469923422342512</v>
      </c>
      <c r="I4254">
        <f t="shared" si="278"/>
        <v>-1.6874311908015722</v>
      </c>
    </row>
    <row r="4255" spans="1:9">
      <c r="A4255" t="s">
        <v>16</v>
      </c>
      <c r="B4255" s="2">
        <f t="shared" si="275"/>
        <v>204</v>
      </c>
      <c r="C4255">
        <v>1475</v>
      </c>
      <c r="D4255">
        <v>1032</v>
      </c>
      <c r="E4255">
        <v>391</v>
      </c>
      <c r="F4255">
        <f t="shared" si="276"/>
        <v>-0.76581802264896115</v>
      </c>
      <c r="G4255">
        <f t="shared" si="277"/>
        <v>-1.206146178601871</v>
      </c>
      <c r="I4255">
        <f t="shared" si="278"/>
        <v>-0.98598210062541614</v>
      </c>
    </row>
    <row r="4256" spans="1:9">
      <c r="A4256" t="s">
        <v>17</v>
      </c>
      <c r="B4256" s="2">
        <f t="shared" si="275"/>
        <v>204</v>
      </c>
      <c r="C4256">
        <v>503</v>
      </c>
      <c r="D4256">
        <v>167</v>
      </c>
      <c r="E4256">
        <v>115</v>
      </c>
      <c r="F4256">
        <f t="shared" si="276"/>
        <v>-1.0895572135343159</v>
      </c>
      <c r="G4256">
        <f t="shared" si="277"/>
        <v>-1.270401060385872</v>
      </c>
      <c r="I4256">
        <f t="shared" si="278"/>
        <v>-1.1799791369600938</v>
      </c>
    </row>
    <row r="4257" spans="1:9">
      <c r="A4257" t="s">
        <v>18</v>
      </c>
      <c r="B4257" s="2">
        <f t="shared" si="275"/>
        <v>204</v>
      </c>
      <c r="C4257">
        <v>358</v>
      </c>
      <c r="D4257">
        <v>119</v>
      </c>
      <c r="E4257">
        <v>51</v>
      </c>
      <c r="F4257">
        <f t="shared" si="276"/>
        <v>-1.0890417648773154</v>
      </c>
      <c r="G4257">
        <f t="shared" si="277"/>
        <v>-1.4758437662294943</v>
      </c>
      <c r="I4257">
        <f t="shared" si="278"/>
        <v>-1.2824427655534048</v>
      </c>
    </row>
    <row r="4258" spans="1:9">
      <c r="A4258" t="s">
        <v>19</v>
      </c>
      <c r="B4258" s="2">
        <f t="shared" si="275"/>
        <v>204</v>
      </c>
      <c r="C4258">
        <v>600</v>
      </c>
      <c r="D4258">
        <v>32</v>
      </c>
      <c r="E4258">
        <v>33</v>
      </c>
      <c r="F4258">
        <f t="shared" si="276"/>
        <v>-1.8837069716897095</v>
      </c>
      <c r="G4258">
        <f t="shared" si="277"/>
        <v>-1.8891682261893123</v>
      </c>
      <c r="I4258">
        <f t="shared" si="278"/>
        <v>-1.8864375989395108</v>
      </c>
    </row>
    <row r="4259" spans="1:9">
      <c r="A4259" t="s">
        <v>20</v>
      </c>
      <c r="B4259" s="2">
        <f t="shared" si="275"/>
        <v>204</v>
      </c>
      <c r="C4259">
        <v>234</v>
      </c>
      <c r="D4259">
        <v>4</v>
      </c>
      <c r="E4259">
        <v>10</v>
      </c>
      <c r="F4259">
        <f t="shared" si="276"/>
        <v>-2.3778615657081525</v>
      </c>
      <c r="G4259">
        <f t="shared" si="277"/>
        <v>-1.998746773093699</v>
      </c>
      <c r="I4259">
        <f t="shared" si="278"/>
        <v>-2.1883041694009258</v>
      </c>
    </row>
    <row r="4260" spans="1:9">
      <c r="A4260" t="s">
        <v>21</v>
      </c>
      <c r="B4260" s="2">
        <f t="shared" si="275"/>
        <v>204</v>
      </c>
      <c r="C4260">
        <v>420</v>
      </c>
      <c r="D4260">
        <v>198</v>
      </c>
      <c r="E4260">
        <v>242</v>
      </c>
      <c r="F4260">
        <f t="shared" si="276"/>
        <v>-0.93728979976234128</v>
      </c>
      <c r="G4260">
        <f t="shared" si="277"/>
        <v>-0.86896484010102537</v>
      </c>
      <c r="I4260">
        <f t="shared" si="278"/>
        <v>-0.90312731993168338</v>
      </c>
    </row>
    <row r="4261" spans="1:9">
      <c r="A4261" t="s">
        <v>22</v>
      </c>
      <c r="B4261" s="2">
        <f t="shared" si="275"/>
        <v>204</v>
      </c>
      <c r="C4261">
        <v>440</v>
      </c>
      <c r="D4261">
        <v>9</v>
      </c>
      <c r="E4261">
        <v>22</v>
      </c>
      <c r="F4261">
        <f t="shared" si="276"/>
        <v>-2.2999158666728343</v>
      </c>
      <c r="G4261">
        <f t="shared" si="277"/>
        <v>-1.9305609113475373</v>
      </c>
      <c r="I4261">
        <f t="shared" si="278"/>
        <v>-2.1152383890101856</v>
      </c>
    </row>
    <row r="4262" spans="1:9">
      <c r="A4262" t="s">
        <v>23</v>
      </c>
      <c r="B4262" s="2">
        <f t="shared" si="275"/>
        <v>204</v>
      </c>
      <c r="C4262">
        <v>16</v>
      </c>
      <c r="D4262">
        <v>52</v>
      </c>
      <c r="E4262">
        <v>58</v>
      </c>
      <c r="F4262">
        <f t="shared" si="276"/>
        <v>-9.8822338647097552E-2</v>
      </c>
      <c r="G4262">
        <f t="shared" si="277"/>
        <v>-7.0222904776543582E-2</v>
      </c>
      <c r="I4262">
        <f t="shared" si="278"/>
        <v>-8.4522621711820567E-2</v>
      </c>
    </row>
    <row r="4263" spans="1:9">
      <c r="A4263" t="s">
        <v>24</v>
      </c>
      <c r="B4263" s="2">
        <f t="shared" si="275"/>
        <v>204</v>
      </c>
      <c r="C4263">
        <v>570</v>
      </c>
      <c r="D4263">
        <v>397</v>
      </c>
      <c r="E4263">
        <v>197</v>
      </c>
      <c r="F4263">
        <f t="shared" si="276"/>
        <v>-0.76779004853534827</v>
      </c>
      <c r="G4263">
        <f t="shared" si="277"/>
        <v>-1.0909395451944546</v>
      </c>
      <c r="I4263">
        <f t="shared" si="278"/>
        <v>-0.92936479686490148</v>
      </c>
    </row>
    <row r="4264" spans="1:9">
      <c r="A4264" t="s">
        <v>25</v>
      </c>
      <c r="B4264" s="2">
        <f t="shared" si="275"/>
        <v>204</v>
      </c>
      <c r="C4264">
        <v>1111</v>
      </c>
      <c r="D4264">
        <v>22</v>
      </c>
      <c r="E4264">
        <v>52</v>
      </c>
      <c r="F4264">
        <f t="shared" si="276"/>
        <v>-2.3139970777446335</v>
      </c>
      <c r="G4264">
        <f t="shared" si="277"/>
        <v>-1.9592416309896246</v>
      </c>
      <c r="I4264">
        <f t="shared" si="278"/>
        <v>-2.136619354367129</v>
      </c>
    </row>
    <row r="4265" spans="1:9">
      <c r="A4265" t="s">
        <v>7</v>
      </c>
      <c r="B4265" s="2">
        <f t="shared" si="275"/>
        <v>205</v>
      </c>
      <c r="C4265">
        <v>534</v>
      </c>
      <c r="D4265">
        <v>35</v>
      </c>
      <c r="E4265">
        <v>26</v>
      </c>
      <c r="F4265">
        <f t="shared" si="276"/>
        <v>-1.7941789123042526</v>
      </c>
      <c r="G4265">
        <f t="shared" si="277"/>
        <v>-1.9420988247412945</v>
      </c>
      <c r="I4265">
        <f t="shared" si="278"/>
        <v>-1.8681388685227736</v>
      </c>
    </row>
    <row r="4266" spans="1:9">
      <c r="A4266" t="s">
        <v>8</v>
      </c>
      <c r="B4266" s="2">
        <f t="shared" si="275"/>
        <v>205</v>
      </c>
      <c r="C4266">
        <v>384</v>
      </c>
      <c r="D4266">
        <v>999</v>
      </c>
      <c r="E4266">
        <v>420</v>
      </c>
      <c r="F4266">
        <f t="shared" si="276"/>
        <v>-0.19547143576752035</v>
      </c>
      <c r="G4266">
        <f t="shared" si="277"/>
        <v>-0.5906128496531865</v>
      </c>
      <c r="I4266">
        <f t="shared" si="278"/>
        <v>-0.39304214271035343</v>
      </c>
    </row>
    <row r="4267" spans="1:9">
      <c r="A4267" t="s">
        <v>5</v>
      </c>
      <c r="B4267" s="2">
        <f t="shared" si="275"/>
        <v>205</v>
      </c>
      <c r="C4267">
        <v>571</v>
      </c>
      <c r="D4267">
        <v>567</v>
      </c>
      <c r="E4267">
        <v>445</v>
      </c>
      <c r="F4267">
        <f t="shared" si="276"/>
        <v>-0.61375874897891336</v>
      </c>
      <c r="G4267">
        <f t="shared" si="277"/>
        <v>-0.73780701294847262</v>
      </c>
      <c r="I4267">
        <f t="shared" si="278"/>
        <v>-0.67578288096369299</v>
      </c>
    </row>
    <row r="4268" spans="1:9">
      <c r="A4268" t="s">
        <v>6</v>
      </c>
      <c r="B4268" s="2">
        <f t="shared" si="275"/>
        <v>205</v>
      </c>
      <c r="C4268">
        <v>42448</v>
      </c>
      <c r="D4268">
        <v>173206</v>
      </c>
      <c r="E4268">
        <v>180879</v>
      </c>
      <c r="F4268">
        <f t="shared" si="276"/>
        <v>0</v>
      </c>
      <c r="G4268">
        <f t="shared" si="277"/>
        <v>0</v>
      </c>
      <c r="I4268">
        <f t="shared" si="278"/>
        <v>0</v>
      </c>
    </row>
    <row r="4269" spans="1:9">
      <c r="A4269" t="s">
        <v>10</v>
      </c>
      <c r="B4269" s="2">
        <f t="shared" si="275"/>
        <v>205</v>
      </c>
      <c r="C4269">
        <v>650</v>
      </c>
      <c r="D4269">
        <v>180</v>
      </c>
      <c r="E4269">
        <v>148</v>
      </c>
      <c r="F4269">
        <f t="shared" si="276"/>
        <v>-1.1683465511655213</v>
      </c>
      <c r="G4269">
        <f t="shared" si="277"/>
        <v>-1.2721825569314542</v>
      </c>
      <c r="I4269">
        <f t="shared" si="278"/>
        <v>-1.2202645540484878</v>
      </c>
    </row>
    <row r="4270" spans="1:9">
      <c r="A4270" t="s">
        <v>11</v>
      </c>
      <c r="B4270" s="2">
        <f t="shared" si="275"/>
        <v>205</v>
      </c>
      <c r="C4270">
        <v>754</v>
      </c>
      <c r="D4270">
        <v>41</v>
      </c>
      <c r="E4270">
        <v>16</v>
      </c>
      <c r="F4270">
        <f t="shared" si="276"/>
        <v>-1.8752931887760105</v>
      </c>
      <c r="G4270">
        <f t="shared" si="277"/>
        <v>-2.3027822788974053</v>
      </c>
      <c r="I4270">
        <f t="shared" si="278"/>
        <v>-2.0890377338367081</v>
      </c>
    </row>
    <row r="4271" spans="1:9">
      <c r="A4271" t="s">
        <v>12</v>
      </c>
      <c r="B4271" s="2">
        <f t="shared" si="275"/>
        <v>205</v>
      </c>
      <c r="C4271">
        <v>326</v>
      </c>
      <c r="D4271">
        <v>11</v>
      </c>
      <c r="E4271">
        <v>13</v>
      </c>
      <c r="F4271">
        <f t="shared" si="276"/>
        <v>-2.0825306145356857</v>
      </c>
      <c r="G4271">
        <f t="shared" si="277"/>
        <v>-2.0288051634446584</v>
      </c>
      <c r="I4271">
        <f t="shared" si="278"/>
        <v>-2.0556678889901718</v>
      </c>
    </row>
    <row r="4272" spans="1:9">
      <c r="A4272" t="s">
        <v>9</v>
      </c>
      <c r="B4272" s="2">
        <f t="shared" si="275"/>
        <v>205</v>
      </c>
      <c r="C4272">
        <v>319</v>
      </c>
      <c r="D4272">
        <v>265</v>
      </c>
      <c r="E4272">
        <v>20</v>
      </c>
      <c r="F4272">
        <f t="shared" si="276"/>
        <v>-0.69125050874634519</v>
      </c>
      <c r="G4272">
        <f t="shared" si="277"/>
        <v>-1.8322916030767562</v>
      </c>
      <c r="I4272">
        <f t="shared" si="278"/>
        <v>-1.2617710559115507</v>
      </c>
    </row>
    <row r="4273" spans="1:9">
      <c r="A4273" t="s">
        <v>13</v>
      </c>
      <c r="B4273" s="2">
        <f t="shared" si="275"/>
        <v>205</v>
      </c>
      <c r="C4273">
        <v>3638</v>
      </c>
      <c r="D4273">
        <v>439</v>
      </c>
      <c r="E4273">
        <v>238</v>
      </c>
      <c r="F4273">
        <f t="shared" si="276"/>
        <v>-1.5291038741113154</v>
      </c>
      <c r="G4273">
        <f t="shared" si="277"/>
        <v>-1.8138166533545088</v>
      </c>
      <c r="I4273">
        <f t="shared" si="278"/>
        <v>-1.6714602637329121</v>
      </c>
    </row>
    <row r="4274" spans="1:9">
      <c r="A4274" t="s">
        <v>14</v>
      </c>
      <c r="B4274" s="2">
        <f t="shared" si="275"/>
        <v>205</v>
      </c>
      <c r="C4274">
        <v>374</v>
      </c>
      <c r="D4274">
        <v>84</v>
      </c>
      <c r="E4274">
        <v>42</v>
      </c>
      <c r="F4274">
        <f t="shared" si="276"/>
        <v>-1.2592980157645703</v>
      </c>
      <c r="G4274">
        <f t="shared" si="277"/>
        <v>-1.579153227486136</v>
      </c>
      <c r="I4274">
        <f t="shared" si="278"/>
        <v>-1.4192256216253532</v>
      </c>
    </row>
    <row r="4275" spans="1:9">
      <c r="A4275" t="s">
        <v>15</v>
      </c>
      <c r="B4275" s="2">
        <f t="shared" si="275"/>
        <v>205</v>
      </c>
      <c r="C4275">
        <v>347</v>
      </c>
      <c r="D4275">
        <v>32</v>
      </c>
      <c r="E4275">
        <v>11</v>
      </c>
      <c r="F4275">
        <f t="shared" si="276"/>
        <v>-1.6458851960969396</v>
      </c>
      <c r="G4275">
        <f t="shared" si="277"/>
        <v>-2.1284677053162047</v>
      </c>
      <c r="I4275">
        <f t="shared" si="278"/>
        <v>-1.8871764507065723</v>
      </c>
    </row>
    <row r="4276" spans="1:9">
      <c r="A4276" t="s">
        <v>16</v>
      </c>
      <c r="B4276" s="2">
        <f t="shared" si="275"/>
        <v>205</v>
      </c>
      <c r="C4276">
        <v>987</v>
      </c>
      <c r="D4276">
        <v>340</v>
      </c>
      <c r="E4276">
        <v>489</v>
      </c>
      <c r="F4276">
        <f t="shared" si="276"/>
        <v>-1.0735439352533536</v>
      </c>
      <c r="G4276">
        <f t="shared" si="277"/>
        <v>-0.93453920922957257</v>
      </c>
      <c r="I4276">
        <f t="shared" si="278"/>
        <v>-1.0040415722414631</v>
      </c>
    </row>
    <row r="4277" spans="1:9">
      <c r="A4277" t="s">
        <v>17</v>
      </c>
      <c r="B4277" s="2">
        <f t="shared" si="275"/>
        <v>205</v>
      </c>
      <c r="C4277">
        <v>1358</v>
      </c>
      <c r="D4277">
        <v>911</v>
      </c>
      <c r="E4277">
        <v>763</v>
      </c>
      <c r="F4277">
        <f t="shared" si="276"/>
        <v>-0.78408709259745657</v>
      </c>
      <c r="G4277">
        <f t="shared" si="277"/>
        <v>-0.87990614767315856</v>
      </c>
      <c r="I4277">
        <f t="shared" si="278"/>
        <v>-0.83199662013530751</v>
      </c>
    </row>
    <row r="4278" spans="1:9">
      <c r="A4278" t="s">
        <v>18</v>
      </c>
      <c r="B4278" s="2">
        <f t="shared" si="275"/>
        <v>205</v>
      </c>
      <c r="C4278">
        <v>337</v>
      </c>
      <c r="D4278">
        <v>483</v>
      </c>
      <c r="E4278">
        <v>326</v>
      </c>
      <c r="F4278">
        <f t="shared" si="276"/>
        <v>-0.45438846974579833</v>
      </c>
      <c r="G4278">
        <f t="shared" si="277"/>
        <v>-0.64394321648695574</v>
      </c>
      <c r="I4278">
        <f t="shared" si="278"/>
        <v>-0.54916584311637706</v>
      </c>
    </row>
    <row r="4279" spans="1:9">
      <c r="A4279" t="s">
        <v>19</v>
      </c>
      <c r="B4279" s="2">
        <f t="shared" si="275"/>
        <v>205</v>
      </c>
      <c r="C4279">
        <v>594</v>
      </c>
      <c r="D4279">
        <v>21</v>
      </c>
      <c r="E4279">
        <v>11</v>
      </c>
      <c r="F4279">
        <f t="shared" si="276"/>
        <v>-2.0622728498732461</v>
      </c>
      <c r="G4279">
        <f t="shared" si="277"/>
        <v>-2.3619246755065246</v>
      </c>
      <c r="I4279">
        <f t="shared" si="278"/>
        <v>-2.2120987626898856</v>
      </c>
    </row>
    <row r="4280" spans="1:9">
      <c r="A4280" t="s">
        <v>20</v>
      </c>
      <c r="B4280" s="2">
        <f t="shared" si="275"/>
        <v>205</v>
      </c>
      <c r="C4280">
        <v>590</v>
      </c>
      <c r="D4280">
        <v>19</v>
      </c>
      <c r="E4280">
        <v>10</v>
      </c>
      <c r="F4280">
        <f t="shared" si="276"/>
        <v>-2.102804110315287</v>
      </c>
      <c r="G4280">
        <f t="shared" si="277"/>
        <v>-2.4003829273257002</v>
      </c>
      <c r="I4280">
        <f t="shared" si="278"/>
        <v>-2.2515935188204939</v>
      </c>
    </row>
    <row r="4281" spans="1:9">
      <c r="A4281" t="s">
        <v>21</v>
      </c>
      <c r="B4281" s="2">
        <f t="shared" si="275"/>
        <v>205</v>
      </c>
      <c r="C4281">
        <v>648</v>
      </c>
      <c r="D4281">
        <v>120</v>
      </c>
      <c r="E4281">
        <v>26</v>
      </c>
      <c r="F4281">
        <f t="shared" si="276"/>
        <v>-1.3430994594489403</v>
      </c>
      <c r="G4281">
        <f t="shared" si="277"/>
        <v>-2.0261325735833315</v>
      </c>
      <c r="I4281">
        <f t="shared" si="278"/>
        <v>-1.6846160165161359</v>
      </c>
    </row>
    <row r="4282" spans="1:9">
      <c r="A4282" t="s">
        <v>22</v>
      </c>
      <c r="B4282" s="2">
        <f t="shared" si="275"/>
        <v>205</v>
      </c>
      <c r="C4282">
        <v>239</v>
      </c>
      <c r="D4282">
        <v>7</v>
      </c>
      <c r="E4282">
        <v>1</v>
      </c>
      <c r="F4282">
        <f t="shared" si="276"/>
        <v>-2.1440055605598527</v>
      </c>
      <c r="G4282">
        <f t="shared" si="277"/>
        <v>-3.0079288166316935</v>
      </c>
      <c r="I4282">
        <f t="shared" si="278"/>
        <v>-2.5759671885957731</v>
      </c>
    </row>
    <row r="4283" spans="1:9">
      <c r="A4283" t="s">
        <v>23</v>
      </c>
      <c r="B4283" s="2">
        <f t="shared" si="275"/>
        <v>205</v>
      </c>
      <c r="C4283">
        <v>174</v>
      </c>
      <c r="D4283">
        <v>22</v>
      </c>
      <c r="E4283">
        <v>11</v>
      </c>
      <c r="F4283">
        <f t="shared" si="276"/>
        <v>-1.5088322670863654</v>
      </c>
      <c r="G4283">
        <f t="shared" si="277"/>
        <v>-1.8286874788079306</v>
      </c>
      <c r="I4283">
        <f t="shared" si="278"/>
        <v>-1.668759872947148</v>
      </c>
    </row>
    <row r="4284" spans="1:9">
      <c r="A4284" t="s">
        <v>24</v>
      </c>
      <c r="B4284" s="2">
        <f t="shared" si="275"/>
        <v>205</v>
      </c>
      <c r="C4284">
        <v>767</v>
      </c>
      <c r="D4284">
        <v>3624</v>
      </c>
      <c r="E4284">
        <v>2248</v>
      </c>
      <c r="F4284">
        <f t="shared" si="276"/>
        <v>6.3687125429822689E-2</v>
      </c>
      <c r="G4284">
        <f t="shared" si="277"/>
        <v>-0.16252997273551362</v>
      </c>
      <c r="I4284">
        <f t="shared" si="278"/>
        <v>-4.9421423652845464E-2</v>
      </c>
    </row>
    <row r="4285" spans="1:9">
      <c r="A4285" t="s">
        <v>25</v>
      </c>
      <c r="B4285" s="2">
        <f t="shared" si="275"/>
        <v>205</v>
      </c>
      <c r="C4285">
        <v>355</v>
      </c>
      <c r="D4285">
        <v>24</v>
      </c>
      <c r="E4285">
        <v>374</v>
      </c>
      <c r="F4285">
        <f t="shared" si="276"/>
        <v>-1.7807228109694599</v>
      </c>
      <c r="G4285">
        <f t="shared" si="277"/>
        <v>-0.60688766653817006</v>
      </c>
      <c r="I4285">
        <f t="shared" si="278"/>
        <v>-1.1938052387538149</v>
      </c>
    </row>
    <row r="4286" spans="1:9">
      <c r="A4286" t="s">
        <v>7</v>
      </c>
      <c r="B4286" s="2">
        <f t="shared" si="275"/>
        <v>206</v>
      </c>
      <c r="C4286">
        <v>383</v>
      </c>
      <c r="D4286">
        <v>45</v>
      </c>
      <c r="E4286">
        <v>23</v>
      </c>
      <c r="F4286">
        <f t="shared" si="276"/>
        <v>-1.540691959819251</v>
      </c>
      <c r="G4286">
        <f t="shared" si="277"/>
        <v>-1.8510018536345858</v>
      </c>
      <c r="I4286">
        <f t="shared" si="278"/>
        <v>-1.6958469067269184</v>
      </c>
    </row>
    <row r="4287" spans="1:9">
      <c r="A4287" t="s">
        <v>8</v>
      </c>
      <c r="B4287" s="2">
        <f t="shared" si="275"/>
        <v>206</v>
      </c>
      <c r="C4287">
        <v>658</v>
      </c>
      <c r="D4287">
        <v>24</v>
      </c>
      <c r="E4287">
        <v>16</v>
      </c>
      <c r="F4287">
        <f t="shared" si="276"/>
        <v>-2.0487203515283214</v>
      </c>
      <c r="G4287">
        <f t="shared" si="277"/>
        <v>-2.2436368266415867</v>
      </c>
      <c r="I4287">
        <f t="shared" si="278"/>
        <v>-2.1461785890849541</v>
      </c>
    </row>
    <row r="4288" spans="1:9">
      <c r="A4288" t="s">
        <v>5</v>
      </c>
      <c r="B4288" s="2">
        <f t="shared" si="275"/>
        <v>206</v>
      </c>
      <c r="C4288">
        <v>42448</v>
      </c>
      <c r="D4288">
        <v>173206</v>
      </c>
      <c r="E4288">
        <v>180879</v>
      </c>
      <c r="F4288">
        <f t="shared" si="276"/>
        <v>0</v>
      </c>
      <c r="G4288">
        <f t="shared" si="277"/>
        <v>0</v>
      </c>
      <c r="I4288">
        <f t="shared" si="278"/>
        <v>0</v>
      </c>
    </row>
    <row r="4289" spans="1:9">
      <c r="A4289" t="s">
        <v>6</v>
      </c>
      <c r="B4289" s="2">
        <f t="shared" si="275"/>
        <v>206</v>
      </c>
      <c r="C4289">
        <v>526</v>
      </c>
      <c r="D4289">
        <v>20</v>
      </c>
      <c r="E4289">
        <v>29</v>
      </c>
      <c r="F4289">
        <f t="shared" si="276"/>
        <v>-2.0306614481157297</v>
      </c>
      <c r="G4289">
        <f t="shared" si="277"/>
        <v>-1.8881186619383392</v>
      </c>
      <c r="I4289">
        <f t="shared" si="278"/>
        <v>-1.9593900550270344</v>
      </c>
    </row>
    <row r="4290" spans="1:9">
      <c r="A4290" t="s">
        <v>10</v>
      </c>
      <c r="B4290" s="2">
        <f t="shared" si="275"/>
        <v>206</v>
      </c>
      <c r="C4290">
        <v>493</v>
      </c>
      <c r="D4290">
        <v>45</v>
      </c>
      <c r="E4290">
        <v>22</v>
      </c>
      <c r="F4290">
        <f t="shared" si="276"/>
        <v>-1.6503401051278581</v>
      </c>
      <c r="G4290">
        <f t="shared" si="277"/>
        <v>-1.97995515413858</v>
      </c>
      <c r="I4290">
        <f t="shared" si="278"/>
        <v>-1.815147629633219</v>
      </c>
    </row>
    <row r="4291" spans="1:9">
      <c r="A4291" t="s">
        <v>11</v>
      </c>
      <c r="B4291" s="2">
        <f t="shared" ref="B4291:B4354" si="279">1+INT((ROW()-2)/21)+1</f>
        <v>206</v>
      </c>
      <c r="C4291">
        <v>868</v>
      </c>
      <c r="D4291">
        <v>46</v>
      </c>
      <c r="E4291">
        <v>96</v>
      </c>
      <c r="F4291">
        <f t="shared" ref="F4291:F4354" si="280">LOG10(D4291/C4291)-LOG10(173206/42448)</f>
        <v>-1.8864675931208896</v>
      </c>
      <c r="G4291">
        <f t="shared" ref="G4291:G4354" si="281">LOG10(E4291/C4291)-LOG10(180879/42448)</f>
        <v>-1.5857794078204797</v>
      </c>
      <c r="I4291">
        <f t="shared" ref="I4291:I4354" si="282">AVERAGE(F4291:G4291)</f>
        <v>-1.7361235004706845</v>
      </c>
    </row>
    <row r="4292" spans="1:9">
      <c r="A4292" t="s">
        <v>12</v>
      </c>
      <c r="B4292" s="2">
        <f t="shared" si="279"/>
        <v>206</v>
      </c>
      <c r="C4292">
        <v>732</v>
      </c>
      <c r="D4292">
        <v>60</v>
      </c>
      <c r="E4292">
        <v>60</v>
      </c>
      <c r="F4292">
        <f t="shared" si="280"/>
        <v>-1.69706553030072</v>
      </c>
      <c r="G4292">
        <f t="shared" si="281"/>
        <v>-1.7158907463583044</v>
      </c>
      <c r="I4292">
        <f t="shared" si="282"/>
        <v>-1.7064781383295122</v>
      </c>
    </row>
    <row r="4293" spans="1:9">
      <c r="A4293" t="s">
        <v>9</v>
      </c>
      <c r="B4293" s="2">
        <f t="shared" si="279"/>
        <v>206</v>
      </c>
      <c r="C4293">
        <v>588</v>
      </c>
      <c r="D4293">
        <v>54</v>
      </c>
      <c r="E4293">
        <v>43</v>
      </c>
      <c r="F4293">
        <f t="shared" si="280"/>
        <v>-1.6476892658791418</v>
      </c>
      <c r="G4293">
        <f t="shared" si="281"/>
        <v>-1.7654397861801079</v>
      </c>
      <c r="I4293">
        <f t="shared" si="282"/>
        <v>-1.7065645260296249</v>
      </c>
    </row>
    <row r="4294" spans="1:9">
      <c r="A4294" t="s">
        <v>13</v>
      </c>
      <c r="B4294" s="2">
        <f t="shared" si="279"/>
        <v>206</v>
      </c>
      <c r="C4294">
        <v>347</v>
      </c>
      <c r="D4294">
        <v>113</v>
      </c>
      <c r="E4294">
        <v>567</v>
      </c>
      <c r="F4294">
        <f t="shared" si="280"/>
        <v>-1.0979567309334259</v>
      </c>
      <c r="G4294">
        <f t="shared" si="281"/>
        <v>-0.41627733158152325</v>
      </c>
      <c r="I4294">
        <f t="shared" si="282"/>
        <v>-0.75711703125747465</v>
      </c>
    </row>
    <row r="4295" spans="1:9">
      <c r="A4295" t="s">
        <v>14</v>
      </c>
      <c r="B4295" s="2">
        <f t="shared" si="279"/>
        <v>206</v>
      </c>
      <c r="C4295">
        <v>1636</v>
      </c>
      <c r="D4295">
        <v>315</v>
      </c>
      <c r="E4295">
        <v>188</v>
      </c>
      <c r="F4295">
        <f t="shared" si="280"/>
        <v>-1.3261784451716756</v>
      </c>
      <c r="G4295">
        <f t="shared" si="281"/>
        <v>-1.5691563657551804</v>
      </c>
      <c r="I4295">
        <f t="shared" si="282"/>
        <v>-1.447667405463428</v>
      </c>
    </row>
    <row r="4296" spans="1:9">
      <c r="A4296" t="s">
        <v>15</v>
      </c>
      <c r="B4296" s="2">
        <f t="shared" si="279"/>
        <v>206</v>
      </c>
      <c r="C4296">
        <v>594</v>
      </c>
      <c r="D4296">
        <v>7</v>
      </c>
      <c r="E4296">
        <v>15</v>
      </c>
      <c r="F4296">
        <f t="shared" si="280"/>
        <v>-2.5393941045929083</v>
      </c>
      <c r="G4296">
        <f t="shared" si="281"/>
        <v>-2.2272261016090686</v>
      </c>
      <c r="I4296">
        <f t="shared" si="282"/>
        <v>-2.3833101031009885</v>
      </c>
    </row>
    <row r="4297" spans="1:9">
      <c r="A4297" t="s">
        <v>16</v>
      </c>
      <c r="B4297" s="2">
        <f t="shared" si="279"/>
        <v>206</v>
      </c>
      <c r="C4297">
        <v>959</v>
      </c>
      <c r="D4297">
        <v>51</v>
      </c>
      <c r="E4297">
        <v>71</v>
      </c>
      <c r="F4297">
        <f t="shared" si="280"/>
        <v>-1.8849541306986992</v>
      </c>
      <c r="G4297">
        <f t="shared" si="281"/>
        <v>-1.7600911741351446</v>
      </c>
      <c r="I4297">
        <f t="shared" si="282"/>
        <v>-1.822522652416922</v>
      </c>
    </row>
    <row r="4298" spans="1:9">
      <c r="A4298" t="s">
        <v>17</v>
      </c>
      <c r="B4298" s="2">
        <f t="shared" si="279"/>
        <v>206</v>
      </c>
      <c r="C4298">
        <v>715</v>
      </c>
      <c r="D4298">
        <v>22</v>
      </c>
      <c r="E4298">
        <v>18</v>
      </c>
      <c r="F4298">
        <f t="shared" si="280"/>
        <v>-2.1225890606048461</v>
      </c>
      <c r="G4298">
        <f t="shared" si="281"/>
        <v>-2.2285644523813306</v>
      </c>
      <c r="I4298">
        <f t="shared" si="282"/>
        <v>-2.1755767564930881</v>
      </c>
    </row>
    <row r="4299" spans="1:9">
      <c r="A4299" t="s">
        <v>18</v>
      </c>
      <c r="B4299" s="2">
        <f t="shared" si="279"/>
        <v>206</v>
      </c>
      <c r="C4299">
        <v>644</v>
      </c>
      <c r="D4299">
        <v>225</v>
      </c>
      <c r="E4299">
        <v>147</v>
      </c>
      <c r="F4299">
        <f t="shared" si="280"/>
        <v>-1.0674090488744215</v>
      </c>
      <c r="G4299">
        <f t="shared" si="281"/>
        <v>-1.2710994482951921</v>
      </c>
      <c r="I4299">
        <f t="shared" si="282"/>
        <v>-1.1692542485848068</v>
      </c>
    </row>
    <row r="4300" spans="1:9">
      <c r="A4300" t="s">
        <v>19</v>
      </c>
      <c r="B4300" s="2">
        <f t="shared" si="279"/>
        <v>206</v>
      </c>
      <c r="C4300">
        <v>511</v>
      </c>
      <c r="D4300">
        <v>5</v>
      </c>
      <c r="E4300">
        <v>19</v>
      </c>
      <c r="F4300">
        <f t="shared" si="280"/>
        <v>-2.6201565954246657</v>
      </c>
      <c r="G4300">
        <f t="shared" si="281"/>
        <v>-2.05919821486544</v>
      </c>
      <c r="I4300">
        <f t="shared" si="282"/>
        <v>-2.3396774051450526</v>
      </c>
    </row>
    <row r="4301" spans="1:9">
      <c r="A4301" t="s">
        <v>20</v>
      </c>
      <c r="B4301" s="2">
        <f t="shared" si="279"/>
        <v>206</v>
      </c>
      <c r="C4301">
        <v>481</v>
      </c>
      <c r="D4301">
        <v>85</v>
      </c>
      <c r="E4301">
        <v>110</v>
      </c>
      <c r="F4301">
        <f t="shared" si="280"/>
        <v>-1.3634318502855107</v>
      </c>
      <c r="G4301">
        <f t="shared" si="281"/>
        <v>-1.2702833068991628</v>
      </c>
      <c r="I4301">
        <f t="shared" si="282"/>
        <v>-1.3168575785923369</v>
      </c>
    </row>
    <row r="4302" spans="1:9">
      <c r="A4302" t="s">
        <v>21</v>
      </c>
      <c r="B4302" s="2">
        <f t="shared" si="279"/>
        <v>206</v>
      </c>
      <c r="C4302">
        <v>503</v>
      </c>
      <c r="D4302">
        <v>25</v>
      </c>
      <c r="E4302">
        <v>19</v>
      </c>
      <c r="F4302">
        <f t="shared" si="280"/>
        <v>-1.9143336760098617</v>
      </c>
      <c r="G4302">
        <f t="shared" si="281"/>
        <v>-2.0523452997866545</v>
      </c>
      <c r="I4302">
        <f t="shared" si="282"/>
        <v>-1.9833394878982582</v>
      </c>
    </row>
    <row r="4303" spans="1:9">
      <c r="A4303" t="s">
        <v>22</v>
      </c>
      <c r="B4303" s="2">
        <f t="shared" si="279"/>
        <v>206</v>
      </c>
      <c r="C4303">
        <v>623</v>
      </c>
      <c r="D4303">
        <v>70</v>
      </c>
      <c r="E4303">
        <v>41</v>
      </c>
      <c r="F4303">
        <f t="shared" si="280"/>
        <v>-1.5600957062708847</v>
      </c>
      <c r="G4303">
        <f t="shared" si="281"/>
        <v>-1.8112351056229903</v>
      </c>
      <c r="I4303">
        <f t="shared" si="282"/>
        <v>-1.6856654059469376</v>
      </c>
    </row>
    <row r="4304" spans="1:9">
      <c r="A4304" t="s">
        <v>23</v>
      </c>
      <c r="B4304" s="2">
        <f t="shared" si="279"/>
        <v>206</v>
      </c>
      <c r="C4304">
        <v>887</v>
      </c>
      <c r="D4304">
        <v>831</v>
      </c>
      <c r="E4304">
        <v>470</v>
      </c>
      <c r="F4304">
        <f t="shared" si="280"/>
        <v>-0.63902829567358732</v>
      </c>
      <c r="G4304">
        <f t="shared" si="281"/>
        <v>-0.90535667757956495</v>
      </c>
      <c r="I4304">
        <f t="shared" si="282"/>
        <v>-0.77219248662657614</v>
      </c>
    </row>
    <row r="4305" spans="1:9">
      <c r="A4305" t="s">
        <v>24</v>
      </c>
      <c r="B4305" s="2">
        <f t="shared" si="279"/>
        <v>206</v>
      </c>
      <c r="C4305">
        <v>1148</v>
      </c>
      <c r="D4305">
        <v>72</v>
      </c>
      <c r="E4305">
        <v>46</v>
      </c>
      <c r="F4305">
        <f t="shared" si="280"/>
        <v>-1.8133150912566582</v>
      </c>
      <c r="G4305">
        <f t="shared" si="281"/>
        <v>-2.0267149720639366</v>
      </c>
      <c r="I4305">
        <f t="shared" si="282"/>
        <v>-1.9200150316602973</v>
      </c>
    </row>
    <row r="4306" spans="1:9">
      <c r="A4306" t="s">
        <v>25</v>
      </c>
      <c r="B4306" s="2">
        <f t="shared" si="279"/>
        <v>206</v>
      </c>
      <c r="C4306">
        <v>1604</v>
      </c>
      <c r="D4306">
        <v>20808</v>
      </c>
      <c r="E4306">
        <v>18614</v>
      </c>
      <c r="F4306">
        <f t="shared" si="280"/>
        <v>0.50232027561369974</v>
      </c>
      <c r="G4306">
        <f t="shared" si="281"/>
        <v>0.43510442994513865</v>
      </c>
      <c r="I4306">
        <f t="shared" si="282"/>
        <v>0.46871235277941919</v>
      </c>
    </row>
    <row r="4307" spans="1:9">
      <c r="A4307" t="s">
        <v>7</v>
      </c>
      <c r="B4307" s="2">
        <f t="shared" si="279"/>
        <v>207</v>
      </c>
      <c r="C4307">
        <v>777</v>
      </c>
      <c r="D4307">
        <v>79</v>
      </c>
      <c r="E4307">
        <v>34</v>
      </c>
      <c r="F4307">
        <f t="shared" si="280"/>
        <v>-1.6034996271364448</v>
      </c>
      <c r="G4307">
        <f t="shared" si="281"/>
        <v>-1.9884730174422152</v>
      </c>
      <c r="I4307">
        <f t="shared" si="282"/>
        <v>-1.79598632228933</v>
      </c>
    </row>
    <row r="4308" spans="1:9">
      <c r="A4308" t="s">
        <v>8</v>
      </c>
      <c r="B4308" s="2">
        <f t="shared" si="279"/>
        <v>207</v>
      </c>
      <c r="C4308">
        <v>828</v>
      </c>
      <c r="D4308">
        <v>41</v>
      </c>
      <c r="E4308">
        <v>30</v>
      </c>
      <c r="F4308">
        <f t="shared" si="280"/>
        <v>-1.9159521796911165</v>
      </c>
      <c r="G4308">
        <f t="shared" si="281"/>
        <v>-2.0704399977487737</v>
      </c>
      <c r="I4308">
        <f t="shared" si="282"/>
        <v>-1.9931960887199451</v>
      </c>
    </row>
    <row r="4309" spans="1:9">
      <c r="A4309" t="s">
        <v>5</v>
      </c>
      <c r="B4309" s="2">
        <f t="shared" si="279"/>
        <v>207</v>
      </c>
      <c r="C4309">
        <v>630</v>
      </c>
      <c r="D4309">
        <v>24</v>
      </c>
      <c r="E4309">
        <v>16</v>
      </c>
      <c r="F4309">
        <f t="shared" si="280"/>
        <v>-2.0298350073679474</v>
      </c>
      <c r="G4309">
        <f t="shared" si="281"/>
        <v>-2.2247514824812131</v>
      </c>
      <c r="I4309">
        <f t="shared" si="282"/>
        <v>-2.1272932449245801</v>
      </c>
    </row>
    <row r="4310" spans="1:9">
      <c r="A4310" t="s">
        <v>6</v>
      </c>
      <c r="B4310" s="2">
        <f t="shared" si="279"/>
        <v>207</v>
      </c>
      <c r="C4310">
        <v>641</v>
      </c>
      <c r="D4310">
        <v>191</v>
      </c>
      <c r="E4310">
        <v>57</v>
      </c>
      <c r="F4310">
        <f t="shared" si="280"/>
        <v>-1.1365303618970617</v>
      </c>
      <c r="G4310">
        <f t="shared" si="281"/>
        <v>-1.6805140895298822</v>
      </c>
      <c r="I4310">
        <f t="shared" si="282"/>
        <v>-1.408522225713472</v>
      </c>
    </row>
    <row r="4311" spans="1:9">
      <c r="A4311" t="s">
        <v>10</v>
      </c>
      <c r="B4311" s="2">
        <f t="shared" si="279"/>
        <v>207</v>
      </c>
      <c r="C4311">
        <v>650</v>
      </c>
      <c r="D4311">
        <v>32</v>
      </c>
      <c r="E4311">
        <v>30</v>
      </c>
      <c r="F4311">
        <f t="shared" si="280"/>
        <v>-1.9184690779489215</v>
      </c>
      <c r="G4311">
        <f t="shared" si="281"/>
        <v>-1.9653230176067491</v>
      </c>
      <c r="I4311">
        <f t="shared" si="282"/>
        <v>-1.9418960477778353</v>
      </c>
    </row>
    <row r="4312" spans="1:9">
      <c r="A4312" t="s">
        <v>11</v>
      </c>
      <c r="B4312" s="2">
        <f t="shared" si="279"/>
        <v>207</v>
      </c>
      <c r="C4312">
        <v>558</v>
      </c>
      <c r="D4312">
        <v>152</v>
      </c>
      <c r="E4312">
        <v>16</v>
      </c>
      <c r="F4312">
        <f t="shared" si="280"/>
        <v>-1.1754963106187781</v>
      </c>
      <c r="G4312">
        <f t="shared" si="281"/>
        <v>-2.1720451319652101</v>
      </c>
      <c r="I4312">
        <f t="shared" si="282"/>
        <v>-1.6737707212919941</v>
      </c>
    </row>
    <row r="4313" spans="1:9">
      <c r="A4313" t="s">
        <v>12</v>
      </c>
      <c r="B4313" s="2">
        <f t="shared" si="279"/>
        <v>207</v>
      </c>
      <c r="C4313">
        <v>838</v>
      </c>
      <c r="D4313">
        <v>23</v>
      </c>
      <c r="E4313">
        <v>11</v>
      </c>
      <c r="F4313">
        <f t="shared" si="280"/>
        <v>-2.1722218822386554</v>
      </c>
      <c r="G4313">
        <f t="shared" si="281"/>
        <v>-2.5113822491556075</v>
      </c>
      <c r="I4313">
        <f t="shared" si="282"/>
        <v>-2.3418020656971317</v>
      </c>
    </row>
    <row r="4314" spans="1:9">
      <c r="A4314" t="s">
        <v>9</v>
      </c>
      <c r="B4314" s="2">
        <f t="shared" si="279"/>
        <v>207</v>
      </c>
      <c r="C4314">
        <v>3096</v>
      </c>
      <c r="D4314">
        <v>1260</v>
      </c>
      <c r="E4314">
        <v>777</v>
      </c>
      <c r="F4314">
        <f t="shared" si="280"/>
        <v>-1.0011361065192639</v>
      </c>
      <c r="G4314">
        <f t="shared" si="281"/>
        <v>-1.2299108488934969</v>
      </c>
      <c r="I4314">
        <f t="shared" si="282"/>
        <v>-1.1155234777063803</v>
      </c>
    </row>
    <row r="4315" spans="1:9">
      <c r="A4315" t="s">
        <v>13</v>
      </c>
      <c r="B4315" s="2">
        <f t="shared" si="279"/>
        <v>207</v>
      </c>
      <c r="C4315">
        <v>9</v>
      </c>
      <c r="D4315">
        <v>91</v>
      </c>
      <c r="E4315">
        <v>81</v>
      </c>
      <c r="F4315">
        <f t="shared" si="280"/>
        <v>0.39409318325579679</v>
      </c>
      <c r="G4315">
        <f t="shared" si="281"/>
        <v>0.32471159375576875</v>
      </c>
      <c r="I4315">
        <f t="shared" si="282"/>
        <v>0.35940238850578277</v>
      </c>
    </row>
    <row r="4316" spans="1:9">
      <c r="A4316" t="s">
        <v>14</v>
      </c>
      <c r="B4316" s="2">
        <f t="shared" si="279"/>
        <v>207</v>
      </c>
      <c r="C4316">
        <v>518</v>
      </c>
      <c r="D4316">
        <v>7</v>
      </c>
      <c r="E4316">
        <v>18</v>
      </c>
      <c r="F4316">
        <f t="shared" si="280"/>
        <v>-2.4799374193569479</v>
      </c>
      <c r="G4316">
        <f t="shared" si="281"/>
        <v>-2.0885881703254832</v>
      </c>
      <c r="I4316">
        <f t="shared" si="282"/>
        <v>-2.2842627948412155</v>
      </c>
    </row>
    <row r="4317" spans="1:9">
      <c r="A4317" t="s">
        <v>15</v>
      </c>
      <c r="B4317" s="2">
        <f t="shared" si="279"/>
        <v>207</v>
      </c>
      <c r="C4317">
        <v>728</v>
      </c>
      <c r="D4317">
        <v>105</v>
      </c>
      <c r="E4317">
        <v>123</v>
      </c>
      <c r="F4317">
        <f t="shared" si="280"/>
        <v>-1.451647779869071</v>
      </c>
      <c r="G4317">
        <f t="shared" si="281"/>
        <v>-1.4017571835571954</v>
      </c>
      <c r="I4317">
        <f t="shared" si="282"/>
        <v>-1.4267024817131331</v>
      </c>
    </row>
    <row r="4318" spans="1:9">
      <c r="A4318" t="s">
        <v>16</v>
      </c>
      <c r="B4318" s="2">
        <f t="shared" si="279"/>
        <v>207</v>
      </c>
      <c r="C4318">
        <v>1121</v>
      </c>
      <c r="D4318">
        <v>232</v>
      </c>
      <c r="E4318">
        <v>167</v>
      </c>
      <c r="F4318">
        <f t="shared" si="280"/>
        <v>-1.2948233273300453</v>
      </c>
      <c r="G4318">
        <f t="shared" si="281"/>
        <v>-1.456420057130946</v>
      </c>
      <c r="I4318">
        <f t="shared" si="282"/>
        <v>-1.3756216922304958</v>
      </c>
    </row>
    <row r="4319" spans="1:9">
      <c r="A4319" t="s">
        <v>17</v>
      </c>
      <c r="B4319" s="2">
        <f t="shared" si="279"/>
        <v>207</v>
      </c>
      <c r="C4319">
        <v>500</v>
      </c>
      <c r="D4319">
        <v>4725</v>
      </c>
      <c r="E4319">
        <v>4030</v>
      </c>
      <c r="F4319">
        <f t="shared" si="280"/>
        <v>0.36472610888329104</v>
      </c>
      <c r="G4319">
        <f t="shared" si="281"/>
        <v>0.2768041261215346</v>
      </c>
      <c r="I4319">
        <f t="shared" si="282"/>
        <v>0.32076511750241282</v>
      </c>
    </row>
    <row r="4320" spans="1:9">
      <c r="A4320" t="s">
        <v>18</v>
      </c>
      <c r="B4320" s="2">
        <f t="shared" si="279"/>
        <v>207</v>
      </c>
      <c r="C4320">
        <v>430</v>
      </c>
      <c r="D4320">
        <v>6993</v>
      </c>
      <c r="E4320">
        <v>3857</v>
      </c>
      <c r="F4320">
        <f t="shared" si="280"/>
        <v>0.60048937303468075</v>
      </c>
      <c r="G4320">
        <f t="shared" si="281"/>
        <v>0.32325026760289921</v>
      </c>
      <c r="I4320">
        <f t="shared" si="282"/>
        <v>0.46186982031878998</v>
      </c>
    </row>
    <row r="4321" spans="1:9">
      <c r="A4321" t="s">
        <v>19</v>
      </c>
      <c r="B4321" s="2">
        <f t="shared" si="279"/>
        <v>207</v>
      </c>
      <c r="C4321">
        <v>545</v>
      </c>
      <c r="D4321">
        <v>11932</v>
      </c>
      <c r="E4321">
        <v>7635</v>
      </c>
      <c r="F4321">
        <f t="shared" si="280"/>
        <v>0.72961104278741074</v>
      </c>
      <c r="G4321">
        <f t="shared" si="281"/>
        <v>0.51688162343224142</v>
      </c>
      <c r="I4321">
        <f t="shared" si="282"/>
        <v>0.62324633310982613</v>
      </c>
    </row>
    <row r="4322" spans="1:9">
      <c r="A4322" t="s">
        <v>20</v>
      </c>
      <c r="B4322" s="2">
        <f t="shared" si="279"/>
        <v>207</v>
      </c>
      <c r="C4322">
        <v>209</v>
      </c>
      <c r="D4322">
        <v>3057</v>
      </c>
      <c r="E4322">
        <v>3294</v>
      </c>
      <c r="F4322">
        <f t="shared" si="280"/>
        <v>0.55444345298906295</v>
      </c>
      <c r="G4322">
        <f t="shared" si="281"/>
        <v>0.56804639303912541</v>
      </c>
      <c r="I4322">
        <f t="shared" si="282"/>
        <v>0.56124492301409412</v>
      </c>
    </row>
    <row r="4323" spans="1:9">
      <c r="A4323" t="s">
        <v>21</v>
      </c>
      <c r="B4323" s="2">
        <f t="shared" si="279"/>
        <v>207</v>
      </c>
      <c r="C4323">
        <v>362</v>
      </c>
      <c r="D4323">
        <v>7</v>
      </c>
      <c r="E4323">
        <v>12</v>
      </c>
      <c r="F4323">
        <f t="shared" si="280"/>
        <v>-2.3243162301448805</v>
      </c>
      <c r="G4323">
        <f t="shared" si="281"/>
        <v>-2.1090582401690972</v>
      </c>
      <c r="I4323">
        <f t="shared" si="282"/>
        <v>-2.2166872351569888</v>
      </c>
    </row>
    <row r="4324" spans="1:9">
      <c r="A4324" t="s">
        <v>22</v>
      </c>
      <c r="B4324" s="2">
        <f t="shared" si="279"/>
        <v>207</v>
      </c>
      <c r="C4324">
        <v>452</v>
      </c>
      <c r="D4324">
        <v>22</v>
      </c>
      <c r="E4324">
        <v>23</v>
      </c>
      <c r="F4324">
        <f t="shared" si="280"/>
        <v>-1.9234214536151477</v>
      </c>
      <c r="G4324">
        <f t="shared" si="281"/>
        <v>-1.9229415144773454</v>
      </c>
      <c r="I4324">
        <f t="shared" si="282"/>
        <v>-1.9231814840462467</v>
      </c>
    </row>
    <row r="4325" spans="1:9">
      <c r="A4325" t="s">
        <v>23</v>
      </c>
      <c r="B4325" s="2">
        <f t="shared" si="279"/>
        <v>207</v>
      </c>
      <c r="C4325">
        <v>237</v>
      </c>
      <c r="D4325">
        <v>10</v>
      </c>
      <c r="E4325">
        <v>1</v>
      </c>
      <c r="F4325">
        <f t="shared" si="280"/>
        <v>-1.9854540456360759</v>
      </c>
      <c r="G4325">
        <f t="shared" si="281"/>
        <v>-3.00427926169366</v>
      </c>
      <c r="I4325">
        <f t="shared" si="282"/>
        <v>-2.494866653664868</v>
      </c>
    </row>
    <row r="4326" spans="1:9">
      <c r="A4326" t="s">
        <v>24</v>
      </c>
      <c r="B4326" s="2">
        <f t="shared" si="279"/>
        <v>207</v>
      </c>
      <c r="C4326">
        <v>482</v>
      </c>
      <c r="D4326">
        <v>19</v>
      </c>
      <c r="E4326">
        <v>12</v>
      </c>
      <c r="F4326">
        <f t="shared" si="280"/>
        <v>-2.0149991369119924</v>
      </c>
      <c r="G4326">
        <f t="shared" si="281"/>
        <v>-2.233396707874781</v>
      </c>
      <c r="I4326">
        <f t="shared" si="282"/>
        <v>-2.1241979223933867</v>
      </c>
    </row>
    <row r="4327" spans="1:9">
      <c r="A4327" t="s">
        <v>25</v>
      </c>
      <c r="B4327" s="2">
        <f t="shared" si="279"/>
        <v>207</v>
      </c>
      <c r="C4327">
        <v>819</v>
      </c>
      <c r="D4327">
        <v>16</v>
      </c>
      <c r="E4327">
        <v>27</v>
      </c>
      <c r="F4327">
        <f t="shared" si="280"/>
        <v>-2.3198696187304657</v>
      </c>
      <c r="G4327">
        <f t="shared" si="281"/>
        <v>-2.1114510532849873</v>
      </c>
      <c r="I4327">
        <f t="shared" si="282"/>
        <v>-2.2156603360077263</v>
      </c>
    </row>
    <row r="4328" spans="1:9">
      <c r="A4328" t="s">
        <v>7</v>
      </c>
      <c r="B4328" s="2">
        <f t="shared" si="279"/>
        <v>208</v>
      </c>
      <c r="C4328">
        <v>508</v>
      </c>
      <c r="D4328">
        <v>53</v>
      </c>
      <c r="E4328">
        <v>26</v>
      </c>
      <c r="F4328">
        <f t="shared" si="280"/>
        <v>-1.5922935423091022</v>
      </c>
      <c r="G4328">
        <f t="shared" si="281"/>
        <v>-1.9204212799966576</v>
      </c>
      <c r="I4328">
        <f t="shared" si="282"/>
        <v>-1.7563574111528799</v>
      </c>
    </row>
    <row r="4329" spans="1:9">
      <c r="A4329" t="s">
        <v>8</v>
      </c>
      <c r="B4329" s="2">
        <f t="shared" si="279"/>
        <v>208</v>
      </c>
      <c r="C4329">
        <v>470</v>
      </c>
      <c r="D4329">
        <v>19</v>
      </c>
      <c r="E4329">
        <v>50</v>
      </c>
      <c r="F4329">
        <f t="shared" si="280"/>
        <v>-2.0040499566088603</v>
      </c>
      <c r="G4329">
        <f t="shared" si="281"/>
        <v>-1.6026587692832548</v>
      </c>
      <c r="I4329">
        <f t="shared" si="282"/>
        <v>-1.8033543629460576</v>
      </c>
    </row>
    <row r="4330" spans="1:9">
      <c r="A4330" t="s">
        <v>5</v>
      </c>
      <c r="B4330" s="2">
        <f t="shared" si="279"/>
        <v>208</v>
      </c>
      <c r="C4330">
        <v>535</v>
      </c>
      <c r="D4330">
        <v>34</v>
      </c>
      <c r="E4330">
        <v>12</v>
      </c>
      <c r="F4330">
        <f t="shared" si="280"/>
        <v>-1.8075805646049452</v>
      </c>
      <c r="G4330">
        <f t="shared" si="281"/>
        <v>-2.2787034516571598</v>
      </c>
      <c r="I4330">
        <f t="shared" si="282"/>
        <v>-2.0431420081310527</v>
      </c>
    </row>
    <row r="4331" spans="1:9">
      <c r="A4331" t="s">
        <v>6</v>
      </c>
      <c r="B4331" s="2">
        <f t="shared" si="279"/>
        <v>208</v>
      </c>
      <c r="C4331">
        <v>464</v>
      </c>
      <c r="D4331">
        <v>7</v>
      </c>
      <c r="E4331">
        <v>14</v>
      </c>
      <c r="F4331">
        <f t="shared" si="280"/>
        <v>-2.4321256401665958</v>
      </c>
      <c r="G4331">
        <f t="shared" si="281"/>
        <v>-2.1499208605601989</v>
      </c>
      <c r="I4331">
        <f t="shared" si="282"/>
        <v>-2.2910232503633976</v>
      </c>
    </row>
    <row r="4332" spans="1:9">
      <c r="A4332" t="s">
        <v>10</v>
      </c>
      <c r="B4332" s="2">
        <f t="shared" si="279"/>
        <v>208</v>
      </c>
      <c r="C4332">
        <v>408</v>
      </c>
      <c r="D4332">
        <v>19</v>
      </c>
      <c r="E4332">
        <v>16</v>
      </c>
      <c r="F4332">
        <f t="shared" si="280"/>
        <v>-1.9426122617630228</v>
      </c>
      <c r="G4332">
        <f t="shared" si="281"/>
        <v>-2.0360710961175115</v>
      </c>
      <c r="I4332">
        <f t="shared" si="282"/>
        <v>-1.9893416789402671</v>
      </c>
    </row>
    <row r="4333" spans="1:9">
      <c r="A4333" t="s">
        <v>11</v>
      </c>
      <c r="B4333" s="2">
        <f t="shared" si="279"/>
        <v>208</v>
      </c>
      <c r="C4333">
        <v>634</v>
      </c>
      <c r="D4333">
        <v>650</v>
      </c>
      <c r="E4333">
        <v>370</v>
      </c>
      <c r="F4333">
        <f t="shared" si="280"/>
        <v>-0.59988160086484899</v>
      </c>
      <c r="G4333">
        <f t="shared" si="281"/>
        <v>-0.86341844949829383</v>
      </c>
      <c r="I4333">
        <f t="shared" si="282"/>
        <v>-0.73165002518157141</v>
      </c>
    </row>
    <row r="4334" spans="1:9">
      <c r="A4334" t="s">
        <v>12</v>
      </c>
      <c r="B4334" s="2">
        <f t="shared" si="279"/>
        <v>208</v>
      </c>
      <c r="C4334">
        <v>336</v>
      </c>
      <c r="D4334">
        <v>46</v>
      </c>
      <c r="E4334">
        <v>38</v>
      </c>
      <c r="F4334">
        <f t="shared" si="280"/>
        <v>-1.4742871453342419</v>
      </c>
      <c r="G4334">
        <f t="shared" si="281"/>
        <v>-1.57608659645659</v>
      </c>
      <c r="I4334">
        <f t="shared" si="282"/>
        <v>-1.5251868708954159</v>
      </c>
    </row>
    <row r="4335" spans="1:9">
      <c r="A4335" t="s">
        <v>9</v>
      </c>
      <c r="B4335" s="2">
        <f t="shared" si="279"/>
        <v>208</v>
      </c>
      <c r="C4335">
        <v>590</v>
      </c>
      <c r="D4335">
        <v>92</v>
      </c>
      <c r="E4335">
        <v>19</v>
      </c>
      <c r="F4335">
        <f t="shared" si="280"/>
        <v>-1.4177698839225608</v>
      </c>
      <c r="G4335">
        <f t="shared" si="281"/>
        <v>-2.1216293263728714</v>
      </c>
      <c r="I4335">
        <f t="shared" si="282"/>
        <v>-1.7696996051477161</v>
      </c>
    </row>
    <row r="4336" spans="1:9">
      <c r="A4336" t="s">
        <v>13</v>
      </c>
      <c r="B4336" s="2">
        <f t="shared" si="279"/>
        <v>208</v>
      </c>
      <c r="C4336">
        <v>583</v>
      </c>
      <c r="D4336">
        <v>88</v>
      </c>
      <c r="E4336">
        <v>294</v>
      </c>
      <c r="F4336">
        <f t="shared" si="280"/>
        <v>-1.4318915822348175</v>
      </c>
      <c r="G4336">
        <f t="shared" si="281"/>
        <v>-0.92685214003041283</v>
      </c>
      <c r="I4336">
        <f t="shared" si="282"/>
        <v>-1.1793718611326152</v>
      </c>
    </row>
    <row r="4337" spans="1:9">
      <c r="A4337" t="s">
        <v>14</v>
      </c>
      <c r="B4337" s="2">
        <f t="shared" si="279"/>
        <v>208</v>
      </c>
      <c r="C4337">
        <v>1123</v>
      </c>
      <c r="D4337">
        <v>789</v>
      </c>
      <c r="E4337">
        <v>237</v>
      </c>
      <c r="F4337">
        <f t="shared" si="280"/>
        <v>-0.76400845267800932</v>
      </c>
      <c r="G4337">
        <f t="shared" si="281"/>
        <v>-1.3051623259349099</v>
      </c>
      <c r="I4337">
        <f t="shared" si="282"/>
        <v>-1.0345853893064596</v>
      </c>
    </row>
    <row r="4338" spans="1:9">
      <c r="A4338" t="s">
        <v>15</v>
      </c>
      <c r="B4338" s="2">
        <f t="shared" si="279"/>
        <v>208</v>
      </c>
      <c r="C4338">
        <v>592</v>
      </c>
      <c r="D4338">
        <v>82</v>
      </c>
      <c r="E4338">
        <v>22</v>
      </c>
      <c r="F4338">
        <f t="shared" si="280"/>
        <v>-1.4692135539651749</v>
      </c>
      <c r="G4338">
        <f t="shared" si="281"/>
        <v>-2.0594299415842698</v>
      </c>
      <c r="I4338">
        <f t="shared" si="282"/>
        <v>-1.7643217477747224</v>
      </c>
    </row>
    <row r="4339" spans="1:9">
      <c r="A4339" t="s">
        <v>16</v>
      </c>
      <c r="B4339" s="2">
        <f t="shared" si="279"/>
        <v>208</v>
      </c>
      <c r="C4339">
        <v>502</v>
      </c>
      <c r="D4339">
        <v>35</v>
      </c>
      <c r="E4339">
        <v>10</v>
      </c>
      <c r="F4339">
        <f t="shared" si="280"/>
        <v>-1.7673413724207157</v>
      </c>
      <c r="G4339">
        <f t="shared" si="281"/>
        <v>-2.3302346328285757</v>
      </c>
      <c r="I4339">
        <f t="shared" si="282"/>
        <v>-2.0487880026246454</v>
      </c>
    </row>
    <row r="4340" spans="1:9">
      <c r="A4340" t="s">
        <v>17</v>
      </c>
      <c r="B4340" s="2">
        <f t="shared" si="279"/>
        <v>208</v>
      </c>
      <c r="C4340">
        <v>721</v>
      </c>
      <c r="D4340">
        <v>5882</v>
      </c>
      <c r="E4340">
        <v>10017</v>
      </c>
      <c r="F4340">
        <f t="shared" si="280"/>
        <v>0.3008840558256497</v>
      </c>
      <c r="G4340">
        <f t="shared" si="281"/>
        <v>0.51327149337104794</v>
      </c>
      <c r="I4340">
        <f t="shared" si="282"/>
        <v>0.40707777459834882</v>
      </c>
    </row>
    <row r="4341" spans="1:9">
      <c r="A4341" t="s">
        <v>18</v>
      </c>
      <c r="B4341" s="2">
        <f t="shared" si="279"/>
        <v>208</v>
      </c>
      <c r="C4341">
        <v>705</v>
      </c>
      <c r="D4341">
        <v>52</v>
      </c>
      <c r="E4341">
        <v>43</v>
      </c>
      <c r="F4341">
        <f t="shared" si="280"/>
        <v>-1.7428914729825715</v>
      </c>
      <c r="G4341">
        <f t="shared" si="281"/>
        <v>-1.8442515770953682</v>
      </c>
      <c r="I4341">
        <f t="shared" si="282"/>
        <v>-1.7935715250389699</v>
      </c>
    </row>
    <row r="4342" spans="1:9">
      <c r="A4342" t="s">
        <v>19</v>
      </c>
      <c r="B4342" s="2">
        <f t="shared" si="279"/>
        <v>208</v>
      </c>
      <c r="C4342">
        <v>26</v>
      </c>
      <c r="D4342">
        <v>38</v>
      </c>
      <c r="E4342">
        <v>80</v>
      </c>
      <c r="F4342">
        <f t="shared" si="280"/>
        <v>-0.44589545097997973</v>
      </c>
      <c r="G4342">
        <f t="shared" si="281"/>
        <v>-0.1414142766624305</v>
      </c>
      <c r="I4342">
        <f t="shared" si="282"/>
        <v>-0.29365486382120509</v>
      </c>
    </row>
    <row r="4343" spans="1:9">
      <c r="A4343" t="s">
        <v>20</v>
      </c>
      <c r="B4343" s="2">
        <f t="shared" si="279"/>
        <v>208</v>
      </c>
      <c r="C4343">
        <v>441</v>
      </c>
      <c r="D4343">
        <v>7084</v>
      </c>
      <c r="E4343">
        <v>9427</v>
      </c>
      <c r="F4343">
        <f t="shared" si="280"/>
        <v>0.59513426342422671</v>
      </c>
      <c r="G4343">
        <f t="shared" si="281"/>
        <v>0.7004040019300285</v>
      </c>
      <c r="I4343">
        <f t="shared" si="282"/>
        <v>0.64776913267712755</v>
      </c>
    </row>
    <row r="4344" spans="1:9">
      <c r="A4344" t="s">
        <v>21</v>
      </c>
      <c r="B4344" s="2">
        <f t="shared" si="279"/>
        <v>208</v>
      </c>
      <c r="C4344">
        <v>970</v>
      </c>
      <c r="D4344">
        <v>19872</v>
      </c>
      <c r="E4344">
        <v>13166</v>
      </c>
      <c r="F4344">
        <f t="shared" si="280"/>
        <v>0.70076414460426939</v>
      </c>
      <c r="G4344">
        <f t="shared" si="281"/>
        <v>0.50315120080625897</v>
      </c>
      <c r="I4344">
        <f t="shared" si="282"/>
        <v>0.60195767270526424</v>
      </c>
    </row>
    <row r="4345" spans="1:9">
      <c r="A4345" t="s">
        <v>22</v>
      </c>
      <c r="B4345" s="2">
        <f t="shared" si="279"/>
        <v>208</v>
      </c>
      <c r="C4345">
        <v>677</v>
      </c>
      <c r="D4345">
        <v>193</v>
      </c>
      <c r="E4345">
        <v>171</v>
      </c>
      <c r="F4345">
        <f t="shared" si="280"/>
        <v>-1.1557370593033425</v>
      </c>
      <c r="G4345">
        <f t="shared" si="281"/>
        <v>-1.2271234739765466</v>
      </c>
      <c r="I4345">
        <f t="shared" si="282"/>
        <v>-1.1914302666399446</v>
      </c>
    </row>
    <row r="4346" spans="1:9">
      <c r="A4346" t="s">
        <v>23</v>
      </c>
      <c r="B4346" s="2">
        <f t="shared" si="279"/>
        <v>208</v>
      </c>
      <c r="C4346">
        <v>437</v>
      </c>
      <c r="D4346">
        <v>14</v>
      </c>
      <c r="E4346">
        <v>11</v>
      </c>
      <c r="F4346">
        <f t="shared" si="280"/>
        <v>-2.1050591009181554</v>
      </c>
      <c r="G4346">
        <f t="shared" si="281"/>
        <v>-2.228619667495753</v>
      </c>
      <c r="I4346">
        <f t="shared" si="282"/>
        <v>-2.1668393842069542</v>
      </c>
    </row>
    <row r="4347" spans="1:9">
      <c r="A4347" t="s">
        <v>24</v>
      </c>
      <c r="B4347" s="2">
        <f t="shared" si="279"/>
        <v>208</v>
      </c>
      <c r="C4347">
        <v>724</v>
      </c>
      <c r="D4347">
        <v>294</v>
      </c>
      <c r="E4347">
        <v>13</v>
      </c>
      <c r="F4347">
        <f t="shared" si="280"/>
        <v>-1.0020969354109615</v>
      </c>
      <c r="G4347">
        <f t="shared" si="281"/>
        <v>-2.3753261295738661</v>
      </c>
      <c r="I4347">
        <f t="shared" si="282"/>
        <v>-1.6887115324924138</v>
      </c>
    </row>
    <row r="4348" spans="1:9">
      <c r="A4348" t="s">
        <v>25</v>
      </c>
      <c r="B4348" s="2">
        <f t="shared" si="279"/>
        <v>208</v>
      </c>
      <c r="C4348">
        <v>887</v>
      </c>
      <c r="D4348">
        <v>88</v>
      </c>
      <c r="E4348">
        <v>53</v>
      </c>
      <c r="F4348">
        <f t="shared" si="280"/>
        <v>-1.6141466473075297</v>
      </c>
      <c r="G4348">
        <f t="shared" si="281"/>
        <v>-1.8531786659144935</v>
      </c>
      <c r="I4348">
        <f t="shared" si="282"/>
        <v>-1.7336626566110116</v>
      </c>
    </row>
    <row r="4349" spans="1:9">
      <c r="A4349" t="s">
        <v>7</v>
      </c>
      <c r="B4349" s="2">
        <f t="shared" si="279"/>
        <v>209</v>
      </c>
      <c r="C4349">
        <v>392</v>
      </c>
      <c r="D4349">
        <v>21</v>
      </c>
      <c r="E4349">
        <v>21</v>
      </c>
      <c r="F4349">
        <f t="shared" si="280"/>
        <v>-1.88177247191251</v>
      </c>
      <c r="G4349">
        <f t="shared" si="281"/>
        <v>-1.9005976879700941</v>
      </c>
      <c r="I4349">
        <f t="shared" si="282"/>
        <v>-1.8911850799413021</v>
      </c>
    </row>
    <row r="4350" spans="1:9">
      <c r="A4350" t="s">
        <v>8</v>
      </c>
      <c r="B4350" s="2">
        <f t="shared" si="279"/>
        <v>209</v>
      </c>
      <c r="C4350">
        <v>434</v>
      </c>
      <c r="D4350">
        <v>27</v>
      </c>
      <c r="E4350">
        <v>31</v>
      </c>
      <c r="F4350">
        <f t="shared" si="280"/>
        <v>-1.8168316649794953</v>
      </c>
      <c r="G4350">
        <f t="shared" si="281"/>
        <v>-1.7756589513617942</v>
      </c>
      <c r="I4350">
        <f t="shared" si="282"/>
        <v>-1.7962453081706449</v>
      </c>
    </row>
    <row r="4351" spans="1:9">
      <c r="A4351" t="s">
        <v>5</v>
      </c>
      <c r="B4351" s="2">
        <f t="shared" si="279"/>
        <v>209</v>
      </c>
      <c r="C4351">
        <v>171</v>
      </c>
      <c r="D4351">
        <v>23</v>
      </c>
      <c r="E4351">
        <v>30</v>
      </c>
      <c r="F4351">
        <f t="shared" si="280"/>
        <v>-1.4819739740005329</v>
      </c>
      <c r="G4351">
        <f t="shared" si="281"/>
        <v>-1.3854057713560475</v>
      </c>
      <c r="I4351">
        <f t="shared" si="282"/>
        <v>-1.4336898726782903</v>
      </c>
    </row>
    <row r="4352" spans="1:9">
      <c r="A4352" t="s">
        <v>6</v>
      </c>
      <c r="B4352" s="2">
        <f t="shared" si="279"/>
        <v>209</v>
      </c>
      <c r="C4352">
        <v>384</v>
      </c>
      <c r="D4352">
        <v>56</v>
      </c>
      <c r="E4352">
        <v>88</v>
      </c>
      <c r="F4352">
        <f t="shared" si="280"/>
        <v>-1.4468488969873023</v>
      </c>
      <c r="G4352">
        <f t="shared" si="281"/>
        <v>-1.2693794679009183</v>
      </c>
      <c r="I4352">
        <f t="shared" si="282"/>
        <v>-1.3581141824441103</v>
      </c>
    </row>
    <row r="4353" spans="1:9">
      <c r="A4353" t="s">
        <v>10</v>
      </c>
      <c r="B4353" s="2">
        <f t="shared" si="279"/>
        <v>209</v>
      </c>
      <c r="C4353">
        <v>215</v>
      </c>
      <c r="D4353">
        <v>32</v>
      </c>
      <c r="E4353">
        <v>9</v>
      </c>
      <c r="F4353">
        <f t="shared" si="280"/>
        <v>-1.4379941812216712</v>
      </c>
      <c r="G4353">
        <f t="shared" si="281"/>
        <v>-2.0077268661598366</v>
      </c>
      <c r="I4353">
        <f t="shared" si="282"/>
        <v>-1.7228605236907539</v>
      </c>
    </row>
    <row r="4354" spans="1:9">
      <c r="A4354" t="s">
        <v>11</v>
      </c>
      <c r="B4354" s="2">
        <f t="shared" si="279"/>
        <v>209</v>
      </c>
      <c r="C4354">
        <v>1301</v>
      </c>
      <c r="D4354">
        <v>241</v>
      </c>
      <c r="E4354">
        <v>82</v>
      </c>
      <c r="F4354">
        <f t="shared" si="280"/>
        <v>-1.3429659536126897</v>
      </c>
      <c r="G4354">
        <f t="shared" si="281"/>
        <v>-1.8299943598614257</v>
      </c>
      <c r="I4354">
        <f t="shared" si="282"/>
        <v>-1.5864801567370577</v>
      </c>
    </row>
    <row r="4355" spans="1:9">
      <c r="A4355" t="s">
        <v>12</v>
      </c>
      <c r="B4355" s="2">
        <f t="shared" ref="B4355:B4418" si="283">1+INT((ROW()-2)/21)+1</f>
        <v>209</v>
      </c>
      <c r="C4355">
        <v>194</v>
      </c>
      <c r="D4355">
        <v>3985</v>
      </c>
      <c r="E4355">
        <v>3607</v>
      </c>
      <c r="F4355">
        <f t="shared" ref="F4355:F4418" si="284">LOG10(D4355/C4355)-LOG10(173206/42448)</f>
        <v>0.70192089617593312</v>
      </c>
      <c r="G4355">
        <f t="shared" ref="G4355:G4418" si="285">LOG10(E4355/C4355)-LOG10(180879/42448)</f>
        <v>0.63981349670458088</v>
      </c>
      <c r="I4355">
        <f t="shared" ref="I4355:I4418" si="286">AVERAGE(F4355:G4355)</f>
        <v>0.67086719644025705</v>
      </c>
    </row>
    <row r="4356" spans="1:9">
      <c r="A4356" t="s">
        <v>9</v>
      </c>
      <c r="B4356" s="2">
        <f t="shared" si="283"/>
        <v>209</v>
      </c>
      <c r="C4356">
        <v>42448</v>
      </c>
      <c r="D4356">
        <v>173206</v>
      </c>
      <c r="E4356">
        <v>180879</v>
      </c>
      <c r="F4356">
        <f t="shared" si="284"/>
        <v>0</v>
      </c>
      <c r="G4356">
        <f t="shared" si="285"/>
        <v>0</v>
      </c>
      <c r="I4356">
        <f t="shared" si="286"/>
        <v>0</v>
      </c>
    </row>
    <row r="4357" spans="1:9">
      <c r="A4357" t="s">
        <v>13</v>
      </c>
      <c r="B4357" s="2">
        <f t="shared" si="283"/>
        <v>209</v>
      </c>
      <c r="C4357">
        <v>473</v>
      </c>
      <c r="D4357">
        <v>22</v>
      </c>
      <c r="E4357">
        <v>29</v>
      </c>
      <c r="F4357">
        <f t="shared" si="284"/>
        <v>-1.9431441595415773</v>
      </c>
      <c r="G4357">
        <f t="shared" si="285"/>
        <v>-1.8419940585224115</v>
      </c>
      <c r="I4357">
        <f t="shared" si="286"/>
        <v>-1.8925691090319945</v>
      </c>
    </row>
    <row r="4358" spans="1:9">
      <c r="A4358" t="s">
        <v>14</v>
      </c>
      <c r="B4358" s="2">
        <f t="shared" si="283"/>
        <v>209</v>
      </c>
      <c r="C4358">
        <v>369</v>
      </c>
      <c r="D4358">
        <v>4032</v>
      </c>
      <c r="E4358">
        <v>1821</v>
      </c>
      <c r="F4358">
        <f t="shared" si="284"/>
        <v>0.42778845765243667</v>
      </c>
      <c r="G4358">
        <f t="shared" si="285"/>
        <v>6.3752663952303501E-2</v>
      </c>
      <c r="I4358">
        <f t="shared" si="286"/>
        <v>0.24577056080237009</v>
      </c>
    </row>
    <row r="4359" spans="1:9">
      <c r="A4359" t="s">
        <v>15</v>
      </c>
      <c r="B4359" s="2">
        <f t="shared" si="283"/>
        <v>209</v>
      </c>
      <c r="C4359">
        <v>505</v>
      </c>
      <c r="D4359">
        <v>1660</v>
      </c>
      <c r="E4359">
        <v>1468</v>
      </c>
      <c r="F4359">
        <f t="shared" si="284"/>
        <v>-9.3888989704578152E-2</v>
      </c>
      <c r="G4359">
        <f t="shared" si="285"/>
        <v>-0.16609623822216579</v>
      </c>
      <c r="I4359">
        <f t="shared" si="286"/>
        <v>-0.12999261396337197</v>
      </c>
    </row>
    <row r="4360" spans="1:9">
      <c r="A4360" t="s">
        <v>16</v>
      </c>
      <c r="B4360" s="2">
        <f t="shared" si="283"/>
        <v>209</v>
      </c>
      <c r="C4360">
        <v>190</v>
      </c>
      <c r="D4360">
        <v>457</v>
      </c>
      <c r="E4360">
        <v>489</v>
      </c>
      <c r="F4360">
        <f t="shared" si="284"/>
        <v>-0.2295431005089506</v>
      </c>
      <c r="G4360">
        <f t="shared" si="285"/>
        <v>-0.21897565751276488</v>
      </c>
      <c r="I4360">
        <f t="shared" si="286"/>
        <v>-0.22425937901085774</v>
      </c>
    </row>
    <row r="4361" spans="1:9">
      <c r="A4361" t="s">
        <v>17</v>
      </c>
      <c r="B4361" s="2">
        <f t="shared" si="283"/>
        <v>209</v>
      </c>
      <c r="C4361">
        <v>916</v>
      </c>
      <c r="D4361">
        <v>4345</v>
      </c>
      <c r="E4361">
        <v>4740</v>
      </c>
      <c r="F4361">
        <f t="shared" si="284"/>
        <v>6.538860749086306E-2</v>
      </c>
      <c r="G4361">
        <f t="shared" si="285"/>
        <v>8.4351952322678558E-2</v>
      </c>
      <c r="I4361">
        <f t="shared" si="286"/>
        <v>7.4870279906770809E-2</v>
      </c>
    </row>
    <row r="4362" spans="1:9">
      <c r="A4362" t="s">
        <v>18</v>
      </c>
      <c r="B4362" s="2">
        <f t="shared" si="283"/>
        <v>209</v>
      </c>
      <c r="C4362">
        <v>364</v>
      </c>
      <c r="D4362">
        <v>120</v>
      </c>
      <c r="E4362">
        <v>127</v>
      </c>
      <c r="F4362">
        <f t="shared" si="284"/>
        <v>-1.0926258372274029</v>
      </c>
      <c r="G4362">
        <f t="shared" si="285"/>
        <v>-1.0868285783766551</v>
      </c>
      <c r="I4362">
        <f t="shared" si="286"/>
        <v>-1.089727207802029</v>
      </c>
    </row>
    <row r="4363" spans="1:9">
      <c r="A4363" t="s">
        <v>19</v>
      </c>
      <c r="B4363" s="2">
        <f t="shared" si="283"/>
        <v>209</v>
      </c>
      <c r="C4363">
        <v>237</v>
      </c>
      <c r="D4363">
        <v>519</v>
      </c>
      <c r="E4363">
        <v>602</v>
      </c>
      <c r="F4363">
        <f t="shared" si="284"/>
        <v>-0.27028668778761789</v>
      </c>
      <c r="G4363">
        <f t="shared" si="285"/>
        <v>-0.2246827704358354</v>
      </c>
      <c r="I4363">
        <f t="shared" si="286"/>
        <v>-0.24748472911172664</v>
      </c>
    </row>
    <row r="4364" spans="1:9">
      <c r="A4364" t="s">
        <v>20</v>
      </c>
      <c r="B4364" s="2">
        <f t="shared" si="283"/>
        <v>209</v>
      </c>
      <c r="C4364">
        <v>381</v>
      </c>
      <c r="D4364">
        <v>2230</v>
      </c>
      <c r="E4364">
        <v>2687</v>
      </c>
      <c r="F4364">
        <f t="shared" si="284"/>
        <v>0.15667418774656949</v>
      </c>
      <c r="G4364">
        <f t="shared" si="285"/>
        <v>0.21881177507399296</v>
      </c>
      <c r="I4364">
        <f t="shared" si="286"/>
        <v>0.18774298141028123</v>
      </c>
    </row>
    <row r="4365" spans="1:9">
      <c r="A4365" t="s">
        <v>21</v>
      </c>
      <c r="B4365" s="2">
        <f t="shared" si="283"/>
        <v>209</v>
      </c>
      <c r="C4365">
        <v>578</v>
      </c>
      <c r="D4365">
        <v>8826</v>
      </c>
      <c r="E4365">
        <v>5388</v>
      </c>
      <c r="F4365">
        <f t="shared" si="284"/>
        <v>0.57313038506467273</v>
      </c>
      <c r="G4365">
        <f t="shared" si="285"/>
        <v>0.33996883294686275</v>
      </c>
      <c r="I4365">
        <f t="shared" si="286"/>
        <v>0.45654960900576774</v>
      </c>
    </row>
    <row r="4366" spans="1:9">
      <c r="A4366" t="s">
        <v>22</v>
      </c>
      <c r="B4366" s="2">
        <f t="shared" si="283"/>
        <v>209</v>
      </c>
      <c r="C4366">
        <v>263</v>
      </c>
      <c r="D4366">
        <v>46</v>
      </c>
      <c r="E4366">
        <v>47</v>
      </c>
      <c r="F4366">
        <f t="shared" si="284"/>
        <v>-1.3679036164341558</v>
      </c>
      <c r="G4366">
        <f t="shared" si="285"/>
        <v>-1.3773888062375965</v>
      </c>
      <c r="I4366">
        <f t="shared" si="286"/>
        <v>-1.3726462113358762</v>
      </c>
    </row>
    <row r="4367" spans="1:9">
      <c r="A4367" t="s">
        <v>23</v>
      </c>
      <c r="B4367" s="2">
        <f t="shared" si="283"/>
        <v>209</v>
      </c>
      <c r="C4367">
        <v>355</v>
      </c>
      <c r="D4367">
        <v>27</v>
      </c>
      <c r="E4367">
        <v>8</v>
      </c>
      <c r="F4367">
        <f t="shared" si="284"/>
        <v>-1.7295702885220787</v>
      </c>
      <c r="G4367">
        <f t="shared" si="285"/>
        <v>-2.2766692817467065</v>
      </c>
      <c r="I4367">
        <f t="shared" si="286"/>
        <v>-2.0031197851343925</v>
      </c>
    </row>
    <row r="4368" spans="1:9">
      <c r="A4368" t="s">
        <v>24</v>
      </c>
      <c r="B4368" s="2">
        <f t="shared" si="283"/>
        <v>209</v>
      </c>
      <c r="C4368">
        <v>876</v>
      </c>
      <c r="D4368">
        <v>36</v>
      </c>
      <c r="E4368">
        <v>24</v>
      </c>
      <c r="F4368">
        <f t="shared" si="284"/>
        <v>-1.9969073050267654</v>
      </c>
      <c r="G4368">
        <f t="shared" si="285"/>
        <v>-2.1918237801400307</v>
      </c>
      <c r="I4368">
        <f t="shared" si="286"/>
        <v>-2.094365542583398</v>
      </c>
    </row>
    <row r="4369" spans="1:9">
      <c r="A4369" t="s">
        <v>25</v>
      </c>
      <c r="B4369" s="2">
        <f t="shared" si="283"/>
        <v>209</v>
      </c>
      <c r="C4369">
        <v>534</v>
      </c>
      <c r="D4369">
        <v>6</v>
      </c>
      <c r="E4369">
        <v>13</v>
      </c>
      <c r="F4369">
        <f t="shared" si="284"/>
        <v>-2.5600957062708849</v>
      </c>
      <c r="G4369">
        <f t="shared" si="285"/>
        <v>-2.2431288204052757</v>
      </c>
      <c r="I4369">
        <f t="shared" si="286"/>
        <v>-2.4016122633380803</v>
      </c>
    </row>
    <row r="4370" spans="1:9">
      <c r="A4370" t="s">
        <v>7</v>
      </c>
      <c r="B4370" s="2">
        <f t="shared" si="283"/>
        <v>210</v>
      </c>
      <c r="C4370">
        <v>6</v>
      </c>
      <c r="D4370">
        <v>22</v>
      </c>
      <c r="E4370">
        <v>51</v>
      </c>
      <c r="F4370">
        <f t="shared" si="284"/>
        <v>-4.6434269187409338E-2</v>
      </c>
      <c r="G4370">
        <f t="shared" si="285"/>
        <v>0.29988801003073662</v>
      </c>
      <c r="I4370">
        <f t="shared" si="286"/>
        <v>0.12672687042166364</v>
      </c>
    </row>
    <row r="4371" spans="1:9">
      <c r="A4371" t="s">
        <v>8</v>
      </c>
      <c r="B4371" s="2">
        <f t="shared" si="283"/>
        <v>210</v>
      </c>
      <c r="C4371">
        <v>331</v>
      </c>
      <c r="D4371">
        <v>214</v>
      </c>
      <c r="E4371">
        <v>104</v>
      </c>
      <c r="F4371">
        <f t="shared" si="284"/>
        <v>-0.80011992005249977</v>
      </c>
      <c r="G4371">
        <f t="shared" si="285"/>
        <v>-1.1323255701604946</v>
      </c>
      <c r="I4371">
        <f t="shared" si="286"/>
        <v>-0.96622274510649719</v>
      </c>
    </row>
    <row r="4372" spans="1:9">
      <c r="A4372" t="s">
        <v>5</v>
      </c>
      <c r="B4372" s="2">
        <f t="shared" si="283"/>
        <v>210</v>
      </c>
      <c r="C4372">
        <v>390</v>
      </c>
      <c r="D4372">
        <v>21</v>
      </c>
      <c r="E4372">
        <v>12</v>
      </c>
      <c r="F4372">
        <f t="shared" si="284"/>
        <v>-1.8795510119185519</v>
      </c>
      <c r="G4372">
        <f t="shared" si="285"/>
        <v>-2.1414142766624304</v>
      </c>
      <c r="I4372">
        <f t="shared" si="286"/>
        <v>-2.0104826442904913</v>
      </c>
    </row>
    <row r="4373" spans="1:9">
      <c r="A4373" t="s">
        <v>6</v>
      </c>
      <c r="B4373" s="2">
        <f t="shared" si="283"/>
        <v>210</v>
      </c>
      <c r="C4373">
        <v>75</v>
      </c>
      <c r="D4373">
        <v>1</v>
      </c>
      <c r="E4373">
        <v>3</v>
      </c>
      <c r="F4373">
        <f t="shared" si="284"/>
        <v>-2.4857669630176717</v>
      </c>
      <c r="G4373">
        <f t="shared" si="285"/>
        <v>-2.0274709243555935</v>
      </c>
      <c r="I4373">
        <f t="shared" si="286"/>
        <v>-2.2566189436866324</v>
      </c>
    </row>
    <row r="4374" spans="1:9">
      <c r="A4374" t="s">
        <v>10</v>
      </c>
      <c r="B4374" s="2">
        <f t="shared" si="283"/>
        <v>210</v>
      </c>
      <c r="C4374">
        <v>239</v>
      </c>
      <c r="D4374">
        <v>772</v>
      </c>
      <c r="E4374">
        <v>269</v>
      </c>
      <c r="F4374">
        <f t="shared" si="284"/>
        <v>-0.10148630023837335</v>
      </c>
      <c r="G4374">
        <f t="shared" si="285"/>
        <v>-0.57817653662928581</v>
      </c>
      <c r="I4374">
        <f t="shared" si="286"/>
        <v>-0.33983141843382958</v>
      </c>
    </row>
    <row r="4375" spans="1:9">
      <c r="A4375" t="s">
        <v>11</v>
      </c>
      <c r="B4375" s="2">
        <f t="shared" si="283"/>
        <v>210</v>
      </c>
      <c r="C4375">
        <v>335</v>
      </c>
      <c r="D4375">
        <v>33</v>
      </c>
      <c r="E4375">
        <v>23</v>
      </c>
      <c r="F4375">
        <f t="shared" si="284"/>
        <v>-1.6172365667849296</v>
      </c>
      <c r="G4375">
        <f t="shared" si="285"/>
        <v>-1.7928478867028086</v>
      </c>
      <c r="I4375">
        <f t="shared" si="286"/>
        <v>-1.7050422267438692</v>
      </c>
    </row>
    <row r="4376" spans="1:9">
      <c r="A4376" t="s">
        <v>12</v>
      </c>
      <c r="B4376" s="2">
        <f t="shared" si="283"/>
        <v>210</v>
      </c>
      <c r="C4376">
        <v>625</v>
      </c>
      <c r="D4376">
        <v>339</v>
      </c>
      <c r="E4376">
        <v>302</v>
      </c>
      <c r="F4376">
        <f t="shared" si="284"/>
        <v>-0.87638601876696498</v>
      </c>
      <c r="G4376">
        <f t="shared" si="285"/>
        <v>-0.9454039900704807</v>
      </c>
      <c r="I4376">
        <f t="shared" si="286"/>
        <v>-0.91089500441872284</v>
      </c>
    </row>
    <row r="4377" spans="1:9">
      <c r="A4377" t="s">
        <v>9</v>
      </c>
      <c r="B4377" s="2">
        <f t="shared" si="283"/>
        <v>210</v>
      </c>
      <c r="C4377">
        <v>327</v>
      </c>
      <c r="D4377">
        <v>26</v>
      </c>
      <c r="E4377">
        <v>12</v>
      </c>
      <c r="F4377">
        <f t="shared" si="284"/>
        <v>-1.7102801043154401</v>
      </c>
      <c r="G4377">
        <f t="shared" si="285"/>
        <v>-2.0648974222962173</v>
      </c>
      <c r="I4377">
        <f t="shared" si="286"/>
        <v>-1.8875887633058288</v>
      </c>
    </row>
    <row r="4378" spans="1:9">
      <c r="A4378" t="s">
        <v>13</v>
      </c>
      <c r="B4378" s="2">
        <f t="shared" si="283"/>
        <v>210</v>
      </c>
      <c r="C4378">
        <v>176</v>
      </c>
      <c r="D4378">
        <v>150</v>
      </c>
      <c r="E4378">
        <v>67</v>
      </c>
      <c r="F4378">
        <f t="shared" si="284"/>
        <v>-0.68012710838444046</v>
      </c>
      <c r="G4378">
        <f t="shared" si="285"/>
        <v>-1.0489687807968795</v>
      </c>
      <c r="I4378">
        <f t="shared" si="286"/>
        <v>-0.86454794459065998</v>
      </c>
    </row>
    <row r="4379" spans="1:9">
      <c r="A4379" t="s">
        <v>14</v>
      </c>
      <c r="B4379" s="2">
        <f t="shared" si="283"/>
        <v>210</v>
      </c>
      <c r="C4379">
        <v>186</v>
      </c>
      <c r="D4379">
        <v>221</v>
      </c>
      <c r="E4379">
        <v>114</v>
      </c>
      <c r="F4379">
        <f t="shared" si="284"/>
        <v>-0.53582637015877743</v>
      </c>
      <c r="G4379">
        <f t="shared" si="285"/>
        <v>-0.84213900856499979</v>
      </c>
      <c r="I4379">
        <f t="shared" si="286"/>
        <v>-0.68898268936188867</v>
      </c>
    </row>
    <row r="4380" spans="1:9">
      <c r="A4380" t="s">
        <v>15</v>
      </c>
      <c r="B4380" s="2">
        <f t="shared" si="283"/>
        <v>210</v>
      </c>
      <c r="C4380">
        <v>134</v>
      </c>
      <c r="D4380">
        <v>2</v>
      </c>
      <c r="E4380">
        <v>0</v>
      </c>
      <c r="F4380">
        <f t="shared" si="284"/>
        <v>-2.4367805023267985</v>
      </c>
      <c r="G4380" t="e">
        <f t="shared" si="285"/>
        <v>#NUM!</v>
      </c>
      <c r="I4380" t="e">
        <f t="shared" si="286"/>
        <v>#NUM!</v>
      </c>
    </row>
    <row r="4381" spans="1:9">
      <c r="A4381" t="s">
        <v>16</v>
      </c>
      <c r="B4381" s="2">
        <f t="shared" si="283"/>
        <v>210</v>
      </c>
      <c r="C4381">
        <v>285</v>
      </c>
      <c r="D4381">
        <v>228</v>
      </c>
      <c r="E4381">
        <v>68</v>
      </c>
      <c r="F4381">
        <f t="shared" si="284"/>
        <v>-0.70761571263402823</v>
      </c>
      <c r="G4381">
        <f t="shared" si="285"/>
        <v>-1.2518668629858301</v>
      </c>
      <c r="I4381">
        <f t="shared" si="286"/>
        <v>-0.9797412878099292</v>
      </c>
    </row>
    <row r="4382" spans="1:9">
      <c r="A4382" t="s">
        <v>17</v>
      </c>
      <c r="B4382" s="2">
        <f t="shared" si="283"/>
        <v>210</v>
      </c>
      <c r="C4382">
        <v>216</v>
      </c>
      <c r="D4382">
        <v>107</v>
      </c>
      <c r="E4382">
        <v>33</v>
      </c>
      <c r="F4382">
        <f t="shared" si="284"/>
        <v>-0.91577567309169317</v>
      </c>
      <c r="G4382">
        <f t="shared" si="285"/>
        <v>-1.4454707269565996</v>
      </c>
      <c r="I4382">
        <f t="shared" si="286"/>
        <v>-1.1806232000241463</v>
      </c>
    </row>
    <row r="4383" spans="1:9">
      <c r="A4383" t="s">
        <v>18</v>
      </c>
      <c r="B4383" s="2">
        <f t="shared" si="283"/>
        <v>210</v>
      </c>
      <c r="C4383">
        <v>228</v>
      </c>
      <c r="D4383">
        <v>20</v>
      </c>
      <c r="E4383">
        <v>5</v>
      </c>
      <c r="F4383">
        <f t="shared" si="284"/>
        <v>-1.6676105509624446</v>
      </c>
      <c r="G4383">
        <f t="shared" si="285"/>
        <v>-2.2884957583479912</v>
      </c>
      <c r="I4383">
        <f t="shared" si="286"/>
        <v>-1.978053154655218</v>
      </c>
    </row>
    <row r="4384" spans="1:9">
      <c r="A4384" t="s">
        <v>19</v>
      </c>
      <c r="B4384" s="2">
        <f t="shared" si="283"/>
        <v>210</v>
      </c>
      <c r="C4384">
        <v>562</v>
      </c>
      <c r="D4384">
        <v>93</v>
      </c>
      <c r="E4384">
        <v>59</v>
      </c>
      <c r="F4384">
        <f t="shared" si="284"/>
        <v>-1.3919590666410979</v>
      </c>
      <c r="G4384">
        <f t="shared" si="285"/>
        <v>-1.6084152196104731</v>
      </c>
      <c r="I4384">
        <f t="shared" si="286"/>
        <v>-1.5001871431257854</v>
      </c>
    </row>
    <row r="4385" spans="1:9">
      <c r="A4385" t="s">
        <v>20</v>
      </c>
      <c r="B4385" s="2">
        <f t="shared" si="283"/>
        <v>210</v>
      </c>
      <c r="C4385">
        <v>251</v>
      </c>
      <c r="D4385">
        <v>17</v>
      </c>
      <c r="E4385">
        <v>26</v>
      </c>
      <c r="F4385">
        <f t="shared" si="284"/>
        <v>-1.7799304997287362</v>
      </c>
      <c r="G4385">
        <f t="shared" si="285"/>
        <v>-1.6142312891937762</v>
      </c>
      <c r="I4385">
        <f t="shared" si="286"/>
        <v>-1.6970808944612563</v>
      </c>
    </row>
    <row r="4386" spans="1:9">
      <c r="A4386" t="s">
        <v>21</v>
      </c>
      <c r="B4386" s="2">
        <f t="shared" si="283"/>
        <v>210</v>
      </c>
      <c r="C4386">
        <v>195</v>
      </c>
      <c r="D4386">
        <v>12</v>
      </c>
      <c r="E4386">
        <v>9</v>
      </c>
      <c r="F4386">
        <f t="shared" si="284"/>
        <v>-1.8215590649408651</v>
      </c>
      <c r="G4386">
        <f t="shared" si="285"/>
        <v>-1.9653230176067491</v>
      </c>
      <c r="I4386">
        <f t="shared" si="286"/>
        <v>-1.8934410412738072</v>
      </c>
    </row>
    <row r="4387" spans="1:9">
      <c r="A4387" t="s">
        <v>22</v>
      </c>
      <c r="B4387" s="2">
        <f t="shared" si="283"/>
        <v>210</v>
      </c>
      <c r="C4387">
        <v>509</v>
      </c>
      <c r="D4387">
        <v>18</v>
      </c>
      <c r="E4387">
        <v>64</v>
      </c>
      <c r="F4387">
        <f t="shared" si="284"/>
        <v>-2.0621509768594244</v>
      </c>
      <c r="G4387">
        <f t="shared" si="285"/>
        <v>-1.5300687240364277</v>
      </c>
      <c r="I4387">
        <f t="shared" si="286"/>
        <v>-1.796109850447926</v>
      </c>
    </row>
    <row r="4388" spans="1:9">
      <c r="A4388" t="s">
        <v>23</v>
      </c>
      <c r="B4388" s="2">
        <f t="shared" si="283"/>
        <v>210</v>
      </c>
      <c r="C4388">
        <v>557</v>
      </c>
      <c r="D4388">
        <v>74</v>
      </c>
      <c r="E4388">
        <v>44</v>
      </c>
      <c r="F4388">
        <f t="shared" si="284"/>
        <v>-1.4873291750687248</v>
      </c>
      <c r="G4388">
        <f t="shared" si="285"/>
        <v>-1.7319334343710975</v>
      </c>
      <c r="I4388">
        <f t="shared" si="286"/>
        <v>-1.6096313047199111</v>
      </c>
    </row>
    <row r="4389" spans="1:9">
      <c r="A4389" t="s">
        <v>24</v>
      </c>
      <c r="B4389" s="2">
        <f t="shared" si="283"/>
        <v>210</v>
      </c>
      <c r="C4389">
        <v>312</v>
      </c>
      <c r="D4389">
        <v>3</v>
      </c>
      <c r="E4389">
        <v>5</v>
      </c>
      <c r="F4389">
        <f t="shared" si="284"/>
        <v>-2.6277390389247524</v>
      </c>
      <c r="G4389">
        <f t="shared" si="285"/>
        <v>-2.4247155053659801</v>
      </c>
      <c r="I4389">
        <f t="shared" si="286"/>
        <v>-2.5262272721453662</v>
      </c>
    </row>
    <row r="4390" spans="1:9">
      <c r="A4390" t="s">
        <v>25</v>
      </c>
      <c r="B4390" s="2">
        <f t="shared" si="283"/>
        <v>210</v>
      </c>
      <c r="C4390">
        <v>416</v>
      </c>
      <c r="D4390">
        <v>150</v>
      </c>
      <c r="E4390">
        <v>117</v>
      </c>
      <c r="F4390">
        <f t="shared" si="284"/>
        <v>-1.0537077711970335</v>
      </c>
      <c r="G4390">
        <f t="shared" si="285"/>
        <v>-1.1804383845641371</v>
      </c>
      <c r="I4390">
        <f t="shared" si="286"/>
        <v>-1.1170730778805853</v>
      </c>
    </row>
    <row r="4391" spans="1:9">
      <c r="A4391" t="s">
        <v>7</v>
      </c>
      <c r="B4391" s="2">
        <f t="shared" si="283"/>
        <v>211</v>
      </c>
      <c r="C4391">
        <v>9</v>
      </c>
      <c r="D4391">
        <v>1</v>
      </c>
      <c r="E4391">
        <v>0</v>
      </c>
      <c r="F4391">
        <f t="shared" si="284"/>
        <v>-1.5649482090652969</v>
      </c>
      <c r="G4391" t="e">
        <f t="shared" si="285"/>
        <v>#NUM!</v>
      </c>
      <c r="I4391" t="e">
        <f t="shared" si="286"/>
        <v>#NUM!</v>
      </c>
    </row>
    <row r="4392" spans="1:9">
      <c r="A4392" t="s">
        <v>8</v>
      </c>
      <c r="B4392" s="2">
        <f t="shared" si="283"/>
        <v>211</v>
      </c>
      <c r="C4392">
        <v>6</v>
      </c>
      <c r="D4392">
        <v>0</v>
      </c>
      <c r="E4392">
        <v>1</v>
      </c>
      <c r="F4392" t="e">
        <f t="shared" si="284"/>
        <v>#NUM!</v>
      </c>
      <c r="G4392">
        <f t="shared" si="285"/>
        <v>-1.4076821660671999</v>
      </c>
      <c r="I4392" t="e">
        <f t="shared" si="286"/>
        <v>#NUM!</v>
      </c>
    </row>
    <row r="4393" spans="1:9">
      <c r="A4393" t="s">
        <v>5</v>
      </c>
      <c r="B4393" s="2">
        <f t="shared" si="283"/>
        <v>211</v>
      </c>
      <c r="C4393">
        <v>4</v>
      </c>
      <c r="D4393">
        <v>0</v>
      </c>
      <c r="E4393">
        <v>2</v>
      </c>
      <c r="F4393" t="e">
        <f t="shared" si="284"/>
        <v>#NUM!</v>
      </c>
      <c r="G4393">
        <f t="shared" si="285"/>
        <v>-0.93056091134753727</v>
      </c>
      <c r="I4393" t="e">
        <f t="shared" si="286"/>
        <v>#NUM!</v>
      </c>
    </row>
    <row r="4394" spans="1:9">
      <c r="A4394" t="s">
        <v>6</v>
      </c>
      <c r="B4394" s="2">
        <f t="shared" si="283"/>
        <v>211</v>
      </c>
      <c r="C4394">
        <v>17</v>
      </c>
      <c r="D4394">
        <v>0</v>
      </c>
      <c r="E4394">
        <v>0</v>
      </c>
      <c r="F4394" t="e">
        <f t="shared" si="284"/>
        <v>#NUM!</v>
      </c>
      <c r="G4394" t="e">
        <f t="shared" si="285"/>
        <v>#NUM!</v>
      </c>
      <c r="I4394" t="e">
        <f t="shared" si="286"/>
        <v>#NUM!</v>
      </c>
    </row>
    <row r="4395" spans="1:9">
      <c r="A4395" t="s">
        <v>10</v>
      </c>
      <c r="B4395" s="2">
        <f t="shared" si="283"/>
        <v>211</v>
      </c>
      <c r="C4395">
        <v>13</v>
      </c>
      <c r="D4395">
        <v>1</v>
      </c>
      <c r="E4395">
        <v>0</v>
      </c>
      <c r="F4395">
        <f t="shared" si="284"/>
        <v>-1.7246490519328086</v>
      </c>
      <c r="G4395" t="e">
        <f t="shared" si="285"/>
        <v>#NUM!</v>
      </c>
      <c r="I4395" t="e">
        <f t="shared" si="286"/>
        <v>#NUM!</v>
      </c>
    </row>
    <row r="4396" spans="1:9">
      <c r="A4396" t="s">
        <v>11</v>
      </c>
      <c r="B4396" s="2">
        <f t="shared" si="283"/>
        <v>211</v>
      </c>
      <c r="C4396">
        <v>106</v>
      </c>
      <c r="D4396">
        <v>13</v>
      </c>
      <c r="E4396">
        <v>3</v>
      </c>
      <c r="F4396">
        <f t="shared" si="284"/>
        <v>-1.5220682125839053</v>
      </c>
      <c r="G4396">
        <f t="shared" si="285"/>
        <v>-2.1777155262286638</v>
      </c>
      <c r="I4396">
        <f t="shared" si="286"/>
        <v>-1.8498918694062847</v>
      </c>
    </row>
    <row r="4397" spans="1:9">
      <c r="A4397" t="s">
        <v>12</v>
      </c>
      <c r="B4397" s="2">
        <f t="shared" si="283"/>
        <v>211</v>
      </c>
      <c r="C4397">
        <v>8</v>
      </c>
      <c r="D4397">
        <v>0</v>
      </c>
      <c r="E4397">
        <v>0</v>
      </c>
      <c r="F4397" t="e">
        <f t="shared" si="284"/>
        <v>#NUM!</v>
      </c>
      <c r="G4397" t="e">
        <f t="shared" si="285"/>
        <v>#NUM!</v>
      </c>
      <c r="I4397" t="e">
        <f t="shared" si="286"/>
        <v>#NUM!</v>
      </c>
    </row>
    <row r="4398" spans="1:9">
      <c r="A4398" t="s">
        <v>9</v>
      </c>
      <c r="B4398" s="2">
        <f t="shared" si="283"/>
        <v>211</v>
      </c>
      <c r="C4398">
        <v>23</v>
      </c>
      <c r="D4398">
        <v>0</v>
      </c>
      <c r="E4398">
        <v>0</v>
      </c>
      <c r="F4398" t="e">
        <f t="shared" si="284"/>
        <v>#NUM!</v>
      </c>
      <c r="G4398" t="e">
        <f t="shared" si="285"/>
        <v>#NUM!</v>
      </c>
      <c r="I4398" t="e">
        <f t="shared" si="286"/>
        <v>#NUM!</v>
      </c>
    </row>
    <row r="4399" spans="1:9">
      <c r="A4399" t="s">
        <v>13</v>
      </c>
      <c r="B4399" s="2">
        <f t="shared" si="283"/>
        <v>211</v>
      </c>
      <c r="C4399">
        <v>45</v>
      </c>
      <c r="D4399">
        <v>1</v>
      </c>
      <c r="E4399">
        <v>0</v>
      </c>
      <c r="F4399">
        <f t="shared" si="284"/>
        <v>-2.2639182134013156</v>
      </c>
      <c r="G4399" t="e">
        <f t="shared" si="285"/>
        <v>#NUM!</v>
      </c>
      <c r="I4399" t="e">
        <f t="shared" si="286"/>
        <v>#NUM!</v>
      </c>
    </row>
    <row r="4400" spans="1:9">
      <c r="A4400" t="s">
        <v>14</v>
      </c>
      <c r="B4400" s="2">
        <f t="shared" si="283"/>
        <v>211</v>
      </c>
      <c r="C4400">
        <v>5</v>
      </c>
      <c r="D4400">
        <v>0</v>
      </c>
      <c r="E4400">
        <v>0</v>
      </c>
      <c r="F4400" t="e">
        <f t="shared" si="284"/>
        <v>#NUM!</v>
      </c>
      <c r="G4400" t="e">
        <f t="shared" si="285"/>
        <v>#NUM!</v>
      </c>
      <c r="I4400" t="e">
        <f t="shared" si="286"/>
        <v>#NUM!</v>
      </c>
    </row>
    <row r="4401" spans="1:9">
      <c r="A4401" t="s">
        <v>15</v>
      </c>
      <c r="B4401" s="2">
        <f t="shared" si="283"/>
        <v>211</v>
      </c>
      <c r="C4401">
        <v>21</v>
      </c>
      <c r="D4401">
        <v>315</v>
      </c>
      <c r="E4401">
        <v>199</v>
      </c>
      <c r="F4401">
        <f t="shared" si="284"/>
        <v>0.56538555942970947</v>
      </c>
      <c r="G4401">
        <f t="shared" si="285"/>
        <v>0.34710286599223128</v>
      </c>
      <c r="I4401">
        <f t="shared" si="286"/>
        <v>0.45624421271097038</v>
      </c>
    </row>
    <row r="4402" spans="1:9">
      <c r="A4402" t="s">
        <v>16</v>
      </c>
      <c r="B4402" s="2">
        <f t="shared" si="283"/>
        <v>211</v>
      </c>
      <c r="C4402">
        <v>14</v>
      </c>
      <c r="D4402">
        <v>0</v>
      </c>
      <c r="E4402">
        <v>0</v>
      </c>
      <c r="F4402" t="e">
        <f t="shared" si="284"/>
        <v>#NUM!</v>
      </c>
      <c r="G4402" t="e">
        <f t="shared" si="285"/>
        <v>#NUM!</v>
      </c>
      <c r="I4402" t="e">
        <f t="shared" si="286"/>
        <v>#NUM!</v>
      </c>
    </row>
    <row r="4403" spans="1:9">
      <c r="A4403" t="s">
        <v>17</v>
      </c>
      <c r="B4403" s="2">
        <f t="shared" si="283"/>
        <v>211</v>
      </c>
      <c r="C4403">
        <v>42448</v>
      </c>
      <c r="D4403">
        <v>173206</v>
      </c>
      <c r="E4403">
        <v>180879</v>
      </c>
      <c r="F4403">
        <f t="shared" si="284"/>
        <v>0</v>
      </c>
      <c r="G4403">
        <f t="shared" si="285"/>
        <v>0</v>
      </c>
      <c r="I4403">
        <f t="shared" si="286"/>
        <v>0</v>
      </c>
    </row>
    <row r="4404" spans="1:9">
      <c r="A4404" t="s">
        <v>18</v>
      </c>
      <c r="B4404" s="2">
        <f t="shared" si="283"/>
        <v>211</v>
      </c>
      <c r="C4404">
        <v>42</v>
      </c>
      <c r="D4404">
        <v>2</v>
      </c>
      <c r="E4404">
        <v>4</v>
      </c>
      <c r="F4404">
        <f t="shared" si="284"/>
        <v>-1.9329249943598912</v>
      </c>
      <c r="G4404">
        <f t="shared" si="285"/>
        <v>-1.6507202147534943</v>
      </c>
      <c r="I4404">
        <f t="shared" si="286"/>
        <v>-1.7918226045566927</v>
      </c>
    </row>
    <row r="4405" spans="1:9">
      <c r="A4405" t="s">
        <v>19</v>
      </c>
      <c r="B4405" s="2">
        <f t="shared" si="283"/>
        <v>211</v>
      </c>
      <c r="C4405">
        <v>17</v>
      </c>
      <c r="D4405">
        <v>130</v>
      </c>
      <c r="E4405">
        <v>217</v>
      </c>
      <c r="F4405">
        <f t="shared" si="284"/>
        <v>0.27278873130259096</v>
      </c>
      <c r="G4405">
        <f t="shared" si="285"/>
        <v>0.47647989678669955</v>
      </c>
      <c r="I4405">
        <f t="shared" si="286"/>
        <v>0.37463431404464526</v>
      </c>
    </row>
    <row r="4406" spans="1:9">
      <c r="A4406" t="s">
        <v>20</v>
      </c>
      <c r="B4406" s="2">
        <f t="shared" si="283"/>
        <v>211</v>
      </c>
      <c r="C4406">
        <v>69</v>
      </c>
      <c r="D4406">
        <v>138</v>
      </c>
      <c r="E4406">
        <v>144</v>
      </c>
      <c r="F4406">
        <f t="shared" si="284"/>
        <v>-0.30967570396199068</v>
      </c>
      <c r="G4406">
        <f t="shared" si="285"/>
        <v>-0.31001751432556179</v>
      </c>
      <c r="I4406">
        <f t="shared" si="286"/>
        <v>-0.30984660914377626</v>
      </c>
    </row>
    <row r="4407" spans="1:9">
      <c r="A4407" t="s">
        <v>21</v>
      </c>
      <c r="B4407" s="2">
        <f t="shared" si="283"/>
        <v>211</v>
      </c>
      <c r="C4407">
        <v>36</v>
      </c>
      <c r="D4407">
        <v>194</v>
      </c>
      <c r="E4407">
        <v>77</v>
      </c>
      <c r="F4407">
        <f t="shared" si="284"/>
        <v>0.12079352953696698</v>
      </c>
      <c r="G4407">
        <f t="shared" si="285"/>
        <v>-0.29934269127836155</v>
      </c>
      <c r="I4407">
        <f t="shared" si="286"/>
        <v>-8.9274580870697284E-2</v>
      </c>
    </row>
    <row r="4408" spans="1:9">
      <c r="A4408" t="s">
        <v>22</v>
      </c>
      <c r="B4408" s="2">
        <f t="shared" si="283"/>
        <v>211</v>
      </c>
      <c r="C4408">
        <v>20</v>
      </c>
      <c r="D4408">
        <v>0</v>
      </c>
      <c r="E4408">
        <v>1</v>
      </c>
      <c r="F4408" t="e">
        <f t="shared" si="284"/>
        <v>#NUM!</v>
      </c>
      <c r="G4408">
        <f t="shared" si="285"/>
        <v>-1.9305609113475373</v>
      </c>
      <c r="I4408" t="e">
        <f t="shared" si="286"/>
        <v>#NUM!</v>
      </c>
    </row>
    <row r="4409" spans="1:9">
      <c r="A4409" t="s">
        <v>23</v>
      </c>
      <c r="B4409" s="2">
        <f t="shared" si="283"/>
        <v>211</v>
      </c>
      <c r="C4409">
        <v>49</v>
      </c>
      <c r="D4409">
        <v>1</v>
      </c>
      <c r="E4409">
        <v>4</v>
      </c>
      <c r="F4409">
        <f t="shared" si="284"/>
        <v>-2.3009017796544855</v>
      </c>
      <c r="G4409">
        <f t="shared" si="285"/>
        <v>-1.7176670043841074</v>
      </c>
      <c r="I4409">
        <f t="shared" si="286"/>
        <v>-2.0092843920192962</v>
      </c>
    </row>
    <row r="4410" spans="1:9">
      <c r="A4410" t="s">
        <v>24</v>
      </c>
      <c r="B4410" s="2">
        <f t="shared" si="283"/>
        <v>211</v>
      </c>
      <c r="C4410">
        <v>9</v>
      </c>
      <c r="D4410">
        <v>0</v>
      </c>
      <c r="E4410">
        <v>0</v>
      </c>
      <c r="F4410" t="e">
        <f t="shared" si="284"/>
        <v>#NUM!</v>
      </c>
      <c r="G4410" t="e">
        <f t="shared" si="285"/>
        <v>#NUM!</v>
      </c>
      <c r="I4410" t="e">
        <f t="shared" si="286"/>
        <v>#NUM!</v>
      </c>
    </row>
    <row r="4411" spans="1:9">
      <c r="A4411" t="s">
        <v>25</v>
      </c>
      <c r="B4411" s="2">
        <f t="shared" si="283"/>
        <v>211</v>
      </c>
      <c r="C4411">
        <v>42</v>
      </c>
      <c r="D4411">
        <v>1</v>
      </c>
      <c r="E4411">
        <v>0</v>
      </c>
      <c r="F4411">
        <f t="shared" si="284"/>
        <v>-2.2339549900238724</v>
      </c>
      <c r="G4411" t="e">
        <f t="shared" si="285"/>
        <v>#NUM!</v>
      </c>
      <c r="I4411" t="e">
        <f t="shared" si="286"/>
        <v>#NUM!</v>
      </c>
    </row>
    <row r="4412" spans="1:9">
      <c r="A4412" t="s">
        <v>7</v>
      </c>
      <c r="B4412" s="2">
        <f t="shared" si="283"/>
        <v>212</v>
      </c>
      <c r="C4412">
        <v>241</v>
      </c>
      <c r="D4412">
        <v>43</v>
      </c>
      <c r="E4412">
        <v>30</v>
      </c>
      <c r="F4412">
        <f t="shared" si="284"/>
        <v>-1.3592542866212538</v>
      </c>
      <c r="G4412">
        <f t="shared" si="285"/>
        <v>-1.5344267035387622</v>
      </c>
      <c r="I4412">
        <f t="shared" si="286"/>
        <v>-1.446840495080008</v>
      </c>
    </row>
    <row r="4413" spans="1:9">
      <c r="A4413" t="s">
        <v>8</v>
      </c>
      <c r="B4413" s="2">
        <f t="shared" si="283"/>
        <v>212</v>
      </c>
      <c r="C4413">
        <v>42448</v>
      </c>
      <c r="D4413">
        <v>173206</v>
      </c>
      <c r="E4413">
        <v>180879</v>
      </c>
      <c r="F4413">
        <f t="shared" si="284"/>
        <v>0</v>
      </c>
      <c r="G4413">
        <f t="shared" si="285"/>
        <v>0</v>
      </c>
      <c r="I4413">
        <f t="shared" si="286"/>
        <v>0</v>
      </c>
    </row>
    <row r="4414" spans="1:9">
      <c r="A4414" t="s">
        <v>5</v>
      </c>
      <c r="B4414" s="2">
        <f t="shared" si="283"/>
        <v>212</v>
      </c>
      <c r="C4414">
        <v>144</v>
      </c>
      <c r="D4414">
        <v>14</v>
      </c>
      <c r="E4414">
        <v>2</v>
      </c>
      <c r="F4414">
        <f t="shared" si="284"/>
        <v>-1.6229401560429835</v>
      </c>
      <c r="G4414">
        <f t="shared" si="285"/>
        <v>-2.4868634121148245</v>
      </c>
      <c r="I4414">
        <f t="shared" si="286"/>
        <v>-2.0549017840789041</v>
      </c>
    </row>
    <row r="4415" spans="1:9">
      <c r="A4415" t="s">
        <v>6</v>
      </c>
      <c r="B4415" s="2">
        <f t="shared" si="283"/>
        <v>212</v>
      </c>
      <c r="C4415">
        <v>16</v>
      </c>
      <c r="D4415">
        <v>0</v>
      </c>
      <c r="E4415">
        <v>0</v>
      </c>
      <c r="F4415" t="e">
        <f t="shared" si="284"/>
        <v>#NUM!</v>
      </c>
      <c r="G4415" t="e">
        <f t="shared" si="285"/>
        <v>#NUM!</v>
      </c>
      <c r="I4415" t="e">
        <f t="shared" si="286"/>
        <v>#NUM!</v>
      </c>
    </row>
    <row r="4416" spans="1:9">
      <c r="A4416" t="s">
        <v>10</v>
      </c>
      <c r="B4416" s="2">
        <f t="shared" si="283"/>
        <v>212</v>
      </c>
      <c r="C4416">
        <v>299</v>
      </c>
      <c r="D4416">
        <v>170</v>
      </c>
      <c r="E4416">
        <v>178</v>
      </c>
      <c r="F4416">
        <f t="shared" si="284"/>
        <v>-0.85592796657212766</v>
      </c>
      <c r="G4416">
        <f t="shared" si="285"/>
        <v>-0.85478210169909175</v>
      </c>
      <c r="I4416">
        <f t="shared" si="286"/>
        <v>-0.85535503413560976</v>
      </c>
    </row>
    <row r="4417" spans="1:9">
      <c r="A4417" t="s">
        <v>11</v>
      </c>
      <c r="B4417" s="2">
        <f t="shared" si="283"/>
        <v>212</v>
      </c>
      <c r="C4417">
        <v>60</v>
      </c>
      <c r="D4417">
        <v>19</v>
      </c>
      <c r="E4417">
        <v>37</v>
      </c>
      <c r="F4417">
        <f t="shared" si="284"/>
        <v>-1.1101033490567866</v>
      </c>
      <c r="G4417">
        <f t="shared" si="285"/>
        <v>-0.83948044200020477</v>
      </c>
      <c r="I4417">
        <f t="shared" si="286"/>
        <v>-0.97479189552849577</v>
      </c>
    </row>
    <row r="4418" spans="1:9">
      <c r="A4418" t="s">
        <v>12</v>
      </c>
      <c r="B4418" s="2">
        <f t="shared" si="283"/>
        <v>212</v>
      </c>
      <c r="C4418">
        <v>0</v>
      </c>
      <c r="D4418">
        <v>0</v>
      </c>
      <c r="E4418">
        <v>0</v>
      </c>
      <c r="F4418" t="e">
        <f t="shared" si="284"/>
        <v>#DIV/0!</v>
      </c>
      <c r="G4418" t="e">
        <f t="shared" si="285"/>
        <v>#DIV/0!</v>
      </c>
      <c r="I4418" t="e">
        <f t="shared" si="286"/>
        <v>#DIV/0!</v>
      </c>
    </row>
    <row r="4419" spans="1:9">
      <c r="A4419" t="s">
        <v>9</v>
      </c>
      <c r="B4419" s="2">
        <f t="shared" ref="B4419:B4482" si="287">1+INT((ROW()-2)/21)+1</f>
        <v>212</v>
      </c>
      <c r="C4419">
        <v>14</v>
      </c>
      <c r="D4419">
        <v>19</v>
      </c>
      <c r="E4419">
        <v>27</v>
      </c>
      <c r="F4419">
        <f t="shared" ref="F4419:F4482" si="288">LOG10(D4419/C4419)-LOG10(173206/42448)</f>
        <v>-0.47808013435138091</v>
      </c>
      <c r="G4419">
        <f t="shared" ref="G4419:G4482" si="289">LOG10(E4419/C4419)-LOG10(180879/42448)</f>
        <v>-0.34429518720280683</v>
      </c>
      <c r="I4419">
        <f t="shared" ref="I4419:I4482" si="290">AVERAGE(F4419:G4419)</f>
        <v>-0.4111876607770939</v>
      </c>
    </row>
    <row r="4420" spans="1:9">
      <c r="A4420" t="s">
        <v>13</v>
      </c>
      <c r="B4420" s="2">
        <f t="shared" si="287"/>
        <v>212</v>
      </c>
      <c r="C4420">
        <v>63</v>
      </c>
      <c r="D4420">
        <v>0</v>
      </c>
      <c r="E4420">
        <v>1</v>
      </c>
      <c r="F4420" t="e">
        <f t="shared" si="288"/>
        <v>#NUM!</v>
      </c>
      <c r="G4420">
        <f t="shared" si="289"/>
        <v>-2.4288714651371377</v>
      </c>
      <c r="I4420" t="e">
        <f t="shared" si="290"/>
        <v>#NUM!</v>
      </c>
    </row>
    <row r="4421" spans="1:9">
      <c r="A4421" t="s">
        <v>14</v>
      </c>
      <c r="B4421" s="2">
        <f t="shared" si="287"/>
        <v>212</v>
      </c>
      <c r="C4421">
        <v>457</v>
      </c>
      <c r="D4421">
        <v>19</v>
      </c>
      <c r="E4421">
        <v>19</v>
      </c>
      <c r="F4421">
        <f t="shared" si="288"/>
        <v>-1.9918682987429932</v>
      </c>
      <c r="G4421">
        <f t="shared" si="289"/>
        <v>-2.0106935148005776</v>
      </c>
      <c r="I4421">
        <f t="shared" si="290"/>
        <v>-2.0012809067717852</v>
      </c>
    </row>
    <row r="4422" spans="1:9">
      <c r="A4422" t="s">
        <v>15</v>
      </c>
      <c r="B4422" s="2">
        <f t="shared" si="287"/>
        <v>212</v>
      </c>
      <c r="C4422">
        <v>187</v>
      </c>
      <c r="D4422">
        <v>486</v>
      </c>
      <c r="E4422">
        <v>141</v>
      </c>
      <c r="F4422">
        <f t="shared" si="288"/>
        <v>-0.19591103690017742</v>
      </c>
      <c r="G4422">
        <f t="shared" si="289"/>
        <v>-0.75215340956467514</v>
      </c>
      <c r="I4422">
        <f t="shared" si="290"/>
        <v>-0.47403222323242628</v>
      </c>
    </row>
    <row r="4423" spans="1:9">
      <c r="A4423" t="s">
        <v>16</v>
      </c>
      <c r="B4423" s="2">
        <f t="shared" si="287"/>
        <v>212</v>
      </c>
      <c r="C4423">
        <v>148</v>
      </c>
      <c r="D4423">
        <v>138</v>
      </c>
      <c r="E4423">
        <v>94</v>
      </c>
      <c r="F4423">
        <f t="shared" si="288"/>
        <v>-0.64108832861969278</v>
      </c>
      <c r="G4423">
        <f t="shared" si="289"/>
        <v>-0.82666477747881495</v>
      </c>
      <c r="I4423">
        <f t="shared" si="290"/>
        <v>-0.73387655304925392</v>
      </c>
    </row>
    <row r="4424" spans="1:9">
      <c r="A4424" t="s">
        <v>17</v>
      </c>
      <c r="B4424" s="2">
        <f t="shared" si="287"/>
        <v>212</v>
      </c>
      <c r="C4424">
        <v>40</v>
      </c>
      <c r="D4424">
        <v>0</v>
      </c>
      <c r="E4424">
        <v>0</v>
      </c>
      <c r="F4424" t="e">
        <f t="shared" si="288"/>
        <v>#NUM!</v>
      </c>
      <c r="G4424" t="e">
        <f t="shared" si="289"/>
        <v>#NUM!</v>
      </c>
      <c r="I4424" t="e">
        <f t="shared" si="290"/>
        <v>#NUM!</v>
      </c>
    </row>
    <row r="4425" spans="1:9">
      <c r="A4425" t="s">
        <v>18</v>
      </c>
      <c r="B4425" s="2">
        <f t="shared" si="287"/>
        <v>212</v>
      </c>
      <c r="C4425">
        <v>292</v>
      </c>
      <c r="D4425">
        <v>22</v>
      </c>
      <c r="E4425">
        <v>9</v>
      </c>
      <c r="F4425">
        <f t="shared" si="288"/>
        <v>-1.7336658702521839</v>
      </c>
      <c r="G4425">
        <f t="shared" si="289"/>
        <v>-2.1406712576926497</v>
      </c>
      <c r="I4425">
        <f t="shared" si="290"/>
        <v>-1.9371685639724168</v>
      </c>
    </row>
    <row r="4426" spans="1:9">
      <c r="A4426" t="s">
        <v>19</v>
      </c>
      <c r="B4426" s="2">
        <f t="shared" si="287"/>
        <v>212</v>
      </c>
      <c r="C4426">
        <v>648</v>
      </c>
      <c r="D4426">
        <v>25</v>
      </c>
      <c r="E4426">
        <v>54</v>
      </c>
      <c r="F4426">
        <f t="shared" si="288"/>
        <v>-2.0243406968245274</v>
      </c>
      <c r="G4426">
        <f t="shared" si="289"/>
        <v>-1.7087121617311811</v>
      </c>
      <c r="I4426">
        <f t="shared" si="290"/>
        <v>-1.8665264292778543</v>
      </c>
    </row>
    <row r="4427" spans="1:9">
      <c r="A4427" t="s">
        <v>20</v>
      </c>
      <c r="B4427" s="2">
        <f t="shared" si="287"/>
        <v>212</v>
      </c>
      <c r="C4427">
        <v>60</v>
      </c>
      <c r="D4427">
        <v>23</v>
      </c>
      <c r="E4427">
        <v>8</v>
      </c>
      <c r="F4427">
        <f t="shared" si="288"/>
        <v>-1.0271291139920227</v>
      </c>
      <c r="G4427">
        <f t="shared" si="289"/>
        <v>-1.5045921790752561</v>
      </c>
      <c r="I4427">
        <f t="shared" si="290"/>
        <v>-1.2658606465336395</v>
      </c>
    </row>
    <row r="4428" spans="1:9">
      <c r="A4428" t="s">
        <v>21</v>
      </c>
      <c r="B4428" s="2">
        <f t="shared" si="287"/>
        <v>212</v>
      </c>
      <c r="C4428">
        <v>30</v>
      </c>
      <c r="D4428">
        <v>1</v>
      </c>
      <c r="E4428">
        <v>0</v>
      </c>
      <c r="F4428">
        <f t="shared" si="288"/>
        <v>-2.0878269543456343</v>
      </c>
      <c r="G4428" t="e">
        <f t="shared" si="289"/>
        <v>#NUM!</v>
      </c>
      <c r="I4428" t="e">
        <f t="shared" si="290"/>
        <v>#NUM!</v>
      </c>
    </row>
    <row r="4429" spans="1:9">
      <c r="A4429" t="s">
        <v>22</v>
      </c>
      <c r="B4429" s="2">
        <f t="shared" si="287"/>
        <v>212</v>
      </c>
      <c r="C4429">
        <v>195</v>
      </c>
      <c r="D4429">
        <v>43</v>
      </c>
      <c r="E4429">
        <v>35</v>
      </c>
      <c r="F4429">
        <f t="shared" si="288"/>
        <v>-1.2672718554089033</v>
      </c>
      <c r="G4429">
        <f t="shared" si="289"/>
        <v>-1.3754974826957986</v>
      </c>
      <c r="I4429">
        <f t="shared" si="290"/>
        <v>-1.321384669052351</v>
      </c>
    </row>
    <row r="4430" spans="1:9">
      <c r="A4430" t="s">
        <v>23</v>
      </c>
      <c r="B4430" s="2">
        <f t="shared" si="287"/>
        <v>212</v>
      </c>
      <c r="C4430">
        <v>121</v>
      </c>
      <c r="D4430">
        <v>23</v>
      </c>
      <c r="E4430">
        <v>91</v>
      </c>
      <c r="F4430">
        <f t="shared" si="288"/>
        <v>-1.3317632339248291</v>
      </c>
      <c r="G4430">
        <f t="shared" si="289"/>
        <v>-0.75327489367891254</v>
      </c>
      <c r="I4430">
        <f t="shared" si="290"/>
        <v>-1.0425190638018709</v>
      </c>
    </row>
    <row r="4431" spans="1:9">
      <c r="A4431" t="s">
        <v>24</v>
      </c>
      <c r="B4431" s="2">
        <f t="shared" si="287"/>
        <v>212</v>
      </c>
      <c r="C4431">
        <v>25</v>
      </c>
      <c r="D4431">
        <v>0</v>
      </c>
      <c r="E4431">
        <v>0</v>
      </c>
      <c r="F4431" t="e">
        <f t="shared" si="288"/>
        <v>#NUM!</v>
      </c>
      <c r="G4431" t="e">
        <f t="shared" si="289"/>
        <v>#NUM!</v>
      </c>
      <c r="I4431" t="e">
        <f t="shared" si="290"/>
        <v>#NUM!</v>
      </c>
    </row>
    <row r="4432" spans="1:9">
      <c r="A4432" t="s">
        <v>25</v>
      </c>
      <c r="B4432" s="2">
        <f t="shared" si="287"/>
        <v>212</v>
      </c>
      <c r="C4432">
        <v>51</v>
      </c>
      <c r="D4432">
        <v>0</v>
      </c>
      <c r="E4432">
        <v>1</v>
      </c>
      <c r="F4432" t="e">
        <f t="shared" si="288"/>
        <v>#NUM!</v>
      </c>
      <c r="G4432">
        <f t="shared" si="289"/>
        <v>-2.3371010917814923</v>
      </c>
      <c r="I4432" t="e">
        <f t="shared" si="290"/>
        <v>#NUM!</v>
      </c>
    </row>
    <row r="4433" spans="1:9">
      <c r="A4433" t="s">
        <v>7</v>
      </c>
      <c r="B4433" s="2">
        <f t="shared" si="287"/>
        <v>213</v>
      </c>
      <c r="C4433">
        <v>159</v>
      </c>
      <c r="D4433">
        <v>659</v>
      </c>
      <c r="E4433">
        <v>859</v>
      </c>
      <c r="F4433">
        <f t="shared" si="288"/>
        <v>6.7825906475865727E-3</v>
      </c>
      <c r="G4433">
        <f t="shared" si="289"/>
        <v>0.10306512382723465</v>
      </c>
      <c r="I4433">
        <f t="shared" si="290"/>
        <v>5.4923857237410612E-2</v>
      </c>
    </row>
    <row r="4434" spans="1:9">
      <c r="A4434" t="s">
        <v>8</v>
      </c>
      <c r="B4434" s="2">
        <f t="shared" si="287"/>
        <v>213</v>
      </c>
      <c r="C4434">
        <v>239</v>
      </c>
      <c r="D4434">
        <v>14</v>
      </c>
      <c r="E4434">
        <v>5</v>
      </c>
      <c r="F4434">
        <f t="shared" si="288"/>
        <v>-1.8429755648958714</v>
      </c>
      <c r="G4434">
        <f t="shared" si="289"/>
        <v>-2.3089588122956752</v>
      </c>
      <c r="I4434">
        <f t="shared" si="290"/>
        <v>-2.0759671885957731</v>
      </c>
    </row>
    <row r="4435" spans="1:9">
      <c r="A4435" t="s">
        <v>5</v>
      </c>
      <c r="B4435" s="2">
        <f t="shared" si="287"/>
        <v>213</v>
      </c>
      <c r="C4435">
        <v>21</v>
      </c>
      <c r="D4435">
        <v>0</v>
      </c>
      <c r="E4435">
        <v>0</v>
      </c>
      <c r="F4435" t="e">
        <f t="shared" si="288"/>
        <v>#NUM!</v>
      </c>
      <c r="G4435" t="e">
        <f t="shared" si="289"/>
        <v>#NUM!</v>
      </c>
      <c r="I4435" t="e">
        <f t="shared" si="290"/>
        <v>#NUM!</v>
      </c>
    </row>
    <row r="4436" spans="1:9">
      <c r="A4436" t="s">
        <v>6</v>
      </c>
      <c r="B4436" s="2">
        <f t="shared" si="287"/>
        <v>213</v>
      </c>
      <c r="C4436">
        <v>17</v>
      </c>
      <c r="D4436">
        <v>0</v>
      </c>
      <c r="E4436">
        <v>0</v>
      </c>
      <c r="F4436" t="e">
        <f t="shared" si="288"/>
        <v>#NUM!</v>
      </c>
      <c r="G4436" t="e">
        <f t="shared" si="289"/>
        <v>#NUM!</v>
      </c>
      <c r="I4436" t="e">
        <f t="shared" si="290"/>
        <v>#NUM!</v>
      </c>
    </row>
    <row r="4437" spans="1:9">
      <c r="A4437" t="s">
        <v>10</v>
      </c>
      <c r="B4437" s="2">
        <f t="shared" si="287"/>
        <v>213</v>
      </c>
      <c r="C4437">
        <v>6</v>
      </c>
      <c r="D4437">
        <v>0</v>
      </c>
      <c r="E4437">
        <v>0</v>
      </c>
      <c r="F4437" t="e">
        <f t="shared" si="288"/>
        <v>#NUM!</v>
      </c>
      <c r="G4437" t="e">
        <f t="shared" si="289"/>
        <v>#NUM!</v>
      </c>
      <c r="I4437" t="e">
        <f t="shared" si="290"/>
        <v>#NUM!</v>
      </c>
    </row>
    <row r="4438" spans="1:9">
      <c r="A4438" t="s">
        <v>11</v>
      </c>
      <c r="B4438" s="2">
        <f t="shared" si="287"/>
        <v>213</v>
      </c>
      <c r="C4438">
        <v>217</v>
      </c>
      <c r="D4438">
        <v>5</v>
      </c>
      <c r="E4438">
        <v>4</v>
      </c>
      <c r="F4438">
        <f t="shared" si="288"/>
        <v>-2.2481954291384825</v>
      </c>
      <c r="G4438">
        <f t="shared" si="289"/>
        <v>-2.3639306582041231</v>
      </c>
      <c r="I4438">
        <f t="shared" si="290"/>
        <v>-2.306063043671303</v>
      </c>
    </row>
    <row r="4439" spans="1:9">
      <c r="A4439" t="s">
        <v>12</v>
      </c>
      <c r="B4439" s="2">
        <f t="shared" si="287"/>
        <v>213</v>
      </c>
      <c r="C4439">
        <v>52</v>
      </c>
      <c r="D4439">
        <v>2</v>
      </c>
      <c r="E4439">
        <v>0</v>
      </c>
      <c r="F4439">
        <f t="shared" si="288"/>
        <v>-2.0256790475967899</v>
      </c>
      <c r="G4439" t="e">
        <f t="shared" si="289"/>
        <v>#NUM!</v>
      </c>
      <c r="I4439" t="e">
        <f t="shared" si="290"/>
        <v>#NUM!</v>
      </c>
    </row>
    <row r="4440" spans="1:9">
      <c r="A4440" t="s">
        <v>9</v>
      </c>
      <c r="B4440" s="2">
        <f t="shared" si="287"/>
        <v>213</v>
      </c>
      <c r="C4440">
        <v>51</v>
      </c>
      <c r="D4440">
        <v>15</v>
      </c>
      <c r="E4440">
        <v>0</v>
      </c>
      <c r="F4440">
        <f t="shared" si="288"/>
        <v>-1.142184616668227</v>
      </c>
      <c r="G4440" t="e">
        <f t="shared" si="289"/>
        <v>#NUM!</v>
      </c>
      <c r="I4440" t="e">
        <f t="shared" si="290"/>
        <v>#NUM!</v>
      </c>
    </row>
    <row r="4441" spans="1:9">
      <c r="A4441" t="s">
        <v>13</v>
      </c>
      <c r="B4441" s="2">
        <f t="shared" si="287"/>
        <v>213</v>
      </c>
      <c r="C4441">
        <v>111</v>
      </c>
      <c r="D4441">
        <v>0</v>
      </c>
      <c r="E4441">
        <v>4</v>
      </c>
      <c r="F4441" t="e">
        <f t="shared" si="288"/>
        <v>#NUM!</v>
      </c>
      <c r="G4441">
        <f t="shared" si="289"/>
        <v>-2.0727939031422511</v>
      </c>
      <c r="I4441" t="e">
        <f t="shared" si="290"/>
        <v>#NUM!</v>
      </c>
    </row>
    <row r="4442" spans="1:9">
      <c r="A4442" t="s">
        <v>14</v>
      </c>
      <c r="B4442" s="2">
        <f t="shared" si="287"/>
        <v>213</v>
      </c>
      <c r="C4442">
        <v>178</v>
      </c>
      <c r="D4442">
        <v>17</v>
      </c>
      <c r="E4442">
        <v>11</v>
      </c>
      <c r="F4442">
        <f t="shared" si="288"/>
        <v>-1.630676780556592</v>
      </c>
      <c r="G4442">
        <f t="shared" si="289"/>
        <v>-1.8385582328342251</v>
      </c>
      <c r="I4442">
        <f t="shared" si="290"/>
        <v>-1.7346175066954086</v>
      </c>
    </row>
    <row r="4443" spans="1:9">
      <c r="A4443" t="s">
        <v>15</v>
      </c>
      <c r="B4443" s="2">
        <f t="shared" si="287"/>
        <v>213</v>
      </c>
      <c r="C4443">
        <v>195</v>
      </c>
      <c r="D4443">
        <v>9</v>
      </c>
      <c r="E4443">
        <v>0</v>
      </c>
      <c r="F4443">
        <f t="shared" si="288"/>
        <v>-1.946497801549165</v>
      </c>
      <c r="G4443" t="e">
        <f t="shared" si="289"/>
        <v>#NUM!</v>
      </c>
      <c r="I4443" t="e">
        <f t="shared" si="290"/>
        <v>#NUM!</v>
      </c>
    </row>
    <row r="4444" spans="1:9">
      <c r="A4444" t="s">
        <v>16</v>
      </c>
      <c r="B4444" s="2">
        <f t="shared" si="287"/>
        <v>213</v>
      </c>
      <c r="C4444">
        <v>116</v>
      </c>
      <c r="D4444">
        <v>2</v>
      </c>
      <c r="E4444">
        <v>6</v>
      </c>
      <c r="F4444">
        <f t="shared" si="288"/>
        <v>-2.3741336931889094</v>
      </c>
      <c r="G4444">
        <f t="shared" si="289"/>
        <v>-1.9158376545268312</v>
      </c>
      <c r="I4444">
        <f t="shared" si="290"/>
        <v>-2.1449856738578701</v>
      </c>
    </row>
    <row r="4445" spans="1:9">
      <c r="A4445" t="s">
        <v>17</v>
      </c>
      <c r="B4445" s="2">
        <f t="shared" si="287"/>
        <v>213</v>
      </c>
      <c r="C4445">
        <v>31</v>
      </c>
      <c r="D4445">
        <v>7</v>
      </c>
      <c r="E4445">
        <v>52</v>
      </c>
      <c r="F4445">
        <f t="shared" si="288"/>
        <v>-1.2569693534459878</v>
      </c>
      <c r="G4445">
        <f t="shared" si="289"/>
        <v>-0.40488926588302965</v>
      </c>
      <c r="I4445">
        <f t="shared" si="290"/>
        <v>-0.83092930966450873</v>
      </c>
    </row>
    <row r="4446" spans="1:9">
      <c r="A4446" t="s">
        <v>18</v>
      </c>
      <c r="B4446" s="2">
        <f t="shared" si="287"/>
        <v>213</v>
      </c>
      <c r="C4446">
        <v>295</v>
      </c>
      <c r="D4446">
        <v>19</v>
      </c>
      <c r="E4446">
        <v>25</v>
      </c>
      <c r="F4446">
        <f t="shared" si="288"/>
        <v>-1.801774114651306</v>
      </c>
      <c r="G4446">
        <f t="shared" si="289"/>
        <v>-1.7014129229896815</v>
      </c>
      <c r="I4446">
        <f t="shared" si="290"/>
        <v>-1.7515935188204939</v>
      </c>
    </row>
    <row r="4447" spans="1:9">
      <c r="A4447" t="s">
        <v>19</v>
      </c>
      <c r="B4447" s="2">
        <f t="shared" si="287"/>
        <v>213</v>
      </c>
      <c r="C4447">
        <v>116</v>
      </c>
      <c r="D4447">
        <v>0</v>
      </c>
      <c r="E4447">
        <v>4</v>
      </c>
      <c r="F4447" t="e">
        <f t="shared" si="288"/>
        <v>#NUM!</v>
      </c>
      <c r="G4447">
        <f t="shared" si="289"/>
        <v>-2.0919289135825121</v>
      </c>
      <c r="I4447" t="e">
        <f t="shared" si="290"/>
        <v>#NUM!</v>
      </c>
    </row>
    <row r="4448" spans="1:9">
      <c r="A4448" t="s">
        <v>20</v>
      </c>
      <c r="B4448" s="2">
        <f t="shared" si="287"/>
        <v>213</v>
      </c>
      <c r="C4448">
        <v>13</v>
      </c>
      <c r="D4448">
        <v>0</v>
      </c>
      <c r="E4448">
        <v>4</v>
      </c>
      <c r="F4448" t="e">
        <f t="shared" si="288"/>
        <v>#NUM!</v>
      </c>
      <c r="G4448">
        <f t="shared" si="289"/>
        <v>-1.1414142766624304</v>
      </c>
      <c r="I4448" t="e">
        <f t="shared" si="290"/>
        <v>#NUM!</v>
      </c>
    </row>
    <row r="4449" spans="1:9">
      <c r="A4449" t="s">
        <v>21</v>
      </c>
      <c r="B4449" s="2">
        <f t="shared" si="287"/>
        <v>213</v>
      </c>
      <c r="C4449">
        <v>55</v>
      </c>
      <c r="D4449">
        <v>855</v>
      </c>
      <c r="E4449">
        <v>601</v>
      </c>
      <c r="F4449">
        <f t="shared" si="288"/>
        <v>0.58089772560795683</v>
      </c>
      <c r="G4449">
        <f t="shared" si="289"/>
        <v>0.40898086682493962</v>
      </c>
      <c r="I4449">
        <f t="shared" si="290"/>
        <v>0.49493929621644822</v>
      </c>
    </row>
    <row r="4450" spans="1:9">
      <c r="A4450" t="s">
        <v>22</v>
      </c>
      <c r="B4450" s="2">
        <f t="shared" si="287"/>
        <v>213</v>
      </c>
      <c r="C4450">
        <v>2</v>
      </c>
      <c r="D4450">
        <v>22</v>
      </c>
      <c r="E4450">
        <v>0</v>
      </c>
      <c r="F4450">
        <f t="shared" si="288"/>
        <v>0.43068698553225326</v>
      </c>
      <c r="G4450" t="e">
        <f t="shared" si="289"/>
        <v>#NUM!</v>
      </c>
      <c r="I4450" t="e">
        <f t="shared" si="290"/>
        <v>#NUM!</v>
      </c>
    </row>
    <row r="4451" spans="1:9">
      <c r="A4451" t="s">
        <v>23</v>
      </c>
      <c r="B4451" s="2">
        <f t="shared" si="287"/>
        <v>213</v>
      </c>
      <c r="C4451">
        <v>10</v>
      </c>
      <c r="D4451">
        <v>43</v>
      </c>
      <c r="E4451">
        <v>48</v>
      </c>
      <c r="F4451">
        <f t="shared" si="288"/>
        <v>2.2762755953614655E-2</v>
      </c>
      <c r="G4451">
        <f t="shared" si="289"/>
        <v>5.1710321692031047E-2</v>
      </c>
      <c r="I4451">
        <f t="shared" si="290"/>
        <v>3.7236538822822851E-2</v>
      </c>
    </row>
    <row r="4452" spans="1:9">
      <c r="A4452" t="s">
        <v>24</v>
      </c>
      <c r="B4452" s="2">
        <f t="shared" si="287"/>
        <v>213</v>
      </c>
      <c r="C4452">
        <v>26</v>
      </c>
      <c r="D4452">
        <v>1495</v>
      </c>
      <c r="E4452">
        <v>2238</v>
      </c>
      <c r="F4452">
        <f t="shared" si="288"/>
        <v>1.1489621450636587</v>
      </c>
      <c r="G4452">
        <f t="shared" si="289"/>
        <v>1.305355818537957</v>
      </c>
      <c r="I4452">
        <f t="shared" si="290"/>
        <v>1.227158981800808</v>
      </c>
    </row>
    <row r="4453" spans="1:9">
      <c r="A4453" t="s">
        <v>25</v>
      </c>
      <c r="B4453" s="2">
        <f t="shared" si="287"/>
        <v>213</v>
      </c>
      <c r="C4453">
        <v>36</v>
      </c>
      <c r="D4453">
        <v>2</v>
      </c>
      <c r="E4453">
        <v>2</v>
      </c>
      <c r="F4453">
        <f t="shared" si="288"/>
        <v>-1.8659782047292779</v>
      </c>
      <c r="G4453">
        <f t="shared" si="289"/>
        <v>-1.884803420786862</v>
      </c>
      <c r="I4453">
        <f t="shared" si="290"/>
        <v>-1.8753908127580701</v>
      </c>
    </row>
    <row r="4454" spans="1:9">
      <c r="A4454" t="s">
        <v>7</v>
      </c>
      <c r="B4454" s="2">
        <f t="shared" si="287"/>
        <v>214</v>
      </c>
      <c r="C4454">
        <v>269</v>
      </c>
      <c r="D4454">
        <v>9</v>
      </c>
      <c r="E4454">
        <v>8</v>
      </c>
      <c r="F4454">
        <f t="shared" si="288"/>
        <v>-2.086215470189055</v>
      </c>
      <c r="G4454">
        <f t="shared" si="289"/>
        <v>-2.1561932086940208</v>
      </c>
      <c r="I4454">
        <f t="shared" si="290"/>
        <v>-2.1212043394415376</v>
      </c>
    </row>
    <row r="4455" spans="1:9">
      <c r="A4455" t="s">
        <v>8</v>
      </c>
      <c r="B4455" s="2">
        <f t="shared" si="287"/>
        <v>214</v>
      </c>
      <c r="C4455">
        <v>418</v>
      </c>
      <c r="D4455">
        <v>14</v>
      </c>
      <c r="E4455">
        <v>20</v>
      </c>
      <c r="F4455">
        <f t="shared" si="288"/>
        <v>-2.085753945722769</v>
      </c>
      <c r="G4455">
        <f t="shared" si="289"/>
        <v>-1.9496772017946102</v>
      </c>
      <c r="I4455">
        <f t="shared" si="290"/>
        <v>-2.0177155737586894</v>
      </c>
    </row>
    <row r="4456" spans="1:9">
      <c r="A4456" t="s">
        <v>5</v>
      </c>
      <c r="B4456" s="2">
        <f t="shared" si="287"/>
        <v>214</v>
      </c>
      <c r="C4456">
        <v>426</v>
      </c>
      <c r="D4456">
        <v>43</v>
      </c>
      <c r="E4456">
        <v>21</v>
      </c>
      <c r="F4456">
        <f t="shared" si="288"/>
        <v>-1.6066468431491043</v>
      </c>
      <c r="G4456">
        <f t="shared" si="289"/>
        <v>-1.9367212200523558</v>
      </c>
      <c r="I4456">
        <f t="shared" si="290"/>
        <v>-1.7716840316007301</v>
      </c>
    </row>
    <row r="4457" spans="1:9">
      <c r="A4457" t="s">
        <v>6</v>
      </c>
      <c r="B4457" s="2">
        <f t="shared" si="287"/>
        <v>214</v>
      </c>
      <c r="C4457">
        <v>714</v>
      </c>
      <c r="D4457">
        <v>596</v>
      </c>
      <c r="E4457">
        <v>346</v>
      </c>
      <c r="F4457">
        <f t="shared" si="288"/>
        <v>-0.68915765166190979</v>
      </c>
      <c r="G4457">
        <f t="shared" si="289"/>
        <v>-0.94415302866695394</v>
      </c>
      <c r="I4457">
        <f t="shared" si="290"/>
        <v>-0.81665534016443186</v>
      </c>
    </row>
    <row r="4458" spans="1:9">
      <c r="A4458" t="s">
        <v>10</v>
      </c>
      <c r="B4458" s="2">
        <f t="shared" si="287"/>
        <v>214</v>
      </c>
      <c r="C4458">
        <v>256</v>
      </c>
      <c r="D4458">
        <v>9</v>
      </c>
      <c r="E4458">
        <v>9</v>
      </c>
      <c r="F4458">
        <f t="shared" si="288"/>
        <v>-2.0647031554984965</v>
      </c>
      <c r="G4458">
        <f t="shared" si="289"/>
        <v>-2.0835283715560808</v>
      </c>
      <c r="I4458">
        <f t="shared" si="290"/>
        <v>-2.0741157635272884</v>
      </c>
    </row>
    <row r="4459" spans="1:9">
      <c r="A4459" t="s">
        <v>11</v>
      </c>
      <c r="B4459" s="2">
        <f t="shared" si="287"/>
        <v>214</v>
      </c>
      <c r="C4459">
        <v>168</v>
      </c>
      <c r="D4459">
        <v>6</v>
      </c>
      <c r="E4459">
        <v>1</v>
      </c>
      <c r="F4459">
        <f t="shared" si="288"/>
        <v>-2.0578637309681911</v>
      </c>
      <c r="G4459">
        <f t="shared" si="289"/>
        <v>-2.8548401974094189</v>
      </c>
      <c r="I4459">
        <f t="shared" si="290"/>
        <v>-2.456351964188805</v>
      </c>
    </row>
    <row r="4460" spans="1:9">
      <c r="A4460" t="s">
        <v>12</v>
      </c>
      <c r="B4460" s="2">
        <f t="shared" si="287"/>
        <v>214</v>
      </c>
      <c r="C4460">
        <v>58</v>
      </c>
      <c r="D4460">
        <v>0</v>
      </c>
      <c r="E4460">
        <v>3</v>
      </c>
      <c r="F4460" t="e">
        <f t="shared" si="288"/>
        <v>#NUM!</v>
      </c>
      <c r="G4460">
        <f t="shared" si="289"/>
        <v>-1.9158376545268312</v>
      </c>
      <c r="I4460" t="e">
        <f t="shared" si="290"/>
        <v>#NUM!</v>
      </c>
    </row>
    <row r="4461" spans="1:9">
      <c r="A4461" t="s">
        <v>9</v>
      </c>
      <c r="B4461" s="2">
        <f t="shared" si="287"/>
        <v>214</v>
      </c>
      <c r="C4461">
        <v>227</v>
      </c>
      <c r="D4461">
        <v>74</v>
      </c>
      <c r="E4461">
        <v>77</v>
      </c>
      <c r="F4461">
        <f t="shared" si="288"/>
        <v>-1.0974998370881184</v>
      </c>
      <c r="G4461">
        <f t="shared" si="289"/>
        <v>-1.0990660477041969</v>
      </c>
      <c r="I4461">
        <f t="shared" si="290"/>
        <v>-1.0982829423961578</v>
      </c>
    </row>
    <row r="4462" spans="1:9">
      <c r="A4462" t="s">
        <v>13</v>
      </c>
      <c r="B4462" s="2">
        <f t="shared" si="287"/>
        <v>214</v>
      </c>
      <c r="C4462">
        <v>275</v>
      </c>
      <c r="D4462">
        <v>16</v>
      </c>
      <c r="E4462">
        <v>8</v>
      </c>
      <c r="F4462">
        <f t="shared" si="288"/>
        <v>-1.8459184108003097</v>
      </c>
      <c r="G4462">
        <f t="shared" si="289"/>
        <v>-2.1657736225218751</v>
      </c>
      <c r="I4462">
        <f t="shared" si="290"/>
        <v>-2.0058460166610925</v>
      </c>
    </row>
    <row r="4463" spans="1:9">
      <c r="A4463" t="s">
        <v>14</v>
      </c>
      <c r="B4463" s="2">
        <f t="shared" si="287"/>
        <v>214</v>
      </c>
      <c r="C4463">
        <v>193</v>
      </c>
      <c r="D4463">
        <v>2</v>
      </c>
      <c r="E4463">
        <v>0</v>
      </c>
      <c r="F4463">
        <f t="shared" si="288"/>
        <v>-2.5952330129697643</v>
      </c>
      <c r="G4463" t="e">
        <f t="shared" si="289"/>
        <v>#NUM!</v>
      </c>
      <c r="I4463" t="e">
        <f t="shared" si="290"/>
        <v>#NUM!</v>
      </c>
    </row>
    <row r="4464" spans="1:9">
      <c r="A4464" t="s">
        <v>15</v>
      </c>
      <c r="B4464" s="2">
        <f t="shared" si="287"/>
        <v>214</v>
      </c>
      <c r="C4464">
        <v>462</v>
      </c>
      <c r="D4464">
        <v>36</v>
      </c>
      <c r="E4464">
        <v>34</v>
      </c>
      <c r="F4464">
        <f t="shared" si="288"/>
        <v>-1.7190451744148101</v>
      </c>
      <c r="G4464">
        <f t="shared" si="289"/>
        <v>-1.7626939741974263</v>
      </c>
      <c r="I4464">
        <f t="shared" si="290"/>
        <v>-1.7408695743061182</v>
      </c>
    </row>
    <row r="4465" spans="1:9">
      <c r="A4465" t="s">
        <v>16</v>
      </c>
      <c r="B4465" s="2">
        <f t="shared" si="287"/>
        <v>214</v>
      </c>
      <c r="C4465">
        <v>248</v>
      </c>
      <c r="D4465">
        <v>0</v>
      </c>
      <c r="E4465">
        <v>10</v>
      </c>
      <c r="F4465" t="e">
        <f t="shared" si="288"/>
        <v>#NUM!</v>
      </c>
      <c r="G4465">
        <f t="shared" si="289"/>
        <v>-2.0239825965097724</v>
      </c>
      <c r="I4465" t="e">
        <f t="shared" si="290"/>
        <v>#NUM!</v>
      </c>
    </row>
    <row r="4466" spans="1:9">
      <c r="A4466" t="s">
        <v>17</v>
      </c>
      <c r="B4466" s="2">
        <f t="shared" si="287"/>
        <v>214</v>
      </c>
      <c r="C4466">
        <v>479</v>
      </c>
      <c r="D4466">
        <v>115</v>
      </c>
      <c r="E4466">
        <v>235</v>
      </c>
      <c r="F4466">
        <f t="shared" si="288"/>
        <v>-1.2303433726869235</v>
      </c>
      <c r="G4466">
        <f t="shared" si="289"/>
        <v>-0.93879856682638307</v>
      </c>
      <c r="I4466">
        <f t="shared" si="290"/>
        <v>-1.0845709697566532</v>
      </c>
    </row>
    <row r="4467" spans="1:9">
      <c r="A4467" t="s">
        <v>18</v>
      </c>
      <c r="B4467" s="2">
        <f t="shared" si="287"/>
        <v>214</v>
      </c>
      <c r="C4467">
        <v>569</v>
      </c>
      <c r="D4467">
        <v>171</v>
      </c>
      <c r="E4467">
        <v>95</v>
      </c>
      <c r="F4467">
        <f t="shared" si="288"/>
        <v>-1.1328218556288894</v>
      </c>
      <c r="G4467">
        <f t="shared" si="289"/>
        <v>-1.4069195767897795</v>
      </c>
      <c r="I4467">
        <f t="shared" si="290"/>
        <v>-1.2698707162093346</v>
      </c>
    </row>
    <row r="4468" spans="1:9">
      <c r="A4468" t="s">
        <v>19</v>
      </c>
      <c r="B4468" s="2">
        <f t="shared" si="287"/>
        <v>214</v>
      </c>
      <c r="C4468">
        <v>845</v>
      </c>
      <c r="D4468">
        <v>559</v>
      </c>
      <c r="E4468">
        <v>604</v>
      </c>
      <c r="F4468">
        <f t="shared" si="288"/>
        <v>-0.79015060068924092</v>
      </c>
      <c r="G4468">
        <f t="shared" si="289"/>
        <v>-0.77535068601211665</v>
      </c>
      <c r="I4468">
        <f t="shared" si="290"/>
        <v>-0.78275064335067879</v>
      </c>
    </row>
    <row r="4469" spans="1:9">
      <c r="A4469" t="s">
        <v>20</v>
      </c>
      <c r="B4469" s="2">
        <f t="shared" si="287"/>
        <v>214</v>
      </c>
      <c r="C4469">
        <v>141</v>
      </c>
      <c r="D4469">
        <v>98</v>
      </c>
      <c r="E4469">
        <v>72</v>
      </c>
      <c r="F4469">
        <f t="shared" si="288"/>
        <v>-0.7686987365888569</v>
      </c>
      <c r="G4469">
        <f t="shared" si="289"/>
        <v>-0.92141753190766762</v>
      </c>
      <c r="I4469">
        <f t="shared" si="290"/>
        <v>-0.84505813424826226</v>
      </c>
    </row>
    <row r="4470" spans="1:9">
      <c r="A4470" t="s">
        <v>21</v>
      </c>
      <c r="B4470" s="2">
        <f t="shared" si="287"/>
        <v>214</v>
      </c>
      <c r="C4470">
        <v>277</v>
      </c>
      <c r="D4470">
        <v>309</v>
      </c>
      <c r="E4470">
        <v>493</v>
      </c>
      <c r="F4470">
        <f t="shared" si="288"/>
        <v>-0.56322698926558579</v>
      </c>
      <c r="G4470">
        <f t="shared" si="289"/>
        <v>-0.37916376547077468</v>
      </c>
      <c r="I4470">
        <f t="shared" si="290"/>
        <v>-0.47119537736818023</v>
      </c>
    </row>
    <row r="4471" spans="1:9">
      <c r="A4471" t="s">
        <v>22</v>
      </c>
      <c r="B4471" s="2">
        <f t="shared" si="287"/>
        <v>214</v>
      </c>
      <c r="C4471">
        <v>34</v>
      </c>
      <c r="D4471">
        <v>97</v>
      </c>
      <c r="E4471">
        <v>94</v>
      </c>
      <c r="F4471">
        <f t="shared" si="288"/>
        <v>-0.15541288240198214</v>
      </c>
      <c r="G4471">
        <f t="shared" si="289"/>
        <v>-0.1878819791261126</v>
      </c>
      <c r="I4471">
        <f t="shared" si="290"/>
        <v>-0.17164743076404737</v>
      </c>
    </row>
    <row r="4472" spans="1:9">
      <c r="A4472" t="s">
        <v>23</v>
      </c>
      <c r="B4472" s="2">
        <f t="shared" si="287"/>
        <v>214</v>
      </c>
      <c r="C4472">
        <v>288</v>
      </c>
      <c r="D4472">
        <v>773</v>
      </c>
      <c r="E4472">
        <v>1195</v>
      </c>
      <c r="F4472">
        <f t="shared" si="288"/>
        <v>-0.18191869346687783</v>
      </c>
      <c r="G4472">
        <f t="shared" si="289"/>
        <v>-1.1555498158630551E-2</v>
      </c>
      <c r="I4472">
        <f t="shared" si="290"/>
        <v>-9.6737095812754192E-2</v>
      </c>
    </row>
    <row r="4473" spans="1:9">
      <c r="A4473" t="s">
        <v>24</v>
      </c>
      <c r="B4473" s="2">
        <f t="shared" si="287"/>
        <v>214</v>
      </c>
      <c r="C4473">
        <v>47</v>
      </c>
      <c r="D4473">
        <v>5054</v>
      </c>
      <c r="E4473">
        <v>81</v>
      </c>
      <c r="F4473">
        <f t="shared" si="288"/>
        <v>1.4208316800222065</v>
      </c>
      <c r="G4473">
        <f t="shared" si="289"/>
        <v>-0.39314375474062385</v>
      </c>
      <c r="I4473">
        <f t="shared" si="290"/>
        <v>0.51384396264079135</v>
      </c>
    </row>
    <row r="4474" spans="1:9">
      <c r="A4474" t="s">
        <v>25</v>
      </c>
      <c r="B4474" s="2">
        <f t="shared" si="287"/>
        <v>214</v>
      </c>
      <c r="C4474">
        <v>365</v>
      </c>
      <c r="D4474">
        <v>33</v>
      </c>
      <c r="E4474">
        <v>28</v>
      </c>
      <c r="F4474">
        <f t="shared" si="288"/>
        <v>-1.654484624204559</v>
      </c>
      <c r="G4474">
        <f t="shared" si="289"/>
        <v>-1.7446657487978117</v>
      </c>
      <c r="I4474">
        <f t="shared" si="290"/>
        <v>-1.6995751865011854</v>
      </c>
    </row>
    <row r="4475" spans="1:9">
      <c r="A4475" t="s">
        <v>7</v>
      </c>
      <c r="B4475" s="2">
        <f t="shared" si="287"/>
        <v>215</v>
      </c>
      <c r="C4475">
        <v>61</v>
      </c>
      <c r="D4475">
        <v>2</v>
      </c>
      <c r="E4475">
        <v>1</v>
      </c>
      <c r="F4475">
        <f t="shared" si="288"/>
        <v>-2.0950055389727575</v>
      </c>
      <c r="G4475">
        <f t="shared" si="289"/>
        <v>-2.4148607506943232</v>
      </c>
      <c r="I4475">
        <f t="shared" si="290"/>
        <v>-2.2549331448335401</v>
      </c>
    </row>
    <row r="4476" spans="1:9">
      <c r="A4476" t="s">
        <v>8</v>
      </c>
      <c r="B4476" s="2">
        <f t="shared" si="287"/>
        <v>215</v>
      </c>
      <c r="C4476">
        <v>2</v>
      </c>
      <c r="D4476">
        <v>0</v>
      </c>
      <c r="E4476">
        <v>0</v>
      </c>
      <c r="F4476" t="e">
        <f t="shared" si="288"/>
        <v>#NUM!</v>
      </c>
      <c r="G4476" t="e">
        <f t="shared" si="289"/>
        <v>#NUM!</v>
      </c>
      <c r="I4476" t="e">
        <f t="shared" si="290"/>
        <v>#NUM!</v>
      </c>
    </row>
    <row r="4477" spans="1:9">
      <c r="A4477" t="s">
        <v>5</v>
      </c>
      <c r="B4477" s="2">
        <f t="shared" si="287"/>
        <v>215</v>
      </c>
      <c r="C4477">
        <v>36</v>
      </c>
      <c r="D4477">
        <v>41</v>
      </c>
      <c r="E4477">
        <v>23</v>
      </c>
      <c r="F4477">
        <f t="shared" si="288"/>
        <v>-0.55422434367352369</v>
      </c>
      <c r="G4477">
        <f t="shared" si="289"/>
        <v>-0.82410558043325055</v>
      </c>
      <c r="I4477">
        <f t="shared" si="290"/>
        <v>-0.68916496205338706</v>
      </c>
    </row>
    <row r="4478" spans="1:9">
      <c r="A4478" t="s">
        <v>6</v>
      </c>
      <c r="B4478" s="2">
        <f t="shared" si="287"/>
        <v>215</v>
      </c>
      <c r="C4478">
        <v>92</v>
      </c>
      <c r="D4478">
        <v>0</v>
      </c>
      <c r="E4478">
        <v>4</v>
      </c>
      <c r="F4478" t="e">
        <f t="shared" si="288"/>
        <v>#NUM!</v>
      </c>
      <c r="G4478">
        <f t="shared" si="289"/>
        <v>-1.9912587517011491</v>
      </c>
      <c r="I4478" t="e">
        <f t="shared" si="290"/>
        <v>#NUM!</v>
      </c>
    </row>
    <row r="4479" spans="1:9">
      <c r="A4479" t="s">
        <v>10</v>
      </c>
      <c r="B4479" s="2">
        <f t="shared" si="287"/>
        <v>215</v>
      </c>
      <c r="C4479">
        <v>103</v>
      </c>
      <c r="D4479">
        <v>13</v>
      </c>
      <c r="E4479">
        <v>6</v>
      </c>
      <c r="F4479">
        <f t="shared" si="288"/>
        <v>-1.5095995720243072</v>
      </c>
      <c r="G4479">
        <f t="shared" si="289"/>
        <v>-1.8642168900050846</v>
      </c>
      <c r="I4479">
        <f t="shared" si="290"/>
        <v>-1.6869082310146959</v>
      </c>
    </row>
    <row r="4480" spans="1:9">
      <c r="A4480" t="s">
        <v>11</v>
      </c>
      <c r="B4480" s="2">
        <f t="shared" si="287"/>
        <v>215</v>
      </c>
      <c r="C4480">
        <v>10</v>
      </c>
      <c r="D4480">
        <v>0</v>
      </c>
      <c r="E4480">
        <v>0</v>
      </c>
      <c r="F4480" t="e">
        <f t="shared" si="288"/>
        <v>#NUM!</v>
      </c>
      <c r="G4480" t="e">
        <f t="shared" si="289"/>
        <v>#NUM!</v>
      </c>
      <c r="I4480" t="e">
        <f t="shared" si="290"/>
        <v>#NUM!</v>
      </c>
    </row>
    <row r="4481" spans="1:9">
      <c r="A4481" t="s">
        <v>12</v>
      </c>
      <c r="B4481" s="2">
        <f t="shared" si="287"/>
        <v>215</v>
      </c>
      <c r="C4481">
        <v>210</v>
      </c>
      <c r="D4481">
        <v>0</v>
      </c>
      <c r="E4481">
        <v>1</v>
      </c>
      <c r="F4481" t="e">
        <f t="shared" si="288"/>
        <v>#NUM!</v>
      </c>
      <c r="G4481">
        <f t="shared" si="289"/>
        <v>-2.9517502104174751</v>
      </c>
      <c r="I4481" t="e">
        <f t="shared" si="290"/>
        <v>#NUM!</v>
      </c>
    </row>
    <row r="4482" spans="1:9">
      <c r="A4482" t="s">
        <v>9</v>
      </c>
      <c r="B4482" s="2">
        <f t="shared" si="287"/>
        <v>215</v>
      </c>
      <c r="C4482">
        <v>44</v>
      </c>
      <c r="D4482">
        <v>0</v>
      </c>
      <c r="E4482">
        <v>0</v>
      </c>
      <c r="F4482" t="e">
        <f t="shared" si="288"/>
        <v>#NUM!</v>
      </c>
      <c r="G4482" t="e">
        <f t="shared" si="289"/>
        <v>#NUM!</v>
      </c>
      <c r="I4482" t="e">
        <f t="shared" si="290"/>
        <v>#NUM!</v>
      </c>
    </row>
    <row r="4483" spans="1:9">
      <c r="A4483" t="s">
        <v>13</v>
      </c>
      <c r="B4483" s="2">
        <f t="shared" ref="B4483:B4546" si="291">1+INT((ROW()-2)/21)+1</f>
        <v>215</v>
      </c>
      <c r="C4483">
        <v>10</v>
      </c>
      <c r="D4483">
        <v>12</v>
      </c>
      <c r="E4483">
        <v>1</v>
      </c>
      <c r="F4483">
        <f t="shared" ref="F4483:F4537" si="292">LOG10(D4483/C4483)-LOG10(173206/42448)</f>
        <v>-0.5315244535783471</v>
      </c>
      <c r="G4483">
        <f t="shared" ref="G4483:G4537" si="293">LOG10(E4483/C4483)-LOG10(180879/42448)</f>
        <v>-1.629530915683556</v>
      </c>
      <c r="I4483">
        <f t="shared" ref="I4483:I4546" si="294">AVERAGE(F4483:G4483)</f>
        <v>-1.0805276846309515</v>
      </c>
    </row>
    <row r="4484" spans="1:9">
      <c r="A4484" t="s">
        <v>14</v>
      </c>
      <c r="B4484" s="2">
        <f t="shared" si="291"/>
        <v>215</v>
      </c>
      <c r="C4484">
        <v>36</v>
      </c>
      <c r="D4484">
        <v>11</v>
      </c>
      <c r="E4484">
        <v>682</v>
      </c>
      <c r="F4484">
        <f t="shared" si="292"/>
        <v>-1.125615515235034</v>
      </c>
      <c r="G4484">
        <f t="shared" si="293"/>
        <v>0.64795095820563542</v>
      </c>
      <c r="I4484">
        <f t="shared" si="294"/>
        <v>-0.23883227851469929</v>
      </c>
    </row>
    <row r="4485" spans="1:9">
      <c r="A4485" t="s">
        <v>15</v>
      </c>
      <c r="B4485" s="2">
        <f t="shared" si="291"/>
        <v>215</v>
      </c>
      <c r="C4485">
        <v>9</v>
      </c>
      <c r="D4485">
        <v>58</v>
      </c>
      <c r="E4485">
        <v>68</v>
      </c>
      <c r="F4485">
        <f t="shared" si="292"/>
        <v>0.19847978449764059</v>
      </c>
      <c r="G4485">
        <f t="shared" si="293"/>
        <v>0.24873548758335529</v>
      </c>
      <c r="I4485">
        <f t="shared" si="294"/>
        <v>0.22360763604049794</v>
      </c>
    </row>
    <row r="4486" spans="1:9">
      <c r="A4486" t="s">
        <v>16</v>
      </c>
      <c r="B4486" s="2">
        <f t="shared" si="291"/>
        <v>215</v>
      </c>
      <c r="C4486">
        <v>205</v>
      </c>
      <c r="D4486">
        <v>560</v>
      </c>
      <c r="E4486">
        <v>449</v>
      </c>
      <c r="F4486">
        <f t="shared" si="292"/>
        <v>-0.17427153367552572</v>
      </c>
      <c r="G4486">
        <f t="shared" si="293"/>
        <v>-0.2890384357359872</v>
      </c>
      <c r="I4486">
        <f t="shared" si="294"/>
        <v>-0.23165498470575646</v>
      </c>
    </row>
    <row r="4487" spans="1:9">
      <c r="A4487" t="s">
        <v>17</v>
      </c>
      <c r="B4487" s="2">
        <f t="shared" si="291"/>
        <v>215</v>
      </c>
      <c r="C4487">
        <v>9</v>
      </c>
      <c r="D4487">
        <v>0</v>
      </c>
      <c r="E4487">
        <v>0</v>
      </c>
      <c r="F4487" t="e">
        <f t="shared" si="292"/>
        <v>#NUM!</v>
      </c>
      <c r="G4487" t="e">
        <f t="shared" si="293"/>
        <v>#NUM!</v>
      </c>
      <c r="I4487" t="e">
        <f t="shared" si="294"/>
        <v>#NUM!</v>
      </c>
    </row>
    <row r="4488" spans="1:9">
      <c r="A4488" t="s">
        <v>18</v>
      </c>
      <c r="B4488" s="2">
        <f t="shared" si="291"/>
        <v>215</v>
      </c>
      <c r="C4488">
        <v>14</v>
      </c>
      <c r="D4488">
        <v>2</v>
      </c>
      <c r="E4488">
        <v>0</v>
      </c>
      <c r="F4488">
        <f t="shared" si="292"/>
        <v>-1.4558037396402286</v>
      </c>
      <c r="G4488" t="e">
        <f t="shared" si="293"/>
        <v>#NUM!</v>
      </c>
      <c r="I4488" t="e">
        <f t="shared" si="294"/>
        <v>#NUM!</v>
      </c>
    </row>
    <row r="4489" spans="1:9">
      <c r="A4489" t="s">
        <v>19</v>
      </c>
      <c r="B4489" s="2">
        <f t="shared" si="291"/>
        <v>215</v>
      </c>
      <c r="C4489">
        <v>28</v>
      </c>
      <c r="D4489">
        <v>1</v>
      </c>
      <c r="E4489">
        <v>0</v>
      </c>
      <c r="F4489">
        <f t="shared" si="292"/>
        <v>-2.0578637309681911</v>
      </c>
      <c r="G4489" t="e">
        <f t="shared" si="293"/>
        <v>#NUM!</v>
      </c>
      <c r="I4489" t="e">
        <f t="shared" si="294"/>
        <v>#NUM!</v>
      </c>
    </row>
    <row r="4490" spans="1:9">
      <c r="A4490" t="s">
        <v>20</v>
      </c>
      <c r="B4490" s="2">
        <f t="shared" si="291"/>
        <v>215</v>
      </c>
      <c r="C4490">
        <v>0</v>
      </c>
      <c r="D4490">
        <v>0</v>
      </c>
      <c r="E4490">
        <v>0</v>
      </c>
      <c r="F4490" t="e">
        <f t="shared" si="292"/>
        <v>#DIV/0!</v>
      </c>
      <c r="G4490" t="e">
        <f t="shared" si="293"/>
        <v>#DIV/0!</v>
      </c>
      <c r="I4490" t="e">
        <f t="shared" si="294"/>
        <v>#DIV/0!</v>
      </c>
    </row>
    <row r="4491" spans="1:9">
      <c r="A4491" t="s">
        <v>21</v>
      </c>
      <c r="B4491" s="2">
        <f t="shared" si="291"/>
        <v>215</v>
      </c>
      <c r="C4491">
        <v>30</v>
      </c>
      <c r="D4491">
        <v>0</v>
      </c>
      <c r="E4491">
        <v>0</v>
      </c>
      <c r="F4491" t="e">
        <f t="shared" si="292"/>
        <v>#NUM!</v>
      </c>
      <c r="G4491" t="e">
        <f t="shared" si="293"/>
        <v>#NUM!</v>
      </c>
      <c r="I4491" t="e">
        <f t="shared" si="294"/>
        <v>#NUM!</v>
      </c>
    </row>
    <row r="4492" spans="1:9">
      <c r="A4492" t="s">
        <v>22</v>
      </c>
      <c r="B4492" s="2">
        <f t="shared" si="291"/>
        <v>215</v>
      </c>
      <c r="C4492">
        <v>85</v>
      </c>
      <c r="D4492">
        <v>0</v>
      </c>
      <c r="E4492">
        <v>0</v>
      </c>
      <c r="F4492" t="e">
        <f t="shared" si="292"/>
        <v>#NUM!</v>
      </c>
      <c r="G4492" t="e">
        <f t="shared" si="293"/>
        <v>#NUM!</v>
      </c>
      <c r="I4492" t="e">
        <f t="shared" si="294"/>
        <v>#NUM!</v>
      </c>
    </row>
    <row r="4493" spans="1:9">
      <c r="A4493" t="s">
        <v>23</v>
      </c>
      <c r="B4493" s="2">
        <f t="shared" si="291"/>
        <v>215</v>
      </c>
      <c r="C4493">
        <v>22</v>
      </c>
      <c r="D4493">
        <v>0</v>
      </c>
      <c r="E4493">
        <v>0</v>
      </c>
      <c r="F4493" t="e">
        <f t="shared" si="292"/>
        <v>#NUM!</v>
      </c>
      <c r="G4493" t="e">
        <f t="shared" si="293"/>
        <v>#NUM!</v>
      </c>
      <c r="I4493" t="e">
        <f t="shared" si="294"/>
        <v>#NUM!</v>
      </c>
    </row>
    <row r="4494" spans="1:9">
      <c r="A4494" t="s">
        <v>24</v>
      </c>
      <c r="B4494" s="2">
        <f t="shared" si="291"/>
        <v>215</v>
      </c>
      <c r="C4494">
        <v>5</v>
      </c>
      <c r="D4494">
        <v>0</v>
      </c>
      <c r="E4494">
        <v>2</v>
      </c>
      <c r="F4494" t="e">
        <f t="shared" si="292"/>
        <v>#NUM!</v>
      </c>
      <c r="G4494">
        <f t="shared" si="293"/>
        <v>-1.0274709243555937</v>
      </c>
      <c r="I4494" t="e">
        <f t="shared" si="294"/>
        <v>#NUM!</v>
      </c>
    </row>
    <row r="4495" spans="1:9">
      <c r="A4495" t="s">
        <v>25</v>
      </c>
      <c r="B4495" s="2">
        <f t="shared" si="291"/>
        <v>215</v>
      </c>
      <c r="C4495">
        <v>136</v>
      </c>
      <c r="D4495">
        <v>1</v>
      </c>
      <c r="E4495">
        <v>0</v>
      </c>
      <c r="F4495">
        <f t="shared" si="292"/>
        <v>-2.7442446079961895</v>
      </c>
      <c r="G4495" t="e">
        <f t="shared" si="293"/>
        <v>#NUM!</v>
      </c>
      <c r="I4495" t="e">
        <f t="shared" si="294"/>
        <v>#NUM!</v>
      </c>
    </row>
    <row r="4496" spans="1:9">
      <c r="A4496" t="s">
        <v>7</v>
      </c>
      <c r="B4496" s="2">
        <f t="shared" si="291"/>
        <v>216</v>
      </c>
      <c r="C4496">
        <v>35</v>
      </c>
      <c r="D4496">
        <v>5</v>
      </c>
      <c r="E4496">
        <v>5</v>
      </c>
      <c r="F4496">
        <f t="shared" si="292"/>
        <v>-1.4558037396402286</v>
      </c>
      <c r="G4496">
        <f t="shared" si="293"/>
        <v>-1.4746289556978129</v>
      </c>
      <c r="I4496">
        <f t="shared" si="294"/>
        <v>-1.4652163476690208</v>
      </c>
    </row>
    <row r="4497" spans="1:9">
      <c r="A4497" t="s">
        <v>8</v>
      </c>
      <c r="B4497" s="2">
        <f t="shared" si="291"/>
        <v>216</v>
      </c>
      <c r="C4497">
        <v>245</v>
      </c>
      <c r="D4497">
        <v>23</v>
      </c>
      <c r="E4497">
        <v>20</v>
      </c>
      <c r="F4497">
        <f t="shared" si="292"/>
        <v>-1.6381439479729114</v>
      </c>
      <c r="G4497">
        <f t="shared" si="293"/>
        <v>-1.7176670043841074</v>
      </c>
      <c r="I4497">
        <f t="shared" si="294"/>
        <v>-1.6779054761785095</v>
      </c>
    </row>
    <row r="4498" spans="1:9">
      <c r="A4498" t="s">
        <v>5</v>
      </c>
      <c r="B4498" s="2">
        <f t="shared" si="291"/>
        <v>216</v>
      </c>
      <c r="C4498">
        <v>20</v>
      </c>
      <c r="D4498">
        <v>9</v>
      </c>
      <c r="E4498">
        <v>2</v>
      </c>
      <c r="F4498">
        <f t="shared" si="292"/>
        <v>-0.95749318585062815</v>
      </c>
      <c r="G4498">
        <f t="shared" si="293"/>
        <v>-1.629530915683556</v>
      </c>
      <c r="I4498">
        <f t="shared" si="294"/>
        <v>-1.2935120507670921</v>
      </c>
    </row>
    <row r="4499" spans="1:9">
      <c r="A4499" t="s">
        <v>6</v>
      </c>
      <c r="B4499" s="2">
        <f t="shared" si="291"/>
        <v>216</v>
      </c>
      <c r="C4499">
        <v>39</v>
      </c>
      <c r="D4499">
        <v>11</v>
      </c>
      <c r="E4499">
        <v>3</v>
      </c>
      <c r="F4499">
        <f t="shared" si="292"/>
        <v>-1.1603776214942461</v>
      </c>
      <c r="G4499">
        <f t="shared" si="293"/>
        <v>-1.743474267990393</v>
      </c>
      <c r="I4499">
        <f t="shared" si="294"/>
        <v>-1.4519259447423196</v>
      </c>
    </row>
    <row r="4500" spans="1:9">
      <c r="A4500" t="s">
        <v>10</v>
      </c>
      <c r="B4500" s="2">
        <f t="shared" si="291"/>
        <v>216</v>
      </c>
      <c r="C4500">
        <v>5</v>
      </c>
      <c r="D4500">
        <v>54</v>
      </c>
      <c r="E4500">
        <v>20</v>
      </c>
      <c r="F4500">
        <f t="shared" si="292"/>
        <v>0.42271805586097777</v>
      </c>
      <c r="G4500">
        <f t="shared" si="293"/>
        <v>-2.7470924355593729E-2</v>
      </c>
      <c r="I4500">
        <f t="shared" si="294"/>
        <v>0.19762356575269202</v>
      </c>
    </row>
    <row r="4501" spans="1:9">
      <c r="A4501" t="s">
        <v>11</v>
      </c>
      <c r="B4501" s="2">
        <f t="shared" si="291"/>
        <v>216</v>
      </c>
      <c r="C4501">
        <v>51</v>
      </c>
      <c r="D4501">
        <v>0</v>
      </c>
      <c r="E4501">
        <v>1</v>
      </c>
      <c r="F4501" t="e">
        <f t="shared" si="292"/>
        <v>#NUM!</v>
      </c>
      <c r="G4501">
        <f t="shared" si="293"/>
        <v>-2.3371010917814923</v>
      </c>
      <c r="I4501" t="e">
        <f t="shared" si="294"/>
        <v>#NUM!</v>
      </c>
    </row>
    <row r="4502" spans="1:9">
      <c r="A4502" t="s">
        <v>12</v>
      </c>
      <c r="B4502" s="2">
        <f t="shared" si="291"/>
        <v>216</v>
      </c>
      <c r="C4502">
        <v>466</v>
      </c>
      <c r="D4502">
        <v>349</v>
      </c>
      <c r="E4502">
        <v>682</v>
      </c>
      <c r="F4502">
        <f t="shared" si="292"/>
        <v>-0.73626618935679211</v>
      </c>
      <c r="G4502">
        <f t="shared" si="293"/>
        <v>-0.46413245771707734</v>
      </c>
      <c r="I4502">
        <f t="shared" si="294"/>
        <v>-0.60019932353693473</v>
      </c>
    </row>
    <row r="4503" spans="1:9">
      <c r="A4503" t="s">
        <v>9</v>
      </c>
      <c r="B4503" s="2">
        <f t="shared" si="291"/>
        <v>216</v>
      </c>
      <c r="C4503">
        <v>7</v>
      </c>
      <c r="D4503">
        <v>13</v>
      </c>
      <c r="E4503">
        <v>5</v>
      </c>
      <c r="F4503">
        <f t="shared" si="292"/>
        <v>-0.34186038733339191</v>
      </c>
      <c r="G4503">
        <f t="shared" si="293"/>
        <v>-0.77565895136179419</v>
      </c>
      <c r="I4503">
        <f t="shared" si="294"/>
        <v>-0.55875966934759302</v>
      </c>
    </row>
    <row r="4504" spans="1:9">
      <c r="A4504" t="s">
        <v>13</v>
      </c>
      <c r="B4504" s="2">
        <f t="shared" si="291"/>
        <v>216</v>
      </c>
      <c r="C4504">
        <v>57</v>
      </c>
      <c r="D4504">
        <v>879</v>
      </c>
      <c r="E4504">
        <v>133</v>
      </c>
      <c r="F4504">
        <f t="shared" si="292"/>
        <v>0.5774083197753086</v>
      </c>
      <c r="G4504">
        <f t="shared" si="293"/>
        <v>-0.26155413038896169</v>
      </c>
      <c r="I4504">
        <f t="shared" si="294"/>
        <v>0.15792709469317345</v>
      </c>
    </row>
    <row r="4505" spans="1:9">
      <c r="A4505" t="s">
        <v>14</v>
      </c>
      <c r="B4505" s="2">
        <f t="shared" si="291"/>
        <v>216</v>
      </c>
      <c r="C4505">
        <v>42448</v>
      </c>
      <c r="D4505">
        <v>173206</v>
      </c>
      <c r="E4505">
        <v>180879</v>
      </c>
      <c r="F4505">
        <f t="shared" si="292"/>
        <v>0</v>
      </c>
      <c r="G4505">
        <f t="shared" si="293"/>
        <v>0</v>
      </c>
      <c r="I4505">
        <f t="shared" si="294"/>
        <v>0</v>
      </c>
    </row>
    <row r="4506" spans="1:9">
      <c r="A4506" t="s">
        <v>15</v>
      </c>
      <c r="B4506" s="2">
        <f t="shared" si="291"/>
        <v>216</v>
      </c>
      <c r="C4506">
        <v>7</v>
      </c>
      <c r="D4506">
        <v>64</v>
      </c>
      <c r="E4506">
        <v>364</v>
      </c>
      <c r="F4506">
        <f t="shared" si="292"/>
        <v>0.35037623434365839</v>
      </c>
      <c r="G4506">
        <f t="shared" si="293"/>
        <v>1.086472427951243</v>
      </c>
      <c r="I4506">
        <f t="shared" si="294"/>
        <v>0.71842433114745075</v>
      </c>
    </row>
    <row r="4507" spans="1:9">
      <c r="A4507" t="s">
        <v>16</v>
      </c>
      <c r="B4507" s="2">
        <f t="shared" si="291"/>
        <v>216</v>
      </c>
      <c r="C4507">
        <v>23</v>
      </c>
      <c r="D4507">
        <v>9</v>
      </c>
      <c r="E4507">
        <v>19</v>
      </c>
      <c r="F4507">
        <f t="shared" si="292"/>
        <v>-1.01819102620424</v>
      </c>
      <c r="G4507">
        <f t="shared" si="293"/>
        <v>-0.71250515074831999</v>
      </c>
      <c r="I4507">
        <f t="shared" si="294"/>
        <v>-0.86534808847627998</v>
      </c>
    </row>
    <row r="4508" spans="1:9">
      <c r="A4508" t="s">
        <v>17</v>
      </c>
      <c r="B4508" s="2">
        <f t="shared" si="291"/>
        <v>216</v>
      </c>
      <c r="C4508">
        <v>0</v>
      </c>
      <c r="D4508">
        <v>0</v>
      </c>
      <c r="E4508">
        <v>0</v>
      </c>
      <c r="F4508" t="e">
        <f t="shared" si="292"/>
        <v>#DIV/0!</v>
      </c>
      <c r="G4508" t="e">
        <f t="shared" si="293"/>
        <v>#DIV/0!</v>
      </c>
      <c r="I4508" t="e">
        <f t="shared" si="294"/>
        <v>#DIV/0!</v>
      </c>
    </row>
    <row r="4509" spans="1:9">
      <c r="A4509" t="s">
        <v>18</v>
      </c>
      <c r="B4509" s="2">
        <f t="shared" si="291"/>
        <v>216</v>
      </c>
      <c r="C4509">
        <v>102</v>
      </c>
      <c r="D4509">
        <v>1044</v>
      </c>
      <c r="E4509">
        <v>1250</v>
      </c>
      <c r="F4509">
        <f t="shared" si="292"/>
        <v>0.39939462727835395</v>
      </c>
      <c r="G4509">
        <f t="shared" si="293"/>
        <v>0.45877892556258282</v>
      </c>
      <c r="I4509">
        <f t="shared" si="294"/>
        <v>0.42908677642046839</v>
      </c>
    </row>
    <row r="4510" spans="1:9">
      <c r="A4510" t="s">
        <v>19</v>
      </c>
      <c r="B4510" s="2">
        <f t="shared" si="291"/>
        <v>216</v>
      </c>
      <c r="C4510">
        <v>31</v>
      </c>
      <c r="D4510">
        <v>35</v>
      </c>
      <c r="E4510">
        <v>782</v>
      </c>
      <c r="F4510">
        <f t="shared" si="292"/>
        <v>-0.55799934910996885</v>
      </c>
      <c r="G4510">
        <f t="shared" si="293"/>
        <v>0.77231414354201922</v>
      </c>
      <c r="I4510">
        <f t="shared" si="294"/>
        <v>0.10715739721602519</v>
      </c>
    </row>
    <row r="4511" spans="1:9">
      <c r="A4511" t="s">
        <v>20</v>
      </c>
      <c r="B4511" s="2">
        <f t="shared" si="291"/>
        <v>216</v>
      </c>
      <c r="C4511">
        <v>13</v>
      </c>
      <c r="D4511">
        <v>68</v>
      </c>
      <c r="E4511">
        <v>84</v>
      </c>
      <c r="F4511">
        <f t="shared" si="292"/>
        <v>0.10785986077342768</v>
      </c>
      <c r="G4511">
        <f t="shared" si="293"/>
        <v>0.18080501807148874</v>
      </c>
      <c r="I4511">
        <f t="shared" si="294"/>
        <v>0.14433243942245821</v>
      </c>
    </row>
    <row r="4512" spans="1:9">
      <c r="A4512" t="s">
        <v>21</v>
      </c>
      <c r="B4512" s="2">
        <f t="shared" si="291"/>
        <v>216</v>
      </c>
      <c r="C4512">
        <v>14</v>
      </c>
      <c r="D4512">
        <v>10</v>
      </c>
      <c r="E4512">
        <v>60</v>
      </c>
      <c r="F4512">
        <f t="shared" si="292"/>
        <v>-0.75683373530420983</v>
      </c>
      <c r="G4512">
        <f t="shared" si="293"/>
        <v>2.4922990218494423E-3</v>
      </c>
      <c r="I4512">
        <f t="shared" si="294"/>
        <v>-0.37717071814118019</v>
      </c>
    </row>
    <row r="4513" spans="1:9">
      <c r="A4513" t="s">
        <v>22</v>
      </c>
      <c r="B4513" s="2">
        <f t="shared" si="291"/>
        <v>216</v>
      </c>
      <c r="C4513">
        <v>103</v>
      </c>
      <c r="D4513">
        <v>1081</v>
      </c>
      <c r="E4513">
        <v>339</v>
      </c>
      <c r="F4513">
        <f t="shared" si="292"/>
        <v>0.41028276962216625</v>
      </c>
      <c r="G4513">
        <f t="shared" si="293"/>
        <v>-0.11216844218564614</v>
      </c>
      <c r="I4513">
        <f t="shared" si="294"/>
        <v>0.14905716371826006</v>
      </c>
    </row>
    <row r="4514" spans="1:9">
      <c r="A4514" t="s">
        <v>23</v>
      </c>
      <c r="B4514" s="2">
        <f t="shared" si="291"/>
        <v>216</v>
      </c>
      <c r="C4514">
        <v>114</v>
      </c>
      <c r="D4514">
        <v>446</v>
      </c>
      <c r="E4514">
        <v>213</v>
      </c>
      <c r="F4514">
        <f t="shared" si="292"/>
        <v>-1.8275692250302566E-2</v>
      </c>
      <c r="G4514">
        <f t="shared" si="293"/>
        <v>-0.358056163581291</v>
      </c>
      <c r="I4514">
        <f t="shared" si="294"/>
        <v>-0.18816592791579678</v>
      </c>
    </row>
    <row r="4515" spans="1:9">
      <c r="A4515" t="s">
        <v>24</v>
      </c>
      <c r="B4515" s="2">
        <f t="shared" si="291"/>
        <v>216</v>
      </c>
      <c r="C4515">
        <v>2</v>
      </c>
      <c r="D4515">
        <v>14</v>
      </c>
      <c r="E4515">
        <v>0</v>
      </c>
      <c r="F4515">
        <f t="shared" si="292"/>
        <v>0.23439234038828494</v>
      </c>
      <c r="G4515" t="e">
        <f t="shared" si="293"/>
        <v>#NUM!</v>
      </c>
      <c r="I4515" t="e">
        <f t="shared" si="294"/>
        <v>#NUM!</v>
      </c>
    </row>
    <row r="4516" spans="1:9">
      <c r="A4516" t="s">
        <v>25</v>
      </c>
      <c r="B4516" s="2">
        <f t="shared" si="291"/>
        <v>216</v>
      </c>
      <c r="C4516">
        <v>3</v>
      </c>
      <c r="D4516">
        <v>0</v>
      </c>
      <c r="E4516">
        <v>0</v>
      </c>
      <c r="F4516" t="e">
        <f t="shared" si="292"/>
        <v>#NUM!</v>
      </c>
      <c r="G4516" t="e">
        <f t="shared" si="293"/>
        <v>#NUM!</v>
      </c>
      <c r="I4516" t="e">
        <f t="shared" si="294"/>
        <v>#NUM!</v>
      </c>
    </row>
    <row r="4517" spans="1:9">
      <c r="A4517" t="s">
        <v>7</v>
      </c>
      <c r="B4517" s="2">
        <f t="shared" si="291"/>
        <v>217</v>
      </c>
      <c r="C4517">
        <v>42448</v>
      </c>
      <c r="D4517">
        <v>173206</v>
      </c>
      <c r="E4517">
        <v>180879</v>
      </c>
      <c r="F4517">
        <f t="shared" si="292"/>
        <v>0</v>
      </c>
      <c r="G4517">
        <f t="shared" si="293"/>
        <v>0</v>
      </c>
      <c r="I4517">
        <f t="shared" si="294"/>
        <v>0</v>
      </c>
    </row>
    <row r="4518" spans="1:9">
      <c r="A4518" t="s">
        <v>8</v>
      </c>
      <c r="B4518" s="2">
        <f t="shared" si="291"/>
        <v>217</v>
      </c>
      <c r="C4518">
        <v>23</v>
      </c>
      <c r="D4518">
        <v>30</v>
      </c>
      <c r="E4518">
        <v>20</v>
      </c>
      <c r="F4518">
        <f t="shared" si="292"/>
        <v>-0.49531228092390234</v>
      </c>
      <c r="G4518">
        <f t="shared" si="293"/>
        <v>-0.69022875603716782</v>
      </c>
      <c r="I4518">
        <f t="shared" si="294"/>
        <v>-0.59277051848053508</v>
      </c>
    </row>
    <row r="4519" spans="1:9">
      <c r="A4519" t="s">
        <v>5</v>
      </c>
      <c r="B4519" s="2">
        <f t="shared" si="291"/>
        <v>217</v>
      </c>
      <c r="C4519">
        <v>11</v>
      </c>
      <c r="D4519">
        <v>38</v>
      </c>
      <c r="E4519">
        <v>36</v>
      </c>
      <c r="F4519">
        <f t="shared" si="292"/>
        <v>-7.231478816738679E-2</v>
      </c>
      <c r="G4519">
        <f t="shared" si="293"/>
        <v>-0.11462110007449389</v>
      </c>
      <c r="I4519">
        <f t="shared" si="294"/>
        <v>-9.3467944120940338E-2</v>
      </c>
    </row>
    <row r="4520" spans="1:9">
      <c r="A4520" t="s">
        <v>6</v>
      </c>
      <c r="B4520" s="2">
        <f t="shared" si="291"/>
        <v>217</v>
      </c>
      <c r="C4520">
        <v>0</v>
      </c>
      <c r="D4520">
        <v>0</v>
      </c>
      <c r="E4520">
        <v>0</v>
      </c>
      <c r="F4520" t="e">
        <f t="shared" si="292"/>
        <v>#DIV/0!</v>
      </c>
      <c r="G4520" t="e">
        <f t="shared" si="293"/>
        <v>#DIV/0!</v>
      </c>
      <c r="I4520" t="e">
        <f t="shared" si="294"/>
        <v>#DIV/0!</v>
      </c>
    </row>
    <row r="4521" spans="1:9">
      <c r="A4521" t="s">
        <v>10</v>
      </c>
      <c r="B4521" s="2">
        <f t="shared" si="291"/>
        <v>217</v>
      </c>
      <c r="C4521">
        <v>4</v>
      </c>
      <c r="D4521">
        <v>0</v>
      </c>
      <c r="E4521">
        <v>3</v>
      </c>
      <c r="F4521" t="e">
        <f t="shared" si="292"/>
        <v>#NUM!</v>
      </c>
      <c r="G4521">
        <f t="shared" si="293"/>
        <v>-0.75446965229185603</v>
      </c>
      <c r="I4521" t="e">
        <f t="shared" si="294"/>
        <v>#NUM!</v>
      </c>
    </row>
    <row r="4522" spans="1:9">
      <c r="A4522" t="s">
        <v>11</v>
      </c>
      <c r="B4522" s="2">
        <f t="shared" si="291"/>
        <v>217</v>
      </c>
      <c r="C4522">
        <v>1</v>
      </c>
      <c r="D4522">
        <v>0</v>
      </c>
      <c r="E4522">
        <v>1</v>
      </c>
      <c r="F4522" t="e">
        <f t="shared" si="292"/>
        <v>#NUM!</v>
      </c>
      <c r="G4522">
        <f t="shared" si="293"/>
        <v>-0.62953091568355612</v>
      </c>
      <c r="I4522" t="e">
        <f t="shared" si="294"/>
        <v>#NUM!</v>
      </c>
    </row>
    <row r="4523" spans="1:9">
      <c r="A4523" t="s">
        <v>12</v>
      </c>
      <c r="B4523" s="2">
        <f t="shared" si="291"/>
        <v>217</v>
      </c>
      <c r="C4523">
        <v>38</v>
      </c>
      <c r="D4523">
        <v>25</v>
      </c>
      <c r="E4523">
        <v>3</v>
      </c>
      <c r="F4523">
        <f t="shared" si="292"/>
        <v>-0.79254928757074439</v>
      </c>
      <c r="G4523">
        <f t="shared" si="293"/>
        <v>-1.732193257580704</v>
      </c>
      <c r="I4523">
        <f t="shared" si="294"/>
        <v>-1.2623712725757241</v>
      </c>
    </row>
    <row r="4524" spans="1:9">
      <c r="A4524" t="s">
        <v>9</v>
      </c>
      <c r="B4524" s="2">
        <f t="shared" si="291"/>
        <v>217</v>
      </c>
      <c r="C4524">
        <v>0</v>
      </c>
      <c r="D4524">
        <v>1</v>
      </c>
      <c r="E4524">
        <v>1</v>
      </c>
      <c r="F4524" t="e">
        <f t="shared" si="292"/>
        <v>#DIV/0!</v>
      </c>
      <c r="G4524" t="e">
        <f t="shared" si="293"/>
        <v>#DIV/0!</v>
      </c>
      <c r="I4524" t="e">
        <f t="shared" si="294"/>
        <v>#DIV/0!</v>
      </c>
    </row>
    <row r="4525" spans="1:9">
      <c r="A4525" t="s">
        <v>13</v>
      </c>
      <c r="B4525" s="2">
        <f t="shared" si="291"/>
        <v>217</v>
      </c>
      <c r="C4525">
        <v>27</v>
      </c>
      <c r="D4525">
        <v>259</v>
      </c>
      <c r="E4525">
        <v>144</v>
      </c>
      <c r="F4525">
        <f t="shared" si="292"/>
        <v>0.37123030029629267</v>
      </c>
      <c r="G4525">
        <f t="shared" si="293"/>
        <v>9.7467812252706176E-2</v>
      </c>
      <c r="I4525">
        <f t="shared" si="294"/>
        <v>0.23434905627449942</v>
      </c>
    </row>
    <row r="4526" spans="1:9">
      <c r="A4526" t="s">
        <v>14</v>
      </c>
      <c r="B4526" s="2">
        <f t="shared" si="291"/>
        <v>217</v>
      </c>
      <c r="C4526">
        <v>20</v>
      </c>
      <c r="D4526">
        <v>59</v>
      </c>
      <c r="E4526">
        <v>20</v>
      </c>
      <c r="F4526">
        <f t="shared" si="292"/>
        <v>-0.14088368364780884</v>
      </c>
      <c r="G4526">
        <f t="shared" si="293"/>
        <v>-0.62953091568355612</v>
      </c>
      <c r="I4526">
        <f t="shared" si="294"/>
        <v>-0.38520729966568246</v>
      </c>
    </row>
    <row r="4527" spans="1:9">
      <c r="A4527" t="s">
        <v>15</v>
      </c>
      <c r="B4527" s="2">
        <f t="shared" si="291"/>
        <v>217</v>
      </c>
      <c r="C4527">
        <v>52</v>
      </c>
      <c r="D4527">
        <v>1340</v>
      </c>
      <c r="E4527">
        <v>366</v>
      </c>
      <c r="F4527">
        <f t="shared" si="292"/>
        <v>0.8003957551040366</v>
      </c>
      <c r="G4527">
        <f t="shared" si="293"/>
        <v>0.21794682607605542</v>
      </c>
      <c r="I4527">
        <f t="shared" si="294"/>
        <v>0.50917129059004607</v>
      </c>
    </row>
    <row r="4528" spans="1:9">
      <c r="A4528" t="s">
        <v>16</v>
      </c>
      <c r="B4528" s="2">
        <f t="shared" si="291"/>
        <v>217</v>
      </c>
      <c r="C4528">
        <v>0</v>
      </c>
      <c r="D4528">
        <v>0</v>
      </c>
      <c r="E4528">
        <v>0</v>
      </c>
      <c r="F4528" t="e">
        <f t="shared" si="292"/>
        <v>#DIV/0!</v>
      </c>
      <c r="G4528" t="e">
        <f t="shared" si="293"/>
        <v>#DIV/0!</v>
      </c>
      <c r="I4528" t="e">
        <f t="shared" si="294"/>
        <v>#DIV/0!</v>
      </c>
    </row>
    <row r="4529" spans="1:9">
      <c r="A4529" t="s">
        <v>17</v>
      </c>
      <c r="B4529" s="2">
        <f t="shared" si="291"/>
        <v>217</v>
      </c>
      <c r="C4529">
        <v>0</v>
      </c>
      <c r="D4529">
        <v>0</v>
      </c>
      <c r="E4529">
        <v>0</v>
      </c>
      <c r="F4529" t="e">
        <f t="shared" si="292"/>
        <v>#DIV/0!</v>
      </c>
      <c r="G4529" t="e">
        <f t="shared" si="293"/>
        <v>#DIV/0!</v>
      </c>
      <c r="I4529" t="e">
        <f t="shared" si="294"/>
        <v>#DIV/0!</v>
      </c>
    </row>
    <row r="4530" spans="1:9">
      <c r="A4530" t="s">
        <v>18</v>
      </c>
      <c r="B4530" s="2">
        <f t="shared" si="291"/>
        <v>217</v>
      </c>
      <c r="C4530">
        <v>3</v>
      </c>
      <c r="D4530">
        <v>0</v>
      </c>
      <c r="E4530">
        <v>0</v>
      </c>
      <c r="F4530" t="e">
        <f t="shared" si="292"/>
        <v>#NUM!</v>
      </c>
      <c r="G4530" t="e">
        <f t="shared" si="293"/>
        <v>#NUM!</v>
      </c>
      <c r="I4530" t="e">
        <f t="shared" si="294"/>
        <v>#NUM!</v>
      </c>
    </row>
    <row r="4531" spans="1:9">
      <c r="A4531" t="s">
        <v>19</v>
      </c>
      <c r="B4531" s="2">
        <f t="shared" si="291"/>
        <v>217</v>
      </c>
      <c r="C4531">
        <v>1</v>
      </c>
      <c r="D4531">
        <v>0</v>
      </c>
      <c r="E4531">
        <v>0</v>
      </c>
      <c r="F4531" t="e">
        <f t="shared" si="292"/>
        <v>#NUM!</v>
      </c>
      <c r="G4531" t="e">
        <f t="shared" si="293"/>
        <v>#NUM!</v>
      </c>
      <c r="I4531" t="e">
        <f t="shared" si="294"/>
        <v>#NUM!</v>
      </c>
    </row>
    <row r="4532" spans="1:9">
      <c r="A4532" t="s">
        <v>20</v>
      </c>
      <c r="B4532" s="2">
        <f t="shared" si="291"/>
        <v>217</v>
      </c>
      <c r="C4532">
        <v>39</v>
      </c>
      <c r="D4532">
        <v>356</v>
      </c>
      <c r="E4532">
        <v>510</v>
      </c>
      <c r="F4532">
        <f t="shared" si="292"/>
        <v>0.34967969132040411</v>
      </c>
      <c r="G4532">
        <f t="shared" si="293"/>
        <v>0.48697465338788104</v>
      </c>
      <c r="I4532">
        <f t="shared" si="294"/>
        <v>0.41832717235414257</v>
      </c>
    </row>
    <row r="4533" spans="1:9">
      <c r="A4533" t="s">
        <v>21</v>
      </c>
      <c r="B4533" s="2">
        <f t="shared" si="291"/>
        <v>217</v>
      </c>
      <c r="C4533">
        <v>0</v>
      </c>
      <c r="D4533">
        <v>0</v>
      </c>
      <c r="E4533">
        <v>0</v>
      </c>
      <c r="F4533" t="e">
        <f t="shared" si="292"/>
        <v>#DIV/0!</v>
      </c>
      <c r="G4533" t="e">
        <f t="shared" si="293"/>
        <v>#DIV/0!</v>
      </c>
      <c r="I4533" t="e">
        <f t="shared" si="294"/>
        <v>#DIV/0!</v>
      </c>
    </row>
    <row r="4534" spans="1:9">
      <c r="A4534" t="s">
        <v>22</v>
      </c>
      <c r="B4534" s="2">
        <f t="shared" si="291"/>
        <v>217</v>
      </c>
      <c r="C4534">
        <v>11</v>
      </c>
      <c r="D4534">
        <v>63</v>
      </c>
      <c r="E4534">
        <v>235</v>
      </c>
      <c r="F4534">
        <f t="shared" si="292"/>
        <v>0.14724216466938478</v>
      </c>
      <c r="G4534">
        <f t="shared" si="293"/>
        <v>0.70014426142995501</v>
      </c>
      <c r="I4534">
        <f t="shared" si="294"/>
        <v>0.42369321304966989</v>
      </c>
    </row>
    <row r="4535" spans="1:9">
      <c r="A4535" t="s">
        <v>23</v>
      </c>
      <c r="B4535" s="2">
        <f t="shared" si="291"/>
        <v>217</v>
      </c>
      <c r="C4535">
        <v>20</v>
      </c>
      <c r="D4535">
        <v>16</v>
      </c>
      <c r="E4535">
        <v>23</v>
      </c>
      <c r="F4535">
        <f t="shared" si="292"/>
        <v>-0.70761571263402823</v>
      </c>
      <c r="G4535">
        <f t="shared" si="293"/>
        <v>-0.56883307532994443</v>
      </c>
      <c r="I4535">
        <f t="shared" si="294"/>
        <v>-0.63822439398198627</v>
      </c>
    </row>
    <row r="4536" spans="1:9">
      <c r="A4536" t="s">
        <v>24</v>
      </c>
      <c r="B4536" s="2">
        <f t="shared" si="291"/>
        <v>217</v>
      </c>
      <c r="C4536">
        <v>2</v>
      </c>
      <c r="D4536">
        <v>0</v>
      </c>
      <c r="E4536">
        <v>0</v>
      </c>
      <c r="F4536" t="e">
        <f t="shared" si="292"/>
        <v>#NUM!</v>
      </c>
      <c r="G4536" t="e">
        <f t="shared" si="293"/>
        <v>#NUM!</v>
      </c>
      <c r="I4536" t="e">
        <f t="shared" si="294"/>
        <v>#NUM!</v>
      </c>
    </row>
    <row r="4537" spans="1:9">
      <c r="A4537" t="s">
        <v>25</v>
      </c>
      <c r="B4537" s="2">
        <f t="shared" si="291"/>
        <v>217</v>
      </c>
      <c r="C4537">
        <v>49</v>
      </c>
      <c r="D4537">
        <v>0</v>
      </c>
      <c r="E4537">
        <v>1</v>
      </c>
      <c r="F4537" t="e">
        <f t="shared" si="292"/>
        <v>#NUM!</v>
      </c>
      <c r="G4537">
        <f t="shared" si="293"/>
        <v>-2.3197269957120699</v>
      </c>
      <c r="I4537" t="e">
        <f t="shared" si="294"/>
        <v>#NUM!</v>
      </c>
    </row>
    <row r="4538" spans="1:9">
      <c r="A4538" t="s">
        <v>7</v>
      </c>
      <c r="B4538" s="2">
        <f t="shared" si="291"/>
        <v>218</v>
      </c>
      <c r="C4538">
        <v>0</v>
      </c>
      <c r="D4538">
        <v>0</v>
      </c>
      <c r="E4538">
        <v>0</v>
      </c>
      <c r="F4538" t="e">
        <f>LOG10(D4538/C4538)-LOG10(208171/179252)</f>
        <v>#DIV/0!</v>
      </c>
      <c r="G4538" t="e">
        <f>LOG10(E4538/C4538)-LOG10(264951/179252)</f>
        <v>#DIV/0!</v>
      </c>
      <c r="I4538" t="e">
        <f t="shared" si="294"/>
        <v>#DIV/0!</v>
      </c>
    </row>
    <row r="4539" spans="1:9">
      <c r="A4539" t="s">
        <v>8</v>
      </c>
      <c r="B4539" s="2">
        <f t="shared" si="291"/>
        <v>218</v>
      </c>
      <c r="C4539">
        <v>0</v>
      </c>
      <c r="D4539">
        <v>0</v>
      </c>
      <c r="E4539">
        <v>0</v>
      </c>
      <c r="F4539" t="e">
        <f t="shared" ref="F4539:F4602" si="295">LOG10(D4539/C4539)-LOG10(208171/179252)</f>
        <v>#DIV/0!</v>
      </c>
      <c r="G4539" t="e">
        <f t="shared" ref="G4539:G4602" si="296">LOG10(E4539/C4539)-LOG10(264951/179252)</f>
        <v>#DIV/0!</v>
      </c>
      <c r="I4539" t="e">
        <f t="shared" si="294"/>
        <v>#DIV/0!</v>
      </c>
    </row>
    <row r="4540" spans="1:9">
      <c r="A4540" t="s">
        <v>5</v>
      </c>
      <c r="B4540" s="2">
        <f t="shared" si="291"/>
        <v>218</v>
      </c>
      <c r="C4540">
        <v>0</v>
      </c>
      <c r="D4540">
        <v>0</v>
      </c>
      <c r="E4540">
        <v>0</v>
      </c>
      <c r="F4540" t="e">
        <f t="shared" si="295"/>
        <v>#DIV/0!</v>
      </c>
      <c r="G4540" t="e">
        <f t="shared" si="296"/>
        <v>#DIV/0!</v>
      </c>
      <c r="I4540" t="e">
        <f t="shared" si="294"/>
        <v>#DIV/0!</v>
      </c>
    </row>
    <row r="4541" spans="1:9">
      <c r="A4541" t="s">
        <v>6</v>
      </c>
      <c r="B4541" s="2">
        <f t="shared" si="291"/>
        <v>218</v>
      </c>
      <c r="C4541">
        <v>27</v>
      </c>
      <c r="D4541">
        <v>0</v>
      </c>
      <c r="E4541">
        <v>0</v>
      </c>
      <c r="F4541" t="e">
        <f t="shared" si="295"/>
        <v>#NUM!</v>
      </c>
      <c r="G4541" t="e">
        <f t="shared" si="296"/>
        <v>#NUM!</v>
      </c>
      <c r="I4541" t="e">
        <f t="shared" si="294"/>
        <v>#NUM!</v>
      </c>
    </row>
    <row r="4542" spans="1:9">
      <c r="A4542" t="s">
        <v>10</v>
      </c>
      <c r="B4542" s="2">
        <f t="shared" si="291"/>
        <v>218</v>
      </c>
      <c r="C4542">
        <v>0</v>
      </c>
      <c r="D4542">
        <v>0</v>
      </c>
      <c r="E4542">
        <v>0</v>
      </c>
      <c r="F4542" t="e">
        <f t="shared" si="295"/>
        <v>#DIV/0!</v>
      </c>
      <c r="G4542" t="e">
        <f t="shared" si="296"/>
        <v>#DIV/0!</v>
      </c>
      <c r="I4542" t="e">
        <f t="shared" si="294"/>
        <v>#DIV/0!</v>
      </c>
    </row>
    <row r="4543" spans="1:9">
      <c r="A4543" t="s">
        <v>11</v>
      </c>
      <c r="B4543" s="2">
        <f t="shared" si="291"/>
        <v>218</v>
      </c>
      <c r="C4543">
        <v>0</v>
      </c>
      <c r="D4543">
        <v>0</v>
      </c>
      <c r="E4543">
        <v>0</v>
      </c>
      <c r="F4543" t="e">
        <f t="shared" si="295"/>
        <v>#DIV/0!</v>
      </c>
      <c r="G4543" t="e">
        <f t="shared" si="296"/>
        <v>#DIV/0!</v>
      </c>
      <c r="I4543" t="e">
        <f t="shared" si="294"/>
        <v>#DIV/0!</v>
      </c>
    </row>
    <row r="4544" spans="1:9">
      <c r="A4544" t="s">
        <v>12</v>
      </c>
      <c r="B4544" s="2">
        <f t="shared" si="291"/>
        <v>218</v>
      </c>
      <c r="C4544">
        <v>0</v>
      </c>
      <c r="D4544">
        <v>0</v>
      </c>
      <c r="E4544">
        <v>0</v>
      </c>
      <c r="F4544" t="e">
        <f t="shared" si="295"/>
        <v>#DIV/0!</v>
      </c>
      <c r="G4544" t="e">
        <f t="shared" si="296"/>
        <v>#DIV/0!</v>
      </c>
      <c r="I4544" t="e">
        <f t="shared" si="294"/>
        <v>#DIV/0!</v>
      </c>
    </row>
    <row r="4545" spans="1:9">
      <c r="A4545" t="s">
        <v>9</v>
      </c>
      <c r="B4545" s="2">
        <f t="shared" si="291"/>
        <v>218</v>
      </c>
      <c r="C4545">
        <v>0</v>
      </c>
      <c r="D4545">
        <v>0</v>
      </c>
      <c r="E4545">
        <v>0</v>
      </c>
      <c r="F4545" t="e">
        <f t="shared" si="295"/>
        <v>#DIV/0!</v>
      </c>
      <c r="G4545" t="e">
        <f t="shared" si="296"/>
        <v>#DIV/0!</v>
      </c>
      <c r="I4545" t="e">
        <f t="shared" si="294"/>
        <v>#DIV/0!</v>
      </c>
    </row>
    <row r="4546" spans="1:9">
      <c r="A4546" t="s">
        <v>13</v>
      </c>
      <c r="B4546" s="2">
        <f t="shared" si="291"/>
        <v>218</v>
      </c>
      <c r="C4546">
        <v>1</v>
      </c>
      <c r="D4546">
        <v>0</v>
      </c>
      <c r="E4546">
        <v>0</v>
      </c>
      <c r="F4546" t="e">
        <f t="shared" si="295"/>
        <v>#NUM!</v>
      </c>
      <c r="G4546" t="e">
        <f t="shared" si="296"/>
        <v>#NUM!</v>
      </c>
      <c r="I4546" t="e">
        <f t="shared" si="294"/>
        <v>#NUM!</v>
      </c>
    </row>
    <row r="4547" spans="1:9">
      <c r="A4547" t="s">
        <v>14</v>
      </c>
      <c r="B4547" s="2">
        <f t="shared" ref="B4547:B4610" si="297">1+INT((ROW()-2)/21)+1</f>
        <v>218</v>
      </c>
      <c r="C4547">
        <v>0</v>
      </c>
      <c r="D4547">
        <v>0</v>
      </c>
      <c r="E4547">
        <v>0</v>
      </c>
      <c r="F4547" t="e">
        <f t="shared" si="295"/>
        <v>#DIV/0!</v>
      </c>
      <c r="G4547" t="e">
        <f t="shared" si="296"/>
        <v>#DIV/0!</v>
      </c>
      <c r="I4547" t="e">
        <f t="shared" ref="I4547:I4610" si="298">AVERAGE(F4547:G4547)</f>
        <v>#DIV/0!</v>
      </c>
    </row>
    <row r="4548" spans="1:9">
      <c r="A4548" t="s">
        <v>15</v>
      </c>
      <c r="B4548" s="2">
        <f t="shared" si="297"/>
        <v>218</v>
      </c>
      <c r="C4548">
        <v>3</v>
      </c>
      <c r="D4548">
        <v>1</v>
      </c>
      <c r="E4548">
        <v>2</v>
      </c>
      <c r="F4548">
        <f t="shared" si="295"/>
        <v>-0.5420774731763276</v>
      </c>
      <c r="G4548">
        <f t="shared" si="296"/>
        <v>-0.34579281206191204</v>
      </c>
      <c r="I4548">
        <f t="shared" si="298"/>
        <v>-0.44393514261911982</v>
      </c>
    </row>
    <row r="4549" spans="1:9">
      <c r="A4549" t="s">
        <v>16</v>
      </c>
      <c r="B4549" s="2">
        <f t="shared" si="297"/>
        <v>218</v>
      </c>
      <c r="C4549">
        <v>117</v>
      </c>
      <c r="D4549">
        <v>526</v>
      </c>
      <c r="E4549">
        <v>109</v>
      </c>
      <c r="F4549">
        <f t="shared" si="295"/>
        <v>0.58784366395091225</v>
      </c>
      <c r="G4549">
        <f t="shared" si="296"/>
        <v>-0.20046091681176875</v>
      </c>
      <c r="I4549">
        <f t="shared" si="298"/>
        <v>0.19369137356957175</v>
      </c>
    </row>
    <row r="4550" spans="1:9">
      <c r="A4550" t="s">
        <v>17</v>
      </c>
      <c r="B4550" s="2">
        <f t="shared" si="297"/>
        <v>218</v>
      </c>
      <c r="C4550">
        <v>1</v>
      </c>
      <c r="D4550">
        <v>0</v>
      </c>
      <c r="E4550">
        <v>2</v>
      </c>
      <c r="F4550" t="e">
        <f t="shared" si="295"/>
        <v>#NUM!</v>
      </c>
      <c r="G4550">
        <f t="shared" si="296"/>
        <v>0.13132844265775045</v>
      </c>
      <c r="I4550" t="e">
        <f t="shared" si="298"/>
        <v>#NUM!</v>
      </c>
    </row>
    <row r="4551" spans="1:9">
      <c r="A4551" t="s">
        <v>18</v>
      </c>
      <c r="B4551" s="2">
        <f t="shared" si="297"/>
        <v>218</v>
      </c>
      <c r="C4551">
        <v>0</v>
      </c>
      <c r="D4551">
        <v>3</v>
      </c>
      <c r="E4551">
        <v>0</v>
      </c>
      <c r="F4551" t="e">
        <f t="shared" si="295"/>
        <v>#DIV/0!</v>
      </c>
      <c r="G4551" t="e">
        <f t="shared" si="296"/>
        <v>#DIV/0!</v>
      </c>
      <c r="I4551" t="e">
        <f t="shared" si="298"/>
        <v>#DIV/0!</v>
      </c>
    </row>
    <row r="4552" spans="1:9">
      <c r="A4552" t="s">
        <v>19</v>
      </c>
      <c r="B4552" s="2">
        <f t="shared" si="297"/>
        <v>218</v>
      </c>
      <c r="C4552">
        <v>1</v>
      </c>
      <c r="D4552">
        <v>0</v>
      </c>
      <c r="E4552">
        <v>0</v>
      </c>
      <c r="F4552" t="e">
        <f t="shared" si="295"/>
        <v>#NUM!</v>
      </c>
      <c r="G4552" t="e">
        <f t="shared" si="296"/>
        <v>#NUM!</v>
      </c>
      <c r="I4552" t="e">
        <f t="shared" si="298"/>
        <v>#NUM!</v>
      </c>
    </row>
    <row r="4553" spans="1:9">
      <c r="A4553" t="s">
        <v>20</v>
      </c>
      <c r="B4553" s="2">
        <f t="shared" si="297"/>
        <v>218</v>
      </c>
      <c r="C4553">
        <v>0</v>
      </c>
      <c r="D4553">
        <v>0</v>
      </c>
      <c r="E4553">
        <v>0</v>
      </c>
      <c r="F4553" t="e">
        <f t="shared" si="295"/>
        <v>#DIV/0!</v>
      </c>
      <c r="G4553" t="e">
        <f t="shared" si="296"/>
        <v>#DIV/0!</v>
      </c>
      <c r="I4553" t="e">
        <f t="shared" si="298"/>
        <v>#DIV/0!</v>
      </c>
    </row>
    <row r="4554" spans="1:9">
      <c r="A4554" t="s">
        <v>21</v>
      </c>
      <c r="B4554" s="2">
        <f t="shared" si="297"/>
        <v>218</v>
      </c>
      <c r="C4554">
        <v>94</v>
      </c>
      <c r="D4554">
        <v>1</v>
      </c>
      <c r="E4554">
        <v>1</v>
      </c>
      <c r="F4554">
        <f t="shared" si="295"/>
        <v>-2.038084072056364</v>
      </c>
      <c r="G4554">
        <f t="shared" si="296"/>
        <v>-2.1428294066059297</v>
      </c>
      <c r="I4554">
        <f t="shared" si="298"/>
        <v>-2.0904567393311471</v>
      </c>
    </row>
    <row r="4555" spans="1:9">
      <c r="A4555" t="s">
        <v>22</v>
      </c>
      <c r="B4555" s="2">
        <f t="shared" si="297"/>
        <v>218</v>
      </c>
      <c r="C4555">
        <v>1</v>
      </c>
      <c r="D4555">
        <v>0</v>
      </c>
      <c r="E4555">
        <v>0</v>
      </c>
      <c r="F4555" t="e">
        <f t="shared" si="295"/>
        <v>#NUM!</v>
      </c>
      <c r="G4555" t="e">
        <f t="shared" si="296"/>
        <v>#NUM!</v>
      </c>
      <c r="I4555" t="e">
        <f t="shared" si="298"/>
        <v>#NUM!</v>
      </c>
    </row>
    <row r="4556" spans="1:9">
      <c r="A4556" t="s">
        <v>23</v>
      </c>
      <c r="B4556" s="2">
        <f t="shared" si="297"/>
        <v>218</v>
      </c>
      <c r="C4556">
        <v>0</v>
      </c>
      <c r="D4556">
        <v>0</v>
      </c>
      <c r="E4556">
        <v>0</v>
      </c>
      <c r="F4556" t="e">
        <f t="shared" si="295"/>
        <v>#DIV/0!</v>
      </c>
      <c r="G4556" t="e">
        <f t="shared" si="296"/>
        <v>#DIV/0!</v>
      </c>
      <c r="I4556" t="e">
        <f t="shared" si="298"/>
        <v>#DIV/0!</v>
      </c>
    </row>
    <row r="4557" spans="1:9">
      <c r="A4557" t="s">
        <v>24</v>
      </c>
      <c r="B4557" s="2">
        <f t="shared" si="297"/>
        <v>218</v>
      </c>
      <c r="C4557">
        <v>108</v>
      </c>
      <c r="D4557">
        <v>1</v>
      </c>
      <c r="E4557">
        <v>0</v>
      </c>
      <c r="F4557">
        <f t="shared" si="295"/>
        <v>-2.0983799739436151</v>
      </c>
      <c r="G4557" t="e">
        <f t="shared" si="296"/>
        <v>#NUM!</v>
      </c>
      <c r="I4557" t="e">
        <f t="shared" si="298"/>
        <v>#NUM!</v>
      </c>
    </row>
    <row r="4558" spans="1:9">
      <c r="A4558" t="s">
        <v>25</v>
      </c>
      <c r="B4558" s="2">
        <f t="shared" si="297"/>
        <v>218</v>
      </c>
      <c r="C4558">
        <v>0</v>
      </c>
      <c r="D4558">
        <v>0</v>
      </c>
      <c r="E4558">
        <v>0</v>
      </c>
      <c r="F4558" t="e">
        <f t="shared" si="295"/>
        <v>#DIV/0!</v>
      </c>
      <c r="G4558" t="e">
        <f t="shared" si="296"/>
        <v>#DIV/0!</v>
      </c>
      <c r="I4558" t="e">
        <f t="shared" si="298"/>
        <v>#DIV/0!</v>
      </c>
    </row>
    <row r="4559" spans="1:9">
      <c r="A4559" t="s">
        <v>7</v>
      </c>
      <c r="B4559" s="2">
        <f t="shared" si="297"/>
        <v>219</v>
      </c>
      <c r="C4559">
        <v>27</v>
      </c>
      <c r="D4559">
        <v>26</v>
      </c>
      <c r="E4559">
        <v>29</v>
      </c>
      <c r="F4559">
        <f t="shared" si="295"/>
        <v>-8.1346634644834562E-2</v>
      </c>
      <c r="G4559">
        <f t="shared" si="296"/>
        <v>-0.13866731926626191</v>
      </c>
      <c r="I4559">
        <f t="shared" si="298"/>
        <v>-0.11000697695554823</v>
      </c>
    </row>
    <row r="4560" spans="1:9">
      <c r="A4560" t="s">
        <v>8</v>
      </c>
      <c r="B4560" s="2">
        <f t="shared" si="297"/>
        <v>219</v>
      </c>
      <c r="C4560">
        <v>27</v>
      </c>
      <c r="D4560">
        <v>0</v>
      </c>
      <c r="E4560">
        <v>0</v>
      </c>
      <c r="F4560" t="e">
        <f t="shared" si="295"/>
        <v>#NUM!</v>
      </c>
      <c r="G4560" t="e">
        <f t="shared" si="296"/>
        <v>#NUM!</v>
      </c>
      <c r="I4560" t="e">
        <f t="shared" si="298"/>
        <v>#NUM!</v>
      </c>
    </row>
    <row r="4561" spans="1:9">
      <c r="A4561" t="s">
        <v>5</v>
      </c>
      <c r="B4561" s="2">
        <f t="shared" si="297"/>
        <v>219</v>
      </c>
      <c r="C4561">
        <v>179252</v>
      </c>
      <c r="D4561">
        <v>208171</v>
      </c>
      <c r="E4561">
        <v>264951</v>
      </c>
      <c r="F4561">
        <f t="shared" si="295"/>
        <v>0</v>
      </c>
      <c r="G4561">
        <f t="shared" si="296"/>
        <v>0</v>
      </c>
      <c r="I4561">
        <f t="shared" si="298"/>
        <v>0</v>
      </c>
    </row>
    <row r="4562" spans="1:9">
      <c r="A4562" t="s">
        <v>6</v>
      </c>
      <c r="B4562" s="2">
        <f t="shared" si="297"/>
        <v>219</v>
      </c>
      <c r="C4562">
        <v>0</v>
      </c>
      <c r="D4562">
        <v>0</v>
      </c>
      <c r="E4562">
        <v>0</v>
      </c>
      <c r="F4562" t="e">
        <f t="shared" si="295"/>
        <v>#DIV/0!</v>
      </c>
      <c r="G4562" t="e">
        <f t="shared" si="296"/>
        <v>#DIV/0!</v>
      </c>
      <c r="I4562" t="e">
        <f t="shared" si="298"/>
        <v>#DIV/0!</v>
      </c>
    </row>
    <row r="4563" spans="1:9">
      <c r="A4563" t="s">
        <v>10</v>
      </c>
      <c r="B4563" s="2">
        <f t="shared" si="297"/>
        <v>219</v>
      </c>
      <c r="C4563">
        <v>41</v>
      </c>
      <c r="D4563">
        <v>1</v>
      </c>
      <c r="E4563">
        <v>0</v>
      </c>
      <c r="F4563">
        <f t="shared" si="295"/>
        <v>-1.6777400751764007</v>
      </c>
      <c r="G4563" t="e">
        <f t="shared" si="296"/>
        <v>#NUM!</v>
      </c>
      <c r="I4563" t="e">
        <f t="shared" si="298"/>
        <v>#NUM!</v>
      </c>
    </row>
    <row r="4564" spans="1:9">
      <c r="A4564" t="s">
        <v>11</v>
      </c>
      <c r="B4564" s="2">
        <f t="shared" si="297"/>
        <v>219</v>
      </c>
      <c r="C4564">
        <v>0</v>
      </c>
      <c r="D4564">
        <v>0</v>
      </c>
      <c r="E4564">
        <v>0</v>
      </c>
      <c r="F4564" t="e">
        <f t="shared" si="295"/>
        <v>#DIV/0!</v>
      </c>
      <c r="G4564" t="e">
        <f t="shared" si="296"/>
        <v>#DIV/0!</v>
      </c>
      <c r="I4564" t="e">
        <f t="shared" si="298"/>
        <v>#DIV/0!</v>
      </c>
    </row>
    <row r="4565" spans="1:9">
      <c r="A4565" t="s">
        <v>12</v>
      </c>
      <c r="B4565" s="2">
        <f t="shared" si="297"/>
        <v>219</v>
      </c>
      <c r="C4565">
        <v>120</v>
      </c>
      <c r="D4565">
        <v>0</v>
      </c>
      <c r="E4565">
        <v>1</v>
      </c>
      <c r="F4565" t="e">
        <f t="shared" si="295"/>
        <v>#NUM!</v>
      </c>
      <c r="G4565">
        <f t="shared" si="296"/>
        <v>-2.2488827990538556</v>
      </c>
      <c r="I4565" t="e">
        <f t="shared" si="298"/>
        <v>#NUM!</v>
      </c>
    </row>
    <row r="4566" spans="1:9">
      <c r="A4566" t="s">
        <v>9</v>
      </c>
      <c r="B4566" s="2">
        <f t="shared" si="297"/>
        <v>219</v>
      </c>
      <c r="C4566">
        <v>8</v>
      </c>
      <c r="D4566">
        <v>12</v>
      </c>
      <c r="E4566">
        <v>11</v>
      </c>
      <c r="F4566">
        <f t="shared" si="295"/>
        <v>0.11113504059901605</v>
      </c>
      <c r="G4566">
        <f t="shared" si="296"/>
        <v>-3.1398854839949281E-2</v>
      </c>
      <c r="I4566">
        <f t="shared" si="298"/>
        <v>3.9868092879533384E-2</v>
      </c>
    </row>
    <row r="4567" spans="1:9">
      <c r="A4567" t="s">
        <v>13</v>
      </c>
      <c r="B4567" s="2">
        <f t="shared" si="297"/>
        <v>219</v>
      </c>
      <c r="C4567">
        <v>0</v>
      </c>
      <c r="D4567">
        <v>0</v>
      </c>
      <c r="E4567">
        <v>0</v>
      </c>
      <c r="F4567" t="e">
        <f t="shared" si="295"/>
        <v>#DIV/0!</v>
      </c>
      <c r="G4567" t="e">
        <f t="shared" si="296"/>
        <v>#DIV/0!</v>
      </c>
      <c r="I4567" t="e">
        <f t="shared" si="298"/>
        <v>#DIV/0!</v>
      </c>
    </row>
    <row r="4568" spans="1:9">
      <c r="A4568" t="s">
        <v>14</v>
      </c>
      <c r="B4568" s="2">
        <f t="shared" si="297"/>
        <v>219</v>
      </c>
      <c r="C4568">
        <v>0</v>
      </c>
      <c r="D4568">
        <v>0</v>
      </c>
      <c r="E4568">
        <v>0</v>
      </c>
      <c r="F4568" t="e">
        <f t="shared" si="295"/>
        <v>#DIV/0!</v>
      </c>
      <c r="G4568" t="e">
        <f t="shared" si="296"/>
        <v>#DIV/0!</v>
      </c>
      <c r="I4568" t="e">
        <f t="shared" si="298"/>
        <v>#DIV/0!</v>
      </c>
    </row>
    <row r="4569" spans="1:9">
      <c r="A4569" t="s">
        <v>15</v>
      </c>
      <c r="B4569" s="2">
        <f t="shared" si="297"/>
        <v>219</v>
      </c>
      <c r="C4569">
        <v>0</v>
      </c>
      <c r="D4569">
        <v>0</v>
      </c>
      <c r="E4569">
        <v>0</v>
      </c>
      <c r="F4569" t="e">
        <f t="shared" si="295"/>
        <v>#DIV/0!</v>
      </c>
      <c r="G4569" t="e">
        <f t="shared" si="296"/>
        <v>#DIV/0!</v>
      </c>
      <c r="I4569" t="e">
        <f t="shared" si="298"/>
        <v>#DIV/0!</v>
      </c>
    </row>
    <row r="4570" spans="1:9">
      <c r="A4570" t="s">
        <v>16</v>
      </c>
      <c r="B4570" s="2">
        <f t="shared" si="297"/>
        <v>219</v>
      </c>
      <c r="C4570">
        <v>0</v>
      </c>
      <c r="D4570">
        <v>0</v>
      </c>
      <c r="E4570">
        <v>0</v>
      </c>
      <c r="F4570" t="e">
        <f t="shared" si="295"/>
        <v>#DIV/0!</v>
      </c>
      <c r="G4570" t="e">
        <f t="shared" si="296"/>
        <v>#DIV/0!</v>
      </c>
      <c r="I4570" t="e">
        <f t="shared" si="298"/>
        <v>#DIV/0!</v>
      </c>
    </row>
    <row r="4571" spans="1:9">
      <c r="A4571" t="s">
        <v>17</v>
      </c>
      <c r="B4571" s="2">
        <f t="shared" si="297"/>
        <v>219</v>
      </c>
      <c r="C4571">
        <v>167</v>
      </c>
      <c r="D4571">
        <v>4</v>
      </c>
      <c r="E4571">
        <v>3</v>
      </c>
      <c r="F4571">
        <f t="shared" si="295"/>
        <v>-1.685612698276286</v>
      </c>
      <c r="G4571">
        <f t="shared" si="296"/>
        <v>-1.9152967694341516</v>
      </c>
      <c r="I4571">
        <f t="shared" si="298"/>
        <v>-1.8004547338552188</v>
      </c>
    </row>
    <row r="4572" spans="1:9">
      <c r="A4572" t="s">
        <v>18</v>
      </c>
      <c r="B4572" s="2">
        <f t="shared" si="297"/>
        <v>219</v>
      </c>
      <c r="C4572">
        <v>0</v>
      </c>
      <c r="D4572">
        <v>0</v>
      </c>
      <c r="E4572">
        <v>0</v>
      </c>
      <c r="F4572" t="e">
        <f t="shared" si="295"/>
        <v>#DIV/0!</v>
      </c>
      <c r="G4572" t="e">
        <f t="shared" si="296"/>
        <v>#DIV/0!</v>
      </c>
      <c r="I4572" t="e">
        <f t="shared" si="298"/>
        <v>#DIV/0!</v>
      </c>
    </row>
    <row r="4573" spans="1:9">
      <c r="A4573" t="s">
        <v>19</v>
      </c>
      <c r="B4573" s="2">
        <f t="shared" si="297"/>
        <v>219</v>
      </c>
      <c r="C4573">
        <v>1</v>
      </c>
      <c r="D4573">
        <v>0</v>
      </c>
      <c r="E4573">
        <v>0</v>
      </c>
      <c r="F4573" t="e">
        <f t="shared" si="295"/>
        <v>#NUM!</v>
      </c>
      <c r="G4573" t="e">
        <f t="shared" si="296"/>
        <v>#NUM!</v>
      </c>
      <c r="I4573" t="e">
        <f t="shared" si="298"/>
        <v>#NUM!</v>
      </c>
    </row>
    <row r="4574" spans="1:9">
      <c r="A4574" t="s">
        <v>20</v>
      </c>
      <c r="B4574" s="2">
        <f t="shared" si="297"/>
        <v>219</v>
      </c>
      <c r="C4574">
        <v>0</v>
      </c>
      <c r="D4574">
        <v>0</v>
      </c>
      <c r="E4574">
        <v>0</v>
      </c>
      <c r="F4574" t="e">
        <f t="shared" si="295"/>
        <v>#DIV/0!</v>
      </c>
      <c r="G4574" t="e">
        <f t="shared" si="296"/>
        <v>#DIV/0!</v>
      </c>
      <c r="I4574" t="e">
        <f t="shared" si="298"/>
        <v>#DIV/0!</v>
      </c>
    </row>
    <row r="4575" spans="1:9">
      <c r="A4575" t="s">
        <v>21</v>
      </c>
      <c r="B4575" s="2">
        <f t="shared" si="297"/>
        <v>219</v>
      </c>
      <c r="C4575">
        <v>11</v>
      </c>
      <c r="D4575">
        <v>1</v>
      </c>
      <c r="E4575">
        <v>1</v>
      </c>
      <c r="F4575">
        <f t="shared" si="295"/>
        <v>-1.1063489036148901</v>
      </c>
      <c r="G4575">
        <f t="shared" si="296"/>
        <v>-1.2110942381644556</v>
      </c>
      <c r="I4575">
        <f t="shared" si="298"/>
        <v>-1.1587215708896728</v>
      </c>
    </row>
    <row r="4576" spans="1:9">
      <c r="A4576" t="s">
        <v>22</v>
      </c>
      <c r="B4576" s="2">
        <f t="shared" si="297"/>
        <v>219</v>
      </c>
      <c r="C4576">
        <v>0</v>
      </c>
      <c r="D4576">
        <v>0</v>
      </c>
      <c r="E4576">
        <v>0</v>
      </c>
      <c r="F4576" t="e">
        <f t="shared" si="295"/>
        <v>#DIV/0!</v>
      </c>
      <c r="G4576" t="e">
        <f t="shared" si="296"/>
        <v>#DIV/0!</v>
      </c>
      <c r="I4576" t="e">
        <f t="shared" si="298"/>
        <v>#DIV/0!</v>
      </c>
    </row>
    <row r="4577" spans="1:9">
      <c r="A4577" t="s">
        <v>23</v>
      </c>
      <c r="B4577" s="2">
        <f t="shared" si="297"/>
        <v>219</v>
      </c>
      <c r="C4577">
        <v>0</v>
      </c>
      <c r="D4577">
        <v>1</v>
      </c>
      <c r="E4577">
        <v>0</v>
      </c>
      <c r="F4577" t="e">
        <f t="shared" si="295"/>
        <v>#DIV/0!</v>
      </c>
      <c r="G4577" t="e">
        <f t="shared" si="296"/>
        <v>#DIV/0!</v>
      </c>
      <c r="I4577" t="e">
        <f t="shared" si="298"/>
        <v>#DIV/0!</v>
      </c>
    </row>
    <row r="4578" spans="1:9">
      <c r="A4578" t="s">
        <v>24</v>
      </c>
      <c r="B4578" s="2">
        <f t="shared" si="297"/>
        <v>219</v>
      </c>
      <c r="C4578">
        <v>0</v>
      </c>
      <c r="D4578">
        <v>0</v>
      </c>
      <c r="E4578">
        <v>0</v>
      </c>
      <c r="F4578" t="e">
        <f t="shared" si="295"/>
        <v>#DIV/0!</v>
      </c>
      <c r="G4578" t="e">
        <f t="shared" si="296"/>
        <v>#DIV/0!</v>
      </c>
      <c r="I4578" t="e">
        <f t="shared" si="298"/>
        <v>#DIV/0!</v>
      </c>
    </row>
    <row r="4579" spans="1:9">
      <c r="A4579" t="s">
        <v>25</v>
      </c>
      <c r="B4579" s="2">
        <f t="shared" si="297"/>
        <v>219</v>
      </c>
      <c r="C4579">
        <v>0</v>
      </c>
      <c r="D4579">
        <v>0</v>
      </c>
      <c r="E4579">
        <v>0</v>
      </c>
      <c r="F4579" t="e">
        <f t="shared" si="295"/>
        <v>#DIV/0!</v>
      </c>
      <c r="G4579" t="e">
        <f t="shared" si="296"/>
        <v>#DIV/0!</v>
      </c>
      <c r="I4579" t="e">
        <f t="shared" si="298"/>
        <v>#DIV/0!</v>
      </c>
    </row>
    <row r="4580" spans="1:9">
      <c r="A4580" t="s">
        <v>7</v>
      </c>
      <c r="B4580" s="2">
        <f t="shared" si="297"/>
        <v>220</v>
      </c>
      <c r="C4580">
        <v>0</v>
      </c>
      <c r="D4580">
        <v>0</v>
      </c>
      <c r="E4580">
        <v>0</v>
      </c>
      <c r="F4580" t="e">
        <f t="shared" si="295"/>
        <v>#DIV/0!</v>
      </c>
      <c r="G4580" t="e">
        <f t="shared" si="296"/>
        <v>#DIV/0!</v>
      </c>
      <c r="I4580" t="e">
        <f t="shared" si="298"/>
        <v>#DIV/0!</v>
      </c>
    </row>
    <row r="4581" spans="1:9">
      <c r="A4581" t="s">
        <v>8</v>
      </c>
      <c r="B4581" s="2">
        <f t="shared" si="297"/>
        <v>220</v>
      </c>
      <c r="C4581">
        <v>0</v>
      </c>
      <c r="D4581">
        <v>0</v>
      </c>
      <c r="E4581">
        <v>0</v>
      </c>
      <c r="F4581" t="e">
        <f t="shared" si="295"/>
        <v>#DIV/0!</v>
      </c>
      <c r="G4581" t="e">
        <f t="shared" si="296"/>
        <v>#DIV/0!</v>
      </c>
      <c r="I4581" t="e">
        <f t="shared" si="298"/>
        <v>#DIV/0!</v>
      </c>
    </row>
    <row r="4582" spans="1:9">
      <c r="A4582" t="s">
        <v>5</v>
      </c>
      <c r="B4582" s="2">
        <f t="shared" si="297"/>
        <v>220</v>
      </c>
      <c r="C4582">
        <v>150</v>
      </c>
      <c r="D4582">
        <v>4</v>
      </c>
      <c r="E4582">
        <v>2</v>
      </c>
      <c r="F4582">
        <f t="shared" si="295"/>
        <v>-1.6389874861843841</v>
      </c>
      <c r="G4582">
        <f t="shared" si="296"/>
        <v>-2.044762816397931</v>
      </c>
      <c r="I4582">
        <f t="shared" si="298"/>
        <v>-1.8418751512911575</v>
      </c>
    </row>
    <row r="4583" spans="1:9">
      <c r="A4583" t="s">
        <v>6</v>
      </c>
      <c r="B4583" s="2">
        <f t="shared" si="297"/>
        <v>220</v>
      </c>
      <c r="C4583">
        <v>0</v>
      </c>
      <c r="D4583">
        <v>0</v>
      </c>
      <c r="E4583">
        <v>0</v>
      </c>
      <c r="F4583" t="e">
        <f t="shared" si="295"/>
        <v>#DIV/0!</v>
      </c>
      <c r="G4583" t="e">
        <f t="shared" si="296"/>
        <v>#DIV/0!</v>
      </c>
      <c r="I4583" t="e">
        <f t="shared" si="298"/>
        <v>#DIV/0!</v>
      </c>
    </row>
    <row r="4584" spans="1:9">
      <c r="A4584" t="s">
        <v>10</v>
      </c>
      <c r="B4584" s="2">
        <f t="shared" si="297"/>
        <v>220</v>
      </c>
      <c r="C4584">
        <v>1</v>
      </c>
      <c r="D4584">
        <v>0</v>
      </c>
      <c r="E4584">
        <v>0</v>
      </c>
      <c r="F4584" t="e">
        <f t="shared" si="295"/>
        <v>#NUM!</v>
      </c>
      <c r="G4584" t="e">
        <f t="shared" si="296"/>
        <v>#NUM!</v>
      </c>
      <c r="I4584" t="e">
        <f t="shared" si="298"/>
        <v>#NUM!</v>
      </c>
    </row>
    <row r="4585" spans="1:9">
      <c r="A4585" t="s">
        <v>11</v>
      </c>
      <c r="B4585" s="2">
        <f t="shared" si="297"/>
        <v>220</v>
      </c>
      <c r="C4585">
        <v>300</v>
      </c>
      <c r="D4585">
        <v>1</v>
      </c>
      <c r="E4585">
        <v>3</v>
      </c>
      <c r="F4585">
        <f t="shared" si="295"/>
        <v>-2.5420774731763278</v>
      </c>
      <c r="G4585">
        <f t="shared" si="296"/>
        <v>-2.1697015530062309</v>
      </c>
      <c r="I4585">
        <f t="shared" si="298"/>
        <v>-2.3558895130912791</v>
      </c>
    </row>
    <row r="4586" spans="1:9">
      <c r="A4586" t="s">
        <v>12</v>
      </c>
      <c r="B4586" s="2">
        <f t="shared" si="297"/>
        <v>220</v>
      </c>
      <c r="C4586">
        <v>137</v>
      </c>
      <c r="D4586">
        <v>0</v>
      </c>
      <c r="E4586">
        <v>0</v>
      </c>
      <c r="F4586" t="e">
        <f t="shared" si="295"/>
        <v>#NUM!</v>
      </c>
      <c r="G4586" t="e">
        <f t="shared" si="296"/>
        <v>#NUM!</v>
      </c>
      <c r="I4586" t="e">
        <f t="shared" si="298"/>
        <v>#NUM!</v>
      </c>
    </row>
    <row r="4587" spans="1:9">
      <c r="A4587" t="s">
        <v>9</v>
      </c>
      <c r="B4587" s="2">
        <f t="shared" si="297"/>
        <v>220</v>
      </c>
      <c r="C4587">
        <v>266</v>
      </c>
      <c r="D4587">
        <v>0</v>
      </c>
      <c r="E4587">
        <v>0</v>
      </c>
      <c r="F4587" t="e">
        <f t="shared" si="295"/>
        <v>#NUM!</v>
      </c>
      <c r="G4587" t="e">
        <f t="shared" si="296"/>
        <v>#NUM!</v>
      </c>
      <c r="I4587" t="e">
        <f t="shared" si="298"/>
        <v>#NUM!</v>
      </c>
    </row>
    <row r="4588" spans="1:9">
      <c r="A4588" t="s">
        <v>13</v>
      </c>
      <c r="B4588" s="2">
        <f t="shared" si="297"/>
        <v>220</v>
      </c>
      <c r="C4588">
        <v>121</v>
      </c>
      <c r="D4588">
        <v>0</v>
      </c>
      <c r="E4588">
        <v>0</v>
      </c>
      <c r="F4588" t="e">
        <f t="shared" si="295"/>
        <v>#NUM!</v>
      </c>
      <c r="G4588" t="e">
        <f t="shared" si="296"/>
        <v>#NUM!</v>
      </c>
      <c r="I4588" t="e">
        <f t="shared" si="298"/>
        <v>#NUM!</v>
      </c>
    </row>
    <row r="4589" spans="1:9">
      <c r="A4589" t="s">
        <v>14</v>
      </c>
      <c r="B4589" s="2">
        <f t="shared" si="297"/>
        <v>220</v>
      </c>
      <c r="C4589">
        <v>0</v>
      </c>
      <c r="D4589">
        <v>0</v>
      </c>
      <c r="E4589">
        <v>0</v>
      </c>
      <c r="F4589" t="e">
        <f t="shared" si="295"/>
        <v>#DIV/0!</v>
      </c>
      <c r="G4589" t="e">
        <f t="shared" si="296"/>
        <v>#DIV/0!</v>
      </c>
      <c r="I4589" t="e">
        <f t="shared" si="298"/>
        <v>#DIV/0!</v>
      </c>
    </row>
    <row r="4590" spans="1:9">
      <c r="A4590" t="s">
        <v>15</v>
      </c>
      <c r="B4590" s="2">
        <f t="shared" si="297"/>
        <v>220</v>
      </c>
      <c r="C4590">
        <v>25</v>
      </c>
      <c r="D4590">
        <v>3</v>
      </c>
      <c r="E4590">
        <v>0</v>
      </c>
      <c r="F4590">
        <f t="shared" si="295"/>
        <v>-0.98577497240904044</v>
      </c>
      <c r="G4590" t="e">
        <f t="shared" si="296"/>
        <v>#NUM!</v>
      </c>
      <c r="I4590" t="e">
        <f t="shared" si="298"/>
        <v>#NUM!</v>
      </c>
    </row>
    <row r="4591" spans="1:9">
      <c r="A4591" t="s">
        <v>16</v>
      </c>
      <c r="B4591" s="2">
        <f t="shared" si="297"/>
        <v>220</v>
      </c>
      <c r="C4591">
        <v>78</v>
      </c>
      <c r="D4591">
        <v>0</v>
      </c>
      <c r="E4591">
        <v>0</v>
      </c>
      <c r="F4591" t="e">
        <f t="shared" si="295"/>
        <v>#NUM!</v>
      </c>
      <c r="G4591" t="e">
        <f t="shared" si="296"/>
        <v>#NUM!</v>
      </c>
      <c r="I4591" t="e">
        <f t="shared" si="298"/>
        <v>#NUM!</v>
      </c>
    </row>
    <row r="4592" spans="1:9">
      <c r="A4592" t="s">
        <v>17</v>
      </c>
      <c r="B4592" s="2">
        <f t="shared" si="297"/>
        <v>220</v>
      </c>
      <c r="C4592">
        <v>181</v>
      </c>
      <c r="D4592">
        <v>11</v>
      </c>
      <c r="E4592">
        <v>86</v>
      </c>
      <c r="F4592">
        <f t="shared" si="295"/>
        <v>-1.2812421081676246</v>
      </c>
      <c r="G4592">
        <f t="shared" si="296"/>
        <v>-0.49288167663184751</v>
      </c>
      <c r="I4592">
        <f t="shared" si="298"/>
        <v>-0.8870618923997361</v>
      </c>
    </row>
    <row r="4593" spans="1:9">
      <c r="A4593" t="s">
        <v>18</v>
      </c>
      <c r="B4593" s="2">
        <f t="shared" si="297"/>
        <v>220</v>
      </c>
      <c r="C4593">
        <v>458</v>
      </c>
      <c r="D4593">
        <v>3</v>
      </c>
      <c r="E4593">
        <v>3</v>
      </c>
      <c r="F4593">
        <f t="shared" si="295"/>
        <v>-2.2487004417408718</v>
      </c>
      <c r="G4593">
        <f t="shared" si="296"/>
        <v>-2.3534457762904375</v>
      </c>
      <c r="I4593">
        <f t="shared" si="298"/>
        <v>-2.3010731090156549</v>
      </c>
    </row>
    <row r="4594" spans="1:9">
      <c r="A4594" t="s">
        <v>19</v>
      </c>
      <c r="B4594" s="2">
        <f t="shared" si="297"/>
        <v>220</v>
      </c>
      <c r="C4594">
        <v>0</v>
      </c>
      <c r="D4594">
        <v>0</v>
      </c>
      <c r="E4594">
        <v>0</v>
      </c>
      <c r="F4594" t="e">
        <f t="shared" si="295"/>
        <v>#DIV/0!</v>
      </c>
      <c r="G4594" t="e">
        <f t="shared" si="296"/>
        <v>#DIV/0!</v>
      </c>
      <c r="I4594" t="e">
        <f t="shared" si="298"/>
        <v>#DIV/0!</v>
      </c>
    </row>
    <row r="4595" spans="1:9">
      <c r="A4595" t="s">
        <v>20</v>
      </c>
      <c r="B4595" s="2">
        <f t="shared" si="297"/>
        <v>220</v>
      </c>
      <c r="C4595">
        <v>63</v>
      </c>
      <c r="D4595">
        <v>57</v>
      </c>
      <c r="E4595">
        <v>99</v>
      </c>
      <c r="F4595">
        <f t="shared" si="295"/>
        <v>-0.10842191223775549</v>
      </c>
      <c r="G4595">
        <f t="shared" si="296"/>
        <v>2.6593092137737445E-2</v>
      </c>
      <c r="I4595">
        <f t="shared" si="298"/>
        <v>-4.0914410050009023E-2</v>
      </c>
    </row>
    <row r="4596" spans="1:9">
      <c r="A4596" t="s">
        <v>21</v>
      </c>
      <c r="B4596" s="2">
        <f t="shared" si="297"/>
        <v>220</v>
      </c>
      <c r="C4596">
        <v>0</v>
      </c>
      <c r="D4596">
        <v>0</v>
      </c>
      <c r="E4596">
        <v>0</v>
      </c>
      <c r="F4596" t="e">
        <f t="shared" si="295"/>
        <v>#DIV/0!</v>
      </c>
      <c r="G4596" t="e">
        <f t="shared" si="296"/>
        <v>#DIV/0!</v>
      </c>
      <c r="I4596" t="e">
        <f t="shared" si="298"/>
        <v>#DIV/0!</v>
      </c>
    </row>
    <row r="4597" spans="1:9">
      <c r="A4597" t="s">
        <v>22</v>
      </c>
      <c r="B4597" s="2">
        <f t="shared" si="297"/>
        <v>220</v>
      </c>
      <c r="C4597">
        <v>0</v>
      </c>
      <c r="D4597">
        <v>0</v>
      </c>
      <c r="E4597">
        <v>0</v>
      </c>
      <c r="F4597" t="e">
        <f t="shared" si="295"/>
        <v>#DIV/0!</v>
      </c>
      <c r="G4597" t="e">
        <f t="shared" si="296"/>
        <v>#DIV/0!</v>
      </c>
      <c r="I4597" t="e">
        <f t="shared" si="298"/>
        <v>#DIV/0!</v>
      </c>
    </row>
    <row r="4598" spans="1:9">
      <c r="A4598" t="s">
        <v>23</v>
      </c>
      <c r="B4598" s="2">
        <f t="shared" si="297"/>
        <v>220</v>
      </c>
      <c r="C4598">
        <v>69</v>
      </c>
      <c r="D4598">
        <v>1</v>
      </c>
      <c r="E4598">
        <v>0</v>
      </c>
      <c r="F4598">
        <f t="shared" si="295"/>
        <v>-1.9038053091939204</v>
      </c>
      <c r="G4598" t="e">
        <f t="shared" si="296"/>
        <v>#NUM!</v>
      </c>
      <c r="I4598" t="e">
        <f t="shared" si="298"/>
        <v>#NUM!</v>
      </c>
    </row>
    <row r="4599" spans="1:9">
      <c r="A4599" t="s">
        <v>24</v>
      </c>
      <c r="B4599" s="2">
        <f t="shared" si="297"/>
        <v>220</v>
      </c>
      <c r="C4599">
        <v>0</v>
      </c>
      <c r="D4599">
        <v>0</v>
      </c>
      <c r="E4599">
        <v>0</v>
      </c>
      <c r="F4599" t="e">
        <f t="shared" si="295"/>
        <v>#DIV/0!</v>
      </c>
      <c r="G4599" t="e">
        <f t="shared" si="296"/>
        <v>#DIV/0!</v>
      </c>
      <c r="I4599" t="e">
        <f t="shared" si="298"/>
        <v>#DIV/0!</v>
      </c>
    </row>
    <row r="4600" spans="1:9">
      <c r="A4600" t="s">
        <v>25</v>
      </c>
      <c r="B4600" s="2">
        <f t="shared" si="297"/>
        <v>220</v>
      </c>
      <c r="C4600">
        <v>0</v>
      </c>
      <c r="D4600">
        <v>0</v>
      </c>
      <c r="E4600">
        <v>0</v>
      </c>
      <c r="F4600" t="e">
        <f t="shared" si="295"/>
        <v>#DIV/0!</v>
      </c>
      <c r="G4600" t="e">
        <f t="shared" si="296"/>
        <v>#DIV/0!</v>
      </c>
      <c r="I4600" t="e">
        <f t="shared" si="298"/>
        <v>#DIV/0!</v>
      </c>
    </row>
    <row r="4601" spans="1:9">
      <c r="A4601" t="s">
        <v>7</v>
      </c>
      <c r="B4601" s="2">
        <f t="shared" si="297"/>
        <v>221</v>
      </c>
      <c r="C4601">
        <v>608</v>
      </c>
      <c r="D4601">
        <v>297</v>
      </c>
      <c r="E4601">
        <v>330</v>
      </c>
      <c r="F4601">
        <f t="shared" si="295"/>
        <v>-0.37610334841218773</v>
      </c>
      <c r="G4601">
        <f t="shared" si="296"/>
        <v>-0.43509119240107819</v>
      </c>
      <c r="I4601">
        <f t="shared" si="298"/>
        <v>-0.40559727040663296</v>
      </c>
    </row>
    <row r="4602" spans="1:9">
      <c r="A4602" t="s">
        <v>8</v>
      </c>
      <c r="B4602" s="2">
        <f t="shared" si="297"/>
        <v>221</v>
      </c>
      <c r="C4602">
        <v>45</v>
      </c>
      <c r="D4602">
        <v>57</v>
      </c>
      <c r="E4602">
        <v>63</v>
      </c>
      <c r="F4602">
        <f t="shared" si="295"/>
        <v>3.7706123440482506E-2</v>
      </c>
      <c r="G4602">
        <f t="shared" si="296"/>
        <v>-2.3573517327992732E-2</v>
      </c>
      <c r="I4602">
        <f t="shared" si="298"/>
        <v>7.0663030562448867E-3</v>
      </c>
    </row>
    <row r="4603" spans="1:9">
      <c r="A4603" t="s">
        <v>5</v>
      </c>
      <c r="B4603" s="2">
        <f t="shared" si="297"/>
        <v>221</v>
      </c>
      <c r="C4603">
        <v>175</v>
      </c>
      <c r="D4603">
        <v>1</v>
      </c>
      <c r="E4603">
        <v>0</v>
      </c>
      <c r="F4603">
        <f t="shared" ref="F4603:F4666" si="299">LOG10(D4603/C4603)-LOG10(208171/179252)</f>
        <v>-2.3079942671429596</v>
      </c>
      <c r="G4603" t="e">
        <f t="shared" ref="G4603:G4666" si="300">LOG10(E4603/C4603)-LOG10(264951/179252)</f>
        <v>#NUM!</v>
      </c>
      <c r="I4603" t="e">
        <f t="shared" si="298"/>
        <v>#NUM!</v>
      </c>
    </row>
    <row r="4604" spans="1:9">
      <c r="A4604" t="s">
        <v>6</v>
      </c>
      <c r="B4604" s="2">
        <f t="shared" si="297"/>
        <v>221</v>
      </c>
      <c r="C4604">
        <v>0</v>
      </c>
      <c r="D4604">
        <v>0</v>
      </c>
      <c r="E4604">
        <v>0</v>
      </c>
      <c r="F4604" t="e">
        <f t="shared" si="299"/>
        <v>#DIV/0!</v>
      </c>
      <c r="G4604" t="e">
        <f t="shared" si="300"/>
        <v>#DIV/0!</v>
      </c>
      <c r="I4604" t="e">
        <f t="shared" si="298"/>
        <v>#DIV/0!</v>
      </c>
    </row>
    <row r="4605" spans="1:9">
      <c r="A4605" t="s">
        <v>10</v>
      </c>
      <c r="B4605" s="2">
        <f t="shared" si="297"/>
        <v>221</v>
      </c>
      <c r="C4605">
        <v>50</v>
      </c>
      <c r="D4605">
        <v>0</v>
      </c>
      <c r="E4605">
        <v>0</v>
      </c>
      <c r="F4605" t="e">
        <f t="shared" si="299"/>
        <v>#NUM!</v>
      </c>
      <c r="G4605" t="e">
        <f t="shared" si="300"/>
        <v>#NUM!</v>
      </c>
      <c r="I4605" t="e">
        <f t="shared" si="298"/>
        <v>#NUM!</v>
      </c>
    </row>
    <row r="4606" spans="1:9">
      <c r="A4606" t="s">
        <v>11</v>
      </c>
      <c r="B4606" s="2">
        <f t="shared" si="297"/>
        <v>221</v>
      </c>
      <c r="C4606">
        <v>396</v>
      </c>
      <c r="D4606">
        <v>18</v>
      </c>
      <c r="E4606">
        <v>19</v>
      </c>
      <c r="F4606">
        <f t="shared" si="299"/>
        <v>-1.4073788992788714</v>
      </c>
      <c r="G4606">
        <f t="shared" si="300"/>
        <v>-1.488643137978914</v>
      </c>
      <c r="I4606">
        <f t="shared" si="298"/>
        <v>-1.4480110186288928</v>
      </c>
    </row>
    <row r="4607" spans="1:9">
      <c r="A4607" t="s">
        <v>12</v>
      </c>
      <c r="B4607" s="2">
        <f t="shared" si="297"/>
        <v>221</v>
      </c>
      <c r="C4607">
        <v>366</v>
      </c>
      <c r="D4607">
        <v>1</v>
      </c>
      <c r="E4607">
        <v>130</v>
      </c>
      <c r="F4607">
        <f t="shared" si="299"/>
        <v>-2.6284373038510758</v>
      </c>
      <c r="G4607">
        <f t="shared" si="300"/>
        <v>-0.61923928609380463</v>
      </c>
      <c r="I4607">
        <f t="shared" si="298"/>
        <v>-1.6238382949724401</v>
      </c>
    </row>
    <row r="4608" spans="1:9">
      <c r="A4608" t="s">
        <v>9</v>
      </c>
      <c r="B4608" s="2">
        <f t="shared" si="297"/>
        <v>221</v>
      </c>
      <c r="C4608">
        <v>0</v>
      </c>
      <c r="D4608">
        <v>0</v>
      </c>
      <c r="E4608">
        <v>0</v>
      </c>
      <c r="F4608" t="e">
        <f t="shared" si="299"/>
        <v>#DIV/0!</v>
      </c>
      <c r="G4608" t="e">
        <f t="shared" si="300"/>
        <v>#DIV/0!</v>
      </c>
      <c r="I4608" t="e">
        <f t="shared" si="298"/>
        <v>#DIV/0!</v>
      </c>
    </row>
    <row r="4609" spans="1:9">
      <c r="A4609" t="s">
        <v>13</v>
      </c>
      <c r="B4609" s="2">
        <f t="shared" si="297"/>
        <v>221</v>
      </c>
      <c r="C4609">
        <v>29</v>
      </c>
      <c r="D4609">
        <v>14</v>
      </c>
      <c r="E4609">
        <v>0</v>
      </c>
      <c r="F4609">
        <f t="shared" si="299"/>
        <v>-0.38122618067738323</v>
      </c>
      <c r="G4609" t="e">
        <f t="shared" si="300"/>
        <v>#NUM!</v>
      </c>
      <c r="I4609" t="e">
        <f t="shared" si="298"/>
        <v>#NUM!</v>
      </c>
    </row>
    <row r="4610" spans="1:9">
      <c r="A4610" t="s">
        <v>14</v>
      </c>
      <c r="B4610" s="2">
        <f t="shared" si="297"/>
        <v>221</v>
      </c>
      <c r="C4610">
        <v>97</v>
      </c>
      <c r="D4610">
        <v>2</v>
      </c>
      <c r="E4610">
        <v>39</v>
      </c>
      <c r="F4610">
        <f t="shared" si="299"/>
        <v>-1.7506979570589289</v>
      </c>
      <c r="G4610">
        <f t="shared" si="300"/>
        <v>-0.56540868024597635</v>
      </c>
      <c r="I4610">
        <f t="shared" si="298"/>
        <v>-1.1580533186524526</v>
      </c>
    </row>
    <row r="4611" spans="1:9">
      <c r="A4611" t="s">
        <v>15</v>
      </c>
      <c r="B4611" s="2">
        <f t="shared" ref="B4611:B4674" si="301">1+INT((ROW()-2)/21)+1</f>
        <v>221</v>
      </c>
      <c r="C4611">
        <v>416</v>
      </c>
      <c r="D4611">
        <v>4</v>
      </c>
      <c r="E4611">
        <v>50</v>
      </c>
      <c r="F4611">
        <f t="shared" si="299"/>
        <v>-2.0819895577554455</v>
      </c>
      <c r="G4611">
        <f t="shared" si="300"/>
        <v>-1.0898248792969547</v>
      </c>
      <c r="I4611">
        <f t="shared" ref="I4611:I4674" si="302">AVERAGE(F4611:G4611)</f>
        <v>-1.5859072185262</v>
      </c>
    </row>
    <row r="4612" spans="1:9">
      <c r="A4612" t="s">
        <v>16</v>
      </c>
      <c r="B4612" s="2">
        <f t="shared" si="301"/>
        <v>221</v>
      </c>
      <c r="C4612">
        <v>0</v>
      </c>
      <c r="D4612">
        <v>0</v>
      </c>
      <c r="E4612">
        <v>0</v>
      </c>
      <c r="F4612" t="e">
        <f t="shared" si="299"/>
        <v>#DIV/0!</v>
      </c>
      <c r="G4612" t="e">
        <f t="shared" si="300"/>
        <v>#DIV/0!</v>
      </c>
      <c r="I4612" t="e">
        <f t="shared" si="302"/>
        <v>#DIV/0!</v>
      </c>
    </row>
    <row r="4613" spans="1:9">
      <c r="A4613" t="s">
        <v>17</v>
      </c>
      <c r="B4613" s="2">
        <f t="shared" si="301"/>
        <v>221</v>
      </c>
      <c r="C4613">
        <v>1</v>
      </c>
      <c r="D4613">
        <v>0</v>
      </c>
      <c r="E4613">
        <v>0</v>
      </c>
      <c r="F4613" t="e">
        <f t="shared" si="299"/>
        <v>#NUM!</v>
      </c>
      <c r="G4613" t="e">
        <f t="shared" si="300"/>
        <v>#NUM!</v>
      </c>
      <c r="I4613" t="e">
        <f t="shared" si="302"/>
        <v>#NUM!</v>
      </c>
    </row>
    <row r="4614" spans="1:9">
      <c r="A4614" t="s">
        <v>18</v>
      </c>
      <c r="B4614" s="2">
        <f t="shared" si="301"/>
        <v>221</v>
      </c>
      <c r="C4614">
        <v>0</v>
      </c>
      <c r="D4614">
        <v>0</v>
      </c>
      <c r="E4614">
        <v>0</v>
      </c>
      <c r="F4614" t="e">
        <f t="shared" si="299"/>
        <v>#DIV/0!</v>
      </c>
      <c r="G4614" t="e">
        <f t="shared" si="300"/>
        <v>#DIV/0!</v>
      </c>
      <c r="I4614" t="e">
        <f t="shared" si="302"/>
        <v>#DIV/0!</v>
      </c>
    </row>
    <row r="4615" spans="1:9">
      <c r="A4615" t="s">
        <v>19</v>
      </c>
      <c r="B4615" s="2">
        <f t="shared" si="301"/>
        <v>221</v>
      </c>
      <c r="C4615">
        <v>0</v>
      </c>
      <c r="D4615">
        <v>0</v>
      </c>
      <c r="E4615">
        <v>0</v>
      </c>
      <c r="F4615" t="e">
        <f t="shared" si="299"/>
        <v>#DIV/0!</v>
      </c>
      <c r="G4615" t="e">
        <f t="shared" si="300"/>
        <v>#DIV/0!</v>
      </c>
      <c r="I4615" t="e">
        <f t="shared" si="302"/>
        <v>#DIV/0!</v>
      </c>
    </row>
    <row r="4616" spans="1:9">
      <c r="A4616" t="s">
        <v>20</v>
      </c>
      <c r="B4616" s="2">
        <f t="shared" si="301"/>
        <v>221</v>
      </c>
      <c r="C4616">
        <v>0</v>
      </c>
      <c r="D4616">
        <v>0</v>
      </c>
      <c r="E4616">
        <v>0</v>
      </c>
      <c r="F4616" t="e">
        <f t="shared" si="299"/>
        <v>#DIV/0!</v>
      </c>
      <c r="G4616" t="e">
        <f t="shared" si="300"/>
        <v>#DIV/0!</v>
      </c>
      <c r="I4616" t="e">
        <f t="shared" si="302"/>
        <v>#DIV/0!</v>
      </c>
    </row>
    <row r="4617" spans="1:9">
      <c r="A4617" t="s">
        <v>21</v>
      </c>
      <c r="B4617" s="2">
        <f t="shared" si="301"/>
        <v>221</v>
      </c>
      <c r="C4617">
        <v>480</v>
      </c>
      <c r="D4617">
        <v>1</v>
      </c>
      <c r="E4617">
        <v>1</v>
      </c>
      <c r="F4617">
        <f t="shared" si="299"/>
        <v>-2.7461974558322524</v>
      </c>
      <c r="G4617">
        <f t="shared" si="300"/>
        <v>-2.8509427903818181</v>
      </c>
      <c r="I4617">
        <f t="shared" si="302"/>
        <v>-2.7985701231070355</v>
      </c>
    </row>
    <row r="4618" spans="1:9">
      <c r="A4618" t="s">
        <v>22</v>
      </c>
      <c r="B4618" s="2">
        <f t="shared" si="301"/>
        <v>221</v>
      </c>
      <c r="C4618">
        <v>73</v>
      </c>
      <c r="D4618">
        <v>0</v>
      </c>
      <c r="E4618">
        <v>0</v>
      </c>
      <c r="F4618" t="e">
        <f t="shared" si="299"/>
        <v>#NUM!</v>
      </c>
      <c r="G4618" t="e">
        <f t="shared" si="300"/>
        <v>#NUM!</v>
      </c>
      <c r="I4618" t="e">
        <f t="shared" si="302"/>
        <v>#NUM!</v>
      </c>
    </row>
    <row r="4619" spans="1:9">
      <c r="A4619" t="s">
        <v>23</v>
      </c>
      <c r="B4619" s="2">
        <f t="shared" si="301"/>
        <v>221</v>
      </c>
      <c r="C4619">
        <v>225</v>
      </c>
      <c r="D4619">
        <v>1</v>
      </c>
      <c r="E4619">
        <v>1</v>
      </c>
      <c r="F4619">
        <f t="shared" si="299"/>
        <v>-2.4171387365680279</v>
      </c>
      <c r="G4619">
        <f t="shared" si="300"/>
        <v>-2.5218840711175936</v>
      </c>
      <c r="I4619">
        <f t="shared" si="302"/>
        <v>-2.4695114038428105</v>
      </c>
    </row>
    <row r="4620" spans="1:9">
      <c r="A4620" t="s">
        <v>24</v>
      </c>
      <c r="B4620" s="2">
        <f t="shared" si="301"/>
        <v>221</v>
      </c>
      <c r="C4620">
        <v>0</v>
      </c>
      <c r="D4620">
        <v>0</v>
      </c>
      <c r="E4620">
        <v>0</v>
      </c>
      <c r="F4620" t="e">
        <f t="shared" si="299"/>
        <v>#DIV/0!</v>
      </c>
      <c r="G4620" t="e">
        <f t="shared" si="300"/>
        <v>#DIV/0!</v>
      </c>
      <c r="I4620" t="e">
        <f t="shared" si="302"/>
        <v>#DIV/0!</v>
      </c>
    </row>
    <row r="4621" spans="1:9">
      <c r="A4621" t="s">
        <v>25</v>
      </c>
      <c r="B4621" s="2">
        <f t="shared" si="301"/>
        <v>221</v>
      </c>
      <c r="C4621">
        <v>173</v>
      </c>
      <c r="D4621">
        <v>0</v>
      </c>
      <c r="E4621">
        <v>0</v>
      </c>
      <c r="F4621" t="e">
        <f t="shared" si="299"/>
        <v>#NUM!</v>
      </c>
      <c r="G4621" t="e">
        <f t="shared" si="300"/>
        <v>#NUM!</v>
      </c>
      <c r="I4621" t="e">
        <f t="shared" si="302"/>
        <v>#NUM!</v>
      </c>
    </row>
    <row r="4622" spans="1:9">
      <c r="A4622" t="s">
        <v>7</v>
      </c>
      <c r="B4622" s="2">
        <f t="shared" si="301"/>
        <v>222</v>
      </c>
      <c r="C4622">
        <v>946</v>
      </c>
      <c r="D4622">
        <v>31</v>
      </c>
      <c r="E4622">
        <v>73</v>
      </c>
      <c r="F4622">
        <f t="shared" si="299"/>
        <v>-1.5494856610241852</v>
      </c>
      <c r="G4622">
        <f t="shared" si="300"/>
        <v>-1.2822698292875676</v>
      </c>
      <c r="I4622">
        <f t="shared" si="302"/>
        <v>-1.4158777451558764</v>
      </c>
    </row>
    <row r="4623" spans="1:9">
      <c r="A4623" t="s">
        <v>8</v>
      </c>
      <c r="B4623" s="2">
        <f t="shared" si="301"/>
        <v>222</v>
      </c>
      <c r="C4623">
        <v>660</v>
      </c>
      <c r="D4623">
        <v>5</v>
      </c>
      <c r="E4623">
        <v>3</v>
      </c>
      <c r="F4623">
        <f t="shared" si="299"/>
        <v>-2.1855301496625152</v>
      </c>
      <c r="G4623">
        <f t="shared" si="300"/>
        <v>-2.5121242338284371</v>
      </c>
      <c r="I4623">
        <f t="shared" si="302"/>
        <v>-2.3488271917454764</v>
      </c>
    </row>
    <row r="4624" spans="1:9">
      <c r="A4624" t="s">
        <v>5</v>
      </c>
      <c r="B4624" s="2">
        <f t="shared" si="301"/>
        <v>222</v>
      </c>
      <c r="C4624">
        <v>63</v>
      </c>
      <c r="D4624">
        <v>1</v>
      </c>
      <c r="E4624">
        <v>2</v>
      </c>
      <c r="F4624">
        <f t="shared" si="299"/>
        <v>-1.8642967679102469</v>
      </c>
      <c r="G4624">
        <f t="shared" si="300"/>
        <v>-1.6680121067958311</v>
      </c>
      <c r="I4624">
        <f t="shared" si="302"/>
        <v>-1.7661544373530389</v>
      </c>
    </row>
    <row r="4625" spans="1:9">
      <c r="A4625" t="s">
        <v>6</v>
      </c>
      <c r="B4625" s="2">
        <f t="shared" si="301"/>
        <v>222</v>
      </c>
      <c r="C4625">
        <v>1082</v>
      </c>
      <c r="D4625">
        <v>316</v>
      </c>
      <c r="E4625">
        <v>494</v>
      </c>
      <c r="F4625">
        <f t="shared" si="299"/>
        <v>-0.59949639660881204</v>
      </c>
      <c r="G4625">
        <f t="shared" si="300"/>
        <v>-0.51020186485313446</v>
      </c>
      <c r="I4625">
        <f t="shared" si="302"/>
        <v>-0.55484913073097331</v>
      </c>
    </row>
    <row r="4626" spans="1:9">
      <c r="A4626" t="s">
        <v>10</v>
      </c>
      <c r="B4626" s="2">
        <f t="shared" si="301"/>
        <v>222</v>
      </c>
      <c r="C4626">
        <v>149</v>
      </c>
      <c r="D4626">
        <v>13</v>
      </c>
      <c r="E4626">
        <v>2</v>
      </c>
      <c r="F4626">
        <f t="shared" si="299"/>
        <v>-1.1241991345621025</v>
      </c>
      <c r="G4626">
        <f t="shared" si="300"/>
        <v>-2.0418578257545237</v>
      </c>
      <c r="I4626">
        <f t="shared" si="302"/>
        <v>-1.5830284801583132</v>
      </c>
    </row>
    <row r="4627" spans="1:9">
      <c r="A4627" t="s">
        <v>11</v>
      </c>
      <c r="B4627" s="2">
        <f t="shared" si="301"/>
        <v>222</v>
      </c>
      <c r="C4627">
        <v>320</v>
      </c>
      <c r="D4627">
        <v>17</v>
      </c>
      <c r="E4627">
        <v>1</v>
      </c>
      <c r="F4627">
        <f t="shared" si="299"/>
        <v>-1.3396572753982974</v>
      </c>
      <c r="G4627">
        <f t="shared" si="300"/>
        <v>-2.6748515313261367</v>
      </c>
      <c r="I4627">
        <f t="shared" si="302"/>
        <v>-2.0072544033622171</v>
      </c>
    </row>
    <row r="4628" spans="1:9">
      <c r="A4628" t="s">
        <v>12</v>
      </c>
      <c r="B4628" s="2">
        <f t="shared" si="301"/>
        <v>222</v>
      </c>
      <c r="C4628">
        <v>259</v>
      </c>
      <c r="D4628">
        <v>0</v>
      </c>
      <c r="E4628">
        <v>1</v>
      </c>
      <c r="F4628" t="e">
        <f t="shared" si="299"/>
        <v>#NUM!</v>
      </c>
      <c r="G4628">
        <f t="shared" si="300"/>
        <v>-2.5830013170874828</v>
      </c>
      <c r="I4628" t="e">
        <f t="shared" si="302"/>
        <v>#NUM!</v>
      </c>
    </row>
    <row r="4629" spans="1:9">
      <c r="A4629" t="s">
        <v>9</v>
      </c>
      <c r="B4629" s="2">
        <f t="shared" si="301"/>
        <v>222</v>
      </c>
      <c r="C4629">
        <v>2</v>
      </c>
      <c r="D4629">
        <v>0</v>
      </c>
      <c r="E4629">
        <v>0</v>
      </c>
      <c r="F4629" t="e">
        <f t="shared" si="299"/>
        <v>#NUM!</v>
      </c>
      <c r="G4629" t="e">
        <f t="shared" si="300"/>
        <v>#NUM!</v>
      </c>
      <c r="I4629" t="e">
        <f t="shared" si="302"/>
        <v>#NUM!</v>
      </c>
    </row>
    <row r="4630" spans="1:9">
      <c r="A4630" t="s">
        <v>13</v>
      </c>
      <c r="B4630" s="2">
        <f t="shared" si="301"/>
        <v>222</v>
      </c>
      <c r="C4630">
        <v>0</v>
      </c>
      <c r="D4630">
        <v>0</v>
      </c>
      <c r="E4630">
        <v>0</v>
      </c>
      <c r="F4630" t="e">
        <f t="shared" si="299"/>
        <v>#DIV/0!</v>
      </c>
      <c r="G4630" t="e">
        <f t="shared" si="300"/>
        <v>#DIV/0!</v>
      </c>
      <c r="I4630" t="e">
        <f t="shared" si="302"/>
        <v>#DIV/0!</v>
      </c>
    </row>
    <row r="4631" spans="1:9">
      <c r="A4631" t="s">
        <v>14</v>
      </c>
      <c r="B4631" s="2">
        <f t="shared" si="301"/>
        <v>222</v>
      </c>
      <c r="C4631">
        <v>110</v>
      </c>
      <c r="D4631">
        <v>133</v>
      </c>
      <c r="E4631">
        <v>148</v>
      </c>
      <c r="F4631">
        <f t="shared" si="299"/>
        <v>1.7502737352195527E-2</v>
      </c>
      <c r="G4631">
        <f t="shared" si="300"/>
        <v>-4.0832522769498392E-2</v>
      </c>
      <c r="I4631">
        <f t="shared" si="302"/>
        <v>-1.1664892708651432E-2</v>
      </c>
    </row>
    <row r="4632" spans="1:9">
      <c r="A4632" t="s">
        <v>15</v>
      </c>
      <c r="B4632" s="2">
        <f t="shared" si="301"/>
        <v>222</v>
      </c>
      <c r="C4632">
        <v>1059</v>
      </c>
      <c r="D4632">
        <v>579</v>
      </c>
      <c r="E4632">
        <v>468</v>
      </c>
      <c r="F4632">
        <f t="shared" si="299"/>
        <v>-0.32717361483671403</v>
      </c>
      <c r="G4632">
        <f t="shared" si="300"/>
        <v>-0.52435166003959166</v>
      </c>
      <c r="I4632">
        <f t="shared" si="302"/>
        <v>-0.42576263743815285</v>
      </c>
    </row>
    <row r="4633" spans="1:9">
      <c r="A4633" t="s">
        <v>16</v>
      </c>
      <c r="B4633" s="2">
        <f t="shared" si="301"/>
        <v>222</v>
      </c>
      <c r="C4633">
        <v>90</v>
      </c>
      <c r="D4633">
        <v>7</v>
      </c>
      <c r="E4633">
        <v>0</v>
      </c>
      <c r="F4633">
        <f t="shared" si="299"/>
        <v>-1.1741006878817333</v>
      </c>
      <c r="G4633" t="e">
        <f t="shared" si="300"/>
        <v>#NUM!</v>
      </c>
      <c r="I4633" t="e">
        <f t="shared" si="302"/>
        <v>#NUM!</v>
      </c>
    </row>
    <row r="4634" spans="1:9">
      <c r="A4634" t="s">
        <v>17</v>
      </c>
      <c r="B4634" s="2">
        <f t="shared" si="301"/>
        <v>222</v>
      </c>
      <c r="C4634">
        <v>160</v>
      </c>
      <c r="D4634">
        <v>0</v>
      </c>
      <c r="E4634">
        <v>6</v>
      </c>
      <c r="F4634" t="e">
        <f t="shared" si="299"/>
        <v>#NUM!</v>
      </c>
      <c r="G4634">
        <f t="shared" si="300"/>
        <v>-1.5956702852785118</v>
      </c>
      <c r="I4634" t="e">
        <f t="shared" si="302"/>
        <v>#NUM!</v>
      </c>
    </row>
    <row r="4635" spans="1:9">
      <c r="A4635" t="s">
        <v>18</v>
      </c>
      <c r="B4635" s="2">
        <f t="shared" si="301"/>
        <v>222</v>
      </c>
      <c r="C4635">
        <v>189</v>
      </c>
      <c r="D4635">
        <v>9</v>
      </c>
      <c r="E4635">
        <v>42</v>
      </c>
      <c r="F4635">
        <f t="shared" si="299"/>
        <v>-1.3871755131905845</v>
      </c>
      <c r="G4635">
        <f t="shared" si="300"/>
        <v>-0.82291406678157442</v>
      </c>
      <c r="I4635">
        <f t="shared" si="302"/>
        <v>-1.1050447899860796</v>
      </c>
    </row>
    <row r="4636" spans="1:9">
      <c r="A4636" t="s">
        <v>19</v>
      </c>
      <c r="B4636" s="2">
        <f t="shared" si="301"/>
        <v>222</v>
      </c>
      <c r="C4636">
        <v>539</v>
      </c>
      <c r="D4636">
        <v>7</v>
      </c>
      <c r="E4636">
        <v>15</v>
      </c>
      <c r="F4636">
        <f t="shared" si="299"/>
        <v>-1.9514469436291471</v>
      </c>
      <c r="G4636">
        <f t="shared" si="300"/>
        <v>-1.7251990591372881</v>
      </c>
      <c r="I4636">
        <f t="shared" si="302"/>
        <v>-1.8383230013832175</v>
      </c>
    </row>
    <row r="4637" spans="1:9">
      <c r="A4637" t="s">
        <v>20</v>
      </c>
      <c r="B4637" s="2">
        <f t="shared" si="301"/>
        <v>222</v>
      </c>
      <c r="C4637">
        <v>2389</v>
      </c>
      <c r="D4637">
        <v>93</v>
      </c>
      <c r="E4637">
        <v>41</v>
      </c>
      <c r="F4637">
        <f t="shared" si="299"/>
        <v>-1.4746894196526079</v>
      </c>
      <c r="G4637">
        <f t="shared" si="300"/>
        <v>-1.9351338460363732</v>
      </c>
      <c r="I4637">
        <f t="shared" si="302"/>
        <v>-1.7049116328444907</v>
      </c>
    </row>
    <row r="4638" spans="1:9">
      <c r="A4638" t="s">
        <v>21</v>
      </c>
      <c r="B4638" s="2">
        <f t="shared" si="301"/>
        <v>222</v>
      </c>
      <c r="C4638">
        <v>123</v>
      </c>
      <c r="D4638">
        <v>0</v>
      </c>
      <c r="E4638">
        <v>0</v>
      </c>
      <c r="F4638" t="e">
        <f t="shared" si="299"/>
        <v>#NUM!</v>
      </c>
      <c r="G4638" t="e">
        <f t="shared" si="300"/>
        <v>#NUM!</v>
      </c>
      <c r="I4638" t="e">
        <f t="shared" si="302"/>
        <v>#NUM!</v>
      </c>
    </row>
    <row r="4639" spans="1:9">
      <c r="A4639" t="s">
        <v>22</v>
      </c>
      <c r="B4639" s="2">
        <f t="shared" si="301"/>
        <v>222</v>
      </c>
      <c r="C4639">
        <v>1</v>
      </c>
      <c r="D4639">
        <v>0</v>
      </c>
      <c r="E4639">
        <v>0</v>
      </c>
      <c r="F4639" t="e">
        <f t="shared" si="299"/>
        <v>#NUM!</v>
      </c>
      <c r="G4639" t="e">
        <f t="shared" si="300"/>
        <v>#NUM!</v>
      </c>
      <c r="I4639" t="e">
        <f t="shared" si="302"/>
        <v>#NUM!</v>
      </c>
    </row>
    <row r="4640" spans="1:9">
      <c r="A4640" t="s">
        <v>23</v>
      </c>
      <c r="B4640" s="2">
        <f t="shared" si="301"/>
        <v>222</v>
      </c>
      <c r="C4640">
        <v>371</v>
      </c>
      <c r="D4640">
        <v>1</v>
      </c>
      <c r="E4640">
        <v>0</v>
      </c>
      <c r="F4640">
        <f t="shared" si="299"/>
        <v>-2.6343301280717109</v>
      </c>
      <c r="G4640" t="e">
        <f t="shared" si="300"/>
        <v>#NUM!</v>
      </c>
      <c r="I4640" t="e">
        <f t="shared" si="302"/>
        <v>#NUM!</v>
      </c>
    </row>
    <row r="4641" spans="1:9">
      <c r="A4641" t="s">
        <v>24</v>
      </c>
      <c r="B4641" s="2">
        <f t="shared" si="301"/>
        <v>222</v>
      </c>
      <c r="C4641">
        <v>685</v>
      </c>
      <c r="D4641">
        <v>5</v>
      </c>
      <c r="E4641">
        <v>2</v>
      </c>
      <c r="F4641">
        <f t="shared" si="299"/>
        <v>-2.2016767856130719</v>
      </c>
      <c r="G4641">
        <f t="shared" si="300"/>
        <v>-2.7043621288346755</v>
      </c>
      <c r="I4641">
        <f t="shared" si="302"/>
        <v>-2.4530194572238737</v>
      </c>
    </row>
    <row r="4642" spans="1:9">
      <c r="A4642" t="s">
        <v>25</v>
      </c>
      <c r="B4642" s="2">
        <f t="shared" si="301"/>
        <v>222</v>
      </c>
      <c r="C4642">
        <v>301</v>
      </c>
      <c r="D4642">
        <v>46</v>
      </c>
      <c r="E4642">
        <v>63</v>
      </c>
      <c r="F4642">
        <f t="shared" si="299"/>
        <v>-0.88076488236893447</v>
      </c>
      <c r="G4642">
        <f t="shared" si="300"/>
        <v>-0.84892749914649235</v>
      </c>
      <c r="I4642">
        <f t="shared" si="302"/>
        <v>-0.86484619075771341</v>
      </c>
    </row>
    <row r="4643" spans="1:9">
      <c r="A4643" t="s">
        <v>7</v>
      </c>
      <c r="B4643" s="2">
        <f t="shared" si="301"/>
        <v>223</v>
      </c>
      <c r="C4643">
        <v>237</v>
      </c>
      <c r="D4643">
        <v>5</v>
      </c>
      <c r="E4643">
        <v>483</v>
      </c>
      <c r="F4643">
        <f t="shared" si="299"/>
        <v>-1.7407345601307502</v>
      </c>
      <c r="G4643">
        <f t="shared" si="300"/>
        <v>0.13949723173517758</v>
      </c>
      <c r="I4643">
        <f t="shared" si="302"/>
        <v>-0.80061866419778638</v>
      </c>
    </row>
    <row r="4644" spans="1:9">
      <c r="A4644" t="s">
        <v>8</v>
      </c>
      <c r="B4644" s="2">
        <f t="shared" si="301"/>
        <v>223</v>
      </c>
      <c r="C4644">
        <v>61</v>
      </c>
      <c r="D4644">
        <v>52</v>
      </c>
      <c r="E4644">
        <v>80</v>
      </c>
      <c r="F4644">
        <f t="shared" si="299"/>
        <v>-0.13428270983263307</v>
      </c>
      <c r="G4644">
        <f t="shared" si="300"/>
        <v>-5.1941401025054221E-2</v>
      </c>
      <c r="I4644">
        <f t="shared" si="302"/>
        <v>-9.3112055428843654E-2</v>
      </c>
    </row>
    <row r="4645" spans="1:9">
      <c r="A4645" t="s">
        <v>5</v>
      </c>
      <c r="B4645" s="2">
        <f t="shared" si="301"/>
        <v>223</v>
      </c>
      <c r="C4645">
        <v>20</v>
      </c>
      <c r="D4645">
        <v>231</v>
      </c>
      <c r="E4645">
        <v>64</v>
      </c>
      <c r="F4645">
        <f t="shared" si="299"/>
        <v>0.99762576577149797</v>
      </c>
      <c r="G4645">
        <f t="shared" si="300"/>
        <v>0.3354484253136753</v>
      </c>
      <c r="I4645">
        <f t="shared" si="302"/>
        <v>0.66653709554258667</v>
      </c>
    </row>
    <row r="4646" spans="1:9">
      <c r="A4646" t="s">
        <v>6</v>
      </c>
      <c r="B4646" s="2">
        <f t="shared" si="301"/>
        <v>223</v>
      </c>
      <c r="C4646">
        <v>763</v>
      </c>
      <c r="D4646">
        <v>965</v>
      </c>
      <c r="E4646">
        <v>1818</v>
      </c>
      <c r="F4646">
        <f t="shared" si="299"/>
        <v>3.7046556932246885E-2</v>
      </c>
      <c r="G4646">
        <f t="shared" si="300"/>
        <v>0.2073677879248374</v>
      </c>
      <c r="I4646">
        <f t="shared" si="302"/>
        <v>0.12220717242854215</v>
      </c>
    </row>
    <row r="4647" spans="1:9">
      <c r="A4647" t="s">
        <v>10</v>
      </c>
      <c r="B4647" s="2">
        <f t="shared" si="301"/>
        <v>223</v>
      </c>
      <c r="C4647">
        <v>126</v>
      </c>
      <c r="D4647">
        <v>18</v>
      </c>
      <c r="E4647">
        <v>9</v>
      </c>
      <c r="F4647">
        <f t="shared" si="299"/>
        <v>-0.91005425847092203</v>
      </c>
      <c r="G4647">
        <f t="shared" si="300"/>
        <v>-1.3158295886844686</v>
      </c>
      <c r="I4647">
        <f t="shared" si="302"/>
        <v>-1.1129419235776954</v>
      </c>
    </row>
    <row r="4648" spans="1:9">
      <c r="A4648" t="s">
        <v>11</v>
      </c>
      <c r="B4648" s="2">
        <f t="shared" si="301"/>
        <v>223</v>
      </c>
      <c r="C4648">
        <v>395</v>
      </c>
      <c r="D4648">
        <v>3</v>
      </c>
      <c r="E4648">
        <v>4</v>
      </c>
      <c r="F4648">
        <f t="shared" si="299"/>
        <v>-2.1844320593634632</v>
      </c>
      <c r="G4648">
        <f t="shared" si="300"/>
        <v>-2.1642386573047285</v>
      </c>
      <c r="I4648">
        <f t="shared" si="302"/>
        <v>-2.1743353583340959</v>
      </c>
    </row>
    <row r="4649" spans="1:9">
      <c r="A4649" t="s">
        <v>12</v>
      </c>
      <c r="B4649" s="2">
        <f t="shared" si="301"/>
        <v>223</v>
      </c>
      <c r="C4649">
        <v>1463</v>
      </c>
      <c r="D4649">
        <v>2149</v>
      </c>
      <c r="E4649">
        <v>2007</v>
      </c>
      <c r="F4649">
        <f t="shared" si="299"/>
        <v>0.10203587090946731</v>
      </c>
      <c r="G4649">
        <f t="shared" si="300"/>
        <v>-3.2398506644055997E-2</v>
      </c>
      <c r="I4649">
        <f t="shared" si="302"/>
        <v>3.4818682132705656E-2</v>
      </c>
    </row>
    <row r="4650" spans="1:9">
      <c r="A4650" t="s">
        <v>9</v>
      </c>
      <c r="B4650" s="2">
        <f t="shared" si="301"/>
        <v>223</v>
      </c>
      <c r="C4650">
        <v>22</v>
      </c>
      <c r="D4650">
        <v>70</v>
      </c>
      <c r="E4650">
        <v>6</v>
      </c>
      <c r="F4650">
        <f t="shared" si="299"/>
        <v>0.43771914073538531</v>
      </c>
      <c r="G4650">
        <f t="shared" si="300"/>
        <v>-0.73397298344479345</v>
      </c>
      <c r="I4650">
        <f t="shared" si="302"/>
        <v>-0.14812692135470407</v>
      </c>
    </row>
    <row r="4651" spans="1:9">
      <c r="A4651" t="s">
        <v>13</v>
      </c>
      <c r="B4651" s="2">
        <f t="shared" si="301"/>
        <v>223</v>
      </c>
      <c r="C4651">
        <v>66</v>
      </c>
      <c r="D4651">
        <v>5547</v>
      </c>
      <c r="E4651">
        <v>205</v>
      </c>
      <c r="F4651">
        <f t="shared" si="299"/>
        <v>1.8595580118803017</v>
      </c>
      <c r="G4651">
        <f t="shared" si="300"/>
        <v>0.32250837250765485</v>
      </c>
      <c r="I4651">
        <f t="shared" si="302"/>
        <v>1.0910331921939782</v>
      </c>
    </row>
    <row r="4652" spans="1:9">
      <c r="A4652" t="s">
        <v>14</v>
      </c>
      <c r="B4652" s="2">
        <f t="shared" si="301"/>
        <v>223</v>
      </c>
      <c r="C4652">
        <v>1001</v>
      </c>
      <c r="D4652">
        <v>2452</v>
      </c>
      <c r="E4652">
        <v>4945</v>
      </c>
      <c r="F4652">
        <f t="shared" si="299"/>
        <v>0.32413016991039356</v>
      </c>
      <c r="G4652">
        <f t="shared" si="300"/>
        <v>0.52403066544764876</v>
      </c>
      <c r="I4652">
        <f t="shared" si="302"/>
        <v>0.42408041767902116</v>
      </c>
    </row>
    <row r="4653" spans="1:9">
      <c r="A4653" t="s">
        <v>15</v>
      </c>
      <c r="B4653" s="2">
        <f t="shared" si="301"/>
        <v>223</v>
      </c>
      <c r="C4653">
        <v>513</v>
      </c>
      <c r="D4653">
        <v>252</v>
      </c>
      <c r="E4653">
        <v>8149</v>
      </c>
      <c r="F4653">
        <f t="shared" si="299"/>
        <v>-0.37367304278693736</v>
      </c>
      <c r="G4653">
        <f t="shared" si="300"/>
        <v>1.031285399685989</v>
      </c>
      <c r="I4653">
        <f t="shared" si="302"/>
        <v>0.32880617844952581</v>
      </c>
    </row>
    <row r="4654" spans="1:9">
      <c r="A4654" t="s">
        <v>16</v>
      </c>
      <c r="B4654" s="2">
        <f t="shared" si="301"/>
        <v>223</v>
      </c>
      <c r="C4654">
        <v>179252</v>
      </c>
      <c r="D4654">
        <v>208171</v>
      </c>
      <c r="E4654">
        <v>264951</v>
      </c>
      <c r="F4654">
        <f t="shared" si="299"/>
        <v>0</v>
      </c>
      <c r="G4654">
        <f t="shared" si="300"/>
        <v>0</v>
      </c>
      <c r="I4654">
        <f t="shared" si="302"/>
        <v>0</v>
      </c>
    </row>
    <row r="4655" spans="1:9">
      <c r="A4655" t="s">
        <v>17</v>
      </c>
      <c r="B4655" s="2">
        <f t="shared" si="301"/>
        <v>223</v>
      </c>
      <c r="C4655">
        <v>757</v>
      </c>
      <c r="D4655">
        <v>28</v>
      </c>
      <c r="E4655">
        <v>12</v>
      </c>
      <c r="F4655">
        <f t="shared" si="299"/>
        <v>-1.4968940666145187</v>
      </c>
      <c r="G4655">
        <f t="shared" si="300"/>
        <v>-1.9696161864586785</v>
      </c>
      <c r="I4655">
        <f t="shared" si="302"/>
        <v>-1.7332551265365987</v>
      </c>
    </row>
    <row r="4656" spans="1:9">
      <c r="A4656" t="s">
        <v>18</v>
      </c>
      <c r="B4656" s="2">
        <f t="shared" si="301"/>
        <v>223</v>
      </c>
      <c r="C4656">
        <v>1731</v>
      </c>
      <c r="D4656">
        <v>297</v>
      </c>
      <c r="E4656">
        <v>255</v>
      </c>
      <c r="F4656">
        <f t="shared" si="299"/>
        <v>-0.83049683701484678</v>
      </c>
      <c r="G4656">
        <f t="shared" si="300"/>
        <v>-1.0014584404476694</v>
      </c>
      <c r="I4656">
        <f t="shared" si="302"/>
        <v>-0.91597763873125815</v>
      </c>
    </row>
    <row r="4657" spans="1:9">
      <c r="A4657" t="s">
        <v>19</v>
      </c>
      <c r="B4657" s="2">
        <f t="shared" si="301"/>
        <v>223</v>
      </c>
      <c r="C4657">
        <v>1482</v>
      </c>
      <c r="D4657">
        <v>45</v>
      </c>
      <c r="E4657">
        <v>52</v>
      </c>
      <c r="F4657">
        <f t="shared" si="299"/>
        <v>-1.5825919083246309</v>
      </c>
      <c r="G4657">
        <f t="shared" si="300"/>
        <v>-1.6245464130147409</v>
      </c>
      <c r="I4657">
        <f t="shared" si="302"/>
        <v>-1.6035691606696858</v>
      </c>
    </row>
    <row r="4658" spans="1:9">
      <c r="A4658" t="s">
        <v>20</v>
      </c>
      <c r="B4658" s="2">
        <f t="shared" si="301"/>
        <v>223</v>
      </c>
      <c r="C4658">
        <v>192</v>
      </c>
      <c r="D4658">
        <v>0</v>
      </c>
      <c r="E4658">
        <v>1</v>
      </c>
      <c r="F4658" t="e">
        <f t="shared" si="299"/>
        <v>#NUM!</v>
      </c>
      <c r="G4658">
        <f t="shared" si="300"/>
        <v>-2.4530027817097806</v>
      </c>
      <c r="I4658" t="e">
        <f t="shared" si="302"/>
        <v>#NUM!</v>
      </c>
    </row>
    <row r="4659" spans="1:9">
      <c r="A4659" t="s">
        <v>21</v>
      </c>
      <c r="B4659" s="2">
        <f t="shared" si="301"/>
        <v>223</v>
      </c>
      <c r="C4659">
        <v>418</v>
      </c>
      <c r="D4659">
        <v>2</v>
      </c>
      <c r="E4659">
        <v>0</v>
      </c>
      <c r="F4659">
        <f t="shared" si="299"/>
        <v>-2.3851025045677194</v>
      </c>
      <c r="G4659" t="e">
        <f t="shared" si="300"/>
        <v>#NUM!</v>
      </c>
      <c r="I4659" t="e">
        <f t="shared" si="302"/>
        <v>#NUM!</v>
      </c>
    </row>
    <row r="4660" spans="1:9">
      <c r="A4660" t="s">
        <v>22</v>
      </c>
      <c r="B4660" s="2">
        <f t="shared" si="301"/>
        <v>223</v>
      </c>
      <c r="C4660">
        <v>35</v>
      </c>
      <c r="D4660">
        <v>5</v>
      </c>
      <c r="E4660">
        <v>0</v>
      </c>
      <c r="F4660">
        <f t="shared" si="299"/>
        <v>-0.91005425847092203</v>
      </c>
      <c r="G4660" t="e">
        <f t="shared" si="300"/>
        <v>#NUM!</v>
      </c>
      <c r="I4660" t="e">
        <f t="shared" si="302"/>
        <v>#NUM!</v>
      </c>
    </row>
    <row r="4661" spans="1:9">
      <c r="A4661" t="s">
        <v>23</v>
      </c>
      <c r="B4661" s="2">
        <f t="shared" si="301"/>
        <v>223</v>
      </c>
      <c r="C4661">
        <v>983</v>
      </c>
      <c r="D4661">
        <v>3</v>
      </c>
      <c r="E4661">
        <v>1</v>
      </c>
      <c r="F4661">
        <f t="shared" si="299"/>
        <v>-2.5803884815691385</v>
      </c>
      <c r="G4661">
        <f t="shared" si="300"/>
        <v>-3.1622550708383668</v>
      </c>
      <c r="I4661">
        <f t="shared" si="302"/>
        <v>-2.8713217762037528</v>
      </c>
    </row>
    <row r="4662" spans="1:9">
      <c r="A4662" t="s">
        <v>24</v>
      </c>
      <c r="B4662" s="2">
        <f t="shared" si="301"/>
        <v>223</v>
      </c>
      <c r="C4662">
        <v>676</v>
      </c>
      <c r="D4662">
        <v>2</v>
      </c>
      <c r="E4662">
        <v>1</v>
      </c>
      <c r="F4662">
        <f t="shared" si="299"/>
        <v>-2.5938729187343199</v>
      </c>
      <c r="G4662">
        <f t="shared" si="300"/>
        <v>-2.9996482489478669</v>
      </c>
      <c r="I4662">
        <f t="shared" si="302"/>
        <v>-2.7967605838410936</v>
      </c>
    </row>
    <row r="4663" spans="1:9">
      <c r="A4663" t="s">
        <v>25</v>
      </c>
      <c r="B4663" s="2">
        <f t="shared" si="301"/>
        <v>223</v>
      </c>
      <c r="C4663">
        <v>1065</v>
      </c>
      <c r="D4663">
        <v>10</v>
      </c>
      <c r="E4663">
        <v>0</v>
      </c>
      <c r="F4663">
        <f t="shared" si="299"/>
        <v>-2.0923058262314216</v>
      </c>
      <c r="G4663" t="e">
        <f t="shared" si="300"/>
        <v>#NUM!</v>
      </c>
      <c r="I4663" t="e">
        <f t="shared" si="302"/>
        <v>#NUM!</v>
      </c>
    </row>
    <row r="4664" spans="1:9">
      <c r="A4664" t="s">
        <v>7</v>
      </c>
      <c r="B4664" s="2">
        <f t="shared" si="301"/>
        <v>224</v>
      </c>
      <c r="C4664">
        <v>819</v>
      </c>
      <c r="D4664">
        <v>5</v>
      </c>
      <c r="E4664">
        <v>2</v>
      </c>
      <c r="F4664">
        <f t="shared" si="299"/>
        <v>-2.2792701158810651</v>
      </c>
      <c r="G4664">
        <f t="shared" si="300"/>
        <v>-2.7819554591026683</v>
      </c>
      <c r="I4664">
        <f t="shared" si="302"/>
        <v>-2.5306127874918669</v>
      </c>
    </row>
    <row r="4665" spans="1:9">
      <c r="A4665" t="s">
        <v>8</v>
      </c>
      <c r="B4665" s="2">
        <f t="shared" si="301"/>
        <v>224</v>
      </c>
      <c r="C4665">
        <v>164</v>
      </c>
      <c r="D4665">
        <v>1</v>
      </c>
      <c r="E4665">
        <v>0</v>
      </c>
      <c r="F4665">
        <f t="shared" si="299"/>
        <v>-2.2798000665043632</v>
      </c>
      <c r="G4665" t="e">
        <f t="shared" si="300"/>
        <v>#NUM!</v>
      </c>
      <c r="I4665" t="e">
        <f t="shared" si="302"/>
        <v>#NUM!</v>
      </c>
    </row>
    <row r="4666" spans="1:9">
      <c r="A4666" t="s">
        <v>5</v>
      </c>
      <c r="B4666" s="2">
        <f t="shared" si="301"/>
        <v>224</v>
      </c>
      <c r="C4666">
        <v>181</v>
      </c>
      <c r="D4666">
        <v>1</v>
      </c>
      <c r="E4666">
        <v>0</v>
      </c>
      <c r="F4666">
        <f t="shared" si="299"/>
        <v>-2.3226347933258498</v>
      </c>
      <c r="G4666" t="e">
        <f t="shared" si="300"/>
        <v>#NUM!</v>
      </c>
      <c r="I4666" t="e">
        <f t="shared" si="302"/>
        <v>#NUM!</v>
      </c>
    </row>
    <row r="4667" spans="1:9">
      <c r="A4667" t="s">
        <v>6</v>
      </c>
      <c r="B4667" s="2">
        <f t="shared" si="301"/>
        <v>224</v>
      </c>
      <c r="C4667">
        <v>482</v>
      </c>
      <c r="D4667">
        <v>2</v>
      </c>
      <c r="E4667">
        <v>0</v>
      </c>
      <c r="F4667">
        <f t="shared" ref="F4667:F4730" si="303">LOG10(D4667/C4667)-LOG10(208171/179252)</f>
        <v>-2.4469732610315336</v>
      </c>
      <c r="G4667" t="e">
        <f t="shared" ref="G4667:G4730" si="304">LOG10(E4667/C4667)-LOG10(264951/179252)</f>
        <v>#NUM!</v>
      </c>
      <c r="I4667" t="e">
        <f t="shared" si="302"/>
        <v>#NUM!</v>
      </c>
    </row>
    <row r="4668" spans="1:9">
      <c r="A4668" t="s">
        <v>10</v>
      </c>
      <c r="B4668" s="2">
        <f t="shared" si="301"/>
        <v>224</v>
      </c>
      <c r="C4668">
        <v>682</v>
      </c>
      <c r="D4668">
        <v>19</v>
      </c>
      <c r="E4668">
        <v>6</v>
      </c>
      <c r="F4668">
        <f t="shared" si="303"/>
        <v>-1.6199869921603152</v>
      </c>
      <c r="G4668">
        <f t="shared" si="304"/>
        <v>-2.2253346772790663</v>
      </c>
      <c r="I4668">
        <f t="shared" si="302"/>
        <v>-1.9226608347196907</v>
      </c>
    </row>
    <row r="4669" spans="1:9">
      <c r="A4669" t="s">
        <v>11</v>
      </c>
      <c r="B4669" s="2">
        <f t="shared" si="301"/>
        <v>224</v>
      </c>
      <c r="C4669">
        <v>136</v>
      </c>
      <c r="D4669">
        <v>0</v>
      </c>
      <c r="E4669">
        <v>0</v>
      </c>
      <c r="F4669" t="e">
        <f t="shared" si="303"/>
        <v>#NUM!</v>
      </c>
      <c r="G4669" t="e">
        <f t="shared" si="304"/>
        <v>#NUM!</v>
      </c>
      <c r="I4669" t="e">
        <f t="shared" si="302"/>
        <v>#NUM!</v>
      </c>
    </row>
    <row r="4670" spans="1:9">
      <c r="A4670" t="s">
        <v>12</v>
      </c>
      <c r="B4670" s="2">
        <f t="shared" si="301"/>
        <v>224</v>
      </c>
      <c r="C4670">
        <v>1356</v>
      </c>
      <c r="D4670">
        <v>13</v>
      </c>
      <c r="E4670">
        <v>4</v>
      </c>
      <c r="F4670">
        <f t="shared" si="303"/>
        <v>-2.0832725556808729</v>
      </c>
      <c r="G4670">
        <f t="shared" si="304"/>
        <v>-2.699901251209313</v>
      </c>
      <c r="I4670">
        <f t="shared" si="302"/>
        <v>-2.3915869034450932</v>
      </c>
    </row>
    <row r="4671" spans="1:9">
      <c r="A4671" t="s">
        <v>9</v>
      </c>
      <c r="B4671" s="2">
        <f t="shared" si="301"/>
        <v>224</v>
      </c>
      <c r="C4671">
        <v>575</v>
      </c>
      <c r="D4671">
        <v>7</v>
      </c>
      <c r="E4671">
        <v>8</v>
      </c>
      <c r="F4671">
        <f t="shared" si="303"/>
        <v>-1.9795260231320388</v>
      </c>
      <c r="G4671">
        <f t="shared" si="304"/>
        <v>-2.0262794107039177</v>
      </c>
      <c r="I4671">
        <f t="shared" si="302"/>
        <v>-2.0029027169179781</v>
      </c>
    </row>
    <row r="4672" spans="1:9">
      <c r="A4672" t="s">
        <v>13</v>
      </c>
      <c r="B4672" s="2">
        <f t="shared" si="301"/>
        <v>224</v>
      </c>
      <c r="C4672">
        <v>392</v>
      </c>
      <c r="D4672">
        <v>412</v>
      </c>
      <c r="E4672">
        <v>229</v>
      </c>
      <c r="F4672">
        <f t="shared" si="303"/>
        <v>-4.334506944398786E-2</v>
      </c>
      <c r="G4672">
        <f t="shared" si="304"/>
        <v>-0.40315213768680003</v>
      </c>
      <c r="I4672">
        <f t="shared" si="302"/>
        <v>-0.22324860356539394</v>
      </c>
    </row>
    <row r="4673" spans="1:9">
      <c r="A4673" t="s">
        <v>14</v>
      </c>
      <c r="B4673" s="2">
        <f t="shared" si="301"/>
        <v>224</v>
      </c>
      <c r="C4673">
        <v>130</v>
      </c>
      <c r="D4673">
        <v>0</v>
      </c>
      <c r="E4673">
        <v>0</v>
      </c>
      <c r="F4673" t="e">
        <f t="shared" si="303"/>
        <v>#NUM!</v>
      </c>
      <c r="G4673" t="e">
        <f t="shared" si="304"/>
        <v>#NUM!</v>
      </c>
      <c r="I4673" t="e">
        <f t="shared" si="302"/>
        <v>#NUM!</v>
      </c>
    </row>
    <row r="4674" spans="1:9">
      <c r="A4674" t="s">
        <v>15</v>
      </c>
      <c r="B4674" s="2">
        <f t="shared" si="301"/>
        <v>224</v>
      </c>
      <c r="C4674">
        <v>0</v>
      </c>
      <c r="D4674">
        <v>0</v>
      </c>
      <c r="E4674">
        <v>0</v>
      </c>
      <c r="F4674" t="e">
        <f t="shared" si="303"/>
        <v>#DIV/0!</v>
      </c>
      <c r="G4674" t="e">
        <f t="shared" si="304"/>
        <v>#DIV/0!</v>
      </c>
      <c r="I4674" t="e">
        <f t="shared" si="302"/>
        <v>#DIV/0!</v>
      </c>
    </row>
    <row r="4675" spans="1:9">
      <c r="A4675" t="s">
        <v>16</v>
      </c>
      <c r="B4675" s="2">
        <f t="shared" ref="B4675:B4738" si="305">1+INT((ROW()-2)/21)+1</f>
        <v>224</v>
      </c>
      <c r="C4675">
        <v>218</v>
      </c>
      <c r="D4675">
        <v>0</v>
      </c>
      <c r="E4675">
        <v>0</v>
      </c>
      <c r="F4675" t="e">
        <f t="shared" si="303"/>
        <v>#NUM!</v>
      </c>
      <c r="G4675" t="e">
        <f t="shared" si="304"/>
        <v>#NUM!</v>
      </c>
      <c r="I4675" t="e">
        <f t="shared" ref="I4675:I4738" si="306">AVERAGE(F4675:G4675)</f>
        <v>#NUM!</v>
      </c>
    </row>
    <row r="4676" spans="1:9">
      <c r="A4676" t="s">
        <v>17</v>
      </c>
      <c r="B4676" s="2">
        <f t="shared" si="305"/>
        <v>224</v>
      </c>
      <c r="C4676">
        <v>3</v>
      </c>
      <c r="D4676">
        <v>1</v>
      </c>
      <c r="E4676">
        <v>1</v>
      </c>
      <c r="F4676">
        <f t="shared" si="303"/>
        <v>-0.5420774731763276</v>
      </c>
      <c r="G4676">
        <f t="shared" si="304"/>
        <v>-0.64682280772589318</v>
      </c>
      <c r="I4676">
        <f t="shared" si="306"/>
        <v>-0.59445014045111044</v>
      </c>
    </row>
    <row r="4677" spans="1:9">
      <c r="A4677" t="s">
        <v>18</v>
      </c>
      <c r="B4677" s="2">
        <f t="shared" si="305"/>
        <v>224</v>
      </c>
      <c r="C4677">
        <v>350</v>
      </c>
      <c r="D4677">
        <v>79</v>
      </c>
      <c r="E4677">
        <v>29</v>
      </c>
      <c r="F4677">
        <f t="shared" si="303"/>
        <v>-0.7113971715164995</v>
      </c>
      <c r="G4677">
        <f t="shared" si="304"/>
        <v>-1.2513715994575503</v>
      </c>
      <c r="I4677">
        <f t="shared" si="306"/>
        <v>-0.98138438548702489</v>
      </c>
    </row>
    <row r="4678" spans="1:9">
      <c r="A4678" t="s">
        <v>19</v>
      </c>
      <c r="B4678" s="2">
        <f t="shared" si="305"/>
        <v>224</v>
      </c>
      <c r="C4678">
        <v>175</v>
      </c>
      <c r="D4678">
        <v>26</v>
      </c>
      <c r="E4678">
        <v>42</v>
      </c>
      <c r="F4678">
        <f t="shared" si="303"/>
        <v>-0.89302091917214166</v>
      </c>
      <c r="G4678">
        <f t="shared" si="304"/>
        <v>-0.78949031129462477</v>
      </c>
      <c r="I4678">
        <f t="shared" si="306"/>
        <v>-0.84125561523338321</v>
      </c>
    </row>
    <row r="4679" spans="1:9">
      <c r="A4679" t="s">
        <v>20</v>
      </c>
      <c r="B4679" s="2">
        <f t="shared" si="305"/>
        <v>224</v>
      </c>
      <c r="C4679">
        <v>179252</v>
      </c>
      <c r="D4679">
        <v>208171</v>
      </c>
      <c r="E4679">
        <v>264951</v>
      </c>
      <c r="F4679">
        <f t="shared" si="303"/>
        <v>0</v>
      </c>
      <c r="G4679">
        <f t="shared" si="304"/>
        <v>0</v>
      </c>
      <c r="I4679">
        <f t="shared" si="306"/>
        <v>0</v>
      </c>
    </row>
    <row r="4680" spans="1:9">
      <c r="A4680" t="s">
        <v>21</v>
      </c>
      <c r="B4680" s="2">
        <f t="shared" si="305"/>
        <v>224</v>
      </c>
      <c r="C4680">
        <v>0</v>
      </c>
      <c r="D4680">
        <v>0</v>
      </c>
      <c r="E4680">
        <v>0</v>
      </c>
      <c r="F4680" t="e">
        <f t="shared" si="303"/>
        <v>#DIV/0!</v>
      </c>
      <c r="G4680" t="e">
        <f t="shared" si="304"/>
        <v>#DIV/0!</v>
      </c>
      <c r="I4680" t="e">
        <f t="shared" si="306"/>
        <v>#DIV/0!</v>
      </c>
    </row>
    <row r="4681" spans="1:9">
      <c r="A4681" t="s">
        <v>22</v>
      </c>
      <c r="B4681" s="2">
        <f t="shared" si="305"/>
        <v>224</v>
      </c>
      <c r="C4681">
        <v>1</v>
      </c>
      <c r="D4681">
        <v>0</v>
      </c>
      <c r="E4681">
        <v>0</v>
      </c>
      <c r="F4681" t="e">
        <f t="shared" si="303"/>
        <v>#NUM!</v>
      </c>
      <c r="G4681" t="e">
        <f t="shared" si="304"/>
        <v>#NUM!</v>
      </c>
      <c r="I4681" t="e">
        <f t="shared" si="306"/>
        <v>#NUM!</v>
      </c>
    </row>
    <row r="4682" spans="1:9">
      <c r="A4682" t="s">
        <v>23</v>
      </c>
      <c r="B4682" s="2">
        <f t="shared" si="305"/>
        <v>224</v>
      </c>
      <c r="C4682">
        <v>177</v>
      </c>
      <c r="D4682">
        <v>8</v>
      </c>
      <c r="E4682">
        <v>7</v>
      </c>
      <c r="F4682">
        <f t="shared" si="303"/>
        <v>-1.4098394978265283</v>
      </c>
      <c r="G4682">
        <f t="shared" si="304"/>
        <v>-1.5725767793537804</v>
      </c>
      <c r="I4682">
        <f t="shared" si="306"/>
        <v>-1.4912081385901543</v>
      </c>
    </row>
    <row r="4683" spans="1:9">
      <c r="A4683" t="s">
        <v>24</v>
      </c>
      <c r="B4683" s="2">
        <f t="shared" si="305"/>
        <v>224</v>
      </c>
      <c r="C4683">
        <v>973</v>
      </c>
      <c r="D4683">
        <v>2</v>
      </c>
      <c r="E4683">
        <v>1</v>
      </c>
      <c r="F4683">
        <f t="shared" si="303"/>
        <v>-2.7520390630610359</v>
      </c>
      <c r="G4683">
        <f t="shared" si="304"/>
        <v>-3.1578143932745828</v>
      </c>
      <c r="I4683">
        <f t="shared" si="306"/>
        <v>-2.9549267281678091</v>
      </c>
    </row>
    <row r="4684" spans="1:9">
      <c r="A4684" t="s">
        <v>25</v>
      </c>
      <c r="B4684" s="2">
        <f t="shared" si="305"/>
        <v>224</v>
      </c>
      <c r="C4684">
        <v>411</v>
      </c>
      <c r="D4684">
        <v>2</v>
      </c>
      <c r="E4684">
        <v>1</v>
      </c>
      <c r="F4684">
        <f t="shared" si="303"/>
        <v>-2.3777680446687532</v>
      </c>
      <c r="G4684">
        <f t="shared" si="304"/>
        <v>-2.7835433748823002</v>
      </c>
      <c r="I4684">
        <f t="shared" si="306"/>
        <v>-2.5806557097755265</v>
      </c>
    </row>
    <row r="4685" spans="1:9">
      <c r="A4685" t="s">
        <v>7</v>
      </c>
      <c r="B4685" s="2">
        <f t="shared" si="305"/>
        <v>225</v>
      </c>
      <c r="C4685">
        <v>0</v>
      </c>
      <c r="D4685">
        <v>0</v>
      </c>
      <c r="E4685">
        <v>0</v>
      </c>
      <c r="F4685" t="e">
        <f t="shared" si="303"/>
        <v>#DIV/0!</v>
      </c>
      <c r="G4685" t="e">
        <f t="shared" si="304"/>
        <v>#DIV/0!</v>
      </c>
      <c r="I4685" t="e">
        <f t="shared" si="306"/>
        <v>#DIV/0!</v>
      </c>
    </row>
    <row r="4686" spans="1:9">
      <c r="A4686" t="s">
        <v>8</v>
      </c>
      <c r="B4686" s="2">
        <f t="shared" si="305"/>
        <v>225</v>
      </c>
      <c r="C4686">
        <v>225</v>
      </c>
      <c r="D4686">
        <v>1</v>
      </c>
      <c r="E4686">
        <v>0</v>
      </c>
      <c r="F4686">
        <f t="shared" si="303"/>
        <v>-2.4171387365680279</v>
      </c>
      <c r="G4686" t="e">
        <f t="shared" si="304"/>
        <v>#NUM!</v>
      </c>
      <c r="I4686" t="e">
        <f t="shared" si="306"/>
        <v>#NUM!</v>
      </c>
    </row>
    <row r="4687" spans="1:9">
      <c r="A4687" t="s">
        <v>5</v>
      </c>
      <c r="B4687" s="2">
        <f t="shared" si="305"/>
        <v>225</v>
      </c>
      <c r="C4687">
        <v>57</v>
      </c>
      <c r="D4687">
        <v>0</v>
      </c>
      <c r="E4687">
        <v>0</v>
      </c>
      <c r="F4687" t="e">
        <f t="shared" si="303"/>
        <v>#NUM!</v>
      </c>
      <c r="G4687" t="e">
        <f t="shared" si="304"/>
        <v>#NUM!</v>
      </c>
      <c r="I4687" t="e">
        <f t="shared" si="306"/>
        <v>#NUM!</v>
      </c>
    </row>
    <row r="4688" spans="1:9">
      <c r="A4688" t="s">
        <v>6</v>
      </c>
      <c r="B4688" s="2">
        <f t="shared" si="305"/>
        <v>225</v>
      </c>
      <c r="C4688">
        <v>0</v>
      </c>
      <c r="D4688">
        <v>0</v>
      </c>
      <c r="E4688">
        <v>0</v>
      </c>
      <c r="F4688" t="e">
        <f t="shared" si="303"/>
        <v>#DIV/0!</v>
      </c>
      <c r="G4688" t="e">
        <f t="shared" si="304"/>
        <v>#DIV/0!</v>
      </c>
      <c r="I4688" t="e">
        <f t="shared" si="306"/>
        <v>#DIV/0!</v>
      </c>
    </row>
    <row r="4689" spans="1:9">
      <c r="A4689" t="s">
        <v>10</v>
      </c>
      <c r="B4689" s="2">
        <f t="shared" si="305"/>
        <v>225</v>
      </c>
      <c r="C4689">
        <v>0</v>
      </c>
      <c r="D4689">
        <v>0</v>
      </c>
      <c r="E4689">
        <v>0</v>
      </c>
      <c r="F4689" t="e">
        <f t="shared" si="303"/>
        <v>#DIV/0!</v>
      </c>
      <c r="G4689" t="e">
        <f t="shared" si="304"/>
        <v>#DIV/0!</v>
      </c>
      <c r="I4689" t="e">
        <f t="shared" si="306"/>
        <v>#DIV/0!</v>
      </c>
    </row>
    <row r="4690" spans="1:9">
      <c r="A4690" t="s">
        <v>11</v>
      </c>
      <c r="B4690" s="2">
        <f t="shared" si="305"/>
        <v>225</v>
      </c>
      <c r="C4690">
        <v>370</v>
      </c>
      <c r="D4690">
        <v>1</v>
      </c>
      <c r="E4690">
        <v>1</v>
      </c>
      <c r="F4690">
        <f t="shared" si="303"/>
        <v>-2.6331579425236602</v>
      </c>
      <c r="G4690">
        <f t="shared" si="304"/>
        <v>-2.7379032770732259</v>
      </c>
      <c r="I4690">
        <f t="shared" si="306"/>
        <v>-2.6855306097984428</v>
      </c>
    </row>
    <row r="4691" spans="1:9">
      <c r="A4691" t="s">
        <v>12</v>
      </c>
      <c r="B4691" s="2">
        <f t="shared" si="305"/>
        <v>225</v>
      </c>
      <c r="C4691">
        <v>463</v>
      </c>
      <c r="D4691">
        <v>0</v>
      </c>
      <c r="E4691">
        <v>0</v>
      </c>
      <c r="F4691" t="e">
        <f t="shared" si="303"/>
        <v>#NUM!</v>
      </c>
      <c r="G4691" t="e">
        <f t="shared" si="304"/>
        <v>#NUM!</v>
      </c>
      <c r="I4691" t="e">
        <f t="shared" si="306"/>
        <v>#NUM!</v>
      </c>
    </row>
    <row r="4692" spans="1:9">
      <c r="A4692" t="s">
        <v>9</v>
      </c>
      <c r="B4692" s="2">
        <f t="shared" si="305"/>
        <v>225</v>
      </c>
      <c r="C4692">
        <v>719</v>
      </c>
      <c r="D4692">
        <v>1</v>
      </c>
      <c r="E4692">
        <v>1</v>
      </c>
      <c r="F4692">
        <f t="shared" si="303"/>
        <v>-2.9216851088395477</v>
      </c>
      <c r="G4692">
        <f t="shared" si="304"/>
        <v>-3.0264304433891134</v>
      </c>
      <c r="I4692">
        <f t="shared" si="306"/>
        <v>-2.9740577761143303</v>
      </c>
    </row>
    <row r="4693" spans="1:9">
      <c r="A4693" t="s">
        <v>13</v>
      </c>
      <c r="B4693" s="2">
        <f t="shared" si="305"/>
        <v>225</v>
      </c>
      <c r="C4693">
        <v>392</v>
      </c>
      <c r="D4693">
        <v>4</v>
      </c>
      <c r="E4693">
        <v>1</v>
      </c>
      <c r="F4693">
        <f t="shared" si="303"/>
        <v>-2.0561822941491599</v>
      </c>
      <c r="G4693">
        <f t="shared" si="304"/>
        <v>-2.7629876200266881</v>
      </c>
      <c r="I4693">
        <f t="shared" si="306"/>
        <v>-2.4095849570879242</v>
      </c>
    </row>
    <row r="4694" spans="1:9">
      <c r="A4694" t="s">
        <v>14</v>
      </c>
      <c r="B4694" s="2">
        <f t="shared" si="305"/>
        <v>225</v>
      </c>
      <c r="C4694">
        <v>138</v>
      </c>
      <c r="D4694">
        <v>0</v>
      </c>
      <c r="E4694">
        <v>0</v>
      </c>
      <c r="F4694" t="e">
        <f t="shared" si="303"/>
        <v>#NUM!</v>
      </c>
      <c r="G4694" t="e">
        <f t="shared" si="304"/>
        <v>#NUM!</v>
      </c>
      <c r="I4694" t="e">
        <f t="shared" si="306"/>
        <v>#NUM!</v>
      </c>
    </row>
    <row r="4695" spans="1:9">
      <c r="A4695" t="s">
        <v>15</v>
      </c>
      <c r="B4695" s="2">
        <f t="shared" si="305"/>
        <v>225</v>
      </c>
      <c r="C4695">
        <v>671</v>
      </c>
      <c r="D4695">
        <v>1</v>
      </c>
      <c r="E4695">
        <v>0</v>
      </c>
      <c r="F4695">
        <f t="shared" si="303"/>
        <v>-2.8916787386256573</v>
      </c>
      <c r="G4695" t="e">
        <f t="shared" si="304"/>
        <v>#NUM!</v>
      </c>
      <c r="I4695" t="e">
        <f t="shared" si="306"/>
        <v>#NUM!</v>
      </c>
    </row>
    <row r="4696" spans="1:9">
      <c r="A4696" t="s">
        <v>16</v>
      </c>
      <c r="B4696" s="2">
        <f t="shared" si="305"/>
        <v>225</v>
      </c>
      <c r="C4696">
        <v>133</v>
      </c>
      <c r="D4696">
        <v>0</v>
      </c>
      <c r="E4696">
        <v>0</v>
      </c>
      <c r="F4696" t="e">
        <f t="shared" si="303"/>
        <v>#NUM!</v>
      </c>
      <c r="G4696" t="e">
        <f t="shared" si="304"/>
        <v>#NUM!</v>
      </c>
      <c r="I4696" t="e">
        <f t="shared" si="306"/>
        <v>#NUM!</v>
      </c>
    </row>
    <row r="4697" spans="1:9">
      <c r="A4697" t="s">
        <v>17</v>
      </c>
      <c r="B4697" s="2">
        <f t="shared" si="305"/>
        <v>225</v>
      </c>
      <c r="C4697">
        <v>15</v>
      </c>
      <c r="D4697">
        <v>16</v>
      </c>
      <c r="E4697">
        <v>16</v>
      </c>
      <c r="F4697">
        <f t="shared" si="303"/>
        <v>-3.6927494856421654E-2</v>
      </c>
      <c r="G4697">
        <f t="shared" si="304"/>
        <v>-0.14167282940598722</v>
      </c>
      <c r="I4697">
        <f t="shared" si="306"/>
        <v>-8.9300162131204439E-2</v>
      </c>
    </row>
    <row r="4698" spans="1:9">
      <c r="A4698" t="s">
        <v>18</v>
      </c>
      <c r="B4698" s="2">
        <f t="shared" si="305"/>
        <v>225</v>
      </c>
      <c r="C4698">
        <v>1005</v>
      </c>
      <c r="D4698">
        <v>2</v>
      </c>
      <c r="E4698">
        <v>2</v>
      </c>
      <c r="F4698">
        <f t="shared" si="303"/>
        <v>-2.7660922845491918</v>
      </c>
      <c r="G4698">
        <f t="shared" si="304"/>
        <v>-2.8708376190987575</v>
      </c>
      <c r="I4698">
        <f t="shared" si="306"/>
        <v>-2.8184649518239748</v>
      </c>
    </row>
    <row r="4699" spans="1:9">
      <c r="A4699" t="s">
        <v>19</v>
      </c>
      <c r="B4699" s="2">
        <f t="shared" si="305"/>
        <v>225</v>
      </c>
      <c r="C4699">
        <v>271</v>
      </c>
      <c r="D4699">
        <v>3</v>
      </c>
      <c r="E4699">
        <v>0</v>
      </c>
      <c r="F4699">
        <f t="shared" si="303"/>
        <v>-2.0208042546114084</v>
      </c>
      <c r="G4699" t="e">
        <f t="shared" si="304"/>
        <v>#NUM!</v>
      </c>
      <c r="I4699" t="e">
        <f t="shared" si="306"/>
        <v>#NUM!</v>
      </c>
    </row>
    <row r="4700" spans="1:9">
      <c r="A4700" t="s">
        <v>20</v>
      </c>
      <c r="B4700" s="2">
        <f t="shared" si="305"/>
        <v>225</v>
      </c>
      <c r="C4700">
        <v>301</v>
      </c>
      <c r="D4700">
        <v>12</v>
      </c>
      <c r="E4700">
        <v>14</v>
      </c>
      <c r="F4700">
        <f t="shared" si="303"/>
        <v>-1.4643414680028837</v>
      </c>
      <c r="G4700">
        <f t="shared" si="304"/>
        <v>-1.5021400129218361</v>
      </c>
      <c r="I4700">
        <f t="shared" si="306"/>
        <v>-1.4832407404623598</v>
      </c>
    </row>
    <row r="4701" spans="1:9">
      <c r="A4701" t="s">
        <v>21</v>
      </c>
      <c r="B4701" s="2">
        <f t="shared" si="305"/>
        <v>225</v>
      </c>
      <c r="C4701">
        <v>20</v>
      </c>
      <c r="D4701">
        <v>25</v>
      </c>
      <c r="E4701">
        <v>23</v>
      </c>
      <c r="F4701">
        <f t="shared" si="303"/>
        <v>3.1953794551391232E-2</v>
      </c>
      <c r="G4701">
        <f t="shared" si="304"/>
        <v>-0.1090037126526191</v>
      </c>
      <c r="I4701">
        <f t="shared" si="306"/>
        <v>-3.8524959050613934E-2</v>
      </c>
    </row>
    <row r="4702" spans="1:9">
      <c r="A4702" t="s">
        <v>22</v>
      </c>
      <c r="B4702" s="2">
        <f t="shared" si="305"/>
        <v>225</v>
      </c>
      <c r="C4702">
        <v>726</v>
      </c>
      <c r="D4702">
        <v>7</v>
      </c>
      <c r="E4702">
        <v>6</v>
      </c>
      <c r="F4702">
        <f t="shared" si="303"/>
        <v>-2.080794799142502</v>
      </c>
      <c r="G4702">
        <f t="shared" si="304"/>
        <v>-2.2524869233226812</v>
      </c>
      <c r="I4702">
        <f t="shared" si="306"/>
        <v>-2.1666408612325916</v>
      </c>
    </row>
    <row r="4703" spans="1:9">
      <c r="A4703" t="s">
        <v>23</v>
      </c>
      <c r="B4703" s="2">
        <f t="shared" si="305"/>
        <v>225</v>
      </c>
      <c r="C4703">
        <v>439</v>
      </c>
      <c r="D4703">
        <v>35</v>
      </c>
      <c r="E4703">
        <v>35</v>
      </c>
      <c r="F4703">
        <f t="shared" si="303"/>
        <v>-1.1633526943485109</v>
      </c>
      <c r="G4703">
        <f t="shared" si="304"/>
        <v>-1.2680980288980763</v>
      </c>
      <c r="I4703">
        <f t="shared" si="306"/>
        <v>-1.2157253616232935</v>
      </c>
    </row>
    <row r="4704" spans="1:9">
      <c r="A4704" t="s">
        <v>24</v>
      </c>
      <c r="B4704" s="2">
        <f t="shared" si="305"/>
        <v>225</v>
      </c>
      <c r="C4704">
        <v>11</v>
      </c>
      <c r="D4704">
        <v>3</v>
      </c>
      <c r="E4704">
        <v>3</v>
      </c>
      <c r="F4704">
        <f t="shared" si="303"/>
        <v>-0.62922764889522786</v>
      </c>
      <c r="G4704">
        <f t="shared" si="304"/>
        <v>-0.73397298344479345</v>
      </c>
      <c r="I4704">
        <f t="shared" si="306"/>
        <v>-0.6816003161700106</v>
      </c>
    </row>
    <row r="4705" spans="1:9">
      <c r="A4705" t="s">
        <v>25</v>
      </c>
      <c r="B4705" s="2">
        <f t="shared" si="305"/>
        <v>225</v>
      </c>
      <c r="C4705">
        <v>689</v>
      </c>
      <c r="D4705">
        <v>6</v>
      </c>
      <c r="E4705">
        <v>9</v>
      </c>
      <c r="F4705">
        <f t="shared" si="303"/>
        <v>-2.1250241899806475</v>
      </c>
      <c r="G4705">
        <f t="shared" si="304"/>
        <v>-2.0536782654745318</v>
      </c>
      <c r="I4705">
        <f t="shared" si="306"/>
        <v>-2.0893512277275894</v>
      </c>
    </row>
    <row r="4706" spans="1:9">
      <c r="A4706" t="s">
        <v>7</v>
      </c>
      <c r="B4706" s="2">
        <f t="shared" si="305"/>
        <v>226</v>
      </c>
      <c r="C4706">
        <v>115</v>
      </c>
      <c r="D4706">
        <v>9</v>
      </c>
      <c r="E4706">
        <v>457</v>
      </c>
      <c r="F4706">
        <f t="shared" si="303"/>
        <v>-1.171411549370952</v>
      </c>
      <c r="G4706">
        <f t="shared" si="304"/>
        <v>0.42951680671000786</v>
      </c>
      <c r="I4706">
        <f t="shared" si="306"/>
        <v>-0.37094737133047206</v>
      </c>
    </row>
    <row r="4707" spans="1:9">
      <c r="A4707" t="s">
        <v>8</v>
      </c>
      <c r="B4707" s="2">
        <f t="shared" si="305"/>
        <v>226</v>
      </c>
      <c r="C4707">
        <v>427</v>
      </c>
      <c r="D4707">
        <v>149</v>
      </c>
      <c r="E4707">
        <v>484</v>
      </c>
      <c r="F4707">
        <f t="shared" si="303"/>
        <v>-0.52219782506941503</v>
      </c>
      <c r="G4707">
        <f t="shared" si="304"/>
        <v>-0.11528406638684216</v>
      </c>
      <c r="I4707">
        <f t="shared" si="306"/>
        <v>-0.31874094572812861</v>
      </c>
    </row>
    <row r="4708" spans="1:9">
      <c r="A4708" t="s">
        <v>5</v>
      </c>
      <c r="B4708" s="2">
        <f t="shared" si="305"/>
        <v>226</v>
      </c>
      <c r="C4708">
        <v>147</v>
      </c>
      <c r="D4708">
        <v>2862</v>
      </c>
      <c r="E4708">
        <v>2612</v>
      </c>
      <c r="F4708">
        <f t="shared" si="303"/>
        <v>1.2243960762189163</v>
      </c>
      <c r="G4708">
        <f t="shared" si="304"/>
        <v>1.0799542848486294</v>
      </c>
      <c r="I4708">
        <f t="shared" si="306"/>
        <v>1.152175180533773</v>
      </c>
    </row>
    <row r="4709" spans="1:9">
      <c r="A4709" t="s">
        <v>6</v>
      </c>
      <c r="B4709" s="2">
        <f t="shared" si="305"/>
        <v>226</v>
      </c>
      <c r="C4709">
        <v>649</v>
      </c>
      <c r="D4709">
        <v>2842</v>
      </c>
      <c r="E4709">
        <v>1068</v>
      </c>
      <c r="F4709">
        <f t="shared" si="303"/>
        <v>0.57642315833441649</v>
      </c>
      <c r="G4709">
        <f t="shared" si="304"/>
        <v>4.6625002885937655E-2</v>
      </c>
      <c r="I4709">
        <f t="shared" si="306"/>
        <v>0.31152408061017706</v>
      </c>
    </row>
    <row r="4710" spans="1:9">
      <c r="A4710" t="s">
        <v>10</v>
      </c>
      <c r="B4710" s="2">
        <f t="shared" si="305"/>
        <v>226</v>
      </c>
      <c r="C4710">
        <v>88</v>
      </c>
      <c r="D4710">
        <v>101</v>
      </c>
      <c r="E4710">
        <v>77</v>
      </c>
      <c r="F4710">
        <f t="shared" si="303"/>
        <v>-5.1175168241912455E-3</v>
      </c>
      <c r="G4710">
        <f t="shared" si="304"/>
        <v>-0.2276934999839175</v>
      </c>
      <c r="I4710">
        <f t="shared" si="306"/>
        <v>-0.11640550840405436</v>
      </c>
    </row>
    <row r="4711" spans="1:9">
      <c r="A4711" t="s">
        <v>11</v>
      </c>
      <c r="B4711" s="2">
        <f t="shared" si="305"/>
        <v>226</v>
      </c>
      <c r="C4711">
        <v>3030</v>
      </c>
      <c r="D4711">
        <v>10960</v>
      </c>
      <c r="E4711">
        <v>6410</v>
      </c>
      <c r="F4711">
        <f t="shared" si="303"/>
        <v>0.4934117071893801</v>
      </c>
      <c r="G4711">
        <f t="shared" si="304"/>
        <v>0.15571384801028165</v>
      </c>
      <c r="I4711">
        <f t="shared" si="306"/>
        <v>0.32456277759983088</v>
      </c>
    </row>
    <row r="4712" spans="1:9">
      <c r="A4712" t="s">
        <v>12</v>
      </c>
      <c r="B4712" s="2">
        <f t="shared" si="305"/>
        <v>226</v>
      </c>
      <c r="C4712">
        <v>180</v>
      </c>
      <c r="D4712">
        <v>8</v>
      </c>
      <c r="E4712">
        <v>12</v>
      </c>
      <c r="F4712">
        <f t="shared" si="303"/>
        <v>-1.4171387365680277</v>
      </c>
      <c r="G4712">
        <f t="shared" si="304"/>
        <v>-1.345792812061912</v>
      </c>
      <c r="I4712">
        <f t="shared" si="306"/>
        <v>-1.3814657743149699</v>
      </c>
    </row>
    <row r="4713" spans="1:9">
      <c r="A4713" t="s">
        <v>9</v>
      </c>
      <c r="B4713" s="2">
        <f t="shared" si="305"/>
        <v>226</v>
      </c>
      <c r="C4713">
        <v>735</v>
      </c>
      <c r="D4713">
        <v>1788</v>
      </c>
      <c r="E4713">
        <v>525</v>
      </c>
      <c r="F4713">
        <f t="shared" si="303"/>
        <v>0.32112395691903872</v>
      </c>
      <c r="G4713">
        <f t="shared" si="304"/>
        <v>-0.31582958868446875</v>
      </c>
      <c r="I4713">
        <f t="shared" si="306"/>
        <v>2.6471841172849842E-3</v>
      </c>
    </row>
    <row r="4714" spans="1:9">
      <c r="A4714" t="s">
        <v>13</v>
      </c>
      <c r="B4714" s="2">
        <f t="shared" si="305"/>
        <v>226</v>
      </c>
      <c r="C4714">
        <v>800</v>
      </c>
      <c r="D4714">
        <v>189</v>
      </c>
      <c r="E4714">
        <v>1403</v>
      </c>
      <c r="F4714">
        <f t="shared" si="303"/>
        <v>-0.69158440127536469</v>
      </c>
      <c r="G4714">
        <f t="shared" si="304"/>
        <v>7.4266131030185562E-2</v>
      </c>
      <c r="I4714">
        <f t="shared" si="306"/>
        <v>-0.30865913512258958</v>
      </c>
    </row>
    <row r="4715" spans="1:9">
      <c r="A4715" t="s">
        <v>14</v>
      </c>
      <c r="B4715" s="2">
        <f t="shared" si="305"/>
        <v>226</v>
      </c>
      <c r="C4715">
        <v>0</v>
      </c>
      <c r="D4715">
        <v>1</v>
      </c>
      <c r="E4715">
        <v>0</v>
      </c>
      <c r="F4715" t="e">
        <f t="shared" si="303"/>
        <v>#DIV/0!</v>
      </c>
      <c r="G4715" t="e">
        <f t="shared" si="304"/>
        <v>#DIV/0!</v>
      </c>
      <c r="I4715" t="e">
        <f t="shared" si="306"/>
        <v>#DIV/0!</v>
      </c>
    </row>
    <row r="4716" spans="1:9">
      <c r="A4716" t="s">
        <v>15</v>
      </c>
      <c r="B4716" s="2">
        <f t="shared" si="305"/>
        <v>226</v>
      </c>
      <c r="C4716">
        <v>1303</v>
      </c>
      <c r="D4716">
        <v>3733</v>
      </c>
      <c r="E4716">
        <v>1133</v>
      </c>
      <c r="F4716">
        <f t="shared" si="303"/>
        <v>0.39215735575705468</v>
      </c>
      <c r="G4716">
        <f t="shared" si="304"/>
        <v>-0.23041605885541816</v>
      </c>
      <c r="I4716">
        <f t="shared" si="306"/>
        <v>8.0870648450818261E-2</v>
      </c>
    </row>
    <row r="4717" spans="1:9">
      <c r="A4717" t="s">
        <v>16</v>
      </c>
      <c r="B4717" s="2">
        <f t="shared" si="305"/>
        <v>226</v>
      </c>
      <c r="C4717">
        <v>0</v>
      </c>
      <c r="D4717">
        <v>0</v>
      </c>
      <c r="E4717">
        <v>1</v>
      </c>
      <c r="F4717" t="e">
        <f t="shared" si="303"/>
        <v>#DIV/0!</v>
      </c>
      <c r="G4717" t="e">
        <f t="shared" si="304"/>
        <v>#DIV/0!</v>
      </c>
      <c r="I4717" t="e">
        <f t="shared" si="306"/>
        <v>#DIV/0!</v>
      </c>
    </row>
    <row r="4718" spans="1:9">
      <c r="A4718" t="s">
        <v>17</v>
      </c>
      <c r="B4718" s="2">
        <f t="shared" si="305"/>
        <v>226</v>
      </c>
      <c r="C4718">
        <v>1</v>
      </c>
      <c r="D4718">
        <v>0</v>
      </c>
      <c r="E4718">
        <v>0</v>
      </c>
      <c r="F4718" t="e">
        <f t="shared" si="303"/>
        <v>#NUM!</v>
      </c>
      <c r="G4718" t="e">
        <f t="shared" si="304"/>
        <v>#NUM!</v>
      </c>
      <c r="I4718" t="e">
        <f t="shared" si="306"/>
        <v>#NUM!</v>
      </c>
    </row>
    <row r="4719" spans="1:9">
      <c r="A4719" t="s">
        <v>18</v>
      </c>
      <c r="B4719" s="2">
        <f t="shared" si="305"/>
        <v>226</v>
      </c>
      <c r="C4719">
        <v>675</v>
      </c>
      <c r="D4719">
        <v>26</v>
      </c>
      <c r="E4719">
        <v>120</v>
      </c>
      <c r="F4719">
        <f t="shared" si="303"/>
        <v>-1.4792866433168721</v>
      </c>
      <c r="G4719">
        <f t="shared" si="304"/>
        <v>-0.91982407978963088</v>
      </c>
      <c r="I4719">
        <f t="shared" si="306"/>
        <v>-1.1995553615532515</v>
      </c>
    </row>
    <row r="4720" spans="1:9">
      <c r="A4720" t="s">
        <v>19</v>
      </c>
      <c r="B4720" s="2">
        <f t="shared" si="305"/>
        <v>226</v>
      </c>
      <c r="C4720">
        <v>122</v>
      </c>
      <c r="D4720">
        <v>0</v>
      </c>
      <c r="E4720">
        <v>1</v>
      </c>
      <c r="F4720" t="e">
        <f t="shared" si="303"/>
        <v>#NUM!</v>
      </c>
      <c r="G4720">
        <f t="shared" si="304"/>
        <v>-2.2560613836809793</v>
      </c>
      <c r="I4720" t="e">
        <f t="shared" si="306"/>
        <v>#NUM!</v>
      </c>
    </row>
    <row r="4721" spans="1:9">
      <c r="A4721" t="s">
        <v>20</v>
      </c>
      <c r="B4721" s="2">
        <f t="shared" si="305"/>
        <v>226</v>
      </c>
      <c r="C4721">
        <v>108</v>
      </c>
      <c r="D4721">
        <v>1</v>
      </c>
      <c r="E4721">
        <v>1</v>
      </c>
      <c r="F4721">
        <f t="shared" si="303"/>
        <v>-2.0983799739436151</v>
      </c>
      <c r="G4721">
        <f t="shared" si="304"/>
        <v>-2.2031253084931808</v>
      </c>
      <c r="I4721">
        <f t="shared" si="306"/>
        <v>-2.1507526412183982</v>
      </c>
    </row>
    <row r="4722" spans="1:9">
      <c r="A4722" t="s">
        <v>21</v>
      </c>
      <c r="B4722" s="2">
        <f t="shared" si="305"/>
        <v>226</v>
      </c>
      <c r="C4722">
        <v>715</v>
      </c>
      <c r="D4722">
        <v>147</v>
      </c>
      <c r="E4722">
        <v>251</v>
      </c>
      <c r="F4722">
        <f t="shared" si="303"/>
        <v>-0.75194492550956971</v>
      </c>
      <c r="G4722">
        <f t="shared" si="304"/>
        <v>-0.62433387332627321</v>
      </c>
      <c r="I4722">
        <f t="shared" si="306"/>
        <v>-0.68813939941792146</v>
      </c>
    </row>
    <row r="4723" spans="1:9">
      <c r="A4723" t="s">
        <v>22</v>
      </c>
      <c r="B4723" s="2">
        <f t="shared" si="305"/>
        <v>226</v>
      </c>
      <c r="C4723">
        <v>0</v>
      </c>
      <c r="D4723">
        <v>0</v>
      </c>
      <c r="E4723">
        <v>1</v>
      </c>
      <c r="F4723" t="e">
        <f t="shared" si="303"/>
        <v>#DIV/0!</v>
      </c>
      <c r="G4723" t="e">
        <f t="shared" si="304"/>
        <v>#DIV/0!</v>
      </c>
      <c r="I4723" t="e">
        <f t="shared" si="306"/>
        <v>#DIV/0!</v>
      </c>
    </row>
    <row r="4724" spans="1:9">
      <c r="A4724" t="s">
        <v>23</v>
      </c>
      <c r="B4724" s="2">
        <f t="shared" si="305"/>
        <v>226</v>
      </c>
      <c r="C4724">
        <v>114</v>
      </c>
      <c r="D4724">
        <v>1</v>
      </c>
      <c r="E4724">
        <v>0</v>
      </c>
      <c r="F4724">
        <f t="shared" si="303"/>
        <v>-2.1218610697931379</v>
      </c>
      <c r="G4724" t="e">
        <f t="shared" si="304"/>
        <v>#NUM!</v>
      </c>
      <c r="I4724" t="e">
        <f t="shared" si="306"/>
        <v>#NUM!</v>
      </c>
    </row>
    <row r="4725" spans="1:9">
      <c r="A4725" t="s">
        <v>24</v>
      </c>
      <c r="B4725" s="2">
        <f t="shared" si="305"/>
        <v>226</v>
      </c>
      <c r="C4725">
        <v>613</v>
      </c>
      <c r="D4725">
        <v>9</v>
      </c>
      <c r="E4725">
        <v>6</v>
      </c>
      <c r="F4725">
        <f t="shared" si="303"/>
        <v>-1.8981741835357553</v>
      </c>
      <c r="G4725">
        <f t="shared" si="304"/>
        <v>-2.1790107771410026</v>
      </c>
      <c r="I4725">
        <f t="shared" si="306"/>
        <v>-2.0385924803383788</v>
      </c>
    </row>
    <row r="4726" spans="1:9">
      <c r="A4726" t="s">
        <v>25</v>
      </c>
      <c r="B4726" s="2">
        <f t="shared" si="305"/>
        <v>226</v>
      </c>
      <c r="C4726">
        <v>367</v>
      </c>
      <c r="D4726">
        <v>0</v>
      </c>
      <c r="E4726">
        <v>0</v>
      </c>
      <c r="F4726" t="e">
        <f t="shared" si="303"/>
        <v>#NUM!</v>
      </c>
      <c r="G4726" t="e">
        <f t="shared" si="304"/>
        <v>#NUM!</v>
      </c>
      <c r="I4726" t="e">
        <f t="shared" si="306"/>
        <v>#NUM!</v>
      </c>
    </row>
    <row r="4727" spans="1:9">
      <c r="A4727" t="s">
        <v>7</v>
      </c>
      <c r="B4727" s="2">
        <f t="shared" si="305"/>
        <v>227</v>
      </c>
      <c r="C4727">
        <v>136</v>
      </c>
      <c r="D4727">
        <v>12</v>
      </c>
      <c r="E4727">
        <v>33</v>
      </c>
      <c r="F4727">
        <f t="shared" si="303"/>
        <v>-1.119313880779258</v>
      </c>
      <c r="G4727">
        <f t="shared" si="304"/>
        <v>-0.78472652149856081</v>
      </c>
      <c r="I4727">
        <f t="shared" si="306"/>
        <v>-0.95202020113890939</v>
      </c>
    </row>
    <row r="4728" spans="1:9">
      <c r="A4728" t="s">
        <v>8</v>
      </c>
      <c r="B4728" s="2">
        <f t="shared" si="305"/>
        <v>227</v>
      </c>
      <c r="C4728">
        <v>0</v>
      </c>
      <c r="D4728">
        <v>0</v>
      </c>
      <c r="E4728">
        <v>0</v>
      </c>
      <c r="F4728" t="e">
        <f t="shared" si="303"/>
        <v>#DIV/0!</v>
      </c>
      <c r="G4728" t="e">
        <f t="shared" si="304"/>
        <v>#DIV/0!</v>
      </c>
      <c r="I4728" t="e">
        <f t="shared" si="306"/>
        <v>#DIV/0!</v>
      </c>
    </row>
    <row r="4729" spans="1:9">
      <c r="A4729" t="s">
        <v>5</v>
      </c>
      <c r="B4729" s="2">
        <f t="shared" si="305"/>
        <v>227</v>
      </c>
      <c r="C4729">
        <v>15</v>
      </c>
      <c r="D4729">
        <v>15</v>
      </c>
      <c r="E4729">
        <v>0</v>
      </c>
      <c r="F4729">
        <f t="shared" si="303"/>
        <v>-6.4956218456665188E-2</v>
      </c>
      <c r="G4729" t="e">
        <f t="shared" si="304"/>
        <v>#NUM!</v>
      </c>
      <c r="I4729" t="e">
        <f t="shared" si="306"/>
        <v>#NUM!</v>
      </c>
    </row>
    <row r="4730" spans="1:9">
      <c r="A4730" t="s">
        <v>6</v>
      </c>
      <c r="B4730" s="2">
        <f t="shared" si="305"/>
        <v>227</v>
      </c>
      <c r="C4730">
        <v>226</v>
      </c>
      <c r="D4730">
        <v>40</v>
      </c>
      <c r="E4730">
        <v>392</v>
      </c>
      <c r="F4730">
        <f t="shared" si="303"/>
        <v>-0.8170046662761038</v>
      </c>
      <c r="G4730">
        <f t="shared" si="304"/>
        <v>6.9476074866825582E-2</v>
      </c>
      <c r="I4730">
        <f t="shared" si="306"/>
        <v>-0.37376429570463909</v>
      </c>
    </row>
    <row r="4731" spans="1:9">
      <c r="A4731" t="s">
        <v>10</v>
      </c>
      <c r="B4731" s="2">
        <f t="shared" si="305"/>
        <v>227</v>
      </c>
      <c r="C4731">
        <v>203</v>
      </c>
      <c r="D4731">
        <v>278</v>
      </c>
      <c r="E4731">
        <v>26</v>
      </c>
      <c r="F4731">
        <f t="shared" ref="F4731:F4794" si="307">LOG10(D4731/C4731)-LOG10(208171/179252)</f>
        <v>7.1592539548198192E-2</v>
      </c>
      <c r="G4731">
        <f t="shared" ref="G4731:G4794" si="308">LOG10(E4731/C4731)-LOG10(264951/179252)</f>
        <v>-1.0622242429486257</v>
      </c>
      <c r="I4731">
        <f t="shared" si="306"/>
        <v>-0.49531585170021375</v>
      </c>
    </row>
    <row r="4732" spans="1:9">
      <c r="A4732" t="s">
        <v>11</v>
      </c>
      <c r="B4732" s="2">
        <f t="shared" si="305"/>
        <v>227</v>
      </c>
      <c r="C4732">
        <v>0</v>
      </c>
      <c r="D4732">
        <v>0</v>
      </c>
      <c r="E4732">
        <v>0</v>
      </c>
      <c r="F4732" t="e">
        <f t="shared" si="307"/>
        <v>#DIV/0!</v>
      </c>
      <c r="G4732" t="e">
        <f t="shared" si="308"/>
        <v>#DIV/0!</v>
      </c>
      <c r="I4732" t="e">
        <f t="shared" si="306"/>
        <v>#DIV/0!</v>
      </c>
    </row>
    <row r="4733" spans="1:9">
      <c r="A4733" t="s">
        <v>12</v>
      </c>
      <c r="B4733" s="2">
        <f t="shared" si="305"/>
        <v>227</v>
      </c>
      <c r="C4733">
        <v>375</v>
      </c>
      <c r="D4733">
        <v>310</v>
      </c>
      <c r="E4733">
        <v>387</v>
      </c>
      <c r="F4733">
        <f t="shared" si="307"/>
        <v>-0.14762579235011136</v>
      </c>
      <c r="G4733">
        <f t="shared" si="308"/>
        <v>-0.15602185571503818</v>
      </c>
      <c r="I4733">
        <f t="shared" si="306"/>
        <v>-0.15182382403257477</v>
      </c>
    </row>
    <row r="4734" spans="1:9">
      <c r="A4734" t="s">
        <v>9</v>
      </c>
      <c r="B4734" s="2">
        <f t="shared" si="305"/>
        <v>227</v>
      </c>
      <c r="C4734">
        <v>212</v>
      </c>
      <c r="D4734">
        <v>1</v>
      </c>
      <c r="E4734">
        <v>3</v>
      </c>
      <c r="F4734">
        <f t="shared" si="307"/>
        <v>-2.3912920793854169</v>
      </c>
      <c r="G4734">
        <f t="shared" si="308"/>
        <v>-2.01891615921532</v>
      </c>
      <c r="I4734">
        <f t="shared" si="306"/>
        <v>-2.2051041193003682</v>
      </c>
    </row>
    <row r="4735" spans="1:9">
      <c r="A4735" t="s">
        <v>13</v>
      </c>
      <c r="B4735" s="2">
        <f t="shared" si="305"/>
        <v>227</v>
      </c>
      <c r="C4735">
        <v>623</v>
      </c>
      <c r="D4735">
        <v>223</v>
      </c>
      <c r="E4735">
        <v>623</v>
      </c>
      <c r="F4735">
        <f t="shared" si="307"/>
        <v>-0.51113940206767416</v>
      </c>
      <c r="G4735">
        <f t="shared" si="308"/>
        <v>-0.16970155300623074</v>
      </c>
      <c r="I4735">
        <f t="shared" si="306"/>
        <v>-0.34042047753695248</v>
      </c>
    </row>
    <row r="4736" spans="1:9">
      <c r="A4736" t="s">
        <v>14</v>
      </c>
      <c r="B4736" s="2">
        <f t="shared" si="305"/>
        <v>227</v>
      </c>
      <c r="C4736">
        <v>12</v>
      </c>
      <c r="D4736">
        <v>4</v>
      </c>
      <c r="E4736">
        <v>7</v>
      </c>
      <c r="F4736">
        <f t="shared" si="307"/>
        <v>-0.5420774731763276</v>
      </c>
      <c r="G4736">
        <f t="shared" si="308"/>
        <v>-0.40378475903959871</v>
      </c>
      <c r="I4736">
        <f t="shared" si="306"/>
        <v>-0.47293111610796312</v>
      </c>
    </row>
    <row r="4737" spans="1:9">
      <c r="A4737" t="s">
        <v>15</v>
      </c>
      <c r="B4737" s="2">
        <f t="shared" si="305"/>
        <v>227</v>
      </c>
      <c r="C4737">
        <v>0</v>
      </c>
      <c r="D4737">
        <v>0</v>
      </c>
      <c r="E4737">
        <v>0</v>
      </c>
      <c r="F4737" t="e">
        <f t="shared" si="307"/>
        <v>#DIV/0!</v>
      </c>
      <c r="G4737" t="e">
        <f t="shared" si="308"/>
        <v>#DIV/0!</v>
      </c>
      <c r="I4737" t="e">
        <f t="shared" si="306"/>
        <v>#DIV/0!</v>
      </c>
    </row>
    <row r="4738" spans="1:9">
      <c r="A4738" t="s">
        <v>16</v>
      </c>
      <c r="B4738" s="2">
        <f t="shared" si="305"/>
        <v>227</v>
      </c>
      <c r="C4738">
        <v>77</v>
      </c>
      <c r="D4738">
        <v>0</v>
      </c>
      <c r="E4738">
        <v>0</v>
      </c>
      <c r="F4738" t="e">
        <f t="shared" si="307"/>
        <v>#NUM!</v>
      </c>
      <c r="G4738" t="e">
        <f t="shared" si="308"/>
        <v>#NUM!</v>
      </c>
      <c r="I4738" t="e">
        <f t="shared" si="306"/>
        <v>#NUM!</v>
      </c>
    </row>
    <row r="4739" spans="1:9">
      <c r="A4739" t="s">
        <v>17</v>
      </c>
      <c r="B4739" s="2">
        <f t="shared" ref="B4739:B4802" si="309">1+INT((ROW()-2)/21)+1</f>
        <v>227</v>
      </c>
      <c r="C4739">
        <v>0</v>
      </c>
      <c r="D4739">
        <v>0</v>
      </c>
      <c r="E4739">
        <v>0</v>
      </c>
      <c r="F4739" t="e">
        <f t="shared" si="307"/>
        <v>#DIV/0!</v>
      </c>
      <c r="G4739" t="e">
        <f t="shared" si="308"/>
        <v>#DIV/0!</v>
      </c>
      <c r="I4739" t="e">
        <f t="shared" ref="I4739:I4802" si="310">AVERAGE(F4739:G4739)</f>
        <v>#DIV/0!</v>
      </c>
    </row>
    <row r="4740" spans="1:9">
      <c r="A4740" t="s">
        <v>18</v>
      </c>
      <c r="B4740" s="2">
        <f t="shared" si="309"/>
        <v>227</v>
      </c>
      <c r="C4740">
        <v>143</v>
      </c>
      <c r="D4740">
        <v>14</v>
      </c>
      <c r="E4740">
        <v>9</v>
      </c>
      <c r="F4740">
        <f t="shared" si="307"/>
        <v>-1.0741642202434889</v>
      </c>
      <c r="G4740">
        <f t="shared" si="308"/>
        <v>-1.3707950810319676</v>
      </c>
      <c r="I4740">
        <f t="shared" si="310"/>
        <v>-1.2224796506377282</v>
      </c>
    </row>
    <row r="4741" spans="1:9">
      <c r="A4741" t="s">
        <v>19</v>
      </c>
      <c r="B4741" s="2">
        <f t="shared" si="309"/>
        <v>227</v>
      </c>
      <c r="C4741">
        <v>1</v>
      </c>
      <c r="D4741">
        <v>0</v>
      </c>
      <c r="E4741">
        <v>0</v>
      </c>
      <c r="F4741" t="e">
        <f t="shared" si="307"/>
        <v>#NUM!</v>
      </c>
      <c r="G4741" t="e">
        <f t="shared" si="308"/>
        <v>#NUM!</v>
      </c>
      <c r="I4741" t="e">
        <f t="shared" si="310"/>
        <v>#NUM!</v>
      </c>
    </row>
    <row r="4742" spans="1:9">
      <c r="A4742" t="s">
        <v>20</v>
      </c>
      <c r="B4742" s="2">
        <f t="shared" si="309"/>
        <v>227</v>
      </c>
      <c r="C4742">
        <v>631</v>
      </c>
      <c r="D4742">
        <v>4400</v>
      </c>
      <c r="E4742">
        <v>617</v>
      </c>
      <c r="F4742">
        <f t="shared" si="307"/>
        <v>0.77846709878538789</v>
      </c>
      <c r="G4742">
        <f t="shared" si="308"/>
        <v>-0.17944574821712339</v>
      </c>
      <c r="I4742">
        <f t="shared" si="310"/>
        <v>0.29951067528413222</v>
      </c>
    </row>
    <row r="4743" spans="1:9">
      <c r="A4743" t="s">
        <v>21</v>
      </c>
      <c r="B4743" s="2">
        <f t="shared" si="309"/>
        <v>227</v>
      </c>
      <c r="C4743">
        <v>12</v>
      </c>
      <c r="D4743">
        <v>0</v>
      </c>
      <c r="E4743">
        <v>3</v>
      </c>
      <c r="F4743" t="e">
        <f t="shared" si="307"/>
        <v>#NUM!</v>
      </c>
      <c r="G4743">
        <f t="shared" si="308"/>
        <v>-0.77176154433419319</v>
      </c>
      <c r="I4743" t="e">
        <f t="shared" si="310"/>
        <v>#NUM!</v>
      </c>
    </row>
    <row r="4744" spans="1:9">
      <c r="A4744" t="s">
        <v>22</v>
      </c>
      <c r="B4744" s="2">
        <f t="shared" si="309"/>
        <v>227</v>
      </c>
      <c r="C4744">
        <v>67</v>
      </c>
      <c r="D4744">
        <v>52</v>
      </c>
      <c r="E4744">
        <v>25</v>
      </c>
      <c r="F4744">
        <f t="shared" si="307"/>
        <v>-0.17502767752269244</v>
      </c>
      <c r="G4744">
        <f t="shared" si="308"/>
        <v>-0.59783634703501953</v>
      </c>
      <c r="I4744">
        <f t="shared" si="310"/>
        <v>-0.38643201227885599</v>
      </c>
    </row>
    <row r="4745" spans="1:9">
      <c r="A4745" t="s">
        <v>23</v>
      </c>
      <c r="B4745" s="2">
        <f t="shared" si="309"/>
        <v>227</v>
      </c>
      <c r="C4745">
        <v>384</v>
      </c>
      <c r="D4745">
        <v>452</v>
      </c>
      <c r="E4745">
        <v>274</v>
      </c>
      <c r="F4745">
        <f t="shared" si="307"/>
        <v>5.8509919871860966E-3</v>
      </c>
      <c r="G4745">
        <f t="shared" si="308"/>
        <v>-0.31628221455337358</v>
      </c>
      <c r="I4745">
        <f t="shared" si="310"/>
        <v>-0.15521561128309375</v>
      </c>
    </row>
    <row r="4746" spans="1:9">
      <c r="A4746" t="s">
        <v>24</v>
      </c>
      <c r="B4746" s="2">
        <f t="shared" si="309"/>
        <v>227</v>
      </c>
      <c r="C4746">
        <v>464</v>
      </c>
      <c r="D4746">
        <v>66</v>
      </c>
      <c r="E4746">
        <v>5</v>
      </c>
      <c r="F4746">
        <f t="shared" si="307"/>
        <v>-0.91193026346967743</v>
      </c>
      <c r="G4746">
        <f t="shared" si="308"/>
        <v>-2.1372495292250928</v>
      </c>
      <c r="I4746">
        <f t="shared" si="310"/>
        <v>-1.5245898963473852</v>
      </c>
    </row>
    <row r="4747" spans="1:9">
      <c r="A4747" t="s">
        <v>25</v>
      </c>
      <c r="B4747" s="2">
        <f t="shared" si="309"/>
        <v>227</v>
      </c>
      <c r="C4747">
        <v>0</v>
      </c>
      <c r="D4747">
        <v>0</v>
      </c>
      <c r="E4747">
        <v>0</v>
      </c>
      <c r="F4747" t="e">
        <f t="shared" si="307"/>
        <v>#DIV/0!</v>
      </c>
      <c r="G4747" t="e">
        <f t="shared" si="308"/>
        <v>#DIV/0!</v>
      </c>
      <c r="I4747" t="e">
        <f t="shared" si="310"/>
        <v>#DIV/0!</v>
      </c>
    </row>
    <row r="4748" spans="1:9">
      <c r="A4748" t="s">
        <v>7</v>
      </c>
      <c r="B4748" s="2">
        <f t="shared" si="309"/>
        <v>228</v>
      </c>
      <c r="C4748">
        <v>4</v>
      </c>
      <c r="D4748">
        <v>0</v>
      </c>
      <c r="E4748">
        <v>0</v>
      </c>
      <c r="F4748" t="e">
        <f t="shared" si="307"/>
        <v>#NUM!</v>
      </c>
      <c r="G4748" t="e">
        <f t="shared" si="308"/>
        <v>#NUM!</v>
      </c>
      <c r="I4748" t="e">
        <f t="shared" si="310"/>
        <v>#NUM!</v>
      </c>
    </row>
    <row r="4749" spans="1:9">
      <c r="A4749" t="s">
        <v>8</v>
      </c>
      <c r="B4749" s="2">
        <f t="shared" si="309"/>
        <v>228</v>
      </c>
      <c r="C4749">
        <v>56</v>
      </c>
      <c r="D4749">
        <v>16</v>
      </c>
      <c r="E4749">
        <v>21</v>
      </c>
      <c r="F4749">
        <f t="shared" si="307"/>
        <v>-0.60902426280694089</v>
      </c>
      <c r="G4749">
        <f t="shared" si="308"/>
        <v>-0.59567028527851185</v>
      </c>
      <c r="I4749">
        <f t="shared" si="310"/>
        <v>-0.60234727404272637</v>
      </c>
    </row>
    <row r="4750" spans="1:9">
      <c r="A4750" t="s">
        <v>5</v>
      </c>
      <c r="B4750" s="2">
        <f t="shared" si="309"/>
        <v>228</v>
      </c>
      <c r="C4750">
        <v>264</v>
      </c>
      <c r="D4750">
        <v>0</v>
      </c>
      <c r="E4750">
        <v>0</v>
      </c>
      <c r="F4750" t="e">
        <f t="shared" si="307"/>
        <v>#NUM!</v>
      </c>
      <c r="G4750" t="e">
        <f t="shared" si="308"/>
        <v>#NUM!</v>
      </c>
      <c r="I4750" t="e">
        <f t="shared" si="310"/>
        <v>#NUM!</v>
      </c>
    </row>
    <row r="4751" spans="1:9">
      <c r="A4751" t="s">
        <v>6</v>
      </c>
      <c r="B4751" s="2">
        <f t="shared" si="309"/>
        <v>228</v>
      </c>
      <c r="C4751">
        <v>3</v>
      </c>
      <c r="D4751">
        <v>1</v>
      </c>
      <c r="E4751">
        <v>0</v>
      </c>
      <c r="F4751">
        <f t="shared" si="307"/>
        <v>-0.5420774731763276</v>
      </c>
      <c r="G4751" t="e">
        <f t="shared" si="308"/>
        <v>#NUM!</v>
      </c>
      <c r="I4751" t="e">
        <f t="shared" si="310"/>
        <v>#NUM!</v>
      </c>
    </row>
    <row r="4752" spans="1:9">
      <c r="A4752" t="s">
        <v>10</v>
      </c>
      <c r="B4752" s="2">
        <f t="shared" si="309"/>
        <v>228</v>
      </c>
      <c r="C4752">
        <v>164</v>
      </c>
      <c r="D4752">
        <v>1</v>
      </c>
      <c r="E4752">
        <v>0</v>
      </c>
      <c r="F4752">
        <f t="shared" si="307"/>
        <v>-2.2798000665043632</v>
      </c>
      <c r="G4752" t="e">
        <f t="shared" si="308"/>
        <v>#NUM!</v>
      </c>
      <c r="I4752" t="e">
        <f t="shared" si="310"/>
        <v>#NUM!</v>
      </c>
    </row>
    <row r="4753" spans="1:9">
      <c r="A4753" t="s">
        <v>11</v>
      </c>
      <c r="B4753" s="2">
        <f t="shared" si="309"/>
        <v>228</v>
      </c>
      <c r="C4753">
        <v>259</v>
      </c>
      <c r="D4753">
        <v>1</v>
      </c>
      <c r="E4753">
        <v>0</v>
      </c>
      <c r="F4753">
        <f t="shared" si="307"/>
        <v>-2.4782559825379171</v>
      </c>
      <c r="G4753" t="e">
        <f t="shared" si="308"/>
        <v>#NUM!</v>
      </c>
      <c r="I4753" t="e">
        <f t="shared" si="310"/>
        <v>#NUM!</v>
      </c>
    </row>
    <row r="4754" spans="1:9">
      <c r="A4754" t="s">
        <v>12</v>
      </c>
      <c r="B4754" s="2">
        <f t="shared" si="309"/>
        <v>228</v>
      </c>
      <c r="C4754">
        <v>1284</v>
      </c>
      <c r="D4754">
        <v>2</v>
      </c>
      <c r="E4754">
        <v>3</v>
      </c>
      <c r="F4754">
        <f t="shared" si="307"/>
        <v>-2.8724912465255183</v>
      </c>
      <c r="G4754">
        <f t="shared" si="308"/>
        <v>-2.8011453220194031</v>
      </c>
      <c r="I4754">
        <f t="shared" si="310"/>
        <v>-2.8368182842724607</v>
      </c>
    </row>
    <row r="4755" spans="1:9">
      <c r="A4755" t="s">
        <v>9</v>
      </c>
      <c r="B4755" s="2">
        <f t="shared" si="309"/>
        <v>228</v>
      </c>
      <c r="C4755">
        <v>570</v>
      </c>
      <c r="D4755">
        <v>2</v>
      </c>
      <c r="E4755">
        <v>2</v>
      </c>
      <c r="F4755">
        <f t="shared" si="307"/>
        <v>-2.5198010784651754</v>
      </c>
      <c r="G4755">
        <f t="shared" si="308"/>
        <v>-2.6245464130147411</v>
      </c>
      <c r="I4755">
        <f t="shared" si="310"/>
        <v>-2.5721737457399581</v>
      </c>
    </row>
    <row r="4756" spans="1:9">
      <c r="A4756" t="s">
        <v>13</v>
      </c>
      <c r="B4756" s="2">
        <f t="shared" si="309"/>
        <v>228</v>
      </c>
      <c r="C4756">
        <v>168</v>
      </c>
      <c r="D4756">
        <v>0</v>
      </c>
      <c r="E4756">
        <v>0</v>
      </c>
      <c r="F4756" t="e">
        <f t="shared" si="307"/>
        <v>#NUM!</v>
      </c>
      <c r="G4756" t="e">
        <f t="shared" si="308"/>
        <v>#NUM!</v>
      </c>
      <c r="I4756" t="e">
        <f t="shared" si="310"/>
        <v>#NUM!</v>
      </c>
    </row>
    <row r="4757" spans="1:9">
      <c r="A4757" t="s">
        <v>14</v>
      </c>
      <c r="B4757" s="2">
        <f t="shared" si="309"/>
        <v>228</v>
      </c>
      <c r="C4757">
        <v>448</v>
      </c>
      <c r="D4757">
        <v>1</v>
      </c>
      <c r="E4757">
        <v>0</v>
      </c>
      <c r="F4757">
        <f t="shared" si="307"/>
        <v>-2.7162342324548092</v>
      </c>
      <c r="G4757" t="e">
        <f t="shared" si="308"/>
        <v>#NUM!</v>
      </c>
      <c r="I4757" t="e">
        <f t="shared" si="310"/>
        <v>#NUM!</v>
      </c>
    </row>
    <row r="4758" spans="1:9">
      <c r="A4758" t="s">
        <v>15</v>
      </c>
      <c r="B4758" s="2">
        <f t="shared" si="309"/>
        <v>228</v>
      </c>
      <c r="C4758">
        <v>129</v>
      </c>
      <c r="D4758">
        <v>0</v>
      </c>
      <c r="E4758">
        <v>0</v>
      </c>
      <c r="F4758" t="e">
        <f t="shared" si="307"/>
        <v>#NUM!</v>
      </c>
      <c r="G4758" t="e">
        <f t="shared" si="308"/>
        <v>#NUM!</v>
      </c>
      <c r="I4758" t="e">
        <f t="shared" si="310"/>
        <v>#NUM!</v>
      </c>
    </row>
    <row r="4759" spans="1:9">
      <c r="A4759" t="s">
        <v>16</v>
      </c>
      <c r="B4759" s="2">
        <f t="shared" si="309"/>
        <v>228</v>
      </c>
      <c r="C4759">
        <v>1251</v>
      </c>
      <c r="D4759">
        <v>3</v>
      </c>
      <c r="E4759">
        <v>2</v>
      </c>
      <c r="F4759">
        <f t="shared" si="307"/>
        <v>-2.6850922734304228</v>
      </c>
      <c r="G4759">
        <f t="shared" si="308"/>
        <v>-2.9659288670356698</v>
      </c>
      <c r="I4759">
        <f t="shared" si="310"/>
        <v>-2.8255105702330461</v>
      </c>
    </row>
    <row r="4760" spans="1:9">
      <c r="A4760" t="s">
        <v>17</v>
      </c>
      <c r="B4760" s="2">
        <f t="shared" si="309"/>
        <v>228</v>
      </c>
      <c r="C4760">
        <v>436</v>
      </c>
      <c r="D4760">
        <v>8</v>
      </c>
      <c r="E4760">
        <v>3</v>
      </c>
      <c r="F4760">
        <f t="shared" si="307"/>
        <v>-1.8013527207333075</v>
      </c>
      <c r="G4760">
        <f t="shared" si="308"/>
        <v>-2.3320667875551546</v>
      </c>
      <c r="I4760">
        <f t="shared" si="310"/>
        <v>-2.066709754144231</v>
      </c>
    </row>
    <row r="4761" spans="1:9">
      <c r="A4761" t="s">
        <v>18</v>
      </c>
      <c r="B4761" s="2">
        <f t="shared" si="309"/>
        <v>228</v>
      </c>
      <c r="C4761">
        <v>19</v>
      </c>
      <c r="D4761">
        <v>0</v>
      </c>
      <c r="E4761">
        <v>0</v>
      </c>
      <c r="F4761" t="e">
        <f t="shared" si="307"/>
        <v>#NUM!</v>
      </c>
      <c r="G4761" t="e">
        <f t="shared" si="308"/>
        <v>#NUM!</v>
      </c>
      <c r="I4761" t="e">
        <f t="shared" si="310"/>
        <v>#NUM!</v>
      </c>
    </row>
    <row r="4762" spans="1:9">
      <c r="A4762" t="s">
        <v>19</v>
      </c>
      <c r="B4762" s="2">
        <f t="shared" si="309"/>
        <v>228</v>
      </c>
      <c r="C4762">
        <v>179252</v>
      </c>
      <c r="D4762">
        <v>208171</v>
      </c>
      <c r="E4762">
        <v>264951</v>
      </c>
      <c r="F4762">
        <f t="shared" si="307"/>
        <v>0</v>
      </c>
      <c r="G4762">
        <f t="shared" si="308"/>
        <v>0</v>
      </c>
      <c r="I4762">
        <f t="shared" si="310"/>
        <v>0</v>
      </c>
    </row>
    <row r="4763" spans="1:9">
      <c r="A4763" t="s">
        <v>20</v>
      </c>
      <c r="B4763" s="2">
        <f t="shared" si="309"/>
        <v>228</v>
      </c>
      <c r="C4763">
        <v>765</v>
      </c>
      <c r="D4763">
        <v>1113</v>
      </c>
      <c r="E4763">
        <v>1037</v>
      </c>
      <c r="F4763">
        <f t="shared" si="307"/>
        <v>9.7877510724425493E-2</v>
      </c>
      <c r="G4763">
        <f t="shared" si="308"/>
        <v>-3.7584231770807358E-2</v>
      </c>
      <c r="I4763">
        <f t="shared" si="310"/>
        <v>3.0146639476809067E-2</v>
      </c>
    </row>
    <row r="4764" spans="1:9">
      <c r="A4764" t="s">
        <v>21</v>
      </c>
      <c r="B4764" s="2">
        <f t="shared" si="309"/>
        <v>228</v>
      </c>
      <c r="C4764">
        <v>24</v>
      </c>
      <c r="D4764">
        <v>0</v>
      </c>
      <c r="E4764">
        <v>0</v>
      </c>
      <c r="F4764" t="e">
        <f t="shared" si="307"/>
        <v>#NUM!</v>
      </c>
      <c r="G4764" t="e">
        <f t="shared" si="308"/>
        <v>#NUM!</v>
      </c>
      <c r="I4764" t="e">
        <f t="shared" si="310"/>
        <v>#NUM!</v>
      </c>
    </row>
    <row r="4765" spans="1:9">
      <c r="A4765" t="s">
        <v>22</v>
      </c>
      <c r="B4765" s="2">
        <f t="shared" si="309"/>
        <v>228</v>
      </c>
      <c r="C4765">
        <v>55</v>
      </c>
      <c r="D4765">
        <v>3</v>
      </c>
      <c r="E4765">
        <v>1</v>
      </c>
      <c r="F4765">
        <f t="shared" si="307"/>
        <v>-1.3281976532312467</v>
      </c>
      <c r="G4765">
        <f t="shared" si="308"/>
        <v>-1.9100642425004746</v>
      </c>
      <c r="I4765">
        <f t="shared" si="310"/>
        <v>-1.6191309478658606</v>
      </c>
    </row>
    <row r="4766" spans="1:9">
      <c r="A4766" t="s">
        <v>23</v>
      </c>
      <c r="B4766" s="2">
        <f t="shared" si="309"/>
        <v>228</v>
      </c>
      <c r="C4766">
        <v>20</v>
      </c>
      <c r="D4766">
        <v>7</v>
      </c>
      <c r="E4766">
        <v>10</v>
      </c>
      <c r="F4766">
        <f t="shared" si="307"/>
        <v>-0.52088817410638955</v>
      </c>
      <c r="G4766">
        <f t="shared" si="308"/>
        <v>-0.47073154867021194</v>
      </c>
      <c r="I4766">
        <f t="shared" si="310"/>
        <v>-0.49580986138830074</v>
      </c>
    </row>
    <row r="4767" spans="1:9">
      <c r="A4767" t="s">
        <v>24</v>
      </c>
      <c r="B4767" s="2">
        <f t="shared" si="309"/>
        <v>228</v>
      </c>
      <c r="C4767">
        <v>107</v>
      </c>
      <c r="D4767">
        <v>1</v>
      </c>
      <c r="E4767">
        <v>0</v>
      </c>
      <c r="F4767">
        <f t="shared" si="307"/>
        <v>-2.0943399961418749</v>
      </c>
      <c r="G4767" t="e">
        <f t="shared" si="308"/>
        <v>#NUM!</v>
      </c>
      <c r="I4767" t="e">
        <f t="shared" si="310"/>
        <v>#NUM!</v>
      </c>
    </row>
    <row r="4768" spans="1:9">
      <c r="A4768" t="s">
        <v>25</v>
      </c>
      <c r="B4768" s="2">
        <f t="shared" si="309"/>
        <v>228</v>
      </c>
      <c r="C4768">
        <v>0</v>
      </c>
      <c r="D4768">
        <v>0</v>
      </c>
      <c r="E4768">
        <v>0</v>
      </c>
      <c r="F4768" t="e">
        <f t="shared" si="307"/>
        <v>#DIV/0!</v>
      </c>
      <c r="G4768" t="e">
        <f t="shared" si="308"/>
        <v>#DIV/0!</v>
      </c>
      <c r="I4768" t="e">
        <f t="shared" si="310"/>
        <v>#DIV/0!</v>
      </c>
    </row>
    <row r="4769" spans="1:9">
      <c r="A4769" t="s">
        <v>7</v>
      </c>
      <c r="B4769" s="2">
        <f t="shared" si="309"/>
        <v>229</v>
      </c>
      <c r="C4769">
        <v>0</v>
      </c>
      <c r="D4769">
        <v>0</v>
      </c>
      <c r="E4769">
        <v>0</v>
      </c>
      <c r="F4769" t="e">
        <f t="shared" si="307"/>
        <v>#DIV/0!</v>
      </c>
      <c r="G4769" t="e">
        <f t="shared" si="308"/>
        <v>#DIV/0!</v>
      </c>
      <c r="I4769" t="e">
        <f t="shared" si="310"/>
        <v>#DIV/0!</v>
      </c>
    </row>
    <row r="4770" spans="1:9">
      <c r="A4770" t="s">
        <v>8</v>
      </c>
      <c r="B4770" s="2">
        <f t="shared" si="309"/>
        <v>229</v>
      </c>
      <c r="C4770">
        <v>0</v>
      </c>
      <c r="D4770">
        <v>0</v>
      </c>
      <c r="E4770">
        <v>0</v>
      </c>
      <c r="F4770" t="e">
        <f t="shared" si="307"/>
        <v>#DIV/0!</v>
      </c>
      <c r="G4770" t="e">
        <f t="shared" si="308"/>
        <v>#DIV/0!</v>
      </c>
      <c r="I4770" t="e">
        <f t="shared" si="310"/>
        <v>#DIV/0!</v>
      </c>
    </row>
    <row r="4771" spans="1:9">
      <c r="A4771" t="s">
        <v>5</v>
      </c>
      <c r="B4771" s="2">
        <f t="shared" si="309"/>
        <v>229</v>
      </c>
      <c r="C4771">
        <v>129</v>
      </c>
      <c r="D4771">
        <v>3</v>
      </c>
      <c r="E4771">
        <v>1</v>
      </c>
      <c r="F4771">
        <f t="shared" si="307"/>
        <v>-1.6984246740362519</v>
      </c>
      <c r="G4771">
        <f t="shared" si="308"/>
        <v>-2.2802912633054797</v>
      </c>
      <c r="I4771">
        <f t="shared" si="310"/>
        <v>-1.9893579686708658</v>
      </c>
    </row>
    <row r="4772" spans="1:9">
      <c r="A4772" t="s">
        <v>6</v>
      </c>
      <c r="B4772" s="2">
        <f t="shared" si="309"/>
        <v>229</v>
      </c>
      <c r="C4772">
        <v>1344</v>
      </c>
      <c r="D4772">
        <v>115</v>
      </c>
      <c r="E4772">
        <v>38</v>
      </c>
      <c r="F4772">
        <f t="shared" si="307"/>
        <v>-1.13265764682086</v>
      </c>
      <c r="G4772">
        <f t="shared" si="308"/>
        <v>-1.718317225107227</v>
      </c>
      <c r="I4772">
        <f t="shared" si="310"/>
        <v>-1.4254874359640435</v>
      </c>
    </row>
    <row r="4773" spans="1:9">
      <c r="A4773" t="s">
        <v>10</v>
      </c>
      <c r="B4773" s="2">
        <f t="shared" si="309"/>
        <v>229</v>
      </c>
      <c r="C4773">
        <v>66</v>
      </c>
      <c r="D4773">
        <v>22</v>
      </c>
      <c r="E4773">
        <v>40</v>
      </c>
      <c r="F4773">
        <f t="shared" si="307"/>
        <v>-0.5420774731763276</v>
      </c>
      <c r="G4773">
        <f t="shared" si="308"/>
        <v>-0.38718549722013701</v>
      </c>
      <c r="I4773">
        <f t="shared" si="310"/>
        <v>-0.46463148519823227</v>
      </c>
    </row>
    <row r="4774" spans="1:9">
      <c r="A4774" t="s">
        <v>11</v>
      </c>
      <c r="B4774" s="2">
        <f t="shared" si="309"/>
        <v>229</v>
      </c>
      <c r="C4774">
        <v>158</v>
      </c>
      <c r="D4774">
        <v>0</v>
      </c>
      <c r="E4774">
        <v>0</v>
      </c>
      <c r="F4774" t="e">
        <f t="shared" si="307"/>
        <v>#NUM!</v>
      </c>
      <c r="G4774" t="e">
        <f t="shared" si="308"/>
        <v>#NUM!</v>
      </c>
      <c r="I4774" t="e">
        <f t="shared" si="310"/>
        <v>#NUM!</v>
      </c>
    </row>
    <row r="4775" spans="1:9">
      <c r="A4775" t="s">
        <v>12</v>
      </c>
      <c r="B4775" s="2">
        <f t="shared" si="309"/>
        <v>229</v>
      </c>
      <c r="C4775">
        <v>0</v>
      </c>
      <c r="D4775">
        <v>0</v>
      </c>
      <c r="E4775">
        <v>0</v>
      </c>
      <c r="F4775" t="e">
        <f t="shared" si="307"/>
        <v>#DIV/0!</v>
      </c>
      <c r="G4775" t="e">
        <f t="shared" si="308"/>
        <v>#DIV/0!</v>
      </c>
      <c r="I4775" t="e">
        <f t="shared" si="310"/>
        <v>#DIV/0!</v>
      </c>
    </row>
    <row r="4776" spans="1:9">
      <c r="A4776" t="s">
        <v>9</v>
      </c>
      <c r="B4776" s="2">
        <f t="shared" si="309"/>
        <v>229</v>
      </c>
      <c r="C4776">
        <v>51</v>
      </c>
      <c r="D4776">
        <v>6</v>
      </c>
      <c r="E4776">
        <v>1</v>
      </c>
      <c r="F4776">
        <f t="shared" si="307"/>
        <v>-0.99437514417095796</v>
      </c>
      <c r="G4776">
        <f t="shared" si="308"/>
        <v>-1.877271729104167</v>
      </c>
      <c r="I4776">
        <f t="shared" si="310"/>
        <v>-1.4358234366375624</v>
      </c>
    </row>
    <row r="4777" spans="1:9">
      <c r="A4777" t="s">
        <v>13</v>
      </c>
      <c r="B4777" s="2">
        <f t="shared" si="309"/>
        <v>229</v>
      </c>
      <c r="C4777">
        <v>295</v>
      </c>
      <c r="D4777">
        <v>16</v>
      </c>
      <c r="E4777">
        <v>0</v>
      </c>
      <c r="F4777">
        <f t="shared" si="307"/>
        <v>-1.3306582517789034</v>
      </c>
      <c r="G4777" t="e">
        <f t="shared" si="308"/>
        <v>#NUM!</v>
      </c>
      <c r="I4777" t="e">
        <f t="shared" si="310"/>
        <v>#NUM!</v>
      </c>
    </row>
    <row r="4778" spans="1:9">
      <c r="A4778" t="s">
        <v>14</v>
      </c>
      <c r="B4778" s="2">
        <f t="shared" si="309"/>
        <v>229</v>
      </c>
      <c r="C4778">
        <v>0</v>
      </c>
      <c r="D4778">
        <v>0</v>
      </c>
      <c r="E4778">
        <v>0</v>
      </c>
      <c r="F4778" t="e">
        <f t="shared" si="307"/>
        <v>#DIV/0!</v>
      </c>
      <c r="G4778" t="e">
        <f t="shared" si="308"/>
        <v>#DIV/0!</v>
      </c>
      <c r="I4778" t="e">
        <f t="shared" si="310"/>
        <v>#DIV/0!</v>
      </c>
    </row>
    <row r="4779" spans="1:9">
      <c r="A4779" t="s">
        <v>15</v>
      </c>
      <c r="B4779" s="2">
        <f t="shared" si="309"/>
        <v>229</v>
      </c>
      <c r="C4779">
        <v>0</v>
      </c>
      <c r="D4779">
        <v>0</v>
      </c>
      <c r="E4779">
        <v>0</v>
      </c>
      <c r="F4779" t="e">
        <f t="shared" si="307"/>
        <v>#DIV/0!</v>
      </c>
      <c r="G4779" t="e">
        <f t="shared" si="308"/>
        <v>#DIV/0!</v>
      </c>
      <c r="I4779" t="e">
        <f t="shared" si="310"/>
        <v>#DIV/0!</v>
      </c>
    </row>
    <row r="4780" spans="1:9">
      <c r="A4780" t="s">
        <v>16</v>
      </c>
      <c r="B4780" s="2">
        <f t="shared" si="309"/>
        <v>229</v>
      </c>
      <c r="C4780">
        <v>174</v>
      </c>
      <c r="D4780">
        <v>2</v>
      </c>
      <c r="E4780">
        <v>11</v>
      </c>
      <c r="F4780">
        <f t="shared" si="307"/>
        <v>-2.0044754710752835</v>
      </c>
      <c r="G4780">
        <f t="shared" si="308"/>
        <v>-1.3688581161306053</v>
      </c>
      <c r="I4780">
        <f t="shared" si="310"/>
        <v>-1.6866667936029445</v>
      </c>
    </row>
    <row r="4781" spans="1:9">
      <c r="A4781" t="s">
        <v>17</v>
      </c>
      <c r="B4781" s="2">
        <f t="shared" si="309"/>
        <v>229</v>
      </c>
      <c r="C4781">
        <v>273</v>
      </c>
      <c r="D4781">
        <v>263</v>
      </c>
      <c r="E4781">
        <v>82</v>
      </c>
      <c r="F4781">
        <f t="shared" si="307"/>
        <v>-8.1163117007663349E-2</v>
      </c>
      <c r="G4781">
        <f t="shared" si="308"/>
        <v>-0.69205034766327</v>
      </c>
      <c r="I4781">
        <f t="shared" si="310"/>
        <v>-0.38660673233546666</v>
      </c>
    </row>
    <row r="4782" spans="1:9">
      <c r="A4782" t="s">
        <v>18</v>
      </c>
      <c r="B4782" s="2">
        <f t="shared" si="309"/>
        <v>229</v>
      </c>
      <c r="C4782">
        <v>369</v>
      </c>
      <c r="D4782">
        <v>222</v>
      </c>
      <c r="E4782">
        <v>2072</v>
      </c>
      <c r="F4782">
        <f t="shared" si="307"/>
        <v>-0.28562961016508692</v>
      </c>
      <c r="G4782">
        <f t="shared" si="308"/>
        <v>0.57966183190790432</v>
      </c>
      <c r="I4782">
        <f t="shared" si="310"/>
        <v>0.1470161108714087</v>
      </c>
    </row>
    <row r="4783" spans="1:9">
      <c r="A4783" t="s">
        <v>19</v>
      </c>
      <c r="B4783" s="2">
        <f t="shared" si="309"/>
        <v>229</v>
      </c>
      <c r="C4783">
        <v>311</v>
      </c>
      <c r="D4783">
        <v>368</v>
      </c>
      <c r="E4783">
        <v>37</v>
      </c>
      <c r="F4783">
        <f t="shared" si="307"/>
        <v>8.1312111900149475E-3</v>
      </c>
      <c r="G4783">
        <f t="shared" si="308"/>
        <v>-1.0942602179660732</v>
      </c>
      <c r="I4783">
        <f t="shared" si="310"/>
        <v>-0.54306450338802914</v>
      </c>
    </row>
    <row r="4784" spans="1:9">
      <c r="A4784" t="s">
        <v>20</v>
      </c>
      <c r="B4784" s="2">
        <f t="shared" si="309"/>
        <v>229</v>
      </c>
      <c r="C4784">
        <v>810</v>
      </c>
      <c r="D4784">
        <v>190</v>
      </c>
      <c r="E4784">
        <v>160</v>
      </c>
      <c r="F4784">
        <f t="shared" si="307"/>
        <v>-0.69468763638248598</v>
      </c>
      <c r="G4784">
        <f t="shared" si="308"/>
        <v>-0.87406658922895564</v>
      </c>
      <c r="I4784">
        <f t="shared" si="310"/>
        <v>-0.78437711280572087</v>
      </c>
    </row>
    <row r="4785" spans="1:9">
      <c r="A4785" t="s">
        <v>21</v>
      </c>
      <c r="B4785" s="2">
        <f t="shared" si="309"/>
        <v>229</v>
      </c>
      <c r="C4785">
        <v>7</v>
      </c>
      <c r="D4785">
        <v>2</v>
      </c>
      <c r="E4785">
        <v>3</v>
      </c>
      <c r="F4785">
        <f t="shared" si="307"/>
        <v>-0.60902426280694089</v>
      </c>
      <c r="G4785">
        <f t="shared" si="308"/>
        <v>-0.53767833830082523</v>
      </c>
      <c r="I4785">
        <f t="shared" si="310"/>
        <v>-0.57335130055388306</v>
      </c>
    </row>
    <row r="4786" spans="1:9">
      <c r="A4786" t="s">
        <v>22</v>
      </c>
      <c r="B4786" s="2">
        <f t="shared" si="309"/>
        <v>229</v>
      </c>
      <c r="C4786">
        <v>1</v>
      </c>
      <c r="D4786">
        <v>0</v>
      </c>
      <c r="E4786">
        <v>2</v>
      </c>
      <c r="F4786" t="e">
        <f t="shared" si="307"/>
        <v>#NUM!</v>
      </c>
      <c r="G4786">
        <f t="shared" si="308"/>
        <v>0.13132844265775045</v>
      </c>
      <c r="I4786" t="e">
        <f t="shared" si="310"/>
        <v>#NUM!</v>
      </c>
    </row>
    <row r="4787" spans="1:9">
      <c r="A4787" t="s">
        <v>23</v>
      </c>
      <c r="B4787" s="2">
        <f t="shared" si="309"/>
        <v>229</v>
      </c>
      <c r="C4787">
        <v>319</v>
      </c>
      <c r="D4787">
        <v>310</v>
      </c>
      <c r="E4787">
        <v>56</v>
      </c>
      <c r="F4787">
        <f t="shared" si="307"/>
        <v>-7.7385207679573659E-2</v>
      </c>
      <c r="G4787">
        <f t="shared" si="308"/>
        <v>-0.92530420905721145</v>
      </c>
      <c r="I4787">
        <f t="shared" si="310"/>
        <v>-0.50134470836839251</v>
      </c>
    </row>
    <row r="4788" spans="1:9">
      <c r="A4788" t="s">
        <v>24</v>
      </c>
      <c r="B4788" s="2">
        <f t="shared" si="309"/>
        <v>229</v>
      </c>
      <c r="C4788">
        <v>588</v>
      </c>
      <c r="D4788">
        <v>99</v>
      </c>
      <c r="E4788">
        <v>246</v>
      </c>
      <c r="F4788">
        <f t="shared" si="307"/>
        <v>-0.83869834993525383</v>
      </c>
      <c r="G4788">
        <f t="shared" si="308"/>
        <v>-0.54814377197899011</v>
      </c>
      <c r="I4788">
        <f t="shared" si="310"/>
        <v>-0.69342106095712197</v>
      </c>
    </row>
    <row r="4789" spans="1:9">
      <c r="A4789" t="s">
        <v>25</v>
      </c>
      <c r="B4789" s="2">
        <f t="shared" si="309"/>
        <v>229</v>
      </c>
      <c r="C4789">
        <v>0</v>
      </c>
      <c r="D4789">
        <v>0</v>
      </c>
      <c r="E4789">
        <v>0</v>
      </c>
      <c r="F4789" t="e">
        <f t="shared" si="307"/>
        <v>#DIV/0!</v>
      </c>
      <c r="G4789" t="e">
        <f t="shared" si="308"/>
        <v>#DIV/0!</v>
      </c>
      <c r="I4789" t="e">
        <f t="shared" si="310"/>
        <v>#DIV/0!</v>
      </c>
    </row>
    <row r="4790" spans="1:9">
      <c r="A4790" t="s">
        <v>7</v>
      </c>
      <c r="B4790" s="2">
        <f t="shared" si="309"/>
        <v>230</v>
      </c>
      <c r="C4790">
        <v>0</v>
      </c>
      <c r="D4790">
        <v>0</v>
      </c>
      <c r="E4790">
        <v>0</v>
      </c>
      <c r="F4790" t="e">
        <f t="shared" si="307"/>
        <v>#DIV/0!</v>
      </c>
      <c r="G4790" t="e">
        <f t="shared" si="308"/>
        <v>#DIV/0!</v>
      </c>
      <c r="I4790" t="e">
        <f t="shared" si="310"/>
        <v>#DIV/0!</v>
      </c>
    </row>
    <row r="4791" spans="1:9">
      <c r="A4791" t="s">
        <v>8</v>
      </c>
      <c r="B4791" s="2">
        <f t="shared" si="309"/>
        <v>230</v>
      </c>
      <c r="C4791">
        <v>399</v>
      </c>
      <c r="D4791">
        <v>262</v>
      </c>
      <c r="E4791">
        <v>164</v>
      </c>
      <c r="F4791">
        <f t="shared" si="307"/>
        <v>-0.24762782282366799</v>
      </c>
      <c r="G4791">
        <f t="shared" si="308"/>
        <v>-0.55583060064528111</v>
      </c>
      <c r="I4791">
        <f t="shared" si="310"/>
        <v>-0.40172921173447457</v>
      </c>
    </row>
    <row r="4792" spans="1:9">
      <c r="A4792" t="s">
        <v>5</v>
      </c>
      <c r="B4792" s="2">
        <f t="shared" si="309"/>
        <v>230</v>
      </c>
      <c r="C4792">
        <v>38</v>
      </c>
      <c r="D4792">
        <v>19</v>
      </c>
      <c r="E4792">
        <v>20</v>
      </c>
      <c r="F4792">
        <f t="shared" si="307"/>
        <v>-0.36598621412064636</v>
      </c>
      <c r="G4792">
        <f t="shared" si="308"/>
        <v>-0.44845515395905972</v>
      </c>
      <c r="I4792">
        <f t="shared" si="310"/>
        <v>-0.40722068403985301</v>
      </c>
    </row>
    <row r="4793" spans="1:9">
      <c r="A4793" t="s">
        <v>6</v>
      </c>
      <c r="B4793" s="2">
        <f t="shared" si="309"/>
        <v>230</v>
      </c>
      <c r="C4793">
        <v>156</v>
      </c>
      <c r="D4793">
        <v>0</v>
      </c>
      <c r="E4793">
        <v>35</v>
      </c>
      <c r="F4793" t="e">
        <f t="shared" si="307"/>
        <v>#NUM!</v>
      </c>
      <c r="G4793">
        <f t="shared" si="308"/>
        <v>-0.81875810701041662</v>
      </c>
      <c r="I4793" t="e">
        <f t="shared" si="310"/>
        <v>#NUM!</v>
      </c>
    </row>
    <row r="4794" spans="1:9">
      <c r="A4794" t="s">
        <v>10</v>
      </c>
      <c r="B4794" s="2">
        <f t="shared" si="309"/>
        <v>230</v>
      </c>
      <c r="C4794">
        <v>358</v>
      </c>
      <c r="D4794">
        <v>13</v>
      </c>
      <c r="E4794">
        <v>71</v>
      </c>
      <c r="F4794">
        <f t="shared" si="307"/>
        <v>-1.5048958927937028</v>
      </c>
      <c r="G4794">
        <f t="shared" si="308"/>
        <v>-0.87232623093102979</v>
      </c>
      <c r="I4794">
        <f t="shared" si="310"/>
        <v>-1.1886110618623662</v>
      </c>
    </row>
    <row r="4795" spans="1:9">
      <c r="A4795" t="s">
        <v>11</v>
      </c>
      <c r="B4795" s="2">
        <f t="shared" si="309"/>
        <v>230</v>
      </c>
      <c r="C4795">
        <v>471</v>
      </c>
      <c r="D4795">
        <v>2</v>
      </c>
      <c r="E4795">
        <v>36</v>
      </c>
      <c r="F4795">
        <f t="shared" ref="F4795:F4852" si="311">LOG10(D4795/C4795)-LOG10(208171/179252)</f>
        <v>-2.4369471299215801</v>
      </c>
      <c r="G4795">
        <f t="shared" ref="G4795:G4852" si="312">LOG10(E4795/C4795)-LOG10(264951/179252)</f>
        <v>-1.2864199593678396</v>
      </c>
      <c r="I4795">
        <f t="shared" si="310"/>
        <v>-1.86168354464471</v>
      </c>
    </row>
    <row r="4796" spans="1:9">
      <c r="A4796" t="s">
        <v>12</v>
      </c>
      <c r="B4796" s="2">
        <f t="shared" si="309"/>
        <v>230</v>
      </c>
      <c r="C4796">
        <v>529</v>
      </c>
      <c r="D4796">
        <v>176</v>
      </c>
      <c r="E4796">
        <v>200</v>
      </c>
      <c r="F4796">
        <f t="shared" si="311"/>
        <v>-0.54289922267770108</v>
      </c>
      <c r="G4796">
        <f t="shared" si="312"/>
        <v>-0.59212722937743534</v>
      </c>
      <c r="I4796">
        <f t="shared" si="310"/>
        <v>-0.56751322602756815</v>
      </c>
    </row>
    <row r="4797" spans="1:9">
      <c r="A4797" t="s">
        <v>9</v>
      </c>
      <c r="B4797" s="2">
        <f t="shared" si="309"/>
        <v>230</v>
      </c>
      <c r="C4797">
        <v>67</v>
      </c>
      <c r="D4797">
        <v>54</v>
      </c>
      <c r="E4797">
        <v>55</v>
      </c>
      <c r="F4797">
        <f t="shared" si="311"/>
        <v>-0.15863726133452311</v>
      </c>
      <c r="G4797">
        <f t="shared" si="312"/>
        <v>-0.25541366621281331</v>
      </c>
      <c r="I4797">
        <f t="shared" si="310"/>
        <v>-0.20702546377366821</v>
      </c>
    </row>
    <row r="4798" spans="1:9">
      <c r="A4798" t="s">
        <v>13</v>
      </c>
      <c r="B4798" s="2">
        <f t="shared" si="309"/>
        <v>230</v>
      </c>
      <c r="C4798">
        <v>309</v>
      </c>
      <c r="D4798">
        <v>9</v>
      </c>
      <c r="E4798">
        <v>8</v>
      </c>
      <c r="F4798">
        <f t="shared" si="311"/>
        <v>-1.6006721884421751</v>
      </c>
      <c r="G4798">
        <f t="shared" si="312"/>
        <v>-1.7565700454391218</v>
      </c>
      <c r="I4798">
        <f t="shared" si="310"/>
        <v>-1.6786211169406484</v>
      </c>
    </row>
    <row r="4799" spans="1:9">
      <c r="A4799" t="s">
        <v>14</v>
      </c>
      <c r="B4799" s="2">
        <f t="shared" si="309"/>
        <v>230</v>
      </c>
      <c r="C4799">
        <v>93</v>
      </c>
      <c r="D4799">
        <v>2</v>
      </c>
      <c r="E4799">
        <v>1</v>
      </c>
      <c r="F4799">
        <f t="shared" si="311"/>
        <v>-1.7324091713466192</v>
      </c>
      <c r="G4799">
        <f t="shared" si="312"/>
        <v>-2.1381845015601657</v>
      </c>
      <c r="I4799">
        <f t="shared" si="310"/>
        <v>-1.9352968364533925</v>
      </c>
    </row>
    <row r="4800" spans="1:9">
      <c r="A4800" t="s">
        <v>15</v>
      </c>
      <c r="B4800" s="2">
        <f t="shared" si="309"/>
        <v>230</v>
      </c>
      <c r="C4800">
        <v>50</v>
      </c>
      <c r="D4800">
        <v>0</v>
      </c>
      <c r="E4800">
        <v>0</v>
      </c>
      <c r="F4800" t="e">
        <f t="shared" si="311"/>
        <v>#NUM!</v>
      </c>
      <c r="G4800" t="e">
        <f t="shared" si="312"/>
        <v>#NUM!</v>
      </c>
      <c r="I4800" t="e">
        <f t="shared" si="310"/>
        <v>#NUM!</v>
      </c>
    </row>
    <row r="4801" spans="1:9">
      <c r="A4801" t="s">
        <v>16</v>
      </c>
      <c r="B4801" s="2">
        <f t="shared" si="309"/>
        <v>230</v>
      </c>
      <c r="C4801">
        <v>1014</v>
      </c>
      <c r="D4801">
        <v>3378</v>
      </c>
      <c r="E4801">
        <v>2884</v>
      </c>
      <c r="F4801">
        <f t="shared" si="311"/>
        <v>0.45766547178100747</v>
      </c>
      <c r="G4801">
        <f t="shared" si="312"/>
        <v>0.28425574804384351</v>
      </c>
      <c r="I4801">
        <f t="shared" si="310"/>
        <v>0.37096060991242552</v>
      </c>
    </row>
    <row r="4802" spans="1:9">
      <c r="A4802" t="s">
        <v>17</v>
      </c>
      <c r="B4802" s="2">
        <f t="shared" si="309"/>
        <v>230</v>
      </c>
      <c r="C4802">
        <v>689</v>
      </c>
      <c r="D4802">
        <v>6</v>
      </c>
      <c r="E4802">
        <v>15</v>
      </c>
      <c r="F4802">
        <f t="shared" si="311"/>
        <v>-2.1250241899806475</v>
      </c>
      <c r="G4802">
        <f t="shared" si="312"/>
        <v>-1.8318295158581752</v>
      </c>
      <c r="I4802">
        <f t="shared" si="310"/>
        <v>-1.9784268529194113</v>
      </c>
    </row>
    <row r="4803" spans="1:9">
      <c r="A4803" t="s">
        <v>18</v>
      </c>
      <c r="B4803" s="2">
        <f t="shared" ref="B4803:B4852" si="313">1+INT((ROW()-2)/21)+1</f>
        <v>230</v>
      </c>
      <c r="C4803">
        <v>286</v>
      </c>
      <c r="D4803">
        <v>84</v>
      </c>
      <c r="E4803">
        <v>23</v>
      </c>
      <c r="F4803">
        <f t="shared" si="311"/>
        <v>-0.59704296552382663</v>
      </c>
      <c r="G4803">
        <f t="shared" si="312"/>
        <v>-1.2643397501176807</v>
      </c>
      <c r="I4803">
        <f t="shared" ref="I4803:I4852" si="314">AVERAGE(F4803:G4803)</f>
        <v>-0.93069135782075363</v>
      </c>
    </row>
    <row r="4804" spans="1:9">
      <c r="A4804" t="s">
        <v>19</v>
      </c>
      <c r="B4804" s="2">
        <f t="shared" si="313"/>
        <v>230</v>
      </c>
      <c r="C4804">
        <v>0</v>
      </c>
      <c r="D4804">
        <v>0</v>
      </c>
      <c r="E4804">
        <v>1</v>
      </c>
      <c r="F4804" t="e">
        <f t="shared" si="311"/>
        <v>#DIV/0!</v>
      </c>
      <c r="G4804" t="e">
        <f t="shared" si="312"/>
        <v>#DIV/0!</v>
      </c>
      <c r="I4804" t="e">
        <f t="shared" si="314"/>
        <v>#DIV/0!</v>
      </c>
    </row>
    <row r="4805" spans="1:9">
      <c r="A4805" t="s">
        <v>20</v>
      </c>
      <c r="B4805" s="2">
        <f t="shared" si="313"/>
        <v>230</v>
      </c>
      <c r="C4805">
        <v>1</v>
      </c>
      <c r="D4805">
        <v>0</v>
      </c>
      <c r="E4805">
        <v>0</v>
      </c>
      <c r="F4805" t="e">
        <f t="shared" si="311"/>
        <v>#NUM!</v>
      </c>
      <c r="G4805" t="e">
        <f t="shared" si="312"/>
        <v>#NUM!</v>
      </c>
      <c r="I4805" t="e">
        <f t="shared" si="314"/>
        <v>#NUM!</v>
      </c>
    </row>
    <row r="4806" spans="1:9">
      <c r="A4806" t="s">
        <v>21</v>
      </c>
      <c r="B4806" s="2">
        <f t="shared" si="313"/>
        <v>230</v>
      </c>
      <c r="C4806">
        <v>697</v>
      </c>
      <c r="D4806">
        <v>83</v>
      </c>
      <c r="E4806">
        <v>12</v>
      </c>
      <c r="F4806">
        <f t="shared" si="311"/>
        <v>-0.9891109041786007</v>
      </c>
      <c r="G4806">
        <f t="shared" si="312"/>
        <v>-1.9337530850566154</v>
      </c>
      <c r="I4806">
        <f t="shared" si="314"/>
        <v>-1.461431994617608</v>
      </c>
    </row>
    <row r="4807" spans="1:9">
      <c r="A4807" t="s">
        <v>22</v>
      </c>
      <c r="B4807" s="2">
        <f t="shared" si="313"/>
        <v>230</v>
      </c>
      <c r="C4807">
        <v>2</v>
      </c>
      <c r="D4807">
        <v>0</v>
      </c>
      <c r="E4807">
        <v>0</v>
      </c>
      <c r="F4807" t="e">
        <f t="shared" si="311"/>
        <v>#NUM!</v>
      </c>
      <c r="G4807" t="e">
        <f t="shared" si="312"/>
        <v>#NUM!</v>
      </c>
      <c r="I4807" t="e">
        <f t="shared" si="314"/>
        <v>#NUM!</v>
      </c>
    </row>
    <row r="4808" spans="1:9">
      <c r="A4808" t="s">
        <v>23</v>
      </c>
      <c r="B4808" s="2">
        <f t="shared" si="313"/>
        <v>230</v>
      </c>
      <c r="C4808">
        <v>694</v>
      </c>
      <c r="D4808">
        <v>1</v>
      </c>
      <c r="E4808">
        <v>6</v>
      </c>
      <c r="F4808">
        <f t="shared" si="311"/>
        <v>-2.90631568891152</v>
      </c>
      <c r="G4808">
        <f t="shared" si="312"/>
        <v>-2.2329097730774423</v>
      </c>
      <c r="I4808">
        <f t="shared" si="314"/>
        <v>-2.5696127309944812</v>
      </c>
    </row>
    <row r="4809" spans="1:9">
      <c r="A4809" t="s">
        <v>24</v>
      </c>
      <c r="B4809" s="2">
        <f t="shared" si="313"/>
        <v>230</v>
      </c>
      <c r="C4809">
        <v>492</v>
      </c>
      <c r="D4809">
        <v>1</v>
      </c>
      <c r="E4809">
        <v>1</v>
      </c>
      <c r="F4809">
        <f t="shared" si="311"/>
        <v>-2.7569213212240253</v>
      </c>
      <c r="G4809">
        <f t="shared" si="312"/>
        <v>-2.861666655773591</v>
      </c>
      <c r="I4809">
        <f t="shared" si="314"/>
        <v>-2.8092939884988084</v>
      </c>
    </row>
    <row r="4810" spans="1:9">
      <c r="A4810" t="s">
        <v>25</v>
      </c>
      <c r="B4810" s="2">
        <f t="shared" si="313"/>
        <v>230</v>
      </c>
      <c r="C4810">
        <v>695</v>
      </c>
      <c r="D4810">
        <v>4</v>
      </c>
      <c r="E4810">
        <v>3</v>
      </c>
      <c r="F4810">
        <f t="shared" si="311"/>
        <v>-2.3048810317188169</v>
      </c>
      <c r="G4810">
        <f t="shared" si="312"/>
        <v>-2.5345651028766825</v>
      </c>
      <c r="I4810">
        <f t="shared" si="314"/>
        <v>-2.4197230672977499</v>
      </c>
    </row>
    <row r="4811" spans="1:9">
      <c r="A4811" t="s">
        <v>7</v>
      </c>
      <c r="B4811" s="2">
        <f t="shared" si="313"/>
        <v>231</v>
      </c>
      <c r="C4811">
        <v>33</v>
      </c>
      <c r="D4811">
        <v>120</v>
      </c>
      <c r="E4811">
        <v>12</v>
      </c>
      <c r="F4811">
        <f t="shared" si="311"/>
        <v>0.49571108771307215</v>
      </c>
      <c r="G4811">
        <f t="shared" si="312"/>
        <v>-0.60903424683649332</v>
      </c>
      <c r="I4811">
        <f t="shared" si="314"/>
        <v>-5.6661579561710584E-2</v>
      </c>
    </row>
    <row r="4812" spans="1:9">
      <c r="A4812" t="s">
        <v>8</v>
      </c>
      <c r="B4812" s="2">
        <f t="shared" si="313"/>
        <v>231</v>
      </c>
      <c r="C4812">
        <v>175</v>
      </c>
      <c r="D4812">
        <v>926</v>
      </c>
      <c r="E4812">
        <v>81</v>
      </c>
      <c r="F4812">
        <f t="shared" si="311"/>
        <v>0.65861671953897472</v>
      </c>
      <c r="G4812">
        <f t="shared" si="312"/>
        <v>-0.50425458281387536</v>
      </c>
      <c r="I4812">
        <f t="shared" si="314"/>
        <v>7.7181068362549676E-2</v>
      </c>
    </row>
    <row r="4813" spans="1:9">
      <c r="A4813" t="s">
        <v>5</v>
      </c>
      <c r="B4813" s="2">
        <f t="shared" si="313"/>
        <v>231</v>
      </c>
      <c r="C4813">
        <v>92</v>
      </c>
      <c r="D4813">
        <v>12</v>
      </c>
      <c r="E4813">
        <v>3</v>
      </c>
      <c r="F4813">
        <f t="shared" si="311"/>
        <v>-0.94956279975459568</v>
      </c>
      <c r="G4813">
        <f t="shared" si="312"/>
        <v>-1.6563681256321234</v>
      </c>
      <c r="I4813">
        <f t="shared" si="314"/>
        <v>-1.3029654626933596</v>
      </c>
    </row>
    <row r="4814" spans="1:9">
      <c r="A4814" t="s">
        <v>6</v>
      </c>
      <c r="B4814" s="2">
        <f t="shared" si="313"/>
        <v>231</v>
      </c>
      <c r="C4814">
        <v>469</v>
      </c>
      <c r="D4814">
        <v>265</v>
      </c>
      <c r="E4814">
        <v>176</v>
      </c>
      <c r="F4814">
        <f t="shared" si="311"/>
        <v>-0.31288318723494057</v>
      </c>
      <c r="G4814">
        <f t="shared" si="312"/>
        <v>-0.59536172790716413</v>
      </c>
      <c r="I4814">
        <f t="shared" si="314"/>
        <v>-0.45412245757105235</v>
      </c>
    </row>
    <row r="4815" spans="1:9">
      <c r="A4815" t="s">
        <v>10</v>
      </c>
      <c r="B4815" s="2">
        <f t="shared" si="313"/>
        <v>231</v>
      </c>
      <c r="C4815">
        <v>0</v>
      </c>
      <c r="D4815">
        <v>1</v>
      </c>
      <c r="E4815">
        <v>0</v>
      </c>
      <c r="F4815" t="e">
        <f t="shared" si="311"/>
        <v>#DIV/0!</v>
      </c>
      <c r="G4815" t="e">
        <f t="shared" si="312"/>
        <v>#DIV/0!</v>
      </c>
      <c r="I4815" t="e">
        <f t="shared" si="314"/>
        <v>#DIV/0!</v>
      </c>
    </row>
    <row r="4816" spans="1:9">
      <c r="A4816" t="s">
        <v>11</v>
      </c>
      <c r="B4816" s="2">
        <f t="shared" si="313"/>
        <v>231</v>
      </c>
      <c r="C4816">
        <v>891</v>
      </c>
      <c r="D4816">
        <v>509</v>
      </c>
      <c r="E4816">
        <v>431</v>
      </c>
      <c r="F4816">
        <f t="shared" si="311"/>
        <v>-0.30811614015678124</v>
      </c>
      <c r="G4816">
        <f t="shared" si="312"/>
        <v>-0.48510198688237394</v>
      </c>
      <c r="I4816">
        <f t="shared" si="314"/>
        <v>-0.39660906351957759</v>
      </c>
    </row>
    <row r="4817" spans="1:9">
      <c r="A4817" t="s">
        <v>12</v>
      </c>
      <c r="B4817" s="2">
        <f t="shared" si="313"/>
        <v>231</v>
      </c>
      <c r="C4817">
        <v>212</v>
      </c>
      <c r="D4817">
        <v>1346</v>
      </c>
      <c r="E4817">
        <v>197</v>
      </c>
      <c r="F4817">
        <f t="shared" si="311"/>
        <v>0.73775298050254134</v>
      </c>
      <c r="G4817">
        <f t="shared" si="312"/>
        <v>-0.20157118777338928</v>
      </c>
      <c r="I4817">
        <f t="shared" si="314"/>
        <v>0.26809089636457606</v>
      </c>
    </row>
    <row r="4818" spans="1:9">
      <c r="A4818" t="s">
        <v>9</v>
      </c>
      <c r="B4818" s="2">
        <f t="shared" si="313"/>
        <v>231</v>
      </c>
      <c r="C4818">
        <v>31</v>
      </c>
      <c r="D4818">
        <v>41</v>
      </c>
      <c r="E4818">
        <v>67</v>
      </c>
      <c r="F4818">
        <f t="shared" si="311"/>
        <v>5.6465944428797613E-2</v>
      </c>
      <c r="G4818">
        <f t="shared" si="312"/>
        <v>0.16501155586032296</v>
      </c>
      <c r="I4818">
        <f t="shared" si="314"/>
        <v>0.11073875014456028</v>
      </c>
    </row>
    <row r="4819" spans="1:9">
      <c r="A4819" t="s">
        <v>13</v>
      </c>
      <c r="B4819" s="2">
        <f t="shared" si="313"/>
        <v>231</v>
      </c>
      <c r="C4819">
        <v>179252</v>
      </c>
      <c r="D4819">
        <v>208171</v>
      </c>
      <c r="E4819">
        <v>264951</v>
      </c>
      <c r="F4819">
        <f t="shared" si="311"/>
        <v>0</v>
      </c>
      <c r="G4819">
        <f t="shared" si="312"/>
        <v>0</v>
      </c>
      <c r="I4819">
        <f t="shared" si="314"/>
        <v>0</v>
      </c>
    </row>
    <row r="4820" spans="1:9">
      <c r="A4820" t="s">
        <v>14</v>
      </c>
      <c r="B4820" s="2">
        <f t="shared" si="313"/>
        <v>231</v>
      </c>
      <c r="C4820">
        <v>125</v>
      </c>
      <c r="D4820">
        <v>30</v>
      </c>
      <c r="E4820">
        <v>23</v>
      </c>
      <c r="F4820">
        <f t="shared" si="311"/>
        <v>-0.68474497674505919</v>
      </c>
      <c r="G4820">
        <f t="shared" si="312"/>
        <v>-0.90488372999669431</v>
      </c>
      <c r="I4820">
        <f t="shared" si="314"/>
        <v>-0.79481435337087669</v>
      </c>
    </row>
    <row r="4821" spans="1:9">
      <c r="A4821" t="s">
        <v>15</v>
      </c>
      <c r="B4821" s="2">
        <f t="shared" si="313"/>
        <v>231</v>
      </c>
      <c r="C4821">
        <v>303</v>
      </c>
      <c r="D4821">
        <v>1106</v>
      </c>
      <c r="E4821">
        <v>90</v>
      </c>
      <c r="F4821">
        <f t="shared" si="311"/>
        <v>0.49735628000970922</v>
      </c>
      <c r="G4821">
        <f t="shared" si="312"/>
        <v>-0.69690167206921094</v>
      </c>
      <c r="I4821">
        <f t="shared" si="314"/>
        <v>-9.9772696029750862E-2</v>
      </c>
    </row>
    <row r="4822" spans="1:9">
      <c r="A4822" t="s">
        <v>16</v>
      </c>
      <c r="B4822" s="2">
        <f t="shared" si="313"/>
        <v>231</v>
      </c>
      <c r="C4822">
        <v>0</v>
      </c>
      <c r="D4822">
        <v>0</v>
      </c>
      <c r="E4822">
        <v>0</v>
      </c>
      <c r="F4822" t="e">
        <f t="shared" si="311"/>
        <v>#DIV/0!</v>
      </c>
      <c r="G4822" t="e">
        <f t="shared" si="312"/>
        <v>#DIV/0!</v>
      </c>
      <c r="I4822" t="e">
        <f t="shared" si="314"/>
        <v>#DIV/0!</v>
      </c>
    </row>
    <row r="4823" spans="1:9">
      <c r="A4823" t="s">
        <v>17</v>
      </c>
      <c r="B4823" s="2">
        <f t="shared" si="313"/>
        <v>231</v>
      </c>
      <c r="C4823">
        <v>0</v>
      </c>
      <c r="D4823">
        <v>0</v>
      </c>
      <c r="E4823">
        <v>0</v>
      </c>
      <c r="F4823" t="e">
        <f t="shared" si="311"/>
        <v>#DIV/0!</v>
      </c>
      <c r="G4823" t="e">
        <f t="shared" si="312"/>
        <v>#DIV/0!</v>
      </c>
      <c r="I4823" t="e">
        <f t="shared" si="314"/>
        <v>#DIV/0!</v>
      </c>
    </row>
    <row r="4824" spans="1:9">
      <c r="A4824" t="s">
        <v>18</v>
      </c>
      <c r="B4824" s="2">
        <f t="shared" si="313"/>
        <v>231</v>
      </c>
      <c r="C4824">
        <v>76</v>
      </c>
      <c r="D4824">
        <v>13</v>
      </c>
      <c r="E4824">
        <v>2</v>
      </c>
      <c r="F4824">
        <f t="shared" si="311"/>
        <v>-0.83182645843061975</v>
      </c>
      <c r="G4824">
        <f t="shared" si="312"/>
        <v>-1.7494851496230408</v>
      </c>
      <c r="I4824">
        <f t="shared" si="314"/>
        <v>-1.2906558040268303</v>
      </c>
    </row>
    <row r="4825" spans="1:9">
      <c r="A4825" t="s">
        <v>19</v>
      </c>
      <c r="B4825" s="2">
        <f t="shared" si="313"/>
        <v>231</v>
      </c>
      <c r="C4825">
        <v>1672</v>
      </c>
      <c r="D4825">
        <v>174</v>
      </c>
      <c r="E4825">
        <v>338</v>
      </c>
      <c r="F4825">
        <f t="shared" si="311"/>
        <v>-1.047643243277063</v>
      </c>
      <c r="G4825">
        <f t="shared" si="312"/>
        <v>-0.86402112583157353</v>
      </c>
      <c r="I4825">
        <f t="shared" si="314"/>
        <v>-0.95583218455431829</v>
      </c>
    </row>
    <row r="4826" spans="1:9">
      <c r="A4826" t="s">
        <v>20</v>
      </c>
      <c r="B4826" s="2">
        <f t="shared" si="313"/>
        <v>231</v>
      </c>
      <c r="C4826">
        <v>85</v>
      </c>
      <c r="D4826">
        <v>43</v>
      </c>
      <c r="E4826">
        <v>52</v>
      </c>
      <c r="F4826">
        <f t="shared" si="311"/>
        <v>-0.36090668859137143</v>
      </c>
      <c r="G4826">
        <f t="shared" si="312"/>
        <v>-0.38311713508572431</v>
      </c>
      <c r="I4826">
        <f t="shared" si="314"/>
        <v>-0.37201191183854787</v>
      </c>
    </row>
    <row r="4827" spans="1:9">
      <c r="A4827" t="s">
        <v>21</v>
      </c>
      <c r="B4827" s="2">
        <f t="shared" si="313"/>
        <v>231</v>
      </c>
      <c r="C4827">
        <v>189</v>
      </c>
      <c r="D4827">
        <v>1</v>
      </c>
      <c r="E4827">
        <v>0</v>
      </c>
      <c r="F4827">
        <f t="shared" si="311"/>
        <v>-2.3414180226299095</v>
      </c>
      <c r="G4827" t="e">
        <f t="shared" si="312"/>
        <v>#NUM!</v>
      </c>
      <c r="I4827" t="e">
        <f t="shared" si="314"/>
        <v>#NUM!</v>
      </c>
    </row>
    <row r="4828" spans="1:9">
      <c r="A4828" t="s">
        <v>22</v>
      </c>
      <c r="B4828" s="2">
        <f t="shared" si="313"/>
        <v>231</v>
      </c>
      <c r="C4828">
        <v>0</v>
      </c>
      <c r="D4828">
        <v>0</v>
      </c>
      <c r="E4828">
        <v>0</v>
      </c>
      <c r="F4828" t="e">
        <f t="shared" si="311"/>
        <v>#DIV/0!</v>
      </c>
      <c r="G4828" t="e">
        <f t="shared" si="312"/>
        <v>#DIV/0!</v>
      </c>
      <c r="I4828" t="e">
        <f t="shared" si="314"/>
        <v>#DIV/0!</v>
      </c>
    </row>
    <row r="4829" spans="1:9">
      <c r="A4829" t="s">
        <v>23</v>
      </c>
      <c r="B4829" s="2">
        <f t="shared" si="313"/>
        <v>231</v>
      </c>
      <c r="C4829">
        <v>596</v>
      </c>
      <c r="D4829">
        <v>1</v>
      </c>
      <c r="E4829">
        <v>2</v>
      </c>
      <c r="F4829">
        <f t="shared" si="311"/>
        <v>-2.8402024781969017</v>
      </c>
      <c r="G4829">
        <f t="shared" si="312"/>
        <v>-2.6439178170824862</v>
      </c>
      <c r="I4829">
        <f t="shared" si="314"/>
        <v>-2.7420601476396937</v>
      </c>
    </row>
    <row r="4830" spans="1:9">
      <c r="A4830" t="s">
        <v>24</v>
      </c>
      <c r="B4830" s="2">
        <f t="shared" si="313"/>
        <v>231</v>
      </c>
      <c r="C4830">
        <v>0</v>
      </c>
      <c r="D4830">
        <v>0</v>
      </c>
      <c r="E4830">
        <v>0</v>
      </c>
      <c r="F4830" t="e">
        <f t="shared" si="311"/>
        <v>#DIV/0!</v>
      </c>
      <c r="G4830" t="e">
        <f t="shared" si="312"/>
        <v>#DIV/0!</v>
      </c>
      <c r="I4830" t="e">
        <f t="shared" si="314"/>
        <v>#DIV/0!</v>
      </c>
    </row>
    <row r="4831" spans="1:9">
      <c r="A4831" t="s">
        <v>25</v>
      </c>
      <c r="B4831" s="2">
        <f t="shared" si="313"/>
        <v>231</v>
      </c>
      <c r="C4831">
        <v>0</v>
      </c>
      <c r="D4831">
        <v>0</v>
      </c>
      <c r="E4831">
        <v>0</v>
      </c>
      <c r="F4831" t="e">
        <f t="shared" si="311"/>
        <v>#DIV/0!</v>
      </c>
      <c r="G4831" t="e">
        <f t="shared" si="312"/>
        <v>#DIV/0!</v>
      </c>
      <c r="I4831" t="e">
        <f t="shared" si="314"/>
        <v>#DIV/0!</v>
      </c>
    </row>
    <row r="4832" spans="1:9">
      <c r="A4832" t="s">
        <v>7</v>
      </c>
      <c r="B4832" s="2">
        <f t="shared" si="313"/>
        <v>232</v>
      </c>
      <c r="C4832">
        <v>2</v>
      </c>
      <c r="D4832">
        <v>2</v>
      </c>
      <c r="E4832">
        <v>0</v>
      </c>
      <c r="F4832">
        <f t="shared" si="311"/>
        <v>-6.4956218456665188E-2</v>
      </c>
      <c r="G4832" t="e">
        <f t="shared" si="312"/>
        <v>#NUM!</v>
      </c>
      <c r="I4832" t="e">
        <f t="shared" si="314"/>
        <v>#NUM!</v>
      </c>
    </row>
    <row r="4833" spans="1:9">
      <c r="A4833" t="s">
        <v>8</v>
      </c>
      <c r="B4833" s="2">
        <f t="shared" si="313"/>
        <v>232</v>
      </c>
      <c r="C4833">
        <v>57</v>
      </c>
      <c r="D4833">
        <v>2</v>
      </c>
      <c r="E4833">
        <v>1</v>
      </c>
      <c r="F4833">
        <f t="shared" si="311"/>
        <v>-1.5198010784651754</v>
      </c>
      <c r="G4833">
        <f t="shared" si="312"/>
        <v>-1.9255764086787222</v>
      </c>
      <c r="I4833">
        <f t="shared" si="314"/>
        <v>-1.7226887435719487</v>
      </c>
    </row>
    <row r="4834" spans="1:9">
      <c r="A4834" t="s">
        <v>5</v>
      </c>
      <c r="B4834" s="2">
        <f t="shared" si="313"/>
        <v>232</v>
      </c>
      <c r="C4834">
        <v>105</v>
      </c>
      <c r="D4834">
        <v>1097</v>
      </c>
      <c r="E4834">
        <v>447</v>
      </c>
      <c r="F4834">
        <f t="shared" si="311"/>
        <v>0.95406111004810779</v>
      </c>
      <c r="G4834">
        <f t="shared" si="312"/>
        <v>0.45941667105576761</v>
      </c>
      <c r="I4834">
        <f t="shared" si="314"/>
        <v>0.70673889055193773</v>
      </c>
    </row>
    <row r="4835" spans="1:9">
      <c r="A4835" t="s">
        <v>6</v>
      </c>
      <c r="B4835" s="2">
        <f t="shared" si="313"/>
        <v>232</v>
      </c>
      <c r="C4835">
        <v>20</v>
      </c>
      <c r="D4835">
        <v>18</v>
      </c>
      <c r="E4835">
        <v>27</v>
      </c>
      <c r="F4835">
        <f t="shared" si="311"/>
        <v>-0.1107137090173403</v>
      </c>
      <c r="G4835">
        <f t="shared" si="312"/>
        <v>-3.9367784511224607E-2</v>
      </c>
      <c r="I4835">
        <f t="shared" si="314"/>
        <v>-7.5040746764282462E-2</v>
      </c>
    </row>
    <row r="4836" spans="1:9">
      <c r="A4836" t="s">
        <v>10</v>
      </c>
      <c r="B4836" s="2">
        <f t="shared" si="313"/>
        <v>232</v>
      </c>
      <c r="C4836">
        <v>219</v>
      </c>
      <c r="D4836">
        <v>33</v>
      </c>
      <c r="E4836">
        <v>114</v>
      </c>
      <c r="F4836">
        <f t="shared" si="311"/>
        <v>-0.88688639341889608</v>
      </c>
      <c r="G4836">
        <f t="shared" si="312"/>
        <v>-0.45324081650987652</v>
      </c>
      <c r="I4836">
        <f t="shared" si="314"/>
        <v>-0.67006360496438633</v>
      </c>
    </row>
    <row r="4837" spans="1:9">
      <c r="A4837" t="s">
        <v>11</v>
      </c>
      <c r="B4837" s="2">
        <f t="shared" si="313"/>
        <v>232</v>
      </c>
      <c r="C4837">
        <v>461</v>
      </c>
      <c r="D4837">
        <v>435</v>
      </c>
      <c r="E4837">
        <v>332</v>
      </c>
      <c r="F4837">
        <f t="shared" si="311"/>
        <v>-9.0167886891676E-2</v>
      </c>
      <c r="G4837">
        <f t="shared" si="312"/>
        <v>-0.31226439469184264</v>
      </c>
      <c r="I4837">
        <f t="shared" si="314"/>
        <v>-0.20121614079175931</v>
      </c>
    </row>
    <row r="4838" spans="1:9">
      <c r="A4838" t="s">
        <v>12</v>
      </c>
      <c r="B4838" s="2">
        <f t="shared" si="313"/>
        <v>232</v>
      </c>
      <c r="C4838">
        <v>70</v>
      </c>
      <c r="D4838">
        <v>55</v>
      </c>
      <c r="E4838">
        <v>103</v>
      </c>
      <c r="F4838">
        <f t="shared" si="311"/>
        <v>-0.1696915689766782</v>
      </c>
      <c r="G4838">
        <f t="shared" si="312"/>
        <v>-1.9623683153153493E-3</v>
      </c>
      <c r="I4838">
        <f t="shared" si="314"/>
        <v>-8.5826968645996773E-2</v>
      </c>
    </row>
    <row r="4839" spans="1:9">
      <c r="A4839" t="s">
        <v>9</v>
      </c>
      <c r="B4839" s="2">
        <f t="shared" si="313"/>
        <v>232</v>
      </c>
      <c r="C4839">
        <v>0</v>
      </c>
      <c r="D4839">
        <v>0</v>
      </c>
      <c r="E4839">
        <v>0</v>
      </c>
      <c r="F4839" t="e">
        <f t="shared" si="311"/>
        <v>#DIV/0!</v>
      </c>
      <c r="G4839" t="e">
        <f t="shared" si="312"/>
        <v>#DIV/0!</v>
      </c>
      <c r="I4839" t="e">
        <f t="shared" si="314"/>
        <v>#DIV/0!</v>
      </c>
    </row>
    <row r="4840" spans="1:9">
      <c r="A4840" t="s">
        <v>13</v>
      </c>
      <c r="B4840" s="2">
        <f t="shared" si="313"/>
        <v>232</v>
      </c>
      <c r="C4840">
        <v>78</v>
      </c>
      <c r="D4840">
        <v>0</v>
      </c>
      <c r="E4840">
        <v>3</v>
      </c>
      <c r="F4840" t="e">
        <f t="shared" si="311"/>
        <v>#NUM!</v>
      </c>
      <c r="G4840">
        <f t="shared" si="312"/>
        <v>-1.5846749009770487</v>
      </c>
      <c r="I4840" t="e">
        <f t="shared" si="314"/>
        <v>#NUM!</v>
      </c>
    </row>
    <row r="4841" spans="1:9">
      <c r="A4841" t="s">
        <v>14</v>
      </c>
      <c r="B4841" s="2">
        <f t="shared" si="313"/>
        <v>232</v>
      </c>
      <c r="C4841">
        <v>122</v>
      </c>
      <c r="D4841">
        <v>21</v>
      </c>
      <c r="E4841">
        <v>4</v>
      </c>
      <c r="F4841">
        <f t="shared" si="311"/>
        <v>-0.8290967543974942</v>
      </c>
      <c r="G4841">
        <f t="shared" si="312"/>
        <v>-1.6540013923530166</v>
      </c>
      <c r="I4841">
        <f t="shared" si="314"/>
        <v>-1.2415490733752554</v>
      </c>
    </row>
    <row r="4842" spans="1:9">
      <c r="A4842" t="s">
        <v>15</v>
      </c>
      <c r="B4842" s="2">
        <f t="shared" si="313"/>
        <v>232</v>
      </c>
      <c r="C4842">
        <v>8781</v>
      </c>
      <c r="D4842">
        <v>8693</v>
      </c>
      <c r="E4842">
        <v>5424</v>
      </c>
      <c r="F4842">
        <f t="shared" si="311"/>
        <v>-6.9330515984942109E-2</v>
      </c>
      <c r="G4842">
        <f t="shared" si="312"/>
        <v>-0.37892584930067819</v>
      </c>
      <c r="I4842">
        <f t="shared" si="314"/>
        <v>-0.22412818264281015</v>
      </c>
    </row>
    <row r="4843" spans="1:9">
      <c r="A4843" t="s">
        <v>16</v>
      </c>
      <c r="B4843" s="2">
        <f t="shared" si="313"/>
        <v>232</v>
      </c>
      <c r="C4843">
        <v>1182</v>
      </c>
      <c r="D4843">
        <v>365</v>
      </c>
      <c r="E4843">
        <v>1073</v>
      </c>
      <c r="F4843">
        <f t="shared" si="311"/>
        <v>-0.57528083054542711</v>
      </c>
      <c r="G4843">
        <f t="shared" si="312"/>
        <v>-0.21171930758551624</v>
      </c>
      <c r="I4843">
        <f t="shared" si="314"/>
        <v>-0.39350006906547169</v>
      </c>
    </row>
    <row r="4844" spans="1:9">
      <c r="A4844" t="s">
        <v>17</v>
      </c>
      <c r="B4844" s="2">
        <f t="shared" si="313"/>
        <v>232</v>
      </c>
      <c r="C4844">
        <v>0</v>
      </c>
      <c r="D4844">
        <v>0</v>
      </c>
      <c r="E4844">
        <v>0</v>
      </c>
      <c r="F4844" t="e">
        <f t="shared" si="311"/>
        <v>#DIV/0!</v>
      </c>
      <c r="G4844" t="e">
        <f t="shared" si="312"/>
        <v>#DIV/0!</v>
      </c>
      <c r="I4844" t="e">
        <f t="shared" si="314"/>
        <v>#DIV/0!</v>
      </c>
    </row>
    <row r="4845" spans="1:9">
      <c r="A4845" t="s">
        <v>18</v>
      </c>
      <c r="B4845" s="2">
        <f t="shared" si="313"/>
        <v>232</v>
      </c>
      <c r="C4845">
        <v>716</v>
      </c>
      <c r="D4845">
        <v>596</v>
      </c>
      <c r="E4845">
        <v>2545</v>
      </c>
      <c r="F4845">
        <f t="shared" si="311"/>
        <v>-0.14462298102428434</v>
      </c>
      <c r="G4845">
        <f t="shared" si="312"/>
        <v>0.38107321135869127</v>
      </c>
      <c r="I4845">
        <f t="shared" si="314"/>
        <v>0.11822511516720347</v>
      </c>
    </row>
    <row r="4846" spans="1:9">
      <c r="A4846" t="s">
        <v>19</v>
      </c>
      <c r="B4846" s="2">
        <f t="shared" si="313"/>
        <v>232</v>
      </c>
      <c r="C4846">
        <v>626</v>
      </c>
      <c r="D4846">
        <v>44</v>
      </c>
      <c r="E4846">
        <v>103</v>
      </c>
      <c r="F4846">
        <f t="shared" si="311"/>
        <v>-1.2180778751809074</v>
      </c>
      <c r="G4846">
        <f t="shared" si="312"/>
        <v>-0.95343866151148826</v>
      </c>
      <c r="I4846">
        <f t="shared" si="314"/>
        <v>-1.0857582683461979</v>
      </c>
    </row>
    <row r="4847" spans="1:9">
      <c r="A4847" t="s">
        <v>20</v>
      </c>
      <c r="B4847" s="2">
        <f t="shared" si="313"/>
        <v>232</v>
      </c>
      <c r="C4847">
        <v>178</v>
      </c>
      <c r="D4847">
        <v>56</v>
      </c>
      <c r="E4847">
        <v>106</v>
      </c>
      <c r="F4847">
        <f t="shared" si="311"/>
        <v>-0.56718819375935881</v>
      </c>
      <c r="G4847">
        <f t="shared" si="312"/>
        <v>-0.39481569005035444</v>
      </c>
      <c r="I4847">
        <f t="shared" si="314"/>
        <v>-0.48100194190485662</v>
      </c>
    </row>
    <row r="4848" spans="1:9">
      <c r="A4848" t="s">
        <v>21</v>
      </c>
      <c r="B4848" s="2">
        <f t="shared" si="313"/>
        <v>232</v>
      </c>
      <c r="C4848">
        <v>86</v>
      </c>
      <c r="D4848">
        <v>0</v>
      </c>
      <c r="E4848">
        <v>0</v>
      </c>
      <c r="F4848" t="e">
        <f t="shared" si="311"/>
        <v>#NUM!</v>
      </c>
      <c r="G4848" t="e">
        <f t="shared" si="312"/>
        <v>#NUM!</v>
      </c>
      <c r="I4848" t="e">
        <f t="shared" si="314"/>
        <v>#NUM!</v>
      </c>
    </row>
    <row r="4849" spans="1:9">
      <c r="A4849" t="s">
        <v>22</v>
      </c>
      <c r="B4849" s="2">
        <f t="shared" si="313"/>
        <v>232</v>
      </c>
      <c r="C4849">
        <v>0</v>
      </c>
      <c r="D4849">
        <v>0</v>
      </c>
      <c r="E4849">
        <v>0</v>
      </c>
      <c r="F4849" t="e">
        <f t="shared" si="311"/>
        <v>#DIV/0!</v>
      </c>
      <c r="G4849" t="e">
        <f t="shared" si="312"/>
        <v>#DIV/0!</v>
      </c>
      <c r="I4849" t="e">
        <f t="shared" si="314"/>
        <v>#DIV/0!</v>
      </c>
    </row>
    <row r="4850" spans="1:9">
      <c r="A4850" t="s">
        <v>23</v>
      </c>
      <c r="B4850" s="2">
        <f t="shared" si="313"/>
        <v>232</v>
      </c>
      <c r="C4850">
        <v>66</v>
      </c>
      <c r="D4850">
        <v>17</v>
      </c>
      <c r="E4850">
        <v>2</v>
      </c>
      <c r="F4850">
        <f t="shared" si="311"/>
        <v>-0.65405123262025999</v>
      </c>
      <c r="G4850">
        <f t="shared" si="312"/>
        <v>-1.6882154928841182</v>
      </c>
      <c r="I4850">
        <f t="shared" si="314"/>
        <v>-1.1711333627521892</v>
      </c>
    </row>
    <row r="4851" spans="1:9">
      <c r="A4851" t="s">
        <v>24</v>
      </c>
      <c r="B4851" s="2">
        <f t="shared" si="313"/>
        <v>232</v>
      </c>
      <c r="C4851">
        <v>0</v>
      </c>
      <c r="D4851">
        <v>0</v>
      </c>
      <c r="E4851">
        <v>0</v>
      </c>
      <c r="F4851" t="e">
        <f t="shared" si="311"/>
        <v>#DIV/0!</v>
      </c>
      <c r="G4851" t="e">
        <f t="shared" si="312"/>
        <v>#DIV/0!</v>
      </c>
      <c r="I4851" t="e">
        <f t="shared" si="314"/>
        <v>#DIV/0!</v>
      </c>
    </row>
    <row r="4852" spans="1:9">
      <c r="A4852" t="s">
        <v>25</v>
      </c>
      <c r="B4852" s="2">
        <f t="shared" si="313"/>
        <v>232</v>
      </c>
      <c r="C4852">
        <v>49</v>
      </c>
      <c r="D4852">
        <v>0</v>
      </c>
      <c r="E4852">
        <v>0</v>
      </c>
      <c r="F4852" t="e">
        <f t="shared" si="311"/>
        <v>#NUM!</v>
      </c>
      <c r="G4852" t="e">
        <f t="shared" si="312"/>
        <v>#NUM!</v>
      </c>
      <c r="I4852" t="e">
        <f t="shared" si="314"/>
        <v>#NUM!</v>
      </c>
    </row>
    <row r="4853" spans="1:9">
      <c r="B4853" s="2"/>
    </row>
    <row r="4854" spans="1:9">
      <c r="B4854" s="2"/>
    </row>
    <row r="4855" spans="1:9">
      <c r="B4855" s="2"/>
    </row>
    <row r="4856" spans="1:9">
      <c r="B4856" s="2"/>
    </row>
    <row r="4857" spans="1:9">
      <c r="B4857" s="2"/>
    </row>
    <row r="4858" spans="1:9">
      <c r="B4858" s="2"/>
    </row>
    <row r="4859" spans="1:9">
      <c r="B4859" s="2"/>
    </row>
    <row r="4860" spans="1:9">
      <c r="B4860" s="2"/>
    </row>
    <row r="4861" spans="1:9">
      <c r="B4861" s="2"/>
    </row>
    <row r="4862" spans="1:9">
      <c r="B4862" s="2"/>
    </row>
    <row r="4863" spans="1:9">
      <c r="B4863" s="2"/>
    </row>
    <row r="4864" spans="1:9">
      <c r="B4864" s="2"/>
    </row>
    <row r="4865" spans="2:2">
      <c r="B4865" s="2"/>
    </row>
    <row r="4866" spans="2:2">
      <c r="B4866" s="2"/>
    </row>
    <row r="4867" spans="2:2">
      <c r="B4867" s="2"/>
    </row>
    <row r="4868" spans="2:2">
      <c r="B4868" s="2"/>
    </row>
    <row r="4869" spans="2:2">
      <c r="B4869" s="2"/>
    </row>
    <row r="4870" spans="2:2">
      <c r="B4870" s="2"/>
    </row>
    <row r="4871" spans="2:2">
      <c r="B4871" s="2"/>
    </row>
    <row r="4872" spans="2:2">
      <c r="B4872" s="2"/>
    </row>
    <row r="4873" spans="2:2">
      <c r="B4873" s="2"/>
    </row>
    <row r="4874" spans="2:2">
      <c r="B4874" s="2"/>
    </row>
    <row r="4875" spans="2:2">
      <c r="B4875" s="2"/>
    </row>
    <row r="4876" spans="2:2">
      <c r="B4876" s="2"/>
    </row>
    <row r="4877" spans="2:2">
      <c r="B4877" s="2"/>
    </row>
    <row r="4878" spans="2:2">
      <c r="B4878" s="2"/>
    </row>
    <row r="4879" spans="2:2">
      <c r="B4879" s="2"/>
    </row>
    <row r="4880" spans="2:2">
      <c r="B4880" s="2"/>
    </row>
    <row r="4881" spans="2:2">
      <c r="B4881" s="2"/>
    </row>
    <row r="4882" spans="2:2">
      <c r="B4882" s="2"/>
    </row>
    <row r="4883" spans="2:2">
      <c r="B4883" s="2"/>
    </row>
    <row r="4884" spans="2:2">
      <c r="B4884" s="2"/>
    </row>
    <row r="4885" spans="2:2">
      <c r="B4885" s="2"/>
    </row>
    <row r="4886" spans="2:2">
      <c r="B4886" s="2"/>
    </row>
    <row r="4887" spans="2:2">
      <c r="B4887" s="2"/>
    </row>
    <row r="4888" spans="2:2">
      <c r="B4888" s="2"/>
    </row>
    <row r="4889" spans="2:2">
      <c r="B4889" s="2"/>
    </row>
    <row r="4890" spans="2:2">
      <c r="B4890" s="2"/>
    </row>
    <row r="4891" spans="2:2">
      <c r="B4891" s="2"/>
    </row>
    <row r="4892" spans="2:2">
      <c r="B4892" s="2"/>
    </row>
    <row r="4893" spans="2:2">
      <c r="B4893" s="2"/>
    </row>
    <row r="4894" spans="2:2">
      <c r="B4894" s="2"/>
    </row>
    <row r="4895" spans="2:2">
      <c r="B4895" s="2"/>
    </row>
    <row r="4896" spans="2:2">
      <c r="B4896" s="2"/>
    </row>
    <row r="4897" spans="2:2">
      <c r="B4897" s="2"/>
    </row>
    <row r="4898" spans="2:2">
      <c r="B4898" s="2"/>
    </row>
    <row r="4899" spans="2:2">
      <c r="B4899" s="2"/>
    </row>
    <row r="4900" spans="2:2">
      <c r="B4900" s="2"/>
    </row>
    <row r="4901" spans="2:2">
      <c r="B4901" s="2"/>
    </row>
    <row r="4902" spans="2:2">
      <c r="B4902" s="2"/>
    </row>
    <row r="4903" spans="2:2">
      <c r="B4903" s="2"/>
    </row>
    <row r="4904" spans="2:2">
      <c r="B4904" s="2"/>
    </row>
    <row r="4905" spans="2:2">
      <c r="B4905" s="2"/>
    </row>
    <row r="4906" spans="2:2">
      <c r="B4906" s="2"/>
    </row>
    <row r="4907" spans="2:2">
      <c r="B4907" s="2"/>
    </row>
    <row r="4908" spans="2:2">
      <c r="B4908" s="2"/>
    </row>
    <row r="4909" spans="2:2">
      <c r="B4909" s="2"/>
    </row>
    <row r="4910" spans="2:2">
      <c r="B4910" s="2"/>
    </row>
    <row r="4911" spans="2:2">
      <c r="B4911" s="2"/>
    </row>
    <row r="4912" spans="2:2">
      <c r="B4912" s="2"/>
    </row>
    <row r="4913" spans="2:2">
      <c r="B4913" s="2"/>
    </row>
    <row r="4914" spans="2:2">
      <c r="B4914" s="2"/>
    </row>
    <row r="4915" spans="2:2">
      <c r="B4915" s="2"/>
    </row>
    <row r="4916" spans="2:2">
      <c r="B4916" s="2"/>
    </row>
    <row r="4917" spans="2:2">
      <c r="B4917" s="2"/>
    </row>
    <row r="4918" spans="2:2">
      <c r="B4918" s="2"/>
    </row>
    <row r="4919" spans="2:2">
      <c r="B4919" s="2"/>
    </row>
    <row r="4920" spans="2:2">
      <c r="B4920" s="2"/>
    </row>
    <row r="4921" spans="2:2">
      <c r="B4921" s="2"/>
    </row>
    <row r="4922" spans="2:2">
      <c r="B4922" s="2"/>
    </row>
    <row r="4923" spans="2:2">
      <c r="B4923" s="2"/>
    </row>
    <row r="4924" spans="2:2">
      <c r="B4924" s="2"/>
    </row>
    <row r="4925" spans="2:2">
      <c r="B4925" s="2"/>
    </row>
    <row r="4926" spans="2:2">
      <c r="B4926" s="2"/>
    </row>
    <row r="4927" spans="2:2">
      <c r="B4927" s="2"/>
    </row>
    <row r="4928" spans="2:2">
      <c r="B4928" s="2"/>
    </row>
    <row r="4929" spans="2:2">
      <c r="B4929" s="2"/>
    </row>
    <row r="4930" spans="2:2">
      <c r="B4930" s="2"/>
    </row>
    <row r="4931" spans="2:2">
      <c r="B4931" s="2"/>
    </row>
    <row r="4932" spans="2:2">
      <c r="B4932" s="2"/>
    </row>
    <row r="4933" spans="2:2">
      <c r="B4933" s="2"/>
    </row>
    <row r="4934" spans="2:2">
      <c r="B4934" s="2"/>
    </row>
    <row r="4935" spans="2:2">
      <c r="B4935" s="2"/>
    </row>
    <row r="4936" spans="2:2">
      <c r="B4936" s="2"/>
    </row>
    <row r="4937" spans="2:2">
      <c r="B4937" s="2"/>
    </row>
    <row r="4938" spans="2:2">
      <c r="B4938" s="2"/>
    </row>
    <row r="4939" spans="2:2">
      <c r="B4939" s="2"/>
    </row>
    <row r="4940" spans="2:2">
      <c r="B4940" s="2"/>
    </row>
    <row r="4941" spans="2:2">
      <c r="B4941" s="2"/>
    </row>
    <row r="4942" spans="2:2">
      <c r="B4942" s="2"/>
    </row>
    <row r="4943" spans="2:2">
      <c r="B4943" s="2"/>
    </row>
    <row r="4944" spans="2:2">
      <c r="B4944" s="2"/>
    </row>
    <row r="4945" spans="2:2">
      <c r="B4945" s="2"/>
    </row>
    <row r="4946" spans="2:2">
      <c r="B4946" s="2"/>
    </row>
    <row r="4947" spans="2:2">
      <c r="B4947" s="2"/>
    </row>
    <row r="4948" spans="2:2">
      <c r="B4948" s="2"/>
    </row>
    <row r="4949" spans="2:2">
      <c r="B4949" s="2"/>
    </row>
    <row r="4950" spans="2:2">
      <c r="B4950" s="2"/>
    </row>
    <row r="4951" spans="2:2">
      <c r="B4951" s="2"/>
    </row>
    <row r="4952" spans="2:2">
      <c r="B4952" s="2"/>
    </row>
    <row r="4953" spans="2:2">
      <c r="B4953" s="2"/>
    </row>
    <row r="4954" spans="2:2">
      <c r="B4954" s="2"/>
    </row>
    <row r="4955" spans="2:2">
      <c r="B4955" s="2"/>
    </row>
    <row r="4956" spans="2:2">
      <c r="B4956" s="2"/>
    </row>
    <row r="4957" spans="2:2">
      <c r="B4957" s="2"/>
    </row>
    <row r="4958" spans="2:2">
      <c r="B4958" s="2"/>
    </row>
    <row r="4959" spans="2:2">
      <c r="B4959" s="2"/>
    </row>
    <row r="4960" spans="2:2">
      <c r="B4960" s="2"/>
    </row>
    <row r="4961" spans="2:2">
      <c r="B4961" s="2"/>
    </row>
    <row r="4962" spans="2:2">
      <c r="B4962" s="2"/>
    </row>
    <row r="4963" spans="2:2">
      <c r="B4963" s="2"/>
    </row>
    <row r="4964" spans="2:2">
      <c r="B4964" s="2"/>
    </row>
    <row r="4965" spans="2:2">
      <c r="B4965" s="2"/>
    </row>
    <row r="4966" spans="2:2">
      <c r="B4966" s="2"/>
    </row>
    <row r="4967" spans="2:2">
      <c r="B4967" s="2"/>
    </row>
    <row r="4968" spans="2:2">
      <c r="B4968" s="2"/>
    </row>
    <row r="4969" spans="2:2">
      <c r="B4969" s="2"/>
    </row>
    <row r="4970" spans="2:2">
      <c r="B4970" s="2"/>
    </row>
    <row r="4971" spans="2:2">
      <c r="B4971" s="2"/>
    </row>
    <row r="4972" spans="2:2">
      <c r="B4972" s="2"/>
    </row>
    <row r="4973" spans="2:2">
      <c r="B4973" s="2"/>
    </row>
    <row r="4974" spans="2:2">
      <c r="B4974" s="2"/>
    </row>
    <row r="4975" spans="2:2">
      <c r="B4975" s="2"/>
    </row>
    <row r="4976" spans="2:2">
      <c r="B4976" s="2"/>
    </row>
    <row r="4977" spans="2:2">
      <c r="B4977" s="2"/>
    </row>
    <row r="4978" spans="2:2">
      <c r="B4978" s="2"/>
    </row>
    <row r="4979" spans="2:2">
      <c r="B4979" s="2"/>
    </row>
    <row r="4980" spans="2:2">
      <c r="B4980" s="2"/>
    </row>
    <row r="4981" spans="2:2">
      <c r="B4981" s="2"/>
    </row>
    <row r="4982" spans="2:2">
      <c r="B4982" s="2"/>
    </row>
    <row r="4983" spans="2:2">
      <c r="B4983" s="2"/>
    </row>
    <row r="4984" spans="2:2">
      <c r="B4984" s="2"/>
    </row>
    <row r="4985" spans="2:2">
      <c r="B4985" s="2"/>
    </row>
    <row r="4986" spans="2:2">
      <c r="B4986" s="2"/>
    </row>
    <row r="4987" spans="2:2">
      <c r="B4987" s="2"/>
    </row>
    <row r="4988" spans="2:2">
      <c r="B4988" s="2"/>
    </row>
    <row r="4989" spans="2:2">
      <c r="B4989" s="2"/>
    </row>
    <row r="4990" spans="2:2">
      <c r="B4990" s="2"/>
    </row>
    <row r="4991" spans="2:2">
      <c r="B4991" s="2"/>
    </row>
    <row r="4992" spans="2:2">
      <c r="B4992" s="2"/>
    </row>
    <row r="4993" spans="2:2">
      <c r="B4993" s="2"/>
    </row>
    <row r="4994" spans="2:2">
      <c r="B4994" s="2"/>
    </row>
    <row r="4995" spans="2:2">
      <c r="B4995" s="2"/>
    </row>
    <row r="4996" spans="2:2">
      <c r="B4996" s="2"/>
    </row>
    <row r="4997" spans="2:2">
      <c r="B4997" s="2"/>
    </row>
    <row r="4998" spans="2:2">
      <c r="B4998" s="2"/>
    </row>
    <row r="4999" spans="2:2">
      <c r="B4999" s="2"/>
    </row>
    <row r="5000" spans="2:2">
      <c r="B5000" s="2"/>
    </row>
    <row r="5001" spans="2:2">
      <c r="B5001" s="2"/>
    </row>
    <row r="5002" spans="2:2">
      <c r="B5002" s="2"/>
    </row>
    <row r="5003" spans="2:2">
      <c r="B5003" s="2"/>
    </row>
    <row r="5004" spans="2:2">
      <c r="B5004" s="2"/>
    </row>
    <row r="5005" spans="2:2">
      <c r="B5005" s="2"/>
    </row>
    <row r="5006" spans="2:2">
      <c r="B5006" s="2"/>
    </row>
    <row r="5007" spans="2:2">
      <c r="B5007" s="2"/>
    </row>
    <row r="5008" spans="2:2">
      <c r="B5008" s="2"/>
    </row>
    <row r="5009" spans="2:2">
      <c r="B5009" s="2"/>
    </row>
    <row r="5010" spans="2:2">
      <c r="B5010" s="2"/>
    </row>
    <row r="5011" spans="2:2">
      <c r="B5011" s="2"/>
    </row>
    <row r="5012" spans="2:2">
      <c r="B5012" s="2"/>
    </row>
    <row r="5013" spans="2:2">
      <c r="B5013" s="2"/>
    </row>
    <row r="5014" spans="2:2">
      <c r="B5014" s="2"/>
    </row>
    <row r="5015" spans="2:2">
      <c r="B5015" s="2"/>
    </row>
    <row r="5016" spans="2:2">
      <c r="B5016" s="2"/>
    </row>
    <row r="5017" spans="2:2">
      <c r="B5017" s="2"/>
    </row>
    <row r="5018" spans="2:2">
      <c r="B5018" s="2"/>
    </row>
    <row r="5019" spans="2:2">
      <c r="B5019" s="2"/>
    </row>
    <row r="5020" spans="2:2">
      <c r="B5020" s="2"/>
    </row>
    <row r="5021" spans="2:2">
      <c r="B5021" s="2"/>
    </row>
    <row r="5022" spans="2:2">
      <c r="B5022" s="2"/>
    </row>
    <row r="5023" spans="2:2">
      <c r="B5023" s="2"/>
    </row>
    <row r="5024" spans="2:2">
      <c r="B5024" s="2"/>
    </row>
    <row r="5025" spans="2:2">
      <c r="B5025" s="2"/>
    </row>
    <row r="5026" spans="2:2">
      <c r="B5026" s="2"/>
    </row>
    <row r="5027" spans="2:2">
      <c r="B5027" s="2"/>
    </row>
    <row r="5028" spans="2:2">
      <c r="B5028" s="2"/>
    </row>
    <row r="5029" spans="2:2">
      <c r="B5029" s="2"/>
    </row>
    <row r="5030" spans="2:2">
      <c r="B5030" s="2"/>
    </row>
    <row r="5031" spans="2:2">
      <c r="B5031" s="2"/>
    </row>
    <row r="5032" spans="2:2">
      <c r="B5032" s="2"/>
    </row>
    <row r="5033" spans="2:2">
      <c r="B5033" s="2"/>
    </row>
    <row r="5034" spans="2:2">
      <c r="B5034" s="2"/>
    </row>
    <row r="5035" spans="2:2">
      <c r="B5035" s="2"/>
    </row>
    <row r="5036" spans="2:2">
      <c r="B5036" s="2"/>
    </row>
    <row r="5037" spans="2:2">
      <c r="B5037" s="2"/>
    </row>
    <row r="5038" spans="2:2">
      <c r="B5038" s="2"/>
    </row>
    <row r="5039" spans="2:2">
      <c r="B5039" s="2"/>
    </row>
    <row r="5040" spans="2:2">
      <c r="B5040" s="2"/>
    </row>
    <row r="5041" spans="2:2">
      <c r="B5041" s="2"/>
    </row>
    <row r="5042" spans="2:2">
      <c r="B5042" s="2"/>
    </row>
    <row r="5043" spans="2:2">
      <c r="B5043" s="2"/>
    </row>
    <row r="5044" spans="2:2">
      <c r="B5044" s="2"/>
    </row>
    <row r="5045" spans="2:2">
      <c r="B5045" s="2"/>
    </row>
    <row r="5046" spans="2:2">
      <c r="B5046" s="2"/>
    </row>
    <row r="5047" spans="2:2">
      <c r="B5047" s="2"/>
    </row>
    <row r="5048" spans="2:2">
      <c r="B5048" s="2"/>
    </row>
    <row r="5049" spans="2:2">
      <c r="B5049" s="2"/>
    </row>
    <row r="5050" spans="2:2">
      <c r="B5050" s="2"/>
    </row>
    <row r="5051" spans="2:2">
      <c r="B5051" s="2"/>
    </row>
    <row r="5052" spans="2:2">
      <c r="B5052" s="2"/>
    </row>
    <row r="5053" spans="2:2">
      <c r="B5053" s="2"/>
    </row>
    <row r="5054" spans="2:2">
      <c r="B5054" s="2"/>
    </row>
    <row r="5055" spans="2:2">
      <c r="B5055" s="2"/>
    </row>
    <row r="5056" spans="2:2">
      <c r="B5056" s="2"/>
    </row>
    <row r="5057" spans="2:2">
      <c r="B5057" s="2"/>
    </row>
    <row r="5058" spans="2:2">
      <c r="B5058" s="2"/>
    </row>
    <row r="5059" spans="2:2">
      <c r="B5059" s="2"/>
    </row>
    <row r="5060" spans="2:2">
      <c r="B5060" s="2"/>
    </row>
    <row r="5061" spans="2:2">
      <c r="B5061" s="2"/>
    </row>
    <row r="5062" spans="2:2">
      <c r="B5062" s="2"/>
    </row>
    <row r="5063" spans="2:2">
      <c r="B5063" s="2"/>
    </row>
    <row r="5064" spans="2:2">
      <c r="B5064" s="2"/>
    </row>
    <row r="5065" spans="2:2">
      <c r="B5065" s="2"/>
    </row>
    <row r="5066" spans="2:2">
      <c r="B5066" s="2"/>
    </row>
    <row r="5067" spans="2:2">
      <c r="B5067" s="2"/>
    </row>
    <row r="5068" spans="2:2">
      <c r="B5068" s="2"/>
    </row>
    <row r="5069" spans="2:2">
      <c r="B5069" s="2"/>
    </row>
    <row r="5070" spans="2:2">
      <c r="B5070" s="2"/>
    </row>
    <row r="5071" spans="2:2">
      <c r="B5071" s="2"/>
    </row>
    <row r="5072" spans="2:2">
      <c r="B5072" s="2"/>
    </row>
    <row r="5073" spans="2:2">
      <c r="B5073" s="2"/>
    </row>
    <row r="5074" spans="2:2">
      <c r="B5074" s="2"/>
    </row>
    <row r="5075" spans="2:2">
      <c r="B5075" s="2"/>
    </row>
    <row r="5076" spans="2:2">
      <c r="B5076" s="2"/>
    </row>
    <row r="5077" spans="2:2">
      <c r="B5077" s="2"/>
    </row>
    <row r="5078" spans="2:2">
      <c r="B5078" s="2"/>
    </row>
    <row r="5079" spans="2:2">
      <c r="B5079" s="2"/>
    </row>
    <row r="5080" spans="2:2">
      <c r="B5080" s="2"/>
    </row>
    <row r="5081" spans="2:2">
      <c r="B5081" s="2"/>
    </row>
    <row r="5082" spans="2:2">
      <c r="B5082" s="2"/>
    </row>
    <row r="5083" spans="2:2">
      <c r="B5083" s="2"/>
    </row>
    <row r="5084" spans="2:2">
      <c r="B5084" s="2"/>
    </row>
    <row r="5085" spans="2:2">
      <c r="B5085" s="2"/>
    </row>
    <row r="5086" spans="2:2">
      <c r="B5086" s="2"/>
    </row>
    <row r="5087" spans="2:2">
      <c r="B5087" s="2"/>
    </row>
    <row r="5088" spans="2:2">
      <c r="B5088" s="2"/>
    </row>
    <row r="5089" spans="2:2">
      <c r="B5089" s="2"/>
    </row>
    <row r="5090" spans="2:2">
      <c r="B5090" s="2"/>
    </row>
    <row r="5091" spans="2:2">
      <c r="B5091" s="2"/>
    </row>
    <row r="5092" spans="2:2">
      <c r="B5092" s="2"/>
    </row>
    <row r="5093" spans="2:2">
      <c r="B5093" s="2"/>
    </row>
    <row r="5094" spans="2:2">
      <c r="B5094" s="2"/>
    </row>
    <row r="5095" spans="2:2">
      <c r="B5095" s="2"/>
    </row>
    <row r="5096" spans="2:2">
      <c r="B5096" s="2"/>
    </row>
    <row r="5097" spans="2:2">
      <c r="B5097" s="2"/>
    </row>
    <row r="5098" spans="2:2">
      <c r="B5098" s="2"/>
    </row>
    <row r="5099" spans="2:2">
      <c r="B5099" s="2"/>
    </row>
    <row r="5100" spans="2:2">
      <c r="B5100" s="2"/>
    </row>
    <row r="5101" spans="2:2">
      <c r="B5101" s="2"/>
    </row>
    <row r="5102" spans="2:2">
      <c r="B5102" s="2"/>
    </row>
    <row r="5103" spans="2:2">
      <c r="B5103" s="2"/>
    </row>
    <row r="5104" spans="2:2">
      <c r="B5104" s="2"/>
    </row>
    <row r="5105" spans="2:2">
      <c r="B5105" s="2"/>
    </row>
    <row r="5106" spans="2:2">
      <c r="B5106" s="2"/>
    </row>
    <row r="5107" spans="2:2">
      <c r="B5107" s="2"/>
    </row>
    <row r="5108" spans="2:2">
      <c r="B5108" s="2"/>
    </row>
    <row r="5109" spans="2:2">
      <c r="B5109" s="2"/>
    </row>
    <row r="5110" spans="2:2">
      <c r="B5110" s="2"/>
    </row>
    <row r="5111" spans="2:2">
      <c r="B5111" s="2"/>
    </row>
    <row r="5112" spans="2:2">
      <c r="B5112" s="2"/>
    </row>
    <row r="5113" spans="2:2">
      <c r="B5113" s="2"/>
    </row>
    <row r="5114" spans="2:2">
      <c r="B5114" s="2"/>
    </row>
    <row r="5115" spans="2:2">
      <c r="B5115" s="2"/>
    </row>
    <row r="5116" spans="2:2">
      <c r="B5116" s="2"/>
    </row>
    <row r="5117" spans="2:2">
      <c r="B5117" s="2"/>
    </row>
    <row r="5118" spans="2:2">
      <c r="B5118" s="2"/>
    </row>
    <row r="5119" spans="2:2">
      <c r="B5119" s="2"/>
    </row>
    <row r="5120" spans="2:2">
      <c r="B5120" s="2"/>
    </row>
    <row r="5121" spans="2:2">
      <c r="B5121" s="2"/>
    </row>
    <row r="5122" spans="2:2">
      <c r="B5122" s="2"/>
    </row>
    <row r="5123" spans="2:2">
      <c r="B5123" s="2"/>
    </row>
    <row r="5124" spans="2:2">
      <c r="B5124" s="2"/>
    </row>
    <row r="5125" spans="2:2">
      <c r="B5125" s="2"/>
    </row>
    <row r="5126" spans="2:2">
      <c r="B5126" s="2"/>
    </row>
    <row r="5127" spans="2:2">
      <c r="B5127" s="2"/>
    </row>
    <row r="5128" spans="2:2">
      <c r="B5128" s="2"/>
    </row>
    <row r="5129" spans="2:2">
      <c r="B5129" s="2"/>
    </row>
    <row r="5130" spans="2:2">
      <c r="B5130" s="2"/>
    </row>
    <row r="5131" spans="2:2">
      <c r="B5131" s="2"/>
    </row>
    <row r="5132" spans="2:2">
      <c r="B5132" s="2"/>
    </row>
    <row r="5133" spans="2:2">
      <c r="B5133" s="2"/>
    </row>
    <row r="5134" spans="2:2">
      <c r="B5134" s="2"/>
    </row>
    <row r="5135" spans="2:2">
      <c r="B5135" s="2"/>
    </row>
    <row r="5136" spans="2:2">
      <c r="B5136" s="2"/>
    </row>
    <row r="5137" spans="2:2">
      <c r="B5137" s="2"/>
    </row>
    <row r="5138" spans="2:2">
      <c r="B5138" s="2"/>
    </row>
    <row r="5139" spans="2:2">
      <c r="B5139" s="2"/>
    </row>
    <row r="5140" spans="2:2">
      <c r="B5140" s="2"/>
    </row>
    <row r="5141" spans="2:2">
      <c r="B5141" s="2"/>
    </row>
    <row r="5142" spans="2:2">
      <c r="B5142" s="2"/>
    </row>
    <row r="5143" spans="2:2">
      <c r="B5143" s="2"/>
    </row>
    <row r="5144" spans="2:2">
      <c r="B5144" s="2"/>
    </row>
    <row r="5145" spans="2:2">
      <c r="B5145" s="2"/>
    </row>
    <row r="5146" spans="2:2">
      <c r="B5146" s="2"/>
    </row>
    <row r="5147" spans="2:2">
      <c r="B5147" s="2"/>
    </row>
    <row r="5148" spans="2:2">
      <c r="B5148" s="2"/>
    </row>
    <row r="5149" spans="2:2">
      <c r="B5149" s="2"/>
    </row>
    <row r="5150" spans="2:2">
      <c r="B5150" s="2"/>
    </row>
    <row r="5151" spans="2:2">
      <c r="B5151" s="2"/>
    </row>
    <row r="5152" spans="2:2">
      <c r="B5152" s="2"/>
    </row>
    <row r="5153" spans="2:2">
      <c r="B5153" s="2"/>
    </row>
    <row r="5154" spans="2:2">
      <c r="B5154" s="2"/>
    </row>
    <row r="5155" spans="2:2">
      <c r="B5155" s="2"/>
    </row>
    <row r="5156" spans="2:2">
      <c r="B5156" s="2"/>
    </row>
    <row r="5157" spans="2:2">
      <c r="B5157" s="2"/>
    </row>
    <row r="5158" spans="2:2">
      <c r="B5158" s="2"/>
    </row>
    <row r="5159" spans="2:2">
      <c r="B5159" s="2"/>
    </row>
    <row r="5160" spans="2:2">
      <c r="B5160" s="2"/>
    </row>
    <row r="5161" spans="2:2">
      <c r="B5161" s="2"/>
    </row>
    <row r="5162" spans="2:2">
      <c r="B5162" s="2"/>
    </row>
    <row r="5163" spans="2:2">
      <c r="B5163" s="2"/>
    </row>
    <row r="5164" spans="2:2">
      <c r="B5164" s="2"/>
    </row>
    <row r="5165" spans="2:2">
      <c r="B5165" s="2"/>
    </row>
    <row r="5166" spans="2:2">
      <c r="B5166" s="2"/>
    </row>
    <row r="5167" spans="2:2">
      <c r="B5167" s="2"/>
    </row>
    <row r="5168" spans="2:2">
      <c r="B5168" s="2"/>
    </row>
    <row r="5169" spans="2:2">
      <c r="B5169" s="2"/>
    </row>
    <row r="5170" spans="2:2">
      <c r="B5170" s="2"/>
    </row>
    <row r="5171" spans="2:2">
      <c r="B5171" s="2"/>
    </row>
    <row r="5172" spans="2:2">
      <c r="B5172" s="2"/>
    </row>
    <row r="5173" spans="2:2">
      <c r="B5173" s="2"/>
    </row>
    <row r="5174" spans="2:2">
      <c r="B5174" s="2"/>
    </row>
    <row r="5175" spans="2:2">
      <c r="B5175" s="2"/>
    </row>
    <row r="5176" spans="2:2">
      <c r="B5176" s="2"/>
    </row>
    <row r="5177" spans="2:2">
      <c r="B5177" s="2"/>
    </row>
    <row r="5178" spans="2:2">
      <c r="B5178" s="2"/>
    </row>
    <row r="5179" spans="2:2">
      <c r="B5179" s="2"/>
    </row>
    <row r="5180" spans="2:2">
      <c r="B5180" s="2"/>
    </row>
    <row r="5181" spans="2:2">
      <c r="B5181" s="2"/>
    </row>
    <row r="5182" spans="2:2">
      <c r="B5182" s="2"/>
    </row>
    <row r="5183" spans="2:2">
      <c r="B5183" s="2"/>
    </row>
    <row r="5184" spans="2:2">
      <c r="B5184" s="2"/>
    </row>
    <row r="5185" spans="2:2">
      <c r="B5185" s="2"/>
    </row>
    <row r="5186" spans="2:2">
      <c r="B5186" s="2"/>
    </row>
    <row r="5187" spans="2:2">
      <c r="B5187" s="2"/>
    </row>
    <row r="5188" spans="2:2">
      <c r="B5188" s="2"/>
    </row>
    <row r="5189" spans="2:2">
      <c r="B5189" s="2"/>
    </row>
    <row r="5190" spans="2:2">
      <c r="B5190" s="2"/>
    </row>
    <row r="5191" spans="2:2">
      <c r="B5191" s="2"/>
    </row>
    <row r="5192" spans="2:2">
      <c r="B5192" s="2"/>
    </row>
    <row r="5193" spans="2:2">
      <c r="B5193" s="2"/>
    </row>
    <row r="5194" spans="2:2">
      <c r="B5194" s="2"/>
    </row>
    <row r="5195" spans="2:2">
      <c r="B5195" s="2"/>
    </row>
    <row r="5196" spans="2:2">
      <c r="B5196" s="2"/>
    </row>
    <row r="5197" spans="2:2">
      <c r="B5197" s="2"/>
    </row>
    <row r="5198" spans="2:2">
      <c r="B5198" s="2"/>
    </row>
    <row r="5199" spans="2:2">
      <c r="B5199" s="2"/>
    </row>
    <row r="5200" spans="2:2">
      <c r="B5200" s="2"/>
    </row>
    <row r="5201" spans="2:2">
      <c r="B5201" s="2"/>
    </row>
    <row r="5202" spans="2:2">
      <c r="B5202" s="2"/>
    </row>
    <row r="5203" spans="2:2">
      <c r="B5203" s="2"/>
    </row>
    <row r="5204" spans="2:2">
      <c r="B5204" s="2"/>
    </row>
    <row r="5205" spans="2:2">
      <c r="B5205" s="2"/>
    </row>
    <row r="5206" spans="2:2">
      <c r="B5206" s="2"/>
    </row>
    <row r="5207" spans="2:2">
      <c r="B5207" s="2"/>
    </row>
    <row r="5208" spans="2:2">
      <c r="B5208" s="2"/>
    </row>
    <row r="5209" spans="2:2">
      <c r="B5209" s="2"/>
    </row>
    <row r="5210" spans="2:2">
      <c r="B5210" s="2"/>
    </row>
    <row r="5211" spans="2:2">
      <c r="B5211" s="2"/>
    </row>
    <row r="5212" spans="2:2">
      <c r="B5212" s="2"/>
    </row>
    <row r="5213" spans="2:2">
      <c r="B5213" s="2"/>
    </row>
    <row r="5214" spans="2:2">
      <c r="B5214" s="2"/>
    </row>
    <row r="5215" spans="2:2">
      <c r="B5215" s="2"/>
    </row>
    <row r="5216" spans="2:2">
      <c r="B5216" s="2"/>
    </row>
    <row r="5217" spans="2:2">
      <c r="B5217" s="2"/>
    </row>
    <row r="5218" spans="2:2">
      <c r="B5218" s="2"/>
    </row>
    <row r="5219" spans="2:2">
      <c r="B5219" s="2"/>
    </row>
    <row r="5220" spans="2:2">
      <c r="B5220" s="2"/>
    </row>
    <row r="5221" spans="2:2">
      <c r="B5221" s="2"/>
    </row>
    <row r="5222" spans="2:2">
      <c r="B5222" s="2"/>
    </row>
    <row r="5223" spans="2:2">
      <c r="B5223" s="2"/>
    </row>
    <row r="5224" spans="2:2">
      <c r="B5224" s="2"/>
    </row>
    <row r="5225" spans="2:2">
      <c r="B5225" s="2"/>
    </row>
    <row r="5226" spans="2:2">
      <c r="B5226" s="2"/>
    </row>
    <row r="5227" spans="2:2">
      <c r="B5227" s="2"/>
    </row>
    <row r="5228" spans="2:2">
      <c r="B5228" s="2"/>
    </row>
    <row r="5229" spans="2:2">
      <c r="B5229" s="2"/>
    </row>
    <row r="5230" spans="2:2">
      <c r="B5230" s="2"/>
    </row>
    <row r="5231" spans="2:2">
      <c r="B5231" s="2"/>
    </row>
    <row r="5232" spans="2:2">
      <c r="B5232" s="2"/>
    </row>
    <row r="5233" spans="2:2">
      <c r="B5233" s="2"/>
    </row>
    <row r="5234" spans="2:2">
      <c r="B5234" s="2"/>
    </row>
    <row r="5235" spans="2:2">
      <c r="B5235" s="2"/>
    </row>
    <row r="5236" spans="2:2">
      <c r="B5236" s="2"/>
    </row>
    <row r="5237" spans="2:2">
      <c r="B5237" s="2"/>
    </row>
    <row r="5238" spans="2:2">
      <c r="B5238" s="2"/>
    </row>
    <row r="5239" spans="2:2">
      <c r="B5239" s="2"/>
    </row>
    <row r="5240" spans="2:2">
      <c r="B5240" s="2"/>
    </row>
    <row r="5241" spans="2:2">
      <c r="B5241" s="2"/>
    </row>
    <row r="5242" spans="2:2">
      <c r="B5242" s="2"/>
    </row>
    <row r="5243" spans="2:2">
      <c r="B5243" s="2"/>
    </row>
    <row r="5244" spans="2:2">
      <c r="B5244" s="2"/>
    </row>
    <row r="5245" spans="2:2">
      <c r="B5245" s="2"/>
    </row>
    <row r="5246" spans="2:2">
      <c r="B5246" s="2"/>
    </row>
    <row r="5247" spans="2:2">
      <c r="B5247" s="2"/>
    </row>
    <row r="5248" spans="2:2">
      <c r="B5248" s="2"/>
    </row>
    <row r="5249" spans="2:2">
      <c r="B5249" s="2"/>
    </row>
    <row r="5250" spans="2:2">
      <c r="B5250" s="2"/>
    </row>
    <row r="5251" spans="2:2">
      <c r="B5251" s="2"/>
    </row>
    <row r="5252" spans="2:2">
      <c r="B5252" s="2"/>
    </row>
    <row r="5253" spans="2:2">
      <c r="B5253" s="2"/>
    </row>
    <row r="5254" spans="2:2">
      <c r="B5254" s="2"/>
    </row>
    <row r="5255" spans="2:2">
      <c r="B5255" s="2"/>
    </row>
    <row r="5256" spans="2:2">
      <c r="B5256" s="2"/>
    </row>
    <row r="5257" spans="2:2">
      <c r="B5257" s="2"/>
    </row>
    <row r="5258" spans="2:2">
      <c r="B5258" s="2"/>
    </row>
    <row r="5259" spans="2:2">
      <c r="B5259" s="2"/>
    </row>
    <row r="5260" spans="2:2">
      <c r="B5260" s="2"/>
    </row>
    <row r="5261" spans="2:2">
      <c r="B5261" s="2"/>
    </row>
    <row r="5262" spans="2:2">
      <c r="B5262" s="2"/>
    </row>
    <row r="5263" spans="2:2">
      <c r="B5263" s="2"/>
    </row>
    <row r="5264" spans="2:2">
      <c r="B5264" s="2"/>
    </row>
    <row r="5265" spans="2:2">
      <c r="B5265" s="2"/>
    </row>
    <row r="5266" spans="2:2">
      <c r="B5266" s="2"/>
    </row>
    <row r="5267" spans="2:2">
      <c r="B5267" s="2"/>
    </row>
    <row r="5268" spans="2:2">
      <c r="B5268" s="2"/>
    </row>
    <row r="5269" spans="2:2">
      <c r="B5269" s="2"/>
    </row>
    <row r="5270" spans="2:2">
      <c r="B5270" s="2"/>
    </row>
    <row r="5271" spans="2:2">
      <c r="B5271" s="2"/>
    </row>
    <row r="5272" spans="2:2">
      <c r="B5272" s="2"/>
    </row>
    <row r="5273" spans="2:2">
      <c r="B5273" s="2"/>
    </row>
    <row r="5274" spans="2:2">
      <c r="B5274" s="2"/>
    </row>
    <row r="5275" spans="2:2">
      <c r="B5275" s="2"/>
    </row>
    <row r="5276" spans="2:2">
      <c r="B5276" s="2"/>
    </row>
    <row r="5277" spans="2:2">
      <c r="B5277" s="2"/>
    </row>
    <row r="5278" spans="2:2">
      <c r="B5278" s="2"/>
    </row>
    <row r="5279" spans="2:2">
      <c r="B5279" s="2"/>
    </row>
    <row r="5280" spans="2:2">
      <c r="B5280" s="2"/>
    </row>
    <row r="5281" spans="2:2">
      <c r="B5281" s="2"/>
    </row>
    <row r="5282" spans="2:2">
      <c r="B5282" s="2"/>
    </row>
    <row r="5283" spans="2:2">
      <c r="B5283" s="2"/>
    </row>
    <row r="5284" spans="2:2">
      <c r="B5284" s="2"/>
    </row>
    <row r="5285" spans="2:2">
      <c r="B5285" s="2"/>
    </row>
    <row r="5286" spans="2:2">
      <c r="B5286" s="2"/>
    </row>
    <row r="5287" spans="2:2">
      <c r="B5287" s="2"/>
    </row>
    <row r="5288" spans="2:2">
      <c r="B5288" s="2"/>
    </row>
    <row r="5289" spans="2:2">
      <c r="B5289" s="2"/>
    </row>
    <row r="5290" spans="2:2">
      <c r="B5290" s="2"/>
    </row>
    <row r="5291" spans="2:2">
      <c r="B5291" s="2"/>
    </row>
    <row r="5292" spans="2:2">
      <c r="B5292" s="2"/>
    </row>
    <row r="5293" spans="2:2">
      <c r="B5293" s="2"/>
    </row>
    <row r="5294" spans="2:2">
      <c r="B5294" s="2"/>
    </row>
    <row r="5295" spans="2:2">
      <c r="B5295" s="2"/>
    </row>
    <row r="5296" spans="2:2">
      <c r="B5296" s="2"/>
    </row>
    <row r="5297" spans="2:2">
      <c r="B5297" s="2"/>
    </row>
    <row r="5298" spans="2:2">
      <c r="B5298" s="2"/>
    </row>
    <row r="5299" spans="2:2">
      <c r="B5299" s="2"/>
    </row>
    <row r="5300" spans="2:2">
      <c r="B5300" s="2"/>
    </row>
    <row r="5301" spans="2:2">
      <c r="B5301" s="2"/>
    </row>
    <row r="5302" spans="2:2">
      <c r="B5302" s="2"/>
    </row>
    <row r="5303" spans="2:2">
      <c r="B5303" s="2"/>
    </row>
    <row r="5304" spans="2:2">
      <c r="B5304" s="2"/>
    </row>
    <row r="5305" spans="2:2">
      <c r="B5305" s="2"/>
    </row>
    <row r="5306" spans="2:2">
      <c r="B5306" s="2"/>
    </row>
    <row r="5307" spans="2:2">
      <c r="B5307" s="2"/>
    </row>
    <row r="5308" spans="2:2">
      <c r="B5308" s="2"/>
    </row>
    <row r="5309" spans="2:2">
      <c r="B5309" s="2"/>
    </row>
    <row r="5310" spans="2:2">
      <c r="B5310" s="2"/>
    </row>
    <row r="5311" spans="2:2">
      <c r="B5311" s="2"/>
    </row>
    <row r="5312" spans="2:2">
      <c r="B5312" s="2"/>
    </row>
    <row r="5313" spans="2:2">
      <c r="B5313" s="2"/>
    </row>
    <row r="5314" spans="2:2">
      <c r="B5314" s="2"/>
    </row>
    <row r="5315" spans="2:2">
      <c r="B5315" s="2"/>
    </row>
    <row r="5316" spans="2:2">
      <c r="B5316" s="2"/>
    </row>
    <row r="5317" spans="2:2">
      <c r="B5317" s="2"/>
    </row>
    <row r="5318" spans="2:2">
      <c r="B5318" s="2"/>
    </row>
    <row r="5319" spans="2:2">
      <c r="B5319" s="2"/>
    </row>
    <row r="5320" spans="2:2">
      <c r="B5320" s="2"/>
    </row>
    <row r="5321" spans="2:2">
      <c r="B5321" s="2"/>
    </row>
    <row r="5322" spans="2:2">
      <c r="B5322" s="2"/>
    </row>
    <row r="5323" spans="2:2">
      <c r="B5323" s="2"/>
    </row>
    <row r="5324" spans="2:2">
      <c r="B5324" s="2"/>
    </row>
    <row r="5325" spans="2:2">
      <c r="B5325" s="2"/>
    </row>
    <row r="5326" spans="2:2">
      <c r="B5326" s="2"/>
    </row>
    <row r="5327" spans="2:2">
      <c r="B5327" s="2"/>
    </row>
    <row r="5328" spans="2:2">
      <c r="B5328" s="2"/>
    </row>
    <row r="5329" spans="2:2">
      <c r="B5329" s="2"/>
    </row>
    <row r="5330" spans="2:2">
      <c r="B5330" s="2"/>
    </row>
    <row r="5331" spans="2:2">
      <c r="B5331" s="2"/>
    </row>
    <row r="5332" spans="2:2">
      <c r="B5332" s="2"/>
    </row>
    <row r="5333" spans="2:2">
      <c r="B5333" s="2"/>
    </row>
    <row r="5334" spans="2:2">
      <c r="B5334" s="2"/>
    </row>
    <row r="5335" spans="2:2">
      <c r="B5335" s="2"/>
    </row>
    <row r="5336" spans="2:2">
      <c r="B5336" s="2"/>
    </row>
    <row r="5337" spans="2:2">
      <c r="B5337" s="2"/>
    </row>
    <row r="5338" spans="2:2">
      <c r="B5338" s="2"/>
    </row>
    <row r="5339" spans="2:2">
      <c r="B5339" s="2"/>
    </row>
    <row r="5340" spans="2:2">
      <c r="B5340" s="2"/>
    </row>
    <row r="5341" spans="2:2">
      <c r="B5341" s="2"/>
    </row>
    <row r="5342" spans="2:2">
      <c r="B5342" s="2"/>
    </row>
    <row r="5343" spans="2:2">
      <c r="B5343" s="2"/>
    </row>
    <row r="5344" spans="2:2">
      <c r="B5344" s="2"/>
    </row>
    <row r="5345" spans="2:2">
      <c r="B5345" s="2"/>
    </row>
    <row r="5346" spans="2:2">
      <c r="B5346" s="2"/>
    </row>
    <row r="5347" spans="2:2">
      <c r="B5347" s="2"/>
    </row>
    <row r="5348" spans="2:2">
      <c r="B5348" s="2"/>
    </row>
    <row r="5349" spans="2:2">
      <c r="B5349" s="2"/>
    </row>
    <row r="5350" spans="2:2">
      <c r="B5350" s="2"/>
    </row>
    <row r="5351" spans="2:2">
      <c r="B5351" s="2"/>
    </row>
    <row r="5352" spans="2:2">
      <c r="B5352" s="2"/>
    </row>
    <row r="5353" spans="2:2">
      <c r="B5353" s="2"/>
    </row>
    <row r="5354" spans="2:2">
      <c r="B5354" s="2"/>
    </row>
    <row r="5355" spans="2:2">
      <c r="B5355" s="2"/>
    </row>
    <row r="5356" spans="2:2">
      <c r="B5356" s="2"/>
    </row>
    <row r="5357" spans="2:2">
      <c r="B5357" s="2"/>
    </row>
    <row r="5358" spans="2:2">
      <c r="B5358" s="2"/>
    </row>
    <row r="5359" spans="2:2">
      <c r="B5359" s="2"/>
    </row>
    <row r="5360" spans="2:2">
      <c r="B5360" s="2"/>
    </row>
    <row r="5361" spans="2:2">
      <c r="B5361" s="2"/>
    </row>
    <row r="5362" spans="2:2">
      <c r="B5362" s="2"/>
    </row>
    <row r="5363" spans="2:2">
      <c r="B5363" s="2"/>
    </row>
    <row r="5364" spans="2:2">
      <c r="B5364" s="2"/>
    </row>
    <row r="5365" spans="2:2">
      <c r="B5365" s="2"/>
    </row>
    <row r="5366" spans="2:2">
      <c r="B5366" s="2"/>
    </row>
    <row r="5367" spans="2:2">
      <c r="B5367" s="2"/>
    </row>
    <row r="5368" spans="2:2">
      <c r="B5368" s="2"/>
    </row>
    <row r="5369" spans="2:2">
      <c r="B5369" s="2"/>
    </row>
    <row r="5370" spans="2:2">
      <c r="B5370" s="2"/>
    </row>
    <row r="5371" spans="2:2">
      <c r="B5371" s="2"/>
    </row>
    <row r="5372" spans="2:2">
      <c r="B5372" s="2"/>
    </row>
    <row r="5373" spans="2:2">
      <c r="B5373" s="2"/>
    </row>
    <row r="5374" spans="2:2">
      <c r="B5374" s="2"/>
    </row>
    <row r="5375" spans="2:2">
      <c r="B5375" s="2"/>
    </row>
    <row r="5376" spans="2:2">
      <c r="B5376" s="2"/>
    </row>
    <row r="5377" spans="2:2">
      <c r="B5377" s="2"/>
    </row>
    <row r="5378" spans="2:2">
      <c r="B5378" s="2"/>
    </row>
    <row r="5379" spans="2:2">
      <c r="B5379" s="2"/>
    </row>
    <row r="5380" spans="2:2">
      <c r="B5380" s="2"/>
    </row>
    <row r="5381" spans="2:2">
      <c r="B5381" s="2"/>
    </row>
    <row r="5382" spans="2:2">
      <c r="B5382" s="2"/>
    </row>
    <row r="5383" spans="2:2">
      <c r="B5383" s="2"/>
    </row>
    <row r="5384" spans="2:2">
      <c r="B5384" s="2"/>
    </row>
    <row r="5385" spans="2:2">
      <c r="B5385" s="2"/>
    </row>
    <row r="5386" spans="2:2">
      <c r="B5386" s="2"/>
    </row>
    <row r="5387" spans="2:2">
      <c r="B5387" s="2"/>
    </row>
    <row r="5388" spans="2:2">
      <c r="B5388" s="2"/>
    </row>
    <row r="5389" spans="2:2">
      <c r="B5389" s="2"/>
    </row>
    <row r="5390" spans="2:2">
      <c r="B5390" s="2"/>
    </row>
    <row r="5391" spans="2:2">
      <c r="B5391" s="2"/>
    </row>
    <row r="5392" spans="2:2">
      <c r="B5392" s="2"/>
    </row>
    <row r="5393" spans="2:2">
      <c r="B5393" s="2"/>
    </row>
    <row r="5394" spans="2:2">
      <c r="B5394" s="2"/>
    </row>
    <row r="5395" spans="2:2">
      <c r="B5395" s="2"/>
    </row>
    <row r="5396" spans="2:2">
      <c r="B5396" s="2"/>
    </row>
    <row r="5397" spans="2:2">
      <c r="B5397" s="2"/>
    </row>
    <row r="5398" spans="2:2">
      <c r="B5398" s="2"/>
    </row>
    <row r="5399" spans="2:2">
      <c r="B5399" s="2"/>
    </row>
    <row r="5400" spans="2:2">
      <c r="B5400" s="2"/>
    </row>
    <row r="5401" spans="2:2">
      <c r="B5401" s="2"/>
    </row>
    <row r="5402" spans="2:2">
      <c r="B5402" s="2"/>
    </row>
    <row r="5403" spans="2:2">
      <c r="B5403" s="2"/>
    </row>
    <row r="5404" spans="2:2">
      <c r="B5404" s="2"/>
    </row>
    <row r="5405" spans="2:2">
      <c r="B5405" s="2"/>
    </row>
    <row r="5406" spans="2:2">
      <c r="B5406" s="2"/>
    </row>
    <row r="5407" spans="2:2">
      <c r="B5407" s="2"/>
    </row>
    <row r="5408" spans="2:2">
      <c r="B5408" s="2"/>
    </row>
    <row r="5409" spans="2:2">
      <c r="B5409" s="2"/>
    </row>
    <row r="5410" spans="2:2">
      <c r="B5410" s="2"/>
    </row>
    <row r="5411" spans="2:2">
      <c r="B5411" s="2"/>
    </row>
    <row r="5412" spans="2:2">
      <c r="B5412" s="2"/>
    </row>
    <row r="5413" spans="2:2">
      <c r="B5413" s="2"/>
    </row>
    <row r="5414" spans="2:2">
      <c r="B5414" s="2"/>
    </row>
    <row r="5415" spans="2:2">
      <c r="B5415" s="2"/>
    </row>
    <row r="5416" spans="2:2">
      <c r="B5416" s="2"/>
    </row>
    <row r="5417" spans="2:2">
      <c r="B5417" s="2"/>
    </row>
    <row r="5418" spans="2:2">
      <c r="B5418" s="2"/>
    </row>
    <row r="5419" spans="2:2">
      <c r="B5419" s="2"/>
    </row>
    <row r="5420" spans="2:2">
      <c r="B5420" s="2"/>
    </row>
    <row r="5421" spans="2:2">
      <c r="B5421" s="2"/>
    </row>
    <row r="5422" spans="2:2">
      <c r="B5422" s="2"/>
    </row>
    <row r="5423" spans="2:2">
      <c r="B5423" s="2"/>
    </row>
    <row r="5424" spans="2:2">
      <c r="B5424" s="2"/>
    </row>
    <row r="5425" spans="2:2">
      <c r="B5425" s="2"/>
    </row>
    <row r="5426" spans="2:2">
      <c r="B5426" s="2"/>
    </row>
    <row r="5427" spans="2:2">
      <c r="B5427" s="2"/>
    </row>
    <row r="5428" spans="2:2">
      <c r="B5428" s="2"/>
    </row>
    <row r="5429" spans="2:2">
      <c r="B5429" s="2"/>
    </row>
    <row r="5430" spans="2:2">
      <c r="B5430" s="2"/>
    </row>
    <row r="5431" spans="2:2">
      <c r="B5431" s="2"/>
    </row>
    <row r="5432" spans="2:2">
      <c r="B5432" s="2"/>
    </row>
    <row r="5433" spans="2:2">
      <c r="B5433" s="2"/>
    </row>
    <row r="5434" spans="2:2">
      <c r="B5434" s="2"/>
    </row>
    <row r="5435" spans="2:2">
      <c r="B5435" s="2"/>
    </row>
    <row r="5436" spans="2:2">
      <c r="B5436" s="2"/>
    </row>
    <row r="5437" spans="2:2">
      <c r="B5437" s="2"/>
    </row>
    <row r="5438" spans="2:2">
      <c r="B5438" s="2"/>
    </row>
    <row r="5439" spans="2:2">
      <c r="B5439" s="2"/>
    </row>
    <row r="5440" spans="2:2">
      <c r="B5440" s="2"/>
    </row>
    <row r="5441" spans="2:2">
      <c r="B5441" s="2"/>
    </row>
    <row r="5442" spans="2:2">
      <c r="B5442" s="2"/>
    </row>
    <row r="5443" spans="2:2">
      <c r="B5443" s="2"/>
    </row>
    <row r="5444" spans="2:2">
      <c r="B5444" s="2"/>
    </row>
    <row r="5445" spans="2:2">
      <c r="B5445" s="2"/>
    </row>
    <row r="5446" spans="2:2">
      <c r="B5446" s="2"/>
    </row>
    <row r="5447" spans="2:2">
      <c r="B5447" s="2"/>
    </row>
    <row r="5448" spans="2:2">
      <c r="B5448" s="2"/>
    </row>
    <row r="5449" spans="2:2">
      <c r="B5449" s="2"/>
    </row>
    <row r="5450" spans="2:2">
      <c r="B5450" s="2"/>
    </row>
    <row r="5451" spans="2:2">
      <c r="B5451" s="2"/>
    </row>
    <row r="5452" spans="2:2">
      <c r="B5452" s="2"/>
    </row>
    <row r="5453" spans="2:2">
      <c r="B5453" s="2"/>
    </row>
    <row r="5454" spans="2:2">
      <c r="B5454" s="2"/>
    </row>
    <row r="5455" spans="2:2">
      <c r="B5455" s="2"/>
    </row>
    <row r="5456" spans="2:2">
      <c r="B5456" s="2"/>
    </row>
    <row r="5457" spans="2:2">
      <c r="B5457" s="2"/>
    </row>
    <row r="5458" spans="2:2">
      <c r="B5458" s="2"/>
    </row>
    <row r="5459" spans="2:2">
      <c r="B5459" s="2"/>
    </row>
    <row r="5460" spans="2:2">
      <c r="B5460" s="2"/>
    </row>
    <row r="5461" spans="2:2">
      <c r="B5461" s="2"/>
    </row>
    <row r="5462" spans="2:2">
      <c r="B5462" s="2"/>
    </row>
    <row r="5463" spans="2:2">
      <c r="B5463" s="2"/>
    </row>
    <row r="5464" spans="2:2">
      <c r="B5464" s="2"/>
    </row>
    <row r="5465" spans="2:2">
      <c r="B5465" s="2"/>
    </row>
    <row r="5466" spans="2:2">
      <c r="B5466" s="2"/>
    </row>
    <row r="5467" spans="2:2">
      <c r="B5467" s="2"/>
    </row>
    <row r="5468" spans="2:2">
      <c r="B5468" s="2"/>
    </row>
    <row r="5469" spans="2:2">
      <c r="B5469" s="2"/>
    </row>
    <row r="5470" spans="2:2">
      <c r="B5470" s="2"/>
    </row>
    <row r="5471" spans="2:2">
      <c r="B5471" s="2"/>
    </row>
    <row r="5472" spans="2:2">
      <c r="B5472" s="2"/>
    </row>
    <row r="5473" spans="2:2">
      <c r="B5473" s="2"/>
    </row>
    <row r="5474" spans="2:2">
      <c r="B5474" s="2"/>
    </row>
    <row r="5475" spans="2:2">
      <c r="B5475" s="2"/>
    </row>
    <row r="5476" spans="2:2">
      <c r="B5476" s="2"/>
    </row>
    <row r="5477" spans="2:2">
      <c r="B5477" s="2"/>
    </row>
    <row r="5478" spans="2:2">
      <c r="B5478" s="2"/>
    </row>
    <row r="5479" spans="2:2">
      <c r="B5479" s="2"/>
    </row>
    <row r="5480" spans="2:2">
      <c r="B5480" s="2"/>
    </row>
    <row r="5481" spans="2:2">
      <c r="B5481" s="2"/>
    </row>
    <row r="5482" spans="2:2">
      <c r="B5482" s="2"/>
    </row>
    <row r="5483" spans="2:2">
      <c r="B5483" s="2"/>
    </row>
    <row r="5484" spans="2:2">
      <c r="B5484" s="2"/>
    </row>
    <row r="5485" spans="2:2">
      <c r="B5485" s="2"/>
    </row>
    <row r="5486" spans="2:2">
      <c r="B5486" s="2"/>
    </row>
    <row r="5487" spans="2:2">
      <c r="B5487" s="2"/>
    </row>
    <row r="5488" spans="2:2">
      <c r="B5488" s="2"/>
    </row>
    <row r="5489" spans="2:2">
      <c r="B5489" s="2"/>
    </row>
    <row r="5490" spans="2:2">
      <c r="B5490" s="2"/>
    </row>
    <row r="5491" spans="2:2">
      <c r="B5491" s="2"/>
    </row>
    <row r="5492" spans="2:2">
      <c r="B5492" s="2"/>
    </row>
    <row r="5493" spans="2:2">
      <c r="B5493" s="2"/>
    </row>
    <row r="5494" spans="2:2">
      <c r="B5494" s="2"/>
    </row>
    <row r="5495" spans="2:2">
      <c r="B5495" s="2"/>
    </row>
    <row r="5496" spans="2:2">
      <c r="B5496" s="2"/>
    </row>
    <row r="5497" spans="2:2">
      <c r="B5497" s="2"/>
    </row>
    <row r="5498" spans="2:2">
      <c r="B5498" s="2"/>
    </row>
    <row r="5499" spans="2:2">
      <c r="B5499" s="2"/>
    </row>
    <row r="5500" spans="2:2">
      <c r="B5500" s="2"/>
    </row>
    <row r="5501" spans="2:2">
      <c r="B5501" s="2"/>
    </row>
    <row r="5502" spans="2:2">
      <c r="B5502" s="2"/>
    </row>
    <row r="5503" spans="2:2">
      <c r="B5503" s="2"/>
    </row>
    <row r="5504" spans="2:2">
      <c r="B5504" s="2"/>
    </row>
    <row r="5505" spans="2:2">
      <c r="B5505" s="2"/>
    </row>
    <row r="5506" spans="2:2">
      <c r="B5506" s="2"/>
    </row>
    <row r="5507" spans="2:2">
      <c r="B5507" s="2"/>
    </row>
    <row r="5508" spans="2:2">
      <c r="B5508" s="2"/>
    </row>
    <row r="5509" spans="2:2">
      <c r="B5509" s="2"/>
    </row>
    <row r="5510" spans="2:2">
      <c r="B5510" s="2"/>
    </row>
    <row r="5511" spans="2:2">
      <c r="B5511" s="2"/>
    </row>
    <row r="5512" spans="2:2">
      <c r="B5512" s="2"/>
    </row>
    <row r="5513" spans="2:2">
      <c r="B5513" s="2"/>
    </row>
    <row r="5514" spans="2:2">
      <c r="B5514" s="2"/>
    </row>
    <row r="5515" spans="2:2">
      <c r="B5515" s="2"/>
    </row>
    <row r="5516" spans="2:2">
      <c r="B5516" s="2"/>
    </row>
    <row r="5517" spans="2:2">
      <c r="B5517" s="2"/>
    </row>
    <row r="5518" spans="2:2">
      <c r="B5518" s="2"/>
    </row>
    <row r="5519" spans="2:2">
      <c r="B5519" s="2"/>
    </row>
    <row r="5520" spans="2:2">
      <c r="B5520" s="2"/>
    </row>
    <row r="5521" spans="2:2">
      <c r="B5521" s="2"/>
    </row>
    <row r="5522" spans="2:2">
      <c r="B5522" s="2"/>
    </row>
    <row r="5523" spans="2:2">
      <c r="B5523" s="2"/>
    </row>
    <row r="5524" spans="2:2">
      <c r="B5524" s="2"/>
    </row>
    <row r="5525" spans="2:2">
      <c r="B5525" s="2"/>
    </row>
    <row r="5526" spans="2:2">
      <c r="B5526" s="2"/>
    </row>
    <row r="5527" spans="2:2">
      <c r="B5527" s="2"/>
    </row>
    <row r="5528" spans="2:2">
      <c r="B5528" s="2"/>
    </row>
    <row r="5529" spans="2:2">
      <c r="B5529" s="2"/>
    </row>
    <row r="5530" spans="2:2">
      <c r="B5530" s="2"/>
    </row>
    <row r="5531" spans="2:2">
      <c r="B5531" s="2"/>
    </row>
    <row r="5532" spans="2:2">
      <c r="B5532" s="2"/>
    </row>
    <row r="5533" spans="2:2">
      <c r="B5533" s="2"/>
    </row>
    <row r="5534" spans="2:2">
      <c r="B5534" s="2"/>
    </row>
    <row r="5535" spans="2:2">
      <c r="B5535" s="2"/>
    </row>
    <row r="5536" spans="2:2">
      <c r="B5536" s="2"/>
    </row>
    <row r="5537" spans="2:2">
      <c r="B5537" s="2"/>
    </row>
    <row r="5538" spans="2:2">
      <c r="B5538" s="2"/>
    </row>
    <row r="5539" spans="2:2">
      <c r="B5539" s="2"/>
    </row>
    <row r="5540" spans="2:2">
      <c r="B5540" s="2"/>
    </row>
    <row r="5541" spans="2:2">
      <c r="B5541" s="2"/>
    </row>
    <row r="5542" spans="2:2">
      <c r="B5542" s="2"/>
    </row>
    <row r="5543" spans="2:2">
      <c r="B5543" s="2"/>
    </row>
    <row r="5544" spans="2:2">
      <c r="B5544" s="2"/>
    </row>
    <row r="5545" spans="2:2">
      <c r="B5545" s="2"/>
    </row>
    <row r="5546" spans="2:2">
      <c r="B5546" s="2"/>
    </row>
    <row r="5547" spans="2:2">
      <c r="B5547" s="2"/>
    </row>
    <row r="5548" spans="2:2">
      <c r="B5548" s="2"/>
    </row>
    <row r="5549" spans="2:2">
      <c r="B5549" s="2"/>
    </row>
    <row r="5550" spans="2:2">
      <c r="B5550" s="2"/>
    </row>
    <row r="5551" spans="2:2">
      <c r="B5551" s="2"/>
    </row>
    <row r="5552" spans="2:2">
      <c r="B5552" s="2"/>
    </row>
    <row r="5553" spans="2:2">
      <c r="B5553" s="2"/>
    </row>
    <row r="5554" spans="2:2">
      <c r="B5554" s="2"/>
    </row>
    <row r="5555" spans="2:2">
      <c r="B5555" s="2"/>
    </row>
    <row r="5556" spans="2:2">
      <c r="B5556" s="2"/>
    </row>
    <row r="5557" spans="2:2">
      <c r="B5557" s="2"/>
    </row>
    <row r="5558" spans="2:2">
      <c r="B5558" s="2"/>
    </row>
    <row r="5559" spans="2:2">
      <c r="B5559" s="2"/>
    </row>
    <row r="5560" spans="2:2">
      <c r="B5560" s="2"/>
    </row>
    <row r="5561" spans="2:2">
      <c r="B5561" s="2"/>
    </row>
    <row r="5562" spans="2:2">
      <c r="B5562" s="2"/>
    </row>
    <row r="5563" spans="2:2">
      <c r="B5563" s="2"/>
    </row>
    <row r="5564" spans="2:2">
      <c r="B5564" s="2"/>
    </row>
    <row r="5565" spans="2:2">
      <c r="B5565" s="2"/>
    </row>
    <row r="5566" spans="2:2">
      <c r="B5566" s="2"/>
    </row>
    <row r="5567" spans="2:2">
      <c r="B5567" s="2"/>
    </row>
    <row r="5568" spans="2:2">
      <c r="B5568" s="2"/>
    </row>
    <row r="5569" spans="2:2">
      <c r="B5569" s="2"/>
    </row>
    <row r="5570" spans="2:2">
      <c r="B5570" s="2"/>
    </row>
    <row r="5571" spans="2:2">
      <c r="B5571" s="2"/>
    </row>
    <row r="5572" spans="2:2">
      <c r="B5572" s="2"/>
    </row>
    <row r="5573" spans="2:2">
      <c r="B5573" s="2"/>
    </row>
    <row r="5574" spans="2:2">
      <c r="B5574" s="2"/>
    </row>
    <row r="5575" spans="2:2">
      <c r="B5575" s="2"/>
    </row>
    <row r="5576" spans="2:2">
      <c r="B5576" s="2"/>
    </row>
    <row r="5577" spans="2:2">
      <c r="B5577" s="2"/>
    </row>
    <row r="5578" spans="2:2">
      <c r="B5578" s="2"/>
    </row>
    <row r="5579" spans="2:2">
      <c r="B5579" s="2"/>
    </row>
    <row r="5580" spans="2:2">
      <c r="B5580" s="2"/>
    </row>
    <row r="5581" spans="2:2">
      <c r="B5581" s="2"/>
    </row>
    <row r="5582" spans="2:2">
      <c r="B5582" s="2"/>
    </row>
    <row r="5583" spans="2:2">
      <c r="B5583" s="2"/>
    </row>
    <row r="5584" spans="2:2">
      <c r="B5584" s="2"/>
    </row>
    <row r="5585" spans="2:2">
      <c r="B5585" s="2"/>
    </row>
    <row r="5586" spans="2:2">
      <c r="B5586" s="2"/>
    </row>
    <row r="5587" spans="2:2">
      <c r="B5587" s="2"/>
    </row>
    <row r="5588" spans="2:2">
      <c r="B5588" s="2"/>
    </row>
    <row r="5589" spans="2:2">
      <c r="B5589" s="2"/>
    </row>
    <row r="5590" spans="2:2">
      <c r="B5590" s="2"/>
    </row>
    <row r="5591" spans="2:2">
      <c r="B5591" s="2"/>
    </row>
    <row r="5592" spans="2:2">
      <c r="B5592" s="2"/>
    </row>
    <row r="5593" spans="2:2">
      <c r="B5593" s="2"/>
    </row>
    <row r="5594" spans="2:2">
      <c r="B5594" s="2"/>
    </row>
    <row r="5595" spans="2:2">
      <c r="B5595" s="2"/>
    </row>
    <row r="5596" spans="2:2">
      <c r="B5596" s="2"/>
    </row>
    <row r="5597" spans="2:2">
      <c r="B5597" s="2"/>
    </row>
    <row r="5598" spans="2:2">
      <c r="B5598" s="2"/>
    </row>
    <row r="5599" spans="2:2">
      <c r="B5599" s="2"/>
    </row>
    <row r="5600" spans="2:2">
      <c r="B5600" s="2"/>
    </row>
    <row r="5601" spans="2:2">
      <c r="B5601" s="2"/>
    </row>
    <row r="5602" spans="2:2">
      <c r="B5602" s="2"/>
    </row>
    <row r="5603" spans="2:2">
      <c r="B5603" s="2"/>
    </row>
    <row r="5604" spans="2:2">
      <c r="B5604" s="2"/>
    </row>
    <row r="5605" spans="2:2">
      <c r="B5605" s="2"/>
    </row>
    <row r="5606" spans="2:2">
      <c r="B5606" s="2"/>
    </row>
    <row r="5607" spans="2:2">
      <c r="B5607" s="2"/>
    </row>
    <row r="5608" spans="2:2">
      <c r="B5608" s="2"/>
    </row>
    <row r="5609" spans="2:2">
      <c r="B5609" s="2"/>
    </row>
    <row r="5610" spans="2:2">
      <c r="B5610" s="2"/>
    </row>
    <row r="5611" spans="2:2">
      <c r="B5611" s="2"/>
    </row>
    <row r="5612" spans="2:2">
      <c r="B5612" s="2"/>
    </row>
    <row r="5613" spans="2:2">
      <c r="B5613" s="2"/>
    </row>
    <row r="5614" spans="2:2">
      <c r="B5614" s="2"/>
    </row>
    <row r="5615" spans="2:2">
      <c r="B5615" s="2"/>
    </row>
    <row r="5616" spans="2:2">
      <c r="B5616" s="2"/>
    </row>
    <row r="5617" spans="2:2">
      <c r="B5617" s="2"/>
    </row>
    <row r="5618" spans="2:2">
      <c r="B5618" s="2"/>
    </row>
    <row r="5619" spans="2:2">
      <c r="B5619" s="2"/>
    </row>
    <row r="5620" spans="2:2">
      <c r="B5620" s="2"/>
    </row>
    <row r="5621" spans="2:2">
      <c r="B5621" s="2"/>
    </row>
    <row r="5622" spans="2:2">
      <c r="B5622" s="2"/>
    </row>
    <row r="5623" spans="2:2">
      <c r="B5623" s="2"/>
    </row>
    <row r="5624" spans="2:2">
      <c r="B5624" s="2"/>
    </row>
    <row r="5625" spans="2:2">
      <c r="B5625" s="2"/>
    </row>
    <row r="5626" spans="2:2">
      <c r="B5626" s="2"/>
    </row>
    <row r="5627" spans="2:2">
      <c r="B5627" s="2"/>
    </row>
    <row r="5628" spans="2:2">
      <c r="B5628" s="2"/>
    </row>
    <row r="5629" spans="2:2">
      <c r="B5629" s="2"/>
    </row>
    <row r="5630" spans="2:2">
      <c r="B5630" s="2"/>
    </row>
    <row r="5631" spans="2:2">
      <c r="B5631" s="2"/>
    </row>
    <row r="5632" spans="2:2">
      <c r="B5632" s="2"/>
    </row>
    <row r="5633" spans="2:2">
      <c r="B5633" s="2"/>
    </row>
    <row r="5634" spans="2:2">
      <c r="B5634" s="2"/>
    </row>
    <row r="5635" spans="2:2">
      <c r="B5635" s="2"/>
    </row>
    <row r="5636" spans="2:2">
      <c r="B5636" s="2"/>
    </row>
    <row r="5637" spans="2:2">
      <c r="B5637" s="2"/>
    </row>
    <row r="5638" spans="2:2">
      <c r="B5638" s="2"/>
    </row>
    <row r="5639" spans="2:2">
      <c r="B5639" s="2"/>
    </row>
    <row r="5640" spans="2:2">
      <c r="B5640" s="2"/>
    </row>
    <row r="5641" spans="2:2">
      <c r="B5641" s="2"/>
    </row>
    <row r="5642" spans="2:2">
      <c r="B5642" s="2"/>
    </row>
    <row r="5643" spans="2:2">
      <c r="B5643" s="2"/>
    </row>
    <row r="5644" spans="2:2">
      <c r="B5644" s="2"/>
    </row>
    <row r="5645" spans="2:2">
      <c r="B5645" s="2"/>
    </row>
    <row r="5646" spans="2:2">
      <c r="B5646" s="2"/>
    </row>
    <row r="5647" spans="2:2">
      <c r="B5647" s="2"/>
    </row>
    <row r="5648" spans="2:2">
      <c r="B5648" s="2"/>
    </row>
    <row r="5649" spans="2:2">
      <c r="B5649" s="2"/>
    </row>
    <row r="5650" spans="2:2">
      <c r="B5650" s="2"/>
    </row>
    <row r="5651" spans="2:2">
      <c r="B5651" s="2"/>
    </row>
    <row r="5652" spans="2:2">
      <c r="B5652" s="2"/>
    </row>
    <row r="5653" spans="2:2">
      <c r="B5653" s="2"/>
    </row>
    <row r="5654" spans="2:2">
      <c r="B5654" s="2"/>
    </row>
    <row r="5655" spans="2:2">
      <c r="B5655" s="2"/>
    </row>
    <row r="5656" spans="2:2">
      <c r="B5656" s="2"/>
    </row>
    <row r="5657" spans="2:2">
      <c r="B5657" s="2"/>
    </row>
    <row r="5658" spans="2:2">
      <c r="B5658" s="2"/>
    </row>
    <row r="5659" spans="2:2">
      <c r="B5659" s="2"/>
    </row>
    <row r="5660" spans="2:2">
      <c r="B5660" s="2"/>
    </row>
    <row r="5661" spans="2:2">
      <c r="B5661" s="2"/>
    </row>
    <row r="5662" spans="2:2">
      <c r="B5662" s="2"/>
    </row>
    <row r="5663" spans="2:2">
      <c r="B5663" s="2"/>
    </row>
    <row r="5664" spans="2:2">
      <c r="B5664" s="2"/>
    </row>
    <row r="5665" spans="2:2">
      <c r="B5665" s="2"/>
    </row>
    <row r="5666" spans="2:2">
      <c r="B5666" s="2"/>
    </row>
    <row r="5667" spans="2:2">
      <c r="B5667" s="2"/>
    </row>
    <row r="5668" spans="2:2">
      <c r="B5668" s="2"/>
    </row>
    <row r="5669" spans="2:2">
      <c r="B5669" s="2"/>
    </row>
    <row r="5670" spans="2:2">
      <c r="B5670" s="2"/>
    </row>
    <row r="5671" spans="2:2">
      <c r="B5671" s="2"/>
    </row>
    <row r="5672" spans="2:2">
      <c r="B5672" s="2"/>
    </row>
    <row r="5673" spans="2:2">
      <c r="B5673" s="2"/>
    </row>
    <row r="5674" spans="2:2">
      <c r="B5674" s="2"/>
    </row>
    <row r="5675" spans="2:2">
      <c r="B5675" s="2"/>
    </row>
    <row r="5676" spans="2:2">
      <c r="B5676" s="2"/>
    </row>
    <row r="5677" spans="2:2">
      <c r="B5677" s="2"/>
    </row>
    <row r="5678" spans="2:2">
      <c r="B5678" s="2"/>
    </row>
    <row r="5679" spans="2:2">
      <c r="B5679" s="2"/>
    </row>
    <row r="5680" spans="2:2">
      <c r="B5680" s="2"/>
    </row>
    <row r="5681" spans="2:2">
      <c r="B5681" s="2"/>
    </row>
    <row r="5682" spans="2:2">
      <c r="B5682" s="2"/>
    </row>
    <row r="5683" spans="2:2">
      <c r="B5683" s="2"/>
    </row>
    <row r="5684" spans="2:2">
      <c r="B5684" s="2"/>
    </row>
    <row r="5685" spans="2:2">
      <c r="B5685" s="2"/>
    </row>
    <row r="5686" spans="2:2">
      <c r="B5686" s="2"/>
    </row>
    <row r="5687" spans="2:2">
      <c r="B5687" s="2"/>
    </row>
    <row r="5688" spans="2:2">
      <c r="B5688" s="2"/>
    </row>
    <row r="5689" spans="2:2">
      <c r="B5689" s="2"/>
    </row>
    <row r="5690" spans="2:2">
      <c r="B5690" s="2"/>
    </row>
    <row r="5691" spans="2:2">
      <c r="B5691" s="2"/>
    </row>
    <row r="5692" spans="2:2">
      <c r="B5692" s="2"/>
    </row>
    <row r="5693" spans="2:2">
      <c r="B5693" s="2"/>
    </row>
    <row r="5694" spans="2:2">
      <c r="B5694" s="2"/>
    </row>
    <row r="5695" spans="2:2">
      <c r="B5695" s="2"/>
    </row>
    <row r="5696" spans="2:2">
      <c r="B5696" s="2"/>
    </row>
    <row r="5697" spans="2:2">
      <c r="B5697" s="2"/>
    </row>
    <row r="5698" spans="2:2">
      <c r="B5698" s="2"/>
    </row>
    <row r="5699" spans="2:2">
      <c r="B5699" s="2"/>
    </row>
    <row r="5700" spans="2:2">
      <c r="B5700" s="2"/>
    </row>
    <row r="5701" spans="2:2">
      <c r="B5701" s="2"/>
    </row>
    <row r="5702" spans="2:2">
      <c r="B5702" s="2"/>
    </row>
    <row r="5703" spans="2:2">
      <c r="B5703" s="2"/>
    </row>
    <row r="5704" spans="2:2">
      <c r="B5704" s="2"/>
    </row>
    <row r="5705" spans="2:2">
      <c r="B5705" s="2"/>
    </row>
    <row r="5706" spans="2:2">
      <c r="B5706" s="2"/>
    </row>
    <row r="5707" spans="2:2">
      <c r="B5707" s="2"/>
    </row>
    <row r="5708" spans="2:2">
      <c r="B5708" s="2"/>
    </row>
    <row r="5709" spans="2:2">
      <c r="B5709" s="2"/>
    </row>
    <row r="5710" spans="2:2">
      <c r="B5710" s="2"/>
    </row>
    <row r="5711" spans="2:2">
      <c r="B5711" s="2"/>
    </row>
    <row r="5712" spans="2:2">
      <c r="B5712" s="2"/>
    </row>
    <row r="5713" spans="2:2">
      <c r="B5713" s="2"/>
    </row>
    <row r="5714" spans="2:2">
      <c r="B5714" s="2"/>
    </row>
    <row r="5715" spans="2:2">
      <c r="B5715" s="2"/>
    </row>
    <row r="5716" spans="2:2">
      <c r="B5716" s="2"/>
    </row>
    <row r="5717" spans="2:2">
      <c r="B5717" s="2"/>
    </row>
    <row r="5718" spans="2:2">
      <c r="B5718" s="2"/>
    </row>
    <row r="5719" spans="2:2">
      <c r="B5719" s="2"/>
    </row>
    <row r="5720" spans="2:2">
      <c r="B5720" s="2"/>
    </row>
    <row r="5721" spans="2:2">
      <c r="B5721" s="2"/>
    </row>
    <row r="5722" spans="2:2">
      <c r="B5722" s="2"/>
    </row>
    <row r="5723" spans="2:2">
      <c r="B5723" s="2"/>
    </row>
    <row r="5724" spans="2:2">
      <c r="B5724" s="2"/>
    </row>
    <row r="5725" spans="2:2">
      <c r="B5725" s="2"/>
    </row>
    <row r="5726" spans="2:2">
      <c r="B5726" s="2"/>
    </row>
    <row r="5727" spans="2:2">
      <c r="B5727" s="2"/>
    </row>
    <row r="5728" spans="2:2">
      <c r="B5728" s="2"/>
    </row>
    <row r="5729" spans="2:2">
      <c r="B5729" s="2"/>
    </row>
    <row r="5730" spans="2:2">
      <c r="B5730" s="2"/>
    </row>
    <row r="5731" spans="2:2">
      <c r="B5731" s="2"/>
    </row>
    <row r="5732" spans="2:2">
      <c r="B5732" s="2"/>
    </row>
    <row r="5733" spans="2:2">
      <c r="B5733" s="2"/>
    </row>
    <row r="5734" spans="2:2">
      <c r="B5734" s="2"/>
    </row>
    <row r="5735" spans="2:2">
      <c r="B5735" s="2"/>
    </row>
    <row r="5736" spans="2:2">
      <c r="B5736" s="2"/>
    </row>
    <row r="5737" spans="2:2">
      <c r="B5737" s="2"/>
    </row>
    <row r="5738" spans="2:2">
      <c r="B5738" s="2"/>
    </row>
    <row r="5739" spans="2:2">
      <c r="B5739" s="2"/>
    </row>
    <row r="5740" spans="2:2">
      <c r="B5740" s="2"/>
    </row>
    <row r="5741" spans="2:2">
      <c r="B5741" s="2"/>
    </row>
    <row r="5742" spans="2:2">
      <c r="B5742" s="2"/>
    </row>
    <row r="5743" spans="2:2">
      <c r="B5743" s="2"/>
    </row>
    <row r="5744" spans="2:2">
      <c r="B5744" s="2"/>
    </row>
    <row r="5745" spans="2:2">
      <c r="B5745" s="2"/>
    </row>
    <row r="5746" spans="2:2">
      <c r="B5746" s="2"/>
    </row>
    <row r="5747" spans="2:2">
      <c r="B5747" s="2"/>
    </row>
    <row r="5748" spans="2:2">
      <c r="B5748" s="2"/>
    </row>
    <row r="5749" spans="2:2">
      <c r="B5749" s="2"/>
    </row>
    <row r="5750" spans="2:2">
      <c r="B5750" s="2"/>
    </row>
    <row r="5751" spans="2:2">
      <c r="B5751" s="2"/>
    </row>
    <row r="5752" spans="2:2">
      <c r="B5752" s="2"/>
    </row>
    <row r="5753" spans="2:2">
      <c r="B5753" s="2"/>
    </row>
    <row r="5754" spans="2:2">
      <c r="B5754" s="2"/>
    </row>
    <row r="5755" spans="2:2">
      <c r="B5755" s="2"/>
    </row>
    <row r="5756" spans="2:2">
      <c r="B5756" s="2"/>
    </row>
    <row r="5757" spans="2:2">
      <c r="B5757" s="2"/>
    </row>
    <row r="5758" spans="2:2">
      <c r="B5758" s="2"/>
    </row>
    <row r="5759" spans="2:2">
      <c r="B5759" s="2"/>
    </row>
    <row r="5760" spans="2:2">
      <c r="B5760" s="2"/>
    </row>
    <row r="5761" spans="2:2">
      <c r="B5761" s="2"/>
    </row>
    <row r="5762" spans="2:2">
      <c r="B5762" s="2"/>
    </row>
    <row r="5763" spans="2:2">
      <c r="B5763" s="2"/>
    </row>
    <row r="5764" spans="2:2">
      <c r="B5764" s="2"/>
    </row>
    <row r="5765" spans="2:2">
      <c r="B5765" s="2"/>
    </row>
    <row r="5766" spans="2:2">
      <c r="B5766" s="2"/>
    </row>
    <row r="5767" spans="2:2">
      <c r="B5767" s="2"/>
    </row>
    <row r="5768" spans="2:2">
      <c r="B5768" s="2"/>
    </row>
    <row r="5769" spans="2:2">
      <c r="B5769" s="2"/>
    </row>
    <row r="5770" spans="2:2">
      <c r="B5770" s="2"/>
    </row>
    <row r="5771" spans="2:2">
      <c r="B5771" s="2"/>
    </row>
    <row r="5772" spans="2:2">
      <c r="B5772" s="2"/>
    </row>
    <row r="5773" spans="2:2">
      <c r="B5773" s="2"/>
    </row>
    <row r="5774" spans="2:2">
      <c r="B5774" s="2"/>
    </row>
    <row r="5775" spans="2:2">
      <c r="B5775" s="2"/>
    </row>
    <row r="5776" spans="2:2">
      <c r="B5776" s="2"/>
    </row>
    <row r="5777" spans="2:2">
      <c r="B5777" s="2"/>
    </row>
    <row r="5778" spans="2:2">
      <c r="B5778" s="2"/>
    </row>
    <row r="5779" spans="2:2">
      <c r="B5779" s="2"/>
    </row>
    <row r="5780" spans="2:2">
      <c r="B5780" s="2"/>
    </row>
    <row r="5781" spans="2:2">
      <c r="B5781" s="2"/>
    </row>
    <row r="5782" spans="2:2">
      <c r="B5782" s="2"/>
    </row>
    <row r="5783" spans="2:2">
      <c r="B5783" s="2"/>
    </row>
    <row r="5784" spans="2:2">
      <c r="B5784" s="2"/>
    </row>
    <row r="5785" spans="2:2">
      <c r="B5785" s="2"/>
    </row>
    <row r="5786" spans="2:2">
      <c r="B5786" s="2"/>
    </row>
    <row r="5787" spans="2:2">
      <c r="B5787" s="2"/>
    </row>
    <row r="5788" spans="2:2">
      <c r="B5788" s="2"/>
    </row>
    <row r="5789" spans="2:2">
      <c r="B5789" s="2"/>
    </row>
    <row r="5790" spans="2:2">
      <c r="B5790" s="2"/>
    </row>
    <row r="5791" spans="2:2">
      <c r="B5791" s="2"/>
    </row>
    <row r="5792" spans="2:2">
      <c r="B5792" s="2"/>
    </row>
    <row r="5793" spans="2:2">
      <c r="B5793" s="2"/>
    </row>
    <row r="5794" spans="2:2">
      <c r="B5794" s="2"/>
    </row>
    <row r="5795" spans="2:2">
      <c r="B5795" s="2"/>
    </row>
    <row r="5796" spans="2:2">
      <c r="B5796" s="2"/>
    </row>
    <row r="5797" spans="2:2">
      <c r="B5797" s="2"/>
    </row>
    <row r="5798" spans="2:2">
      <c r="B5798" s="2"/>
    </row>
    <row r="5799" spans="2:2">
      <c r="B5799" s="2"/>
    </row>
    <row r="5800" spans="2:2">
      <c r="B5800" s="2"/>
    </row>
    <row r="5801" spans="2:2">
      <c r="B5801" s="2"/>
    </row>
    <row r="5802" spans="2:2">
      <c r="B5802" s="2"/>
    </row>
    <row r="5803" spans="2:2">
      <c r="B5803" s="2"/>
    </row>
    <row r="5804" spans="2:2">
      <c r="B5804" s="2"/>
    </row>
    <row r="5805" spans="2:2">
      <c r="B5805" s="2"/>
    </row>
    <row r="5806" spans="2:2">
      <c r="B5806" s="2"/>
    </row>
    <row r="5807" spans="2:2">
      <c r="B5807" s="2"/>
    </row>
    <row r="5808" spans="2:2">
      <c r="B5808" s="2"/>
    </row>
    <row r="5809" spans="2:2">
      <c r="B5809" s="2"/>
    </row>
    <row r="5810" spans="2:2">
      <c r="B5810" s="2"/>
    </row>
    <row r="5811" spans="2:2">
      <c r="B5811" s="2"/>
    </row>
    <row r="5812" spans="2:2">
      <c r="B5812" s="2"/>
    </row>
    <row r="5813" spans="2:2">
      <c r="B5813" s="2"/>
    </row>
    <row r="5814" spans="2:2">
      <c r="B5814" s="2"/>
    </row>
    <row r="5815" spans="2:2">
      <c r="B5815" s="2"/>
    </row>
    <row r="5816" spans="2:2">
      <c r="B5816" s="2"/>
    </row>
    <row r="5817" spans="2:2">
      <c r="B5817" s="2"/>
    </row>
    <row r="5818" spans="2:2">
      <c r="B5818" s="2"/>
    </row>
    <row r="5819" spans="2:2">
      <c r="B5819" s="2"/>
    </row>
    <row r="5820" spans="2:2">
      <c r="B5820" s="2"/>
    </row>
    <row r="5821" spans="2:2">
      <c r="B5821" s="2"/>
    </row>
    <row r="5822" spans="2:2">
      <c r="B5822" s="2"/>
    </row>
    <row r="5823" spans="2:2">
      <c r="B5823" s="2"/>
    </row>
    <row r="5824" spans="2:2">
      <c r="B5824" s="2"/>
    </row>
    <row r="5825" spans="2:2">
      <c r="B5825" s="2"/>
    </row>
    <row r="5826" spans="2:2">
      <c r="B5826" s="2"/>
    </row>
    <row r="5827" spans="2:2">
      <c r="B5827" s="2"/>
    </row>
    <row r="5828" spans="2:2">
      <c r="B5828" s="2"/>
    </row>
    <row r="5829" spans="2:2">
      <c r="B5829" s="2"/>
    </row>
    <row r="5830" spans="2:2">
      <c r="B5830" s="2"/>
    </row>
    <row r="5831" spans="2:2">
      <c r="B5831" s="2"/>
    </row>
    <row r="5832" spans="2:2">
      <c r="B5832" s="2"/>
    </row>
    <row r="5833" spans="2:2">
      <c r="B5833" s="2"/>
    </row>
    <row r="5834" spans="2:2">
      <c r="B5834" s="2"/>
    </row>
    <row r="5835" spans="2:2">
      <c r="B5835" s="2"/>
    </row>
    <row r="5836" spans="2:2">
      <c r="B5836" s="2"/>
    </row>
    <row r="5837" spans="2:2">
      <c r="B5837" s="2"/>
    </row>
    <row r="5838" spans="2:2">
      <c r="B5838" s="2"/>
    </row>
    <row r="5839" spans="2:2">
      <c r="B5839" s="2"/>
    </row>
    <row r="5840" spans="2:2">
      <c r="B5840" s="2"/>
    </row>
    <row r="5841" spans="2:2">
      <c r="B5841" s="2"/>
    </row>
    <row r="5842" spans="2:2">
      <c r="B5842" s="2"/>
    </row>
    <row r="5843" spans="2:2">
      <c r="B5843" s="2"/>
    </row>
    <row r="5844" spans="2:2">
      <c r="B5844" s="2"/>
    </row>
    <row r="5845" spans="2:2">
      <c r="B5845" s="2"/>
    </row>
    <row r="5846" spans="2:2">
      <c r="B5846" s="2"/>
    </row>
    <row r="5847" spans="2:2">
      <c r="B5847" s="2"/>
    </row>
    <row r="5848" spans="2:2">
      <c r="B5848" s="2"/>
    </row>
    <row r="5849" spans="2:2">
      <c r="B5849" s="2"/>
    </row>
    <row r="5850" spans="2:2">
      <c r="B5850" s="2"/>
    </row>
    <row r="5851" spans="2:2">
      <c r="B5851" s="2"/>
    </row>
    <row r="5852" spans="2:2">
      <c r="B5852" s="2"/>
    </row>
    <row r="5853" spans="2:2">
      <c r="B5853" s="2"/>
    </row>
    <row r="5854" spans="2:2">
      <c r="B5854" s="2"/>
    </row>
    <row r="5855" spans="2:2">
      <c r="B5855" s="2"/>
    </row>
    <row r="5856" spans="2:2">
      <c r="B5856" s="2"/>
    </row>
    <row r="5857" spans="2:2">
      <c r="B5857" s="2"/>
    </row>
    <row r="5858" spans="2:2">
      <c r="B5858" s="2"/>
    </row>
    <row r="5859" spans="2:2">
      <c r="B5859" s="2"/>
    </row>
    <row r="5860" spans="2:2">
      <c r="B5860" s="2"/>
    </row>
    <row r="5861" spans="2:2">
      <c r="B5861" s="2"/>
    </row>
    <row r="5862" spans="2:2">
      <c r="B5862" s="2"/>
    </row>
    <row r="5863" spans="2:2">
      <c r="B5863" s="2"/>
    </row>
    <row r="5864" spans="2:2">
      <c r="B5864" s="2"/>
    </row>
    <row r="5865" spans="2:2">
      <c r="B5865" s="2"/>
    </row>
    <row r="5866" spans="2:2">
      <c r="B5866" s="2"/>
    </row>
    <row r="5867" spans="2:2">
      <c r="B5867" s="2"/>
    </row>
    <row r="5868" spans="2:2">
      <c r="B5868" s="2"/>
    </row>
    <row r="5869" spans="2:2">
      <c r="B5869" s="2"/>
    </row>
    <row r="5870" spans="2:2">
      <c r="B5870" s="2"/>
    </row>
    <row r="5871" spans="2:2">
      <c r="B5871" s="2"/>
    </row>
    <row r="5872" spans="2:2">
      <c r="B5872" s="2"/>
    </row>
    <row r="5873" spans="2:2">
      <c r="B5873" s="2"/>
    </row>
    <row r="5874" spans="2:2">
      <c r="B5874" s="2"/>
    </row>
    <row r="5875" spans="2:2">
      <c r="B5875" s="2"/>
    </row>
    <row r="5876" spans="2:2">
      <c r="B5876" s="2"/>
    </row>
    <row r="5877" spans="2:2">
      <c r="B5877" s="2"/>
    </row>
    <row r="5878" spans="2:2">
      <c r="B5878" s="2"/>
    </row>
    <row r="5879" spans="2:2">
      <c r="B5879" s="2"/>
    </row>
    <row r="5880" spans="2:2">
      <c r="B5880" s="2"/>
    </row>
    <row r="5881" spans="2:2">
      <c r="B5881" s="2"/>
    </row>
    <row r="5882" spans="2:2">
      <c r="B5882" s="2"/>
    </row>
    <row r="5883" spans="2:2">
      <c r="B5883" s="2"/>
    </row>
    <row r="5884" spans="2:2">
      <c r="B5884" s="2"/>
    </row>
    <row r="5885" spans="2:2">
      <c r="B5885" s="2"/>
    </row>
    <row r="5886" spans="2:2">
      <c r="B5886" s="2"/>
    </row>
    <row r="5887" spans="2:2">
      <c r="B5887" s="2"/>
    </row>
    <row r="5888" spans="2:2">
      <c r="B5888" s="2"/>
    </row>
    <row r="5889" spans="2:2">
      <c r="B5889" s="2"/>
    </row>
    <row r="5890" spans="2:2">
      <c r="B5890" s="2"/>
    </row>
    <row r="5891" spans="2:2">
      <c r="B5891" s="2"/>
    </row>
    <row r="5892" spans="2:2">
      <c r="B5892" s="2"/>
    </row>
    <row r="5893" spans="2:2">
      <c r="B5893" s="2"/>
    </row>
    <row r="5894" spans="2:2">
      <c r="B5894" s="2"/>
    </row>
    <row r="5895" spans="2:2">
      <c r="B5895" s="2"/>
    </row>
    <row r="5896" spans="2:2">
      <c r="B5896" s="2"/>
    </row>
    <row r="5897" spans="2:2">
      <c r="B5897" s="2"/>
    </row>
    <row r="5898" spans="2:2">
      <c r="B5898" s="2"/>
    </row>
    <row r="5899" spans="2:2">
      <c r="B5899" s="2"/>
    </row>
    <row r="5900" spans="2:2">
      <c r="B5900" s="2"/>
    </row>
    <row r="5901" spans="2:2">
      <c r="B5901" s="2"/>
    </row>
    <row r="5902" spans="2:2">
      <c r="B5902" s="2"/>
    </row>
    <row r="5903" spans="2:2">
      <c r="B5903" s="2"/>
    </row>
    <row r="5904" spans="2:2">
      <c r="B5904" s="2"/>
    </row>
    <row r="5905" spans="2:2">
      <c r="B5905" s="2"/>
    </row>
    <row r="5906" spans="2:2">
      <c r="B5906" s="2"/>
    </row>
    <row r="5907" spans="2:2">
      <c r="B5907" s="2"/>
    </row>
    <row r="5908" spans="2:2">
      <c r="B5908" s="2"/>
    </row>
    <row r="5909" spans="2:2">
      <c r="B5909" s="2"/>
    </row>
    <row r="5910" spans="2:2">
      <c r="B5910" s="2"/>
    </row>
    <row r="5911" spans="2:2">
      <c r="B5911" s="2"/>
    </row>
    <row r="5912" spans="2:2">
      <c r="B5912" s="2"/>
    </row>
    <row r="5913" spans="2:2">
      <c r="B5913" s="2"/>
    </row>
    <row r="5914" spans="2:2">
      <c r="B5914" s="2"/>
    </row>
    <row r="5915" spans="2:2">
      <c r="B5915" s="2"/>
    </row>
    <row r="5916" spans="2:2">
      <c r="B5916" s="2"/>
    </row>
    <row r="5917" spans="2:2">
      <c r="B5917" s="2"/>
    </row>
    <row r="5918" spans="2:2">
      <c r="B5918" s="2"/>
    </row>
    <row r="5919" spans="2:2">
      <c r="B5919" s="2"/>
    </row>
    <row r="5920" spans="2:2">
      <c r="B5920" s="2"/>
    </row>
    <row r="5921" spans="2:2">
      <c r="B5921" s="2"/>
    </row>
    <row r="5922" spans="2:2">
      <c r="B5922" s="2"/>
    </row>
    <row r="5923" spans="2:2">
      <c r="B5923" s="2"/>
    </row>
    <row r="5924" spans="2:2">
      <c r="B5924" s="2"/>
    </row>
    <row r="5925" spans="2:2">
      <c r="B5925" s="2"/>
    </row>
    <row r="5926" spans="2:2">
      <c r="B5926" s="2"/>
    </row>
    <row r="5927" spans="2:2">
      <c r="B5927" s="2"/>
    </row>
    <row r="5928" spans="2:2">
      <c r="B5928" s="2"/>
    </row>
    <row r="5929" spans="2:2">
      <c r="B5929" s="2"/>
    </row>
    <row r="5930" spans="2:2">
      <c r="B5930" s="2"/>
    </row>
    <row r="5931" spans="2:2">
      <c r="B5931" s="2"/>
    </row>
    <row r="5932" spans="2:2">
      <c r="B5932" s="2"/>
    </row>
    <row r="5933" spans="2:2">
      <c r="B5933" s="2"/>
    </row>
    <row r="5934" spans="2:2">
      <c r="B5934" s="2"/>
    </row>
    <row r="5935" spans="2:2">
      <c r="B5935" s="2"/>
    </row>
    <row r="5936" spans="2:2">
      <c r="B5936" s="2"/>
    </row>
    <row r="5937" spans="2:2">
      <c r="B5937" s="2"/>
    </row>
    <row r="5938" spans="2:2">
      <c r="B5938" s="2"/>
    </row>
    <row r="5939" spans="2:2">
      <c r="B5939" s="2"/>
    </row>
    <row r="5940" spans="2:2">
      <c r="B5940" s="2"/>
    </row>
    <row r="5941" spans="2:2">
      <c r="B5941" s="2"/>
    </row>
    <row r="5942" spans="2:2">
      <c r="B5942" s="2"/>
    </row>
    <row r="5943" spans="2:2">
      <c r="B5943" s="2"/>
    </row>
    <row r="5944" spans="2:2">
      <c r="B5944" s="2"/>
    </row>
    <row r="5945" spans="2:2">
      <c r="B5945" s="2"/>
    </row>
    <row r="5946" spans="2:2">
      <c r="B5946" s="2"/>
    </row>
    <row r="5947" spans="2:2">
      <c r="B5947" s="2"/>
    </row>
    <row r="5948" spans="2:2">
      <c r="B5948" s="2"/>
    </row>
    <row r="5949" spans="2:2">
      <c r="B5949" s="2"/>
    </row>
    <row r="5950" spans="2:2">
      <c r="B5950" s="2"/>
    </row>
    <row r="5951" spans="2:2">
      <c r="B5951" s="2"/>
    </row>
    <row r="5952" spans="2:2">
      <c r="B5952" s="2"/>
    </row>
    <row r="5953" spans="2:2">
      <c r="B5953" s="2"/>
    </row>
    <row r="5954" spans="2:2">
      <c r="B5954" s="2"/>
    </row>
    <row r="5955" spans="2:2">
      <c r="B5955" s="2"/>
    </row>
    <row r="5956" spans="2:2">
      <c r="B5956" s="2"/>
    </row>
    <row r="5957" spans="2:2">
      <c r="B5957" s="2"/>
    </row>
    <row r="5958" spans="2:2">
      <c r="B5958" s="2"/>
    </row>
    <row r="5959" spans="2:2">
      <c r="B5959" s="2"/>
    </row>
    <row r="5960" spans="2:2">
      <c r="B5960" s="2"/>
    </row>
    <row r="5961" spans="2:2">
      <c r="B5961" s="2"/>
    </row>
    <row r="5962" spans="2:2">
      <c r="B5962" s="2"/>
    </row>
    <row r="5963" spans="2:2">
      <c r="B5963" s="2"/>
    </row>
    <row r="5964" spans="2:2">
      <c r="B5964" s="2"/>
    </row>
    <row r="5965" spans="2:2">
      <c r="B5965" s="2"/>
    </row>
    <row r="5966" spans="2:2">
      <c r="B5966" s="2"/>
    </row>
    <row r="5967" spans="2:2">
      <c r="B5967" s="2"/>
    </row>
    <row r="5968" spans="2:2">
      <c r="B5968" s="2"/>
    </row>
    <row r="5969" spans="2:2">
      <c r="B5969" s="2"/>
    </row>
    <row r="5970" spans="2:2">
      <c r="B5970" s="2"/>
    </row>
    <row r="5971" spans="2:2">
      <c r="B5971" s="2"/>
    </row>
    <row r="5972" spans="2:2">
      <c r="B5972" s="2"/>
    </row>
    <row r="5973" spans="2:2">
      <c r="B5973" s="2"/>
    </row>
    <row r="5974" spans="2:2">
      <c r="B5974" s="2"/>
    </row>
    <row r="5975" spans="2:2">
      <c r="B5975" s="2"/>
    </row>
    <row r="5976" spans="2:2">
      <c r="B5976" s="2"/>
    </row>
    <row r="5977" spans="2:2">
      <c r="B5977" s="2"/>
    </row>
    <row r="5978" spans="2:2">
      <c r="B5978" s="2"/>
    </row>
    <row r="5979" spans="2:2">
      <c r="B5979" s="2"/>
    </row>
    <row r="5980" spans="2:2">
      <c r="B5980" s="2"/>
    </row>
    <row r="5981" spans="2:2">
      <c r="B5981" s="2"/>
    </row>
    <row r="5982" spans="2:2">
      <c r="B5982" s="2"/>
    </row>
    <row r="5983" spans="2:2">
      <c r="B5983" s="2"/>
    </row>
    <row r="5984" spans="2:2">
      <c r="B5984" s="2"/>
    </row>
    <row r="5985" spans="2:2">
      <c r="B5985" s="2"/>
    </row>
    <row r="5986" spans="2:2">
      <c r="B5986" s="2"/>
    </row>
    <row r="5987" spans="2:2">
      <c r="B5987" s="2"/>
    </row>
    <row r="5988" spans="2:2">
      <c r="B5988" s="2"/>
    </row>
    <row r="5989" spans="2:2">
      <c r="B5989" s="2"/>
    </row>
    <row r="5990" spans="2:2">
      <c r="B5990" s="2"/>
    </row>
    <row r="5991" spans="2:2">
      <c r="B5991" s="2"/>
    </row>
    <row r="5992" spans="2:2">
      <c r="B5992" s="2"/>
    </row>
    <row r="5993" spans="2:2">
      <c r="B5993" s="2"/>
    </row>
    <row r="5994" spans="2:2">
      <c r="B5994" s="2"/>
    </row>
    <row r="5995" spans="2:2">
      <c r="B5995" s="2"/>
    </row>
    <row r="5996" spans="2:2">
      <c r="B5996" s="2"/>
    </row>
    <row r="5997" spans="2:2">
      <c r="B5997" s="2"/>
    </row>
    <row r="5998" spans="2:2">
      <c r="B5998" s="2"/>
    </row>
    <row r="5999" spans="2:2">
      <c r="B5999" s="2"/>
    </row>
    <row r="6000" spans="2:2">
      <c r="B6000" s="2"/>
    </row>
    <row r="6001" spans="2:2">
      <c r="B6001" s="2"/>
    </row>
    <row r="6002" spans="2:2">
      <c r="B6002" s="2"/>
    </row>
    <row r="6003" spans="2:2">
      <c r="B6003" s="2"/>
    </row>
    <row r="6004" spans="2:2">
      <c r="B6004" s="2"/>
    </row>
    <row r="6005" spans="2:2">
      <c r="B6005" s="2"/>
    </row>
    <row r="6006" spans="2:2">
      <c r="B6006" s="2"/>
    </row>
    <row r="6007" spans="2:2">
      <c r="B6007" s="2"/>
    </row>
    <row r="6008" spans="2:2">
      <c r="B6008" s="2"/>
    </row>
    <row r="6009" spans="2:2">
      <c r="B6009" s="2"/>
    </row>
    <row r="6010" spans="2:2">
      <c r="B6010" s="2"/>
    </row>
    <row r="6011" spans="2:2">
      <c r="B6011" s="2"/>
    </row>
    <row r="6012" spans="2:2">
      <c r="B6012" s="2"/>
    </row>
    <row r="6013" spans="2:2">
      <c r="B6013" s="2"/>
    </row>
    <row r="6014" spans="2:2">
      <c r="B6014" s="2"/>
    </row>
    <row r="6015" spans="2:2">
      <c r="B6015" s="2"/>
    </row>
    <row r="6016" spans="2:2">
      <c r="B6016" s="2"/>
    </row>
    <row r="6017" spans="2:2">
      <c r="B6017" s="2"/>
    </row>
    <row r="6018" spans="2:2">
      <c r="B6018" s="2"/>
    </row>
    <row r="6019" spans="2:2">
      <c r="B6019" s="2"/>
    </row>
    <row r="6020" spans="2:2">
      <c r="B6020" s="2"/>
    </row>
    <row r="6021" spans="2:2">
      <c r="B6021" s="2"/>
    </row>
    <row r="6022" spans="2:2">
      <c r="B6022" s="2"/>
    </row>
    <row r="6023" spans="2:2">
      <c r="B6023" s="2"/>
    </row>
    <row r="6024" spans="2:2">
      <c r="B6024" s="2"/>
    </row>
    <row r="6025" spans="2:2">
      <c r="B6025" s="2"/>
    </row>
    <row r="6026" spans="2:2">
      <c r="B6026" s="2"/>
    </row>
    <row r="6027" spans="2:2">
      <c r="B6027" s="2"/>
    </row>
    <row r="6028" spans="2:2">
      <c r="B6028" s="2"/>
    </row>
    <row r="6029" spans="2:2">
      <c r="B6029" s="2"/>
    </row>
    <row r="6030" spans="2:2">
      <c r="B6030" s="2"/>
    </row>
    <row r="6031" spans="2:2">
      <c r="B6031" s="2"/>
    </row>
    <row r="6032" spans="2:2">
      <c r="B6032" s="2"/>
    </row>
    <row r="6033" spans="2:2">
      <c r="B6033" s="2"/>
    </row>
    <row r="6034" spans="2:2">
      <c r="B6034" s="2"/>
    </row>
    <row r="6035" spans="2:2">
      <c r="B6035" s="2"/>
    </row>
    <row r="6036" spans="2:2">
      <c r="B6036" s="2"/>
    </row>
    <row r="6037" spans="2:2">
      <c r="B6037" s="2"/>
    </row>
    <row r="6038" spans="2:2">
      <c r="B6038" s="2"/>
    </row>
    <row r="6039" spans="2:2">
      <c r="B6039" s="2"/>
    </row>
    <row r="6040" spans="2:2">
      <c r="B6040" s="2"/>
    </row>
    <row r="6041" spans="2:2">
      <c r="B6041" s="2"/>
    </row>
    <row r="6042" spans="2:2">
      <c r="B6042" s="2"/>
    </row>
    <row r="6043" spans="2:2">
      <c r="B6043" s="2"/>
    </row>
    <row r="6044" spans="2:2">
      <c r="B6044" s="2"/>
    </row>
    <row r="6045" spans="2:2">
      <c r="B6045" s="2"/>
    </row>
    <row r="6046" spans="2:2">
      <c r="B604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Nimkar, Siddharth</dc:creator>
  <cp:lastModifiedBy>Siddharth Nimkar</cp:lastModifiedBy>
  <dcterms:created xsi:type="dcterms:W3CDTF">2024-07-16T15:29:49Z</dcterms:created>
  <dcterms:modified xsi:type="dcterms:W3CDTF">2026-05-18T17:24:43Z</dcterms:modified>
</cp:coreProperties>
</file>