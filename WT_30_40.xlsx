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ddharthnimkar/VU Basic Sciences Dropbox/Siddharth Nimkar/From Siddharth/Other_files/MiSeq_data/"/>
    </mc:Choice>
  </mc:AlternateContent>
  <xr:revisionPtr revIDLastSave="0" documentId="13_ncr:1_{B4CA8D2B-F6CC-6747-A5A1-98174BA3CAB1}" xr6:coauthVersionLast="47" xr6:coauthVersionMax="47" xr10:uidLastSave="{00000000-0000-0000-0000-000000000000}"/>
  <bookViews>
    <workbookView xWindow="1020" yWindow="780" windowWidth="34980" windowHeight="22600" xr2:uid="{4084CCAF-603B-D14D-826F-0451021394A9}"/>
  </bookViews>
  <sheets>
    <sheet name="30-40" sheetId="1" r:id="rId1"/>
    <sheet name="30-40_arranged" sheetId="3" r:id="rId2"/>
    <sheet name="Top" sheetId="6" r:id="rId3"/>
    <sheet name="Sheet1" sheetId="7" r:id="rId4"/>
    <sheet name="Sheet2" sheetId="2" r:id="rId5"/>
  </sheets>
  <definedNames>
    <definedName name="_xlchart.v1.0" hidden="1">'30-40'!$M$2:$M$445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3" i="7" l="1"/>
  <c r="J253" i="7"/>
  <c r="I253" i="7"/>
  <c r="M253" i="7" s="1"/>
  <c r="C253" i="7" a="1"/>
  <c r="C253" i="7" s="1"/>
  <c r="K438" i="7"/>
  <c r="J438" i="7"/>
  <c r="I438" i="7"/>
  <c r="C438" i="7" a="1"/>
  <c r="C438" i="7" s="1"/>
  <c r="K324" i="7"/>
  <c r="J324" i="7"/>
  <c r="I324" i="7"/>
  <c r="C324" i="7" a="1"/>
  <c r="C324" i="7" s="1"/>
  <c r="K267" i="7"/>
  <c r="J267" i="7"/>
  <c r="I267" i="7"/>
  <c r="M267" i="7" s="1"/>
  <c r="C267" i="7" a="1"/>
  <c r="C267" i="7" s="1"/>
  <c r="K112" i="7"/>
  <c r="J112" i="7"/>
  <c r="I112" i="7"/>
  <c r="M112" i="7" s="1"/>
  <c r="C112" i="7" a="1"/>
  <c r="C112" i="7" s="1"/>
  <c r="K546" i="7"/>
  <c r="J546" i="7"/>
  <c r="M546" i="7" s="1"/>
  <c r="I546" i="7"/>
  <c r="C546" i="7" a="1"/>
  <c r="C546" i="7" s="1"/>
  <c r="K203" i="7"/>
  <c r="J203" i="7"/>
  <c r="I203" i="7"/>
  <c r="M203" i="7" s="1"/>
  <c r="C203" i="7" a="1"/>
  <c r="C203" i="7" s="1"/>
  <c r="K364" i="7"/>
  <c r="J364" i="7"/>
  <c r="I364" i="7"/>
  <c r="C364" i="7" a="1"/>
  <c r="C364" i="7" s="1"/>
  <c r="K347" i="7"/>
  <c r="J347" i="7"/>
  <c r="I347" i="7"/>
  <c r="C347" i="7" a="1"/>
  <c r="C347" i="7" s="1"/>
  <c r="K329" i="7"/>
  <c r="J329" i="7"/>
  <c r="I329" i="7"/>
  <c r="M329" i="7" s="1"/>
  <c r="C329" i="7" a="1"/>
  <c r="C329" i="7" s="1"/>
  <c r="K207" i="7"/>
  <c r="J207" i="7"/>
  <c r="I207" i="7"/>
  <c r="M207" i="7" s="1"/>
  <c r="C207" i="7" a="1"/>
  <c r="C207" i="7" s="1"/>
  <c r="K297" i="7"/>
  <c r="J297" i="7"/>
  <c r="I297" i="7"/>
  <c r="C297" i="7" a="1"/>
  <c r="C297" i="7" s="1"/>
  <c r="K228" i="7"/>
  <c r="J228" i="7"/>
  <c r="I228" i="7"/>
  <c r="M228" i="7" s="1"/>
  <c r="C228" i="7" a="1"/>
  <c r="C228" i="7" s="1"/>
  <c r="K149" i="7"/>
  <c r="J149" i="7"/>
  <c r="I149" i="7"/>
  <c r="C149" i="7" a="1"/>
  <c r="C149" i="7" s="1"/>
  <c r="K326" i="7"/>
  <c r="J326" i="7"/>
  <c r="I326" i="7"/>
  <c r="C326" i="7" a="1"/>
  <c r="C326" i="7" s="1"/>
  <c r="K501" i="7"/>
  <c r="J501" i="7"/>
  <c r="I501" i="7"/>
  <c r="C501" i="7" a="1"/>
  <c r="C501" i="7" s="1"/>
  <c r="K437" i="7"/>
  <c r="J437" i="7"/>
  <c r="I437" i="7"/>
  <c r="M437" i="7" s="1"/>
  <c r="C437" i="7" a="1"/>
  <c r="C437" i="7" s="1"/>
  <c r="K184" i="7"/>
  <c r="J184" i="7"/>
  <c r="I184" i="7"/>
  <c r="C184" i="7" a="1"/>
  <c r="C184" i="7" s="1"/>
  <c r="K111" i="7"/>
  <c r="J111" i="7"/>
  <c r="I111" i="7"/>
  <c r="M111" i="7" s="1"/>
  <c r="C111" i="7" a="1"/>
  <c r="C111" i="7" s="1"/>
  <c r="K110" i="7"/>
  <c r="J110" i="7"/>
  <c r="I110" i="7"/>
  <c r="M110" i="7" s="1"/>
  <c r="C110" i="7" a="1"/>
  <c r="C110" i="7" s="1"/>
  <c r="K109" i="7"/>
  <c r="J109" i="7"/>
  <c r="I109" i="7"/>
  <c r="M109" i="7" s="1"/>
  <c r="C109" i="7" a="1"/>
  <c r="C109" i="7" s="1"/>
  <c r="K287" i="7"/>
  <c r="J287" i="7"/>
  <c r="I287" i="7"/>
  <c r="C287" i="7" a="1"/>
  <c r="C287" i="7" s="1"/>
  <c r="K354" i="7"/>
  <c r="J354" i="7"/>
  <c r="I354" i="7"/>
  <c r="M354" i="7" s="1"/>
  <c r="C354" i="7" a="1"/>
  <c r="C354" i="7" s="1"/>
  <c r="K108" i="7"/>
  <c r="J108" i="7"/>
  <c r="I108" i="7"/>
  <c r="M108" i="7" s="1"/>
  <c r="C108" i="7" a="1"/>
  <c r="C108" i="7" s="1"/>
  <c r="K107" i="7"/>
  <c r="J107" i="7"/>
  <c r="I107" i="7"/>
  <c r="M107" i="7" s="1"/>
  <c r="C107" i="7" a="1"/>
  <c r="C107" i="7" s="1"/>
  <c r="K426" i="7"/>
  <c r="J426" i="7"/>
  <c r="I426" i="7"/>
  <c r="M426" i="7" s="1"/>
  <c r="C426" i="7" a="1"/>
  <c r="C426" i="7" s="1"/>
  <c r="K106" i="7"/>
  <c r="J106" i="7"/>
  <c r="I106" i="7"/>
  <c r="M106" i="7" s="1"/>
  <c r="C106" i="7" a="1"/>
  <c r="C106" i="7" s="1"/>
  <c r="K105" i="7"/>
  <c r="J105" i="7"/>
  <c r="I105" i="7"/>
  <c r="M105" i="7" s="1"/>
  <c r="C105" i="7" a="1"/>
  <c r="C105" i="7" s="1"/>
  <c r="K104" i="7"/>
  <c r="J104" i="7"/>
  <c r="I104" i="7"/>
  <c r="M104" i="7" s="1"/>
  <c r="C104" i="7" a="1"/>
  <c r="C104" i="7" s="1"/>
  <c r="K103" i="7"/>
  <c r="J103" i="7"/>
  <c r="I103" i="7"/>
  <c r="M103" i="7" s="1"/>
  <c r="C103" i="7" a="1"/>
  <c r="C103" i="7" s="1"/>
  <c r="K102" i="7"/>
  <c r="J102" i="7"/>
  <c r="I102" i="7"/>
  <c r="C102" i="7" a="1"/>
  <c r="C102" i="7" s="1"/>
  <c r="K317" i="7"/>
  <c r="J317" i="7"/>
  <c r="M317" i="7" s="1"/>
  <c r="I317" i="7"/>
  <c r="C317" i="7" a="1"/>
  <c r="C317" i="7" s="1"/>
  <c r="K520" i="7"/>
  <c r="J520" i="7"/>
  <c r="I520" i="7"/>
  <c r="C520" i="7" a="1"/>
  <c r="C520" i="7" s="1"/>
  <c r="K513" i="7"/>
  <c r="J513" i="7"/>
  <c r="I513" i="7"/>
  <c r="C513" i="7" a="1"/>
  <c r="C513" i="7" s="1"/>
  <c r="K525" i="7"/>
  <c r="J525" i="7"/>
  <c r="I525" i="7"/>
  <c r="C525" i="7" a="1"/>
  <c r="C525" i="7" s="1"/>
  <c r="K554" i="7"/>
  <c r="J554" i="7"/>
  <c r="I554" i="7"/>
  <c r="C554" i="7" a="1"/>
  <c r="C554" i="7" s="1"/>
  <c r="K185" i="7"/>
  <c r="J185" i="7"/>
  <c r="I185" i="7"/>
  <c r="C185" i="7" a="1"/>
  <c r="C185" i="7" s="1"/>
  <c r="K172" i="7"/>
  <c r="J172" i="7"/>
  <c r="M172" i="7" s="1"/>
  <c r="I172" i="7"/>
  <c r="C172" i="7" a="1"/>
  <c r="C172" i="7" s="1"/>
  <c r="K360" i="7"/>
  <c r="J360" i="7"/>
  <c r="I360" i="7"/>
  <c r="C360" i="7" a="1"/>
  <c r="C360" i="7" s="1"/>
  <c r="K223" i="7"/>
  <c r="J223" i="7"/>
  <c r="M223" i="7" s="1"/>
  <c r="I223" i="7"/>
  <c r="C223" i="7" a="1"/>
  <c r="C223" i="7" s="1"/>
  <c r="K394" i="7"/>
  <c r="J394" i="7"/>
  <c r="I394" i="7"/>
  <c r="C394" i="7" a="1"/>
  <c r="C394" i="7" s="1"/>
  <c r="K206" i="7"/>
  <c r="J206" i="7"/>
  <c r="I206" i="7"/>
  <c r="C206" i="7" a="1"/>
  <c r="C206" i="7" s="1"/>
  <c r="K515" i="7"/>
  <c r="J515" i="7"/>
  <c r="I515" i="7"/>
  <c r="C515" i="7" a="1"/>
  <c r="C515" i="7" s="1"/>
  <c r="K401" i="7"/>
  <c r="J401" i="7"/>
  <c r="I401" i="7"/>
  <c r="C401" i="7" a="1"/>
  <c r="C401" i="7" s="1"/>
  <c r="K132" i="7"/>
  <c r="J132" i="7"/>
  <c r="I132" i="7"/>
  <c r="C132" i="7" a="1"/>
  <c r="C132" i="7" s="1"/>
  <c r="K413" i="7"/>
  <c r="J413" i="7"/>
  <c r="M413" i="7" s="1"/>
  <c r="I413" i="7"/>
  <c r="C413" i="7" a="1"/>
  <c r="C413" i="7" s="1"/>
  <c r="K186" i="7"/>
  <c r="J186" i="7"/>
  <c r="I186" i="7"/>
  <c r="C186" i="7" a="1"/>
  <c r="C186" i="7" s="1"/>
  <c r="K537" i="7"/>
  <c r="J537" i="7"/>
  <c r="M537" i="7" s="1"/>
  <c r="I537" i="7"/>
  <c r="C537" i="7" a="1"/>
  <c r="C537" i="7" s="1"/>
  <c r="K164" i="7"/>
  <c r="J164" i="7"/>
  <c r="I164" i="7"/>
  <c r="C164" i="7" a="1"/>
  <c r="C164" i="7" s="1"/>
  <c r="K155" i="7"/>
  <c r="J155" i="7"/>
  <c r="I155" i="7"/>
  <c r="C155" i="7" a="1"/>
  <c r="C155" i="7" s="1"/>
  <c r="K395" i="7"/>
  <c r="J395" i="7"/>
  <c r="I395" i="7"/>
  <c r="C395" i="7" a="1"/>
  <c r="C395" i="7" s="1"/>
  <c r="K127" i="7"/>
  <c r="J127" i="7"/>
  <c r="I127" i="7"/>
  <c r="C127" i="7" a="1"/>
  <c r="C127" i="7" s="1"/>
  <c r="K402" i="7"/>
  <c r="J402" i="7"/>
  <c r="I402" i="7"/>
  <c r="C402" i="7" a="1"/>
  <c r="C402" i="7" s="1"/>
  <c r="K549" i="7"/>
  <c r="J549" i="7"/>
  <c r="M549" i="7" s="1"/>
  <c r="I549" i="7"/>
  <c r="C549" i="7" a="1"/>
  <c r="C549" i="7" s="1"/>
  <c r="K368" i="7"/>
  <c r="J368" i="7"/>
  <c r="I368" i="7"/>
  <c r="C368" i="7" a="1"/>
  <c r="C368" i="7" s="1"/>
  <c r="K490" i="7"/>
  <c r="J490" i="7"/>
  <c r="M490" i="7" s="1"/>
  <c r="I490" i="7"/>
  <c r="C490" i="7" a="1"/>
  <c r="C490" i="7" s="1"/>
  <c r="K248" i="7"/>
  <c r="J248" i="7"/>
  <c r="I248" i="7"/>
  <c r="C248" i="7" a="1"/>
  <c r="C248" i="7" s="1"/>
  <c r="K362" i="7"/>
  <c r="J362" i="7"/>
  <c r="I362" i="7"/>
  <c r="C362" i="7" a="1"/>
  <c r="C362" i="7" s="1"/>
  <c r="K239" i="7"/>
  <c r="J239" i="7"/>
  <c r="I239" i="7"/>
  <c r="C239" i="7" a="1"/>
  <c r="C239" i="7" s="1"/>
  <c r="K191" i="7"/>
  <c r="J191" i="7"/>
  <c r="I191" i="7"/>
  <c r="C191" i="7" a="1"/>
  <c r="C191" i="7" s="1"/>
  <c r="K500" i="7"/>
  <c r="J500" i="7"/>
  <c r="I500" i="7"/>
  <c r="C500" i="7" a="1"/>
  <c r="C500" i="7" s="1"/>
  <c r="K101" i="7"/>
  <c r="J101" i="7"/>
  <c r="M101" i="7" s="1"/>
  <c r="I101" i="7"/>
  <c r="C101" i="7" a="1"/>
  <c r="C101" i="7" s="1"/>
  <c r="K510" i="7"/>
  <c r="J510" i="7"/>
  <c r="I510" i="7"/>
  <c r="C510" i="7" a="1"/>
  <c r="C510" i="7" s="1"/>
  <c r="K539" i="7"/>
  <c r="J539" i="7"/>
  <c r="M539" i="7" s="1"/>
  <c r="I539" i="7"/>
  <c r="C539" i="7" a="1"/>
  <c r="C539" i="7" s="1"/>
  <c r="K399" i="7"/>
  <c r="J399" i="7"/>
  <c r="I399" i="7"/>
  <c r="C399" i="7" a="1"/>
  <c r="C399" i="7" s="1"/>
  <c r="K547" i="7"/>
  <c r="J547" i="7"/>
  <c r="I547" i="7"/>
  <c r="C547" i="7" a="1"/>
  <c r="C547" i="7" s="1"/>
  <c r="K100" i="7"/>
  <c r="J100" i="7"/>
  <c r="I100" i="7"/>
  <c r="M100" i="7" s="1"/>
  <c r="C100" i="7" a="1"/>
  <c r="C100" i="7" s="1"/>
  <c r="K190" i="7"/>
  <c r="J190" i="7"/>
  <c r="I190" i="7"/>
  <c r="C190" i="7" a="1"/>
  <c r="C190" i="7" s="1"/>
  <c r="K511" i="7"/>
  <c r="J511" i="7"/>
  <c r="I511" i="7"/>
  <c r="C511" i="7" a="1"/>
  <c r="C511" i="7" s="1"/>
  <c r="K339" i="7"/>
  <c r="J339" i="7"/>
  <c r="M339" i="7" s="1"/>
  <c r="I339" i="7"/>
  <c r="C339" i="7" a="1"/>
  <c r="C339" i="7" s="1"/>
  <c r="K140" i="7"/>
  <c r="J140" i="7"/>
  <c r="I140" i="7"/>
  <c r="C140" i="7" a="1"/>
  <c r="C140" i="7" s="1"/>
  <c r="K236" i="7"/>
  <c r="J236" i="7"/>
  <c r="M236" i="7" s="1"/>
  <c r="I236" i="7"/>
  <c r="C236" i="7" a="1"/>
  <c r="C236" i="7" s="1"/>
  <c r="K183" i="7"/>
  <c r="J183" i="7"/>
  <c r="I183" i="7"/>
  <c r="C183" i="7" a="1"/>
  <c r="C183" i="7" s="1"/>
  <c r="K460" i="7"/>
  <c r="J460" i="7"/>
  <c r="I460" i="7"/>
  <c r="C460" i="7" a="1"/>
  <c r="C460" i="7" s="1"/>
  <c r="K538" i="7"/>
  <c r="J538" i="7"/>
  <c r="I538" i="7"/>
  <c r="C538" i="7" a="1"/>
  <c r="C538" i="7" s="1"/>
  <c r="K276" i="7"/>
  <c r="J276" i="7"/>
  <c r="I276" i="7"/>
  <c r="C276" i="7" a="1"/>
  <c r="C276" i="7" s="1"/>
  <c r="K125" i="7"/>
  <c r="J125" i="7"/>
  <c r="I125" i="7"/>
  <c r="C125" i="7" a="1"/>
  <c r="C125" i="7" s="1"/>
  <c r="K234" i="7"/>
  <c r="J234" i="7"/>
  <c r="M234" i="7" s="1"/>
  <c r="I234" i="7"/>
  <c r="C234" i="7" a="1"/>
  <c r="C234" i="7" s="1"/>
  <c r="K353" i="7"/>
  <c r="J353" i="7"/>
  <c r="I353" i="7"/>
  <c r="C353" i="7" a="1"/>
  <c r="C353" i="7" s="1"/>
  <c r="K541" i="7"/>
  <c r="J541" i="7"/>
  <c r="M541" i="7" s="1"/>
  <c r="I541" i="7"/>
  <c r="C541" i="7" a="1"/>
  <c r="C541" i="7" s="1"/>
  <c r="K553" i="7"/>
  <c r="J553" i="7"/>
  <c r="I553" i="7"/>
  <c r="C553" i="7" a="1"/>
  <c r="C553" i="7" s="1"/>
  <c r="K415" i="7"/>
  <c r="J415" i="7"/>
  <c r="I415" i="7"/>
  <c r="C415" i="7" a="1"/>
  <c r="C415" i="7" s="1"/>
  <c r="K545" i="7"/>
  <c r="J545" i="7"/>
  <c r="I545" i="7"/>
  <c r="C545" i="7" a="1"/>
  <c r="C545" i="7" s="1"/>
  <c r="K295" i="7"/>
  <c r="J295" i="7"/>
  <c r="I295" i="7"/>
  <c r="C295" i="7" a="1"/>
  <c r="C295" i="7" s="1"/>
  <c r="K550" i="7"/>
  <c r="J550" i="7"/>
  <c r="I550" i="7"/>
  <c r="C550" i="7" a="1"/>
  <c r="C550" i="7" s="1"/>
  <c r="K123" i="7"/>
  <c r="J123" i="7"/>
  <c r="M123" i="7" s="1"/>
  <c r="I123" i="7"/>
  <c r="C123" i="7" a="1"/>
  <c r="C123" i="7" s="1"/>
  <c r="K130" i="7"/>
  <c r="J130" i="7"/>
  <c r="I130" i="7"/>
  <c r="C130" i="7" a="1"/>
  <c r="C130" i="7" s="1"/>
  <c r="K144" i="7"/>
  <c r="J144" i="7"/>
  <c r="M144" i="7" s="1"/>
  <c r="I144" i="7"/>
  <c r="C144" i="7" a="1"/>
  <c r="C144" i="7" s="1"/>
  <c r="K148" i="7"/>
  <c r="J148" i="7"/>
  <c r="I148" i="7"/>
  <c r="C148" i="7" a="1"/>
  <c r="C148" i="7" s="1"/>
  <c r="K449" i="7"/>
  <c r="J449" i="7"/>
  <c r="I449" i="7"/>
  <c r="C449" i="7" a="1"/>
  <c r="C449" i="7" s="1"/>
  <c r="K443" i="7"/>
  <c r="J443" i="7"/>
  <c r="I443" i="7"/>
  <c r="C443" i="7" a="1"/>
  <c r="C443" i="7" s="1"/>
  <c r="K227" i="7"/>
  <c r="J227" i="7"/>
  <c r="I227" i="7"/>
  <c r="C227" i="7" a="1"/>
  <c r="C227" i="7" s="1"/>
  <c r="K417" i="7"/>
  <c r="J417" i="7"/>
  <c r="I417" i="7"/>
  <c r="C417" i="7" a="1"/>
  <c r="C417" i="7" s="1"/>
  <c r="K290" i="7"/>
  <c r="J290" i="7"/>
  <c r="M290" i="7" s="1"/>
  <c r="I290" i="7"/>
  <c r="C290" i="7" a="1"/>
  <c r="C290" i="7" s="1"/>
  <c r="K261" i="7"/>
  <c r="J261" i="7"/>
  <c r="I261" i="7"/>
  <c r="C261" i="7" a="1"/>
  <c r="C261" i="7" s="1"/>
  <c r="K291" i="7"/>
  <c r="J291" i="7"/>
  <c r="M291" i="7" s="1"/>
  <c r="I291" i="7"/>
  <c r="C291" i="7" a="1"/>
  <c r="C291" i="7" s="1"/>
  <c r="K523" i="7"/>
  <c r="J523" i="7"/>
  <c r="I523" i="7"/>
  <c r="C523" i="7" a="1"/>
  <c r="C523" i="7" s="1"/>
  <c r="K517" i="7"/>
  <c r="J517" i="7"/>
  <c r="I517" i="7"/>
  <c r="C517" i="7" a="1"/>
  <c r="C517" i="7" s="1"/>
  <c r="K527" i="7"/>
  <c r="J527" i="7"/>
  <c r="I527" i="7"/>
  <c r="C527" i="7" a="1"/>
  <c r="C527" i="7" s="1"/>
  <c r="K533" i="7"/>
  <c r="J533" i="7"/>
  <c r="I533" i="7"/>
  <c r="C533" i="7" a="1"/>
  <c r="C533" i="7" s="1"/>
  <c r="K327" i="7"/>
  <c r="J327" i="7"/>
  <c r="I327" i="7"/>
  <c r="C327" i="7" a="1"/>
  <c r="C327" i="7" s="1"/>
  <c r="K530" i="7"/>
  <c r="J530" i="7"/>
  <c r="M530" i="7" s="1"/>
  <c r="I530" i="7"/>
  <c r="C530" i="7" a="1"/>
  <c r="C530" i="7" s="1"/>
  <c r="K479" i="7"/>
  <c r="J479" i="7"/>
  <c r="I479" i="7"/>
  <c r="C479" i="7" a="1"/>
  <c r="C479" i="7" s="1"/>
  <c r="K477" i="7"/>
  <c r="J477" i="7"/>
  <c r="M477" i="7" s="1"/>
  <c r="I477" i="7"/>
  <c r="C477" i="7" a="1"/>
  <c r="C477" i="7" s="1"/>
  <c r="K158" i="7"/>
  <c r="J158" i="7"/>
  <c r="I158" i="7"/>
  <c r="C158" i="7" a="1"/>
  <c r="C158" i="7" s="1"/>
  <c r="K431" i="7"/>
  <c r="J431" i="7"/>
  <c r="I431" i="7"/>
  <c r="C431" i="7" a="1"/>
  <c r="C431" i="7" s="1"/>
  <c r="K99" i="7"/>
  <c r="J99" i="7"/>
  <c r="I99" i="7"/>
  <c r="M99" i="7" s="1"/>
  <c r="C99" i="7" a="1"/>
  <c r="C99" i="7" s="1"/>
  <c r="K98" i="7"/>
  <c r="J98" i="7"/>
  <c r="I98" i="7"/>
  <c r="M98" i="7" s="1"/>
  <c r="C98" i="7" a="1"/>
  <c r="C98" i="7" s="1"/>
  <c r="K521" i="7"/>
  <c r="J521" i="7"/>
  <c r="I521" i="7"/>
  <c r="C521" i="7" a="1"/>
  <c r="C521" i="7" s="1"/>
  <c r="K304" i="7"/>
  <c r="J304" i="7"/>
  <c r="M304" i="7" s="1"/>
  <c r="I304" i="7"/>
  <c r="C304" i="7" a="1"/>
  <c r="C304" i="7" s="1"/>
  <c r="K493" i="7"/>
  <c r="J493" i="7"/>
  <c r="I493" i="7"/>
  <c r="C493" i="7" a="1"/>
  <c r="C493" i="7" s="1"/>
  <c r="K97" i="7"/>
  <c r="J97" i="7"/>
  <c r="M97" i="7" s="1"/>
  <c r="I97" i="7"/>
  <c r="C97" i="7" a="1"/>
  <c r="C97" i="7" s="1"/>
  <c r="K96" i="7"/>
  <c r="J96" i="7"/>
  <c r="I96" i="7"/>
  <c r="C96" i="7" a="1"/>
  <c r="C96" i="7" s="1"/>
  <c r="K95" i="7"/>
  <c r="J95" i="7"/>
  <c r="I95" i="7"/>
  <c r="C95" i="7" a="1"/>
  <c r="C95" i="7" s="1"/>
  <c r="K187" i="7"/>
  <c r="J187" i="7"/>
  <c r="I187" i="7"/>
  <c r="C187" i="7" a="1"/>
  <c r="C187" i="7" s="1"/>
  <c r="K506" i="7"/>
  <c r="J506" i="7"/>
  <c r="I506" i="7"/>
  <c r="C506" i="7" a="1"/>
  <c r="C506" i="7" s="1"/>
  <c r="K94" i="7"/>
  <c r="J94" i="7"/>
  <c r="I94" i="7"/>
  <c r="M94" i="7" s="1"/>
  <c r="C94" i="7" a="1"/>
  <c r="C94" i="7" s="1"/>
  <c r="K202" i="7"/>
  <c r="J202" i="7"/>
  <c r="M202" i="7" s="1"/>
  <c r="I202" i="7"/>
  <c r="C202" i="7" a="1"/>
  <c r="C202" i="7" s="1"/>
  <c r="K168" i="7"/>
  <c r="J168" i="7"/>
  <c r="I168" i="7"/>
  <c r="C168" i="7" a="1"/>
  <c r="C168" i="7" s="1"/>
  <c r="K93" i="7"/>
  <c r="J93" i="7"/>
  <c r="M93" i="7" s="1"/>
  <c r="I93" i="7"/>
  <c r="C93" i="7" a="1"/>
  <c r="C93" i="7" s="1"/>
  <c r="K535" i="7"/>
  <c r="J535" i="7"/>
  <c r="I535" i="7"/>
  <c r="C535" i="7" a="1"/>
  <c r="C535" i="7" s="1"/>
  <c r="K542" i="7"/>
  <c r="J542" i="7"/>
  <c r="I542" i="7"/>
  <c r="C542" i="7" a="1"/>
  <c r="C542" i="7" s="1"/>
  <c r="K136" i="7"/>
  <c r="J136" i="7"/>
  <c r="I136" i="7"/>
  <c r="C136" i="7" a="1"/>
  <c r="C136" i="7" s="1"/>
  <c r="K544" i="7"/>
  <c r="J544" i="7"/>
  <c r="I544" i="7"/>
  <c r="C544" i="7" a="1"/>
  <c r="C544" i="7" s="1"/>
  <c r="K92" i="7"/>
  <c r="J92" i="7"/>
  <c r="I92" i="7"/>
  <c r="C92" i="7" a="1"/>
  <c r="C92" i="7" s="1"/>
  <c r="K91" i="7"/>
  <c r="J91" i="7"/>
  <c r="M91" i="7" s="1"/>
  <c r="I91" i="7"/>
  <c r="C91" i="7" a="1"/>
  <c r="C91" i="7" s="1"/>
  <c r="K90" i="7"/>
  <c r="J90" i="7"/>
  <c r="I90" i="7"/>
  <c r="C90" i="7" a="1"/>
  <c r="C90" i="7" s="1"/>
  <c r="K89" i="7"/>
  <c r="J89" i="7"/>
  <c r="I89" i="7"/>
  <c r="M89" i="7" s="1"/>
  <c r="C89" i="7" a="1"/>
  <c r="C89" i="7" s="1"/>
  <c r="K88" i="7"/>
  <c r="J88" i="7"/>
  <c r="I88" i="7"/>
  <c r="M88" i="7" s="1"/>
  <c r="C88" i="7" a="1"/>
  <c r="C88" i="7" s="1"/>
  <c r="K300" i="7"/>
  <c r="J300" i="7"/>
  <c r="I300" i="7"/>
  <c r="M300" i="7" s="1"/>
  <c r="C300" i="7" a="1"/>
  <c r="C300" i="7" s="1"/>
  <c r="K526" i="7"/>
  <c r="J526" i="7"/>
  <c r="I526" i="7"/>
  <c r="M526" i="7" s="1"/>
  <c r="C526" i="7" a="1"/>
  <c r="C526" i="7" s="1"/>
  <c r="K551" i="7"/>
  <c r="J551" i="7"/>
  <c r="I551" i="7"/>
  <c r="M551" i="7" s="1"/>
  <c r="C551" i="7" a="1"/>
  <c r="C551" i="7" s="1"/>
  <c r="K366" i="7"/>
  <c r="J366" i="7"/>
  <c r="I366" i="7"/>
  <c r="M366" i="7" s="1"/>
  <c r="C366" i="7" a="1"/>
  <c r="C366" i="7" s="1"/>
  <c r="K87" i="7"/>
  <c r="J87" i="7"/>
  <c r="I87" i="7"/>
  <c r="C87" i="7" a="1"/>
  <c r="C87" i="7" s="1"/>
  <c r="K86" i="7"/>
  <c r="J86" i="7"/>
  <c r="I86" i="7"/>
  <c r="M86" i="7" s="1"/>
  <c r="C86" i="7" a="1"/>
  <c r="C86" i="7" s="1"/>
  <c r="K425" i="7"/>
  <c r="J425" i="7"/>
  <c r="I425" i="7"/>
  <c r="C425" i="7" a="1"/>
  <c r="C425" i="7" s="1"/>
  <c r="K85" i="7"/>
  <c r="J85" i="7"/>
  <c r="I85" i="7"/>
  <c r="M85" i="7" s="1"/>
  <c r="C85" i="7" a="1"/>
  <c r="C85" i="7" s="1"/>
  <c r="K371" i="7"/>
  <c r="J371" i="7"/>
  <c r="I371" i="7"/>
  <c r="M371" i="7" s="1"/>
  <c r="C371" i="7" a="1"/>
  <c r="C371" i="7" s="1"/>
  <c r="K84" i="7"/>
  <c r="J84" i="7"/>
  <c r="I84" i="7"/>
  <c r="M84" i="7" s="1"/>
  <c r="C84" i="7" a="1"/>
  <c r="C84" i="7" s="1"/>
  <c r="K548" i="7"/>
  <c r="J548" i="7"/>
  <c r="I548" i="7"/>
  <c r="M548" i="7" s="1"/>
  <c r="C548" i="7" a="1"/>
  <c r="C548" i="7" s="1"/>
  <c r="K83" i="7"/>
  <c r="J83" i="7"/>
  <c r="I83" i="7"/>
  <c r="M83" i="7" s="1"/>
  <c r="C83" i="7" a="1"/>
  <c r="C83" i="7" s="1"/>
  <c r="M82" i="7"/>
  <c r="K82" i="7"/>
  <c r="J82" i="7"/>
  <c r="I82" i="7"/>
  <c r="C82" i="7" a="1"/>
  <c r="C82" i="7" s="1"/>
  <c r="K81" i="7"/>
  <c r="J81" i="7"/>
  <c r="I81" i="7"/>
  <c r="C81" i="7" a="1"/>
  <c r="C81" i="7" s="1"/>
  <c r="K422" i="7"/>
  <c r="J422" i="7"/>
  <c r="M422" i="7" s="1"/>
  <c r="I422" i="7"/>
  <c r="C422" i="7" a="1"/>
  <c r="C422" i="7" s="1"/>
  <c r="K377" i="7"/>
  <c r="J377" i="7"/>
  <c r="I377" i="7"/>
  <c r="C377" i="7" a="1"/>
  <c r="C377" i="7" s="1"/>
  <c r="K481" i="7"/>
  <c r="J481" i="7"/>
  <c r="I481" i="7"/>
  <c r="C481" i="7" a="1"/>
  <c r="C481" i="7" s="1"/>
  <c r="K256" i="7"/>
  <c r="J256" i="7"/>
  <c r="I256" i="7"/>
  <c r="C256" i="7" a="1"/>
  <c r="C256" i="7" s="1"/>
  <c r="K330" i="7"/>
  <c r="J330" i="7"/>
  <c r="I330" i="7"/>
  <c r="C330" i="7" a="1"/>
  <c r="C330" i="7" s="1"/>
  <c r="K382" i="7"/>
  <c r="J382" i="7"/>
  <c r="I382" i="7"/>
  <c r="C382" i="7" a="1"/>
  <c r="C382" i="7" s="1"/>
  <c r="K80" i="7"/>
  <c r="J80" i="7"/>
  <c r="M80" i="7" s="1"/>
  <c r="I80" i="7"/>
  <c r="C80" i="7" a="1"/>
  <c r="C80" i="7" s="1"/>
  <c r="K79" i="7"/>
  <c r="J79" i="7"/>
  <c r="I79" i="7"/>
  <c r="C79" i="7" a="1"/>
  <c r="C79" i="7" s="1"/>
  <c r="K358" i="7"/>
  <c r="J358" i="7"/>
  <c r="M358" i="7" s="1"/>
  <c r="I358" i="7"/>
  <c r="C358" i="7" a="1"/>
  <c r="C358" i="7" s="1"/>
  <c r="K334" i="7"/>
  <c r="J334" i="7"/>
  <c r="I334" i="7"/>
  <c r="C334" i="7" a="1"/>
  <c r="C334" i="7" s="1"/>
  <c r="K524" i="7"/>
  <c r="J524" i="7"/>
  <c r="I524" i="7"/>
  <c r="C524" i="7" a="1"/>
  <c r="C524" i="7" s="1"/>
  <c r="K420" i="7"/>
  <c r="J420" i="7"/>
  <c r="I420" i="7"/>
  <c r="C420" i="7" a="1"/>
  <c r="C420" i="7" s="1"/>
  <c r="K213" i="7"/>
  <c r="J213" i="7"/>
  <c r="I213" i="7"/>
  <c r="C213" i="7" a="1"/>
  <c r="C213" i="7" s="1"/>
  <c r="K252" i="7"/>
  <c r="J252" i="7"/>
  <c r="I252" i="7"/>
  <c r="C252" i="7" a="1"/>
  <c r="C252" i="7" s="1"/>
  <c r="K494" i="7"/>
  <c r="J494" i="7"/>
  <c r="I494" i="7"/>
  <c r="M494" i="7" s="1"/>
  <c r="C494" i="7" a="1"/>
  <c r="C494" i="7" s="1"/>
  <c r="K285" i="7"/>
  <c r="J285" i="7"/>
  <c r="I285" i="7"/>
  <c r="C285" i="7" a="1"/>
  <c r="C285" i="7" s="1"/>
  <c r="K224" i="7"/>
  <c r="J224" i="7"/>
  <c r="I224" i="7"/>
  <c r="C224" i="7" a="1"/>
  <c r="C224" i="7" s="1"/>
  <c r="M484" i="7"/>
  <c r="K484" i="7"/>
  <c r="J484" i="7"/>
  <c r="I484" i="7"/>
  <c r="C484" i="7" a="1"/>
  <c r="C484" i="7" s="1"/>
  <c r="K512" i="7"/>
  <c r="J512" i="7"/>
  <c r="I512" i="7"/>
  <c r="C512" i="7" a="1"/>
  <c r="C512" i="7" s="1"/>
  <c r="K272" i="7"/>
  <c r="J272" i="7"/>
  <c r="I272" i="7"/>
  <c r="C272" i="7" a="1"/>
  <c r="C272" i="7" s="1"/>
  <c r="K423" i="7"/>
  <c r="J423" i="7"/>
  <c r="I423" i="7"/>
  <c r="M423" i="7" s="1"/>
  <c r="C423" i="7" a="1"/>
  <c r="C423" i="7" s="1"/>
  <c r="K405" i="7"/>
  <c r="J405" i="7"/>
  <c r="I405" i="7"/>
  <c r="C405" i="7" a="1"/>
  <c r="C405" i="7" s="1"/>
  <c r="K435" i="7"/>
  <c r="J435" i="7"/>
  <c r="I435" i="7"/>
  <c r="M435" i="7" s="1"/>
  <c r="C435" i="7" a="1"/>
  <c r="C435" i="7" s="1"/>
  <c r="K193" i="7"/>
  <c r="J193" i="7"/>
  <c r="M193" i="7" s="1"/>
  <c r="I193" i="7"/>
  <c r="C193" i="7" a="1"/>
  <c r="C193" i="7" s="1"/>
  <c r="K312" i="7"/>
  <c r="J312" i="7"/>
  <c r="M312" i="7" s="1"/>
  <c r="I312" i="7"/>
  <c r="C312" i="7" a="1"/>
  <c r="C312" i="7" s="1"/>
  <c r="K237" i="7"/>
  <c r="J237" i="7"/>
  <c r="I237" i="7"/>
  <c r="M237" i="7" s="1"/>
  <c r="C237" i="7" a="1"/>
  <c r="C237" i="7" s="1"/>
  <c r="K325" i="7"/>
  <c r="J325" i="7"/>
  <c r="I325" i="7"/>
  <c r="C325" i="7" a="1"/>
  <c r="C325" i="7" s="1"/>
  <c r="K205" i="7"/>
  <c r="J205" i="7"/>
  <c r="I205" i="7"/>
  <c r="C205" i="7" a="1"/>
  <c r="C205" i="7" s="1"/>
  <c r="K375" i="7"/>
  <c r="J375" i="7"/>
  <c r="I375" i="7"/>
  <c r="C375" i="7" a="1"/>
  <c r="C375" i="7" s="1"/>
  <c r="K430" i="7"/>
  <c r="J430" i="7"/>
  <c r="I430" i="7"/>
  <c r="C430" i="7" a="1"/>
  <c r="C430" i="7" s="1"/>
  <c r="K305" i="7"/>
  <c r="J305" i="7"/>
  <c r="M305" i="7" s="1"/>
  <c r="I305" i="7"/>
  <c r="C305" i="7"/>
  <c r="C305" i="7" a="1"/>
  <c r="K307" i="7"/>
  <c r="J307" i="7"/>
  <c r="I307" i="7"/>
  <c r="C307" i="7" a="1"/>
  <c r="C307" i="7" s="1"/>
  <c r="K255" i="7"/>
  <c r="J255" i="7"/>
  <c r="I255" i="7"/>
  <c r="M255" i="7" s="1"/>
  <c r="C255" i="7" a="1"/>
  <c r="C255" i="7" s="1"/>
  <c r="K199" i="7"/>
  <c r="J199" i="7"/>
  <c r="I199" i="7"/>
  <c r="C199" i="7" a="1"/>
  <c r="C199" i="7" s="1"/>
  <c r="K409" i="7"/>
  <c r="J409" i="7"/>
  <c r="I409" i="7"/>
  <c r="M409" i="7" s="1"/>
  <c r="C409" i="7" a="1"/>
  <c r="C409" i="7" s="1"/>
  <c r="K246" i="7"/>
  <c r="J246" i="7"/>
  <c r="I246" i="7"/>
  <c r="C246" i="7" a="1"/>
  <c r="C246" i="7" s="1"/>
  <c r="K408" i="7"/>
  <c r="J408" i="7"/>
  <c r="I408" i="7"/>
  <c r="C408" i="7" a="1"/>
  <c r="C408" i="7" s="1"/>
  <c r="K349" i="7"/>
  <c r="J349" i="7"/>
  <c r="M349" i="7" s="1"/>
  <c r="I349" i="7"/>
  <c r="C349" i="7"/>
  <c r="C349" i="7" a="1"/>
  <c r="K356" i="7"/>
  <c r="J356" i="7"/>
  <c r="I356" i="7"/>
  <c r="C356" i="7" a="1"/>
  <c r="C356" i="7" s="1"/>
  <c r="K264" i="7"/>
  <c r="J264" i="7"/>
  <c r="I264" i="7"/>
  <c r="C264" i="7" a="1"/>
  <c r="C264" i="7" s="1"/>
  <c r="K220" i="7"/>
  <c r="J220" i="7"/>
  <c r="I220" i="7"/>
  <c r="C220" i="7" a="1"/>
  <c r="C220" i="7" s="1"/>
  <c r="K197" i="7"/>
  <c r="J197" i="7"/>
  <c r="M197" i="7" s="1"/>
  <c r="I197" i="7"/>
  <c r="C197" i="7"/>
  <c r="C197" i="7" a="1"/>
  <c r="M281" i="7"/>
  <c r="K281" i="7"/>
  <c r="J281" i="7"/>
  <c r="I281" i="7"/>
  <c r="C281" i="7"/>
  <c r="C281" i="7" a="1"/>
  <c r="K318" i="7"/>
  <c r="J318" i="7"/>
  <c r="I318" i="7"/>
  <c r="C318" i="7" a="1"/>
  <c r="C318" i="7" s="1"/>
  <c r="K170" i="7"/>
  <c r="J170" i="7"/>
  <c r="I170" i="7"/>
  <c r="M170" i="7" s="1"/>
  <c r="C170" i="7" a="1"/>
  <c r="C170" i="7" s="1"/>
  <c r="K142" i="7"/>
  <c r="J142" i="7"/>
  <c r="I142" i="7"/>
  <c r="C142" i="7" a="1"/>
  <c r="C142" i="7" s="1"/>
  <c r="K161" i="7"/>
  <c r="J161" i="7"/>
  <c r="M161" i="7" s="1"/>
  <c r="I161" i="7"/>
  <c r="C161" i="7"/>
  <c r="C161" i="7" a="1"/>
  <c r="K336" i="7"/>
  <c r="J336" i="7"/>
  <c r="I336" i="7"/>
  <c r="C336" i="7" a="1"/>
  <c r="C336" i="7" s="1"/>
  <c r="K482" i="7"/>
  <c r="J482" i="7"/>
  <c r="I482" i="7"/>
  <c r="C482" i="7" a="1"/>
  <c r="C482" i="7" s="1"/>
  <c r="K345" i="7"/>
  <c r="J345" i="7"/>
  <c r="I345" i="7"/>
  <c r="C345" i="7" a="1"/>
  <c r="C345" i="7" s="1"/>
  <c r="K319" i="7"/>
  <c r="J319" i="7"/>
  <c r="I319" i="7"/>
  <c r="M319" i="7" s="1"/>
  <c r="C319" i="7" a="1"/>
  <c r="C319" i="7" s="1"/>
  <c r="K143" i="7"/>
  <c r="J143" i="7"/>
  <c r="I143" i="7"/>
  <c r="C143" i="7" a="1"/>
  <c r="C143" i="7" s="1"/>
  <c r="K163" i="7"/>
  <c r="J163" i="7"/>
  <c r="I163" i="7"/>
  <c r="C163" i="7" a="1"/>
  <c r="C163" i="7" s="1"/>
  <c r="K442" i="7"/>
  <c r="J442" i="7"/>
  <c r="M442" i="7" s="1"/>
  <c r="I442" i="7"/>
  <c r="C442" i="7"/>
  <c r="C442" i="7" a="1"/>
  <c r="K260" i="7"/>
  <c r="J260" i="7"/>
  <c r="I260" i="7"/>
  <c r="C260" i="7" a="1"/>
  <c r="C260" i="7" s="1"/>
  <c r="K432" i="7"/>
  <c r="J432" i="7"/>
  <c r="I432" i="7"/>
  <c r="C432" i="7" a="1"/>
  <c r="C432" i="7" s="1"/>
  <c r="K474" i="7"/>
  <c r="J474" i="7"/>
  <c r="I474" i="7"/>
  <c r="C474" i="7" a="1"/>
  <c r="C474" i="7" s="1"/>
  <c r="K396" i="7"/>
  <c r="J396" i="7"/>
  <c r="M396" i="7" s="1"/>
  <c r="I396" i="7"/>
  <c r="C396" i="7"/>
  <c r="C396" i="7" a="1"/>
  <c r="K309" i="7"/>
  <c r="J309" i="7"/>
  <c r="M309" i="7" s="1"/>
  <c r="I309" i="7"/>
  <c r="C309" i="7"/>
  <c r="C309" i="7" a="1"/>
  <c r="K448" i="7"/>
  <c r="J448" i="7"/>
  <c r="I448" i="7"/>
  <c r="C448" i="7" a="1"/>
  <c r="C448" i="7" s="1"/>
  <c r="K78" i="7"/>
  <c r="J78" i="7"/>
  <c r="I78" i="7"/>
  <c r="M78" i="7" s="1"/>
  <c r="C78" i="7" a="1"/>
  <c r="C78" i="7" s="1"/>
  <c r="K478" i="7"/>
  <c r="J478" i="7"/>
  <c r="I478" i="7"/>
  <c r="C478" i="7" a="1"/>
  <c r="C478" i="7" s="1"/>
  <c r="K310" i="7"/>
  <c r="J310" i="7"/>
  <c r="M310" i="7" s="1"/>
  <c r="I310" i="7"/>
  <c r="C310" i="7"/>
  <c r="C310" i="7" a="1"/>
  <c r="K216" i="7"/>
  <c r="J216" i="7"/>
  <c r="I216" i="7"/>
  <c r="C216" i="7" a="1"/>
  <c r="C216" i="7" s="1"/>
  <c r="K361" i="7"/>
  <c r="J361" i="7"/>
  <c r="I361" i="7"/>
  <c r="M361" i="7" s="1"/>
  <c r="C361" i="7" a="1"/>
  <c r="C361" i="7" s="1"/>
  <c r="K133" i="7"/>
  <c r="J133" i="7"/>
  <c r="I133" i="7"/>
  <c r="C133" i="7" a="1"/>
  <c r="C133" i="7" s="1"/>
  <c r="K204" i="7"/>
  <c r="J204" i="7"/>
  <c r="I204" i="7"/>
  <c r="M204" i="7" s="1"/>
  <c r="C204" i="7" a="1"/>
  <c r="C204" i="7" s="1"/>
  <c r="K137" i="7"/>
  <c r="J137" i="7"/>
  <c r="I137" i="7"/>
  <c r="C137" i="7" a="1"/>
  <c r="C137" i="7" s="1"/>
  <c r="K151" i="7"/>
  <c r="J151" i="7"/>
  <c r="I151" i="7"/>
  <c r="C151" i="7" a="1"/>
  <c r="C151" i="7" s="1"/>
  <c r="K77" i="7"/>
  <c r="J77" i="7"/>
  <c r="I77" i="7"/>
  <c r="M77" i="7" s="1"/>
  <c r="C77" i="7" a="1"/>
  <c r="C77" i="7" s="1"/>
  <c r="K76" i="7"/>
  <c r="J76" i="7"/>
  <c r="I76" i="7"/>
  <c r="M76" i="7" s="1"/>
  <c r="C76" i="7" a="1"/>
  <c r="C76" i="7" s="1"/>
  <c r="M75" i="7"/>
  <c r="K75" i="7"/>
  <c r="J75" i="7"/>
  <c r="I75" i="7"/>
  <c r="C75" i="7" a="1"/>
  <c r="C75" i="7" s="1"/>
  <c r="K414" i="7"/>
  <c r="J414" i="7"/>
  <c r="I414" i="7"/>
  <c r="C414" i="7" a="1"/>
  <c r="C414" i="7" s="1"/>
  <c r="K74" i="7"/>
  <c r="J74" i="7"/>
  <c r="M74" i="7" s="1"/>
  <c r="I74" i="7"/>
  <c r="C74" i="7"/>
  <c r="C74" i="7" a="1"/>
  <c r="K221" i="7"/>
  <c r="J221" i="7"/>
  <c r="I221" i="7"/>
  <c r="C221" i="7" a="1"/>
  <c r="C221" i="7" s="1"/>
  <c r="K73" i="7"/>
  <c r="J73" i="7"/>
  <c r="I73" i="7"/>
  <c r="M73" i="7" s="1"/>
  <c r="C73" i="7" a="1"/>
  <c r="C73" i="7" s="1"/>
  <c r="K271" i="7"/>
  <c r="J271" i="7"/>
  <c r="M271" i="7" s="1"/>
  <c r="I271" i="7"/>
  <c r="C271" i="7"/>
  <c r="C271" i="7" a="1"/>
  <c r="K386" i="7"/>
  <c r="J386" i="7"/>
  <c r="I386" i="7"/>
  <c r="C386" i="7" a="1"/>
  <c r="C386" i="7" s="1"/>
  <c r="K555" i="7"/>
  <c r="J555" i="7"/>
  <c r="I555" i="7"/>
  <c r="C555" i="7" a="1"/>
  <c r="C555" i="7" s="1"/>
  <c r="K428" i="7"/>
  <c r="J428" i="7"/>
  <c r="I428" i="7"/>
  <c r="C428" i="7" a="1"/>
  <c r="C428" i="7" s="1"/>
  <c r="K72" i="7"/>
  <c r="J72" i="7"/>
  <c r="I72" i="7"/>
  <c r="M72" i="7" s="1"/>
  <c r="C72" i="7" a="1"/>
  <c r="C72" i="7" s="1"/>
  <c r="K71" i="7"/>
  <c r="J71" i="7"/>
  <c r="I71" i="7"/>
  <c r="M71" i="7" s="1"/>
  <c r="C71" i="7" a="1"/>
  <c r="C71" i="7" s="1"/>
  <c r="K519" i="7"/>
  <c r="J519" i="7"/>
  <c r="I519" i="7"/>
  <c r="M519" i="7" s="1"/>
  <c r="C519" i="7" a="1"/>
  <c r="C519" i="7" s="1"/>
  <c r="K355" i="7"/>
  <c r="J355" i="7"/>
  <c r="I355" i="7"/>
  <c r="C355" i="7" a="1"/>
  <c r="C355" i="7" s="1"/>
  <c r="K70" i="7"/>
  <c r="J70" i="7"/>
  <c r="I70" i="7"/>
  <c r="M70" i="7" s="1"/>
  <c r="C70" i="7" a="1"/>
  <c r="C70" i="7" s="1"/>
  <c r="K496" i="7"/>
  <c r="J496" i="7"/>
  <c r="M496" i="7" s="1"/>
  <c r="I496" i="7"/>
  <c r="C496" i="7"/>
  <c r="C496" i="7" a="1"/>
  <c r="K69" i="7"/>
  <c r="J69" i="7"/>
  <c r="I69" i="7"/>
  <c r="C69" i="7" a="1"/>
  <c r="C69" i="7" s="1"/>
  <c r="K68" i="7"/>
  <c r="J68" i="7"/>
  <c r="I68" i="7"/>
  <c r="M68" i="7" s="1"/>
  <c r="C68" i="7" a="1"/>
  <c r="C68" i="7" s="1"/>
  <c r="K67" i="7"/>
  <c r="J67" i="7"/>
  <c r="M67" i="7" s="1"/>
  <c r="I67" i="7"/>
  <c r="C67" i="7"/>
  <c r="C67" i="7" a="1"/>
  <c r="K274" i="7"/>
  <c r="J274" i="7"/>
  <c r="I274" i="7"/>
  <c r="C274" i="7" a="1"/>
  <c r="C274" i="7" s="1"/>
  <c r="K439" i="7"/>
  <c r="J439" i="7"/>
  <c r="I439" i="7"/>
  <c r="C439" i="7" a="1"/>
  <c r="C439" i="7" s="1"/>
  <c r="M66" i="7"/>
  <c r="K66" i="7"/>
  <c r="J66" i="7"/>
  <c r="I66" i="7"/>
  <c r="C66" i="7" a="1"/>
  <c r="C66" i="7" s="1"/>
  <c r="K469" i="7"/>
  <c r="J469" i="7"/>
  <c r="I469" i="7"/>
  <c r="C469" i="7" a="1"/>
  <c r="C469" i="7" s="1"/>
  <c r="K475" i="7"/>
  <c r="J475" i="7"/>
  <c r="M475" i="7" s="1"/>
  <c r="I475" i="7"/>
  <c r="C475" i="7"/>
  <c r="C475" i="7" a="1"/>
  <c r="K411" i="7"/>
  <c r="J411" i="7"/>
  <c r="M411" i="7" s="1"/>
  <c r="I411" i="7"/>
  <c r="C411" i="7"/>
  <c r="C411" i="7" a="1"/>
  <c r="M65" i="7"/>
  <c r="K65" i="7"/>
  <c r="J65" i="7"/>
  <c r="I65" i="7"/>
  <c r="C65" i="7"/>
  <c r="C65" i="7" a="1"/>
  <c r="M64" i="7"/>
  <c r="K64" i="7"/>
  <c r="J64" i="7"/>
  <c r="I64" i="7"/>
  <c r="C64" i="7"/>
  <c r="C64" i="7" a="1"/>
  <c r="M63" i="7"/>
  <c r="K63" i="7"/>
  <c r="J63" i="7"/>
  <c r="I63" i="7"/>
  <c r="C63" i="7"/>
  <c r="C63" i="7" a="1"/>
  <c r="K129" i="7"/>
  <c r="J129" i="7"/>
  <c r="M129" i="7" s="1"/>
  <c r="I129" i="7"/>
  <c r="C129" i="7"/>
  <c r="C129" i="7" a="1"/>
  <c r="M62" i="7"/>
  <c r="K62" i="7"/>
  <c r="J62" i="7"/>
  <c r="I62" i="7"/>
  <c r="C62" i="7"/>
  <c r="C62" i="7" a="1"/>
  <c r="K389" i="7"/>
  <c r="J389" i="7"/>
  <c r="M389" i="7" s="1"/>
  <c r="I389" i="7"/>
  <c r="C389" i="7"/>
  <c r="C389" i="7" a="1"/>
  <c r="K61" i="7"/>
  <c r="J61" i="7"/>
  <c r="I61" i="7"/>
  <c r="C61" i="7" a="1"/>
  <c r="C61" i="7" s="1"/>
  <c r="K60" i="7"/>
  <c r="J60" i="7"/>
  <c r="I60" i="7"/>
  <c r="M60" i="7" s="1"/>
  <c r="C60" i="7" a="1"/>
  <c r="C60" i="7" s="1"/>
  <c r="M59" i="7"/>
  <c r="K59" i="7"/>
  <c r="J59" i="7"/>
  <c r="I59" i="7"/>
  <c r="C59" i="7" a="1"/>
  <c r="C59" i="7" s="1"/>
  <c r="K308" i="7"/>
  <c r="J308" i="7"/>
  <c r="I308" i="7"/>
  <c r="C308" i="7" a="1"/>
  <c r="C308" i="7" s="1"/>
  <c r="K58" i="7"/>
  <c r="J58" i="7"/>
  <c r="I58" i="7"/>
  <c r="M58" i="7" s="1"/>
  <c r="C58" i="7" a="1"/>
  <c r="C58" i="7" s="1"/>
  <c r="K57" i="7"/>
  <c r="J57" i="7"/>
  <c r="I57" i="7"/>
  <c r="M57" i="7" s="1"/>
  <c r="C57" i="7" a="1"/>
  <c r="C57" i="7" s="1"/>
  <c r="M56" i="7"/>
  <c r="K56" i="7"/>
  <c r="J56" i="7"/>
  <c r="I56" i="7"/>
  <c r="C56" i="7" a="1"/>
  <c r="C56" i="7" s="1"/>
  <c r="K153" i="7"/>
  <c r="J153" i="7"/>
  <c r="I153" i="7"/>
  <c r="C153" i="7" a="1"/>
  <c r="C153" i="7" s="1"/>
  <c r="K55" i="7"/>
  <c r="J55" i="7"/>
  <c r="M55" i="7" s="1"/>
  <c r="I55" i="7"/>
  <c r="C55" i="7"/>
  <c r="C55" i="7" a="1"/>
  <c r="K514" i="7"/>
  <c r="J514" i="7"/>
  <c r="I514" i="7"/>
  <c r="C514" i="7" a="1"/>
  <c r="C514" i="7" s="1"/>
  <c r="K54" i="7"/>
  <c r="J54" i="7"/>
  <c r="I54" i="7"/>
  <c r="M54" i="7" s="1"/>
  <c r="C54" i="7" a="1"/>
  <c r="C54" i="7" s="1"/>
  <c r="K528" i="7"/>
  <c r="J528" i="7"/>
  <c r="M528" i="7" s="1"/>
  <c r="I528" i="7"/>
  <c r="C528" i="7"/>
  <c r="C528" i="7" a="1"/>
  <c r="K410" i="7"/>
  <c r="J410" i="7"/>
  <c r="I410" i="7"/>
  <c r="C410" i="7" a="1"/>
  <c r="C410" i="7" s="1"/>
  <c r="K53" i="7"/>
  <c r="J53" i="7"/>
  <c r="I53" i="7"/>
  <c r="M53" i="7" s="1"/>
  <c r="C53" i="7" a="1"/>
  <c r="C53" i="7" s="1"/>
  <c r="K52" i="7"/>
  <c r="J52" i="7"/>
  <c r="I52" i="7"/>
  <c r="C52" i="7" a="1"/>
  <c r="C52" i="7" s="1"/>
  <c r="K505" i="7"/>
  <c r="J505" i="7"/>
  <c r="I505" i="7"/>
  <c r="M505" i="7" s="1"/>
  <c r="C505" i="7" a="1"/>
  <c r="C505" i="7" s="1"/>
  <c r="K507" i="7"/>
  <c r="J507" i="7"/>
  <c r="I507" i="7"/>
  <c r="C507" i="7" a="1"/>
  <c r="C507" i="7" s="1"/>
  <c r="K51" i="7"/>
  <c r="J51" i="7"/>
  <c r="I51" i="7"/>
  <c r="M51" i="7" s="1"/>
  <c r="C51" i="7" a="1"/>
  <c r="C51" i="7" s="1"/>
  <c r="K50" i="7"/>
  <c r="J50" i="7"/>
  <c r="I50" i="7"/>
  <c r="M50" i="7" s="1"/>
  <c r="C50" i="7" a="1"/>
  <c r="C50" i="7" s="1"/>
  <c r="K316" i="7"/>
  <c r="J316" i="7"/>
  <c r="I316" i="7"/>
  <c r="C316" i="7" a="1"/>
  <c r="C316" i="7" s="1"/>
  <c r="K463" i="7"/>
  <c r="J463" i="7"/>
  <c r="I463" i="7"/>
  <c r="C463" i="7" a="1"/>
  <c r="C463" i="7" s="1"/>
  <c r="K49" i="7"/>
  <c r="J49" i="7"/>
  <c r="I49" i="7"/>
  <c r="M49" i="7" s="1"/>
  <c r="C49" i="7" a="1"/>
  <c r="C49" i="7" s="1"/>
  <c r="K48" i="7"/>
  <c r="J48" i="7"/>
  <c r="I48" i="7"/>
  <c r="M48" i="7" s="1"/>
  <c r="C48" i="7" a="1"/>
  <c r="C48" i="7" s="1"/>
  <c r="K47" i="7"/>
  <c r="J47" i="7"/>
  <c r="I47" i="7"/>
  <c r="M47" i="7" s="1"/>
  <c r="C47" i="7" a="1"/>
  <c r="C47" i="7" s="1"/>
  <c r="K46" i="7"/>
  <c r="J46" i="7"/>
  <c r="M46" i="7" s="1"/>
  <c r="I46" i="7"/>
  <c r="C46" i="7" a="1"/>
  <c r="C46" i="7" s="1"/>
  <c r="K45" i="7"/>
  <c r="J45" i="7"/>
  <c r="I45" i="7"/>
  <c r="C45" i="7" a="1"/>
  <c r="C45" i="7" s="1"/>
  <c r="K44" i="7"/>
  <c r="J44" i="7"/>
  <c r="I44" i="7"/>
  <c r="M44" i="7" s="1"/>
  <c r="C44" i="7" a="1"/>
  <c r="C44" i="7" s="1"/>
  <c r="K43" i="7"/>
  <c r="J43" i="7"/>
  <c r="I43" i="7"/>
  <c r="M43" i="7" s="1"/>
  <c r="C43" i="7" a="1"/>
  <c r="C43" i="7" s="1"/>
  <c r="K471" i="7"/>
  <c r="J471" i="7"/>
  <c r="I471" i="7"/>
  <c r="C471" i="7" a="1"/>
  <c r="C471" i="7" s="1"/>
  <c r="K42" i="7"/>
  <c r="J42" i="7"/>
  <c r="I42" i="7"/>
  <c r="M42" i="7" s="1"/>
  <c r="C42" i="7" a="1"/>
  <c r="C42" i="7" s="1"/>
  <c r="K232" i="7"/>
  <c r="J232" i="7"/>
  <c r="I232" i="7"/>
  <c r="C232" i="7" a="1"/>
  <c r="C232" i="7" s="1"/>
  <c r="K41" i="7"/>
  <c r="J41" i="7"/>
  <c r="I41" i="7"/>
  <c r="C41" i="7" a="1"/>
  <c r="C41" i="7" s="1"/>
  <c r="K40" i="7"/>
  <c r="J40" i="7"/>
  <c r="I40" i="7"/>
  <c r="M40" i="7" s="1"/>
  <c r="C40" i="7" a="1"/>
  <c r="C40" i="7" s="1"/>
  <c r="K39" i="7"/>
  <c r="J39" i="7"/>
  <c r="I39" i="7"/>
  <c r="M39" i="7" s="1"/>
  <c r="C39" i="7" a="1"/>
  <c r="C39" i="7" s="1"/>
  <c r="M38" i="7"/>
  <c r="K38" i="7"/>
  <c r="J38" i="7"/>
  <c r="I38" i="7"/>
  <c r="C38" i="7" a="1"/>
  <c r="C38" i="7" s="1"/>
  <c r="K37" i="7"/>
  <c r="J37" i="7"/>
  <c r="I37" i="7"/>
  <c r="M37" i="7" s="1"/>
  <c r="C37" i="7" a="1"/>
  <c r="C37" i="7" s="1"/>
  <c r="K509" i="7"/>
  <c r="J509" i="7"/>
  <c r="M509" i="7" s="1"/>
  <c r="I509" i="7"/>
  <c r="C509" i="7"/>
  <c r="C509" i="7" a="1"/>
  <c r="K36" i="7"/>
  <c r="J36" i="7"/>
  <c r="I36" i="7"/>
  <c r="C36" i="7" a="1"/>
  <c r="C36" i="7" s="1"/>
  <c r="K35" i="7"/>
  <c r="J35" i="7"/>
  <c r="M35" i="7" s="1"/>
  <c r="I35" i="7"/>
  <c r="C35" i="7" a="1"/>
  <c r="C35" i="7" s="1"/>
  <c r="K298" i="7"/>
  <c r="J298" i="7"/>
  <c r="I298" i="7"/>
  <c r="C298" i="7" a="1"/>
  <c r="C298" i="7" s="1"/>
  <c r="K412" i="7"/>
  <c r="J412" i="7"/>
  <c r="M412" i="7" s="1"/>
  <c r="I412" i="7"/>
  <c r="C412" i="7"/>
  <c r="C412" i="7" a="1"/>
  <c r="M34" i="7"/>
  <c r="K34" i="7"/>
  <c r="J34" i="7"/>
  <c r="I34" i="7"/>
  <c r="C34" i="7"/>
  <c r="C34" i="7" a="1"/>
  <c r="K33" i="7"/>
  <c r="J33" i="7"/>
  <c r="I33" i="7"/>
  <c r="C33" i="7" a="1"/>
  <c r="C33" i="7" s="1"/>
  <c r="K32" i="7"/>
  <c r="J32" i="7"/>
  <c r="I32" i="7"/>
  <c r="M32" i="7" s="1"/>
  <c r="C32" i="7" a="1"/>
  <c r="C32" i="7" s="1"/>
  <c r="K235" i="7"/>
  <c r="J235" i="7"/>
  <c r="I235" i="7"/>
  <c r="C235" i="7" a="1"/>
  <c r="C235" i="7" s="1"/>
  <c r="K31" i="7"/>
  <c r="J31" i="7"/>
  <c r="I31" i="7"/>
  <c r="M31" i="7" s="1"/>
  <c r="C31" i="7" a="1"/>
  <c r="C31" i="7" s="1"/>
  <c r="K30" i="7"/>
  <c r="J30" i="7"/>
  <c r="M30" i="7" s="1"/>
  <c r="I30" i="7"/>
  <c r="C30" i="7" a="1"/>
  <c r="C30" i="7" s="1"/>
  <c r="K29" i="7"/>
  <c r="J29" i="7"/>
  <c r="I29" i="7"/>
  <c r="M29" i="7" s="1"/>
  <c r="C29" i="7" a="1"/>
  <c r="C29" i="7" s="1"/>
  <c r="K552" i="7"/>
  <c r="J552" i="7"/>
  <c r="M552" i="7" s="1"/>
  <c r="I552" i="7"/>
  <c r="C552" i="7"/>
  <c r="C552" i="7" a="1"/>
  <c r="K303" i="7"/>
  <c r="J303" i="7"/>
  <c r="M303" i="7" s="1"/>
  <c r="I303" i="7"/>
  <c r="C303" i="7"/>
  <c r="C303" i="7" a="1"/>
  <c r="M28" i="7"/>
  <c r="K28" i="7"/>
  <c r="J28" i="7"/>
  <c r="I28" i="7"/>
  <c r="C28" i="7"/>
  <c r="C28" i="7" a="1"/>
  <c r="K27" i="7"/>
  <c r="J27" i="7"/>
  <c r="M27" i="7" s="1"/>
  <c r="I27" i="7"/>
  <c r="C27" i="7"/>
  <c r="C27" i="7" a="1"/>
  <c r="K452" i="7"/>
  <c r="J452" i="7"/>
  <c r="I452" i="7"/>
  <c r="C452" i="7" a="1"/>
  <c r="C452" i="7" s="1"/>
  <c r="K26" i="7"/>
  <c r="J26" i="7"/>
  <c r="I26" i="7"/>
  <c r="M26" i="7" s="1"/>
  <c r="C26" i="7" a="1"/>
  <c r="C26" i="7" s="1"/>
  <c r="M25" i="7"/>
  <c r="K25" i="7"/>
  <c r="J25" i="7"/>
  <c r="I25" i="7"/>
  <c r="C25" i="7" a="1"/>
  <c r="C25" i="7" s="1"/>
  <c r="K489" i="7"/>
  <c r="J489" i="7"/>
  <c r="I489" i="7"/>
  <c r="C489" i="7" a="1"/>
  <c r="C489" i="7" s="1"/>
  <c r="K24" i="7"/>
  <c r="J24" i="7"/>
  <c r="I24" i="7"/>
  <c r="M24" i="7" s="1"/>
  <c r="C24" i="7" a="1"/>
  <c r="C24" i="7" s="1"/>
  <c r="K23" i="7"/>
  <c r="J23" i="7"/>
  <c r="I23" i="7"/>
  <c r="M23" i="7" s="1"/>
  <c r="C23" i="7" a="1"/>
  <c r="C23" i="7" s="1"/>
  <c r="K217" i="7"/>
  <c r="J217" i="7"/>
  <c r="I217" i="7"/>
  <c r="C217" i="7" a="1"/>
  <c r="C217" i="7" s="1"/>
  <c r="K211" i="7"/>
  <c r="J211" i="7"/>
  <c r="M211" i="7" s="1"/>
  <c r="I211" i="7"/>
  <c r="C211" i="7"/>
  <c r="C211" i="7" a="1"/>
  <c r="K116" i="7"/>
  <c r="J116" i="7"/>
  <c r="I116" i="7"/>
  <c r="C116" i="7" a="1"/>
  <c r="C116" i="7" s="1"/>
  <c r="K532" i="7"/>
  <c r="J532" i="7"/>
  <c r="I532" i="7"/>
  <c r="C532" i="7" a="1"/>
  <c r="C532" i="7" s="1"/>
  <c r="K480" i="7"/>
  <c r="J480" i="7"/>
  <c r="I480" i="7"/>
  <c r="C480" i="7" a="1"/>
  <c r="C480" i="7" s="1"/>
  <c r="K392" i="7"/>
  <c r="J392" i="7"/>
  <c r="M392" i="7" s="1"/>
  <c r="I392" i="7"/>
  <c r="C392" i="7"/>
  <c r="C392" i="7" a="1"/>
  <c r="K495" i="7"/>
  <c r="J495" i="7"/>
  <c r="I495" i="7"/>
  <c r="C495" i="7" a="1"/>
  <c r="C495" i="7" s="1"/>
  <c r="K487" i="7"/>
  <c r="J487" i="7"/>
  <c r="I487" i="7"/>
  <c r="C487" i="7" a="1"/>
  <c r="C487" i="7" s="1"/>
  <c r="K456" i="7"/>
  <c r="J456" i="7"/>
  <c r="I456" i="7"/>
  <c r="C456" i="7" a="1"/>
  <c r="C456" i="7" s="1"/>
  <c r="K447" i="7"/>
  <c r="J447" i="7"/>
  <c r="M447" i="7" s="1"/>
  <c r="I447" i="7"/>
  <c r="C447" i="7"/>
  <c r="C447" i="7" a="1"/>
  <c r="K122" i="7"/>
  <c r="J122" i="7"/>
  <c r="I122" i="7"/>
  <c r="C122" i="7" a="1"/>
  <c r="C122" i="7" s="1"/>
  <c r="K508" i="7"/>
  <c r="J508" i="7"/>
  <c r="I508" i="7"/>
  <c r="C508" i="7" a="1"/>
  <c r="C508" i="7" s="1"/>
  <c r="K350" i="7"/>
  <c r="J350" i="7"/>
  <c r="I350" i="7"/>
  <c r="C350" i="7" a="1"/>
  <c r="C350" i="7" s="1"/>
  <c r="K473" i="7"/>
  <c r="J473" i="7"/>
  <c r="I473" i="7"/>
  <c r="M473" i="7" s="1"/>
  <c r="C473" i="7" a="1"/>
  <c r="C473" i="7" s="1"/>
  <c r="K465" i="7"/>
  <c r="J465" i="7"/>
  <c r="I465" i="7"/>
  <c r="C465" i="7" a="1"/>
  <c r="C465" i="7" s="1"/>
  <c r="K529" i="7"/>
  <c r="J529" i="7"/>
  <c r="I529" i="7"/>
  <c r="C529" i="7" a="1"/>
  <c r="C529" i="7" s="1"/>
  <c r="K22" i="7"/>
  <c r="J22" i="7"/>
  <c r="M22" i="7" s="1"/>
  <c r="I22" i="7"/>
  <c r="C22" i="7"/>
  <c r="C22" i="7" a="1"/>
  <c r="K491" i="7"/>
  <c r="J491" i="7"/>
  <c r="I491" i="7"/>
  <c r="C491" i="7" a="1"/>
  <c r="C491" i="7" s="1"/>
  <c r="K446" i="7"/>
  <c r="J446" i="7"/>
  <c r="I446" i="7"/>
  <c r="C446" i="7" a="1"/>
  <c r="C446" i="7" s="1"/>
  <c r="K393" i="7"/>
  <c r="J393" i="7"/>
  <c r="I393" i="7"/>
  <c r="C393" i="7" a="1"/>
  <c r="C393" i="7" s="1"/>
  <c r="K229" i="7"/>
  <c r="J229" i="7"/>
  <c r="M229" i="7" s="1"/>
  <c r="I229" i="7"/>
  <c r="C229" i="7"/>
  <c r="C229" i="7" a="1"/>
  <c r="K195" i="7"/>
  <c r="J195" i="7"/>
  <c r="M195" i="7" s="1"/>
  <c r="I195" i="7"/>
  <c r="C195" i="7"/>
  <c r="C195" i="7" a="1"/>
  <c r="K499" i="7"/>
  <c r="J499" i="7"/>
  <c r="I499" i="7"/>
  <c r="C499" i="7" a="1"/>
  <c r="C499" i="7" s="1"/>
  <c r="K254" i="7"/>
  <c r="J254" i="7"/>
  <c r="I254" i="7"/>
  <c r="C254" i="7" a="1"/>
  <c r="C254" i="7" s="1"/>
  <c r="K313" i="7"/>
  <c r="J313" i="7"/>
  <c r="I313" i="7"/>
  <c r="C313" i="7" a="1"/>
  <c r="C313" i="7" s="1"/>
  <c r="K263" i="7"/>
  <c r="J263" i="7"/>
  <c r="M263" i="7" s="1"/>
  <c r="I263" i="7"/>
  <c r="C263" i="7"/>
  <c r="C263" i="7" a="1"/>
  <c r="K416" i="7"/>
  <c r="J416" i="7"/>
  <c r="I416" i="7"/>
  <c r="C416" i="7" a="1"/>
  <c r="C416" i="7" s="1"/>
  <c r="K198" i="7"/>
  <c r="J198" i="7"/>
  <c r="I198" i="7"/>
  <c r="C198" i="7" a="1"/>
  <c r="C198" i="7" s="1"/>
  <c r="K370" i="7"/>
  <c r="J370" i="7"/>
  <c r="I370" i="7"/>
  <c r="C370" i="7" a="1"/>
  <c r="C370" i="7" s="1"/>
  <c r="K150" i="7"/>
  <c r="J150" i="7"/>
  <c r="M150" i="7" s="1"/>
  <c r="I150" i="7"/>
  <c r="C150" i="7"/>
  <c r="C150" i="7" a="1"/>
  <c r="K440" i="7"/>
  <c r="J440" i="7"/>
  <c r="I440" i="7"/>
  <c r="C440" i="7" a="1"/>
  <c r="C440" i="7" s="1"/>
  <c r="K259" i="7"/>
  <c r="J259" i="7"/>
  <c r="I259" i="7"/>
  <c r="C259" i="7" a="1"/>
  <c r="C259" i="7" s="1"/>
  <c r="K461" i="7"/>
  <c r="J461" i="7"/>
  <c r="I461" i="7"/>
  <c r="C461" i="7" a="1"/>
  <c r="C461" i="7" s="1"/>
  <c r="K250" i="7"/>
  <c r="J250" i="7"/>
  <c r="M250" i="7" s="1"/>
  <c r="I250" i="7"/>
  <c r="C250" i="7"/>
  <c r="C250" i="7" a="1"/>
  <c r="K450" i="7"/>
  <c r="J450" i="7"/>
  <c r="I450" i="7"/>
  <c r="C450" i="7" a="1"/>
  <c r="C450" i="7" s="1"/>
  <c r="K418" i="7"/>
  <c r="J418" i="7"/>
  <c r="I418" i="7"/>
  <c r="M418" i="7" s="1"/>
  <c r="C418" i="7" a="1"/>
  <c r="C418" i="7" s="1"/>
  <c r="K159" i="7"/>
  <c r="J159" i="7"/>
  <c r="I159" i="7"/>
  <c r="C159" i="7" a="1"/>
  <c r="C159" i="7" s="1"/>
  <c r="K273" i="7"/>
  <c r="J273" i="7"/>
  <c r="I273" i="7"/>
  <c r="M273" i="7" s="1"/>
  <c r="C273" i="7" a="1"/>
  <c r="C273" i="7" s="1"/>
  <c r="K277" i="7"/>
  <c r="J277" i="7"/>
  <c r="M277" i="7" s="1"/>
  <c r="I277" i="7"/>
  <c r="C277" i="7"/>
  <c r="C277" i="7" a="1"/>
  <c r="K268" i="7"/>
  <c r="J268" i="7"/>
  <c r="M268" i="7" s="1"/>
  <c r="I268" i="7"/>
  <c r="C268" i="7"/>
  <c r="C268" i="7" a="1"/>
  <c r="K156" i="7"/>
  <c r="J156" i="7"/>
  <c r="I156" i="7"/>
  <c r="C156" i="7" a="1"/>
  <c r="C156" i="7" s="1"/>
  <c r="M391" i="7"/>
  <c r="K391" i="7"/>
  <c r="J391" i="7"/>
  <c r="I391" i="7"/>
  <c r="C391" i="7"/>
  <c r="C391" i="7" a="1"/>
  <c r="K118" i="7"/>
  <c r="J118" i="7"/>
  <c r="M118" i="7" s="1"/>
  <c r="I118" i="7"/>
  <c r="C118" i="7" a="1"/>
  <c r="C118" i="7" s="1"/>
  <c r="K262" i="7"/>
  <c r="J262" i="7"/>
  <c r="I262" i="7"/>
  <c r="M262" i="7" s="1"/>
  <c r="C262" i="7" a="1"/>
  <c r="C262" i="7" s="1"/>
  <c r="K403" i="7"/>
  <c r="J403" i="7"/>
  <c r="M403" i="7" s="1"/>
  <c r="I403" i="7"/>
  <c r="C403" i="7" a="1"/>
  <c r="C403" i="7" s="1"/>
  <c r="K466" i="7"/>
  <c r="J466" i="7"/>
  <c r="I466" i="7"/>
  <c r="M466" i="7" s="1"/>
  <c r="C466" i="7" a="1"/>
  <c r="C466" i="7" s="1"/>
  <c r="K208" i="7"/>
  <c r="J208" i="7"/>
  <c r="I208" i="7"/>
  <c r="C208" i="7" a="1"/>
  <c r="C208" i="7" s="1"/>
  <c r="K328" i="7"/>
  <c r="J328" i="7"/>
  <c r="M328" i="7" s="1"/>
  <c r="I328" i="7"/>
  <c r="C328" i="7" a="1"/>
  <c r="C328" i="7" s="1"/>
  <c r="K296" i="7"/>
  <c r="J296" i="7"/>
  <c r="I296" i="7"/>
  <c r="M296" i="7" s="1"/>
  <c r="C296" i="7" a="1"/>
  <c r="C296" i="7" s="1"/>
  <c r="M341" i="7"/>
  <c r="K341" i="7"/>
  <c r="J341" i="7"/>
  <c r="I341" i="7"/>
  <c r="C341" i="7" a="1"/>
  <c r="C341" i="7" s="1"/>
  <c r="K257" i="7"/>
  <c r="J257" i="7"/>
  <c r="I257" i="7"/>
  <c r="M257" i="7" s="1"/>
  <c r="C257" i="7" a="1"/>
  <c r="C257" i="7" s="1"/>
  <c r="K218" i="7"/>
  <c r="J218" i="7"/>
  <c r="M218" i="7" s="1"/>
  <c r="I218" i="7"/>
  <c r="C218" i="7"/>
  <c r="C218" i="7" a="1"/>
  <c r="K293" i="7"/>
  <c r="J293" i="7"/>
  <c r="I293" i="7"/>
  <c r="C293" i="7" a="1"/>
  <c r="C293" i="7" s="1"/>
  <c r="M265" i="7"/>
  <c r="K265" i="7"/>
  <c r="J265" i="7"/>
  <c r="I265" i="7"/>
  <c r="C265" i="7"/>
  <c r="C265" i="7" a="1"/>
  <c r="K357" i="7"/>
  <c r="J357" i="7"/>
  <c r="I357" i="7"/>
  <c r="C357" i="7" a="1"/>
  <c r="C357" i="7" s="1"/>
  <c r="K367" i="7"/>
  <c r="J367" i="7"/>
  <c r="M367" i="7" s="1"/>
  <c r="I367" i="7"/>
  <c r="C367" i="7" a="1"/>
  <c r="C367" i="7" s="1"/>
  <c r="K322" i="7"/>
  <c r="J322" i="7"/>
  <c r="I322" i="7"/>
  <c r="M322" i="7" s="1"/>
  <c r="C322" i="7" a="1"/>
  <c r="C322" i="7" s="1"/>
  <c r="M388" i="7"/>
  <c r="K388" i="7"/>
  <c r="J388" i="7"/>
  <c r="I388" i="7"/>
  <c r="C388" i="7" a="1"/>
  <c r="C388" i="7" s="1"/>
  <c r="K359" i="7"/>
  <c r="J359" i="7"/>
  <c r="I359" i="7"/>
  <c r="M359" i="7" s="1"/>
  <c r="C359" i="7" a="1"/>
  <c r="C359" i="7" s="1"/>
  <c r="K434" i="7"/>
  <c r="J434" i="7"/>
  <c r="M434" i="7" s="1"/>
  <c r="I434" i="7"/>
  <c r="C434" i="7" a="1"/>
  <c r="C434" i="7" s="1"/>
  <c r="K321" i="7"/>
  <c r="J321" i="7"/>
  <c r="M321" i="7" s="1"/>
  <c r="I321" i="7"/>
  <c r="C321" i="7" a="1"/>
  <c r="C321" i="7" s="1"/>
  <c r="K522" i="7"/>
  <c r="J522" i="7"/>
  <c r="I522" i="7"/>
  <c r="M522" i="7" s="1"/>
  <c r="C522" i="7" a="1"/>
  <c r="C522" i="7" s="1"/>
  <c r="K241" i="7"/>
  <c r="J241" i="7"/>
  <c r="M241" i="7" s="1"/>
  <c r="I241" i="7"/>
  <c r="C241" i="7" a="1"/>
  <c r="C241" i="7" s="1"/>
  <c r="K379" i="7"/>
  <c r="J379" i="7"/>
  <c r="I379" i="7"/>
  <c r="M379" i="7" s="1"/>
  <c r="C379" i="7" a="1"/>
  <c r="C379" i="7" s="1"/>
  <c r="K352" i="7"/>
  <c r="J352" i="7"/>
  <c r="I352" i="7"/>
  <c r="C352" i="7" a="1"/>
  <c r="C352" i="7" s="1"/>
  <c r="K383" i="7"/>
  <c r="J383" i="7"/>
  <c r="M383" i="7" s="1"/>
  <c r="I383" i="7"/>
  <c r="C383" i="7" a="1"/>
  <c r="C383" i="7" s="1"/>
  <c r="K340" i="7"/>
  <c r="J340" i="7"/>
  <c r="I340" i="7"/>
  <c r="M340" i="7" s="1"/>
  <c r="C340" i="7" a="1"/>
  <c r="C340" i="7" s="1"/>
  <c r="M192" i="7"/>
  <c r="K192" i="7"/>
  <c r="J192" i="7"/>
  <c r="I192" i="7"/>
  <c r="C192" i="7"/>
  <c r="C192" i="7" a="1"/>
  <c r="K131" i="7"/>
  <c r="J131" i="7"/>
  <c r="I131" i="7"/>
  <c r="C131" i="7" a="1"/>
  <c r="C131" i="7" s="1"/>
  <c r="K333" i="7"/>
  <c r="J333" i="7"/>
  <c r="M333" i="7" s="1"/>
  <c r="I333" i="7"/>
  <c r="C333" i="7" a="1"/>
  <c r="C333" i="7" s="1"/>
  <c r="K120" i="7"/>
  <c r="J120" i="7"/>
  <c r="M120" i="7" s="1"/>
  <c r="I120" i="7"/>
  <c r="C120" i="7" a="1"/>
  <c r="C120" i="7" s="1"/>
  <c r="K219" i="7"/>
  <c r="J219" i="7"/>
  <c r="I219" i="7"/>
  <c r="M219" i="7" s="1"/>
  <c r="C219" i="7" a="1"/>
  <c r="C219" i="7" s="1"/>
  <c r="M454" i="7"/>
  <c r="K454" i="7"/>
  <c r="J454" i="7"/>
  <c r="I454" i="7"/>
  <c r="C454" i="7" a="1"/>
  <c r="C454" i="7" s="1"/>
  <c r="K384" i="7"/>
  <c r="J384" i="7"/>
  <c r="I384" i="7"/>
  <c r="M384" i="7" s="1"/>
  <c r="C384" i="7" a="1"/>
  <c r="C384" i="7" s="1"/>
  <c r="K209" i="7"/>
  <c r="J209" i="7"/>
  <c r="M209" i="7" s="1"/>
  <c r="I209" i="7"/>
  <c r="C209" i="7" a="1"/>
  <c r="C209" i="7" s="1"/>
  <c r="K175" i="7"/>
  <c r="J175" i="7"/>
  <c r="I175" i="7"/>
  <c r="M175" i="7" s="1"/>
  <c r="C175" i="7" a="1"/>
  <c r="C175" i="7" s="1"/>
  <c r="K242" i="7"/>
  <c r="J242" i="7"/>
  <c r="I242" i="7"/>
  <c r="C242" i="7" a="1"/>
  <c r="C242" i="7" s="1"/>
  <c r="K177" i="7"/>
  <c r="J177" i="7"/>
  <c r="I177" i="7"/>
  <c r="M177" i="7" s="1"/>
  <c r="C177" i="7" a="1"/>
  <c r="C177" i="7" s="1"/>
  <c r="K342" i="7"/>
  <c r="J342" i="7"/>
  <c r="M342" i="7" s="1"/>
  <c r="I342" i="7"/>
  <c r="C342" i="7" a="1"/>
  <c r="C342" i="7" s="1"/>
  <c r="K189" i="7"/>
  <c r="J189" i="7"/>
  <c r="I189" i="7"/>
  <c r="M189" i="7" s="1"/>
  <c r="C189" i="7" a="1"/>
  <c r="C189" i="7" s="1"/>
  <c r="M174" i="7"/>
  <c r="K174" i="7"/>
  <c r="J174" i="7"/>
  <c r="I174" i="7"/>
  <c r="C174" i="7" a="1"/>
  <c r="C174" i="7" s="1"/>
  <c r="K419" i="7"/>
  <c r="J419" i="7"/>
  <c r="I419" i="7"/>
  <c r="M419" i="7" s="1"/>
  <c r="C419" i="7" a="1"/>
  <c r="C419" i="7" s="1"/>
  <c r="K299" i="7"/>
  <c r="J299" i="7"/>
  <c r="M299" i="7" s="1"/>
  <c r="I299" i="7"/>
  <c r="C299" i="7" a="1"/>
  <c r="C299" i="7" s="1"/>
  <c r="K200" i="7"/>
  <c r="J200" i="7"/>
  <c r="I200" i="7"/>
  <c r="M200" i="7" s="1"/>
  <c r="C200" i="7" a="1"/>
  <c r="C200" i="7" s="1"/>
  <c r="K283" i="7"/>
  <c r="J283" i="7"/>
  <c r="I283" i="7"/>
  <c r="C283" i="7" a="1"/>
  <c r="C283" i="7" s="1"/>
  <c r="M194" i="7"/>
  <c r="K194" i="7"/>
  <c r="J194" i="7"/>
  <c r="I194" i="7"/>
  <c r="C194" i="7"/>
  <c r="C194" i="7" a="1"/>
  <c r="K147" i="7"/>
  <c r="J147" i="7"/>
  <c r="I147" i="7"/>
  <c r="C147" i="7" a="1"/>
  <c r="C147" i="7" s="1"/>
  <c r="K179" i="7"/>
  <c r="J179" i="7"/>
  <c r="M179" i="7" s="1"/>
  <c r="I179" i="7"/>
  <c r="C179" i="7" a="1"/>
  <c r="C179" i="7" s="1"/>
  <c r="K348" i="7"/>
  <c r="J348" i="7"/>
  <c r="M348" i="7" s="1"/>
  <c r="I348" i="7"/>
  <c r="C348" i="7" a="1"/>
  <c r="C348" i="7" s="1"/>
  <c r="K284" i="7"/>
  <c r="J284" i="7"/>
  <c r="I284" i="7"/>
  <c r="M284" i="7" s="1"/>
  <c r="C284" i="7" a="1"/>
  <c r="C284" i="7" s="1"/>
  <c r="M441" i="7"/>
  <c r="K441" i="7"/>
  <c r="J441" i="7"/>
  <c r="I441" i="7"/>
  <c r="C441" i="7" a="1"/>
  <c r="C441" i="7" s="1"/>
  <c r="K226" i="7"/>
  <c r="J226" i="7"/>
  <c r="I226" i="7"/>
  <c r="M226" i="7" s="1"/>
  <c r="C226" i="7" a="1"/>
  <c r="C226" i="7" s="1"/>
  <c r="K145" i="7"/>
  <c r="J145" i="7"/>
  <c r="I145" i="7"/>
  <c r="M145" i="7" s="1"/>
  <c r="C145" i="7" a="1"/>
  <c r="C145" i="7" s="1"/>
  <c r="M294" i="7"/>
  <c r="K294" i="7"/>
  <c r="J294" i="7"/>
  <c r="I294" i="7"/>
  <c r="C294" i="7" a="1"/>
  <c r="C294" i="7" s="1"/>
  <c r="K436" i="7"/>
  <c r="J436" i="7"/>
  <c r="M436" i="7" s="1"/>
  <c r="I436" i="7"/>
  <c r="C436" i="7" a="1"/>
  <c r="C436" i="7" s="1"/>
  <c r="K182" i="7"/>
  <c r="J182" i="7"/>
  <c r="I182" i="7"/>
  <c r="M182" i="7" s="1"/>
  <c r="C182" i="7" a="1"/>
  <c r="C182" i="7" s="1"/>
  <c r="K160" i="7"/>
  <c r="J160" i="7"/>
  <c r="M160" i="7" s="1"/>
  <c r="I160" i="7"/>
  <c r="C160" i="7" a="1"/>
  <c r="C160" i="7" s="1"/>
  <c r="K280" i="7"/>
  <c r="J280" i="7"/>
  <c r="I280" i="7"/>
  <c r="M280" i="7" s="1"/>
  <c r="C280" i="7" a="1"/>
  <c r="C280" i="7" s="1"/>
  <c r="M141" i="7"/>
  <c r="K141" i="7"/>
  <c r="J141" i="7"/>
  <c r="I141" i="7"/>
  <c r="C141" i="7" a="1"/>
  <c r="C141" i="7" s="1"/>
  <c r="K351" i="7"/>
  <c r="J351" i="7"/>
  <c r="I351" i="7"/>
  <c r="M351" i="7" s="1"/>
  <c r="C351" i="7" a="1"/>
  <c r="C351" i="7" s="1"/>
  <c r="K269" i="7"/>
  <c r="J269" i="7"/>
  <c r="M269" i="7" s="1"/>
  <c r="I269" i="7"/>
  <c r="C269" i="7" a="1"/>
  <c r="C269" i="7" s="1"/>
  <c r="K128" i="7"/>
  <c r="J128" i="7"/>
  <c r="I128" i="7"/>
  <c r="M128" i="7" s="1"/>
  <c r="C128" i="7" a="1"/>
  <c r="C128" i="7" s="1"/>
  <c r="K181" i="7"/>
  <c r="J181" i="7"/>
  <c r="M181" i="7" s="1"/>
  <c r="I181" i="7"/>
  <c r="C181" i="7" a="1"/>
  <c r="C181" i="7" s="1"/>
  <c r="K166" i="7"/>
  <c r="J166" i="7"/>
  <c r="I166" i="7"/>
  <c r="M166" i="7" s="1"/>
  <c r="C166" i="7" a="1"/>
  <c r="C166" i="7" s="1"/>
  <c r="K243" i="7"/>
  <c r="J243" i="7"/>
  <c r="M243" i="7" s="1"/>
  <c r="I243" i="7"/>
  <c r="C243" i="7" a="1"/>
  <c r="C243" i="7" s="1"/>
  <c r="K498" i="7"/>
  <c r="J498" i="7"/>
  <c r="I498" i="7"/>
  <c r="M498" i="7" s="1"/>
  <c r="C498" i="7" a="1"/>
  <c r="C498" i="7" s="1"/>
  <c r="M231" i="7"/>
  <c r="K231" i="7"/>
  <c r="J231" i="7"/>
  <c r="I231" i="7"/>
  <c r="C231" i="7" a="1"/>
  <c r="C231" i="7" s="1"/>
  <c r="K124" i="7"/>
  <c r="J124" i="7"/>
  <c r="I124" i="7"/>
  <c r="M124" i="7" s="1"/>
  <c r="C124" i="7" a="1"/>
  <c r="C124" i="7" s="1"/>
  <c r="K406" i="7"/>
  <c r="J406" i="7"/>
  <c r="I406" i="7"/>
  <c r="C406" i="7" a="1"/>
  <c r="C406" i="7" s="1"/>
  <c r="K483" i="7"/>
  <c r="J483" i="7"/>
  <c r="M483" i="7" s="1"/>
  <c r="I483" i="7"/>
  <c r="C483" i="7"/>
  <c r="C483" i="7" a="1"/>
  <c r="K289" i="7"/>
  <c r="J289" i="7"/>
  <c r="I289" i="7"/>
  <c r="C289" i="7" a="1"/>
  <c r="C289" i="7" s="1"/>
  <c r="M225" i="7"/>
  <c r="K225" i="7"/>
  <c r="J225" i="7"/>
  <c r="I225" i="7"/>
  <c r="C225" i="7" a="1"/>
  <c r="C225" i="7" s="1"/>
  <c r="K162" i="7"/>
  <c r="J162" i="7"/>
  <c r="M162" i="7" s="1"/>
  <c r="I162" i="7"/>
  <c r="C162" i="7" a="1"/>
  <c r="C162" i="7" s="1"/>
  <c r="K238" i="7"/>
  <c r="J238" i="7"/>
  <c r="I238" i="7"/>
  <c r="M238" i="7" s="1"/>
  <c r="C238" i="7" a="1"/>
  <c r="C238" i="7" s="1"/>
  <c r="K134" i="7"/>
  <c r="J134" i="7"/>
  <c r="M134" i="7" s="1"/>
  <c r="I134" i="7"/>
  <c r="C134" i="7" a="1"/>
  <c r="C134" i="7" s="1"/>
  <c r="K502" i="7"/>
  <c r="J502" i="7"/>
  <c r="I502" i="7"/>
  <c r="M502" i="7" s="1"/>
  <c r="C502" i="7" a="1"/>
  <c r="C502" i="7" s="1"/>
  <c r="K169" i="7"/>
  <c r="J169" i="7"/>
  <c r="I169" i="7"/>
  <c r="M169" i="7" s="1"/>
  <c r="C169" i="7" a="1"/>
  <c r="C169" i="7" s="1"/>
  <c r="K429" i="7"/>
  <c r="J429" i="7"/>
  <c r="M429" i="7" s="1"/>
  <c r="I429" i="7"/>
  <c r="C429" i="7" a="1"/>
  <c r="C429" i="7" s="1"/>
  <c r="K492" i="7"/>
  <c r="J492" i="7"/>
  <c r="M492" i="7" s="1"/>
  <c r="I492" i="7"/>
  <c r="C492" i="7" a="1"/>
  <c r="C492" i="7" s="1"/>
  <c r="K135" i="7"/>
  <c r="J135" i="7"/>
  <c r="I135" i="7"/>
  <c r="M135" i="7" s="1"/>
  <c r="C135" i="7" a="1"/>
  <c r="C135" i="7" s="1"/>
  <c r="M455" i="7"/>
  <c r="K455" i="7"/>
  <c r="J455" i="7"/>
  <c r="I455" i="7"/>
  <c r="C455" i="7" a="1"/>
  <c r="C455" i="7" s="1"/>
  <c r="K154" i="7"/>
  <c r="J154" i="7"/>
  <c r="I154" i="7"/>
  <c r="M154" i="7" s="1"/>
  <c r="C154" i="7" a="1"/>
  <c r="C154" i="7" s="1"/>
  <c r="K247" i="7"/>
  <c r="J247" i="7"/>
  <c r="M247" i="7" s="1"/>
  <c r="I247" i="7"/>
  <c r="C247" i="7" a="1"/>
  <c r="C247" i="7" s="1"/>
  <c r="K306" i="7"/>
  <c r="J306" i="7"/>
  <c r="I306" i="7"/>
  <c r="M306" i="7" s="1"/>
  <c r="C306" i="7" a="1"/>
  <c r="C306" i="7" s="1"/>
  <c r="K138" i="7"/>
  <c r="J138" i="7"/>
  <c r="M138" i="7" s="1"/>
  <c r="I138" i="7"/>
  <c r="C138" i="7" a="1"/>
  <c r="C138" i="7" s="1"/>
  <c r="K373" i="7"/>
  <c r="J373" i="7"/>
  <c r="I373" i="7"/>
  <c r="M373" i="7" s="1"/>
  <c r="C373" i="7" a="1"/>
  <c r="C373" i="7" s="1"/>
  <c r="K249" i="7"/>
  <c r="J249" i="7"/>
  <c r="M249" i="7" s="1"/>
  <c r="I249" i="7"/>
  <c r="C249" i="7" a="1"/>
  <c r="C249" i="7" s="1"/>
  <c r="K407" i="7"/>
  <c r="J407" i="7"/>
  <c r="I407" i="7"/>
  <c r="M407" i="7" s="1"/>
  <c r="C407" i="7" a="1"/>
  <c r="C407" i="7" s="1"/>
  <c r="M214" i="7"/>
  <c r="K214" i="7"/>
  <c r="J214" i="7"/>
  <c r="I214" i="7"/>
  <c r="C214" i="7" a="1"/>
  <c r="C214" i="7" s="1"/>
  <c r="K372" i="7"/>
  <c r="J372" i="7"/>
  <c r="I372" i="7"/>
  <c r="M372" i="7" s="1"/>
  <c r="C372" i="7" a="1"/>
  <c r="C372" i="7" s="1"/>
  <c r="K282" i="7"/>
  <c r="J282" i="7"/>
  <c r="I282" i="7"/>
  <c r="M282" i="7" s="1"/>
  <c r="C282" i="7" a="1"/>
  <c r="C282" i="7" s="1"/>
  <c r="M114" i="7"/>
  <c r="K114" i="7"/>
  <c r="J114" i="7"/>
  <c r="I114" i="7"/>
  <c r="C114" i="7" a="1"/>
  <c r="C114" i="7" s="1"/>
  <c r="K288" i="7"/>
  <c r="J288" i="7"/>
  <c r="I288" i="7"/>
  <c r="C288" i="7" a="1"/>
  <c r="C288" i="7" s="1"/>
  <c r="K302" i="7"/>
  <c r="J302" i="7"/>
  <c r="I302" i="7"/>
  <c r="M302" i="7" s="1"/>
  <c r="C302" i="7" a="1"/>
  <c r="C302" i="7" s="1"/>
  <c r="K215" i="7"/>
  <c r="J215" i="7"/>
  <c r="M215" i="7" s="1"/>
  <c r="I215" i="7"/>
  <c r="C215" i="7" a="1"/>
  <c r="C215" i="7" s="1"/>
  <c r="K488" i="7"/>
  <c r="J488" i="7"/>
  <c r="I488" i="7"/>
  <c r="M488" i="7" s="1"/>
  <c r="C488" i="7" a="1"/>
  <c r="C488" i="7" s="1"/>
  <c r="K251" i="7"/>
  <c r="J251" i="7"/>
  <c r="I251" i="7"/>
  <c r="C251" i="7" a="1"/>
  <c r="C251" i="7" s="1"/>
  <c r="M152" i="7"/>
  <c r="K152" i="7"/>
  <c r="J152" i="7"/>
  <c r="I152" i="7"/>
  <c r="C152" i="7" a="1"/>
  <c r="C152" i="7" s="1"/>
  <c r="K117" i="7"/>
  <c r="J117" i="7"/>
  <c r="I117" i="7"/>
  <c r="M117" i="7" s="1"/>
  <c r="C117" i="7" a="1"/>
  <c r="C117" i="7" s="1"/>
  <c r="K421" i="7"/>
  <c r="J421" i="7"/>
  <c r="M421" i="7" s="1"/>
  <c r="I421" i="7"/>
  <c r="C421" i="7" a="1"/>
  <c r="C421" i="7" s="1"/>
  <c r="M278" i="7"/>
  <c r="K278" i="7"/>
  <c r="J278" i="7"/>
  <c r="I278" i="7"/>
  <c r="C278" i="7" a="1"/>
  <c r="C278" i="7" s="1"/>
  <c r="K240" i="7"/>
  <c r="J240" i="7"/>
  <c r="I240" i="7"/>
  <c r="M240" i="7" s="1"/>
  <c r="C240" i="7" a="1"/>
  <c r="C240" i="7" s="1"/>
  <c r="K275" i="7"/>
  <c r="J275" i="7"/>
  <c r="I275" i="7"/>
  <c r="C275" i="7" a="1"/>
  <c r="C275" i="7" s="1"/>
  <c r="K258" i="7"/>
  <c r="J258" i="7"/>
  <c r="M258" i="7" s="1"/>
  <c r="I258" i="7"/>
  <c r="C258" i="7" a="1"/>
  <c r="C258" i="7" s="1"/>
  <c r="K245" i="7"/>
  <c r="J245" i="7"/>
  <c r="I245" i="7"/>
  <c r="M245" i="7" s="1"/>
  <c r="C245" i="7" a="1"/>
  <c r="C245" i="7" s="1"/>
  <c r="M503" i="7"/>
  <c r="K503" i="7"/>
  <c r="J503" i="7"/>
  <c r="I503" i="7"/>
  <c r="C503" i="7" a="1"/>
  <c r="C503" i="7" s="1"/>
  <c r="K320" i="7"/>
  <c r="J320" i="7"/>
  <c r="I320" i="7"/>
  <c r="M320" i="7" s="1"/>
  <c r="C320" i="7" a="1"/>
  <c r="C320" i="7" s="1"/>
  <c r="K380" i="7"/>
  <c r="J380" i="7"/>
  <c r="M380" i="7" s="1"/>
  <c r="I380" i="7"/>
  <c r="C380" i="7"/>
  <c r="C380" i="7" a="1"/>
  <c r="M21" i="7"/>
  <c r="K21" i="7"/>
  <c r="J21" i="7"/>
  <c r="I21" i="7"/>
  <c r="C21" i="7" a="1"/>
  <c r="C21" i="7" s="1"/>
  <c r="K536" i="7"/>
  <c r="J536" i="7"/>
  <c r="I536" i="7"/>
  <c r="M536" i="7" s="1"/>
  <c r="C536" i="7" a="1"/>
  <c r="C536" i="7" s="1"/>
  <c r="K462" i="7"/>
  <c r="J462" i="7"/>
  <c r="M462" i="7" s="1"/>
  <c r="I462" i="7"/>
  <c r="C462" i="7" a="1"/>
  <c r="C462" i="7" s="1"/>
  <c r="K540" i="7"/>
  <c r="J540" i="7"/>
  <c r="I540" i="7"/>
  <c r="M540" i="7" s="1"/>
  <c r="C540" i="7" a="1"/>
  <c r="C540" i="7" s="1"/>
  <c r="M427" i="7"/>
  <c r="K427" i="7"/>
  <c r="J427" i="7"/>
  <c r="I427" i="7"/>
  <c r="C427" i="7" a="1"/>
  <c r="C427" i="7" s="1"/>
  <c r="K20" i="7"/>
  <c r="J20" i="7"/>
  <c r="I20" i="7"/>
  <c r="M20" i="7" s="1"/>
  <c r="C20" i="7" a="1"/>
  <c r="C20" i="7" s="1"/>
  <c r="K531" i="7"/>
  <c r="J531" i="7"/>
  <c r="I531" i="7"/>
  <c r="M531" i="7" s="1"/>
  <c r="C531" i="7" a="1"/>
  <c r="C531" i="7" s="1"/>
  <c r="M19" i="7"/>
  <c r="K19" i="7"/>
  <c r="J19" i="7"/>
  <c r="I19" i="7"/>
  <c r="C19" i="7" a="1"/>
  <c r="C19" i="7" s="1"/>
  <c r="K18" i="7"/>
  <c r="J18" i="7"/>
  <c r="I18" i="7"/>
  <c r="M18" i="7" s="1"/>
  <c r="C18" i="7" a="1"/>
  <c r="C18" i="7" s="1"/>
  <c r="M17" i="7"/>
  <c r="K17" i="7"/>
  <c r="J17" i="7"/>
  <c r="I17" i="7"/>
  <c r="C17" i="7"/>
  <c r="C17" i="7" a="1"/>
  <c r="K176" i="7"/>
  <c r="J176" i="7"/>
  <c r="I176" i="7"/>
  <c r="C176" i="7" a="1"/>
  <c r="C176" i="7" s="1"/>
  <c r="M314" i="7"/>
  <c r="K314" i="7"/>
  <c r="J314" i="7"/>
  <c r="I314" i="7"/>
  <c r="C314" i="7" a="1"/>
  <c r="C314" i="7" s="1"/>
  <c r="K301" i="7"/>
  <c r="J301" i="7"/>
  <c r="M301" i="7" s="1"/>
  <c r="I301" i="7"/>
  <c r="C301" i="7" a="1"/>
  <c r="C301" i="7" s="1"/>
  <c r="K323" i="7"/>
  <c r="J323" i="7"/>
  <c r="I323" i="7"/>
  <c r="M323" i="7" s="1"/>
  <c r="C323" i="7" a="1"/>
  <c r="C323" i="7" s="1"/>
  <c r="K201" i="7"/>
  <c r="J201" i="7"/>
  <c r="M201" i="7" s="1"/>
  <c r="I201" i="7"/>
  <c r="C201" i="7" a="1"/>
  <c r="C201" i="7" s="1"/>
  <c r="K178" i="7"/>
  <c r="J178" i="7"/>
  <c r="I178" i="7"/>
  <c r="M178" i="7" s="1"/>
  <c r="C178" i="7" a="1"/>
  <c r="C178" i="7" s="1"/>
  <c r="K173" i="7"/>
  <c r="J173" i="7"/>
  <c r="I173" i="7"/>
  <c r="M173" i="7" s="1"/>
  <c r="C173" i="7" a="1"/>
  <c r="C173" i="7" s="1"/>
  <c r="K404" i="7"/>
  <c r="J404" i="7"/>
  <c r="M404" i="7" s="1"/>
  <c r="I404" i="7"/>
  <c r="C404" i="7" a="1"/>
  <c r="C404" i="7" s="1"/>
  <c r="K497" i="7"/>
  <c r="J497" i="7"/>
  <c r="M497" i="7" s="1"/>
  <c r="I497" i="7"/>
  <c r="C497" i="7" a="1"/>
  <c r="C497" i="7" s="1"/>
  <c r="K210" i="7"/>
  <c r="J210" i="7"/>
  <c r="I210" i="7"/>
  <c r="M210" i="7" s="1"/>
  <c r="C210" i="7" a="1"/>
  <c r="C210" i="7" s="1"/>
  <c r="M444" i="7"/>
  <c r="K444" i="7"/>
  <c r="J444" i="7"/>
  <c r="I444" i="7"/>
  <c r="C444" i="7" a="1"/>
  <c r="C444" i="7" s="1"/>
  <c r="K233" i="7"/>
  <c r="J233" i="7"/>
  <c r="I233" i="7"/>
  <c r="M233" i="7" s="1"/>
  <c r="C233" i="7" a="1"/>
  <c r="C233" i="7" s="1"/>
  <c r="K346" i="7"/>
  <c r="J346" i="7"/>
  <c r="M346" i="7" s="1"/>
  <c r="I346" i="7"/>
  <c r="C346" i="7" a="1"/>
  <c r="C346" i="7" s="1"/>
  <c r="K165" i="7"/>
  <c r="M165" i="7" s="1"/>
  <c r="J165" i="7"/>
  <c r="I165" i="7"/>
  <c r="C165" i="7" a="1"/>
  <c r="C165" i="7" s="1"/>
  <c r="K376" i="7"/>
  <c r="J376" i="7"/>
  <c r="M376" i="7" s="1"/>
  <c r="I376" i="7"/>
  <c r="C376" i="7" a="1"/>
  <c r="C376" i="7" s="1"/>
  <c r="K121" i="7"/>
  <c r="J121" i="7"/>
  <c r="I121" i="7"/>
  <c r="M121" i="7" s="1"/>
  <c r="C121" i="7" a="1"/>
  <c r="C121" i="7" s="1"/>
  <c r="K126" i="7"/>
  <c r="J126" i="7"/>
  <c r="M126" i="7" s="1"/>
  <c r="I126" i="7"/>
  <c r="C126" i="7" a="1"/>
  <c r="C126" i="7" s="1"/>
  <c r="K119" i="7"/>
  <c r="J119" i="7"/>
  <c r="I119" i="7"/>
  <c r="M119" i="7" s="1"/>
  <c r="C119" i="7" a="1"/>
  <c r="C119" i="7" s="1"/>
  <c r="M146" i="7"/>
  <c r="K146" i="7"/>
  <c r="J146" i="7"/>
  <c r="I146" i="7"/>
  <c r="C146" i="7" a="1"/>
  <c r="C146" i="7" s="1"/>
  <c r="K222" i="7"/>
  <c r="J222" i="7"/>
  <c r="I222" i="7"/>
  <c r="M222" i="7" s="1"/>
  <c r="C222" i="7" a="1"/>
  <c r="C222" i="7" s="1"/>
  <c r="K543" i="7"/>
  <c r="J543" i="7"/>
  <c r="M543" i="7" s="1"/>
  <c r="I543" i="7"/>
  <c r="C543" i="7" a="1"/>
  <c r="C543" i="7" s="1"/>
  <c r="K424" i="7"/>
  <c r="J424" i="7"/>
  <c r="I424" i="7"/>
  <c r="M424" i="7" s="1"/>
  <c r="C424" i="7" a="1"/>
  <c r="C424" i="7" s="1"/>
  <c r="K266" i="7"/>
  <c r="J266" i="7"/>
  <c r="I266" i="7"/>
  <c r="C266" i="7" a="1"/>
  <c r="C266" i="7" s="1"/>
  <c r="M180" i="7"/>
  <c r="K180" i="7"/>
  <c r="J180" i="7"/>
  <c r="I180" i="7"/>
  <c r="C180" i="7"/>
  <c r="C180" i="7" a="1"/>
  <c r="K385" i="7"/>
  <c r="J385" i="7"/>
  <c r="I385" i="7"/>
  <c r="C385" i="7" a="1"/>
  <c r="C385" i="7" s="1"/>
  <c r="K398" i="7"/>
  <c r="J398" i="7"/>
  <c r="M398" i="7" s="1"/>
  <c r="I398" i="7"/>
  <c r="C398" i="7" a="1"/>
  <c r="C398" i="7" s="1"/>
  <c r="K16" i="7"/>
  <c r="J16" i="7"/>
  <c r="I16" i="7"/>
  <c r="M16" i="7" s="1"/>
  <c r="C16" i="7" a="1"/>
  <c r="C16" i="7" s="1"/>
  <c r="M15" i="7"/>
  <c r="K15" i="7"/>
  <c r="J15" i="7"/>
  <c r="I15" i="7"/>
  <c r="C15" i="7" a="1"/>
  <c r="C15" i="7" s="1"/>
  <c r="K504" i="7"/>
  <c r="J504" i="7"/>
  <c r="M504" i="7" s="1"/>
  <c r="I504" i="7"/>
  <c r="C504" i="7" a="1"/>
  <c r="C504" i="7" s="1"/>
  <c r="K534" i="7"/>
  <c r="J534" i="7"/>
  <c r="I534" i="7"/>
  <c r="M534" i="7" s="1"/>
  <c r="C534" i="7" a="1"/>
  <c r="C534" i="7" s="1"/>
  <c r="K335" i="7"/>
  <c r="M335" i="7" s="1"/>
  <c r="J335" i="7"/>
  <c r="I335" i="7"/>
  <c r="C335" i="7" a="1"/>
  <c r="C335" i="7" s="1"/>
  <c r="M14" i="7"/>
  <c r="K14" i="7"/>
  <c r="J14" i="7"/>
  <c r="I14" i="7"/>
  <c r="C14" i="7" a="1"/>
  <c r="C14" i="7" s="1"/>
  <c r="K13" i="7"/>
  <c r="J13" i="7"/>
  <c r="I13" i="7"/>
  <c r="C13" i="7" a="1"/>
  <c r="C13" i="7" s="1"/>
  <c r="K12" i="7"/>
  <c r="J12" i="7"/>
  <c r="I12" i="7"/>
  <c r="M12" i="7" s="1"/>
  <c r="C12" i="7" a="1"/>
  <c r="C12" i="7" s="1"/>
  <c r="K453" i="7"/>
  <c r="J453" i="7"/>
  <c r="M453" i="7" s="1"/>
  <c r="I453" i="7"/>
  <c r="C453" i="7" a="1"/>
  <c r="C453" i="7" s="1"/>
  <c r="M11" i="7"/>
  <c r="K11" i="7"/>
  <c r="J11" i="7"/>
  <c r="I11" i="7"/>
  <c r="C11" i="7" a="1"/>
  <c r="C11" i="7" s="1"/>
  <c r="M10" i="7"/>
  <c r="K10" i="7"/>
  <c r="J10" i="7"/>
  <c r="I10" i="7"/>
  <c r="C10" i="7" a="1"/>
  <c r="C10" i="7" s="1"/>
  <c r="K9" i="7"/>
  <c r="J9" i="7"/>
  <c r="I9" i="7"/>
  <c r="M9" i="7" s="1"/>
  <c r="C9" i="7" a="1"/>
  <c r="C9" i="7" s="1"/>
  <c r="K8" i="7"/>
  <c r="J8" i="7"/>
  <c r="M8" i="7" s="1"/>
  <c r="I8" i="7"/>
  <c r="C8" i="7" a="1"/>
  <c r="C8" i="7" s="1"/>
  <c r="K7" i="7"/>
  <c r="J7" i="7"/>
  <c r="I7" i="7"/>
  <c r="M7" i="7" s="1"/>
  <c r="C7" i="7" a="1"/>
  <c r="C7" i="7" s="1"/>
  <c r="M6" i="7"/>
  <c r="K6" i="7"/>
  <c r="J6" i="7"/>
  <c r="I6" i="7"/>
  <c r="C6" i="7" a="1"/>
  <c r="C6" i="7" s="1"/>
  <c r="K5" i="7"/>
  <c r="J5" i="7"/>
  <c r="I5" i="7"/>
  <c r="M5" i="7" s="1"/>
  <c r="C5" i="7" a="1"/>
  <c r="C5" i="7" s="1"/>
  <c r="K4" i="7"/>
  <c r="J4" i="7"/>
  <c r="M4" i="7" s="1"/>
  <c r="I4" i="7"/>
  <c r="C4" i="7" a="1"/>
  <c r="C4" i="7" s="1"/>
  <c r="K433" i="7"/>
  <c r="J433" i="7"/>
  <c r="I433" i="7"/>
  <c r="M433" i="7" s="1"/>
  <c r="C433" i="7" a="1"/>
  <c r="C433" i="7" s="1"/>
  <c r="M3" i="7"/>
  <c r="K3" i="7"/>
  <c r="J3" i="7"/>
  <c r="I3" i="7"/>
  <c r="C3" i="7" a="1"/>
  <c r="C3" i="7" s="1"/>
  <c r="K2" i="7"/>
  <c r="J2" i="7"/>
  <c r="I2" i="7"/>
  <c r="M2" i="7" s="1"/>
  <c r="C2" i="7" a="1"/>
  <c r="C2" i="7" s="1"/>
  <c r="K1" i="7"/>
  <c r="J1" i="7"/>
  <c r="M1" i="7" s="1"/>
  <c r="I1" i="7"/>
  <c r="C1" i="7" a="1"/>
  <c r="C1" i="7" s="1"/>
  <c r="K467" i="7"/>
  <c r="J467" i="7"/>
  <c r="I467" i="7"/>
  <c r="M467" i="7" s="1"/>
  <c r="C467" i="7" a="1"/>
  <c r="C467" i="7" s="1"/>
  <c r="M459" i="7"/>
  <c r="K459" i="7"/>
  <c r="J459" i="7"/>
  <c r="I459" i="7"/>
  <c r="C459" i="7" a="1"/>
  <c r="C459" i="7" s="1"/>
  <c r="K171" i="7"/>
  <c r="J171" i="7"/>
  <c r="I171" i="7"/>
  <c r="M171" i="7" s="1"/>
  <c r="C171" i="7" a="1"/>
  <c r="C171" i="7" s="1"/>
  <c r="K468" i="7"/>
  <c r="J468" i="7"/>
  <c r="M468" i="7" s="1"/>
  <c r="I468" i="7"/>
  <c r="C468" i="7" a="1"/>
  <c r="C468" i="7" s="1"/>
  <c r="K343" i="7"/>
  <c r="J343" i="7"/>
  <c r="I343" i="7"/>
  <c r="M343" i="7" s="1"/>
  <c r="C343" i="7" a="1"/>
  <c r="C343" i="7" s="1"/>
  <c r="M374" i="7"/>
  <c r="K374" i="7"/>
  <c r="J374" i="7"/>
  <c r="I374" i="7"/>
  <c r="C374" i="7" a="1"/>
  <c r="C374" i="7" s="1"/>
  <c r="K400" i="7"/>
  <c r="J400" i="7"/>
  <c r="I400" i="7"/>
  <c r="M400" i="7" s="1"/>
  <c r="C400" i="7" a="1"/>
  <c r="C400" i="7" s="1"/>
  <c r="K476" i="7"/>
  <c r="J476" i="7"/>
  <c r="M476" i="7" s="1"/>
  <c r="I476" i="7"/>
  <c r="C476" i="7" a="1"/>
  <c r="C476" i="7" s="1"/>
  <c r="K292" i="7"/>
  <c r="J292" i="7"/>
  <c r="I292" i="7"/>
  <c r="M292" i="7" s="1"/>
  <c r="C292" i="7" a="1"/>
  <c r="C292" i="7" s="1"/>
  <c r="M157" i="7"/>
  <c r="K157" i="7"/>
  <c r="J157" i="7"/>
  <c r="I157" i="7"/>
  <c r="C157" i="7" a="1"/>
  <c r="C157" i="7" s="1"/>
  <c r="K365" i="7"/>
  <c r="J365" i="7"/>
  <c r="I365" i="7"/>
  <c r="M365" i="7" s="1"/>
  <c r="C365" i="7" a="1"/>
  <c r="C365" i="7" s="1"/>
  <c r="K464" i="7"/>
  <c r="J464" i="7"/>
  <c r="M464" i="7" s="1"/>
  <c r="I464" i="7"/>
  <c r="C464" i="7" a="1"/>
  <c r="C464" i="7" s="1"/>
  <c r="K230" i="7"/>
  <c r="M230" i="7" s="1"/>
  <c r="J230" i="7"/>
  <c r="I230" i="7"/>
  <c r="C230" i="7" a="1"/>
  <c r="C230" i="7" s="1"/>
  <c r="M486" i="7"/>
  <c r="K486" i="7"/>
  <c r="J486" i="7"/>
  <c r="I486" i="7"/>
  <c r="C486" i="7" a="1"/>
  <c r="C486" i="7" s="1"/>
  <c r="K363" i="7"/>
  <c r="J363" i="7"/>
  <c r="I363" i="7"/>
  <c r="M363" i="7" s="1"/>
  <c r="C363" i="7" a="1"/>
  <c r="C363" i="7" s="1"/>
  <c r="K344" i="7"/>
  <c r="J344" i="7"/>
  <c r="M344" i="7" s="1"/>
  <c r="I344" i="7"/>
  <c r="C344" i="7" a="1"/>
  <c r="C344" i="7" s="1"/>
  <c r="K390" i="7"/>
  <c r="J390" i="7"/>
  <c r="I390" i="7"/>
  <c r="M390" i="7" s="1"/>
  <c r="C390" i="7" a="1"/>
  <c r="C390" i="7" s="1"/>
  <c r="M315" i="7"/>
  <c r="K315" i="7"/>
  <c r="J315" i="7"/>
  <c r="I315" i="7"/>
  <c r="C315" i="7" a="1"/>
  <c r="C315" i="7" s="1"/>
  <c r="K188" i="7"/>
  <c r="J188" i="7"/>
  <c r="I188" i="7"/>
  <c r="M188" i="7" s="1"/>
  <c r="C188" i="7" a="1"/>
  <c r="C188" i="7" s="1"/>
  <c r="K485" i="7"/>
  <c r="J485" i="7"/>
  <c r="M485" i="7" s="1"/>
  <c r="I485" i="7"/>
  <c r="C485" i="7" a="1"/>
  <c r="C485" i="7" s="1"/>
  <c r="K387" i="7"/>
  <c r="J387" i="7"/>
  <c r="I387" i="7"/>
  <c r="M387" i="7" s="1"/>
  <c r="C387" i="7" a="1"/>
  <c r="C387" i="7" s="1"/>
  <c r="M286" i="7"/>
  <c r="K286" i="7"/>
  <c r="J286" i="7"/>
  <c r="I286" i="7"/>
  <c r="C286" i="7" a="1"/>
  <c r="C286" i="7" s="1"/>
  <c r="K244" i="7"/>
  <c r="J244" i="7"/>
  <c r="I244" i="7"/>
  <c r="M244" i="7" s="1"/>
  <c r="C244" i="7" a="1"/>
  <c r="C244" i="7" s="1"/>
  <c r="K331" i="7"/>
  <c r="J331" i="7"/>
  <c r="M331" i="7" s="1"/>
  <c r="I331" i="7"/>
  <c r="C331" i="7" a="1"/>
  <c r="C331" i="7" s="1"/>
  <c r="K332" i="7"/>
  <c r="M332" i="7" s="1"/>
  <c r="J332" i="7"/>
  <c r="I332" i="7"/>
  <c r="C332" i="7" a="1"/>
  <c r="C332" i="7" s="1"/>
  <c r="M311" i="7"/>
  <c r="K311" i="7"/>
  <c r="J311" i="7"/>
  <c r="I311" i="7"/>
  <c r="C311" i="7" a="1"/>
  <c r="C311" i="7" s="1"/>
  <c r="K139" i="7"/>
  <c r="J139" i="7"/>
  <c r="I139" i="7"/>
  <c r="M139" i="7" s="1"/>
  <c r="C139" i="7" a="1"/>
  <c r="C139" i="7" s="1"/>
  <c r="K381" i="7"/>
  <c r="J381" i="7"/>
  <c r="M381" i="7" s="1"/>
  <c r="I381" i="7"/>
  <c r="C381" i="7" a="1"/>
  <c r="C381" i="7" s="1"/>
  <c r="K115" i="7"/>
  <c r="J115" i="7"/>
  <c r="I115" i="7"/>
  <c r="M115" i="7" s="1"/>
  <c r="C115" i="7" a="1"/>
  <c r="C115" i="7" s="1"/>
  <c r="M397" i="7"/>
  <c r="K397" i="7"/>
  <c r="J397" i="7"/>
  <c r="I397" i="7"/>
  <c r="C397" i="7" a="1"/>
  <c r="C397" i="7" s="1"/>
  <c r="K470" i="7"/>
  <c r="J470" i="7"/>
  <c r="I470" i="7"/>
  <c r="M470" i="7" s="1"/>
  <c r="C470" i="7" a="1"/>
  <c r="C470" i="7" s="1"/>
  <c r="K212" i="7"/>
  <c r="J212" i="7"/>
  <c r="M212" i="7" s="1"/>
  <c r="I212" i="7"/>
  <c r="C212" i="7" a="1"/>
  <c r="C212" i="7" s="1"/>
  <c r="K196" i="7"/>
  <c r="J196" i="7"/>
  <c r="I196" i="7"/>
  <c r="M196" i="7" s="1"/>
  <c r="C196" i="7" a="1"/>
  <c r="C196" i="7" s="1"/>
  <c r="M378" i="7"/>
  <c r="K378" i="7"/>
  <c r="J378" i="7"/>
  <c r="I378" i="7"/>
  <c r="C378" i="7" a="1"/>
  <c r="C378" i="7" s="1"/>
  <c r="K279" i="7"/>
  <c r="J279" i="7"/>
  <c r="I279" i="7"/>
  <c r="M279" i="7" s="1"/>
  <c r="C279" i="7" a="1"/>
  <c r="C279" i="7" s="1"/>
  <c r="K458" i="7"/>
  <c r="J458" i="7"/>
  <c r="M458" i="7" s="1"/>
  <c r="I458" i="7"/>
  <c r="C458" i="7" a="1"/>
  <c r="C458" i="7" s="1"/>
  <c r="K516" i="7"/>
  <c r="M516" i="7" s="1"/>
  <c r="J516" i="7"/>
  <c r="I516" i="7"/>
  <c r="C516" i="7" a="1"/>
  <c r="C516" i="7" s="1"/>
  <c r="M451" i="7"/>
  <c r="K451" i="7"/>
  <c r="J451" i="7"/>
  <c r="I451" i="7"/>
  <c r="C451" i="7" a="1"/>
  <c r="C451" i="7" s="1"/>
  <c r="K472" i="7"/>
  <c r="J472" i="7"/>
  <c r="I472" i="7"/>
  <c r="M472" i="7" s="1"/>
  <c r="C472" i="7" a="1"/>
  <c r="C472" i="7" s="1"/>
  <c r="K457" i="7"/>
  <c r="J457" i="7"/>
  <c r="M457" i="7" s="1"/>
  <c r="I457" i="7"/>
  <c r="C457" i="7" a="1"/>
  <c r="C457" i="7" s="1"/>
  <c r="K518" i="7"/>
  <c r="M518" i="7" s="1"/>
  <c r="J518" i="7"/>
  <c r="I518" i="7"/>
  <c r="C518" i="7" a="1"/>
  <c r="C518" i="7" s="1"/>
  <c r="M445" i="7"/>
  <c r="K445" i="7"/>
  <c r="J445" i="7"/>
  <c r="I445" i="7"/>
  <c r="C445" i="7" a="1"/>
  <c r="C445" i="7" s="1"/>
  <c r="K369" i="7"/>
  <c r="J369" i="7"/>
  <c r="I369" i="7"/>
  <c r="M369" i="7" s="1"/>
  <c r="C369" i="7" a="1"/>
  <c r="C369" i="7" s="1"/>
  <c r="K337" i="7"/>
  <c r="J337" i="7"/>
  <c r="M337" i="7" s="1"/>
  <c r="I337" i="7"/>
  <c r="C337" i="7" a="1"/>
  <c r="C337" i="7" s="1"/>
  <c r="K270" i="7"/>
  <c r="J270" i="7"/>
  <c r="I270" i="7"/>
  <c r="M270" i="7" s="1"/>
  <c r="C270" i="7" a="1"/>
  <c r="C270" i="7" s="1"/>
  <c r="M338" i="7"/>
  <c r="K338" i="7"/>
  <c r="J338" i="7"/>
  <c r="I338" i="7"/>
  <c r="C338" i="7" a="1"/>
  <c r="C338" i="7" s="1"/>
  <c r="K167" i="7"/>
  <c r="J167" i="7"/>
  <c r="I167" i="7"/>
  <c r="M167" i="7" s="1"/>
  <c r="C167" i="7" a="1"/>
  <c r="C167" i="7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1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1" i="6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78" i="3"/>
  <c r="H84" i="3"/>
  <c r="H86" i="3"/>
  <c r="H81" i="3"/>
  <c r="H82" i="3"/>
  <c r="H89" i="3"/>
  <c r="H83" i="3"/>
  <c r="H85" i="3"/>
  <c r="H79" i="3"/>
  <c r="H80" i="3"/>
  <c r="H90" i="3"/>
  <c r="H91" i="3"/>
  <c r="H92" i="3"/>
  <c r="H87" i="3"/>
  <c r="H88" i="3"/>
  <c r="H93" i="3"/>
  <c r="H94" i="3"/>
  <c r="H57" i="3"/>
  <c r="H61" i="3"/>
  <c r="H56" i="3"/>
  <c r="H60" i="3"/>
  <c r="H58" i="3"/>
  <c r="H65" i="3"/>
  <c r="H71" i="3"/>
  <c r="H62" i="3"/>
  <c r="H64" i="3"/>
  <c r="H67" i="3"/>
  <c r="H68" i="3"/>
  <c r="H66" i="3"/>
  <c r="H59" i="3"/>
  <c r="H69" i="3"/>
  <c r="H70" i="3"/>
  <c r="H72" i="3"/>
  <c r="H74" i="3"/>
  <c r="H75" i="3"/>
  <c r="H76" i="3"/>
  <c r="H63" i="3"/>
  <c r="H77" i="3"/>
  <c r="H73" i="3"/>
  <c r="H1" i="3"/>
  <c r="H8" i="3"/>
  <c r="H4" i="3"/>
  <c r="H26" i="3"/>
  <c r="H2" i="3"/>
  <c r="H28" i="3"/>
  <c r="H10" i="3"/>
  <c r="H34" i="3"/>
  <c r="H5" i="3"/>
  <c r="H3" i="3"/>
  <c r="H15" i="3"/>
  <c r="H12" i="3"/>
  <c r="H20" i="3"/>
  <c r="H21" i="3"/>
  <c r="H7" i="3"/>
  <c r="H9" i="3"/>
  <c r="H14" i="3"/>
  <c r="H6" i="3"/>
  <c r="H13" i="3"/>
  <c r="H29" i="3"/>
  <c r="H35" i="3"/>
  <c r="H27" i="3"/>
  <c r="H45" i="3"/>
  <c r="H18" i="3"/>
  <c r="H41" i="3"/>
  <c r="H22" i="3"/>
  <c r="H46" i="3"/>
  <c r="H23" i="3"/>
  <c r="H32" i="3"/>
  <c r="H24" i="3"/>
  <c r="H40" i="3"/>
  <c r="H11" i="3"/>
  <c r="H16" i="3"/>
  <c r="H50" i="3"/>
  <c r="H43" i="3"/>
  <c r="H36" i="3"/>
  <c r="H17" i="3"/>
  <c r="H30" i="3"/>
  <c r="H19" i="3"/>
  <c r="H33" i="3"/>
  <c r="H37" i="3"/>
  <c r="H42" i="3"/>
  <c r="H25" i="3"/>
  <c r="H47" i="3"/>
  <c r="H53" i="3"/>
  <c r="H39" i="3"/>
  <c r="H48" i="3"/>
  <c r="H54" i="3"/>
  <c r="H31" i="3"/>
  <c r="H55" i="3"/>
  <c r="H49" i="3"/>
  <c r="H51" i="3"/>
  <c r="H52" i="3"/>
  <c r="H38" i="3"/>
  <c r="H44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95" i="3"/>
  <c r="M254" i="7" l="1"/>
  <c r="M375" i="7"/>
  <c r="M251" i="7"/>
  <c r="M529" i="7"/>
  <c r="M463" i="7"/>
  <c r="M153" i="7"/>
  <c r="M414" i="7"/>
  <c r="M260" i="7"/>
  <c r="M345" i="7"/>
  <c r="M420" i="7"/>
  <c r="M382" i="7"/>
  <c r="M81" i="7"/>
  <c r="M326" i="7"/>
  <c r="M347" i="7"/>
  <c r="M324" i="7"/>
  <c r="M159" i="7"/>
  <c r="M370" i="7"/>
  <c r="M33" i="7"/>
  <c r="M36" i="7"/>
  <c r="M474" i="7"/>
  <c r="M356" i="7"/>
  <c r="M199" i="7"/>
  <c r="M272" i="7"/>
  <c r="M87" i="7"/>
  <c r="M92" i="7"/>
  <c r="M168" i="7"/>
  <c r="M96" i="7"/>
  <c r="M327" i="7"/>
  <c r="M261" i="7"/>
  <c r="M148" i="7"/>
  <c r="M545" i="7"/>
  <c r="M125" i="7"/>
  <c r="M140" i="7"/>
  <c r="M399" i="7"/>
  <c r="M239" i="7"/>
  <c r="M402" i="7"/>
  <c r="M186" i="7"/>
  <c r="M394" i="7"/>
  <c r="M525" i="7"/>
  <c r="M482" i="7"/>
  <c r="M224" i="7"/>
  <c r="M283" i="7"/>
  <c r="M293" i="7"/>
  <c r="M156" i="7"/>
  <c r="M491" i="7"/>
  <c r="M350" i="7"/>
  <c r="M480" i="7"/>
  <c r="M298" i="7"/>
  <c r="M41" i="7"/>
  <c r="M52" i="7"/>
  <c r="M514" i="7"/>
  <c r="M69" i="7"/>
  <c r="M428" i="7"/>
  <c r="M221" i="7"/>
  <c r="M478" i="7"/>
  <c r="M220" i="7"/>
  <c r="M252" i="7"/>
  <c r="M79" i="7"/>
  <c r="M377" i="7"/>
  <c r="M438" i="7"/>
  <c r="M149" i="7"/>
  <c r="M364" i="7"/>
  <c r="M275" i="7"/>
  <c r="M406" i="7"/>
  <c r="M147" i="7"/>
  <c r="M352" i="7"/>
  <c r="M357" i="7"/>
  <c r="M393" i="7"/>
  <c r="M235" i="7"/>
  <c r="M142" i="7"/>
  <c r="M90" i="7"/>
  <c r="M535" i="7"/>
  <c r="M187" i="7"/>
  <c r="M521" i="7"/>
  <c r="M479" i="7"/>
  <c r="M523" i="7"/>
  <c r="M443" i="7"/>
  <c r="M550" i="7"/>
  <c r="M353" i="7"/>
  <c r="M183" i="7"/>
  <c r="M500" i="7"/>
  <c r="M368" i="7"/>
  <c r="M164" i="7"/>
  <c r="M515" i="7"/>
  <c r="M185" i="7"/>
  <c r="M102" i="7"/>
  <c r="M13" i="7"/>
  <c r="M288" i="7"/>
  <c r="M242" i="7"/>
  <c r="M508" i="7"/>
  <c r="M439" i="7"/>
  <c r="M555" i="7"/>
  <c r="M325" i="7"/>
  <c r="M266" i="7"/>
  <c r="M176" i="7"/>
  <c r="M289" i="7"/>
  <c r="M461" i="7"/>
  <c r="M313" i="7"/>
  <c r="M471" i="7"/>
  <c r="M45" i="7"/>
  <c r="M61" i="7"/>
  <c r="M163" i="7"/>
  <c r="M430" i="7"/>
  <c r="M334" i="7"/>
  <c r="M256" i="7"/>
  <c r="M287" i="7"/>
  <c r="M501" i="7"/>
  <c r="M385" i="7"/>
  <c r="M131" i="7"/>
  <c r="M208" i="7"/>
  <c r="M456" i="7"/>
  <c r="M217" i="7"/>
  <c r="M489" i="7"/>
  <c r="M469" i="7"/>
  <c r="M133" i="7"/>
  <c r="M408" i="7"/>
  <c r="M136" i="7"/>
  <c r="M493" i="7"/>
  <c r="M158" i="7"/>
  <c r="M527" i="7"/>
  <c r="M417" i="7"/>
  <c r="M130" i="7"/>
  <c r="M553" i="7"/>
  <c r="M538" i="7"/>
  <c r="M511" i="7"/>
  <c r="M510" i="7"/>
  <c r="M248" i="7"/>
  <c r="M395" i="7"/>
  <c r="M132" i="7"/>
  <c r="M360" i="7"/>
  <c r="M520" i="7"/>
  <c r="M487" i="7"/>
  <c r="M198" i="7"/>
  <c r="M316" i="7"/>
  <c r="M532" i="7"/>
  <c r="M308" i="7"/>
  <c r="M151" i="7"/>
  <c r="M259" i="7"/>
  <c r="M450" i="7"/>
  <c r="M122" i="7"/>
  <c r="M274" i="7"/>
  <c r="M432" i="7"/>
  <c r="M307" i="7"/>
  <c r="M481" i="7"/>
  <c r="M184" i="7"/>
  <c r="M297" i="7"/>
  <c r="M465" i="7"/>
  <c r="M448" i="7"/>
  <c r="M246" i="7"/>
  <c r="M405" i="7"/>
  <c r="M542" i="7"/>
  <c r="M506" i="7"/>
  <c r="M517" i="7"/>
  <c r="M227" i="7"/>
  <c r="M460" i="7"/>
  <c r="M190" i="7"/>
  <c r="M155" i="7"/>
  <c r="M401" i="7"/>
  <c r="M446" i="7"/>
  <c r="M410" i="7"/>
  <c r="M216" i="7"/>
  <c r="M264" i="7"/>
  <c r="M512" i="7"/>
  <c r="M524" i="7"/>
  <c r="M330" i="7"/>
  <c r="M499" i="7"/>
  <c r="M452" i="7"/>
  <c r="M507" i="7"/>
  <c r="M137" i="7"/>
  <c r="M318" i="7"/>
  <c r="M285" i="7"/>
  <c r="M425" i="7"/>
  <c r="M544" i="7"/>
  <c r="M431" i="7"/>
  <c r="M533" i="7"/>
  <c r="M415" i="7"/>
  <c r="M276" i="7"/>
  <c r="M362" i="7"/>
  <c r="M127" i="7"/>
  <c r="M513" i="7"/>
  <c r="M416" i="7"/>
  <c r="M116" i="7"/>
  <c r="M386" i="7"/>
  <c r="M336" i="7"/>
  <c r="M213" i="7"/>
  <c r="M440" i="7"/>
  <c r="M495" i="7"/>
  <c r="M232" i="7"/>
  <c r="M355" i="7"/>
  <c r="M143" i="7"/>
  <c r="M205" i="7"/>
  <c r="M95" i="7"/>
  <c r="M449" i="7"/>
  <c r="M295" i="7"/>
  <c r="M547" i="7"/>
  <c r="M191" i="7"/>
  <c r="M206" i="7"/>
  <c r="M554" i="7"/>
  <c r="D571" i="3"/>
  <c r="G571" i="3"/>
  <c r="G572" i="3" s="1"/>
  <c r="F571" i="3"/>
  <c r="F572" i="3" s="1"/>
  <c r="E571" i="3"/>
  <c r="E572" i="3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/>
  <c r="C167" i="1" a="1"/>
  <c r="C167" i="1" s="1"/>
  <c r="C168" i="1" a="1"/>
  <c r="C168" i="1"/>
  <c r="C169" i="1" a="1"/>
  <c r="C169" i="1" s="1"/>
  <c r="C170" i="1" a="1"/>
  <c r="C170" i="1" s="1"/>
  <c r="C171" i="1" a="1"/>
  <c r="C171" i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/>
  <c r="C182" i="1" a="1"/>
  <c r="C182" i="1" s="1"/>
  <c r="C183" i="1" a="1"/>
  <c r="C183" i="1" s="1"/>
  <c r="C184" i="1" a="1"/>
  <c r="C184" i="1"/>
  <c r="C185" i="1" a="1"/>
  <c r="C185" i="1" s="1"/>
  <c r="C186" i="1" a="1"/>
  <c r="C186" i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/>
  <c r="C281" i="1" a="1"/>
  <c r="C281" i="1" s="1"/>
  <c r="C282" i="1" a="1"/>
  <c r="C282" i="1" s="1"/>
  <c r="C283" i="1" a="1"/>
  <c r="C283" i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/>
  <c r="C298" i="1" a="1"/>
  <c r="C298" i="1" s="1"/>
  <c r="C299" i="1" a="1"/>
  <c r="C299" i="1" s="1"/>
  <c r="C300" i="1" a="1"/>
  <c r="C300" i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/>
  <c r="C308" i="1" a="1"/>
  <c r="C308" i="1" s="1"/>
  <c r="C309" i="1" a="1"/>
  <c r="C309" i="1" s="1"/>
  <c r="C310" i="1" a="1"/>
  <c r="C310" i="1"/>
  <c r="C311" i="1" a="1"/>
  <c r="C311" i="1" s="1"/>
  <c r="C312" i="1" a="1"/>
  <c r="C312" i="1" s="1"/>
  <c r="C313" i="1" a="1"/>
  <c r="C313" i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/>
  <c r="C352" i="1" a="1"/>
  <c r="C352" i="1" s="1"/>
  <c r="C353" i="1" a="1"/>
  <c r="C353" i="1" s="1"/>
  <c r="C354" i="1" a="1"/>
  <c r="C354" i="1" s="1"/>
  <c r="C355" i="1" a="1"/>
  <c r="C355" i="1" s="1"/>
  <c r="C356" i="1" a="1"/>
  <c r="C356" i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/>
  <c r="C367" i="1" a="1"/>
  <c r="C367" i="1" s="1"/>
  <c r="C368" i="1" a="1"/>
  <c r="C368" i="1"/>
  <c r="C369" i="1" a="1"/>
  <c r="C369" i="1" s="1"/>
  <c r="C370" i="1" a="1"/>
  <c r="C370" i="1" s="1"/>
  <c r="C371" i="1" a="1"/>
  <c r="C371" i="1" s="1"/>
  <c r="C372" i="1" a="1"/>
  <c r="C372" i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/>
  <c r="C400" i="1" a="1"/>
  <c r="C400" i="1" s="1"/>
  <c r="C401" i="1" a="1"/>
  <c r="C401" i="1" s="1"/>
  <c r="C402" i="1" a="1"/>
  <c r="C402" i="1" s="1"/>
  <c r="C403" i="1" a="1"/>
  <c r="C403" i="1" s="1"/>
  <c r="C404" i="1" a="1"/>
  <c r="C404" i="1"/>
  <c r="C405" i="1" a="1"/>
  <c r="C405" i="1" s="1"/>
  <c r="C406" i="1" a="1"/>
  <c r="C406" i="1" s="1"/>
  <c r="C407" i="1" a="1"/>
  <c r="C407" i="1" s="1"/>
  <c r="C408" i="1" a="1"/>
  <c r="C408" i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K253" i="2"/>
  <c r="J253" i="2"/>
  <c r="I253" i="2"/>
  <c r="M253" i="2" s="1"/>
  <c r="K438" i="2"/>
  <c r="M438" i="2" s="1"/>
  <c r="J438" i="2"/>
  <c r="I438" i="2"/>
  <c r="K324" i="2"/>
  <c r="J324" i="2"/>
  <c r="I324" i="2"/>
  <c r="M324" i="2" s="1"/>
  <c r="K267" i="2"/>
  <c r="J267" i="2"/>
  <c r="I267" i="2"/>
  <c r="M267" i="2" s="1"/>
  <c r="K112" i="2"/>
  <c r="J112" i="2"/>
  <c r="M112" i="2" s="1"/>
  <c r="I112" i="2"/>
  <c r="K546" i="2"/>
  <c r="J546" i="2"/>
  <c r="I546" i="2"/>
  <c r="M203" i="2"/>
  <c r="K203" i="2"/>
  <c r="J203" i="2"/>
  <c r="I203" i="2"/>
  <c r="K364" i="2"/>
  <c r="J364" i="2"/>
  <c r="I364" i="2"/>
  <c r="M364" i="2" s="1"/>
  <c r="K347" i="2"/>
  <c r="J347" i="2"/>
  <c r="M347" i="2" s="1"/>
  <c r="I347" i="2"/>
  <c r="K329" i="2"/>
  <c r="J329" i="2"/>
  <c r="I329" i="2"/>
  <c r="K207" i="2"/>
  <c r="J207" i="2"/>
  <c r="I207" i="2"/>
  <c r="M207" i="2" s="1"/>
  <c r="K297" i="2"/>
  <c r="J297" i="2"/>
  <c r="I297" i="2"/>
  <c r="K228" i="2"/>
  <c r="J228" i="2"/>
  <c r="I228" i="2"/>
  <c r="M228" i="2" s="1"/>
  <c r="M149" i="2"/>
  <c r="K149" i="2"/>
  <c r="J149" i="2"/>
  <c r="I149" i="2"/>
  <c r="K326" i="2"/>
  <c r="J326" i="2"/>
  <c r="M326" i="2" s="1"/>
  <c r="I326" i="2"/>
  <c r="K501" i="2"/>
  <c r="J501" i="2"/>
  <c r="I501" i="2"/>
  <c r="K437" i="2"/>
  <c r="M437" i="2" s="1"/>
  <c r="J437" i="2"/>
  <c r="I437" i="2"/>
  <c r="K184" i="2"/>
  <c r="J184" i="2"/>
  <c r="I184" i="2"/>
  <c r="M111" i="2"/>
  <c r="K111" i="2"/>
  <c r="J111" i="2"/>
  <c r="I111" i="2"/>
  <c r="M110" i="2"/>
  <c r="K110" i="2"/>
  <c r="J110" i="2"/>
  <c r="I110" i="2"/>
  <c r="K109" i="2"/>
  <c r="J109" i="2"/>
  <c r="I109" i="2"/>
  <c r="M109" i="2" s="1"/>
  <c r="K287" i="2"/>
  <c r="M287" i="2" s="1"/>
  <c r="J287" i="2"/>
  <c r="I287" i="2"/>
  <c r="K354" i="2"/>
  <c r="J354" i="2"/>
  <c r="I354" i="2"/>
  <c r="M354" i="2" s="1"/>
  <c r="M108" i="2"/>
  <c r="K108" i="2"/>
  <c r="J108" i="2"/>
  <c r="I108" i="2"/>
  <c r="K107" i="2"/>
  <c r="J107" i="2"/>
  <c r="I107" i="2"/>
  <c r="K426" i="2"/>
  <c r="J426" i="2"/>
  <c r="I426" i="2"/>
  <c r="M426" i="2" s="1"/>
  <c r="K106" i="2"/>
  <c r="J106" i="2"/>
  <c r="I106" i="2"/>
  <c r="K105" i="2"/>
  <c r="M105" i="2" s="1"/>
  <c r="J105" i="2"/>
  <c r="I105" i="2"/>
  <c r="K104" i="2"/>
  <c r="J104" i="2"/>
  <c r="I104" i="2"/>
  <c r="M104" i="2" s="1"/>
  <c r="M103" i="2"/>
  <c r="K103" i="2"/>
  <c r="J103" i="2"/>
  <c r="I103" i="2"/>
  <c r="M102" i="2"/>
  <c r="K102" i="2"/>
  <c r="J102" i="2"/>
  <c r="I102" i="2"/>
  <c r="K317" i="2"/>
  <c r="J317" i="2"/>
  <c r="I317" i="2"/>
  <c r="M317" i="2" s="1"/>
  <c r="K520" i="2"/>
  <c r="J520" i="2"/>
  <c r="I520" i="2"/>
  <c r="K513" i="2"/>
  <c r="J513" i="2"/>
  <c r="I513" i="2"/>
  <c r="K525" i="2"/>
  <c r="J525" i="2"/>
  <c r="I525" i="2"/>
  <c r="K554" i="2"/>
  <c r="J554" i="2"/>
  <c r="I554" i="2"/>
  <c r="M185" i="2"/>
  <c r="K185" i="2"/>
  <c r="J185" i="2"/>
  <c r="I185" i="2"/>
  <c r="K172" i="2"/>
  <c r="J172" i="2"/>
  <c r="I172" i="2"/>
  <c r="M172" i="2" s="1"/>
  <c r="K360" i="2"/>
  <c r="J360" i="2"/>
  <c r="I360" i="2"/>
  <c r="K223" i="2"/>
  <c r="J223" i="2"/>
  <c r="I223" i="2"/>
  <c r="M223" i="2" s="1"/>
  <c r="K394" i="2"/>
  <c r="J394" i="2"/>
  <c r="I394" i="2"/>
  <c r="K206" i="2"/>
  <c r="J206" i="2"/>
  <c r="M206" i="2" s="1"/>
  <c r="I206" i="2"/>
  <c r="K515" i="2"/>
  <c r="M515" i="2" s="1"/>
  <c r="J515" i="2"/>
  <c r="I515" i="2"/>
  <c r="K401" i="2"/>
  <c r="J401" i="2"/>
  <c r="I401" i="2"/>
  <c r="K132" i="2"/>
  <c r="J132" i="2"/>
  <c r="M132" i="2" s="1"/>
  <c r="I132" i="2"/>
  <c r="K413" i="2"/>
  <c r="J413" i="2"/>
  <c r="I413" i="2"/>
  <c r="K186" i="2"/>
  <c r="J186" i="2"/>
  <c r="I186" i="2"/>
  <c r="K537" i="2"/>
  <c r="J537" i="2"/>
  <c r="M537" i="2" s="1"/>
  <c r="I537" i="2"/>
  <c r="K164" i="2"/>
  <c r="J164" i="2"/>
  <c r="I164" i="2"/>
  <c r="K155" i="2"/>
  <c r="J155" i="2"/>
  <c r="I155" i="2"/>
  <c r="K395" i="2"/>
  <c r="J395" i="2"/>
  <c r="I395" i="2"/>
  <c r="K127" i="2"/>
  <c r="J127" i="2"/>
  <c r="I127" i="2"/>
  <c r="M127" i="2" s="1"/>
  <c r="K402" i="2"/>
  <c r="J402" i="2"/>
  <c r="I402" i="2"/>
  <c r="M402" i="2" s="1"/>
  <c r="K549" i="2"/>
  <c r="J549" i="2"/>
  <c r="I549" i="2"/>
  <c r="K368" i="2"/>
  <c r="J368" i="2"/>
  <c r="I368" i="2"/>
  <c r="M368" i="2" s="1"/>
  <c r="K490" i="2"/>
  <c r="J490" i="2"/>
  <c r="I490" i="2"/>
  <c r="M490" i="2" s="1"/>
  <c r="K248" i="2"/>
  <c r="J248" i="2"/>
  <c r="I248" i="2"/>
  <c r="M248" i="2" s="1"/>
  <c r="K362" i="2"/>
  <c r="J362" i="2"/>
  <c r="I362" i="2"/>
  <c r="M362" i="2" s="1"/>
  <c r="K239" i="2"/>
  <c r="J239" i="2"/>
  <c r="I239" i="2"/>
  <c r="K191" i="2"/>
  <c r="J191" i="2"/>
  <c r="I191" i="2"/>
  <c r="K500" i="2"/>
  <c r="J500" i="2"/>
  <c r="I500" i="2"/>
  <c r="K101" i="2"/>
  <c r="J101" i="2"/>
  <c r="I101" i="2"/>
  <c r="M101" i="2" s="1"/>
  <c r="K510" i="2"/>
  <c r="J510" i="2"/>
  <c r="I510" i="2"/>
  <c r="K539" i="2"/>
  <c r="J539" i="2"/>
  <c r="I539" i="2"/>
  <c r="K399" i="2"/>
  <c r="J399" i="2"/>
  <c r="I399" i="2"/>
  <c r="K547" i="2"/>
  <c r="J547" i="2"/>
  <c r="I547" i="2"/>
  <c r="K100" i="2"/>
  <c r="J100" i="2"/>
  <c r="I100" i="2"/>
  <c r="M100" i="2" s="1"/>
  <c r="K190" i="2"/>
  <c r="J190" i="2"/>
  <c r="I190" i="2"/>
  <c r="K511" i="2"/>
  <c r="J511" i="2"/>
  <c r="I511" i="2"/>
  <c r="K339" i="2"/>
  <c r="J339" i="2"/>
  <c r="I339" i="2"/>
  <c r="M339" i="2" s="1"/>
  <c r="K140" i="2"/>
  <c r="J140" i="2"/>
  <c r="I140" i="2"/>
  <c r="M140" i="2" s="1"/>
  <c r="K236" i="2"/>
  <c r="J236" i="2"/>
  <c r="I236" i="2"/>
  <c r="K183" i="2"/>
  <c r="J183" i="2"/>
  <c r="I183" i="2"/>
  <c r="M183" i="2" s="1"/>
  <c r="K460" i="2"/>
  <c r="J460" i="2"/>
  <c r="I460" i="2"/>
  <c r="K538" i="2"/>
  <c r="J538" i="2"/>
  <c r="I538" i="2"/>
  <c r="K276" i="2"/>
  <c r="M276" i="2" s="1"/>
  <c r="J276" i="2"/>
  <c r="I276" i="2"/>
  <c r="K125" i="2"/>
  <c r="J125" i="2"/>
  <c r="I125" i="2"/>
  <c r="M125" i="2" s="1"/>
  <c r="K234" i="2"/>
  <c r="J234" i="2"/>
  <c r="I234" i="2"/>
  <c r="K353" i="2"/>
  <c r="M353" i="2" s="1"/>
  <c r="J353" i="2"/>
  <c r="I353" i="2"/>
  <c r="K541" i="2"/>
  <c r="J541" i="2"/>
  <c r="I541" i="2"/>
  <c r="K553" i="2"/>
  <c r="J553" i="2"/>
  <c r="I553" i="2"/>
  <c r="M553" i="2" s="1"/>
  <c r="K415" i="2"/>
  <c r="M415" i="2" s="1"/>
  <c r="J415" i="2"/>
  <c r="I415" i="2"/>
  <c r="K545" i="2"/>
  <c r="J545" i="2"/>
  <c r="I545" i="2"/>
  <c r="K295" i="2"/>
  <c r="J295" i="2"/>
  <c r="I295" i="2"/>
  <c r="K550" i="2"/>
  <c r="J550" i="2"/>
  <c r="I550" i="2"/>
  <c r="K123" i="2"/>
  <c r="J123" i="2"/>
  <c r="I123" i="2"/>
  <c r="K130" i="2"/>
  <c r="J130" i="2"/>
  <c r="I130" i="2"/>
  <c r="M144" i="2"/>
  <c r="K144" i="2"/>
  <c r="J144" i="2"/>
  <c r="I144" i="2"/>
  <c r="K148" i="2"/>
  <c r="J148" i="2"/>
  <c r="I148" i="2"/>
  <c r="M148" i="2" s="1"/>
  <c r="K449" i="2"/>
  <c r="J449" i="2"/>
  <c r="I449" i="2"/>
  <c r="K443" i="2"/>
  <c r="J443" i="2"/>
  <c r="M443" i="2" s="1"/>
  <c r="I443" i="2"/>
  <c r="K227" i="2"/>
  <c r="J227" i="2"/>
  <c r="I227" i="2"/>
  <c r="M227" i="2" s="1"/>
  <c r="K417" i="2"/>
  <c r="J417" i="2"/>
  <c r="I417" i="2"/>
  <c r="K290" i="2"/>
  <c r="M290" i="2" s="1"/>
  <c r="J290" i="2"/>
  <c r="I290" i="2"/>
  <c r="K261" i="2"/>
  <c r="J261" i="2"/>
  <c r="I261" i="2"/>
  <c r="K291" i="2"/>
  <c r="J291" i="2"/>
  <c r="I291" i="2"/>
  <c r="M291" i="2" s="1"/>
  <c r="K523" i="2"/>
  <c r="M523" i="2" s="1"/>
  <c r="J523" i="2"/>
  <c r="I523" i="2"/>
  <c r="K517" i="2"/>
  <c r="J517" i="2"/>
  <c r="I517" i="2"/>
  <c r="K527" i="2"/>
  <c r="J527" i="2"/>
  <c r="I527" i="2"/>
  <c r="K533" i="2"/>
  <c r="J533" i="2"/>
  <c r="I533" i="2"/>
  <c r="K327" i="2"/>
  <c r="J327" i="2"/>
  <c r="I327" i="2"/>
  <c r="K530" i="2"/>
  <c r="J530" i="2"/>
  <c r="I530" i="2"/>
  <c r="K479" i="2"/>
  <c r="J479" i="2"/>
  <c r="I479" i="2"/>
  <c r="K477" i="2"/>
  <c r="J477" i="2"/>
  <c r="I477" i="2"/>
  <c r="M477" i="2" s="1"/>
  <c r="K158" i="2"/>
  <c r="J158" i="2"/>
  <c r="I158" i="2"/>
  <c r="K431" i="2"/>
  <c r="J431" i="2"/>
  <c r="I431" i="2"/>
  <c r="K99" i="2"/>
  <c r="J99" i="2"/>
  <c r="I99" i="2"/>
  <c r="M99" i="2" s="1"/>
  <c r="K98" i="2"/>
  <c r="J98" i="2"/>
  <c r="I98" i="2"/>
  <c r="M98" i="2" s="1"/>
  <c r="M521" i="2"/>
  <c r="K521" i="2"/>
  <c r="J521" i="2"/>
  <c r="I521" i="2"/>
  <c r="K304" i="2"/>
  <c r="J304" i="2"/>
  <c r="I304" i="2"/>
  <c r="M304" i="2" s="1"/>
  <c r="K493" i="2"/>
  <c r="J493" i="2"/>
  <c r="I493" i="2"/>
  <c r="K97" i="2"/>
  <c r="J97" i="2"/>
  <c r="I97" i="2"/>
  <c r="M97" i="2" s="1"/>
  <c r="K96" i="2"/>
  <c r="J96" i="2"/>
  <c r="I96" i="2"/>
  <c r="K95" i="2"/>
  <c r="J95" i="2"/>
  <c r="I95" i="2"/>
  <c r="K187" i="2"/>
  <c r="J187" i="2"/>
  <c r="I187" i="2"/>
  <c r="K506" i="2"/>
  <c r="J506" i="2"/>
  <c r="I506" i="2"/>
  <c r="K94" i="2"/>
  <c r="J94" i="2"/>
  <c r="I94" i="2"/>
  <c r="M94" i="2" s="1"/>
  <c r="K202" i="2"/>
  <c r="J202" i="2"/>
  <c r="I202" i="2"/>
  <c r="K168" i="2"/>
  <c r="J168" i="2"/>
  <c r="I168" i="2"/>
  <c r="M168" i="2" s="1"/>
  <c r="K93" i="2"/>
  <c r="J93" i="2"/>
  <c r="I93" i="2"/>
  <c r="K535" i="2"/>
  <c r="J535" i="2"/>
  <c r="I535" i="2"/>
  <c r="K542" i="2"/>
  <c r="J542" i="2"/>
  <c r="I542" i="2"/>
  <c r="K136" i="2"/>
  <c r="J136" i="2"/>
  <c r="I136" i="2"/>
  <c r="K544" i="2"/>
  <c r="J544" i="2"/>
  <c r="I544" i="2"/>
  <c r="K92" i="2"/>
  <c r="J92" i="2"/>
  <c r="I92" i="2"/>
  <c r="K91" i="2"/>
  <c r="J91" i="2"/>
  <c r="I91" i="2"/>
  <c r="K90" i="2"/>
  <c r="J90" i="2"/>
  <c r="I90" i="2"/>
  <c r="M90" i="2" s="1"/>
  <c r="K89" i="2"/>
  <c r="J89" i="2"/>
  <c r="I89" i="2"/>
  <c r="M89" i="2" s="1"/>
  <c r="K88" i="2"/>
  <c r="J88" i="2"/>
  <c r="I88" i="2"/>
  <c r="M88" i="2" s="1"/>
  <c r="M300" i="2"/>
  <c r="K300" i="2"/>
  <c r="J300" i="2"/>
  <c r="I300" i="2"/>
  <c r="K526" i="2"/>
  <c r="J526" i="2"/>
  <c r="I526" i="2"/>
  <c r="M526" i="2" s="1"/>
  <c r="K551" i="2"/>
  <c r="J551" i="2"/>
  <c r="I551" i="2"/>
  <c r="K366" i="2"/>
  <c r="J366" i="2"/>
  <c r="I366" i="2"/>
  <c r="K87" i="2"/>
  <c r="J87" i="2"/>
  <c r="I87" i="2"/>
  <c r="K86" i="2"/>
  <c r="J86" i="2"/>
  <c r="I86" i="2"/>
  <c r="M86" i="2" s="1"/>
  <c r="K425" i="2"/>
  <c r="J425" i="2"/>
  <c r="I425" i="2"/>
  <c r="M425" i="2" s="1"/>
  <c r="K85" i="2"/>
  <c r="J85" i="2"/>
  <c r="I85" i="2"/>
  <c r="M85" i="2" s="1"/>
  <c r="K371" i="2"/>
  <c r="J371" i="2"/>
  <c r="I371" i="2"/>
  <c r="K84" i="2"/>
  <c r="J84" i="2"/>
  <c r="I84" i="2"/>
  <c r="M84" i="2" s="1"/>
  <c r="K548" i="2"/>
  <c r="J548" i="2"/>
  <c r="I548" i="2"/>
  <c r="M548" i="2" s="1"/>
  <c r="K83" i="2"/>
  <c r="J83" i="2"/>
  <c r="I83" i="2"/>
  <c r="K82" i="2"/>
  <c r="J82" i="2"/>
  <c r="I82" i="2"/>
  <c r="M82" i="2" s="1"/>
  <c r="K81" i="2"/>
  <c r="J81" i="2"/>
  <c r="I81" i="2"/>
  <c r="M81" i="2" s="1"/>
  <c r="K422" i="2"/>
  <c r="J422" i="2"/>
  <c r="I422" i="2"/>
  <c r="K377" i="2"/>
  <c r="J377" i="2"/>
  <c r="M377" i="2" s="1"/>
  <c r="I377" i="2"/>
  <c r="K481" i="2"/>
  <c r="J481" i="2"/>
  <c r="I481" i="2"/>
  <c r="M481" i="2" s="1"/>
  <c r="K256" i="2"/>
  <c r="J256" i="2"/>
  <c r="I256" i="2"/>
  <c r="K330" i="2"/>
  <c r="M330" i="2" s="1"/>
  <c r="J330" i="2"/>
  <c r="I330" i="2"/>
  <c r="K382" i="2"/>
  <c r="J382" i="2"/>
  <c r="I382" i="2"/>
  <c r="K80" i="2"/>
  <c r="J80" i="2"/>
  <c r="I80" i="2"/>
  <c r="M80" i="2" s="1"/>
  <c r="K79" i="2"/>
  <c r="J79" i="2"/>
  <c r="I79" i="2"/>
  <c r="M79" i="2" s="1"/>
  <c r="K358" i="2"/>
  <c r="J358" i="2"/>
  <c r="I358" i="2"/>
  <c r="M358" i="2" s="1"/>
  <c r="K334" i="2"/>
  <c r="J334" i="2"/>
  <c r="I334" i="2"/>
  <c r="K524" i="2"/>
  <c r="J524" i="2"/>
  <c r="I524" i="2"/>
  <c r="M524" i="2" s="1"/>
  <c r="K420" i="2"/>
  <c r="J420" i="2"/>
  <c r="I420" i="2"/>
  <c r="M420" i="2" s="1"/>
  <c r="K213" i="2"/>
  <c r="J213" i="2"/>
  <c r="I213" i="2"/>
  <c r="K252" i="2"/>
  <c r="J252" i="2"/>
  <c r="I252" i="2"/>
  <c r="K494" i="2"/>
  <c r="J494" i="2"/>
  <c r="I494" i="2"/>
  <c r="M494" i="2" s="1"/>
  <c r="K285" i="2"/>
  <c r="J285" i="2"/>
  <c r="I285" i="2"/>
  <c r="K224" i="2"/>
  <c r="J224" i="2"/>
  <c r="I224" i="2"/>
  <c r="M224" i="2" s="1"/>
  <c r="K484" i="2"/>
  <c r="J484" i="2"/>
  <c r="I484" i="2"/>
  <c r="K512" i="2"/>
  <c r="J512" i="2"/>
  <c r="I512" i="2"/>
  <c r="K272" i="2"/>
  <c r="J272" i="2"/>
  <c r="M272" i="2" s="1"/>
  <c r="I272" i="2"/>
  <c r="K423" i="2"/>
  <c r="J423" i="2"/>
  <c r="I423" i="2"/>
  <c r="K405" i="2"/>
  <c r="J405" i="2"/>
  <c r="I405" i="2"/>
  <c r="M405" i="2" s="1"/>
  <c r="K435" i="2"/>
  <c r="J435" i="2"/>
  <c r="I435" i="2"/>
  <c r="M435" i="2" s="1"/>
  <c r="K193" i="2"/>
  <c r="J193" i="2"/>
  <c r="I193" i="2"/>
  <c r="K312" i="2"/>
  <c r="J312" i="2"/>
  <c r="I312" i="2"/>
  <c r="K237" i="2"/>
  <c r="J237" i="2"/>
  <c r="I237" i="2"/>
  <c r="K325" i="2"/>
  <c r="J325" i="2"/>
  <c r="I325" i="2"/>
  <c r="M325" i="2" s="1"/>
  <c r="K205" i="2"/>
  <c r="J205" i="2"/>
  <c r="I205" i="2"/>
  <c r="K375" i="2"/>
  <c r="J375" i="2"/>
  <c r="I375" i="2"/>
  <c r="K430" i="2"/>
  <c r="J430" i="2"/>
  <c r="I430" i="2"/>
  <c r="M430" i="2" s="1"/>
  <c r="K305" i="2"/>
  <c r="J305" i="2"/>
  <c r="I305" i="2"/>
  <c r="K307" i="2"/>
  <c r="J307" i="2"/>
  <c r="I307" i="2"/>
  <c r="K255" i="2"/>
  <c r="J255" i="2"/>
  <c r="I255" i="2"/>
  <c r="K199" i="2"/>
  <c r="J199" i="2"/>
  <c r="I199" i="2"/>
  <c r="K409" i="2"/>
  <c r="J409" i="2"/>
  <c r="I409" i="2"/>
  <c r="M409" i="2" s="1"/>
  <c r="K246" i="2"/>
  <c r="J246" i="2"/>
  <c r="I246" i="2"/>
  <c r="K408" i="2"/>
  <c r="J408" i="2"/>
  <c r="I408" i="2"/>
  <c r="K349" i="2"/>
  <c r="J349" i="2"/>
  <c r="I349" i="2"/>
  <c r="M349" i="2" s="1"/>
  <c r="K356" i="2"/>
  <c r="J356" i="2"/>
  <c r="I356" i="2"/>
  <c r="K264" i="2"/>
  <c r="J264" i="2"/>
  <c r="I264" i="2"/>
  <c r="M264" i="2" s="1"/>
  <c r="K220" i="2"/>
  <c r="J220" i="2"/>
  <c r="I220" i="2"/>
  <c r="K197" i="2"/>
  <c r="J197" i="2"/>
  <c r="I197" i="2"/>
  <c r="M197" i="2" s="1"/>
  <c r="K281" i="2"/>
  <c r="J281" i="2"/>
  <c r="I281" i="2"/>
  <c r="M281" i="2" s="1"/>
  <c r="K318" i="2"/>
  <c r="J318" i="2"/>
  <c r="I318" i="2"/>
  <c r="M318" i="2" s="1"/>
  <c r="K170" i="2"/>
  <c r="J170" i="2"/>
  <c r="I170" i="2"/>
  <c r="K142" i="2"/>
  <c r="J142" i="2"/>
  <c r="I142" i="2"/>
  <c r="M142" i="2" s="1"/>
  <c r="K161" i="2"/>
  <c r="J161" i="2"/>
  <c r="I161" i="2"/>
  <c r="M161" i="2" s="1"/>
  <c r="K336" i="2"/>
  <c r="J336" i="2"/>
  <c r="I336" i="2"/>
  <c r="M336" i="2" s="1"/>
  <c r="K482" i="2"/>
  <c r="J482" i="2"/>
  <c r="I482" i="2"/>
  <c r="K345" i="2"/>
  <c r="J345" i="2"/>
  <c r="I345" i="2"/>
  <c r="M345" i="2" s="1"/>
  <c r="K319" i="2"/>
  <c r="J319" i="2"/>
  <c r="I319" i="2"/>
  <c r="M319" i="2" s="1"/>
  <c r="K143" i="2"/>
  <c r="J143" i="2"/>
  <c r="I143" i="2"/>
  <c r="K163" i="2"/>
  <c r="J163" i="2"/>
  <c r="I163" i="2"/>
  <c r="K442" i="2"/>
  <c r="J442" i="2"/>
  <c r="I442" i="2"/>
  <c r="M442" i="2" s="1"/>
  <c r="K260" i="2"/>
  <c r="J260" i="2"/>
  <c r="I260" i="2"/>
  <c r="M260" i="2" s="1"/>
  <c r="K432" i="2"/>
  <c r="J432" i="2"/>
  <c r="M432" i="2" s="1"/>
  <c r="I432" i="2"/>
  <c r="K474" i="2"/>
  <c r="J474" i="2"/>
  <c r="I474" i="2"/>
  <c r="K396" i="2"/>
  <c r="J396" i="2"/>
  <c r="I396" i="2"/>
  <c r="M396" i="2" s="1"/>
  <c r="K309" i="2"/>
  <c r="J309" i="2"/>
  <c r="I309" i="2"/>
  <c r="K448" i="2"/>
  <c r="J448" i="2"/>
  <c r="I448" i="2"/>
  <c r="K78" i="2"/>
  <c r="J78" i="2"/>
  <c r="I78" i="2"/>
  <c r="M78" i="2" s="1"/>
  <c r="K478" i="2"/>
  <c r="J478" i="2"/>
  <c r="I478" i="2"/>
  <c r="M478" i="2" s="1"/>
  <c r="K310" i="2"/>
  <c r="J310" i="2"/>
  <c r="I310" i="2"/>
  <c r="K216" i="2"/>
  <c r="J216" i="2"/>
  <c r="I216" i="2"/>
  <c r="K361" i="2"/>
  <c r="J361" i="2"/>
  <c r="I361" i="2"/>
  <c r="M361" i="2" s="1"/>
  <c r="K133" i="2"/>
  <c r="J133" i="2"/>
  <c r="I133" i="2"/>
  <c r="K204" i="2"/>
  <c r="J204" i="2"/>
  <c r="I204" i="2"/>
  <c r="K137" i="2"/>
  <c r="J137" i="2"/>
  <c r="I137" i="2"/>
  <c r="K151" i="2"/>
  <c r="J151" i="2"/>
  <c r="I151" i="2"/>
  <c r="M151" i="2" s="1"/>
  <c r="K77" i="2"/>
  <c r="J77" i="2"/>
  <c r="I77" i="2"/>
  <c r="M77" i="2" s="1"/>
  <c r="K76" i="2"/>
  <c r="J76" i="2"/>
  <c r="I76" i="2"/>
  <c r="M76" i="2" s="1"/>
  <c r="K75" i="2"/>
  <c r="J75" i="2"/>
  <c r="I75" i="2"/>
  <c r="M75" i="2" s="1"/>
  <c r="K414" i="2"/>
  <c r="J414" i="2"/>
  <c r="I414" i="2"/>
  <c r="M414" i="2" s="1"/>
  <c r="K74" i="2"/>
  <c r="J74" i="2"/>
  <c r="I74" i="2"/>
  <c r="M74" i="2" s="1"/>
  <c r="K221" i="2"/>
  <c r="J221" i="2"/>
  <c r="I221" i="2"/>
  <c r="K73" i="2"/>
  <c r="J73" i="2"/>
  <c r="I73" i="2"/>
  <c r="M73" i="2" s="1"/>
  <c r="K271" i="2"/>
  <c r="J271" i="2"/>
  <c r="I271" i="2"/>
  <c r="K386" i="2"/>
  <c r="J386" i="2"/>
  <c r="I386" i="2"/>
  <c r="K555" i="2"/>
  <c r="J555" i="2"/>
  <c r="I555" i="2"/>
  <c r="K428" i="2"/>
  <c r="J428" i="2"/>
  <c r="I428" i="2"/>
  <c r="K72" i="2"/>
  <c r="J72" i="2"/>
  <c r="I72" i="2"/>
  <c r="M72" i="2" s="1"/>
  <c r="K71" i="2"/>
  <c r="J71" i="2"/>
  <c r="I71" i="2"/>
  <c r="M71" i="2" s="1"/>
  <c r="K519" i="2"/>
  <c r="M519" i="2" s="1"/>
  <c r="J519" i="2"/>
  <c r="I519" i="2"/>
  <c r="K355" i="2"/>
  <c r="J355" i="2"/>
  <c r="I355" i="2"/>
  <c r="K70" i="2"/>
  <c r="J70" i="2"/>
  <c r="I70" i="2"/>
  <c r="M70" i="2" s="1"/>
  <c r="K496" i="2"/>
  <c r="J496" i="2"/>
  <c r="I496" i="2"/>
  <c r="K69" i="2"/>
  <c r="J69" i="2"/>
  <c r="I69" i="2"/>
  <c r="K68" i="2"/>
  <c r="J68" i="2"/>
  <c r="I68" i="2"/>
  <c r="M68" i="2" s="1"/>
  <c r="K67" i="2"/>
  <c r="J67" i="2"/>
  <c r="I67" i="2"/>
  <c r="M67" i="2" s="1"/>
  <c r="K274" i="2"/>
  <c r="J274" i="2"/>
  <c r="I274" i="2"/>
  <c r="K439" i="2"/>
  <c r="J439" i="2"/>
  <c r="I439" i="2"/>
  <c r="M66" i="2"/>
  <c r="K66" i="2"/>
  <c r="J66" i="2"/>
  <c r="I66" i="2"/>
  <c r="K469" i="2"/>
  <c r="J469" i="2"/>
  <c r="I469" i="2"/>
  <c r="K475" i="2"/>
  <c r="J475" i="2"/>
  <c r="I475" i="2"/>
  <c r="K411" i="2"/>
  <c r="J411" i="2"/>
  <c r="I411" i="2"/>
  <c r="K65" i="2"/>
  <c r="J65" i="2"/>
  <c r="I65" i="2"/>
  <c r="M65" i="2" s="1"/>
  <c r="K64" i="2"/>
  <c r="J64" i="2"/>
  <c r="I64" i="2"/>
  <c r="M64" i="2" s="1"/>
  <c r="M63" i="2"/>
  <c r="K63" i="2"/>
  <c r="J63" i="2"/>
  <c r="I63" i="2"/>
  <c r="K129" i="2"/>
  <c r="J129" i="2"/>
  <c r="I129" i="2"/>
  <c r="K62" i="2"/>
  <c r="J62" i="2"/>
  <c r="I62" i="2"/>
  <c r="M62" i="2" s="1"/>
  <c r="K389" i="2"/>
  <c r="J389" i="2"/>
  <c r="I389" i="2"/>
  <c r="M389" i="2" s="1"/>
  <c r="K61" i="2"/>
  <c r="J61" i="2"/>
  <c r="I61" i="2"/>
  <c r="K60" i="2"/>
  <c r="J60" i="2"/>
  <c r="I60" i="2"/>
  <c r="M60" i="2" s="1"/>
  <c r="K59" i="2"/>
  <c r="J59" i="2"/>
  <c r="I59" i="2"/>
  <c r="M59" i="2" s="1"/>
  <c r="K308" i="2"/>
  <c r="J308" i="2"/>
  <c r="I308" i="2"/>
  <c r="M308" i="2" s="1"/>
  <c r="K58" i="2"/>
  <c r="J58" i="2"/>
  <c r="I58" i="2"/>
  <c r="M58" i="2" s="1"/>
  <c r="K57" i="2"/>
  <c r="J57" i="2"/>
  <c r="I57" i="2"/>
  <c r="M57" i="2" s="1"/>
  <c r="K56" i="2"/>
  <c r="J56" i="2"/>
  <c r="I56" i="2"/>
  <c r="M56" i="2" s="1"/>
  <c r="K153" i="2"/>
  <c r="J153" i="2"/>
  <c r="I153" i="2"/>
  <c r="M55" i="2"/>
  <c r="K55" i="2"/>
  <c r="J55" i="2"/>
  <c r="I55" i="2"/>
  <c r="K514" i="2"/>
  <c r="J514" i="2"/>
  <c r="I514" i="2"/>
  <c r="K54" i="2"/>
  <c r="J54" i="2"/>
  <c r="I54" i="2"/>
  <c r="M54" i="2" s="1"/>
  <c r="K528" i="2"/>
  <c r="J528" i="2"/>
  <c r="I528" i="2"/>
  <c r="K410" i="2"/>
  <c r="J410" i="2"/>
  <c r="I410" i="2"/>
  <c r="K53" i="2"/>
  <c r="J53" i="2"/>
  <c r="I53" i="2"/>
  <c r="M53" i="2" s="1"/>
  <c r="K52" i="2"/>
  <c r="J52" i="2"/>
  <c r="I52" i="2"/>
  <c r="M52" i="2" s="1"/>
  <c r="K505" i="2"/>
  <c r="J505" i="2"/>
  <c r="I505" i="2"/>
  <c r="K507" i="2"/>
  <c r="J507" i="2"/>
  <c r="I507" i="2"/>
  <c r="K51" i="2"/>
  <c r="J51" i="2"/>
  <c r="I51" i="2"/>
  <c r="M51" i="2" s="1"/>
  <c r="K50" i="2"/>
  <c r="J50" i="2"/>
  <c r="I50" i="2"/>
  <c r="M50" i="2" s="1"/>
  <c r="K316" i="2"/>
  <c r="J316" i="2"/>
  <c r="I316" i="2"/>
  <c r="M316" i="2" s="1"/>
  <c r="K463" i="2"/>
  <c r="J463" i="2"/>
  <c r="I463" i="2"/>
  <c r="K49" i="2"/>
  <c r="J49" i="2"/>
  <c r="I49" i="2"/>
  <c r="K48" i="2"/>
  <c r="J48" i="2"/>
  <c r="I48" i="2"/>
  <c r="M48" i="2" s="1"/>
  <c r="K47" i="2"/>
  <c r="J47" i="2"/>
  <c r="I47" i="2"/>
  <c r="M47" i="2" s="1"/>
  <c r="K46" i="2"/>
  <c r="J46" i="2"/>
  <c r="I46" i="2"/>
  <c r="M46" i="2" s="1"/>
  <c r="M45" i="2"/>
  <c r="K45" i="2"/>
  <c r="J45" i="2"/>
  <c r="I45" i="2"/>
  <c r="K44" i="2"/>
  <c r="J44" i="2"/>
  <c r="I44" i="2"/>
  <c r="M44" i="2" s="1"/>
  <c r="K43" i="2"/>
  <c r="J43" i="2"/>
  <c r="I43" i="2"/>
  <c r="M43" i="2" s="1"/>
  <c r="K471" i="2"/>
  <c r="J471" i="2"/>
  <c r="I471" i="2"/>
  <c r="K42" i="2"/>
  <c r="J42" i="2"/>
  <c r="I42" i="2"/>
  <c r="M42" i="2" s="1"/>
  <c r="K232" i="2"/>
  <c r="J232" i="2"/>
  <c r="I232" i="2"/>
  <c r="M232" i="2" s="1"/>
  <c r="K41" i="2"/>
  <c r="J41" i="2"/>
  <c r="M41" i="2" s="1"/>
  <c r="I41" i="2"/>
  <c r="K40" i="2"/>
  <c r="J40" i="2"/>
  <c r="I40" i="2"/>
  <c r="M40" i="2" s="1"/>
  <c r="K39" i="2"/>
  <c r="J39" i="2"/>
  <c r="I39" i="2"/>
  <c r="M39" i="2" s="1"/>
  <c r="K38" i="2"/>
  <c r="J38" i="2"/>
  <c r="I38" i="2"/>
  <c r="M38" i="2" s="1"/>
  <c r="K37" i="2"/>
  <c r="J37" i="2"/>
  <c r="I37" i="2"/>
  <c r="M37" i="2" s="1"/>
  <c r="K509" i="2"/>
  <c r="J509" i="2"/>
  <c r="I509" i="2"/>
  <c r="K36" i="2"/>
  <c r="J36" i="2"/>
  <c r="I36" i="2"/>
  <c r="K35" i="2"/>
  <c r="J35" i="2"/>
  <c r="I35" i="2"/>
  <c r="K298" i="2"/>
  <c r="J298" i="2"/>
  <c r="I298" i="2"/>
  <c r="M298" i="2" s="1"/>
  <c r="K412" i="2"/>
  <c r="J412" i="2"/>
  <c r="M412" i="2" s="1"/>
  <c r="I412" i="2"/>
  <c r="K34" i="2"/>
  <c r="J34" i="2"/>
  <c r="I34" i="2"/>
  <c r="M34" i="2" s="1"/>
  <c r="K33" i="2"/>
  <c r="J33" i="2"/>
  <c r="M33" i="2" s="1"/>
  <c r="I33" i="2"/>
  <c r="K32" i="2"/>
  <c r="J32" i="2"/>
  <c r="M32" i="2" s="1"/>
  <c r="I32" i="2"/>
  <c r="K235" i="2"/>
  <c r="J235" i="2"/>
  <c r="I235" i="2"/>
  <c r="M235" i="2" s="1"/>
  <c r="K31" i="2"/>
  <c r="J31" i="2"/>
  <c r="I31" i="2"/>
  <c r="M31" i="2" s="1"/>
  <c r="K30" i="2"/>
  <c r="J30" i="2"/>
  <c r="I30" i="2"/>
  <c r="K29" i="2"/>
  <c r="J29" i="2"/>
  <c r="I29" i="2"/>
  <c r="M29" i="2" s="1"/>
  <c r="K552" i="2"/>
  <c r="J552" i="2"/>
  <c r="I552" i="2"/>
  <c r="K303" i="2"/>
  <c r="J303" i="2"/>
  <c r="I303" i="2"/>
  <c r="K28" i="2"/>
  <c r="J28" i="2"/>
  <c r="I28" i="2"/>
  <c r="M28" i="2" s="1"/>
  <c r="K27" i="2"/>
  <c r="J27" i="2"/>
  <c r="I27" i="2"/>
  <c r="K452" i="2"/>
  <c r="J452" i="2"/>
  <c r="I452" i="2"/>
  <c r="M452" i="2" s="1"/>
  <c r="K26" i="2"/>
  <c r="J26" i="2"/>
  <c r="I26" i="2"/>
  <c r="M26" i="2" s="1"/>
  <c r="K25" i="2"/>
  <c r="J25" i="2"/>
  <c r="I25" i="2"/>
  <c r="M25" i="2" s="1"/>
  <c r="K489" i="2"/>
  <c r="J489" i="2"/>
  <c r="I489" i="2"/>
  <c r="K24" i="2"/>
  <c r="J24" i="2"/>
  <c r="I24" i="2"/>
  <c r="M24" i="2" s="1"/>
  <c r="K23" i="2"/>
  <c r="J23" i="2"/>
  <c r="I23" i="2"/>
  <c r="M23" i="2" s="1"/>
  <c r="K217" i="2"/>
  <c r="J217" i="2"/>
  <c r="M217" i="2" s="1"/>
  <c r="I217" i="2"/>
  <c r="K211" i="2"/>
  <c r="J211" i="2"/>
  <c r="I211" i="2"/>
  <c r="M211" i="2" s="1"/>
  <c r="K116" i="2"/>
  <c r="J116" i="2"/>
  <c r="I116" i="2"/>
  <c r="M116" i="2" s="1"/>
  <c r="K532" i="2"/>
  <c r="J532" i="2"/>
  <c r="I532" i="2"/>
  <c r="K480" i="2"/>
  <c r="J480" i="2"/>
  <c r="I480" i="2"/>
  <c r="K392" i="2"/>
  <c r="J392" i="2"/>
  <c r="I392" i="2"/>
  <c r="M392" i="2" s="1"/>
  <c r="K495" i="2"/>
  <c r="J495" i="2"/>
  <c r="I495" i="2"/>
  <c r="K487" i="2"/>
  <c r="J487" i="2"/>
  <c r="I487" i="2"/>
  <c r="K456" i="2"/>
  <c r="J456" i="2"/>
  <c r="I456" i="2"/>
  <c r="K447" i="2"/>
  <c r="J447" i="2"/>
  <c r="I447" i="2"/>
  <c r="K122" i="2"/>
  <c r="J122" i="2"/>
  <c r="I122" i="2"/>
  <c r="M122" i="2" s="1"/>
  <c r="K508" i="2"/>
  <c r="J508" i="2"/>
  <c r="I508" i="2"/>
  <c r="K350" i="2"/>
  <c r="J350" i="2"/>
  <c r="M350" i="2" s="1"/>
  <c r="I350" i="2"/>
  <c r="K473" i="2"/>
  <c r="J473" i="2"/>
  <c r="I473" i="2"/>
  <c r="M473" i="2" s="1"/>
  <c r="K465" i="2"/>
  <c r="J465" i="2"/>
  <c r="I465" i="2"/>
  <c r="M465" i="2" s="1"/>
  <c r="K529" i="2"/>
  <c r="J529" i="2"/>
  <c r="M529" i="2" s="1"/>
  <c r="I529" i="2"/>
  <c r="K22" i="2"/>
  <c r="J22" i="2"/>
  <c r="I22" i="2"/>
  <c r="K491" i="2"/>
  <c r="J491" i="2"/>
  <c r="I491" i="2"/>
  <c r="M491" i="2" s="1"/>
  <c r="K446" i="2"/>
  <c r="J446" i="2"/>
  <c r="M446" i="2" s="1"/>
  <c r="I446" i="2"/>
  <c r="K393" i="2"/>
  <c r="J393" i="2"/>
  <c r="I393" i="2"/>
  <c r="K229" i="2"/>
  <c r="M229" i="2" s="1"/>
  <c r="J229" i="2"/>
  <c r="I229" i="2"/>
  <c r="K195" i="2"/>
  <c r="J195" i="2"/>
  <c r="I195" i="2"/>
  <c r="K499" i="2"/>
  <c r="J499" i="2"/>
  <c r="I499" i="2"/>
  <c r="M499" i="2" s="1"/>
  <c r="K254" i="2"/>
  <c r="J254" i="2"/>
  <c r="I254" i="2"/>
  <c r="M254" i="2" s="1"/>
  <c r="K313" i="2"/>
  <c r="J313" i="2"/>
  <c r="M313" i="2" s="1"/>
  <c r="I313" i="2"/>
  <c r="K263" i="2"/>
  <c r="J263" i="2"/>
  <c r="I263" i="2"/>
  <c r="M263" i="2" s="1"/>
  <c r="K416" i="2"/>
  <c r="M416" i="2" s="1"/>
  <c r="J416" i="2"/>
  <c r="I416" i="2"/>
  <c r="K198" i="2"/>
  <c r="J198" i="2"/>
  <c r="I198" i="2"/>
  <c r="K370" i="2"/>
  <c r="J370" i="2"/>
  <c r="I370" i="2"/>
  <c r="K150" i="2"/>
  <c r="J150" i="2"/>
  <c r="I150" i="2"/>
  <c r="M440" i="2"/>
  <c r="K440" i="2"/>
  <c r="J440" i="2"/>
  <c r="I440" i="2"/>
  <c r="K259" i="2"/>
  <c r="J259" i="2"/>
  <c r="I259" i="2"/>
  <c r="K461" i="2"/>
  <c r="J461" i="2"/>
  <c r="I461" i="2"/>
  <c r="M461" i="2" s="1"/>
  <c r="K250" i="2"/>
  <c r="J250" i="2"/>
  <c r="I250" i="2"/>
  <c r="K450" i="2"/>
  <c r="J450" i="2"/>
  <c r="I450" i="2"/>
  <c r="K418" i="2"/>
  <c r="M418" i="2" s="1"/>
  <c r="J418" i="2"/>
  <c r="I418" i="2"/>
  <c r="K159" i="2"/>
  <c r="J159" i="2"/>
  <c r="I159" i="2"/>
  <c r="M159" i="2" s="1"/>
  <c r="K273" i="2"/>
  <c r="J273" i="2"/>
  <c r="I273" i="2"/>
  <c r="M273" i="2" s="1"/>
  <c r="K277" i="2"/>
  <c r="J277" i="2"/>
  <c r="I277" i="2"/>
  <c r="M277" i="2" s="1"/>
  <c r="K268" i="2"/>
  <c r="M268" i="2" s="1"/>
  <c r="J268" i="2"/>
  <c r="I268" i="2"/>
  <c r="K156" i="2"/>
  <c r="J156" i="2"/>
  <c r="I156" i="2"/>
  <c r="M156" i="2" s="1"/>
  <c r="K391" i="2"/>
  <c r="J391" i="2"/>
  <c r="I391" i="2"/>
  <c r="M391" i="2" s="1"/>
  <c r="K118" i="2"/>
  <c r="J118" i="2"/>
  <c r="I118" i="2"/>
  <c r="K262" i="2"/>
  <c r="J262" i="2"/>
  <c r="I262" i="2"/>
  <c r="K403" i="2"/>
  <c r="J403" i="2"/>
  <c r="I403" i="2"/>
  <c r="M403" i="2" s="1"/>
  <c r="K466" i="2"/>
  <c r="J466" i="2"/>
  <c r="I466" i="2"/>
  <c r="K208" i="2"/>
  <c r="J208" i="2"/>
  <c r="I208" i="2"/>
  <c r="M208" i="2" s="1"/>
  <c r="K328" i="2"/>
  <c r="J328" i="2"/>
  <c r="I328" i="2"/>
  <c r="K296" i="2"/>
  <c r="J296" i="2"/>
  <c r="I296" i="2"/>
  <c r="M296" i="2" s="1"/>
  <c r="K341" i="2"/>
  <c r="J341" i="2"/>
  <c r="I341" i="2"/>
  <c r="K257" i="2"/>
  <c r="J257" i="2"/>
  <c r="I257" i="2"/>
  <c r="K218" i="2"/>
  <c r="J218" i="2"/>
  <c r="I218" i="2"/>
  <c r="K293" i="2"/>
  <c r="J293" i="2"/>
  <c r="I293" i="2"/>
  <c r="M293" i="2" s="1"/>
  <c r="K265" i="2"/>
  <c r="M265" i="2" s="1"/>
  <c r="J265" i="2"/>
  <c r="I265" i="2"/>
  <c r="K357" i="2"/>
  <c r="J357" i="2"/>
  <c r="I357" i="2"/>
  <c r="K367" i="2"/>
  <c r="J367" i="2"/>
  <c r="I367" i="2"/>
  <c r="M367" i="2" s="1"/>
  <c r="K322" i="2"/>
  <c r="J322" i="2"/>
  <c r="I322" i="2"/>
  <c r="K388" i="2"/>
  <c r="J388" i="2"/>
  <c r="I388" i="2"/>
  <c r="K359" i="2"/>
  <c r="J359" i="2"/>
  <c r="I359" i="2"/>
  <c r="K434" i="2"/>
  <c r="J434" i="2"/>
  <c r="I434" i="2"/>
  <c r="M434" i="2" s="1"/>
  <c r="K321" i="2"/>
  <c r="J321" i="2"/>
  <c r="M321" i="2" s="1"/>
  <c r="I321" i="2"/>
  <c r="K522" i="2"/>
  <c r="J522" i="2"/>
  <c r="I522" i="2"/>
  <c r="M522" i="2" s="1"/>
  <c r="K241" i="2"/>
  <c r="M241" i="2" s="1"/>
  <c r="J241" i="2"/>
  <c r="I241" i="2"/>
  <c r="K379" i="2"/>
  <c r="J379" i="2"/>
  <c r="I379" i="2"/>
  <c r="K352" i="2"/>
  <c r="J352" i="2"/>
  <c r="I352" i="2"/>
  <c r="M352" i="2" s="1"/>
  <c r="K383" i="2"/>
  <c r="J383" i="2"/>
  <c r="I383" i="2"/>
  <c r="M340" i="2"/>
  <c r="K340" i="2"/>
  <c r="J340" i="2"/>
  <c r="I340" i="2"/>
  <c r="K192" i="2"/>
  <c r="J192" i="2"/>
  <c r="I192" i="2"/>
  <c r="M192" i="2" s="1"/>
  <c r="K131" i="2"/>
  <c r="J131" i="2"/>
  <c r="I131" i="2"/>
  <c r="K333" i="2"/>
  <c r="J333" i="2"/>
  <c r="I333" i="2"/>
  <c r="K120" i="2"/>
  <c r="J120" i="2"/>
  <c r="I120" i="2"/>
  <c r="K219" i="2"/>
  <c r="J219" i="2"/>
  <c r="I219" i="2"/>
  <c r="M219" i="2" s="1"/>
  <c r="K454" i="2"/>
  <c r="M454" i="2" s="1"/>
  <c r="J454" i="2"/>
  <c r="I454" i="2"/>
  <c r="K384" i="2"/>
  <c r="J384" i="2"/>
  <c r="I384" i="2"/>
  <c r="K209" i="2"/>
  <c r="J209" i="2"/>
  <c r="I209" i="2"/>
  <c r="M209" i="2" s="1"/>
  <c r="K175" i="2"/>
  <c r="J175" i="2"/>
  <c r="I175" i="2"/>
  <c r="K242" i="2"/>
  <c r="J242" i="2"/>
  <c r="I242" i="2"/>
  <c r="K177" i="2"/>
  <c r="J177" i="2"/>
  <c r="I177" i="2"/>
  <c r="K342" i="2"/>
  <c r="J342" i="2"/>
  <c r="I342" i="2"/>
  <c r="K189" i="2"/>
  <c r="J189" i="2"/>
  <c r="I189" i="2"/>
  <c r="M189" i="2" s="1"/>
  <c r="K174" i="2"/>
  <c r="J174" i="2"/>
  <c r="I174" i="2"/>
  <c r="K419" i="2"/>
  <c r="J419" i="2"/>
  <c r="I419" i="2"/>
  <c r="K299" i="2"/>
  <c r="J299" i="2"/>
  <c r="I299" i="2"/>
  <c r="M299" i="2" s="1"/>
  <c r="K200" i="2"/>
  <c r="J200" i="2"/>
  <c r="I200" i="2"/>
  <c r="M200" i="2" s="1"/>
  <c r="K283" i="2"/>
  <c r="J283" i="2"/>
  <c r="I283" i="2"/>
  <c r="K194" i="2"/>
  <c r="J194" i="2"/>
  <c r="I194" i="2"/>
  <c r="K147" i="2"/>
  <c r="J147" i="2"/>
  <c r="I147" i="2"/>
  <c r="M147" i="2" s="1"/>
  <c r="K179" i="2"/>
  <c r="J179" i="2"/>
  <c r="I179" i="2"/>
  <c r="M179" i="2" s="1"/>
  <c r="K348" i="2"/>
  <c r="J348" i="2"/>
  <c r="I348" i="2"/>
  <c r="M284" i="2"/>
  <c r="K284" i="2"/>
  <c r="J284" i="2"/>
  <c r="I284" i="2"/>
  <c r="K441" i="2"/>
  <c r="J441" i="2"/>
  <c r="I441" i="2"/>
  <c r="M441" i="2" s="1"/>
  <c r="K226" i="2"/>
  <c r="J226" i="2"/>
  <c r="I226" i="2"/>
  <c r="K145" i="2"/>
  <c r="J145" i="2"/>
  <c r="I145" i="2"/>
  <c r="K294" i="2"/>
  <c r="J294" i="2"/>
  <c r="I294" i="2"/>
  <c r="K436" i="2"/>
  <c r="J436" i="2"/>
  <c r="I436" i="2"/>
  <c r="M436" i="2" s="1"/>
  <c r="K182" i="2"/>
  <c r="J182" i="2"/>
  <c r="M182" i="2" s="1"/>
  <c r="I182" i="2"/>
  <c r="K160" i="2"/>
  <c r="J160" i="2"/>
  <c r="I160" i="2"/>
  <c r="K280" i="2"/>
  <c r="J280" i="2"/>
  <c r="I280" i="2"/>
  <c r="M280" i="2" s="1"/>
  <c r="K141" i="2"/>
  <c r="J141" i="2"/>
  <c r="I141" i="2"/>
  <c r="K351" i="2"/>
  <c r="J351" i="2"/>
  <c r="I351" i="2"/>
  <c r="K269" i="2"/>
  <c r="J269" i="2"/>
  <c r="I269" i="2"/>
  <c r="K128" i="2"/>
  <c r="J128" i="2"/>
  <c r="I128" i="2"/>
  <c r="K181" i="2"/>
  <c r="J181" i="2"/>
  <c r="I181" i="2"/>
  <c r="M181" i="2" s="1"/>
  <c r="K166" i="2"/>
  <c r="J166" i="2"/>
  <c r="I166" i="2"/>
  <c r="K243" i="2"/>
  <c r="J243" i="2"/>
  <c r="I243" i="2"/>
  <c r="K498" i="2"/>
  <c r="J498" i="2"/>
  <c r="I498" i="2"/>
  <c r="K231" i="2"/>
  <c r="J231" i="2"/>
  <c r="I231" i="2"/>
  <c r="M231" i="2" s="1"/>
  <c r="K124" i="2"/>
  <c r="J124" i="2"/>
  <c r="I124" i="2"/>
  <c r="M406" i="2"/>
  <c r="K406" i="2"/>
  <c r="J406" i="2"/>
  <c r="I406" i="2"/>
  <c r="K483" i="2"/>
  <c r="J483" i="2"/>
  <c r="I483" i="2"/>
  <c r="K289" i="2"/>
  <c r="J289" i="2"/>
  <c r="I289" i="2"/>
  <c r="K225" i="2"/>
  <c r="J225" i="2"/>
  <c r="I225" i="2"/>
  <c r="K162" i="2"/>
  <c r="J162" i="2"/>
  <c r="I162" i="2"/>
  <c r="K238" i="2"/>
  <c r="J238" i="2"/>
  <c r="I238" i="2"/>
  <c r="M238" i="2" s="1"/>
  <c r="K134" i="2"/>
  <c r="J134" i="2"/>
  <c r="M134" i="2" s="1"/>
  <c r="I134" i="2"/>
  <c r="K502" i="2"/>
  <c r="J502" i="2"/>
  <c r="I502" i="2"/>
  <c r="K169" i="2"/>
  <c r="J169" i="2"/>
  <c r="I169" i="2"/>
  <c r="K429" i="2"/>
  <c r="J429" i="2"/>
  <c r="I429" i="2"/>
  <c r="M429" i="2" s="1"/>
  <c r="K492" i="2"/>
  <c r="J492" i="2"/>
  <c r="I492" i="2"/>
  <c r="K135" i="2"/>
  <c r="J135" i="2"/>
  <c r="I135" i="2"/>
  <c r="M135" i="2" s="1"/>
  <c r="K455" i="2"/>
  <c r="J455" i="2"/>
  <c r="I455" i="2"/>
  <c r="K154" i="2"/>
  <c r="J154" i="2"/>
  <c r="I154" i="2"/>
  <c r="K247" i="2"/>
  <c r="J247" i="2"/>
  <c r="I247" i="2"/>
  <c r="M247" i="2" s="1"/>
  <c r="K306" i="2"/>
  <c r="J306" i="2"/>
  <c r="I306" i="2"/>
  <c r="M306" i="2" s="1"/>
  <c r="K138" i="2"/>
  <c r="J138" i="2"/>
  <c r="I138" i="2"/>
  <c r="K373" i="2"/>
  <c r="J373" i="2"/>
  <c r="I373" i="2"/>
  <c r="M373" i="2" s="1"/>
  <c r="K249" i="2"/>
  <c r="J249" i="2"/>
  <c r="I249" i="2"/>
  <c r="K407" i="2"/>
  <c r="J407" i="2"/>
  <c r="I407" i="2"/>
  <c r="K214" i="2"/>
  <c r="J214" i="2"/>
  <c r="I214" i="2"/>
  <c r="K372" i="2"/>
  <c r="J372" i="2"/>
  <c r="I372" i="2"/>
  <c r="M372" i="2" s="1"/>
  <c r="K282" i="2"/>
  <c r="J282" i="2"/>
  <c r="I282" i="2"/>
  <c r="K114" i="2"/>
  <c r="M114" i="2" s="1"/>
  <c r="J114" i="2"/>
  <c r="I114" i="2"/>
  <c r="K288" i="2"/>
  <c r="J288" i="2"/>
  <c r="I288" i="2"/>
  <c r="M288" i="2" s="1"/>
  <c r="K302" i="2"/>
  <c r="J302" i="2"/>
  <c r="I302" i="2"/>
  <c r="M302" i="2" s="1"/>
  <c r="K215" i="2"/>
  <c r="M215" i="2" s="1"/>
  <c r="J215" i="2"/>
  <c r="I215" i="2"/>
  <c r="K488" i="2"/>
  <c r="J488" i="2"/>
  <c r="I488" i="2"/>
  <c r="K251" i="2"/>
  <c r="J251" i="2"/>
  <c r="I251" i="2"/>
  <c r="M251" i="2" s="1"/>
  <c r="K152" i="2"/>
  <c r="J152" i="2"/>
  <c r="I152" i="2"/>
  <c r="K117" i="2"/>
  <c r="J117" i="2"/>
  <c r="I117" i="2"/>
  <c r="M117" i="2" s="1"/>
  <c r="K421" i="2"/>
  <c r="J421" i="2"/>
  <c r="I421" i="2"/>
  <c r="K278" i="2"/>
  <c r="J278" i="2"/>
  <c r="I278" i="2"/>
  <c r="M278" i="2" s="1"/>
  <c r="K240" i="2"/>
  <c r="J240" i="2"/>
  <c r="I240" i="2"/>
  <c r="K275" i="2"/>
  <c r="J275" i="2"/>
  <c r="I275" i="2"/>
  <c r="M275" i="2" s="1"/>
  <c r="K258" i="2"/>
  <c r="J258" i="2"/>
  <c r="I258" i="2"/>
  <c r="K245" i="2"/>
  <c r="J245" i="2"/>
  <c r="I245" i="2"/>
  <c r="M245" i="2" s="1"/>
  <c r="K503" i="2"/>
  <c r="J503" i="2"/>
  <c r="I503" i="2"/>
  <c r="K320" i="2"/>
  <c r="J320" i="2"/>
  <c r="I320" i="2"/>
  <c r="K380" i="2"/>
  <c r="J380" i="2"/>
  <c r="I380" i="2"/>
  <c r="K21" i="2"/>
  <c r="J21" i="2"/>
  <c r="I21" i="2"/>
  <c r="M21" i="2" s="1"/>
  <c r="K536" i="2"/>
  <c r="J536" i="2"/>
  <c r="I536" i="2"/>
  <c r="K462" i="2"/>
  <c r="J462" i="2"/>
  <c r="M462" i="2" s="1"/>
  <c r="I462" i="2"/>
  <c r="K540" i="2"/>
  <c r="J540" i="2"/>
  <c r="I540" i="2"/>
  <c r="K427" i="2"/>
  <c r="J427" i="2"/>
  <c r="I427" i="2"/>
  <c r="M427" i="2" s="1"/>
  <c r="K20" i="2"/>
  <c r="J20" i="2"/>
  <c r="I20" i="2"/>
  <c r="M20" i="2" s="1"/>
  <c r="K531" i="2"/>
  <c r="J531" i="2"/>
  <c r="I531" i="2"/>
  <c r="K19" i="2"/>
  <c r="J19" i="2"/>
  <c r="I19" i="2"/>
  <c r="M19" i="2" s="1"/>
  <c r="K18" i="2"/>
  <c r="J18" i="2"/>
  <c r="I18" i="2"/>
  <c r="M18" i="2" s="1"/>
  <c r="K17" i="2"/>
  <c r="J17" i="2"/>
  <c r="I17" i="2"/>
  <c r="M17" i="2" s="1"/>
  <c r="K176" i="2"/>
  <c r="J176" i="2"/>
  <c r="I176" i="2"/>
  <c r="K314" i="2"/>
  <c r="J314" i="2"/>
  <c r="I314" i="2"/>
  <c r="M314" i="2" s="1"/>
  <c r="K301" i="2"/>
  <c r="J301" i="2"/>
  <c r="I301" i="2"/>
  <c r="M323" i="2"/>
  <c r="K323" i="2"/>
  <c r="J323" i="2"/>
  <c r="I323" i="2"/>
  <c r="K201" i="2"/>
  <c r="J201" i="2"/>
  <c r="I201" i="2"/>
  <c r="K178" i="2"/>
  <c r="J178" i="2"/>
  <c r="I178" i="2"/>
  <c r="M178" i="2" s="1"/>
  <c r="K173" i="2"/>
  <c r="J173" i="2"/>
  <c r="I173" i="2"/>
  <c r="K404" i="2"/>
  <c r="J404" i="2"/>
  <c r="I404" i="2"/>
  <c r="K497" i="2"/>
  <c r="J497" i="2"/>
  <c r="I497" i="2"/>
  <c r="K210" i="2"/>
  <c r="J210" i="2"/>
  <c r="I210" i="2"/>
  <c r="M210" i="2" s="1"/>
  <c r="K444" i="2"/>
  <c r="J444" i="2"/>
  <c r="I444" i="2"/>
  <c r="M444" i="2" s="1"/>
  <c r="K233" i="2"/>
  <c r="J233" i="2"/>
  <c r="I233" i="2"/>
  <c r="M233" i="2" s="1"/>
  <c r="K346" i="2"/>
  <c r="M346" i="2" s="1"/>
  <c r="J346" i="2"/>
  <c r="I346" i="2"/>
  <c r="K165" i="2"/>
  <c r="J165" i="2"/>
  <c r="I165" i="2"/>
  <c r="M165" i="2" s="1"/>
  <c r="K376" i="2"/>
  <c r="J376" i="2"/>
  <c r="I376" i="2"/>
  <c r="K121" i="2"/>
  <c r="J121" i="2"/>
  <c r="I121" i="2"/>
  <c r="K126" i="2"/>
  <c r="J126" i="2"/>
  <c r="I126" i="2"/>
  <c r="M126" i="2" s="1"/>
  <c r="K119" i="2"/>
  <c r="J119" i="2"/>
  <c r="I119" i="2"/>
  <c r="M119" i="2" s="1"/>
  <c r="K146" i="2"/>
  <c r="J146" i="2"/>
  <c r="I146" i="2"/>
  <c r="K222" i="2"/>
  <c r="J222" i="2"/>
  <c r="I222" i="2"/>
  <c r="K543" i="2"/>
  <c r="J543" i="2"/>
  <c r="I543" i="2"/>
  <c r="M543" i="2" s="1"/>
  <c r="K424" i="2"/>
  <c r="J424" i="2"/>
  <c r="I424" i="2"/>
  <c r="M424" i="2" s="1"/>
  <c r="K266" i="2"/>
  <c r="M266" i="2" s="1"/>
  <c r="J266" i="2"/>
  <c r="I266" i="2"/>
  <c r="K180" i="2"/>
  <c r="J180" i="2"/>
  <c r="I180" i="2"/>
  <c r="K385" i="2"/>
  <c r="J385" i="2"/>
  <c r="I385" i="2"/>
  <c r="M385" i="2" s="1"/>
  <c r="K398" i="2"/>
  <c r="J398" i="2"/>
  <c r="I398" i="2"/>
  <c r="K16" i="2"/>
  <c r="J16" i="2"/>
  <c r="I16" i="2"/>
  <c r="M16" i="2" s="1"/>
  <c r="K15" i="2"/>
  <c r="J15" i="2"/>
  <c r="I15" i="2"/>
  <c r="K504" i="2"/>
  <c r="J504" i="2"/>
  <c r="I504" i="2"/>
  <c r="K534" i="2"/>
  <c r="J534" i="2"/>
  <c r="I534" i="2"/>
  <c r="M534" i="2" s="1"/>
  <c r="K335" i="2"/>
  <c r="J335" i="2"/>
  <c r="I335" i="2"/>
  <c r="M335" i="2" s="1"/>
  <c r="K14" i="2"/>
  <c r="J14" i="2"/>
  <c r="I14" i="2"/>
  <c r="M14" i="2" s="1"/>
  <c r="K13" i="2"/>
  <c r="J13" i="2"/>
  <c r="I13" i="2"/>
  <c r="M13" i="2" s="1"/>
  <c r="K12" i="2"/>
  <c r="J12" i="2"/>
  <c r="I12" i="2"/>
  <c r="M12" i="2" s="1"/>
  <c r="K453" i="2"/>
  <c r="J453" i="2"/>
  <c r="I453" i="2"/>
  <c r="K11" i="2"/>
  <c r="J11" i="2"/>
  <c r="I11" i="2"/>
  <c r="M11" i="2" s="1"/>
  <c r="K10" i="2"/>
  <c r="J10" i="2"/>
  <c r="I10" i="2"/>
  <c r="M10" i="2" s="1"/>
  <c r="K9" i="2"/>
  <c r="J9" i="2"/>
  <c r="I9" i="2"/>
  <c r="M8" i="2"/>
  <c r="K8" i="2"/>
  <c r="J8" i="2"/>
  <c r="I8" i="2"/>
  <c r="K7" i="2"/>
  <c r="J7" i="2"/>
  <c r="I7" i="2"/>
  <c r="M7" i="2" s="1"/>
  <c r="M6" i="2"/>
  <c r="K6" i="2"/>
  <c r="J6" i="2"/>
  <c r="I6" i="2"/>
  <c r="M5" i="2"/>
  <c r="K5" i="2"/>
  <c r="J5" i="2"/>
  <c r="I5" i="2"/>
  <c r="K4" i="2"/>
  <c r="J4" i="2"/>
  <c r="I4" i="2"/>
  <c r="M4" i="2" s="1"/>
  <c r="K433" i="2"/>
  <c r="J433" i="2"/>
  <c r="I433" i="2"/>
  <c r="K3" i="2"/>
  <c r="J3" i="2"/>
  <c r="M3" i="2" s="1"/>
  <c r="I3" i="2"/>
  <c r="K2" i="2"/>
  <c r="J2" i="2"/>
  <c r="I2" i="2"/>
  <c r="M2" i="2" s="1"/>
  <c r="K1" i="2"/>
  <c r="J1" i="2"/>
  <c r="I1" i="2"/>
  <c r="K467" i="2"/>
  <c r="M467" i="2" s="1"/>
  <c r="J467" i="2"/>
  <c r="I467" i="2"/>
  <c r="K459" i="2"/>
  <c r="J459" i="2"/>
  <c r="I459" i="2"/>
  <c r="K171" i="2"/>
  <c r="J171" i="2"/>
  <c r="I171" i="2"/>
  <c r="K468" i="2"/>
  <c r="J468" i="2"/>
  <c r="I468" i="2"/>
  <c r="M468" i="2" s="1"/>
  <c r="K343" i="2"/>
  <c r="J343" i="2"/>
  <c r="I343" i="2"/>
  <c r="M343" i="2" s="1"/>
  <c r="K374" i="2"/>
  <c r="J374" i="2"/>
  <c r="I374" i="2"/>
  <c r="K400" i="2"/>
  <c r="J400" i="2"/>
  <c r="I400" i="2"/>
  <c r="M400" i="2" s="1"/>
  <c r="K476" i="2"/>
  <c r="J476" i="2"/>
  <c r="I476" i="2"/>
  <c r="K292" i="2"/>
  <c r="J292" i="2"/>
  <c r="M292" i="2" s="1"/>
  <c r="I292" i="2"/>
  <c r="K157" i="2"/>
  <c r="J157" i="2"/>
  <c r="I157" i="2"/>
  <c r="M157" i="2" s="1"/>
  <c r="K365" i="2"/>
  <c r="J365" i="2"/>
  <c r="I365" i="2"/>
  <c r="M365" i="2" s="1"/>
  <c r="K464" i="2"/>
  <c r="J464" i="2"/>
  <c r="I464" i="2"/>
  <c r="M230" i="2"/>
  <c r="K230" i="2"/>
  <c r="J230" i="2"/>
  <c r="I230" i="2"/>
  <c r="K486" i="2"/>
  <c r="J486" i="2"/>
  <c r="I486" i="2"/>
  <c r="M486" i="2" s="1"/>
  <c r="K363" i="2"/>
  <c r="J363" i="2"/>
  <c r="I363" i="2"/>
  <c r="K344" i="2"/>
  <c r="J344" i="2"/>
  <c r="M344" i="2" s="1"/>
  <c r="I344" i="2"/>
  <c r="K390" i="2"/>
  <c r="J390" i="2"/>
  <c r="I390" i="2"/>
  <c r="M390" i="2" s="1"/>
  <c r="K315" i="2"/>
  <c r="J315" i="2"/>
  <c r="I315" i="2"/>
  <c r="K188" i="2"/>
  <c r="M188" i="2" s="1"/>
  <c r="J188" i="2"/>
  <c r="I188" i="2"/>
  <c r="K485" i="2"/>
  <c r="J485" i="2"/>
  <c r="I485" i="2"/>
  <c r="K387" i="2"/>
  <c r="J387" i="2"/>
  <c r="I387" i="2"/>
  <c r="K286" i="2"/>
  <c r="J286" i="2"/>
  <c r="I286" i="2"/>
  <c r="M286" i="2" s="1"/>
  <c r="K244" i="2"/>
  <c r="J244" i="2"/>
  <c r="I244" i="2"/>
  <c r="M244" i="2" s="1"/>
  <c r="K331" i="2"/>
  <c r="J331" i="2"/>
  <c r="I331" i="2"/>
  <c r="K332" i="2"/>
  <c r="J332" i="2"/>
  <c r="I332" i="2"/>
  <c r="M332" i="2" s="1"/>
  <c r="K311" i="2"/>
  <c r="J311" i="2"/>
  <c r="I311" i="2"/>
  <c r="K139" i="2"/>
  <c r="J139" i="2"/>
  <c r="M139" i="2" s="1"/>
  <c r="I139" i="2"/>
  <c r="K381" i="2"/>
  <c r="J381" i="2"/>
  <c r="I381" i="2"/>
  <c r="M381" i="2" s="1"/>
  <c r="K115" i="2"/>
  <c r="J115" i="2"/>
  <c r="I115" i="2"/>
  <c r="M115" i="2" s="1"/>
  <c r="K397" i="2"/>
  <c r="J397" i="2"/>
  <c r="I397" i="2"/>
  <c r="M470" i="2"/>
  <c r="K470" i="2"/>
  <c r="J470" i="2"/>
  <c r="I470" i="2"/>
  <c r="K212" i="2"/>
  <c r="J212" i="2"/>
  <c r="I212" i="2"/>
  <c r="M212" i="2" s="1"/>
  <c r="K196" i="2"/>
  <c r="J196" i="2"/>
  <c r="I196" i="2"/>
  <c r="K378" i="2"/>
  <c r="J378" i="2"/>
  <c r="M378" i="2" s="1"/>
  <c r="I378" i="2"/>
  <c r="K279" i="2"/>
  <c r="J279" i="2"/>
  <c r="I279" i="2"/>
  <c r="M279" i="2" s="1"/>
  <c r="K458" i="2"/>
  <c r="J458" i="2"/>
  <c r="I458" i="2"/>
  <c r="K516" i="2"/>
  <c r="M516" i="2" s="1"/>
  <c r="J516" i="2"/>
  <c r="I516" i="2"/>
  <c r="K451" i="2"/>
  <c r="J451" i="2"/>
  <c r="I451" i="2"/>
  <c r="K472" i="2"/>
  <c r="J472" i="2"/>
  <c r="I472" i="2"/>
  <c r="K457" i="2"/>
  <c r="J457" i="2"/>
  <c r="I457" i="2"/>
  <c r="M457" i="2" s="1"/>
  <c r="K518" i="2"/>
  <c r="J518" i="2"/>
  <c r="I518" i="2"/>
  <c r="M518" i="2" s="1"/>
  <c r="K445" i="2"/>
  <c r="J445" i="2"/>
  <c r="I445" i="2"/>
  <c r="K369" i="2"/>
  <c r="J369" i="2"/>
  <c r="I369" i="2"/>
  <c r="M369" i="2" s="1"/>
  <c r="K337" i="2"/>
  <c r="J337" i="2"/>
  <c r="I337" i="2"/>
  <c r="K270" i="2"/>
  <c r="J270" i="2"/>
  <c r="M270" i="2" s="1"/>
  <c r="I270" i="2"/>
  <c r="K338" i="2"/>
  <c r="J338" i="2"/>
  <c r="I338" i="2"/>
  <c r="M338" i="2" s="1"/>
  <c r="K167" i="2"/>
  <c r="J167" i="2"/>
  <c r="I167" i="2"/>
  <c r="M167" i="2" s="1"/>
  <c r="K226" i="1"/>
  <c r="K158" i="1"/>
  <c r="K225" i="1"/>
  <c r="K257" i="1"/>
  <c r="K333" i="1"/>
  <c r="K406" i="1"/>
  <c r="K345" i="1"/>
  <c r="K360" i="1"/>
  <c r="K339" i="1"/>
  <c r="K404" i="1"/>
  <c r="K346" i="1"/>
  <c r="K167" i="1"/>
  <c r="K266" i="1"/>
  <c r="K84" i="1"/>
  <c r="K100" i="1"/>
  <c r="K358" i="1"/>
  <c r="K285" i="1"/>
  <c r="K3" i="1"/>
  <c r="K269" i="1"/>
  <c r="K27" i="1"/>
  <c r="K199" i="1"/>
  <c r="K220" i="1"/>
  <c r="K219" i="1"/>
  <c r="K132" i="1"/>
  <c r="K174" i="1"/>
  <c r="K275" i="1"/>
  <c r="K373" i="1"/>
  <c r="K76" i="1"/>
  <c r="K203" i="1"/>
  <c r="K278" i="1"/>
  <c r="K232" i="1"/>
  <c r="K251" i="1"/>
  <c r="K374" i="1"/>
  <c r="K118" i="1"/>
  <c r="K352" i="1"/>
  <c r="K253" i="1"/>
  <c r="K45" i="1"/>
  <c r="K180" i="1"/>
  <c r="K364" i="1"/>
  <c r="K288" i="1"/>
  <c r="K262" i="1"/>
  <c r="K231" i="1"/>
  <c r="K356" i="1"/>
  <c r="K59" i="1"/>
  <c r="K347" i="1"/>
  <c r="K355" i="1"/>
  <c r="K321" i="1"/>
  <c r="K341" i="1"/>
  <c r="K223" i="1"/>
  <c r="K422" i="1"/>
  <c r="K392" i="1"/>
  <c r="K286" i="1"/>
  <c r="K273" i="1"/>
  <c r="K68" i="1"/>
  <c r="K154" i="1"/>
  <c r="K312" i="1"/>
  <c r="K431" i="1"/>
  <c r="K110" i="1"/>
  <c r="K34" i="1"/>
  <c r="K7" i="1"/>
  <c r="K14" i="1"/>
  <c r="K9" i="1"/>
  <c r="K264" i="1"/>
  <c r="K53" i="1"/>
  <c r="K234" i="1"/>
  <c r="K121" i="1"/>
  <c r="K332" i="1"/>
  <c r="K98" i="1"/>
  <c r="K385" i="1"/>
  <c r="K292" i="1"/>
  <c r="K61" i="1"/>
  <c r="K66" i="1"/>
  <c r="K89" i="1"/>
  <c r="K211" i="1"/>
  <c r="K189" i="1"/>
  <c r="K202" i="1"/>
  <c r="K64" i="1"/>
  <c r="K419" i="1"/>
  <c r="K315" i="1"/>
  <c r="K428" i="1"/>
  <c r="K350" i="1"/>
  <c r="K424" i="1"/>
  <c r="K268" i="1"/>
  <c r="K208" i="1"/>
  <c r="K391" i="1"/>
  <c r="K133" i="1"/>
  <c r="K146" i="1"/>
  <c r="K163" i="1"/>
  <c r="K128" i="1"/>
  <c r="K166" i="1"/>
  <c r="K309" i="1"/>
  <c r="K5" i="1"/>
  <c r="K40" i="1"/>
  <c r="K139" i="1"/>
  <c r="K376" i="1"/>
  <c r="K103" i="1"/>
  <c r="K190" i="1"/>
  <c r="K176" i="1"/>
  <c r="K2" i="1"/>
  <c r="K170" i="1"/>
  <c r="K260" i="1"/>
  <c r="K102" i="1"/>
  <c r="K295" i="1"/>
  <c r="K137" i="1"/>
  <c r="K261" i="1"/>
  <c r="K26" i="1"/>
  <c r="K194" i="1"/>
  <c r="K135" i="1"/>
  <c r="K42" i="1"/>
  <c r="K343" i="1"/>
  <c r="K23" i="1"/>
  <c r="K380" i="1"/>
  <c r="K317" i="1"/>
  <c r="K57" i="1"/>
  <c r="K390" i="1"/>
  <c r="K22" i="1"/>
  <c r="K126" i="1"/>
  <c r="K50" i="1"/>
  <c r="K113" i="1"/>
  <c r="K177" i="1"/>
  <c r="K371" i="1"/>
  <c r="K294" i="1"/>
  <c r="K12" i="1"/>
  <c r="K119" i="1"/>
  <c r="K386" i="1"/>
  <c r="K131" i="1"/>
  <c r="K54" i="1"/>
  <c r="K69" i="1"/>
  <c r="K16" i="1"/>
  <c r="K157" i="1"/>
  <c r="K239" i="1"/>
  <c r="K29" i="1"/>
  <c r="K168" i="1"/>
  <c r="K48" i="1"/>
  <c r="K70" i="1"/>
  <c r="K324" i="1"/>
  <c r="K182" i="1"/>
  <c r="K33" i="1"/>
  <c r="K114" i="1"/>
  <c r="K329" i="1"/>
  <c r="K172" i="1"/>
  <c r="K236" i="1"/>
  <c r="K67" i="1"/>
  <c r="K35" i="1"/>
  <c r="K82" i="1"/>
  <c r="K171" i="1"/>
  <c r="K88" i="1"/>
  <c r="K187" i="1"/>
  <c r="K307" i="1"/>
  <c r="K62" i="1"/>
  <c r="K77" i="1"/>
  <c r="K230" i="1"/>
  <c r="K65" i="1"/>
  <c r="K130" i="1"/>
  <c r="K63" i="1"/>
  <c r="K97" i="1"/>
  <c r="K272" i="1"/>
  <c r="K342" i="1"/>
  <c r="K107" i="1"/>
  <c r="K8" i="1"/>
  <c r="K221" i="1"/>
  <c r="K19" i="1"/>
  <c r="K80" i="1"/>
  <c r="K228" i="1"/>
  <c r="K271" i="1"/>
  <c r="K240" i="1"/>
  <c r="K267" i="1"/>
  <c r="K129" i="1"/>
  <c r="K410" i="1"/>
  <c r="K209" i="1"/>
  <c r="K322" i="1"/>
  <c r="K247" i="1"/>
  <c r="K276" i="1"/>
  <c r="K210" i="1"/>
  <c r="K255" i="1"/>
  <c r="K245" i="1"/>
  <c r="K153" i="1"/>
  <c r="K181" i="1"/>
  <c r="K106" i="1"/>
  <c r="K145" i="1"/>
  <c r="K229" i="1"/>
  <c r="K184" i="1"/>
  <c r="K216" i="1"/>
  <c r="K96" i="1"/>
  <c r="K354" i="1"/>
  <c r="K291" i="1"/>
  <c r="K150" i="1"/>
  <c r="K6" i="1"/>
  <c r="K279" i="1"/>
  <c r="K44" i="1"/>
  <c r="K156" i="1"/>
  <c r="K165" i="1"/>
  <c r="K161" i="1"/>
  <c r="K47" i="1"/>
  <c r="K306" i="1"/>
  <c r="K338" i="1"/>
  <c r="K138" i="1"/>
  <c r="K349" i="1"/>
  <c r="K147" i="1"/>
  <c r="K328" i="1"/>
  <c r="K38" i="1"/>
  <c r="K258" i="1"/>
  <c r="K86" i="1"/>
  <c r="K304" i="1"/>
  <c r="K151" i="1"/>
  <c r="K201" i="1"/>
  <c r="K142" i="1"/>
  <c r="K387" i="1"/>
  <c r="K83" i="1"/>
  <c r="K117" i="1"/>
  <c r="K281" i="1"/>
  <c r="K334" i="1"/>
  <c r="K379" i="1"/>
  <c r="K417" i="1"/>
  <c r="K353" i="1"/>
  <c r="K361" i="1"/>
  <c r="K238" i="1"/>
  <c r="K396" i="1"/>
  <c r="K10" i="1"/>
  <c r="K335" i="1"/>
  <c r="K344" i="1"/>
  <c r="K375" i="1"/>
  <c r="K383" i="1"/>
  <c r="K280" i="1"/>
  <c r="K368" i="1"/>
  <c r="K420" i="1"/>
  <c r="K4" i="1"/>
  <c r="K99" i="1"/>
  <c r="K105" i="1"/>
  <c r="K377" i="1"/>
  <c r="K340" i="1"/>
  <c r="K191" i="1"/>
  <c r="K440" i="1"/>
  <c r="K123" i="1"/>
  <c r="K300" i="1"/>
  <c r="K186" i="1"/>
  <c r="K397" i="1"/>
  <c r="K120" i="1"/>
  <c r="K359" i="1"/>
  <c r="K351" i="1"/>
  <c r="K204" i="1"/>
  <c r="K395" i="1"/>
  <c r="K393" i="1"/>
  <c r="K298" i="1"/>
  <c r="K416" i="1"/>
  <c r="K402" i="1"/>
  <c r="K41" i="1"/>
  <c r="K196" i="1"/>
  <c r="K277" i="1"/>
  <c r="K17" i="1"/>
  <c r="K299" i="1"/>
  <c r="K363" i="1"/>
  <c r="K357" i="1"/>
  <c r="K327" i="1"/>
  <c r="K162" i="1"/>
  <c r="K384" i="1"/>
  <c r="K243" i="1"/>
  <c r="K407" i="1"/>
  <c r="K316" i="1"/>
  <c r="K443" i="1"/>
  <c r="K274" i="1"/>
  <c r="K159" i="1"/>
  <c r="K109" i="1"/>
  <c r="K302" i="1"/>
  <c r="K39" i="1"/>
  <c r="K25" i="1"/>
  <c r="K92" i="1"/>
  <c r="K21" i="1"/>
  <c r="K249" i="1"/>
  <c r="K104" i="1"/>
  <c r="K198" i="1"/>
  <c r="K366" i="1"/>
  <c r="K336" i="1"/>
  <c r="K197" i="1"/>
  <c r="K284" i="1"/>
  <c r="K362" i="1"/>
  <c r="K320" i="1"/>
  <c r="K148" i="1"/>
  <c r="K330" i="1"/>
  <c r="K51" i="1"/>
  <c r="K31" i="1"/>
  <c r="K207" i="1"/>
  <c r="K233" i="1"/>
  <c r="K370" i="1"/>
  <c r="K224" i="1"/>
  <c r="K49" i="1"/>
  <c r="K30" i="1"/>
  <c r="K58" i="1"/>
  <c r="K206" i="1"/>
  <c r="K169" i="1"/>
  <c r="K85" i="1"/>
  <c r="K108" i="1"/>
  <c r="K152" i="1"/>
  <c r="K244" i="1"/>
  <c r="K237" i="1"/>
  <c r="K296" i="1"/>
  <c r="K134" i="1"/>
  <c r="K297" i="1"/>
  <c r="K87" i="1"/>
  <c r="K143" i="1"/>
  <c r="K195" i="1"/>
  <c r="K193" i="1"/>
  <c r="K318" i="1"/>
  <c r="K263" i="1"/>
  <c r="K93" i="1"/>
  <c r="K213" i="1"/>
  <c r="K125" i="1"/>
  <c r="K200" i="1"/>
  <c r="K81" i="1"/>
  <c r="K323" i="1"/>
  <c r="K293" i="1"/>
  <c r="K311" i="1"/>
  <c r="K160" i="1"/>
  <c r="K400" i="1"/>
  <c r="K372" i="1"/>
  <c r="K112" i="1"/>
  <c r="K173" i="1"/>
  <c r="K382" i="1"/>
  <c r="K140" i="1"/>
  <c r="K101" i="1"/>
  <c r="K308" i="1"/>
  <c r="K412" i="1"/>
  <c r="K222" i="1"/>
  <c r="K246" i="1"/>
  <c r="K270" i="1"/>
  <c r="K218" i="1"/>
  <c r="K144" i="1"/>
  <c r="K369" i="1"/>
  <c r="K265" i="1"/>
  <c r="K310" i="1"/>
  <c r="K436" i="1"/>
  <c r="K259" i="1"/>
  <c r="K313" i="1"/>
  <c r="K254" i="1"/>
  <c r="K439" i="1"/>
  <c r="K414" i="1"/>
  <c r="K188" i="1"/>
  <c r="K432" i="1"/>
  <c r="K24" i="1"/>
  <c r="K430" i="1"/>
  <c r="K423" i="1"/>
  <c r="K56" i="1"/>
  <c r="K90" i="1"/>
  <c r="K394" i="1"/>
  <c r="K75" i="1"/>
  <c r="K381" i="1"/>
  <c r="K192" i="1"/>
  <c r="K409" i="1"/>
  <c r="K319" i="1"/>
  <c r="K46" i="1"/>
  <c r="K365" i="1"/>
  <c r="K367" i="1"/>
  <c r="K418" i="1"/>
  <c r="K215" i="1"/>
  <c r="K421" i="1"/>
  <c r="K415" i="1"/>
  <c r="K405" i="1"/>
  <c r="K411" i="1"/>
  <c r="K179" i="1"/>
  <c r="K149" i="1"/>
  <c r="K178" i="1"/>
  <c r="K305" i="1"/>
  <c r="K115" i="1"/>
  <c r="K331" i="1"/>
  <c r="K337" i="1"/>
  <c r="K36" i="1"/>
  <c r="K32" i="1"/>
  <c r="K18" i="1"/>
  <c r="K11" i="1"/>
  <c r="K438" i="1"/>
  <c r="K183" i="1"/>
  <c r="K433" i="1"/>
  <c r="K303" i="1"/>
  <c r="K441" i="1"/>
  <c r="K429" i="1"/>
  <c r="K241" i="1"/>
  <c r="K122" i="1"/>
  <c r="K13" i="1"/>
  <c r="K164" i="1"/>
  <c r="K426" i="1"/>
  <c r="K348" i="1"/>
  <c r="K71" i="1"/>
  <c r="K124" i="1"/>
  <c r="K28" i="1"/>
  <c r="K227" i="1"/>
  <c r="K399" i="1"/>
  <c r="K78" i="1"/>
  <c r="K435" i="1"/>
  <c r="K287" i="1"/>
  <c r="K427" i="1"/>
  <c r="K398" i="1"/>
  <c r="K388" i="1"/>
  <c r="K79" i="1"/>
  <c r="K127" i="1"/>
  <c r="K250" i="1"/>
  <c r="K136" i="1"/>
  <c r="K378" i="1"/>
  <c r="K256" i="1"/>
  <c r="K437" i="1"/>
  <c r="K290" i="1"/>
  <c r="K15" i="1"/>
  <c r="K283" i="1"/>
  <c r="K43" i="1"/>
  <c r="K52" i="1"/>
  <c r="K425" i="1"/>
  <c r="K74" i="1"/>
  <c r="K301" i="1"/>
  <c r="K20" i="1"/>
  <c r="K289" i="1"/>
  <c r="K403" i="1"/>
  <c r="K94" i="1"/>
  <c r="K282" i="1"/>
  <c r="K111" i="1"/>
  <c r="K248" i="1"/>
  <c r="K60" i="1"/>
  <c r="K73" i="1"/>
  <c r="K442" i="1"/>
  <c r="K413" i="1"/>
  <c r="K401" i="1"/>
  <c r="K408" i="1"/>
  <c r="K205" i="1"/>
  <c r="K314" i="1"/>
  <c r="K242" i="1"/>
  <c r="K175" i="1"/>
  <c r="K72" i="1"/>
  <c r="K325" i="1"/>
  <c r="K389" i="1"/>
  <c r="K214" i="1"/>
  <c r="K37" i="1"/>
  <c r="K116" i="1"/>
  <c r="K185" i="1"/>
  <c r="K95" i="1"/>
  <c r="K217" i="1"/>
  <c r="K235" i="1"/>
  <c r="K252" i="1"/>
  <c r="K91" i="1"/>
  <c r="K434" i="1"/>
  <c r="K155" i="1"/>
  <c r="K212" i="1"/>
  <c r="K326" i="1"/>
  <c r="K141" i="1"/>
  <c r="K55" i="1"/>
  <c r="J226" i="1"/>
  <c r="J158" i="1"/>
  <c r="J225" i="1"/>
  <c r="J257" i="1"/>
  <c r="J333" i="1"/>
  <c r="J406" i="1"/>
  <c r="J345" i="1"/>
  <c r="J360" i="1"/>
  <c r="J339" i="1"/>
  <c r="J404" i="1"/>
  <c r="J346" i="1"/>
  <c r="J167" i="1"/>
  <c r="J266" i="1"/>
  <c r="J84" i="1"/>
  <c r="J100" i="1"/>
  <c r="J358" i="1"/>
  <c r="J285" i="1"/>
  <c r="J3" i="1"/>
  <c r="J269" i="1"/>
  <c r="J27" i="1"/>
  <c r="J199" i="1"/>
  <c r="J220" i="1"/>
  <c r="J219" i="1"/>
  <c r="J132" i="1"/>
  <c r="J174" i="1"/>
  <c r="J275" i="1"/>
  <c r="J373" i="1"/>
  <c r="J76" i="1"/>
  <c r="J203" i="1"/>
  <c r="J278" i="1"/>
  <c r="J232" i="1"/>
  <c r="J251" i="1"/>
  <c r="J374" i="1"/>
  <c r="J118" i="1"/>
  <c r="J352" i="1"/>
  <c r="J253" i="1"/>
  <c r="J45" i="1"/>
  <c r="J180" i="1"/>
  <c r="J364" i="1"/>
  <c r="J288" i="1"/>
  <c r="J262" i="1"/>
  <c r="J231" i="1"/>
  <c r="J356" i="1"/>
  <c r="J59" i="1"/>
  <c r="J347" i="1"/>
  <c r="J355" i="1"/>
  <c r="J321" i="1"/>
  <c r="J341" i="1"/>
  <c r="J223" i="1"/>
  <c r="J422" i="1"/>
  <c r="J392" i="1"/>
  <c r="J286" i="1"/>
  <c r="J273" i="1"/>
  <c r="J68" i="1"/>
  <c r="J154" i="1"/>
  <c r="J312" i="1"/>
  <c r="J431" i="1"/>
  <c r="J110" i="1"/>
  <c r="J34" i="1"/>
  <c r="J7" i="1"/>
  <c r="J14" i="1"/>
  <c r="J9" i="1"/>
  <c r="J264" i="1"/>
  <c r="J53" i="1"/>
  <c r="J234" i="1"/>
  <c r="J121" i="1"/>
  <c r="J332" i="1"/>
  <c r="J98" i="1"/>
  <c r="J385" i="1"/>
  <c r="J292" i="1"/>
  <c r="J61" i="1"/>
  <c r="J66" i="1"/>
  <c r="J89" i="1"/>
  <c r="J211" i="1"/>
  <c r="J189" i="1"/>
  <c r="J202" i="1"/>
  <c r="J64" i="1"/>
  <c r="J419" i="1"/>
  <c r="J315" i="1"/>
  <c r="J428" i="1"/>
  <c r="J350" i="1"/>
  <c r="J424" i="1"/>
  <c r="J268" i="1"/>
  <c r="J208" i="1"/>
  <c r="J391" i="1"/>
  <c r="J133" i="1"/>
  <c r="J146" i="1"/>
  <c r="J163" i="1"/>
  <c r="J128" i="1"/>
  <c r="J166" i="1"/>
  <c r="J309" i="1"/>
  <c r="J5" i="1"/>
  <c r="J40" i="1"/>
  <c r="J139" i="1"/>
  <c r="J376" i="1"/>
  <c r="J103" i="1"/>
  <c r="J190" i="1"/>
  <c r="J176" i="1"/>
  <c r="J2" i="1"/>
  <c r="J170" i="1"/>
  <c r="J260" i="1"/>
  <c r="J102" i="1"/>
  <c r="J295" i="1"/>
  <c r="J137" i="1"/>
  <c r="J261" i="1"/>
  <c r="J26" i="1"/>
  <c r="J194" i="1"/>
  <c r="J135" i="1"/>
  <c r="J42" i="1"/>
  <c r="J343" i="1"/>
  <c r="J23" i="1"/>
  <c r="J380" i="1"/>
  <c r="J317" i="1"/>
  <c r="J57" i="1"/>
  <c r="J390" i="1"/>
  <c r="J22" i="1"/>
  <c r="J126" i="1"/>
  <c r="J50" i="1"/>
  <c r="J113" i="1"/>
  <c r="J177" i="1"/>
  <c r="J371" i="1"/>
  <c r="J294" i="1"/>
  <c r="J12" i="1"/>
  <c r="J119" i="1"/>
  <c r="J386" i="1"/>
  <c r="J131" i="1"/>
  <c r="J54" i="1"/>
  <c r="J69" i="1"/>
  <c r="J16" i="1"/>
  <c r="J157" i="1"/>
  <c r="J239" i="1"/>
  <c r="J29" i="1"/>
  <c r="J168" i="1"/>
  <c r="J48" i="1"/>
  <c r="J70" i="1"/>
  <c r="J324" i="1"/>
  <c r="J182" i="1"/>
  <c r="J33" i="1"/>
  <c r="J114" i="1"/>
  <c r="J329" i="1"/>
  <c r="J172" i="1"/>
  <c r="J236" i="1"/>
  <c r="J67" i="1"/>
  <c r="J35" i="1"/>
  <c r="J82" i="1"/>
  <c r="J171" i="1"/>
  <c r="J88" i="1"/>
  <c r="J187" i="1"/>
  <c r="J307" i="1"/>
  <c r="J62" i="1"/>
  <c r="J77" i="1"/>
  <c r="J230" i="1"/>
  <c r="J65" i="1"/>
  <c r="J130" i="1"/>
  <c r="J63" i="1"/>
  <c r="J97" i="1"/>
  <c r="J272" i="1"/>
  <c r="J342" i="1"/>
  <c r="J107" i="1"/>
  <c r="J8" i="1"/>
  <c r="J221" i="1"/>
  <c r="J19" i="1"/>
  <c r="J80" i="1"/>
  <c r="J228" i="1"/>
  <c r="J271" i="1"/>
  <c r="J240" i="1"/>
  <c r="J267" i="1"/>
  <c r="J129" i="1"/>
  <c r="J410" i="1"/>
  <c r="J209" i="1"/>
  <c r="J322" i="1"/>
  <c r="J247" i="1"/>
  <c r="J276" i="1"/>
  <c r="J210" i="1"/>
  <c r="J255" i="1"/>
  <c r="J245" i="1"/>
  <c r="J153" i="1"/>
  <c r="J181" i="1"/>
  <c r="J106" i="1"/>
  <c r="J145" i="1"/>
  <c r="J229" i="1"/>
  <c r="J184" i="1"/>
  <c r="J216" i="1"/>
  <c r="J96" i="1"/>
  <c r="J354" i="1"/>
  <c r="J291" i="1"/>
  <c r="J150" i="1"/>
  <c r="J6" i="1"/>
  <c r="J279" i="1"/>
  <c r="J44" i="1"/>
  <c r="J156" i="1"/>
  <c r="J165" i="1"/>
  <c r="J161" i="1"/>
  <c r="J47" i="1"/>
  <c r="J306" i="1"/>
  <c r="J338" i="1"/>
  <c r="J138" i="1"/>
  <c r="J349" i="1"/>
  <c r="J147" i="1"/>
  <c r="J328" i="1"/>
  <c r="J38" i="1"/>
  <c r="J258" i="1"/>
  <c r="J86" i="1"/>
  <c r="J304" i="1"/>
  <c r="J151" i="1"/>
  <c r="J201" i="1"/>
  <c r="J142" i="1"/>
  <c r="J387" i="1"/>
  <c r="J83" i="1"/>
  <c r="J117" i="1"/>
  <c r="J281" i="1"/>
  <c r="J334" i="1"/>
  <c r="J379" i="1"/>
  <c r="J417" i="1"/>
  <c r="J353" i="1"/>
  <c r="J361" i="1"/>
  <c r="J238" i="1"/>
  <c r="J396" i="1"/>
  <c r="J10" i="1"/>
  <c r="J335" i="1"/>
  <c r="J344" i="1"/>
  <c r="J375" i="1"/>
  <c r="J383" i="1"/>
  <c r="J280" i="1"/>
  <c r="J368" i="1"/>
  <c r="J420" i="1"/>
  <c r="J4" i="1"/>
  <c r="J99" i="1"/>
  <c r="J105" i="1"/>
  <c r="J377" i="1"/>
  <c r="J340" i="1"/>
  <c r="J191" i="1"/>
  <c r="J440" i="1"/>
  <c r="J123" i="1"/>
  <c r="J300" i="1"/>
  <c r="J186" i="1"/>
  <c r="J397" i="1"/>
  <c r="J120" i="1"/>
  <c r="J359" i="1"/>
  <c r="J351" i="1"/>
  <c r="J204" i="1"/>
  <c r="J395" i="1"/>
  <c r="J393" i="1"/>
  <c r="J298" i="1"/>
  <c r="J416" i="1"/>
  <c r="J402" i="1"/>
  <c r="J41" i="1"/>
  <c r="J196" i="1"/>
  <c r="J277" i="1"/>
  <c r="J17" i="1"/>
  <c r="J299" i="1"/>
  <c r="J363" i="1"/>
  <c r="J357" i="1"/>
  <c r="J327" i="1"/>
  <c r="J162" i="1"/>
  <c r="J384" i="1"/>
  <c r="J243" i="1"/>
  <c r="J407" i="1"/>
  <c r="J316" i="1"/>
  <c r="J443" i="1"/>
  <c r="J274" i="1"/>
  <c r="J159" i="1"/>
  <c r="J109" i="1"/>
  <c r="J302" i="1"/>
  <c r="J39" i="1"/>
  <c r="J25" i="1"/>
  <c r="J92" i="1"/>
  <c r="J21" i="1"/>
  <c r="J249" i="1"/>
  <c r="J104" i="1"/>
  <c r="J198" i="1"/>
  <c r="J366" i="1"/>
  <c r="J336" i="1"/>
  <c r="J197" i="1"/>
  <c r="J284" i="1"/>
  <c r="J362" i="1"/>
  <c r="J320" i="1"/>
  <c r="J148" i="1"/>
  <c r="J330" i="1"/>
  <c r="J51" i="1"/>
  <c r="J31" i="1"/>
  <c r="J207" i="1"/>
  <c r="J233" i="1"/>
  <c r="J370" i="1"/>
  <c r="J224" i="1"/>
  <c r="J49" i="1"/>
  <c r="J30" i="1"/>
  <c r="J58" i="1"/>
  <c r="J206" i="1"/>
  <c r="J169" i="1"/>
  <c r="J85" i="1"/>
  <c r="J108" i="1"/>
  <c r="J152" i="1"/>
  <c r="J244" i="1"/>
  <c r="J237" i="1"/>
  <c r="J296" i="1"/>
  <c r="J134" i="1"/>
  <c r="J297" i="1"/>
  <c r="J87" i="1"/>
  <c r="J143" i="1"/>
  <c r="J195" i="1"/>
  <c r="J193" i="1"/>
  <c r="J318" i="1"/>
  <c r="J263" i="1"/>
  <c r="J93" i="1"/>
  <c r="J213" i="1"/>
  <c r="J125" i="1"/>
  <c r="J200" i="1"/>
  <c r="J81" i="1"/>
  <c r="J323" i="1"/>
  <c r="J293" i="1"/>
  <c r="J311" i="1"/>
  <c r="J160" i="1"/>
  <c r="J400" i="1"/>
  <c r="J372" i="1"/>
  <c r="J112" i="1"/>
  <c r="J173" i="1"/>
  <c r="J382" i="1"/>
  <c r="J140" i="1"/>
  <c r="J101" i="1"/>
  <c r="J308" i="1"/>
  <c r="J412" i="1"/>
  <c r="J222" i="1"/>
  <c r="J246" i="1"/>
  <c r="J270" i="1"/>
  <c r="J218" i="1"/>
  <c r="J144" i="1"/>
  <c r="J369" i="1"/>
  <c r="J265" i="1"/>
  <c r="J310" i="1"/>
  <c r="J436" i="1"/>
  <c r="J259" i="1"/>
  <c r="J313" i="1"/>
  <c r="J254" i="1"/>
  <c r="J439" i="1"/>
  <c r="J414" i="1"/>
  <c r="J188" i="1"/>
  <c r="J432" i="1"/>
  <c r="J24" i="1"/>
  <c r="J430" i="1"/>
  <c r="J423" i="1"/>
  <c r="J56" i="1"/>
  <c r="J90" i="1"/>
  <c r="J394" i="1"/>
  <c r="J75" i="1"/>
  <c r="J381" i="1"/>
  <c r="J192" i="1"/>
  <c r="J409" i="1"/>
  <c r="J319" i="1"/>
  <c r="J46" i="1"/>
  <c r="J365" i="1"/>
  <c r="J367" i="1"/>
  <c r="J418" i="1"/>
  <c r="J215" i="1"/>
  <c r="J421" i="1"/>
  <c r="J415" i="1"/>
  <c r="J405" i="1"/>
  <c r="J411" i="1"/>
  <c r="J179" i="1"/>
  <c r="J149" i="1"/>
  <c r="J178" i="1"/>
  <c r="J305" i="1"/>
  <c r="J115" i="1"/>
  <c r="J331" i="1"/>
  <c r="J337" i="1"/>
  <c r="J36" i="1"/>
  <c r="J32" i="1"/>
  <c r="J18" i="1"/>
  <c r="J11" i="1"/>
  <c r="J438" i="1"/>
  <c r="J183" i="1"/>
  <c r="J433" i="1"/>
  <c r="J303" i="1"/>
  <c r="J441" i="1"/>
  <c r="J429" i="1"/>
  <c r="J241" i="1"/>
  <c r="J122" i="1"/>
  <c r="J13" i="1"/>
  <c r="J164" i="1"/>
  <c r="J426" i="1"/>
  <c r="J348" i="1"/>
  <c r="J71" i="1"/>
  <c r="J124" i="1"/>
  <c r="J28" i="1"/>
  <c r="J227" i="1"/>
  <c r="J399" i="1"/>
  <c r="J78" i="1"/>
  <c r="J435" i="1"/>
  <c r="J287" i="1"/>
  <c r="M287" i="1" s="1"/>
  <c r="J427" i="1"/>
  <c r="J398" i="1"/>
  <c r="J388" i="1"/>
  <c r="J79" i="1"/>
  <c r="J127" i="1"/>
  <c r="J250" i="1"/>
  <c r="J136" i="1"/>
  <c r="J378" i="1"/>
  <c r="J256" i="1"/>
  <c r="J437" i="1"/>
  <c r="J290" i="1"/>
  <c r="J15" i="1"/>
  <c r="J283" i="1"/>
  <c r="J43" i="1"/>
  <c r="J52" i="1"/>
  <c r="J425" i="1"/>
  <c r="J74" i="1"/>
  <c r="J301" i="1"/>
  <c r="J20" i="1"/>
  <c r="J289" i="1"/>
  <c r="J403" i="1"/>
  <c r="J94" i="1"/>
  <c r="J282" i="1"/>
  <c r="J111" i="1"/>
  <c r="J248" i="1"/>
  <c r="J60" i="1"/>
  <c r="J73" i="1"/>
  <c r="J442" i="1"/>
  <c r="J413" i="1"/>
  <c r="J401" i="1"/>
  <c r="J408" i="1"/>
  <c r="J205" i="1"/>
  <c r="J314" i="1"/>
  <c r="J242" i="1"/>
  <c r="J175" i="1"/>
  <c r="J72" i="1"/>
  <c r="J325" i="1"/>
  <c r="J389" i="1"/>
  <c r="J214" i="1"/>
  <c r="J37" i="1"/>
  <c r="J116" i="1"/>
  <c r="J185" i="1"/>
  <c r="J95" i="1"/>
  <c r="J217" i="1"/>
  <c r="J235" i="1"/>
  <c r="J252" i="1"/>
  <c r="J91" i="1"/>
  <c r="J434" i="1"/>
  <c r="J155" i="1"/>
  <c r="J212" i="1"/>
  <c r="J326" i="1"/>
  <c r="J141" i="1"/>
  <c r="J55" i="1"/>
  <c r="I226" i="1"/>
  <c r="I158" i="1"/>
  <c r="I225" i="1"/>
  <c r="I257" i="1"/>
  <c r="I333" i="1"/>
  <c r="I406" i="1"/>
  <c r="I345" i="1"/>
  <c r="I360" i="1"/>
  <c r="I339" i="1"/>
  <c r="I404" i="1"/>
  <c r="I346" i="1"/>
  <c r="I167" i="1"/>
  <c r="I266" i="1"/>
  <c r="I84" i="1"/>
  <c r="I100" i="1"/>
  <c r="I358" i="1"/>
  <c r="I285" i="1"/>
  <c r="I3" i="1"/>
  <c r="I269" i="1"/>
  <c r="I27" i="1"/>
  <c r="I199" i="1"/>
  <c r="I220" i="1"/>
  <c r="I219" i="1"/>
  <c r="M86" i="1" s="1"/>
  <c r="I132" i="1"/>
  <c r="I174" i="1"/>
  <c r="I275" i="1"/>
  <c r="I373" i="1"/>
  <c r="I76" i="1"/>
  <c r="I203" i="1"/>
  <c r="I278" i="1"/>
  <c r="I232" i="1"/>
  <c r="I251" i="1"/>
  <c r="I374" i="1"/>
  <c r="I118" i="1"/>
  <c r="I352" i="1"/>
  <c r="I253" i="1"/>
  <c r="I45" i="1"/>
  <c r="I180" i="1"/>
  <c r="I364" i="1"/>
  <c r="I288" i="1"/>
  <c r="I262" i="1"/>
  <c r="I231" i="1"/>
  <c r="I356" i="1"/>
  <c r="I59" i="1"/>
  <c r="I347" i="1"/>
  <c r="I355" i="1"/>
  <c r="I321" i="1"/>
  <c r="I341" i="1"/>
  <c r="I223" i="1"/>
  <c r="I422" i="1"/>
  <c r="I392" i="1"/>
  <c r="I286" i="1"/>
  <c r="I273" i="1"/>
  <c r="I68" i="1"/>
  <c r="I154" i="1"/>
  <c r="I312" i="1"/>
  <c r="I431" i="1"/>
  <c r="I110" i="1"/>
  <c r="I34" i="1"/>
  <c r="I7" i="1"/>
  <c r="I14" i="1"/>
  <c r="I9" i="1"/>
  <c r="I264" i="1"/>
  <c r="I53" i="1"/>
  <c r="I234" i="1"/>
  <c r="I121" i="1"/>
  <c r="I332" i="1"/>
  <c r="I98" i="1"/>
  <c r="I385" i="1"/>
  <c r="I292" i="1"/>
  <c r="I61" i="1"/>
  <c r="M263" i="1" s="1"/>
  <c r="I66" i="1"/>
  <c r="I89" i="1"/>
  <c r="I211" i="1"/>
  <c r="I189" i="1"/>
  <c r="I202" i="1"/>
  <c r="I64" i="1"/>
  <c r="M178" i="1"/>
  <c r="I419" i="1"/>
  <c r="I315" i="1"/>
  <c r="I428" i="1"/>
  <c r="I350" i="1"/>
  <c r="I424" i="1"/>
  <c r="I268" i="1"/>
  <c r="I208" i="1"/>
  <c r="I391" i="1"/>
  <c r="I133" i="1"/>
  <c r="I146" i="1"/>
  <c r="I163" i="1"/>
  <c r="I128" i="1"/>
  <c r="I166" i="1"/>
  <c r="I309" i="1"/>
  <c r="I5" i="1"/>
  <c r="I40" i="1"/>
  <c r="I139" i="1"/>
  <c r="I376" i="1"/>
  <c r="I103" i="1"/>
  <c r="I190" i="1"/>
  <c r="I176" i="1"/>
  <c r="I2" i="1"/>
  <c r="I170" i="1"/>
  <c r="I260" i="1"/>
  <c r="I102" i="1"/>
  <c r="I295" i="1"/>
  <c r="I137" i="1"/>
  <c r="I261" i="1"/>
  <c r="I26" i="1"/>
  <c r="I194" i="1"/>
  <c r="I135" i="1"/>
  <c r="I42" i="1"/>
  <c r="I343" i="1"/>
  <c r="I23" i="1"/>
  <c r="I380" i="1"/>
  <c r="I317" i="1"/>
  <c r="I57" i="1"/>
  <c r="I390" i="1"/>
  <c r="I22" i="1"/>
  <c r="I126" i="1"/>
  <c r="I50" i="1"/>
  <c r="I113" i="1"/>
  <c r="I177" i="1"/>
  <c r="I371" i="1"/>
  <c r="I294" i="1"/>
  <c r="I12" i="1"/>
  <c r="I119" i="1"/>
  <c r="I386" i="1"/>
  <c r="I131" i="1"/>
  <c r="I54" i="1"/>
  <c r="I69" i="1"/>
  <c r="I16" i="1"/>
  <c r="I157" i="1"/>
  <c r="I239" i="1"/>
  <c r="I29" i="1"/>
  <c r="I168" i="1"/>
  <c r="I48" i="1"/>
  <c r="I70" i="1"/>
  <c r="I324" i="1"/>
  <c r="I182" i="1"/>
  <c r="I33" i="1"/>
  <c r="I114" i="1"/>
  <c r="I329" i="1"/>
  <c r="I172" i="1"/>
  <c r="I236" i="1"/>
  <c r="I67" i="1"/>
  <c r="I35" i="1"/>
  <c r="I82" i="1"/>
  <c r="I171" i="1"/>
  <c r="I88" i="1"/>
  <c r="I187" i="1"/>
  <c r="I307" i="1"/>
  <c r="I62" i="1"/>
  <c r="I77" i="1"/>
  <c r="I230" i="1"/>
  <c r="I65" i="1"/>
  <c r="I130" i="1"/>
  <c r="I63" i="1"/>
  <c r="I97" i="1"/>
  <c r="I272" i="1"/>
  <c r="I342" i="1"/>
  <c r="I107" i="1"/>
  <c r="I8" i="1"/>
  <c r="I221" i="1"/>
  <c r="I19" i="1"/>
  <c r="I80" i="1"/>
  <c r="I228" i="1"/>
  <c r="I271" i="1"/>
  <c r="I240" i="1"/>
  <c r="I267" i="1"/>
  <c r="I129" i="1"/>
  <c r="I410" i="1"/>
  <c r="I209" i="1"/>
  <c r="I322" i="1"/>
  <c r="I247" i="1"/>
  <c r="I276" i="1"/>
  <c r="I210" i="1"/>
  <c r="I255" i="1"/>
  <c r="I245" i="1"/>
  <c r="I153" i="1"/>
  <c r="I181" i="1"/>
  <c r="I106" i="1"/>
  <c r="I145" i="1"/>
  <c r="I229" i="1"/>
  <c r="I184" i="1"/>
  <c r="I216" i="1"/>
  <c r="I96" i="1"/>
  <c r="I354" i="1"/>
  <c r="I291" i="1"/>
  <c r="I150" i="1"/>
  <c r="I6" i="1"/>
  <c r="I279" i="1"/>
  <c r="I44" i="1"/>
  <c r="I156" i="1"/>
  <c r="I165" i="1"/>
  <c r="I161" i="1"/>
  <c r="I47" i="1"/>
  <c r="I306" i="1"/>
  <c r="I338" i="1"/>
  <c r="I138" i="1"/>
  <c r="I349" i="1"/>
  <c r="I147" i="1"/>
  <c r="I328" i="1"/>
  <c r="I38" i="1"/>
  <c r="I258" i="1"/>
  <c r="I86" i="1"/>
  <c r="I304" i="1"/>
  <c r="I151" i="1"/>
  <c r="I201" i="1"/>
  <c r="I142" i="1"/>
  <c r="I387" i="1"/>
  <c r="I83" i="1"/>
  <c r="I117" i="1"/>
  <c r="I281" i="1"/>
  <c r="I334" i="1"/>
  <c r="I379" i="1"/>
  <c r="I417" i="1"/>
  <c r="I353" i="1"/>
  <c r="I361" i="1"/>
  <c r="I238" i="1"/>
  <c r="I396" i="1"/>
  <c r="I10" i="1"/>
  <c r="I335" i="1"/>
  <c r="M146" i="1" s="1"/>
  <c r="I344" i="1"/>
  <c r="I375" i="1"/>
  <c r="I383" i="1"/>
  <c r="I280" i="1"/>
  <c r="I368" i="1"/>
  <c r="I420" i="1"/>
  <c r="I4" i="1"/>
  <c r="I99" i="1"/>
  <c r="I105" i="1"/>
  <c r="I377" i="1"/>
  <c r="I340" i="1"/>
  <c r="I191" i="1"/>
  <c r="I440" i="1"/>
  <c r="I123" i="1"/>
  <c r="I300" i="1"/>
  <c r="I186" i="1"/>
  <c r="I397" i="1"/>
  <c r="I120" i="1"/>
  <c r="I359" i="1"/>
  <c r="I351" i="1"/>
  <c r="M351" i="1" s="1"/>
  <c r="I204" i="1"/>
  <c r="I395" i="1"/>
  <c r="I393" i="1"/>
  <c r="I298" i="1"/>
  <c r="I416" i="1"/>
  <c r="I402" i="1"/>
  <c r="I41" i="1"/>
  <c r="M136" i="1"/>
  <c r="I196" i="1"/>
  <c r="I277" i="1"/>
  <c r="I17" i="1"/>
  <c r="I299" i="1"/>
  <c r="I363" i="1"/>
  <c r="I357" i="1"/>
  <c r="I327" i="1"/>
  <c r="I162" i="1"/>
  <c r="I384" i="1"/>
  <c r="I243" i="1"/>
  <c r="I407" i="1"/>
  <c r="I316" i="1"/>
  <c r="I443" i="1"/>
  <c r="I274" i="1"/>
  <c r="I159" i="1"/>
  <c r="M111" i="1"/>
  <c r="I109" i="1"/>
  <c r="I302" i="1"/>
  <c r="I39" i="1"/>
  <c r="I25" i="1"/>
  <c r="I92" i="1"/>
  <c r="I21" i="1"/>
  <c r="I249" i="1"/>
  <c r="I104" i="1"/>
  <c r="I198" i="1"/>
  <c r="I366" i="1"/>
  <c r="I336" i="1"/>
  <c r="M133" i="1" s="1"/>
  <c r="I197" i="1"/>
  <c r="I284" i="1"/>
  <c r="I362" i="1"/>
  <c r="I320" i="1"/>
  <c r="I148" i="1"/>
  <c r="I330" i="1"/>
  <c r="I51" i="1"/>
  <c r="I31" i="1"/>
  <c r="I207" i="1"/>
  <c r="I233" i="1"/>
  <c r="I370" i="1"/>
  <c r="I224" i="1"/>
  <c r="I49" i="1"/>
  <c r="I30" i="1"/>
  <c r="I58" i="1"/>
  <c r="I206" i="1"/>
  <c r="I169" i="1"/>
  <c r="I85" i="1"/>
  <c r="I108" i="1"/>
  <c r="I152" i="1"/>
  <c r="I244" i="1"/>
  <c r="I237" i="1"/>
  <c r="I296" i="1"/>
  <c r="I134" i="1"/>
  <c r="I297" i="1"/>
  <c r="I87" i="1"/>
  <c r="I143" i="1"/>
  <c r="I195" i="1"/>
  <c r="I193" i="1"/>
  <c r="I318" i="1"/>
  <c r="I263" i="1"/>
  <c r="I93" i="1"/>
  <c r="I213" i="1"/>
  <c r="I125" i="1"/>
  <c r="I200" i="1"/>
  <c r="I81" i="1"/>
  <c r="M370" i="1" s="1"/>
  <c r="I323" i="1"/>
  <c r="I293" i="1"/>
  <c r="I311" i="1"/>
  <c r="I160" i="1"/>
  <c r="I400" i="1"/>
  <c r="I372" i="1"/>
  <c r="I112" i="1"/>
  <c r="I173" i="1"/>
  <c r="I382" i="1"/>
  <c r="I140" i="1"/>
  <c r="I101" i="1"/>
  <c r="I308" i="1"/>
  <c r="M57" i="1" s="1"/>
  <c r="I412" i="1"/>
  <c r="I222" i="1"/>
  <c r="I246" i="1"/>
  <c r="I270" i="1"/>
  <c r="I218" i="1"/>
  <c r="I144" i="1"/>
  <c r="I369" i="1"/>
  <c r="M110" i="1" s="1"/>
  <c r="I265" i="1"/>
  <c r="I310" i="1"/>
  <c r="I436" i="1"/>
  <c r="I259" i="1"/>
  <c r="I313" i="1"/>
  <c r="I254" i="1"/>
  <c r="I439" i="1"/>
  <c r="I414" i="1"/>
  <c r="I188" i="1"/>
  <c r="I432" i="1"/>
  <c r="I24" i="1"/>
  <c r="I430" i="1"/>
  <c r="I423" i="1"/>
  <c r="I56" i="1"/>
  <c r="I90" i="1"/>
  <c r="I394" i="1"/>
  <c r="I75" i="1"/>
  <c r="I381" i="1"/>
  <c r="I192" i="1"/>
  <c r="I409" i="1"/>
  <c r="I319" i="1"/>
  <c r="I46" i="1"/>
  <c r="I365" i="1"/>
  <c r="I367" i="1"/>
  <c r="I418" i="1"/>
  <c r="I215" i="1"/>
  <c r="I421" i="1"/>
  <c r="I415" i="1"/>
  <c r="M76" i="1" s="1"/>
  <c r="I405" i="1"/>
  <c r="I411" i="1"/>
  <c r="I179" i="1"/>
  <c r="I149" i="1"/>
  <c r="M149" i="1" s="1"/>
  <c r="I178" i="1"/>
  <c r="I305" i="1"/>
  <c r="I115" i="1"/>
  <c r="M115" i="1" s="1"/>
  <c r="I331" i="1"/>
  <c r="I337" i="1"/>
  <c r="I36" i="1"/>
  <c r="I32" i="1"/>
  <c r="M32" i="1" s="1"/>
  <c r="I18" i="1"/>
  <c r="I11" i="1"/>
  <c r="I438" i="1"/>
  <c r="I183" i="1"/>
  <c r="I433" i="1"/>
  <c r="M404" i="1" s="1"/>
  <c r="I303" i="1"/>
  <c r="I441" i="1"/>
  <c r="I429" i="1"/>
  <c r="I241" i="1"/>
  <c r="I122" i="1"/>
  <c r="I13" i="1"/>
  <c r="I164" i="1"/>
  <c r="I426" i="1"/>
  <c r="I348" i="1"/>
  <c r="I71" i="1"/>
  <c r="I124" i="1"/>
  <c r="M124" i="1" s="1"/>
  <c r="I28" i="1"/>
  <c r="I227" i="1"/>
  <c r="I399" i="1"/>
  <c r="I78" i="1"/>
  <c r="M116" i="1"/>
  <c r="I435" i="1"/>
  <c r="M435" i="1" s="1"/>
  <c r="I287" i="1"/>
  <c r="I427" i="1"/>
  <c r="I398" i="1"/>
  <c r="I388" i="1"/>
  <c r="I79" i="1"/>
  <c r="I127" i="1"/>
  <c r="I250" i="1"/>
  <c r="I136" i="1"/>
  <c r="I378" i="1"/>
  <c r="I256" i="1"/>
  <c r="I437" i="1"/>
  <c r="M437" i="1" s="1"/>
  <c r="I290" i="1"/>
  <c r="I15" i="1"/>
  <c r="I283" i="1"/>
  <c r="I43" i="1"/>
  <c r="M43" i="1" s="1"/>
  <c r="I52" i="1"/>
  <c r="I425" i="1"/>
  <c r="I74" i="1"/>
  <c r="M74" i="1" s="1"/>
  <c r="I301" i="1"/>
  <c r="I20" i="1"/>
  <c r="I289" i="1"/>
  <c r="I403" i="1"/>
  <c r="I94" i="1"/>
  <c r="M94" i="1" s="1"/>
  <c r="I282" i="1"/>
  <c r="I111" i="1"/>
  <c r="I248" i="1"/>
  <c r="I60" i="1"/>
  <c r="M60" i="1" s="1"/>
  <c r="I73" i="1"/>
  <c r="I442" i="1"/>
  <c r="I413" i="1"/>
  <c r="I401" i="1"/>
  <c r="M231" i="1" s="1"/>
  <c r="I408" i="1"/>
  <c r="I205" i="1"/>
  <c r="I314" i="1"/>
  <c r="I242" i="1"/>
  <c r="I175" i="1"/>
  <c r="I72" i="1"/>
  <c r="I325" i="1"/>
  <c r="I389" i="1"/>
  <c r="I214" i="1"/>
  <c r="I37" i="1"/>
  <c r="M37" i="1" s="1"/>
  <c r="I116" i="1"/>
  <c r="I185" i="1"/>
  <c r="I95" i="1"/>
  <c r="I217" i="1"/>
  <c r="I235" i="1"/>
  <c r="I252" i="1"/>
  <c r="I91" i="1"/>
  <c r="M91" i="1" s="1"/>
  <c r="I434" i="1"/>
  <c r="M434" i="1" s="1"/>
  <c r="I155" i="1"/>
  <c r="I212" i="1"/>
  <c r="I326" i="1"/>
  <c r="I141" i="1"/>
  <c r="M41" i="1" s="1"/>
  <c r="I55" i="1"/>
  <c r="M198" i="1" l="1"/>
  <c r="M278" i="1"/>
  <c r="M114" i="1"/>
  <c r="M299" i="1"/>
  <c r="M277" i="1"/>
  <c r="M428" i="1"/>
  <c r="M117" i="1"/>
  <c r="M79" i="1"/>
  <c r="M59" i="1"/>
  <c r="M147" i="1"/>
  <c r="M193" i="1"/>
  <c r="M285" i="1"/>
  <c r="M386" i="1"/>
  <c r="M417" i="1"/>
  <c r="M203" i="1"/>
  <c r="M244" i="1"/>
  <c r="M253" i="1"/>
  <c r="M382" i="1"/>
  <c r="M239" i="1"/>
  <c r="M379" i="1"/>
  <c r="M188" i="1"/>
  <c r="M310" i="1"/>
  <c r="M69" i="1"/>
  <c r="M200" i="1"/>
  <c r="M323" i="1"/>
  <c r="M150" i="1"/>
  <c r="M352" i="1"/>
  <c r="M113" i="1"/>
  <c r="M337" i="1"/>
  <c r="M295" i="1"/>
  <c r="M106" i="1"/>
  <c r="M96" i="1"/>
  <c r="M424" i="1"/>
  <c r="M24" i="1"/>
  <c r="M283" i="1"/>
  <c r="M433" i="1"/>
  <c r="M264" i="1"/>
  <c r="M25" i="1"/>
  <c r="M212" i="1"/>
  <c r="M214" i="1"/>
  <c r="M413" i="1"/>
  <c r="M403" i="1"/>
  <c r="M183" i="1"/>
  <c r="M415" i="1"/>
  <c r="M13" i="1"/>
  <c r="M219" i="1"/>
  <c r="M320" i="1"/>
  <c r="M4" i="1"/>
  <c r="M130" i="1"/>
  <c r="M322" i="1"/>
  <c r="M20" i="1"/>
  <c r="M290" i="1"/>
  <c r="M347" i="1"/>
  <c r="M387" i="1"/>
  <c r="M145" i="1"/>
  <c r="M85" i="1"/>
  <c r="M393" i="1"/>
  <c r="M81" i="1"/>
  <c r="M205" i="1"/>
  <c r="M186" i="1"/>
  <c r="M349" i="1"/>
  <c r="M425" i="1"/>
  <c r="M127" i="1"/>
  <c r="M398" i="1"/>
  <c r="M426" i="1"/>
  <c r="M429" i="1"/>
  <c r="M438" i="1"/>
  <c r="M315" i="1"/>
  <c r="M334" i="1"/>
  <c r="M210" i="1"/>
  <c r="M350" i="1"/>
  <c r="M318" i="1"/>
  <c r="M173" i="1"/>
  <c r="M189" i="1"/>
  <c r="M160" i="1"/>
  <c r="M411" i="1"/>
  <c r="M256" i="1"/>
  <c r="M103" i="1"/>
  <c r="M151" i="1"/>
  <c r="M217" i="1"/>
  <c r="M135" i="1"/>
  <c r="M366" i="1"/>
  <c r="M412" i="1"/>
  <c r="M247" i="1"/>
  <c r="M348" i="1"/>
  <c r="M180" i="1"/>
  <c r="M266" i="1"/>
  <c r="M232" i="1"/>
  <c r="M83" i="1"/>
  <c r="M280" i="1"/>
  <c r="M159" i="1"/>
  <c r="M378" i="1"/>
  <c r="M28" i="1"/>
  <c r="M303" i="1"/>
  <c r="M18" i="1"/>
  <c r="M22" i="1"/>
  <c r="M170" i="1"/>
  <c r="M343" i="1"/>
  <c r="M365" i="1"/>
  <c r="M381" i="1"/>
  <c r="M17" i="1"/>
  <c r="M194" i="1"/>
  <c r="M166" i="1"/>
  <c r="M265" i="1"/>
  <c r="M409" i="1"/>
  <c r="M68" i="1"/>
  <c r="M419" i="1"/>
  <c r="M138" i="1"/>
  <c r="M399" i="1"/>
  <c r="M3" i="1"/>
  <c r="M389" i="1"/>
  <c r="M380" i="1"/>
  <c r="M344" i="1"/>
  <c r="M431" i="1"/>
  <c r="M177" i="1"/>
  <c r="M282" i="1"/>
  <c r="M52" i="1"/>
  <c r="M238" i="1"/>
  <c r="M227" i="1"/>
  <c r="M164" i="1"/>
  <c r="M441" i="1"/>
  <c r="M171" i="1"/>
  <c r="M390" i="1"/>
  <c r="M19" i="1"/>
  <c r="M305" i="1"/>
  <c r="M274" i="1"/>
  <c r="M418" i="1"/>
  <c r="M260" i="1"/>
  <c r="M88" i="1"/>
  <c r="M339" i="1"/>
  <c r="M218" i="1"/>
  <c r="M162" i="1"/>
  <c r="M430" i="1"/>
  <c r="M174" i="1"/>
  <c r="M175" i="1"/>
  <c r="M408" i="1"/>
  <c r="M99" i="1"/>
  <c r="M78" i="1"/>
  <c r="M275" i="1"/>
  <c r="M201" i="1"/>
  <c r="M109" i="1"/>
  <c r="M237" i="1"/>
  <c r="M298" i="1"/>
  <c r="M324" i="1"/>
  <c r="M213" i="1"/>
  <c r="M410" i="1"/>
  <c r="M259" i="1"/>
  <c r="M252" i="1"/>
  <c r="M120" i="1"/>
  <c r="M220" i="1"/>
  <c r="M346" i="1"/>
  <c r="M304" i="1"/>
  <c r="M107" i="1"/>
  <c r="M400" i="1"/>
  <c r="M82" i="1"/>
  <c r="M121" i="1"/>
  <c r="M374" i="1"/>
  <c r="M233" i="1"/>
  <c r="M312" i="1"/>
  <c r="M134" i="1"/>
  <c r="M66" i="1"/>
  <c r="M258" i="1"/>
  <c r="M179" i="1"/>
  <c r="M302" i="1"/>
  <c r="M335" i="1"/>
  <c r="M141" i="1"/>
  <c r="M243" i="1"/>
  <c r="M155" i="1"/>
  <c r="M235" i="1"/>
  <c r="M108" i="1"/>
  <c r="M414" i="1"/>
  <c r="M333" i="1"/>
  <c r="M126" i="1"/>
  <c r="M118" i="1"/>
  <c r="M129" i="1"/>
  <c r="M16" i="1"/>
  <c r="M354" i="1"/>
  <c r="M14" i="1"/>
  <c r="M442" i="1"/>
  <c r="M341" i="1"/>
  <c r="M53" i="1"/>
  <c r="M15" i="1"/>
  <c r="M250" i="1"/>
  <c r="M71" i="1"/>
  <c r="M294" i="1"/>
  <c r="M36" i="1"/>
  <c r="M139" i="1"/>
  <c r="M104" i="1"/>
  <c r="M153" i="1"/>
  <c r="M56" i="1"/>
  <c r="M165" i="1"/>
  <c r="M176" i="1"/>
  <c r="M296" i="1"/>
  <c r="M223" i="1"/>
  <c r="M196" i="1"/>
  <c r="M64" i="1"/>
  <c r="M421" i="1"/>
  <c r="M101" i="1"/>
  <c r="M396" i="1"/>
  <c r="M97" i="1"/>
  <c r="M128" i="1"/>
  <c r="M73" i="1"/>
  <c r="M215" i="1"/>
  <c r="M49" i="1"/>
  <c r="M39" i="1"/>
  <c r="M246" i="1"/>
  <c r="M38" i="1"/>
  <c r="M261" i="1"/>
  <c r="M157" i="1"/>
  <c r="M31" i="1"/>
  <c r="M356" i="1"/>
  <c r="M336" i="1"/>
  <c r="M443" i="1"/>
  <c r="M384" i="1"/>
  <c r="M326" i="1"/>
  <c r="M288" i="1"/>
  <c r="M309" i="1"/>
  <c r="M169" i="1"/>
  <c r="M353" i="1"/>
  <c r="M313" i="1"/>
  <c r="M388" i="1"/>
  <c r="M122" i="1"/>
  <c r="M34" i="1"/>
  <c r="M228" i="1"/>
  <c r="M342" i="1"/>
  <c r="M46" i="1"/>
  <c r="M44" i="1"/>
  <c r="M80" i="1"/>
  <c r="M376" i="1"/>
  <c r="M373" i="1"/>
  <c r="M262" i="1"/>
  <c r="M297" i="1"/>
  <c r="M21" i="1"/>
  <c r="M226" i="1"/>
  <c r="M191" i="1"/>
  <c r="M257" i="1"/>
  <c r="M131" i="1"/>
  <c r="M207" i="1"/>
  <c r="M89" i="1"/>
  <c r="M440" i="1"/>
  <c r="M360" i="1"/>
  <c r="M358" i="1"/>
  <c r="M42" i="1"/>
  <c r="M316" i="1"/>
  <c r="M276" i="1"/>
  <c r="M301" i="1"/>
  <c r="M92" i="1"/>
  <c r="M161" i="1"/>
  <c r="M62" i="1"/>
  <c r="M222" i="1"/>
  <c r="M364" i="1"/>
  <c r="M93" i="1"/>
  <c r="M371" i="1"/>
  <c r="M185" i="1"/>
  <c r="M306" i="1"/>
  <c r="M123" i="1"/>
  <c r="M105" i="1"/>
  <c r="M284" i="1"/>
  <c r="M314" i="1"/>
  <c r="M2" i="1"/>
  <c r="M181" i="1"/>
  <c r="M112" i="1"/>
  <c r="M383" i="1"/>
  <c r="M289" i="1"/>
  <c r="M12" i="1"/>
  <c r="M241" i="1"/>
  <c r="M286" i="1"/>
  <c r="M267" i="1"/>
  <c r="M58" i="1"/>
  <c r="M293" i="1"/>
  <c r="M54" i="1"/>
  <c r="M100" i="1"/>
  <c r="M90" i="1"/>
  <c r="M206" i="1"/>
  <c r="M271" i="1"/>
  <c r="M152" i="1"/>
  <c r="M391" i="1"/>
  <c r="M72" i="1"/>
  <c r="M330" i="1"/>
  <c r="M216" i="1"/>
  <c r="M311" i="1"/>
  <c r="M158" i="1"/>
  <c r="M251" i="1"/>
  <c r="M140" i="1"/>
  <c r="M325" i="1"/>
  <c r="M27" i="1"/>
  <c r="M272" i="1"/>
  <c r="M328" i="1"/>
  <c r="M357" i="1"/>
  <c r="M148" i="1"/>
  <c r="M279" i="1"/>
  <c r="M33" i="1"/>
  <c r="M248" i="1"/>
  <c r="M202" i="1"/>
  <c r="M98" i="1"/>
  <c r="M327" i="1"/>
  <c r="M423" i="1"/>
  <c r="M163" i="1"/>
  <c r="M208" i="1"/>
  <c r="M255" i="1"/>
  <c r="M47" i="1"/>
  <c r="M40" i="1"/>
  <c r="M254" i="1"/>
  <c r="M397" i="1"/>
  <c r="M394" i="1"/>
  <c r="M132" i="1"/>
  <c r="M362" i="1"/>
  <c r="M167" i="1"/>
  <c r="M367" i="1"/>
  <c r="M192" i="1"/>
  <c r="M8" i="1"/>
  <c r="M300" i="1"/>
  <c r="M182" i="1"/>
  <c r="M338" i="1"/>
  <c r="M197" i="1"/>
  <c r="M95" i="1"/>
  <c r="M240" i="1"/>
  <c r="M229" i="1"/>
  <c r="M7" i="1"/>
  <c r="M242" i="1"/>
  <c r="M401" i="1"/>
  <c r="M420" i="1"/>
  <c r="M102" i="1"/>
  <c r="M26" i="1"/>
  <c r="M331" i="1"/>
  <c r="M308" i="1"/>
  <c r="M184" i="1"/>
  <c r="M291" i="1"/>
  <c r="M372" i="1"/>
  <c r="M377" i="1"/>
  <c r="M61" i="1"/>
  <c r="M65" i="1"/>
  <c r="M427" i="1"/>
  <c r="M172" i="1"/>
  <c r="M395" i="1"/>
  <c r="M224" i="1"/>
  <c r="M317" i="1"/>
  <c r="M87" i="1"/>
  <c r="M199" i="1"/>
  <c r="M48" i="1"/>
  <c r="M385" i="1"/>
  <c r="M406" i="1"/>
  <c r="M55" i="1"/>
  <c r="M63" i="1"/>
  <c r="M10" i="1"/>
  <c r="D1048576" i="3"/>
  <c r="D572" i="3"/>
  <c r="M121" i="2"/>
  <c r="M124" i="2"/>
  <c r="M283" i="2"/>
  <c r="M383" i="2"/>
  <c r="M69" i="2"/>
  <c r="M205" i="2"/>
  <c r="M413" i="2"/>
  <c r="M106" i="2"/>
  <c r="M329" i="2"/>
  <c r="M9" i="2"/>
  <c r="M222" i="2"/>
  <c r="M404" i="2"/>
  <c r="M166" i="2"/>
  <c r="M348" i="2"/>
  <c r="M174" i="2"/>
  <c r="M242" i="2"/>
  <c r="M333" i="2"/>
  <c r="M118" i="2"/>
  <c r="M198" i="2"/>
  <c r="M393" i="2"/>
  <c r="M471" i="2"/>
  <c r="M463" i="2"/>
  <c r="M507" i="2"/>
  <c r="M246" i="2"/>
  <c r="M307" i="2"/>
  <c r="M193" i="2"/>
  <c r="M202" i="2"/>
  <c r="M431" i="2"/>
  <c r="M517" i="2"/>
  <c r="M545" i="2"/>
  <c r="M190" i="2"/>
  <c r="M500" i="2"/>
  <c r="M337" i="2"/>
  <c r="M397" i="2"/>
  <c r="M311" i="2"/>
  <c r="M464" i="2"/>
  <c r="M476" i="2"/>
  <c r="M146" i="2"/>
  <c r="M536" i="2"/>
  <c r="M503" i="2"/>
  <c r="M282" i="2"/>
  <c r="M249" i="2"/>
  <c r="M225" i="2"/>
  <c r="M351" i="2"/>
  <c r="M145" i="2"/>
  <c r="M131" i="2"/>
  <c r="M388" i="2"/>
  <c r="M341" i="2"/>
  <c r="M450" i="2"/>
  <c r="M508" i="2"/>
  <c r="M487" i="2"/>
  <c r="M30" i="2"/>
  <c r="M411" i="2"/>
  <c r="M366" i="2"/>
  <c r="M92" i="2"/>
  <c r="M96" i="2"/>
  <c r="M538" i="2"/>
  <c r="M191" i="2"/>
  <c r="M394" i="2"/>
  <c r="M546" i="2"/>
  <c r="M376" i="2"/>
  <c r="M289" i="2"/>
  <c r="M226" i="2"/>
  <c r="M356" i="2"/>
  <c r="M551" i="2"/>
  <c r="M513" i="2"/>
  <c r="M363" i="2"/>
  <c r="M433" i="2"/>
  <c r="M466" i="2"/>
  <c r="M532" i="2"/>
  <c r="M35" i="2"/>
  <c r="M386" i="2"/>
  <c r="M309" i="2"/>
  <c r="M327" i="2"/>
  <c r="M123" i="2"/>
  <c r="M234" i="2"/>
  <c r="M539" i="2"/>
  <c r="M164" i="2"/>
  <c r="M501" i="2"/>
  <c r="M152" i="2"/>
  <c r="M303" i="2"/>
  <c r="M256" i="2"/>
  <c r="M544" i="2"/>
  <c r="M506" i="2"/>
  <c r="M417" i="2"/>
  <c r="M460" i="2"/>
  <c r="M510" i="2"/>
  <c r="M239" i="2"/>
  <c r="M401" i="2"/>
  <c r="M520" i="2"/>
  <c r="M297" i="2"/>
  <c r="M240" i="2"/>
  <c r="M196" i="2"/>
  <c r="M175" i="2"/>
  <c r="M322" i="2"/>
  <c r="M150" i="2"/>
  <c r="M472" i="2"/>
  <c r="M387" i="2"/>
  <c r="M171" i="2"/>
  <c r="M504" i="2"/>
  <c r="M342" i="2"/>
  <c r="M120" i="2"/>
  <c r="M195" i="2"/>
  <c r="M36" i="2"/>
  <c r="M186" i="2"/>
  <c r="M554" i="2"/>
  <c r="M107" i="2"/>
  <c r="M184" i="2"/>
  <c r="M398" i="2"/>
  <c r="M173" i="2"/>
  <c r="M250" i="2"/>
  <c r="M258" i="2"/>
  <c r="M421" i="2"/>
  <c r="M455" i="2"/>
  <c r="M169" i="2"/>
  <c r="M162" i="2"/>
  <c r="M498" i="2"/>
  <c r="M128" i="2"/>
  <c r="M294" i="2"/>
  <c r="M218" i="2"/>
  <c r="M328" i="2"/>
  <c r="M262" i="2"/>
  <c r="M370" i="2"/>
  <c r="M447" i="2"/>
  <c r="M552" i="2"/>
  <c r="M271" i="2"/>
  <c r="M163" i="2"/>
  <c r="M170" i="2"/>
  <c r="M237" i="2"/>
  <c r="M484" i="2"/>
  <c r="M252" i="2"/>
  <c r="M334" i="2"/>
  <c r="M87" i="2"/>
  <c r="M533" i="2"/>
  <c r="M550" i="2"/>
  <c r="M395" i="2"/>
  <c r="M495" i="2"/>
  <c r="M528" i="2"/>
  <c r="M141" i="2"/>
  <c r="M445" i="2"/>
  <c r="M451" i="2"/>
  <c r="M331" i="2"/>
  <c r="M485" i="2"/>
  <c r="M374" i="2"/>
  <c r="M459" i="2"/>
  <c r="M15" i="2"/>
  <c r="M180" i="2"/>
  <c r="M497" i="2"/>
  <c r="M201" i="2"/>
  <c r="M380" i="2"/>
  <c r="M488" i="2"/>
  <c r="M214" i="2"/>
  <c r="M243" i="2"/>
  <c r="M194" i="2"/>
  <c r="M419" i="2"/>
  <c r="M177" i="2"/>
  <c r="M384" i="2"/>
  <c r="M359" i="2"/>
  <c r="M509" i="2"/>
  <c r="M355" i="2"/>
  <c r="M428" i="2"/>
  <c r="M408" i="2"/>
  <c r="M255" i="2"/>
  <c r="M375" i="2"/>
  <c r="M312" i="2"/>
  <c r="M382" i="2"/>
  <c r="M187" i="2"/>
  <c r="M527" i="2"/>
  <c r="M261" i="2"/>
  <c r="M541" i="2"/>
  <c r="M360" i="2"/>
  <c r="M525" i="2"/>
  <c r="M458" i="2"/>
  <c r="M315" i="2"/>
  <c r="M1" i="2"/>
  <c r="M379" i="2"/>
  <c r="M453" i="2"/>
  <c r="M176" i="2"/>
  <c r="M320" i="2"/>
  <c r="M407" i="2"/>
  <c r="M269" i="2"/>
  <c r="M160" i="2"/>
  <c r="M357" i="2"/>
  <c r="M257" i="2"/>
  <c r="M259" i="2"/>
  <c r="M22" i="2"/>
  <c r="M456" i="2"/>
  <c r="M480" i="2"/>
  <c r="M489" i="2"/>
  <c r="M27" i="2"/>
  <c r="M216" i="2"/>
  <c r="M448" i="2"/>
  <c r="M220" i="2"/>
  <c r="M423" i="2"/>
  <c r="M542" i="2"/>
  <c r="M399" i="2"/>
  <c r="M155" i="2"/>
  <c r="M154" i="2"/>
  <c r="M153" i="2"/>
  <c r="M475" i="2"/>
  <c r="M555" i="2"/>
  <c r="M95" i="2"/>
  <c r="M301" i="2"/>
  <c r="M138" i="2"/>
  <c r="M49" i="2"/>
  <c r="M274" i="2"/>
  <c r="M496" i="2"/>
  <c r="M221" i="2"/>
  <c r="M535" i="2"/>
  <c r="M469" i="2"/>
  <c r="M514" i="2"/>
  <c r="M133" i="2"/>
  <c r="M483" i="2"/>
  <c r="M61" i="2"/>
  <c r="M540" i="2"/>
  <c r="M502" i="2"/>
  <c r="M439" i="2"/>
  <c r="M493" i="2"/>
  <c r="M531" i="2"/>
  <c r="M492" i="2"/>
  <c r="M137" i="2"/>
  <c r="M474" i="2"/>
  <c r="M479" i="2"/>
  <c r="M512" i="2"/>
  <c r="M422" i="2"/>
  <c r="M91" i="2"/>
  <c r="M449" i="2"/>
  <c r="M236" i="2"/>
  <c r="M549" i="2"/>
  <c r="M410" i="2"/>
  <c r="M204" i="2"/>
  <c r="M482" i="2"/>
  <c r="M305" i="2"/>
  <c r="M213" i="2"/>
  <c r="M371" i="2"/>
  <c r="M93" i="2"/>
  <c r="M530" i="2"/>
  <c r="M295" i="2"/>
  <c r="M547" i="2"/>
  <c r="M505" i="2"/>
  <c r="M129" i="2"/>
  <c r="M310" i="2"/>
  <c r="M143" i="2"/>
  <c r="M199" i="2"/>
  <c r="M285" i="2"/>
  <c r="M83" i="2"/>
  <c r="M136" i="2"/>
  <c r="M158" i="2"/>
  <c r="M130" i="2"/>
  <c r="M511" i="2"/>
  <c r="M329" i="1"/>
  <c r="M144" i="1"/>
  <c r="M154" i="1"/>
  <c r="M5" i="1"/>
  <c r="M359" i="1"/>
  <c r="M211" i="1"/>
  <c r="M416" i="1"/>
  <c r="M369" i="1"/>
  <c r="M6" i="1"/>
  <c r="M273" i="1"/>
  <c r="M375" i="1"/>
  <c r="M268" i="1"/>
  <c r="M70" i="1"/>
  <c r="M142" i="1"/>
  <c r="M137" i="1"/>
  <c r="M439" i="1"/>
  <c r="M355" i="1"/>
  <c r="M75" i="1"/>
  <c r="M50" i="1"/>
  <c r="M436" i="1"/>
  <c r="M195" i="1"/>
  <c r="M190" i="1"/>
  <c r="M29" i="1"/>
  <c r="M432" i="1"/>
  <c r="M230" i="1"/>
  <c r="M51" i="1"/>
  <c r="M187" i="1"/>
  <c r="M119" i="1"/>
  <c r="M225" i="1"/>
  <c r="M249" i="1"/>
  <c r="M307" i="1"/>
  <c r="M209" i="1"/>
  <c r="M361" i="1"/>
  <c r="M168" i="1"/>
  <c r="M392" i="1"/>
  <c r="M30" i="1"/>
  <c r="M84" i="1"/>
  <c r="M407" i="1"/>
  <c r="M9" i="1"/>
  <c r="M345" i="1"/>
  <c r="M245" i="1"/>
  <c r="M23" i="1"/>
  <c r="M402" i="1"/>
  <c r="M125" i="1"/>
  <c r="M234" i="1"/>
  <c r="M292" i="1"/>
  <c r="M368" i="1"/>
  <c r="M321" i="1"/>
  <c r="M340" i="1"/>
  <c r="M11" i="1"/>
  <c r="M236" i="1"/>
  <c r="M422" i="1"/>
  <c r="M270" i="1"/>
  <c r="M67" i="1"/>
  <c r="M204" i="1"/>
  <c r="M77" i="1"/>
  <c r="M143" i="1"/>
  <c r="M363" i="1"/>
  <c r="M221" i="1"/>
  <c r="M269" i="1"/>
  <c r="M281" i="1"/>
  <c r="M405" i="1"/>
  <c r="M319" i="1"/>
  <c r="M156" i="1"/>
  <c r="M35" i="1"/>
  <c r="M45" i="1"/>
  <c r="M3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<sst xmlns="http://schemas.openxmlformats.org/spreadsheetml/2006/main" count="6833" uniqueCount="1688">
  <si>
    <t>sequence_1</t>
  </si>
  <si>
    <t>sequence_2</t>
  </si>
  <si>
    <t>sequence_3</t>
  </si>
  <si>
    <t>sequence_4</t>
  </si>
  <si>
    <t>sequence_5</t>
  </si>
  <si>
    <t>sequence_6</t>
  </si>
  <si>
    <t>sequence_7</t>
  </si>
  <si>
    <t>sequence_8</t>
  </si>
  <si>
    <t>sequence_9</t>
  </si>
  <si>
    <t>sequence_10</t>
  </si>
  <si>
    <t>sequence_11</t>
  </si>
  <si>
    <t>sequence_12</t>
  </si>
  <si>
    <t>sequence_13</t>
  </si>
  <si>
    <t>sequence_14</t>
  </si>
  <si>
    <t>sequence_15</t>
  </si>
  <si>
    <t>sequence_16</t>
  </si>
  <si>
    <t>sequence_17</t>
  </si>
  <si>
    <t>sequence_18</t>
  </si>
  <si>
    <t>sequence_19</t>
  </si>
  <si>
    <t>sequence_20</t>
  </si>
  <si>
    <t>sequence_21</t>
  </si>
  <si>
    <t>sequence_22</t>
  </si>
  <si>
    <t>sequence_23</t>
  </si>
  <si>
    <t>sequence_24</t>
  </si>
  <si>
    <t>sequence_25</t>
  </si>
  <si>
    <t>sequence_26</t>
  </si>
  <si>
    <t>sequence_27</t>
  </si>
  <si>
    <t>sequence_28</t>
  </si>
  <si>
    <t>sequence_29</t>
  </si>
  <si>
    <t>sequence_30</t>
  </si>
  <si>
    <t>sequence_31</t>
  </si>
  <si>
    <t>sequence_32</t>
  </si>
  <si>
    <t>sequence_33</t>
  </si>
  <si>
    <t>sequence_34</t>
  </si>
  <si>
    <t>sequence_35</t>
  </si>
  <si>
    <t>sequence_36</t>
  </si>
  <si>
    <t>sequence_37</t>
  </si>
  <si>
    <t>sequence_38</t>
  </si>
  <si>
    <t>sequence_39</t>
  </si>
  <si>
    <t>sequence_40</t>
  </si>
  <si>
    <t>sequence_41</t>
  </si>
  <si>
    <t>sequence_42</t>
  </si>
  <si>
    <t>sequence_43</t>
  </si>
  <si>
    <t>sequence_44</t>
  </si>
  <si>
    <t>sequence_45</t>
  </si>
  <si>
    <t>sequence_46</t>
  </si>
  <si>
    <t>sequence_47</t>
  </si>
  <si>
    <t>sequence_48</t>
  </si>
  <si>
    <t>sequence_49</t>
  </si>
  <si>
    <t>sequence_50</t>
  </si>
  <si>
    <t>sequence_51</t>
  </si>
  <si>
    <t>sequence_52</t>
  </si>
  <si>
    <t>sequence_53</t>
  </si>
  <si>
    <t>sequence_54</t>
  </si>
  <si>
    <t>sequence_55</t>
  </si>
  <si>
    <t>sequence_56</t>
  </si>
  <si>
    <t>sequence_57</t>
  </si>
  <si>
    <t>sequence_58</t>
  </si>
  <si>
    <t>sequence_59</t>
  </si>
  <si>
    <t>sequence_60</t>
  </si>
  <si>
    <t>sequence_61</t>
  </si>
  <si>
    <t>sequence_62</t>
  </si>
  <si>
    <t>sequence_63</t>
  </si>
  <si>
    <t>sequence_64</t>
  </si>
  <si>
    <t>sequence_65</t>
  </si>
  <si>
    <t>sequence_66</t>
  </si>
  <si>
    <t>sequence_67</t>
  </si>
  <si>
    <t>sequence_68</t>
  </si>
  <si>
    <t>sequence_69</t>
  </si>
  <si>
    <t>sequence_70</t>
  </si>
  <si>
    <t>sequence_71</t>
  </si>
  <si>
    <t>sequence_72</t>
  </si>
  <si>
    <t>sequence_73</t>
  </si>
  <si>
    <t>sequence_74</t>
  </si>
  <si>
    <t>sequence_75</t>
  </si>
  <si>
    <t>sequence_76</t>
  </si>
  <si>
    <t>sequence_77</t>
  </si>
  <si>
    <t>sequence_78</t>
  </si>
  <si>
    <t>sequence_79</t>
  </si>
  <si>
    <t>sequence_80</t>
  </si>
  <si>
    <t>sequence_81</t>
  </si>
  <si>
    <t>sequence_82</t>
  </si>
  <si>
    <t>sequence_83</t>
  </si>
  <si>
    <t>sequence_84</t>
  </si>
  <si>
    <t>sequence_85</t>
  </si>
  <si>
    <t>sequence_86</t>
  </si>
  <si>
    <t>sequence_87</t>
  </si>
  <si>
    <t>sequence_88</t>
  </si>
  <si>
    <t>sequence_89</t>
  </si>
  <si>
    <t>sequence_90</t>
  </si>
  <si>
    <t>sequence_91</t>
  </si>
  <si>
    <t>sequence_92</t>
  </si>
  <si>
    <t>sequence_93</t>
  </si>
  <si>
    <t>sequence_94</t>
  </si>
  <si>
    <t>sequence_95</t>
  </si>
  <si>
    <t>sequence_96</t>
  </si>
  <si>
    <t>sequence_97</t>
  </si>
  <si>
    <t>sequence_98</t>
  </si>
  <si>
    <t>sequence_99</t>
  </si>
  <si>
    <t>sequence_100</t>
  </si>
  <si>
    <t>sequence_101</t>
  </si>
  <si>
    <t>sequence_102</t>
  </si>
  <si>
    <t>sequence_103</t>
  </si>
  <si>
    <t>sequence_104</t>
  </si>
  <si>
    <t>sequence_105</t>
  </si>
  <si>
    <t>sequence_106</t>
  </si>
  <si>
    <t>sequence_107</t>
  </si>
  <si>
    <t>sequence_108</t>
  </si>
  <si>
    <t>sequence_109</t>
  </si>
  <si>
    <t>sequence_110</t>
  </si>
  <si>
    <t>sequence_111</t>
  </si>
  <si>
    <t>sequence_112</t>
  </si>
  <si>
    <t>sequence_113</t>
  </si>
  <si>
    <t>sequence_114</t>
  </si>
  <si>
    <t>sequence_115</t>
  </si>
  <si>
    <t>sequence_116</t>
  </si>
  <si>
    <t>sequence_117</t>
  </si>
  <si>
    <t>sequence_118</t>
  </si>
  <si>
    <t>sequence_119</t>
  </si>
  <si>
    <t>sequence_120</t>
  </si>
  <si>
    <t>sequence_121</t>
  </si>
  <si>
    <t>sequence_122</t>
  </si>
  <si>
    <t>sequence_123</t>
  </si>
  <si>
    <t>sequence_124</t>
  </si>
  <si>
    <t>sequence_125</t>
  </si>
  <si>
    <t>sequence_126</t>
  </si>
  <si>
    <t>sequence_127</t>
  </si>
  <si>
    <t>sequence_128</t>
  </si>
  <si>
    <t>sequence_129</t>
  </si>
  <si>
    <t>sequence_130</t>
  </si>
  <si>
    <t>sequence_131</t>
  </si>
  <si>
    <t>sequence_132</t>
  </si>
  <si>
    <t>sequence_133</t>
  </si>
  <si>
    <t>sequence_134</t>
  </si>
  <si>
    <t>sequence_135</t>
  </si>
  <si>
    <t>sequence_136</t>
  </si>
  <si>
    <t>sequence_137</t>
  </si>
  <si>
    <t>sequence_138</t>
  </si>
  <si>
    <t>sequence_139</t>
  </si>
  <si>
    <t>sequence_140</t>
  </si>
  <si>
    <t>sequence_141</t>
  </si>
  <si>
    <t>sequence_142</t>
  </si>
  <si>
    <t>sequence_143</t>
  </si>
  <si>
    <t>sequence_144</t>
  </si>
  <si>
    <t>sequence_145</t>
  </si>
  <si>
    <t>sequence_146</t>
  </si>
  <si>
    <t>sequence_147</t>
  </si>
  <si>
    <t>sequence_148</t>
  </si>
  <si>
    <t>sequence_149</t>
  </si>
  <si>
    <t>sequence_150</t>
  </si>
  <si>
    <t>sequence_151</t>
  </si>
  <si>
    <t>sequence_152</t>
  </si>
  <si>
    <t>sequence_153</t>
  </si>
  <si>
    <t>sequence_154</t>
  </si>
  <si>
    <t>sequence_155</t>
  </si>
  <si>
    <t>sequence_156</t>
  </si>
  <si>
    <t>sequence_157</t>
  </si>
  <si>
    <t>sequence_158</t>
  </si>
  <si>
    <t>sequence_159</t>
  </si>
  <si>
    <t>sequence_160</t>
  </si>
  <si>
    <t>sequence_161</t>
  </si>
  <si>
    <t>sequence_162</t>
  </si>
  <si>
    <t>sequence_163</t>
  </si>
  <si>
    <t>sequence_164</t>
  </si>
  <si>
    <t>sequence_165</t>
  </si>
  <si>
    <t>sequence_166</t>
  </si>
  <si>
    <t>sequence_167</t>
  </si>
  <si>
    <t>sequence_168</t>
  </si>
  <si>
    <t>sequence_169</t>
  </si>
  <si>
    <t>sequence_170</t>
  </si>
  <si>
    <t>sequence_171</t>
  </si>
  <si>
    <t>sequence_172</t>
  </si>
  <si>
    <t>sequence_173</t>
  </si>
  <si>
    <t>sequence_174</t>
  </si>
  <si>
    <t>sequence_175</t>
  </si>
  <si>
    <t>sequence_176</t>
  </si>
  <si>
    <t>sequence_177</t>
  </si>
  <si>
    <t>sequence_178</t>
  </si>
  <si>
    <t>sequence_179</t>
  </si>
  <si>
    <t>sequence_180</t>
  </si>
  <si>
    <t>sequence_181</t>
  </si>
  <si>
    <t>sequence_182</t>
  </si>
  <si>
    <t>sequence_183</t>
  </si>
  <si>
    <t>sequence_184</t>
  </si>
  <si>
    <t>sequence_185</t>
  </si>
  <si>
    <t>sequence_186</t>
  </si>
  <si>
    <t>sequence_187</t>
  </si>
  <si>
    <t>sequence_188</t>
  </si>
  <si>
    <t>sequence_189</t>
  </si>
  <si>
    <t>sequence_190</t>
  </si>
  <si>
    <t>sequence_191</t>
  </si>
  <si>
    <t>sequence_192</t>
  </si>
  <si>
    <t>sequence_193</t>
  </si>
  <si>
    <t>sequence_194</t>
  </si>
  <si>
    <t>sequence_195</t>
  </si>
  <si>
    <t>sequence_196</t>
  </si>
  <si>
    <t>sequence_197</t>
  </si>
  <si>
    <t>sequence_198</t>
  </si>
  <si>
    <t>sequence_199</t>
  </si>
  <si>
    <t>sequence_200</t>
  </si>
  <si>
    <t>sequence_201</t>
  </si>
  <si>
    <t>sequence_202</t>
  </si>
  <si>
    <t>sequence_203</t>
  </si>
  <si>
    <t>sequence_204</t>
  </si>
  <si>
    <t>sequence_205</t>
  </si>
  <si>
    <t>sequence_206</t>
  </si>
  <si>
    <t>sequence_207</t>
  </si>
  <si>
    <t>sequence_208</t>
  </si>
  <si>
    <t>sequence_209</t>
  </si>
  <si>
    <t>sequence_210</t>
  </si>
  <si>
    <t>sequence_211</t>
  </si>
  <si>
    <t>sequence_212</t>
  </si>
  <si>
    <t>sequence_213</t>
  </si>
  <si>
    <t>sequence_214</t>
  </si>
  <si>
    <t>sequence_215</t>
  </si>
  <si>
    <t>sequence_216</t>
  </si>
  <si>
    <t>sequence_217</t>
  </si>
  <si>
    <t>sequence_218</t>
  </si>
  <si>
    <t>sequence_219</t>
  </si>
  <si>
    <t>sequence_220</t>
  </si>
  <si>
    <t>sequence_221</t>
  </si>
  <si>
    <t>sequence_222</t>
  </si>
  <si>
    <t>sequence_223</t>
  </si>
  <si>
    <t>sequence_224</t>
  </si>
  <si>
    <t>sequence_225</t>
  </si>
  <si>
    <t>sequence_226</t>
  </si>
  <si>
    <t>sequence_227</t>
  </si>
  <si>
    <t>sequence_228</t>
  </si>
  <si>
    <t>sequence_229</t>
  </si>
  <si>
    <t>sequence_230</t>
  </si>
  <si>
    <t>sequence_231</t>
  </si>
  <si>
    <t>sequence_232</t>
  </si>
  <si>
    <t>sequence_233</t>
  </si>
  <si>
    <t>sequence_234</t>
  </si>
  <si>
    <t>sequence_235</t>
  </si>
  <si>
    <t>sequence_236</t>
  </si>
  <si>
    <t>sequence_237</t>
  </si>
  <si>
    <t>sequence_238</t>
  </si>
  <si>
    <t>sequence_239</t>
  </si>
  <si>
    <t>sequence_240</t>
  </si>
  <si>
    <t>sequence_241</t>
  </si>
  <si>
    <t>sequence_242</t>
  </si>
  <si>
    <t>sequence_243</t>
  </si>
  <si>
    <t>sequence_244</t>
  </si>
  <si>
    <t>sequence_245</t>
  </si>
  <si>
    <t>sequence_246</t>
  </si>
  <si>
    <t>sequence_247</t>
  </si>
  <si>
    <t>sequence_248</t>
  </si>
  <si>
    <t>sequence_249</t>
  </si>
  <si>
    <t>sequence_250</t>
  </si>
  <si>
    <t>sequence_251</t>
  </si>
  <si>
    <t>sequence_252</t>
  </si>
  <si>
    <t>sequence_253</t>
  </si>
  <si>
    <t>sequence_254</t>
  </si>
  <si>
    <t>sequence_255</t>
  </si>
  <si>
    <t>sequence_256</t>
  </si>
  <si>
    <t>sequence_257</t>
  </si>
  <si>
    <t>sequence_258</t>
  </si>
  <si>
    <t>sequence_259</t>
  </si>
  <si>
    <t>sequence_260</t>
  </si>
  <si>
    <t>sequence_261</t>
  </si>
  <si>
    <t>sequence_262</t>
  </si>
  <si>
    <t>sequence_263</t>
  </si>
  <si>
    <t>sequence_264</t>
  </si>
  <si>
    <t>sequence_265</t>
  </si>
  <si>
    <t>sequence_266</t>
  </si>
  <si>
    <t>sequence_267</t>
  </si>
  <si>
    <t>sequence_268</t>
  </si>
  <si>
    <t>sequence_269</t>
  </si>
  <si>
    <t>sequence_270</t>
  </si>
  <si>
    <t>sequence_271</t>
  </si>
  <si>
    <t>sequence_272</t>
  </si>
  <si>
    <t>sequence_273</t>
  </si>
  <si>
    <t>sequence_274</t>
  </si>
  <si>
    <t>sequence_275</t>
  </si>
  <si>
    <t>sequence_276</t>
  </si>
  <si>
    <t>sequence_277</t>
  </si>
  <si>
    <t>sequence_278</t>
  </si>
  <si>
    <t>sequence_279</t>
  </si>
  <si>
    <t>sequence_280</t>
  </si>
  <si>
    <t>sequence_281</t>
  </si>
  <si>
    <t>sequence_282</t>
  </si>
  <si>
    <t>sequence_283</t>
  </si>
  <si>
    <t>sequence_284</t>
  </si>
  <si>
    <t>sequence_285</t>
  </si>
  <si>
    <t>sequence_286</t>
  </si>
  <si>
    <t>sequence_287</t>
  </si>
  <si>
    <t>sequence_288</t>
  </si>
  <si>
    <t>sequence_289</t>
  </si>
  <si>
    <t>sequence_290</t>
  </si>
  <si>
    <t>sequence_291</t>
  </si>
  <si>
    <t>sequence_292</t>
  </si>
  <si>
    <t>sequence_293</t>
  </si>
  <si>
    <t>sequence_294</t>
  </si>
  <si>
    <t>sequence_295</t>
  </si>
  <si>
    <t>sequence_296</t>
  </si>
  <si>
    <t>sequence_297</t>
  </si>
  <si>
    <t>sequence_298</t>
  </si>
  <si>
    <t>sequence_299</t>
  </si>
  <si>
    <t>sequence_300</t>
  </si>
  <si>
    <t>sequence_301</t>
  </si>
  <si>
    <t>sequence_302</t>
  </si>
  <si>
    <t>sequence_303</t>
  </si>
  <si>
    <t>sequence_304</t>
  </si>
  <si>
    <t>sequence_305</t>
  </si>
  <si>
    <t>sequence_306</t>
  </si>
  <si>
    <t>sequence_307</t>
  </si>
  <si>
    <t>sequence_308</t>
  </si>
  <si>
    <t>sequence_309</t>
  </si>
  <si>
    <t>sequence_310</t>
  </si>
  <si>
    <t>sequence_311</t>
  </si>
  <si>
    <t>sequence_312</t>
  </si>
  <si>
    <t>sequence_313</t>
  </si>
  <si>
    <t>sequence_314</t>
  </si>
  <si>
    <t>sequence_315</t>
  </si>
  <si>
    <t>sequence_316</t>
  </si>
  <si>
    <t>sequence_317</t>
  </si>
  <si>
    <t>sequence_318</t>
  </si>
  <si>
    <t>sequence_319</t>
  </si>
  <si>
    <t>sequence_320</t>
  </si>
  <si>
    <t>sequence_321</t>
  </si>
  <si>
    <t>sequence_322</t>
  </si>
  <si>
    <t>sequence_323</t>
  </si>
  <si>
    <t>sequence_324</t>
  </si>
  <si>
    <t>sequence_325</t>
  </si>
  <si>
    <t>sequence_326</t>
  </si>
  <si>
    <t>sequence_327</t>
  </si>
  <si>
    <t>sequence_328</t>
  </si>
  <si>
    <t>sequence_329</t>
  </si>
  <si>
    <t>sequence_330</t>
  </si>
  <si>
    <t>sequence_331</t>
  </si>
  <si>
    <t>sequence_332</t>
  </si>
  <si>
    <t>sequence_333</t>
  </si>
  <si>
    <t>sequence_334</t>
  </si>
  <si>
    <t>sequence_335</t>
  </si>
  <si>
    <t>sequence_336</t>
  </si>
  <si>
    <t>sequence_337</t>
  </si>
  <si>
    <t>sequence_338</t>
  </si>
  <si>
    <t>sequence_339</t>
  </si>
  <si>
    <t>sequence_340</t>
  </si>
  <si>
    <t>sequence_341</t>
  </si>
  <si>
    <t>sequence_342</t>
  </si>
  <si>
    <t>sequence_343</t>
  </si>
  <si>
    <t>sequence_344</t>
  </si>
  <si>
    <t>sequence_345</t>
  </si>
  <si>
    <t>sequence_346</t>
  </si>
  <si>
    <t>sequence_347</t>
  </si>
  <si>
    <t>sequence_348</t>
  </si>
  <si>
    <t>sequence_349</t>
  </si>
  <si>
    <t>sequence_350</t>
  </si>
  <si>
    <t>sequence_351</t>
  </si>
  <si>
    <t>sequence_352</t>
  </si>
  <si>
    <t>sequence_353</t>
  </si>
  <si>
    <t>sequence_354</t>
  </si>
  <si>
    <t>sequence_355</t>
  </si>
  <si>
    <t>sequence_356</t>
  </si>
  <si>
    <t>sequence_357</t>
  </si>
  <si>
    <t>sequence_358</t>
  </si>
  <si>
    <t>sequence_359</t>
  </si>
  <si>
    <t>sequence_360</t>
  </si>
  <si>
    <t>sequence_361</t>
  </si>
  <si>
    <t>sequence_362</t>
  </si>
  <si>
    <t>sequence_363</t>
  </si>
  <si>
    <t>sequence_364</t>
  </si>
  <si>
    <t>sequence_365</t>
  </si>
  <si>
    <t>sequence_366</t>
  </si>
  <si>
    <t>sequence_367</t>
  </si>
  <si>
    <t>sequence_368</t>
  </si>
  <si>
    <t>sequence_369</t>
  </si>
  <si>
    <t>sequence_370</t>
  </si>
  <si>
    <t>sequence_371</t>
  </si>
  <si>
    <t>sequence_372</t>
  </si>
  <si>
    <t>sequence_373</t>
  </si>
  <si>
    <t>sequence_374</t>
  </si>
  <si>
    <t>sequence_375</t>
  </si>
  <si>
    <t>sequence_376</t>
  </si>
  <si>
    <t>sequence_377</t>
  </si>
  <si>
    <t>sequence_378</t>
  </si>
  <si>
    <t>sequence_379</t>
  </si>
  <si>
    <t>sequence_380</t>
  </si>
  <si>
    <t>sequence_381</t>
  </si>
  <si>
    <t>sequence_382</t>
  </si>
  <si>
    <t>sequence_383</t>
  </si>
  <si>
    <t>sequence_384</t>
  </si>
  <si>
    <t>sequence_385</t>
  </si>
  <si>
    <t>sequence_386</t>
  </si>
  <si>
    <t>sequence_387</t>
  </si>
  <si>
    <t>sequence_388</t>
  </si>
  <si>
    <t>sequence_389</t>
  </si>
  <si>
    <t>sequence_390</t>
  </si>
  <si>
    <t>sequence_391</t>
  </si>
  <si>
    <t>sequence_392</t>
  </si>
  <si>
    <t>sequence_393</t>
  </si>
  <si>
    <t>sequence_394</t>
  </si>
  <si>
    <t>sequence_395</t>
  </si>
  <si>
    <t>sequence_396</t>
  </si>
  <si>
    <t>sequence_397</t>
  </si>
  <si>
    <t>sequence_398</t>
  </si>
  <si>
    <t>sequence_399</t>
  </si>
  <si>
    <t>sequence_400</t>
  </si>
  <si>
    <t>sequence_401</t>
  </si>
  <si>
    <t>sequence_402</t>
  </si>
  <si>
    <t>sequence_403</t>
  </si>
  <si>
    <t>sequence_404</t>
  </si>
  <si>
    <t>sequence_405</t>
  </si>
  <si>
    <t>sequence_406</t>
  </si>
  <si>
    <t>sequence_407</t>
  </si>
  <si>
    <t>sequence_408</t>
  </si>
  <si>
    <t>sequence_409</t>
  </si>
  <si>
    <t>sequence_410</t>
  </si>
  <si>
    <t>sequence_411</t>
  </si>
  <si>
    <t>sequence_412</t>
  </si>
  <si>
    <t>sequence_413</t>
  </si>
  <si>
    <t>sequence_414</t>
  </si>
  <si>
    <t>sequence_415</t>
  </si>
  <si>
    <t>sequence_416</t>
  </si>
  <si>
    <t>sequence_417</t>
  </si>
  <si>
    <t>sequence_418</t>
  </si>
  <si>
    <t>sequence_419</t>
  </si>
  <si>
    <t>sequence_420</t>
  </si>
  <si>
    <t>sequence_421</t>
  </si>
  <si>
    <t>sequence_422</t>
  </si>
  <si>
    <t>sequence_423</t>
  </si>
  <si>
    <t>sequence_424</t>
  </si>
  <si>
    <t>sequence_425</t>
  </si>
  <si>
    <t>sequence_426</t>
  </si>
  <si>
    <t>sequence_427</t>
  </si>
  <si>
    <t>sequence_428</t>
  </si>
  <si>
    <t>sequence_429</t>
  </si>
  <si>
    <t>sequence_430</t>
  </si>
  <si>
    <t>sequence_431</t>
  </si>
  <si>
    <t>sequence_432</t>
  </si>
  <si>
    <t>sequence_433</t>
  </si>
  <si>
    <t>sequence_434</t>
  </si>
  <si>
    <t>sequence_435</t>
  </si>
  <si>
    <t>sequence_436</t>
  </si>
  <si>
    <t>sequence_437</t>
  </si>
  <si>
    <t>sequence_438</t>
  </si>
  <si>
    <t>sequence_439</t>
  </si>
  <si>
    <t>sequence_440</t>
  </si>
  <si>
    <t>sequence_441</t>
  </si>
  <si>
    <t>sequence_442</t>
  </si>
  <si>
    <t>sequence_443</t>
  </si>
  <si>
    <t>sequence_444</t>
  </si>
  <si>
    <t>sequence_445</t>
  </si>
  <si>
    <t>sequence_446</t>
  </si>
  <si>
    <t>sequence_447</t>
  </si>
  <si>
    <t>sequence_448</t>
  </si>
  <si>
    <t>sequence_449</t>
  </si>
  <si>
    <t>sequence_450</t>
  </si>
  <si>
    <t>sequence_451</t>
  </si>
  <si>
    <t>sequence_452</t>
  </si>
  <si>
    <t>sequence_453</t>
  </si>
  <si>
    <t>sequence_454</t>
  </si>
  <si>
    <t>sequence_455</t>
  </si>
  <si>
    <t>sequence_456</t>
  </si>
  <si>
    <t>sequence_457</t>
  </si>
  <si>
    <t>sequence_458</t>
  </si>
  <si>
    <t>sequence_459</t>
  </si>
  <si>
    <t>sequence_460</t>
  </si>
  <si>
    <t>sequence_461</t>
  </si>
  <si>
    <t>sequence_462</t>
  </si>
  <si>
    <t>sequence_463</t>
  </si>
  <si>
    <t>sequence_464</t>
  </si>
  <si>
    <t>sequence_465</t>
  </si>
  <si>
    <t>sequence_466</t>
  </si>
  <si>
    <t>sequence_467</t>
  </si>
  <si>
    <t>sequence_468</t>
  </si>
  <si>
    <t>sequence_469</t>
  </si>
  <si>
    <t>sequence_470</t>
  </si>
  <si>
    <t>sequence_471</t>
  </si>
  <si>
    <t>sequence_472</t>
  </si>
  <si>
    <t>sequence_473</t>
  </si>
  <si>
    <t>sequence_474</t>
  </si>
  <si>
    <t>sequence_475</t>
  </si>
  <si>
    <t>sequence_476</t>
  </si>
  <si>
    <t>sequence_477</t>
  </si>
  <si>
    <t>sequence_478</t>
  </si>
  <si>
    <t>sequence_479</t>
  </si>
  <si>
    <t>sequence_480</t>
  </si>
  <si>
    <t>sequence_481</t>
  </si>
  <si>
    <t>sequence_482</t>
  </si>
  <si>
    <t>sequence_483</t>
  </si>
  <si>
    <t>sequence_484</t>
  </si>
  <si>
    <t>sequence_485</t>
  </si>
  <si>
    <t>sequence_486</t>
  </si>
  <si>
    <t>sequence_487</t>
  </si>
  <si>
    <t>sequence_488</t>
  </si>
  <si>
    <t>sequence_489</t>
  </si>
  <si>
    <t>sequence_490</t>
  </si>
  <si>
    <t>sequence_491</t>
  </si>
  <si>
    <t>sequence_492</t>
  </si>
  <si>
    <t>sequence_493</t>
  </si>
  <si>
    <t>sequence_494</t>
  </si>
  <si>
    <t>sequence_495</t>
  </si>
  <si>
    <t>sequence_496</t>
  </si>
  <si>
    <t>sequence_497</t>
  </si>
  <si>
    <t>sequence_498</t>
  </si>
  <si>
    <t>sequence_499</t>
  </si>
  <si>
    <t>sequence_500</t>
  </si>
  <si>
    <t>sequence_501</t>
  </si>
  <si>
    <t>sequence_502</t>
  </si>
  <si>
    <t>sequence_503</t>
  </si>
  <si>
    <t>sequence_504</t>
  </si>
  <si>
    <t>sequence_505</t>
  </si>
  <si>
    <t>sequence_506</t>
  </si>
  <si>
    <t>sequence_507</t>
  </si>
  <si>
    <t>sequence_508</t>
  </si>
  <si>
    <t>sequence_509</t>
  </si>
  <si>
    <t>sequence_510</t>
  </si>
  <si>
    <t>sequence_511</t>
  </si>
  <si>
    <t>sequence_512</t>
  </si>
  <si>
    <t>sequence_513</t>
  </si>
  <si>
    <t>sequence_514</t>
  </si>
  <si>
    <t>sequence_515</t>
  </si>
  <si>
    <t>sequence_516</t>
  </si>
  <si>
    <t>sequence_517</t>
  </si>
  <si>
    <t>sequence_518</t>
  </si>
  <si>
    <t>sequence_519</t>
  </si>
  <si>
    <t>sequence_520</t>
  </si>
  <si>
    <t>sequence_521</t>
  </si>
  <si>
    <t>sequence_522</t>
  </si>
  <si>
    <t>sequence_523</t>
  </si>
  <si>
    <t>sequence_524</t>
  </si>
  <si>
    <t>sequence_525</t>
  </si>
  <si>
    <t>sequence_526</t>
  </si>
  <si>
    <t>sequence_527</t>
  </si>
  <si>
    <t>sequence_528</t>
  </si>
  <si>
    <t>sequence_529</t>
  </si>
  <si>
    <t>sequence_530</t>
  </si>
  <si>
    <t>sequence_531</t>
  </si>
  <si>
    <t>sequence_532</t>
  </si>
  <si>
    <t>sequence_533</t>
  </si>
  <si>
    <t>sequence_534</t>
  </si>
  <si>
    <t>sequence_535</t>
  </si>
  <si>
    <t>sequence_536</t>
  </si>
  <si>
    <t>sequence_537</t>
  </si>
  <si>
    <t>sequence_538</t>
  </si>
  <si>
    <t>sequence_539</t>
  </si>
  <si>
    <t>sequence_540</t>
  </si>
  <si>
    <t>sequence_541</t>
  </si>
  <si>
    <t>sequence_542</t>
  </si>
  <si>
    <t>sequence_543</t>
  </si>
  <si>
    <t>sequence_544</t>
  </si>
  <si>
    <t>sequence_545</t>
  </si>
  <si>
    <t>sequence_546</t>
  </si>
  <si>
    <t>sequence_547</t>
  </si>
  <si>
    <t>sequence_548</t>
  </si>
  <si>
    <t>sequence_549</t>
  </si>
  <si>
    <t>sequence_550</t>
  </si>
  <si>
    <t>sequence_551</t>
  </si>
  <si>
    <t>sequence_552</t>
  </si>
  <si>
    <t>sequence_553</t>
  </si>
  <si>
    <t>Input</t>
  </si>
  <si>
    <t>S1</t>
  </si>
  <si>
    <t>S2</t>
  </si>
  <si>
    <t>S3</t>
  </si>
  <si>
    <t>WT</t>
  </si>
  <si>
    <t>Enc_1</t>
  </si>
  <si>
    <t>Enc_2</t>
  </si>
  <si>
    <t>Enc_3</t>
  </si>
  <si>
    <t>Average</t>
  </si>
  <si>
    <t>AAAGAAACCTTTAAATCTATTACAAGTAAAGGTAAGATTCCACATATTATTCTTCATTCTCCT</t>
  </si>
  <si>
    <t>AAAAAAAAAATGAAAGAAATTGCAAAATCTGGTAAGATTCCACATATTATTCTTCATTCTCCT</t>
  </si>
  <si>
    <t>AAAAAAAAAATGAAAGAAATTGCAAATTCTGGTAAGATTCCACATATTATTCTTCATTCTCCT</t>
  </si>
  <si>
    <t>AAAAAAAAAATGAAAGAAATTGCAGCATCTGGTAAGATTCCACATATTATTCTTCATTCTCCT</t>
  </si>
  <si>
    <t>AAAAAAAAACTGAAAGAAATTGCAGCATCTGGTAAGATTCCACATATTATTCTTCATTCTCCT</t>
  </si>
  <si>
    <t>AAAAAAAAACTGAAAGAAATTGCATCTTCTGGTAAGATTCCACATATTATTCTTCATTCTCCT</t>
  </si>
  <si>
    <t>AAAAAAAAATTTAAAGAAATTGCAGCATCTGGTAAGATTCCACATATTATTCTTCATTCTCCT</t>
  </si>
  <si>
    <t>AAAAAAACTATGAAAGAAATTGCAGAATCTGGTAAGATTCCACATATTATTCTTCATTCTCCT</t>
  </si>
  <si>
    <t>AAAAAAACTATGAAAGAAATTGCAGCATCTGGTAAGATTCCACATATTATTCTTCATTCTCCT</t>
  </si>
  <si>
    <t>AAAAAAACTATGAAAGAAATTGCATCTTCTGGTAAGATTCCACATATTATTCTTCATTCTCCT</t>
  </si>
  <si>
    <t>AAAAAAACTATGCAAGAAATTGCAGCATCTGGTAAGATTCCACATATTATTCTTCATTCTCCT</t>
  </si>
  <si>
    <t>AAAAAAACTATGCGTCAAATTGCACAATCTGGTAAGATTCCACATATTATTCTTCATTCTCCT</t>
  </si>
  <si>
    <t>AAAAAAACTATGCTGGAAATTGCAGCATCTGGTAAGATTCCACATATTATTCTTCATTCTCCT</t>
  </si>
  <si>
    <t>AAAAAAACTCTGAAAGAAATTGCAAATTCTGGTAAGATTCCACATATTATTCTTCATTCTCCT</t>
  </si>
  <si>
    <t>AAAAAAACTTTTAAAGAAATTGCAGCATCTGGTAAGATTCCACATATTATTCTTCATTCTCCT</t>
  </si>
  <si>
    <t>AAAAAACGTATGAAAGAAATTGCAAAATCTGGTAAGATTCCACATATTATTCTTCATTCTCCT</t>
  </si>
  <si>
    <t>AAAAAACGTATGAAAGAAATTGCAGCATCTGGTAAGATTCCACATATTATTCTTCATTCTCCT</t>
  </si>
  <si>
    <t>AAAAAACGTATGCGTGAAATTGCAGCATCTGGTAAGATTCCACATATTATTCTTCATTCTCCT</t>
  </si>
  <si>
    <t>AAAAAACGTTTTAAAGAAATTGCAGCAGCAGGTAAGATTCCACATATTATTCTTCATTCTCCT</t>
  </si>
  <si>
    <t>AAAAAACGTTTTAAAGAAATTGCAGCATCTGGTAAGATTCCACATATTATTCTTCATTCTCCT</t>
  </si>
  <si>
    <t>AAAAAACGTTTTCGTGAAATTGCACAATCTGGTAAGATTCCACATATTATTCTTCATTCTCCT</t>
  </si>
  <si>
    <t>AAAAAACTGATGAAAAAAATTGCAGAATCTGGTAAGATTCCACATATTATTCTTCATTCTCCT</t>
  </si>
  <si>
    <t>AAAAAACTGATGAAAGAAATTGCAAAATCTGGTAAGATTCCACATATTATTCTTCATTCTCCT</t>
  </si>
  <si>
    <t>AAAAAACTGATGAAAGAAATTGCAAATTCTGGTAAGATTCCACATATTATTCTTCATTCTCCT</t>
  </si>
  <si>
    <t>AAAAAACTGATGAAAGAAATTGCAGAATCTGGTAAGATTCCACATATTATTCTTCATTCTCCT</t>
  </si>
  <si>
    <t>AAAAAACTGATGAAAGAAATTGCAGATTCTGGTAAGATTCCACATATTATTCTTCATTCTCCT</t>
  </si>
  <si>
    <t>AAAAAACTGATGAAAGAAATTGCAGCATCTGGTAAGATTCCACATATTATTCTTCATTCTCCT</t>
  </si>
  <si>
    <t>AAAAAACTGATGAAAGAAATTGCATCTTCTGGTAAGATTCCACATATTATTCTTCATTCTCCT</t>
  </si>
  <si>
    <t>AAAAAACTGATGCGTGAAATTGTTGCATCTGGTAAGATTCCACATATTATTCTTCATTCTCCT</t>
  </si>
  <si>
    <t>AAAAAACTGCTGAAAGAAATTGCAGAATCTGGTAAGATTCCACATATTATTCTTCATTCTCCT</t>
  </si>
  <si>
    <t>AAAAAACTGCTGAAAGAAATTGCAGCATCTGGTAAGATTCCACATATTATTCTTCATTCTCCT</t>
  </si>
  <si>
    <t>AAAAAACTGTTTAAAGAAATTGCAAAATCTGGTAAGATTCCACATATTATTCTTCATTCTCCT</t>
  </si>
  <si>
    <t>AAAAAACTGTTTAAAGAAATTGCAAATTCTGGTAAGATTCCACATATTATTCTTCATTCTCCT</t>
  </si>
  <si>
    <t>AAAAAACTGTTTAAAGAAATTGCAGCAGAAGGTAAGATTCCACATATTATTCTTCATTCTCCT</t>
  </si>
  <si>
    <t>AAAAAACTGTTTAAAGAAATTGCAGCAGCAGGTAAGATTCCACATATTATTCTTCATTCTCCT</t>
  </si>
  <si>
    <t>AAAAAACTGTTTAAAGAAATTGCAGCATCTGGTAAGATTCCACATATTATTCTTCATTCTCCT</t>
  </si>
  <si>
    <t>AAAAAACTGTTTAAAGAAATTGTTGAATCTGGTAAGATTCCACATATTATTCTTCATTCTCCT</t>
  </si>
  <si>
    <t>AAAAAACTGTTTAAAGAAATTGTTGCAAAAGGTAAGATTCCACATATTATTCTTCATTCTCCT</t>
  </si>
  <si>
    <t>AAAAAACTGTTTAAAGAAATTGTTGCACGTGGTAAGATTCCACATATTATTCTTCATTCTCCT</t>
  </si>
  <si>
    <t>AAAAAACTGTTTAAAGAAATTGTTGCATCTGGTAAGATTCCACATATTATTCTTCATTCTCCT</t>
  </si>
  <si>
    <t>AAAAAACTGTTTAAAGATATTGCAGCATCTGGTAAGATTCCACATATTATTCTTCATTCTCCT</t>
  </si>
  <si>
    <t>AAAAAACTGTTTAAAGATATTGTTAAATCTGGTAAGATTCCACATATTATTCTTCATTCTCCT</t>
  </si>
  <si>
    <t>AAAAAACTGTTTAAAGATATTGTTGCAAAAGGTAAGATTCCACATATTATTCTTCATTCTCCT</t>
  </si>
  <si>
    <t>AAAAAACTGTTTAAAGCAATTGCAAAATCTGGTAAGATTCCACATATTATTCTTCATTCTCCT</t>
  </si>
  <si>
    <t>AAAAAACTGTTTCAAGATATTGTTGCAAAAGGTAAGATTCCACATATTATTCTTCATTCTCCT</t>
  </si>
  <si>
    <t>AAAAAACTGTTTCGTGATATTGTTAAAAAAGGTAAGATTCCACATATTATTCTTCATTCTCCT</t>
  </si>
  <si>
    <t>AAAAAACTGTTTCGTGATATTGTTAAACGTGGTAAGATTCCACATATTATTCTTCATTCTCCT</t>
  </si>
  <si>
    <t>AAAAAACTGTTTGAAGAAATTGCAGCATCTGGTAAGATTCCACATATTATTCTTCATTCTCCT</t>
  </si>
  <si>
    <t>AAAAAAGAAATGAAAAAAATTGCAGAATCTGGTAAGATTCCACATATTATTCTTCATTCTCCT</t>
  </si>
  <si>
    <t>AAAAAAGAAATGAAAGAAATTGCAGCATCTGGTAAGATTCCACATATTATTCTTCATTCTCCT</t>
  </si>
  <si>
    <t>AAAAAAGAATTTAAATCTATTGTTGCATCTGGTAAGATTCCACATATTATTCTTCATTCTCCT</t>
  </si>
  <si>
    <t>AAAAAAGTTATGAAAGAAATTGCAAAATCTGGTAAGATTCCACATATTATTCTTCATTCTCCT</t>
  </si>
  <si>
    <t>AAAAAAGTTATGAAAGAAATTGCAGCATCTGGTAAGATTCCACATATTATTCTTCATTCTCCT</t>
  </si>
  <si>
    <t>AAAAAATATTTTAAAGATATTGTTGCAAAAGGTAAGATTCCACATATTATTCTTCATTCTCCT</t>
  </si>
  <si>
    <t>AAAAAATTTTTTAAAAATATTGTTAAATCTGGTAAGATTCCACATATTATTCTTCATTCTCCT</t>
  </si>
  <si>
    <t>AAAAAATTTTTTAAAGAAATTGTTAAAAAAGGTAAGATTCCACATATTATTCTTCATTCTCCT</t>
  </si>
  <si>
    <t>AAAAAATTTTTTAAAGAAATTGTTAAATCTGGTAAGATTCCACATATTATTCTTCATTCTCCT</t>
  </si>
  <si>
    <t>AAAAAATTTTTTAAAGAAATTGTTGCAAAAGGTAAGATTCCACATATTATTCTTCATTCTCCT</t>
  </si>
  <si>
    <t>AAAAAATTTTTTAAAGATATTGTTAAAAAAGGTAAGATTCCACATATTATTCTTCATTCTCCT</t>
  </si>
  <si>
    <t>AAAAAATTTTTTAAAGATATTGTTAAACGTGGTAAGATTCCACATATTATTCTTCATTCTCCT</t>
  </si>
  <si>
    <t>AAAAAATTTTTTAAAGATATTGTTGAAAAAGGTAAGATTCCACATATTATTCTTCATTCTCCT</t>
  </si>
  <si>
    <t>AAAAAATTTTTTAAAGATATTGTTGCAAAAGGTAAGATTCCACATATTATTCTTCATTCTCCT</t>
  </si>
  <si>
    <t>AAAAAATTTTTTAAAGATATTGTTGCACGTGGTAAGATTCCACATATTATTCTTCATTCTCCT</t>
  </si>
  <si>
    <t>AAAAAATTTTTTAAATCTATTGTTGAAAAAGGTAAGATTCCACATATTATTCTTCATTCTCCT</t>
  </si>
  <si>
    <t>AAAAAATTTTTTCAAGATATTGTTAAATCTGGTAAGATTCCACATATTATTCTTCATTCTCCT</t>
  </si>
  <si>
    <t>AAAAAATTTTTTCAAGATATTGTTGCAAAAGGTAAGATTCCACATATTATTCTTCATTCTCCT</t>
  </si>
  <si>
    <t>AAAAAATTTTTTCAAGATATTGTTGCATCTGGTAAGATTCCACATATTATTCTTCATTCTCCT</t>
  </si>
  <si>
    <t>AAAAAATTTTTTGAAGAAATTGTTGCAAAAGGTAAGATTCCACATATTATTCTTCATTCTCCT</t>
  </si>
  <si>
    <t>AAAAAATTTTTTGAAGATATTGTTGCAAAAGGTAAGATTCCACATATTATTCTTCATTCTCCT</t>
  </si>
  <si>
    <t>AAAAATCGTATGAAAGCAATTGCAGCATCTGGTAAGATTCCACATATTATTCTTCATTCTCCT</t>
  </si>
  <si>
    <t>AAAACTCTGTTTAAAGAAATTGTTAAAAAAGGTAAGATTCCACATATTATTCTTCATTCTCCT</t>
  </si>
  <si>
    <t>AAACAAAAAATGAAAGAAATTGCAGCATCTGGTAAGATTCCACATATTATTCTTCATTCTCCT</t>
  </si>
  <si>
    <t>AAACAAAAATTTAAAGAAATTGCAGCATCTGGTAAGATTCCACATATTATTCTTCATTCTCCT</t>
  </si>
  <si>
    <t>AAACAAACTATGAAAGAAATTGCAGCATCTGGTAAGATTCCACATATTATTCTTCATTCTCCT</t>
  </si>
  <si>
    <t>AAACAAACTATGCGTGAAATTGCAGCATCTGGTAAGATTCCACATATTATTCTTCATTCTCCT</t>
  </si>
  <si>
    <t>AAACAACGTATGAAAGAAATTGCAGCATCTGGTAAGATTCCACATATTATTCTTCATTCTCCT</t>
  </si>
  <si>
    <t>AAACAACGTATGCTGGAAATTGCAAATTCTGGTAAGATTCCACATATTATTCTTCATTCTCCT</t>
  </si>
  <si>
    <t>AAACAACGTCTGAAAGAAATTGCAGCATCTGGTAAGATTCCACATATTATTCTTCATTCTCCT</t>
  </si>
  <si>
    <t>AAACAACGTTTTAAAGAAATTGCAAAATCTGGTAAGATTCCACATATTATTCTTCATTCTCCT</t>
  </si>
  <si>
    <t>AAACAACGTTTTAAAGAAATTGCAGCATCTGGTAAGATTCCACATATTATTCTTCATTCTCCT</t>
  </si>
  <si>
    <t>AAACAACGTTTTCGTGAAATTGCAGCATCTGGTAAGATTCCACATATTATTCTTCATTCTCCT</t>
  </si>
  <si>
    <t>AAACAACTGATGAAAAAAATTGTTGAATCTGGTAAGATTCCACATATTATTCTTCATTCTCCT</t>
  </si>
  <si>
    <t>AAACAACTGATGAAAGAAATTGCAAATTCTGGTAAGATTCCACATATTATTCTTCATTCTCCT</t>
  </si>
  <si>
    <t>AAACAACTGATGAAAGAAATTGCAGCATCTGGTAAGATTCCACATATTATTCTTCATTCTCCT</t>
  </si>
  <si>
    <t>AAACAACTGATGAAAGAAATTGTTGCATCTGGTAAGATTCCACATATTATTCTTCATTCTCCT</t>
  </si>
  <si>
    <t>AAACAACTGCTGAAACAAATTGCAGCATCTGGTAAGATTCCACATATTATTCTTCATTCTCCT</t>
  </si>
  <si>
    <t>AAACAACTGCTGCGTGAAATTGCAGAATCTGGTAAGATTCCACATATTATTCTTCATTCTCCT</t>
  </si>
  <si>
    <t>AAACAACTGCTGCTGGAAATTGCAAAATCTGGTAAGATTCCACATATTATTCTTCATTCTCCT</t>
  </si>
  <si>
    <t>AAACAACTGTTTAAAGAAATTGCAGAATCTGGTAAGATTCCACATATTATTCTTCATTCTCCT</t>
  </si>
  <si>
    <t>AAACAACTGTTTAAAGAAATTGCAGCAGCAGGTAAGATTCCACATATTATTCTTCATTCTCCT</t>
  </si>
  <si>
    <t>AAACAACTGTTTAAAGAAATTGCAGCATCTGGTAAGATTCCACATATTATTCTTCATTCTCCT</t>
  </si>
  <si>
    <t>AAACAACTGTTTAAAGAAATTGTTAAATCTGGTAAGATTCCACATATTATTCTTCATTCTCCT</t>
  </si>
  <si>
    <t>AAACAACTGTTTAAAGAAATTGTTGCACGTGGTAAGATTCCACATATTATTCTTCATTCTCCT</t>
  </si>
  <si>
    <t>AAACAACTGTTTAAAGATATTGCAGCATCTGGTAAGATTCCACATATTATTCTTCATTCTCCT</t>
  </si>
  <si>
    <t>AAACAACTGTTTCAAGAAATTGCAGCATCTGGTAAGATTCCACATATTATTCTTCATTCTCCT</t>
  </si>
  <si>
    <t>AAACAATATTTTAAAGATATTGTTGCAAAAGGTAAGATTCCACATATTATTCTTCATTCTCCT</t>
  </si>
  <si>
    <t>AAACAATATTTTAAAGCAATTGTTGATAAAGGTAAGATTCCACATATTATTCTTCATTCTCCT</t>
  </si>
  <si>
    <t>AAACAATATTTTCTGGATATTGTTAAAAAAGGTAAGATTCCACATATTATTCTTCATTCTCCT</t>
  </si>
  <si>
    <t>AAACAATTTTTTAAAGAAATTGTTGCACGTGGTAAGATTCCACATATTATTCTTCATTCTCCT</t>
  </si>
  <si>
    <t>AAACAATTTTTTAAAGATATTGTTAAACGTGGTAAGATTCCACATATTATTCTTCATTCTCCT</t>
  </si>
  <si>
    <t>AAACAATTTTTTAAAGATATTGTTAAATCTGGTAAGATTCCACATATTATTCTTCATTCTCCT</t>
  </si>
  <si>
    <t>AAACAATTTTTTAAAGATATTGTTCAAAAAGGTAAGATTCCACATATTATTCTTCATTCTCCT</t>
  </si>
  <si>
    <t>AAACAATTTTTTAAAGATATTGTTCAATCTGGTAAGATTCCACATATTATTCTTCATTCTCCT</t>
  </si>
  <si>
    <t>AAACAATTTTTTAAAGATATTGTTGCAAAAGGTAAGATTCCACATATTATTCTTCATTCTCCT</t>
  </si>
  <si>
    <t>AAACAATTTTTTAAAGATATTGTTGCACGTGGTAAGATTCCACATATTATTCTTCATTCTCCT</t>
  </si>
  <si>
    <t>AAACAATTTTTTAAAGATATTGTTGCATCTGGTAAGATTCCACATATTATTCTTCATTCTCCT</t>
  </si>
  <si>
    <t>AAACAATTTTTTCGTGATATTGTTGCATCTGGTAAGATTCCACATATTATTCTTCATTCTCCT</t>
  </si>
  <si>
    <t>AAACGTCTGATGAAAGAAATTGCAGCATCTGGTAAGATTCCACATATTATTCTTCATTCTCCT</t>
  </si>
  <si>
    <t>AAAGAAAAAATGAAAAAAATTGCAGAATCTGGTAAGATTCCACATATTATTCTTCATTCTCCT</t>
  </si>
  <si>
    <t>AAAGAAAAAATGAAAAAAATTGCAGCATCTGGTAAGATTCCACATATTATTCTTCATTCTCCT</t>
  </si>
  <si>
    <t>AAAGAAAAAATGAAAGAAATTGCAAAATCTGGTAAGATTCCACATATTATTCTTCATTCTCCT</t>
  </si>
  <si>
    <t>AAAGAAAAAATGAAAGAAATTGCAGATTCTGGTAAGATTCCACATATTATTCTTCATTCTCCT</t>
  </si>
  <si>
    <t>AAAGAAAAAATGAAAGAAATTGCAGCATCTGGTAAGATTCCACATATTATTCTTCATTCTCCT</t>
  </si>
  <si>
    <t>AAAGAAAAAATGAAAGCAATTGCAGCATCTGGTAAGATTCCACATATTATTCTTCATTCTCCT</t>
  </si>
  <si>
    <t>AAAGAAAAAATGCTGGAAATTGCAAAATCTGGTAAGATTCCACATATTATTCTTCATTCTCCT</t>
  </si>
  <si>
    <t>AAAGAAAAACTGAAAGAAATTGCAGCATCTGGTAAGATTCCACATATTATTCTTCATTCTCCT</t>
  </si>
  <si>
    <t>AAAGAAAAATTTAAAGCAATTGCAGCATCTGGTAAGATTCCACATATTATTCTTCATTCTCCT</t>
  </si>
  <si>
    <t>AAAGAAAAATTTCGTGCAATTGTTGCAAAAGGTAAGATTCCACATATTATTCTTCATTCTCCT</t>
  </si>
  <si>
    <t>AAAGAAAATATGAAAAAAATTGTTAAATCTGGTAAGATTCCACATATTATTCTTCATTCTCCT</t>
  </si>
  <si>
    <t>AAAGAAACTATGAAAAAAATTGCAAAATCTGGTAAGATTCCACATATTATTCTTCATTCTCCT</t>
  </si>
  <si>
    <t>AAAGAAACTATGAAAAAAATTGCAGAATCTGGTAAGATTCCACATATTATTCTTCATTCTCCT</t>
  </si>
  <si>
    <t>AAAGAAACTATGAAAAAAATTGCAGCATCTGGTAAGATTCCACATATTATTCTTCATTCTCCT</t>
  </si>
  <si>
    <t>AAAGAAACTATGAAAAAAATTGTTAATTCTGGTAAGATTCCACATATTATTCTTCATTCTCCT</t>
  </si>
  <si>
    <t>AAAGAAACTATGAAAGAAATTGCAAAATCTGGTAAGATTCCACATATTATTCTTCATTCTCCT</t>
  </si>
  <si>
    <t>AAAGAAACTATGAAAGCAATTGCAAAATCTGGTAAGATTCCACATATTATTCTTCATTCTCCT</t>
  </si>
  <si>
    <t>AAAGAAACTATGAAAGCAATTGCAGATTCTGGTAAGATTCCACATATTATTCTTCATTCTCCT</t>
  </si>
  <si>
    <t>AAAGAAACTATGAAAGCAATTGCAGCATCTGGTAAGATTCCACATATTATTCTTCATTCTCCT</t>
  </si>
  <si>
    <t>AAAGAAACTATGAAATCTATTGCAAAATCTGGTAAGATTCCACATATTATTCTTCATTCTCCT</t>
  </si>
  <si>
    <t>AAAGAAACTATGAAATCTATTGCATCTTCTGGTAAGATTCCACATATTATTCTTCATTCTCCT</t>
  </si>
  <si>
    <t>AAAGAAACTATGCGTAAAATTGCAAAATCTGGTAAGATTCCACATATTATTCTTCATTCTCCT</t>
  </si>
  <si>
    <t>AAAGAAACTCTGAAAAAAATTGCAGCATCTGGTAAGATTCCACATATTATTCTTCATTCTCCT</t>
  </si>
  <si>
    <t>AAAGAAACTCTGCAAAAAATTGCAAATTCTGGTAAGATTCCACATATTATTCTTCATTCTCCT</t>
  </si>
  <si>
    <t>AAAGAAACTTTTAAAAAAATTGCAGCATCTGGTAAGATTCCACATATTATTCTTCATTCTCCT</t>
  </si>
  <si>
    <t>AAAGAAACTTTTAAAGCAATTGCAGCATCTGGTAAGATTCCACATATTATTCTTCATTCTCCT</t>
  </si>
  <si>
    <t>AAAGAAATGTTTAAAAATATTGTTGCAAAAGGTAAGATTCCACATATTATTCTTCATTCTCCT</t>
  </si>
  <si>
    <t>AAAGAAATTATGAAAAAAATTGCAGCATCTGGTAAGATTCCACATATTATTCTTCATTCTCCT</t>
  </si>
  <si>
    <t>AAAGAACAAATGAAAAAAATTGCAGCATCTGGTAAGATTCCACATATTATTCTTCATTCTCCT</t>
  </si>
  <si>
    <t>AAAGAACAAATGCGTGAAATTGCAAAATCTGGTAAGATTCCACATATTATTCTTCATTCTCCT</t>
  </si>
  <si>
    <t>AAAGAACAACTGAAAGCAATTGCAAAATCTGGTAAGATTCCACATATTATTCTTCATTCTCCT</t>
  </si>
  <si>
    <t>AAAGAACGTATGAAAAAAATTGCAGAATCTGGTAAGATTCCACATATTATTCTTCATTCTCCT</t>
  </si>
  <si>
    <t>AAAGAACGTATGAAAAAAATTGCAGCATCTGGTAAGATTCCACATATTATTCTTCATTCTCCT</t>
  </si>
  <si>
    <t>AAAGAACGTATGAAAGAAATTGCAAAATCTGGTAAGATTCCACATATTATTCTTCATTCTCCT</t>
  </si>
  <si>
    <t>AAAGAACGTATGAAAGAAATTGCAGCATCTGGTAAGATTCCACATATTATTCTTCATTCTCCT</t>
  </si>
  <si>
    <t>AAAGAACGTATGAAAGAAATTGTTGCATCTGGTAAGATTCCACATATTATTCTTCATTCTCCT</t>
  </si>
  <si>
    <t>AAAGAACGTATGAAAGCAATTGCAGCATCTGGTAAGATTCCACATATTATTCTTCATTCTCCT</t>
  </si>
  <si>
    <t>AAAGAACGTATGCGTAAAATTGCATCTTCTGGTAAGATTCCACATATTATTCTTCATTCTCCT</t>
  </si>
  <si>
    <t>AAAGAACGTATGCGTCAAATTGCAAAATCTGGTAAGATTCCACATATTATTCTTCATTCTCCT</t>
  </si>
  <si>
    <t>AAAGAACGTATGCGTGAAATTGCAGCATCTGGTAAGATTCCACATATTATTCTTCATTCTCCT</t>
  </si>
  <si>
    <t>AAAGAACGTATGCTGGAAATTGCAAAATCTGGTAAGATTCCACATATTATTCTTCATTCTCCT</t>
  </si>
  <si>
    <t>AAAGAACGTATGCTGGAAATTGTTAAATCTGGTAAGATTCCACATATTATTCTTCATTCTCCT</t>
  </si>
  <si>
    <t>AAAGAACGTCTGAAAGAAATTGCAAAATCTGGTAAGATTCCACATATTATTCTTCATTCTCCT</t>
  </si>
  <si>
    <t>AAAGAACGTCTGAAAGAAATTGCAGCATCTGGTAAGATTCCACATATTATTCTTCATTCTCCT</t>
  </si>
  <si>
    <t>AAAGAACGTCTGCGTGAAATTGCAGCATCTGGTAAGATTCCACATATTATTCTTCATTCTCCT</t>
  </si>
  <si>
    <t>AAAGAACGTTTTAAAAAAATTGCAAAATCTGGTAAGATTCCACATATTATTCTTCATTCTCCT</t>
  </si>
  <si>
    <t>AAAGAACGTTTTAAAAAAATTGCAGCAGCAGGTAAGATTCCACATATTATTCTTCATTCTCCT</t>
  </si>
  <si>
    <t>AAAGAACGTTTTAAAAAAATTGCAGCATCTGGTAAGATTCCACATATTATTCTTCATTCTCCT</t>
  </si>
  <si>
    <t>AAAGAACGTTTTAAAGAAATTGCAAAATCTGGTAAGATTCCACATATTATTCTTCATTCTCCT</t>
  </si>
  <si>
    <t>AAAGAACGTTTTAAAGAAATTGCAGCATCTGGTAAGATTCCACATATTATTCTTCATTCTCCT</t>
  </si>
  <si>
    <t>AAAGAACGTTTTAAAGAAATTGTTGCATCTGGTAAGATTCCACATATTATTCTTCATTCTCCT</t>
  </si>
  <si>
    <t>AAAGAACGTTTTAAAGCAATTGCAGCAAAAGGTAAGATTCCACATATTATTCTTCATTCTCCT</t>
  </si>
  <si>
    <t>AAAGAACGTTTTAAAGCAATTGCAGCATCTGGTAAGATTCCACATATTATTCTTCATTCTCCT</t>
  </si>
  <si>
    <t>AAAGAACGTTTTAAAGCAATTGTTGCAAAAGGTAAGATTCCACATATTATTCTTCATTCTCCT</t>
  </si>
  <si>
    <t>AAAGAACGTTTTAAATCTATTGCAGAATCTGGTAAGATTCCACATATTATTCTTCATTCTCCT</t>
  </si>
  <si>
    <t>AAAGAACTGATGAAAAAAATTGCAAAATCTGGTAAGATTCCACATATTATTCTTCATTCTCCT</t>
  </si>
  <si>
    <t>AAAGAACTGATGAAAAAAATTGCAAATTCTGGTAAGATTCCACATATTATTCTTCATTCTCCT</t>
  </si>
  <si>
    <t>AAAGAACTGATGAAAAAAATTGCAGAATCTGGTAAGATTCCACATATTATTCTTCATTCTCCT</t>
  </si>
  <si>
    <t>AAAGAACTGATGAAAAAAATTGCAGATTCTGGTAAGATTCCACATATTATTCTTCATTCTCCT</t>
  </si>
  <si>
    <t>AAAGAACTGATGAAAAAAATTGCAGCATCTGGTAAGATTCCACATATTATTCTTCATTCTCCT</t>
  </si>
  <si>
    <t>AAAGAACTGATGAAAAAAATTGCATCTTCTGGTAAGATTCCACATATTATTCTTCATTCTCCT</t>
  </si>
  <si>
    <t>AAAGAACTGATGAAAAAAATTGTTGAATCTGGTAAGATTCCACATATTATTCTTCATTCTCCT</t>
  </si>
  <si>
    <t>AAAGAACTGATGAAAAATATTGCAGCATCTGGTAAGATTCCACATATTATTCTTCATTCTCCT</t>
  </si>
  <si>
    <t>AAAGAACTGATGAAACAAATTGCAGAATCTGGTAAGATTCCACATATTATTCTTCATTCTCCT</t>
  </si>
  <si>
    <t>AAAGAACTGATGAAACAAATTGCAGCATCTGGTAAGATTCCACATATTATTCTTCATTCTCCT</t>
  </si>
  <si>
    <t>AAAGAACTGATGAAAGAAATTGCAAAATCTGGTAAGATTCCACATATTATTCTTCATTCTCCT</t>
  </si>
  <si>
    <t>AAAGAACTGATGAAAGAAATTGCAGCATCTGGTAAGATTCCACATATTATTCTTCATTCTCCT</t>
  </si>
  <si>
    <t>AAAGAACTGATGAAATCTATTGCAGCATCTGGTAAGATTCCACATATTATTCTTCATTCTCCT</t>
  </si>
  <si>
    <t>AAAGAACTGATGAAATCTATTGCATCTTCTGGTAAGATTCCACATATTATTCTTCATTCTCCT</t>
  </si>
  <si>
    <t>AAAGAACTGATGCGTAAAATTGCAGCATCTGGTAAGATTCCACATATTATTCTTCATTCTCCT</t>
  </si>
  <si>
    <t>AAAGAACTGATGCGTGAAATTGCAAAATCTGGTAAGATTCCACATATTATTCTTCATTCTCCT</t>
  </si>
  <si>
    <t>AAAGAACTGATGCGTTCTATTGCAAATTCTGGTAAGATTCCACATATTATTCTTCATTCTCCT</t>
  </si>
  <si>
    <t>AAAGAACTGCTGAAAAAAATTGCAAAATCTGGTAAGATTCCACATATTATTCTTCATTCTCCT</t>
  </si>
  <si>
    <t>AAAGAACTGCTGCGTAAAATTGCAGATTCTGGTAAGATTCCACATATTATTCTTCATTCTCCT</t>
  </si>
  <si>
    <t>AAAGAACTGTTTAAAAAAATTGCAGAATCTGGTAAGATTCCACATATTATTCTTCATTCTCCT</t>
  </si>
  <si>
    <t>AAAGAACTGTTTAAAAAAATTGCAGCAGCAGGTAAGATTCCACATATTATTCTTCATTCTCCT</t>
  </si>
  <si>
    <t>AAAGAACTGTTTAAAAAAATTGCAGCATCTGGTAAGATTCCACATATTATTCTTCATTCTCCT</t>
  </si>
  <si>
    <t>AAAGAACTGTTTAAAAAAATTGCATCTTCTGGTAAGATTCCACATATTATTCTTCATTCTCCT</t>
  </si>
  <si>
    <t>AAAGAACTGTTTAAAAAAATTGTTGCATCTGGTAAGATTCCACATATTATTCTTCATTCTCCT</t>
  </si>
  <si>
    <t>AAAGAACTGTTTAAAAATATTGTTAAAAAAGGTAAGATTCCACATATTATTCTTCATTCTCCT</t>
  </si>
  <si>
    <t>AAAGAACTGTTTAAAAATATTGTTAAACGTGGTAAGATTCCACATATTATTCTTCATTCTCCT</t>
  </si>
  <si>
    <t>AAAGAACTGTTTAAAAATATTGTTAAATCTGGTAAGATTCCACATATTATTCTTCATTCTCCT</t>
  </si>
  <si>
    <t>AAAGAACTGTTTAAAAATATTGTTGCAAAAGGTAAGATTCCACATATTATTCTTCATTCTCCT</t>
  </si>
  <si>
    <t>AAAGAACTGTTTAAAAATATTGTTGCATCTGGTAAGATTCCACATATTATTCTTCATTCTCCT</t>
  </si>
  <si>
    <t>AAAGAACTGTTTAAACAAATTGCAGCAGCAGGTAAGATTCCACATATTATTCTTCATTCTCCT</t>
  </si>
  <si>
    <t>AAAGAACTGTTTAAACAAATTGCAGCATCTGGTAAGATTCCACATATTATTCTTCATTCTCCT</t>
  </si>
  <si>
    <t>AAAGAACTGTTTAAACAAATTGTTGCATCTGGTAAGATTCCACATATTATTCTTCATTCTCCT</t>
  </si>
  <si>
    <t>AAAGAACTGTTTAAACAAATTTGTGCATCTGGTAAGATTCCACATATTATTCTTCATTCTCCT</t>
  </si>
  <si>
    <t>AAAGAACTGTTTAAACGTATTGCAGCATCTGGTAAGATTCCACATATTATTCTTCATTCTCCT</t>
  </si>
  <si>
    <t>AAAGAACTGTTTAAACGTATTGTTGCATCTGGTAAGATTCCACATATTATTCTTCATTCTCCT</t>
  </si>
  <si>
    <t>AAAGAACTGTTTAAAGAAATTGCAAAATCTGGTAAGATTCCACATATTATTCTTCATTCTCCT</t>
  </si>
  <si>
    <t>AAAGAACTGTTTAAAGAAATTGCAGCAAAAGGTAAGATTCCACATATTATTCTTCATTCTCCT</t>
  </si>
  <si>
    <t>AAAGAACTGTTTAAAGAAATTGCAGCATCTGGTAAGATTCCACATATTATTCTTCATTCTCCT</t>
  </si>
  <si>
    <t>AAAGAACTGTTTAAAGAAATTGTTAAACGTGGTAAGATTCCACATATTATTCTTCATTCTCCT</t>
  </si>
  <si>
    <t>AAAGAACTGTTTAAAGAAATTGTTGCAAAAGGTAAGATTCCACATATTATTCTTCATTCTCCT</t>
  </si>
  <si>
    <t>AAAGAACTGTTTAAAGAAATTGTTGCACGTGGTAAGATTCCACATATTATTCTTCATTCTCCT</t>
  </si>
  <si>
    <t>AAAGAACTGTTTAAAGAAATTGTTGCATCTGGTAAGATTCCACATATTATTCTTCATTCTCCT</t>
  </si>
  <si>
    <t>AAAGAACTGTTTAAAGATATTGTTAAACGTGGTAAGATTCCACATATTATTCTTCATTCTCCT</t>
  </si>
  <si>
    <t>AAAGAACTGTTTAAAGCAATTGCAGCATCTGGTAAGATTCCACATATTATTCTTCATTCTCCT</t>
  </si>
  <si>
    <t>AAAGAACTGTTTAAAGCAATTGTTAAAAAAGGTAAGATTCCACATATTATTCTTCATTCTCCT</t>
  </si>
  <si>
    <t>AAAGAACTGTTTAAAGCAATTGTTAAACGTGGTAAGATTCCACATATTATTCTTCATTCTCCT</t>
  </si>
  <si>
    <t>AAAGAACTGTTTAAAGCAATTGTTAAATCTGGTAAGATTCCACATATTATTCTTCATTCTCCT</t>
  </si>
  <si>
    <t>AAAGAACTGTTTAAAGCAATTGTTGCAAAAGGTAAGATTCCACATATTATTCTTCATTCTCCT</t>
  </si>
  <si>
    <t>AAAGAACTGTTTAAAGCAATTGTTGCACGTGGTAAGATTCCACATATTATTCTTCATTCTCCT</t>
  </si>
  <si>
    <t>AAAGAACTGTTTAAAGCAATTGTTGCATCTGGTAAGATTCCACATATTATTCTTCATTCTCCT</t>
  </si>
  <si>
    <t>AAAGAACTGTTTAAATCTATTGCAGCATCTGGTAAGATTCCACATATTATTCTTCATTCTCCT</t>
  </si>
  <si>
    <t>AAAGAACTGTTTAAATCTATTGTTAAAAAAGGTAAGATTCCACATATTATTCTTCATTCTCCT</t>
  </si>
  <si>
    <t>AAAGAACTGTTTAAATCTATTGTTAAACGTGGTAAGATTCCACATATTATTCTTCATTCTCCT</t>
  </si>
  <si>
    <t>AAAGAACTGTTTAAATCTATTGTTAAATCTGGTAAGATTCCACATATTATTCTTCATTCTCCT</t>
  </si>
  <si>
    <t>AAAGAACTGTTTAAATCTATTGTTGAAAAAGGTAAGATTCCACATATTATTCTTCATTCTCCT</t>
  </si>
  <si>
    <t>AAAGAACTGTTTAAATCTATTGTTGAATCTGGTAAGATTCCACATATTATTCTTCATTCTCCT</t>
  </si>
  <si>
    <t>AAAGAACTGTTTAAATCTATTGTTGCAAAAGGTAAGATTCCACATATTATTCTTCATTCTCCT</t>
  </si>
  <si>
    <t>AAAGAACTGTTTAAATCTATTGTTGCACGTGGTAAGATTCCACATATTATTCTTCATTCTCCT</t>
  </si>
  <si>
    <t>AAAGAACTGTTTAAATCTATTGTTGCATCTGGTAAGATTCCACATATTATTCTTCATTCTCCT</t>
  </si>
  <si>
    <t>AAAGAACTGTTTAAATCTATTGTTTCTAAAGGTAAGATTCCACATATTATTCTTCATTCTCCT</t>
  </si>
  <si>
    <t>AAAGAACTGTTTCAAGCAATTGTTGCAAAAGGTAAGATTCCACATATTATTCTTCATTCTCCT</t>
  </si>
  <si>
    <t>AAAGAACTGTTTCGTAAAATTGCAGCATCTGGTAAGATTCCACATATTATTCTTCATTCTCCT</t>
  </si>
  <si>
    <t>AAAGAACTGTTTCGTAATATTGTTAAATCTGGTAAGATTCCACATATTATTCTTCATTCTCCT</t>
  </si>
  <si>
    <t>AAAGAACTGTTTCGTCAACTGGCAGCATCTGGTAAGATTCCACATATTATTCTTCATTCTCCT</t>
  </si>
  <si>
    <t>AAAGAACTGTTTCGTGAAATTGCAAAATCTGGTAAGATTCCACATATTATTCTTCATTCTCCT</t>
  </si>
  <si>
    <t>AAAGAACTGTTTCGTGAAATTGCAGCATCTGGTAAGATTCCACATATTATTCTTCATTCTCCT</t>
  </si>
  <si>
    <t>AAAGAACTGTTTCGTGAAATTGTTGCATCTGGTAAGATTCCACATATTATTCTTCATTCTCCT</t>
  </si>
  <si>
    <t>AAAGAACTGTTTCGTGCAATTGTTAAACGTGGTAAGATTCCACATATTATTCTTCATTCTCCT</t>
  </si>
  <si>
    <t>AAAGAACTGTTTCGTGCAATTGTTGCAAAAGGTAAGATTCCACATATTATTCTTCATTCTCCT</t>
  </si>
  <si>
    <t>AAAGAACTGTTTCGTGCAATTGTTGCACGTGGTAAGATTCCACATATTATTCTTCATTCTCCT</t>
  </si>
  <si>
    <t>AAAGAACTGTTTCGTTCTATTGTTAAAAAAGGTAAGATTCCACATATTATTCTTCATTCTCCT</t>
  </si>
  <si>
    <t>AAAGAACTGTTTCTGTCTATTGTTGCACGTGGTAAGATTCCACATATTATTCTTCATTCTCCT</t>
  </si>
  <si>
    <t>AAAGAAGAAATGAAAAAAATTGCAAAATCTGGTAAGATTCCACATATTATTCTTCATTCTCCT</t>
  </si>
  <si>
    <t>AAAGAAGAAATGAAAAAAATTGCAAATTCTGGTAAGATTCCACATATTATTCTTCATTCTCCT</t>
  </si>
  <si>
    <t>AAAGAAGAAATGAAAAAAATTGCAGAATCTGGTAAGATTCCACATATTATTCTTCATTCTCCT</t>
  </si>
  <si>
    <t>AAAGAAGAAATGAAAAAAATTGCAGATTCTGGTAAGATTCCACATATTATTCTTCATTCTCCT</t>
  </si>
  <si>
    <t>AAAGAAGAAATGAAAAAAATTGCAGCATCTGGTAAGATTCCACATATTATTCTTCATTCTCCT</t>
  </si>
  <si>
    <t>AAAGAAGAAATGAAAAAAATTGTTGCATCTGGTAAGATTCCACATATTATTCTTCATTCTCCT</t>
  </si>
  <si>
    <t>AAAGAAGAAATGAAAAAAATTGTTTCTTCTGGTAAGATTCCACATATTATTCTTCATTCTCCT</t>
  </si>
  <si>
    <t>AAAGAAGAAATGAAACGTATTGCAGCATCTGGTAAGATTCCACATATTATTCTTCATTCTCCT</t>
  </si>
  <si>
    <t>AAAGAAGAAATGCGTAAAATTGCACAATCTGGTAAGATTCCACATATTATTCTTCATTCTCCT</t>
  </si>
  <si>
    <t>AAAGAAGAAATGCTGAAAATTGCAAAATCTGGTAAGATTCCACATATTATTCTTCATTCTCCT</t>
  </si>
  <si>
    <t>AAAGAAGAACTGAAAAAAATTGCAGCATCTGGTAAGATTCCACATATTATTCTTCATTCTCCT</t>
  </si>
  <si>
    <t>AAAGAAGAATTTAAAAAAATTGCAGCATCTGGTAAGATTCCACATATTATTCTTCATTCTCCT</t>
  </si>
  <si>
    <t>AAAGAAGAATTTAAAAAAATTGTTGCATCTGGTAAGATTCCACATATTATTCTTCATTCTCCT</t>
  </si>
  <si>
    <t>AAAGAAGAATTTCAAGCAATTGTTGCAAAAGGTAAGATTCCACATATTATTCTTCATTCTCCT</t>
  </si>
  <si>
    <t>AAAGAAGAATTTCGTAAAATTGCAGAATCTGGTAAGATTCCACATATTATTCTTCATTCTCCT</t>
  </si>
  <si>
    <t>AAAGAAGTTATGAAAAAAATTGCAAATTCTGGTAAGATTCCACATATTATTCTTCATTCTCCT</t>
  </si>
  <si>
    <t>AAAGAAGTTATGAAAAAAATTGCAGCATCTGGTAAGATTCCACATATTATTCTTCATTCTCCT</t>
  </si>
  <si>
    <t>AAAGAAGTTCTGCGTAAAATTGCAGCATCTGGTAAGATTCCACATATTATTCTTCATTCTCCT</t>
  </si>
  <si>
    <t>AAAGAATATTTTAAAAATATTGTTAAAAAAGGTAAGATTCCACATATTATTCTTCATTCTCCT</t>
  </si>
  <si>
    <t>AAAGAATATTTTAAAAATATTGTTAAACGTGGTAAGATTCCACATATTATTCTTCATTCTCCT</t>
  </si>
  <si>
    <t>AAAGAATATTTTAAAAATATTGTTAAATCTGGTAAGATTCCACATATTATTCTTCATTCTCCT</t>
  </si>
  <si>
    <t>AAAGAATATTTTAAAAATATTGTTGCAAAAGGTAAGATTCCACATATTATTCTTCATTCTCCT</t>
  </si>
  <si>
    <t>AAAGAATATTTTAAAAATATTGTTGCACGTGGTAAGATTCCACATATTATTCTTCATTCTCCT</t>
  </si>
  <si>
    <t>AAAGAATATTTTAAAAATATTGTTGCATCTGGTAAGATTCCACATATTATTCTTCATTCTCCT</t>
  </si>
  <si>
    <t>AAAGAATATTTTAAACAAATTGTTGCAAAAGGTAAGATTCCACATATTATTCTTCATTCTCCT</t>
  </si>
  <si>
    <t>AAAGAATATTTTAAAGAAATTGTTAAACGTGGTAAGATTCCACATATTATTCTTCATTCTCCT</t>
  </si>
  <si>
    <t>AAAGAATATTTTAAAGAAATTGTTAAATCTGGTAAGATTCCACATATTATTCTTCATTCTCCT</t>
  </si>
  <si>
    <t>AAAGAATATTTTAAAGAAATTGTTGCACGTGGTAAGATTCCACATATTATTCTTCATTCTCCT</t>
  </si>
  <si>
    <t>AAAGAATATTTTAAAGATATTGTTGCACGTGGTAAGATTCCACATATTATTCTTCATTCTCCT</t>
  </si>
  <si>
    <t>AAAGAATATTTTAAAGCAATTGTTAAAAAAGGTAAGATTCCACATATTATTCTTCATTCTCCT</t>
  </si>
  <si>
    <t>AAAGAATATTTTAAAGCAATTGTTAAACGTGGTAAGATTCCACATATTATTCTTCATTCTCCT</t>
  </si>
  <si>
    <t>AAAGAATATTTTAAAGCAATTGTTAAATCTGGTAAGATTCCACATATTATTCTTCATTCTCCT</t>
  </si>
  <si>
    <t>AAAGAATATTTTAAAGCAATTGTTCGTAAAGGTAAGATTCCACATATTATTCTTCATTCTCCT</t>
  </si>
  <si>
    <t>AAAGAATATTTTAAAGCAATTGTTGAACGTGGTAAGATTCCACATATTATTCTTCATTCTCCT</t>
  </si>
  <si>
    <t>AAAGAATATTTTAAAGCAATTGTTGCAAAAGGTAAGATTCCACATATTATTCTTCATTCTCCT</t>
  </si>
  <si>
    <t>AAAGAATATTTTAAAGCAATTGTTGCATCTGGTAAGATTCCACATATTATTCTTCATTCTCCT</t>
  </si>
  <si>
    <t>AAAGAATATTTTAAATCTATTGCAGCATCTGGTAAGATTCCACATATTATTCTTCATTCTCCT</t>
  </si>
  <si>
    <t>AAAGAATATTTTAAATCTATTGTTAAAAAAGGTAAGATTCCACATATTATTCTTCATTCTCCT</t>
  </si>
  <si>
    <t>AAAGAATATTTTAAATCTATTGTTAAACGTGGTAAGATTCCACATATTATTCTTCATTCTCCT</t>
  </si>
  <si>
    <t>AAAGAATATTTTAAATCTATTGTTAAATCTGGTAAGATTCCACATATTATTCTTCATTCTCCT</t>
  </si>
  <si>
    <t>AAAGAATATTTTAAATCTATTGTTCAACGTGGTAAGATTCCACATATTATTCTTCATTCTCCT</t>
  </si>
  <si>
    <t>AAAGAATATTTTAAATCTATTGTTCGTAAAGGTAAGATTCCACATATTATTCTTCATTCTCCT</t>
  </si>
  <si>
    <t>AAAGAATATTTTAAATCTATTGTTGAAAAAGGTAAGATTCCACATATTATTCTTCATTCTCCT</t>
  </si>
  <si>
    <t>AAAGAATATTTTAAATCTATTGTTGCAAAAGGTAAGATTCCACATATTATTCTTCATTCTCCT</t>
  </si>
  <si>
    <t>AAAGAATATTTTAAATCTATTGTTGCACGTGGTAAGATTCCACATATTATTCTTCATTCTCCT</t>
  </si>
  <si>
    <t>AAAGAATATTTTAAATCTATTGTTGCATCTGGTAAGATTCCACATATTATTCTTCATTCTCCT</t>
  </si>
  <si>
    <t>AAAGAATATTTTCAAGCAATTGTTAAACGTGGTAAGATTCCACATATTATTCTTCATTCTCCT</t>
  </si>
  <si>
    <t>AAAGAATATTTTCGTAATATTGTTAAATCTGGTAAGATTCCACATATTATTCTTCATTCTCCT</t>
  </si>
  <si>
    <t>AAAGAATATTTTCGTAATATTGTTGCACGTGGTAAGATTCCACATATTATTCTTCATTCTCCT</t>
  </si>
  <si>
    <t>AAAGAATATTTTCGTGCAATTGTTAAACGTGGTAAGATTCCACATATTATTCTTCATTCTCCT</t>
  </si>
  <si>
    <t>AAAGAATATTTTCGTGCAATTGTTGCAAAAGGTAAGATTCCACATATTATTCTTCATTCTCCT</t>
  </si>
  <si>
    <t>AAAGAATATTTTCGTTCTATTGTTGCACGTGGTAAGATTCCACATATTATTCTTCATTCTCCT</t>
  </si>
  <si>
    <t>AAAGAATTTTTTAAAAATATTGTTAAAAAAGGTAAGATTCCACATATTATTCTTCATTCTCCT</t>
  </si>
  <si>
    <t>AAAGAATTTTTTAAAAATATTGTTAAACGTGGTAAGATTCCACATATTATTCTTCATTCTCCT</t>
  </si>
  <si>
    <t>AAAGAATTTTTTAAAAATATTGTTAAAGCAGGTAAGATTCCACATATTATTCTTCATTCTCCT</t>
  </si>
  <si>
    <t>AAAGAATTTTTTAAAAATATTGTTAAATCTGGTAAGATTCCACATATTATTCTTCATTCTCCT</t>
  </si>
  <si>
    <t>AAAGAATTTTTTAAAAATATTGTTGAATCTGGTAAGATTCCACATATTATTCTTCATTCTCCT</t>
  </si>
  <si>
    <t>AAAGAATTTTTTAAAAATATTGTTGCAAAAGGTAAGATTCCACATATTATTCTTCATTCTCCT</t>
  </si>
  <si>
    <t>AAAGAATTTTTTAAAAATATTGTTGCACGTGGTAAGATTCCACATATTATTCTTCATTCTCCT</t>
  </si>
  <si>
    <t>AAAGAATTTTTTAAAAATATTGTTGCATCTGGTAAGATTCCACATATTATTCTTCATTCTCCT</t>
  </si>
  <si>
    <t>AAAGAATTTTTTAAAAATATTGTTTCTTCTGGTAAGATTCCACATATTATTCTTCATTCTCCT</t>
  </si>
  <si>
    <t>AAAGAATTTTTTAAACAAATTGTTAAAAAAGGTAAGATTCCACATATTATTCTTCATTCTCCT</t>
  </si>
  <si>
    <t>AAAGAATTTTTTAAACAAATTGTTGCACGTGGTAAGATTCCACATATTATTCTTCATTCTCCT</t>
  </si>
  <si>
    <t>AAAGAATTTTTTAAACAAATTGTTGCATCTGGTAAGATTCCACATATTATTCTTCATTCTCCT</t>
  </si>
  <si>
    <t>AAAGAATTTTTTAAAGAAATTGTTAAACGTGGTAAGATTCCACATATTATTCTTCATTCTCCT</t>
  </si>
  <si>
    <t>AAAGAATTTTTTAAAGAAATTGTTCGTCGTGGTAAGATTCCACATATTATTCTTCATTCTCCT</t>
  </si>
  <si>
    <t>AAAGAATTTTTTAAAGAAATTGTTGCAAAAGGTAAGATTCCACATATTATTCTTCATTCTCCT</t>
  </si>
  <si>
    <t>AAAGAATTTTTTAAAGAAATTGTTGCACGTGGTAAGATTCCACATATTATTCTTCATTCTCCT</t>
  </si>
  <si>
    <t>AAAGAATTTTTTAAAGAAATTGTTGCATCTGGTAAGATTCCACATATTATTCTTCATTCTCCT</t>
  </si>
  <si>
    <t>AAAGAATTTTTTAAAGATATTGTTGCACGTGGTAAGATTCCACATATTATTCTTCATTCTCCT</t>
  </si>
  <si>
    <t>AAAGAATTTTTTAAAGCAATTGTTAAAAAAGGTAAGATTCCACATATTATTCTTCATTCTCCT</t>
  </si>
  <si>
    <t>AAAGAATTTTTTAAAGCAATTGTTAAACGTGGTAAGATTCCACATATTATTCTTCATTCTCCT</t>
  </si>
  <si>
    <t>AAAGAATTTTTTAAAGCAATTGTTAAATCTGGTAAGATTCCACATATTATTCTTCATTCTCCT</t>
  </si>
  <si>
    <t>AAAGAATTTTTTAAAGCAATTGTTCAAAAAGGTAAGATTCCACATATTATTCTTCATTCTCCT</t>
  </si>
  <si>
    <t>AAAGAATTTTTTAAAGCAATTGTTCAACGTGGTAAGATTCCACATATTATTCTTCATTCTCCT</t>
  </si>
  <si>
    <t>AAAGAATTTTTTAAAGCAATTGTTGAACGTGGTAAGATTCCACATATTATTCTTCATTCTCCT</t>
  </si>
  <si>
    <t>AAAGAATTTTTTAAAGCAATTGTTGCAAAAGGTAAGATTCCACATATTATTCTTCATTCTCCT</t>
  </si>
  <si>
    <t>AAAGAATTTTTTAAAGCAATTGTTGCACGTGGTAAGATTCCACATATTATTCTTCATTCTCCT</t>
  </si>
  <si>
    <t>AAAGAATTTTTTAAAGCAATTGTTGCATCTGGTAAGATTCCACATATTATTCTTCATTCTCCT</t>
  </si>
  <si>
    <t>AAAGAATTTTTTAAATCTATTGTTAAAAAAGGTAAGATTCCACATATTATTCTTCATTCTCCT</t>
  </si>
  <si>
    <t>AAAGAATTTTTTAAATCTATTGTTAAACGTGGTAAGATTCCACATATTATTCTTCATTCTCCT</t>
  </si>
  <si>
    <t>AAAGAATTTTTTAAATCTATTGTTAAAGCAGGTAAGATTCCACATATTATTCTTCATTCTCCT</t>
  </si>
  <si>
    <t>AAAGAATTTTTTAAATCTATTGTTAAATCTGGTAAGATTCCACATATTATTCTTCATTCTCCT</t>
  </si>
  <si>
    <t>AAAGAATTTTTTAAATCTATTGTTGAATCTGGTAAGATTCCACATATTATTCTTCATTCTCCT</t>
  </si>
  <si>
    <t>AAAGAATTTTTTAAATCTATTGTTGCAAAAGGTAAGATTCCACATATTATTCTTCATTCTCCT</t>
  </si>
  <si>
    <t>AAAGAATTTTTTAAATCTATTGTTGCACGTGGTAAGATTCCACATATTATTCTTCATTCTCCT</t>
  </si>
  <si>
    <t>AAAGAATTTTTTAAATCTATTGTTGCAGCAGGTAAGATTCCACATATTATTCTTCATTCTCCT</t>
  </si>
  <si>
    <t>AAAGAATTTTTTAAATCTATTGTTGCATCTGGTAAGATTCCACATATTATTCTTCATTCTCCT</t>
  </si>
  <si>
    <t>AAAGAATTTTTTCAAAATATTGTTGCAAAAGGTAAGATTCCACATATTATTCTTCATTCTCCT</t>
  </si>
  <si>
    <t>AAAGAATTTTTTCAAGCAATTGTTAAACGTGGTAAGATTCCACATATTATTCTTCATTCTCCT</t>
  </si>
  <si>
    <t>AAAGAATTTTTTCATTCTATTGTTAAAAAAGGTAAGATTCCACATATTATTCTTCATTCTCCT</t>
  </si>
  <si>
    <t>AAAGAATTTTTTCATTCTATTGTTAAATCTGGTAAGATTCCACATATTATTCTTCATTCTCCT</t>
  </si>
  <si>
    <t>AAAGAATTTTTTCGTAATATTGTTAAAAAAGGTAAGATTCCACATATTATTCTTCATTCTCCT</t>
  </si>
  <si>
    <t>AAAGAATTTTTTCGTAATATTGTTAAATCTGGTAAGATTCCACATATTATTCTTCATTCTCCT</t>
  </si>
  <si>
    <t>AAAGAATTTTTTCGTCAAATTGTTGCAAAAGGTAAGATTCCACATATTATTCTTCATTCTCCT</t>
  </si>
  <si>
    <t>AAAGAATTTTTTCGTGAAATTGTTAAAAAAGGTAAGATTCCACATATTATTCTTCATTCTCCT</t>
  </si>
  <si>
    <t>AAAGAATTTTTTCGTGCAATTGTTGCACGTGGTAAGATTCCACATATTATTCTTCATTCTCCT</t>
  </si>
  <si>
    <t>AAAGAATTTTTTCGTGCAATTGTTGCATCTGGTAAGATTCCACATATTATTCTTCATTCTCCT</t>
  </si>
  <si>
    <t>AAAGAATTTTTTCGTTCTATTGTTGCACGTGGTAAGATTCCACATATTATTCTTCATTCTCCT</t>
  </si>
  <si>
    <t>AAAGAATTTTTTCGTTCTATTGTTGCATCTGGTAAGATTCCACATATTATTCTTCATTCTCCT</t>
  </si>
  <si>
    <t>AAAGAATTTTTTCTGTCTATTGTTAAATCTGGTAAGATTCCACATATTATTCTTCATTCTCCT</t>
  </si>
  <si>
    <t>AAAGAATTTTTTGATTCTATTGTTGCAAAAGGTAAGATTCCACATATTATTCTTCATTCTCCT</t>
  </si>
  <si>
    <t>AAAGATCTGTTTAAAGCAATTGTTGCACGTGGTAAGATTCCACATATTATTCTTCATTCTCCT</t>
  </si>
  <si>
    <t>AAAGATTTTTTTAAAGAAATTGTTGCACGTGGTAAGATTCCACATATTATTCTTCATTCTCCT</t>
  </si>
  <si>
    <t>AAAGATTTTTTTAAAGATATTGTTAAAAAAGGTAAGATTCCACATATTATTCTTCATTCTCCT</t>
  </si>
  <si>
    <t>AAAGATTTTTTTAAATCTATTGTTGCAAAAGGTAAGATTCCACATATTATTCTTCATTCTCCT</t>
  </si>
  <si>
    <t>AAAGATTTTTTTAAATCTATTGTTGCACGTGGTAAGATTCCACATATTATTCTTCATTCTCCT</t>
  </si>
  <si>
    <t>AAAGATTTTTTTCGTCAAATTGTTGCAAAAGGTAAGATTCCACATATTATTCTTCATTCTCCT</t>
  </si>
  <si>
    <t>AAAGCAAAAATGAAAGAAATTGCAAAATCTGGTAAGATTCCACATATTATTCTTCATTCTCCT</t>
  </si>
  <si>
    <t>AAAGCAAAAATGAAAGAAATTGCAGCATCTGGTAAGATTCCACATATTATTCTTCATTCTCCT</t>
  </si>
  <si>
    <t>AAAGCAAAAATGAAAGAAATTGTTGCATCTGGTAAGATTCCACATATTATTCTTCATTCTCCT</t>
  </si>
  <si>
    <t>AAAGCAAAAATGCGTGAAATTGCAGCATCTGGTAAGATTCCACATATTATTCTTCATTCTCCT</t>
  </si>
  <si>
    <t>AAAGCAAAATTTAAAGAAATTGCAGCAGCAGGTAAGATTCCACATATTATTCTTCATTCTCCT</t>
  </si>
  <si>
    <t>AAAGCAAAATTTAAAGCAATTGCAGCATCTGGTAAGATTCCACATATTATTCTTCATTCTCCT</t>
  </si>
  <si>
    <t>AAAGCAACTATGAAAGAAATTGCAAAATCTGGTAAGATTCCACATATTATTCTTCATTCTCCT</t>
  </si>
  <si>
    <t>AAAGCAACTATGAAAGAAATTGCAGCATCTGGTAAGATTCCACATATTATTCTTCATTCTCCT</t>
  </si>
  <si>
    <t>AAAGCAACTATGAAAGAAATTGCATCTTCTGGTAAGATTCCACATATTATTCTTCATTCTCCT</t>
  </si>
  <si>
    <t>AAAGCAACTATGAAAGAAATTGTTGCATCTGGTAAGATTCCACATATTATTCTTCATTCTCCT</t>
  </si>
  <si>
    <t>AAAGCAACTCTGAAACAAATTGCAGCATCTGGTAAGATTCCACATATTATTCTTCATTCTCCT</t>
  </si>
  <si>
    <t>AAAGCAACTCTGAAAGAAATTGCAGCATCTGGTAAGATTCCACATATTATTCTTCATTCTCCT</t>
  </si>
  <si>
    <t>AAAGCAACTTTTAAAGAAATTGCAGCATCTGGTAAGATTCCACATATTATTCTTCATTCTCCT</t>
  </si>
  <si>
    <t>AAAGCACAAATGAAAGAAATTGCAGATTCTGGTAAGATTCCACATATTATTCTTCATTCTCCT</t>
  </si>
  <si>
    <t>AAAGCACGTATGAAAGAAATTGCAAAATCTGGTAAGATTCCACATATTATTCTTCATTCTCCT</t>
  </si>
  <si>
    <t>AAAGCACGTATGAAAGAAATTGCAAATTCTGGTAAGATTCCACATATTATTCTTCATTCTCCT</t>
  </si>
  <si>
    <t>AAAGCACGTATGAAAGAAATTGCAGCATCTGGTAAGATTCCACATATTATTCTTCATTCTCCT</t>
  </si>
  <si>
    <t>AAAGCACGTATGAAAGAAATTGTTGCATCTGGTAAGATTCCACATATTATTCTTCATTCTCCT</t>
  </si>
  <si>
    <t>AAAGCACGTATGAAAGCAATTGTTGAATCTGGTAAGATTCCACATATTATTCTTCATTCTCCT</t>
  </si>
  <si>
    <t>AAAGCACGTATGCAAGAAATTGCAGCATCTGGTAAGATTCCACATATTATTCTTCATTCTCCT</t>
  </si>
  <si>
    <t>AAAGCACGTATGCGTGAAATTGCAAAATCTGGTAAGATTCCACATATTATTCTTCATTCTCCT</t>
  </si>
  <si>
    <t>AAAGCACGTCTGAAAGAAATTGCAGCATCTGGTAAGATTCCACATATTATTCTTCATTCTCCT</t>
  </si>
  <si>
    <t>AAAGCACGTTTTAAAGAAATTGCAGCATCTGGTAAGATTCCACATATTATTCTTCATTCTCCT</t>
  </si>
  <si>
    <t>AAAGCACGTTTTAAAGCAATTGCAGCATCTGGTAAGATTCCACATATTATTCTTCATTCTCCT</t>
  </si>
  <si>
    <t>AAAGCACTGATGAAAAAAATTGCAGATTCTGGTAAGATTCCACATATTATTCTTCATTCTCCT</t>
  </si>
  <si>
    <t>AAAGCACTGATGAAAAAAATTGCAGCATCTGGTAAGATTCCACATATTATTCTTCATTCTCCT</t>
  </si>
  <si>
    <t>AAAGCACTGATGAAAGAAATTGCAAAATCTGGTAAGATTCCACATATTATTCTTCATTCTCCT</t>
  </si>
  <si>
    <t>AAAGCACTGATGAAAGAAATTGCAAATTCTGGTAAGATTCCACATATTATTCTTCATTCTCCT</t>
  </si>
  <si>
    <t>AAAGCACTGATGAAAGAAATTGCAGAATCTGGTAAGATTCCACATATTATTCTTCATTCTCCT</t>
  </si>
  <si>
    <t>AAAGCACTGATGAAAGAAATTGCAGCATCTGGTAAGATTCCACATATTATTCTTCATTCTCCT</t>
  </si>
  <si>
    <t>AAAGCACTGATGAAAGAAATTGTTGCATCTGGTAAGATTCCACATATTATTCTTCATTCTCCT</t>
  </si>
  <si>
    <t>AAAGCACTGATGCGTGAAATTGCAAAATCTGGTAAGATTCCACATATTATTCTTCATTCTCCT</t>
  </si>
  <si>
    <t>AAAGCACTGATGCGTGAAATTGCAGAATCTGGTAAGATTCCACATATTATTCTTCATTCTCCT</t>
  </si>
  <si>
    <t>AAAGCACTGATGCGTGAAATTGCAGCATCTGGTAAGATTCCACATATTATTCTTCATTCTCCT</t>
  </si>
  <si>
    <t>AAAGCACTGATTAAACAAATTGTTGCATCTGGTAAGATTCCACATATTATTCTTCATTCTCCT</t>
  </si>
  <si>
    <t>AAAGCACTGCTGAAACAAATTGCAGCATCTGGTAAGATTCCACATATTATTCTTCATTCTCCT</t>
  </si>
  <si>
    <t>AAAGCACTGCTGAAACGTATTGCAGCATCTGGTAAGATTCCACATATTATTCTTCATTCTCCT</t>
  </si>
  <si>
    <t>AAAGCACTGCTGAAAGAAATTGCAGATTCTGGTAAGATTCCACATATTATTCTTCATTCTCCT</t>
  </si>
  <si>
    <t>AAAGCACTGCTGAAAGAAATTGCAGCATCTGGTAAGATTCCACATATTATTCTTCATTCTCCT</t>
  </si>
  <si>
    <t>AAAGCACTGCTGAAAGAAATTGTTAAATCTGGTAAGATTCCACATATTATTCTTCATTCTCCT</t>
  </si>
  <si>
    <t>AAAGCACTGTTTAAAAAAATTGCAGCATCTGGTAAGATTCCACATATTATTCTTCATTCTCCT</t>
  </si>
  <si>
    <t>AAAGCACTGTTTAAAGAAATTGCACGTTCTGGTAAGATTCCACATATTATTCTTCATTCTCCT</t>
  </si>
  <si>
    <t>AAAGCACTGTTTAAAGAAATTGCAGCAGCAGGTAAGATTCCACATATTATTCTTCATTCTCCT</t>
  </si>
  <si>
    <t>AAAGCACTGTTTAAAGAAATTGCAGCATCTGGTAAGATTCCACATATTATTCTTCATTCTCCT</t>
  </si>
  <si>
    <t>AAAGCACTGTTTAAAGAAATTGTTGCATCTGGTAAGATTCCACATATTATTCTTCATTCTCCT</t>
  </si>
  <si>
    <t>AAAGCACTGTTTAAAGAAATTTGTGCATCTGGTAAGATTCCACATATTATTCTTCATTCTCCT</t>
  </si>
  <si>
    <t>AAAGCACTGTTTAAAGCAATTGTTAAAAAAGGTAAGATTCCACATATTATTCTTCATTCTCCT</t>
  </si>
  <si>
    <t>AAAGCACTGTTTAAAGCAATTGTTAAACGTGGTAAGATTCCACATATTATTCTTCATTCTCCT</t>
  </si>
  <si>
    <t>AAAGCACTGTTTAAAGCAATTGTTGATAAAGGTAAGATTCCACATATTATTCTTCATTCTCCT</t>
  </si>
  <si>
    <t>AAAGCACTGTTTAAAGCAATTGTTGCAAAAGGTAAGATTCCACATATTATTCTTCATTCTCCT</t>
  </si>
  <si>
    <t>AAAGCACTGTTTAAAGCAATTGTTGCACGTGGTAAGATTCCACATATTATTCTTCATTCTCCT</t>
  </si>
  <si>
    <t>AAAGCACTGTTTAAATCTATTGTTAAACGTGGTAAGATTCCACATATTATTCTTCATTCTCCT</t>
  </si>
  <si>
    <t>AAAGCACTGTTTAAATCTATTGTTGAAAAAGGTAAGATTCCACATATTATTCTTCATTCTCCT</t>
  </si>
  <si>
    <t>AAAGCACTGTTTAAATCTATTGTTGCAAAAGGTAAGATTCCACATATTATTCTTCATTCTCCT</t>
  </si>
  <si>
    <t>AAAGCACTGTTTAAATCTATTGTTGCACGTGGTAAGATTCCACATATTATTCTTCATTCTCCT</t>
  </si>
  <si>
    <t>AAAGCACTGTTTCGTGCAATTGTTGCACGTGGTAAGATTCCACATATTATTCTTCATTCTCCT</t>
  </si>
  <si>
    <t>AAAGCACTGTTTCGTTCTATTGTTGCACGTGGTAAGATTCCACATATTATTCTTCATTCTCCT</t>
  </si>
  <si>
    <t>AAAGCAGAAATGAAAAAAATTGCAGAATCTGGTAAGATTCCACATATTATTCTTCATTCTCCT</t>
  </si>
  <si>
    <t>AAAGCAGAAATGAAAAAAATTGCAGCATCTGGTAAGATTCCACATATTATTCTTCATTCTCCT</t>
  </si>
  <si>
    <t>AAAGCAGAAATGAAAAAAATTGTTGCATCTGGTAAGATTCCACATATTATTCTTCATTCTCCT</t>
  </si>
  <si>
    <t>AAAGCAGAAATGAAACGTATTGCAGCATCTGGTAAGATTCCACATATTATTCTTCATTCTCCT</t>
  </si>
  <si>
    <t>AAAGCAGAAATGAAAGAAATTGCAGCATCTGGTAAGATTCCACATATTATTCTTCATTCTCCT</t>
  </si>
  <si>
    <t>AAAGCAGAAATGAAAGCAATTGCAAAATCTGGTAAGATTCCACATATTATTCTTCATTCTCCT</t>
  </si>
  <si>
    <t>AAAGCAGAAATGCGTAAAATTGCAGAATCTGGTAAGATTCCACATATTATTCTTCATTCTCCT</t>
  </si>
  <si>
    <t>AAAGCAGAAATGCGTGCAATTGCAGCATCTGGTAAGATTCCACATATTATTCTTCATTCTCCT</t>
  </si>
  <si>
    <t>AAAGCAGAACTGAAAAAAATTGCAGCATCTGGTAAGATTCCACATATTATTCTTCATTCTCCT</t>
  </si>
  <si>
    <t>AAAGCAGAACTGAAACGTATTGCAGCATCTGGTAAGATTCCACATATTATTCTTCATTCTCCT</t>
  </si>
  <si>
    <t>AAAGCAGAACTGAAAGAAATTGCAGCATCTGGTAAGATTCCACATATTATTCTTCATTCTCCT</t>
  </si>
  <si>
    <t>AAAGCAGAATTTAAAGCAATTGCAGCATCTGGTAAGATTCCACATATTATTCTTCATTCTCCT</t>
  </si>
  <si>
    <t>AAAGCATATTTTAAAGAAATTGCAAAATCTGGTAAGATTCCACATATTATTCTTCATTCTCCT</t>
  </si>
  <si>
    <t>AAAGCATATTTTAAAGAAATTGTTAAACGTGGTAAGATTCCACATATTATTCTTCATTCTCCT</t>
  </si>
  <si>
    <t>AAAGCATATTTTAAAGCAATTGTTCAACGTGGTAAGATTCCACATATTATTCTTCATTCTCCT</t>
  </si>
  <si>
    <t>AAAGCATATTTTAAAGCAATTGTTGCAAAAGGTAAGATTCCACATATTATTCTTCATTCTCCT</t>
  </si>
  <si>
    <t>AAAGCATATTTTAAAGCAATTGTTGCACGTGGTAAGATTCCACATATTATTCTTCATTCTCCT</t>
  </si>
  <si>
    <t>AAAGCATATTTTAAAGCAATTGTTGCATCTGGTAAGATTCCACATATTATTCTTCATTCTCCT</t>
  </si>
  <si>
    <t>AAAGCATATTTTAAATCTATTGTTGCACGTGGTAAGATTCCACATATTATTCTTCATTCTCCT</t>
  </si>
  <si>
    <t>AAAGCATATTTTAAATCTATTGTTGCATCTGGTAAGATTCCACATATTATTCTTCATTCTCCT</t>
  </si>
  <si>
    <t>AAAGCATATTTTCGTGCAATTGTTGCACGTGGTAAGATTCCACATATTATTCTTCATTCTCCT</t>
  </si>
  <si>
    <t>AAAGCATTTTTTAAAGATATTGTTAAAAAAGGTAAGATTCCACATATTATTCTTCATTCTCCT</t>
  </si>
  <si>
    <t>AAAGCATTTTTTAAAGATATTGTTAAATCTGGTAAGATTCCACATATTATTCTTCATTCTCCT</t>
  </si>
  <si>
    <t>AAAGCATTTTTTAAAGATATTGTTGCACGTGGTAAGATTCCACATATTATTCTTCATTCTCCT</t>
  </si>
  <si>
    <t>AAAGCATTTTTTAAAGATATTGTTGCAGCAGGTAAGATTCCACATATTATTCTTCATTCTCCT</t>
  </si>
  <si>
    <t>AAAGCATTTTTTAAAGATATTGTTGCATCTGGTAAGATTCCACATATTATTCTTCATTCTCCT</t>
  </si>
  <si>
    <t>AAAGCATTTTTTAAAGCAATTGTTAAAAAAGGTAAGATTCCACATATTATTCTTCATTCTCCT</t>
  </si>
  <si>
    <t>AAAGCATTTTTTAAAGCAATTGTTAAACGTGGTAAGATTCCACATATTATTCTTCATTCTCCT</t>
  </si>
  <si>
    <t>AAAGCATTTTTTAAAGCAATTGTTGAAAAAGGTAAGATTCCACATATTATTCTTCATTCTCCT</t>
  </si>
  <si>
    <t>AAAGCATTTTTTAAAGCAATTGTTGAACGTGGTAAGATTCCACATATTATTCTTCATTCTCCT</t>
  </si>
  <si>
    <t>AAAGCATTTTTTAAAGCAATTGTTGCAAAAGGTAAGATTCCACATATTATTCTTCATTCTCCT</t>
  </si>
  <si>
    <t>AAAGCATTTTTTAAAGCAATTGTTGCACGTGGTAAGATTCCACATATTATTCTTCATTCTCCT</t>
  </si>
  <si>
    <t>AAAGCATTTTTTAAAGCAATTGTTGCATCTGGTAAGATTCCACATATTATTCTTCATTCTCCT</t>
  </si>
  <si>
    <t>AAAGCATTTTTTAAATCTATTGTTGAAAAAGGTAAGATTCCACATATTATTCTTCATTCTCCT</t>
  </si>
  <si>
    <t>AAAGCATTTTTTAAATCTATTGTTGCAAAAGGTAAGATTCCACATATTATTCTTCATTCTCCT</t>
  </si>
  <si>
    <t>AAAGCATTTTTTAAATCTATTGTTGCACGTGGTAAGATTCCACATATTATTCTTCATTCTCCT</t>
  </si>
  <si>
    <t>AAAGCATTTTTTAAATCTATTGTTGCATCTGGTAAGATTCCACATATTATTCTTCATTCTCCT</t>
  </si>
  <si>
    <t>AAAGCATTTTTTAAATCTATTGTTTCTTCTGGTAAGATTCCACATATTATTCTTCATTCTCCT</t>
  </si>
  <si>
    <t>AAAGCATTTTTTCGTGCAATTGTTAAACGTGGTAAGATTCCACATATTATTCTTCATTCTCCT</t>
  </si>
  <si>
    <t>AAAGCATTTTTTCGTGCAATTGTTGCAAAAGGTAAGATTCCACATATTATTCTTCATTCTCCT</t>
  </si>
  <si>
    <t>AAAGCATTTTTTCGTGCAATTGTTGCATCTGGTAAGATTCCACATATTATTCTTCATTCTCCT</t>
  </si>
  <si>
    <t>AAAGCATTTTTTCGTTCTATTGTTGCACGTGGTAAGATTCCACATATTATTCTTCATTCTCCT</t>
  </si>
  <si>
    <t>AAAGCATTTTTTGAAGCAATTGTTAAACGTGGTAAGATTCCACATATTATTCTTCATTCTCCT</t>
  </si>
  <si>
    <t>AAAGGTTTTTTTAAAGCAATTGTTGCAAAAGGTAAGATTCCACATATTATTCTTCATTCTCCT</t>
  </si>
  <si>
    <t>AAATCTCTGATGAAAGAAATTGCAGCATCTGGTAAGATTCCACATATTATTCTTCATTCTCCT</t>
  </si>
  <si>
    <t>AAATCTCTGTTTAAATCTATTGTTAAAAAAGGTAAGATTCCACATATTATTCTTCATTCTCCT</t>
  </si>
  <si>
    <t>AAATCTCTGTTTAAATCTATTGTTGCAAAAGGTAAGATTCCACATATTATTCTTCATTCTCCT</t>
  </si>
  <si>
    <t>AAATCTTATTTTAAAGATATTGTTAAAAAAGGTAAGATTCCACATATTATTCTTCATTCTCCT</t>
  </si>
  <si>
    <t>AAATCTTATTTTAAAGCAATTGTTAAAAAAGGTAAGATTCCACATATTATTCTTCATTCTCCT</t>
  </si>
  <si>
    <t>AAATCTTATTTTGAATCTATTGTTAAATCTGGTAAGATTCCACATATTATTCTTCATTCTCCT</t>
  </si>
  <si>
    <t>AAATCTTTTTTTAAAGAAATTGTTGAATCTGGTAAGATTCCACATATTATTCTTCATTCTCCT</t>
  </si>
  <si>
    <t>AAATCTTTTTTTAAAGCAATTGTTGAATCTGGTAAGATTCCACATATTATTCTTCATTCTCCT</t>
  </si>
  <si>
    <t>AAATCTTTTTTTAAATCTATTGTTGCATCTGGTAAGATTCCACATATTATTCTTCATTCTCCT</t>
  </si>
  <si>
    <t>CGTAAACGTATGAAAGAAATTGCAGAATCTGGTAAGATTCCACATATTATTCTTCATTCTCCT</t>
  </si>
  <si>
    <t>CGTAAACGTTTTAAAGAAATTGCAGCATCTGGTAAGATTCCACATATTATTCTTCATTCTCCT</t>
  </si>
  <si>
    <t>CGTAAACTGATGAAAGAAATTGCAAATTCTGGTAAGATTCCACATATTATTCTTCATTCTCCT</t>
  </si>
  <si>
    <t>CGTAAACTGATGAAAGAAATTGCAGAATCTGGTAAGATTCCACATATTATTCTTCATTCTCCT</t>
  </si>
  <si>
    <t>CGTAAACTGATGAAAGAAATTGCAGATTCTGGTAAGATTCCACATATTATTCTTCATTCTCCT</t>
  </si>
  <si>
    <t>CGTAAACTGTTTAAAGAAATTGCAGCATCTGGTAAGATTCCACATATTATTCTTCATTCTCCT</t>
  </si>
  <si>
    <t>CGTCAACTGATGAAAGAAATTGTTAAATCTGGTAAGATTCCACATATTATTCTTCATTCTCCT</t>
  </si>
  <si>
    <t>CGTGAAAAAATGAAAGAAATTGTTAAATCTGGTAAGATTCCACATATTATTCTTCATTCTCCT</t>
  </si>
  <si>
    <t>CGTGAAACTATGAAAGCAATTGCAGCATCTGGTAAGATTCCACATATTATTCTTCATTCTCCT</t>
  </si>
  <si>
    <t>CGTGAAATGTTTAAAAAAATTGCAGCATCTGGTAAGATTCCACATATTATTCTTCATTCTCCT</t>
  </si>
  <si>
    <t>CGTGAACGTATGAAAGCAATTGCAGCATCTGGTAAGATTCCACATATTATTCTTCATTCTCCT</t>
  </si>
  <si>
    <t>CGTGAACGTATGCGTAAAATTGCAGCATCTGGTAAGATTCCACATATTATTCTTCATTCTCCT</t>
  </si>
  <si>
    <t>CGTGAACGTTTTCGTAAAATTGCAGCATCTGGTAAGATTCCACATATTATTCTTCATTCTCCT</t>
  </si>
  <si>
    <t>CGTGAACTGATGAAAAAAATTGCAGAATCTGGTAAGATTCCACATATTATTCTTCATTCTCCT</t>
  </si>
  <si>
    <t>CGTGAACTGATGAAAAAAATTGCAGCATCTGGTAAGATTCCACATATTATTCTTCATTCTCCT</t>
  </si>
  <si>
    <t>CGTGAACTGTTTAAAAAAATTGCAGCATCTGGTAAGATTCCACATATTATTCTTCATTCTCCT</t>
  </si>
  <si>
    <t>CGTGAACTGTTTAAATCTATTGTTAATGCAGGTAAGATTCCACATATTATTCTTCATTCTCCT</t>
  </si>
  <si>
    <t>CGTGAAGAAATGAAAAAAATTGCAGCATCTGGTAAGATTCCACATATTATTCTTCATTCTCCT</t>
  </si>
  <si>
    <t>CGTGCAAAAATGAAAGAAATTGCAGCATCTGGTAAGATTCCACATATTATTCTTCATTCTCCT</t>
  </si>
  <si>
    <t>CGTGCAACTATGAAAGAAATTGCAAATTCTGGTAAGATTCCACATATTATTCTTCATTCTCCT</t>
  </si>
  <si>
    <t>CGTGCAACTATGAAAGAAATTGCAGCATCTGGTAAGATTCCACATATTATTCTTCATTCTCCT</t>
  </si>
  <si>
    <t>CGTGCAACTATGCGTGAAATTGCAGCATCTGGTAAGATTCCACATATTATTCTTCATTCTCCT</t>
  </si>
  <si>
    <t>CGTGCACTGATGAAAGAAATTGCAGCATCTGGTAAGATTCCACATATTATTCTTCATTCTCCT</t>
  </si>
  <si>
    <t>CGTGCATATTTTAAAGAAATTGCAGCATCTGGTAAGATTCCACATATTATTCTTCATTCTCCT</t>
  </si>
  <si>
    <t>CGTGCATATTTTAAAGAACTGGCAGCATCTGGTAAGATTCCACATATTATTCTTCATTCTCCT</t>
  </si>
  <si>
    <t>CTGAAAAAAATGAAAGAAATTGCAAAATCTGGTAAGATTCCACATATTATTCTTCATTCTCCT</t>
  </si>
  <si>
    <t>CTGAAAAAAATGAAAGAAATTGCAGCATCTGGTAAGATTCCACATATTATTCTTCATTCTCCT</t>
  </si>
  <si>
    <t>CTGAAAACTATGAAAGAAATTGCAGAATCTGGTAAGATTCCACATATTATTCTTCATTCTCCT</t>
  </si>
  <si>
    <t>CTGAAACGTATGAAAGAAATTGCAGCATCTGGTAAGATTCCACATATTATTCTTCATTCTCCT</t>
  </si>
  <si>
    <t>CTGAAACGTATGCGTGAAATTGCAAAATCTGGTAAGATTCCACATATTATTCTTCATTCTCCT</t>
  </si>
  <si>
    <t>CTGAAACGTCTGAAAGAAATTGTTTCTTCTGGTAAGATTCCACATATTATTCTTCATTCTCCT</t>
  </si>
  <si>
    <t>CTGAAACGTTTTAAAGAAATTGCAGCATCTGGTAAGATTCCACATATTATTCTTCATTCTCCT</t>
  </si>
  <si>
    <t>CTGAAACTGATGAAAGAAATTGCAGCATCTGGTAAGATTCCACATATTATTCTTCATTCTCCT</t>
  </si>
  <si>
    <t>CTGAAACTGATGCGTGAAATTGCAGCATCTGGTAAGATTCCACATATTATTCTTCATTCTCCT</t>
  </si>
  <si>
    <t>CTGAAACTGTTTAAAGAAATTGCAGCATCTGGTAAGATTCCACATATTATTCTTCATTCTCCT</t>
  </si>
  <si>
    <t>CTGAAAGAAATGAAAGAAATTGTTGAATCTGGTAAGATTCCACATATTATTCTTCATTCTCCT</t>
  </si>
  <si>
    <t>CTGAAAGAAATGAAAGAAATTGTTGCATCTGGTAAGATTCCACATATTATTCTTCATTCTCCT</t>
  </si>
  <si>
    <t>CTGAAATATTTTAAAGATATTGTTAAATCTGGTAAGATTCCACATATTATTCTTCATTCTCCT</t>
  </si>
  <si>
    <t>CTGAAATTTTTTCGTGAAATTGTTGCAAAAGGTAAGATTCCACATATTATTCTTCATTCTCCT</t>
  </si>
  <si>
    <t>CTGAAATTTTTTCGTGATATTGTTGCACGTGGTAAGATTCCACATATTATTCTTCATTCTCCT</t>
  </si>
  <si>
    <t>CTGAATTATTTTAAAGAAATTGTTGCAAAAGGTAAGATTCCACATATTATTCTTCATTCTCCT</t>
  </si>
  <si>
    <t>CTGCAAAAAATGAAAGAAATTGCAGCATCTGGTAAGATTCCACATATTATTCTTCATTCTCCT</t>
  </si>
  <si>
    <t>CTGCAACGTATGAAAGAAATTGTTGCATCTGGTAAGATTCCACATATTATTCTTCATTCTCCT</t>
  </si>
  <si>
    <t>CTGCAACGTATGCGTGAAATTGCAGCATCTGGTAAGATTCCACATATTATTCTTCATTCTCCT</t>
  </si>
  <si>
    <t>CTGCAACGTTTTAAAGCAATTGTTGCATCTGGTAAGATTCCACATATTATTCTTCATTCTCCT</t>
  </si>
  <si>
    <t>CTGCAACTGATGAAAGAAATTGCAGCATCTGGTAAGATTCCACATATTATTCTTCATTCTCCT</t>
  </si>
  <si>
    <t>CTGCAACTGTTTAAAGAAATTGCAGCATCTGGTAAGATTCCACATATTATTCTTCATTCTCCT</t>
  </si>
  <si>
    <t>CTGCAACTGTTTAAAGATATTGTTAAACGTGGTAAGATTCCACATATTATTCTTCATTCTCCT</t>
  </si>
  <si>
    <t>CTGCAAGAAATGAAAGCAATTGCAGCATCTGGTAAGATTCCACATATTATTCTTCATTCTCCT</t>
  </si>
  <si>
    <t>CTGCAATATTTTAAAGATATTGTTGCATCTGGTAAGATTCCACATATTATTCTTCATTCTCCT</t>
  </si>
  <si>
    <t>CTGGAAAAATTTAAAGAAATTGCAGCATCTGGTAAGATTCCACATATTATTCTTCATTCTCCT</t>
  </si>
  <si>
    <t>CTGGAAACTATGAAAAAAATTGCAGAATCTGGTAAGATTCCACATATTATTCTTCATTCTCCT</t>
  </si>
  <si>
    <t>CTGGAAACTATGAAAAAAATTGCAGCATCTGGTAAGATTCCACATATTATTCTTCATTCTCCT</t>
  </si>
  <si>
    <t>CTGGAAACTATGCGTAAAATTGCAGCATCTGGTAAGATTCCACATATTATTCTTCATTCTCCT</t>
  </si>
  <si>
    <t>CTGGAAACTATGCGTGAAATTGCAAAATCTGGTAAGATTCCACATATTATTCTTCATTCTCCT</t>
  </si>
  <si>
    <t>CTGGAAATGTTTAAAAAAATTGCAGCATCTGGTAAGATTCCACATATTATTCTTCATTCTCCT</t>
  </si>
  <si>
    <t>CTGGAACGTATGAAAGCAATTGCAGATTCTGGTAAGATTCCACATATTATTCTTCATTCTCCT</t>
  </si>
  <si>
    <t>CTGGAACGTTTTAAAGAAATTGCAGCATCTGGTAAGATTCCACATATTATTCTTCATTCTCCT</t>
  </si>
  <si>
    <t>CTGGAACGTTTTAAATCTATTGCAAAATCTGGTAAGATTCCACATATTATTCTTCATTCTCCT</t>
  </si>
  <si>
    <t>CTGGAACTGATGAAACAAATTGCAGAATCTGGTAAGATTCCACATATTATTCTTCATTCTCCT</t>
  </si>
  <si>
    <t>CTGGAACTGCTGAAAGAAATTGCAGCATCTGGTAAGATTCCACATATTATTCTTCATTCTCCT</t>
  </si>
  <si>
    <t>CTGGAACTGTTTAAAAATATTGTTAAAAAAGGTAAGATTCCACATATTATTCTTCATTCTCCT</t>
  </si>
  <si>
    <t>CTGGAACTGTTTAAAGAAATTGCAGCATCTGGTAAGATTCCACATATTATTCTTCATTCTCCT</t>
  </si>
  <si>
    <t>CTGGAACTGTTTAAAGCAATTGTTAAACGTGGTAAGATTCCACATATTATTCTTCATTCTCCT</t>
  </si>
  <si>
    <t>CTGGAACTGTTTAAATCTATTGTTGCAAAAGGTAAGATTCCACATATTATTCTTCATTCTCCT</t>
  </si>
  <si>
    <t>CTGGAACTGTTTAAATCTATTGTTGCATCTGGTAAGATTCCACATATTATTCTTCATTCTCCT</t>
  </si>
  <si>
    <t>CTGGAAGAAATGAAAAAAATTGCAAATTCTGGTAAGATTCCACATATTATTCTTCATTCTCCT</t>
  </si>
  <si>
    <t>CTGGAAGAAATGAAAAAAATTGCACAATCTGGTAAGATTCCACATATTATTCTTCATTCTCCT</t>
  </si>
  <si>
    <t>CTGGAAGAAATGCGTAAAATTGCAAAATCTGGTAAGATTCCACATATTATTCTTCATTCTCCT</t>
  </si>
  <si>
    <t>CTGGAAGAAATGCGTAAAATTGCAGAATCTGGTAAGATTCCACATATTATTCTTCATTCTCCT</t>
  </si>
  <si>
    <t>CTGGAAGAACTGAAAAAAATTGCAGCATCTGGTAAGATTCCACATATTATTCTTCATTCTCCT</t>
  </si>
  <si>
    <t>CTGGAATATTTTAAAAATATTGTTAAAAAAGGTAAGATTCCACATATTATTCTTCATTCTCCT</t>
  </si>
  <si>
    <t>CTGGAATATTTTAAAAATATTGTTGCACGTGGTAAGATTCCACATATTATTCTTCATTCTCCT</t>
  </si>
  <si>
    <t>CTGGAATATTTTAAAGAAATTGTTGCACGTGGTAAGATTCCACATATTATTCTTCATTCTCCT</t>
  </si>
  <si>
    <t>CTGGAATATTTTAAAGCAATTGTTAAACGTGGTAAGATTCCACATATTATTCTTCATTCTCCT</t>
  </si>
  <si>
    <t>CTGGAATATTTTAAATCTATTGTTGCAAAAGGTAAGATTCCACATATTATTCTTCATTCTCCT</t>
  </si>
  <si>
    <t>CTGGAATATTTTAAATCTATTGTTGCATCTGGTAAGATTCCACATATTATTCTTCATTCTCCT</t>
  </si>
  <si>
    <t>CTGGAATATTTTCGTGCAATTGTTGCACGTGGTAAGATTCCACATATTATTCTTCATTCTCCT</t>
  </si>
  <si>
    <t>CTGGAATTTTTTAAAAATATTGTTAAAAAAGGTAAGATTCCACATATTATTCTTCATTCTCCT</t>
  </si>
  <si>
    <t>CTGGAATTTTTTAAAAATATTGTTAAATCTGGTAAGATTCCACATATTATTCTTCATTCTCCT</t>
  </si>
  <si>
    <t>CTGGAATTTTTTAAAGCAATTGTTAAATCTGGTAAGATTCCACATATTATTCTTCATTCTCCT</t>
  </si>
  <si>
    <t>CTGGAATTTTTTAAAGCAATTGTTGCACGTGGTAAGATTCCACATATTATTCTTCATTCTCCT</t>
  </si>
  <si>
    <t>CTGGAATTTTTTAAATCTATTGTTGCAAAAGGTAAGATTCCACATATTATTCTTCATTCTCCT</t>
  </si>
  <si>
    <t>CTGGAATTTTTTCGTAATATTGTTGCACGTGGTAAGATTCCACATATTATTCTTCATTCTCCT</t>
  </si>
  <si>
    <t>CTGGCAAAAATGAAAGAAATTGCAGCATCTGGTAAGATTCCACATATTATTCTTCATTCTCCT</t>
  </si>
  <si>
    <t>CTGGCAACTATGAAAGAAATTGCAGCATCTGGTAAGATTCCACATATTATTCTTCATTCTCCT</t>
  </si>
  <si>
    <t>CTGGCACAAATGAAAGAAATTGCAGCATCTGGTAAGATTCCACATATTATTCTTCATTCTCCT</t>
  </si>
  <si>
    <t>CTGGCACGTATGAAAGAAATTGTTGCATCTGGTAAGATTCCACATATTATTCTTCATTCTCCT</t>
  </si>
  <si>
    <t>CTGGCACTGATGAAACAAATTGCAGCATCTGGTAAGATTCCACATATTATTCTTCATTCTCCT</t>
  </si>
  <si>
    <t>CTGGCACTGATGAAAGAAATTGCAGCATCTGGTAAGATTCCACATATTATTCTTCATTCTCCT</t>
  </si>
  <si>
    <t>CTGGCACTGATGCGTAAAATTGCACAATCTGGTAAGATTCCACATATTATTCTTCATTCTCCT</t>
  </si>
  <si>
    <t>CTGGCACTGATGCGTGAAATTGCAGCATCTGGTAAGATTCCACATATTATTCTTCATTCTCCT</t>
  </si>
  <si>
    <t>CTGGCACTGTTTAAAGCAATTGTTGCAAAAGGTAAGATTCCACATATTATTCTTCATTCTCCT</t>
  </si>
  <si>
    <t>CTGGCACTGTTTCGTGCAATTGTTGCAAAAGGTAAGATTCCACATATTATTCTTCATTCTCCT</t>
  </si>
  <si>
    <t>CTGGCAGAAATGAAAAAAATTGCAGCATCTGGTAAGATTCCACATATTATTCTTCATTCTCCT</t>
  </si>
  <si>
    <t>CTGGCAGAAATGAAAAAAATTGTTGCATCTGGTAAGATTCCACATATTATTCTTCATTCTCCT</t>
  </si>
  <si>
    <t>CTGGCAGAAATGAAAGAAATTGCAGCATCTGGTAAGATTCCACATATTATTCTTCATTCTCCT</t>
  </si>
  <si>
    <t>CTGGCATATTTTAAAGCAATTGTTGCACGTGGTAAGATTCCACATATTATTCTTCATTCTCCT</t>
  </si>
  <si>
    <t>CTGGCATATTTTAAAGCAATTGTTGCATCTGGTAAGATTCCACATATTATTCTTCATTCTCCT</t>
  </si>
  <si>
    <t>CTGGCATTTTTTAAAGAAATTGTTGCACGTGGTAAGATTCCACATATTATTCTTCATTCTCCT</t>
  </si>
  <si>
    <t>CTGTCTTTTTTTAAAGATATTGTTGATTCTGGTAAGATTCCACATATTATTCTTCATTCTCCT</t>
  </si>
  <si>
    <t>Seqence Number</t>
  </si>
  <si>
    <t>DNA sequence</t>
  </si>
  <si>
    <t>KKKMKEIAKSGKIPHIILHSP</t>
  </si>
  <si>
    <t>KKKMKEIANSGKIPHIILHSP</t>
  </si>
  <si>
    <t>KKKMKEIAASGKIPHIILHSP</t>
  </si>
  <si>
    <t>KKKLKEIAASGKIPHIILHSP</t>
  </si>
  <si>
    <t>KKKLKEIASSGKIPHIILHSP</t>
  </si>
  <si>
    <t>KKKFKEIAASGKIPHIILHSP</t>
  </si>
  <si>
    <t>KKTMKEIAESGKIPHIILHSP</t>
  </si>
  <si>
    <t>KKTMKEIAASGKIPHIILHSP</t>
  </si>
  <si>
    <t>KKTMKEIASSGKIPHIILHSP</t>
  </si>
  <si>
    <t>KKTMQEIAASGKIPHIILHSP</t>
  </si>
  <si>
    <t>KKTMRQIAQSGKIPHIILHSP</t>
  </si>
  <si>
    <t>KKTMLEIAASGKIPHIILHSP</t>
  </si>
  <si>
    <t>KKTLKEIANSGKIPHIILHSP</t>
  </si>
  <si>
    <t>KKTFKEIAASGKIPHIILHSP</t>
  </si>
  <si>
    <t>KKRMKEIAKSGKIPHIILHSP</t>
  </si>
  <si>
    <t>KKRMKEIAASGKIPHIILHSP</t>
  </si>
  <si>
    <t>KKRMREIAASGKIPHIILHSP</t>
  </si>
  <si>
    <t>KKRFKEIAAAGKIPHIILHSP</t>
  </si>
  <si>
    <t>KKRFKEIAASGKIPHIILHSP</t>
  </si>
  <si>
    <t>KKRFREIAQSGKIPHIILHSP</t>
  </si>
  <si>
    <t>KKLMKKIAESGKIPHIILHSP</t>
  </si>
  <si>
    <t>KKLMKEIAKSGKIPHIILHSP</t>
  </si>
  <si>
    <t>KKLMKEIANSGKIPHIILHSP</t>
  </si>
  <si>
    <t>KKLMKEIAESGKIPHIILHSP</t>
  </si>
  <si>
    <t>KKLMKEIADSGKIPHIILHSP</t>
  </si>
  <si>
    <t>KKLMKEIAASGKIPHIILHSP</t>
  </si>
  <si>
    <t>KKLMKEIASSGKIPHIILHSP</t>
  </si>
  <si>
    <t>KKLMREIVASGKIPHIILHSP</t>
  </si>
  <si>
    <t>KKLLKEIAESGKIPHIILHSP</t>
  </si>
  <si>
    <t>KKLLKEIAASGKIPHIILHSP</t>
  </si>
  <si>
    <t>KKLFKEIAKSGKIPHIILHSP</t>
  </si>
  <si>
    <t>KKLFKEIANSGKIPHIILHSP</t>
  </si>
  <si>
    <t>KKLFKEIAAEGKIPHIILHSP</t>
  </si>
  <si>
    <t>KKLFKEIAAAGKIPHIILHSP</t>
  </si>
  <si>
    <t>KKLFKEIAASGKIPHIILHSP</t>
  </si>
  <si>
    <t>KKLFKEIVESGKIPHIILHSP</t>
  </si>
  <si>
    <t>KKLFKEIVAKGKIPHIILHSP</t>
  </si>
  <si>
    <t>KKLFKEIVARGKIPHIILHSP</t>
  </si>
  <si>
    <t>KKLFKEIVASGKIPHIILHSP</t>
  </si>
  <si>
    <t>KKLFKDIAASGKIPHIILHSP</t>
  </si>
  <si>
    <t>KKLFKDIVKSGKIPHIILHSP</t>
  </si>
  <si>
    <t>KKLFKDIVAKGKIPHIILHSP</t>
  </si>
  <si>
    <t>KKLFKAIAKSGKIPHIILHSP</t>
  </si>
  <si>
    <t>KKLFQDIVAKGKIPHIILHSP</t>
  </si>
  <si>
    <t>KKLFRDIVKKGKIPHIILHSP</t>
  </si>
  <si>
    <t>KKLFRDIVKRGKIPHIILHSP</t>
  </si>
  <si>
    <t>KKLFEEIAASGKIPHIILHSP</t>
  </si>
  <si>
    <t>KKEMKKIAESGKIPHIILHSP</t>
  </si>
  <si>
    <t>KKEMKEIAASGKIPHIILHSP</t>
  </si>
  <si>
    <t>KKEFKSIVASGKIPHIILHSP</t>
  </si>
  <si>
    <t>KKVMKEIAKSGKIPHIILHSP</t>
  </si>
  <si>
    <t>KKVMKEIAASGKIPHIILHSP</t>
  </si>
  <si>
    <t>KKYFKDIVAKGKIPHIILHSP</t>
  </si>
  <si>
    <t>KKFFKNIVKSGKIPHIILHSP</t>
  </si>
  <si>
    <t>KKFFKEIVKKGKIPHIILHSP</t>
  </si>
  <si>
    <t>KKFFKEIVKSGKIPHIILHSP</t>
  </si>
  <si>
    <t>KKFFKEIVAKGKIPHIILHSP</t>
  </si>
  <si>
    <t>KKFFKDIVKKGKIPHIILHSP</t>
  </si>
  <si>
    <t>KKFFKDIVKRGKIPHIILHSP</t>
  </si>
  <si>
    <t>KKFFKDIVEKGKIPHIILHSP</t>
  </si>
  <si>
    <t>KKFFKDIVAKGKIPHIILHSP</t>
  </si>
  <si>
    <t>KKFFKDIVARGKIPHIILHSP</t>
  </si>
  <si>
    <t>KKFFKSIVEKGKIPHIILHSP</t>
  </si>
  <si>
    <t>KKFFQDIVKSGKIPHIILHSP</t>
  </si>
  <si>
    <t>KKFFQDIVAKGKIPHIILHSP</t>
  </si>
  <si>
    <t>KKFFQDIVASGKIPHIILHSP</t>
  </si>
  <si>
    <t>KKFFEEIVAKGKIPHIILHSP</t>
  </si>
  <si>
    <t>KKFFEDIVAKGKIPHIILHSP</t>
  </si>
  <si>
    <t>KNRMKAIAASGKIPHIILHSP</t>
  </si>
  <si>
    <t>KTLFKEIVKKGKIPHIILHSP</t>
  </si>
  <si>
    <t>KQKMKEIAASGKIPHIILHSP</t>
  </si>
  <si>
    <t>KQKFKEIAASGKIPHIILHSP</t>
  </si>
  <si>
    <t>KQTMKEIAASGKIPHIILHSP</t>
  </si>
  <si>
    <t>KQTMREIAASGKIPHIILHSP</t>
  </si>
  <si>
    <t>KQRMKEIAASGKIPHIILHSP</t>
  </si>
  <si>
    <t>KQRMLEIANSGKIPHIILHSP</t>
  </si>
  <si>
    <t>KQRLKEIAASGKIPHIILHSP</t>
  </si>
  <si>
    <t>KQRFKEIAKSGKIPHIILHSP</t>
  </si>
  <si>
    <t>KQRFKEIAASGKIPHIILHSP</t>
  </si>
  <si>
    <t>KQRFREIAASGKIPHIILHSP</t>
  </si>
  <si>
    <t>KQLMKKIVESGKIPHIILHSP</t>
  </si>
  <si>
    <t>KQLMKEIANSGKIPHIILHSP</t>
  </si>
  <si>
    <t>KQLMKEIAASGKIPHIILHSP</t>
  </si>
  <si>
    <t>KQLMKEIVASGKIPHIILHSP</t>
  </si>
  <si>
    <t>KQLLKQIAASGKIPHIILHSP</t>
  </si>
  <si>
    <t>KQLLREIAESGKIPHIILHSP</t>
  </si>
  <si>
    <t>KQLLLEIAKSGKIPHIILHSP</t>
  </si>
  <si>
    <t>KQLFKEIAESGKIPHIILHSP</t>
  </si>
  <si>
    <t>KQLFKEIAAAGKIPHIILHSP</t>
  </si>
  <si>
    <t>KQLFKEIAASGKIPHIILHSP</t>
  </si>
  <si>
    <t>KQLFKEIVKSGKIPHIILHSP</t>
  </si>
  <si>
    <t>KQLFKEIVARGKIPHIILHSP</t>
  </si>
  <si>
    <t>KQLFKDIAASGKIPHIILHSP</t>
  </si>
  <si>
    <t>KQLFQEIAASGKIPHIILHSP</t>
  </si>
  <si>
    <t>KQYFKDIVAKGKIPHIILHSP</t>
  </si>
  <si>
    <t>KQYFKAIVDKGKIPHIILHSP</t>
  </si>
  <si>
    <t>KQYFLDIVKKGKIPHIILHSP</t>
  </si>
  <si>
    <t>KQFFKEIVARGKIPHIILHSP</t>
  </si>
  <si>
    <t>KQFFKDIVKRGKIPHIILHSP</t>
  </si>
  <si>
    <t>KQFFKDIVKSGKIPHIILHSP</t>
  </si>
  <si>
    <t>KQFFKDIVQKGKIPHIILHSP</t>
  </si>
  <si>
    <t>KQFFKDIVQSGKIPHIILHSP</t>
  </si>
  <si>
    <t>KQFFKDIVAKGKIPHIILHSP</t>
  </si>
  <si>
    <t>KQFFKDIVARGKIPHIILHSP</t>
  </si>
  <si>
    <t>KQFFKDIVASGKIPHIILHSP</t>
  </si>
  <si>
    <t>KQFFRDIVASGKIPHIILHSP</t>
  </si>
  <si>
    <t>KRLMKEIAASGKIPHIILHSP</t>
  </si>
  <si>
    <t>KEKMKKIAESGKIPHIILHSP</t>
  </si>
  <si>
    <t>KEKMKKIAASGKIPHIILHSP</t>
  </si>
  <si>
    <t>KEKMKEIAKSGKIPHIILHSP</t>
  </si>
  <si>
    <t>KEKMKEIADSGKIPHIILHSP</t>
  </si>
  <si>
    <t>KEKMKEIAASGKIPHIILHSP</t>
  </si>
  <si>
    <t>KEKMKAIAASGKIPHIILHSP</t>
  </si>
  <si>
    <t>KEKMLEIAKSGKIPHIILHSP</t>
  </si>
  <si>
    <t>KEKLKEIAASGKIPHIILHSP</t>
  </si>
  <si>
    <t>KEKFKAIAASGKIPHIILHSP</t>
  </si>
  <si>
    <t>KEKFRAIVAKGKIPHIILHSP</t>
  </si>
  <si>
    <t>KENMKKIVKSGKIPHIILHSP</t>
  </si>
  <si>
    <t>KETMKKIAKSGKIPHIILHSP</t>
  </si>
  <si>
    <t>KETMKKIAESGKIPHIILHSP</t>
  </si>
  <si>
    <t>KETMKKIAASGKIPHIILHSP</t>
  </si>
  <si>
    <t>KETMKKIVNSGKIPHIILHSP</t>
  </si>
  <si>
    <t>KETMKEIAKSGKIPHIILHSP</t>
  </si>
  <si>
    <t>KETMKAIAKSGKIPHIILHSP</t>
  </si>
  <si>
    <t>KETMKAIADSGKIPHIILHSP</t>
  </si>
  <si>
    <t>KETMKAIAASGKIPHIILHSP</t>
  </si>
  <si>
    <t>KETMKSIAKSGKIPHIILHSP</t>
  </si>
  <si>
    <t>KETMKSIASSGKIPHIILHSP</t>
  </si>
  <si>
    <t>KETMRKIAKSGKIPHIILHSP</t>
  </si>
  <si>
    <t>KETLKKIAASGKIPHIILHSP</t>
  </si>
  <si>
    <t>KETLQKIANSGKIPHIILHSP</t>
  </si>
  <si>
    <t>KETFKKIAASGKIPHIILHSP</t>
  </si>
  <si>
    <t>KETFKAIAASGKIPHIILHSP</t>
  </si>
  <si>
    <t>KEMFKNIVAKGKIPHIILHSP</t>
  </si>
  <si>
    <t>KEIMKKIAASGKIPHIILHSP</t>
  </si>
  <si>
    <t>KEQMKKIAASGKIPHIILHSP</t>
  </si>
  <si>
    <t>KEQMREIAKSGKIPHIILHSP</t>
  </si>
  <si>
    <t>KEQLKAIAKSGKIPHIILHSP</t>
  </si>
  <si>
    <t>KERMKKIAESGKIPHIILHSP</t>
  </si>
  <si>
    <t>KERMKKIAASGKIPHIILHSP</t>
  </si>
  <si>
    <t>KERMKEIAKSGKIPHIILHSP</t>
  </si>
  <si>
    <t>KERMKEIAASGKIPHIILHSP</t>
  </si>
  <si>
    <t>KERMKEIVASGKIPHIILHSP</t>
  </si>
  <si>
    <t>KERMKAIAASGKIPHIILHSP</t>
  </si>
  <si>
    <t>KERMRKIASSGKIPHIILHSP</t>
  </si>
  <si>
    <t>KERMRQIAKSGKIPHIILHSP</t>
  </si>
  <si>
    <t>KERMREIAASGKIPHIILHSP</t>
  </si>
  <si>
    <t>KERMLEIAKSGKIPHIILHSP</t>
  </si>
  <si>
    <t>KERMLEIVKSGKIPHIILHSP</t>
  </si>
  <si>
    <t>KERLKEIAKSGKIPHIILHSP</t>
  </si>
  <si>
    <t>KERLKEIAASGKIPHIILHSP</t>
  </si>
  <si>
    <t>KERLREIAASGKIPHIILHSP</t>
  </si>
  <si>
    <t>KERFKKIAKSGKIPHIILHSP</t>
  </si>
  <si>
    <t>KERFKKIAAAGKIPHIILHSP</t>
  </si>
  <si>
    <t>KERFKKIAASGKIPHIILHSP</t>
  </si>
  <si>
    <t>KERFKEIAKSGKIPHIILHSP</t>
  </si>
  <si>
    <t>KERFKEIAASGKIPHIILHSP</t>
  </si>
  <si>
    <t>KERFKEIVASGKIPHIILHSP</t>
  </si>
  <si>
    <t>KERFKAIAAKGKIPHIILHSP</t>
  </si>
  <si>
    <t>KERFKAIAASGKIPHIILHSP</t>
  </si>
  <si>
    <t>KERFKAIVAKGKIPHIILHSP</t>
  </si>
  <si>
    <t>KERFKSIAESGKIPHIILHSP</t>
  </si>
  <si>
    <t>KELMKKIAKSGKIPHIILHSP</t>
  </si>
  <si>
    <t>KELMKKIANSGKIPHIILHSP</t>
  </si>
  <si>
    <t>KELMKKIAESGKIPHIILHSP</t>
  </si>
  <si>
    <t>KELMKKIADSGKIPHIILHSP</t>
  </si>
  <si>
    <t>KELMKKIAASGKIPHIILHSP</t>
  </si>
  <si>
    <t>KELMKKIASSGKIPHIILHSP</t>
  </si>
  <si>
    <t>KELMKKIVESGKIPHIILHSP</t>
  </si>
  <si>
    <t>KELMKNIAASGKIPHIILHSP</t>
  </si>
  <si>
    <t>KELMKQIAESGKIPHIILHSP</t>
  </si>
  <si>
    <t>KELMKQIAASGKIPHIILHSP</t>
  </si>
  <si>
    <t>KELMKEIAKSGKIPHIILHSP</t>
  </si>
  <si>
    <t>KELMKEIAASGKIPHIILHSP</t>
  </si>
  <si>
    <t>KELMKSIAASGKIPHIILHSP</t>
  </si>
  <si>
    <t>KELMKSIASSGKIPHIILHSP</t>
  </si>
  <si>
    <t>KELMRKIAASGKIPHIILHSP</t>
  </si>
  <si>
    <t>KELMREIAKSGKIPHIILHSP</t>
  </si>
  <si>
    <t>KELMRSIANSGKIPHIILHSP</t>
  </si>
  <si>
    <t>KELLKKIAKSGKIPHIILHSP</t>
  </si>
  <si>
    <t>KELLRKIADSGKIPHIILHSP</t>
  </si>
  <si>
    <t>KELFKKIAESGKIPHIILHSP</t>
  </si>
  <si>
    <t>KELFKKIAAAGKIPHIILHSP</t>
  </si>
  <si>
    <t>KELFKKIAASGKIPHIILHSP</t>
  </si>
  <si>
    <t>KELFKKIASSGKIPHIILHSP</t>
  </si>
  <si>
    <t>KELFKKIVASGKIPHIILHSP</t>
  </si>
  <si>
    <t>KELFKNIVKKGKIPHIILHSP</t>
  </si>
  <si>
    <t>KELFKNIVKRGKIPHIILHSP</t>
  </si>
  <si>
    <t>KELFKNIVKSGKIPHIILHSP</t>
  </si>
  <si>
    <t>KELFKNIVAKGKIPHIILHSP</t>
  </si>
  <si>
    <t>KELFKNIVASGKIPHIILHSP</t>
  </si>
  <si>
    <t>KELFKQIAAAGKIPHIILHSP</t>
  </si>
  <si>
    <t>KELFKQIAASGKIPHIILHSP</t>
  </si>
  <si>
    <t>KELFKQIVASGKIPHIILHSP</t>
  </si>
  <si>
    <t>KELFKQICASGKIPHIILHSP</t>
  </si>
  <si>
    <t>KELFKRIAASGKIPHIILHSP</t>
  </si>
  <si>
    <t>KELFKRIVASGKIPHIILHSP</t>
  </si>
  <si>
    <t>KELFKEIAKSGKIPHIILHSP</t>
  </si>
  <si>
    <t>KELFKEIAAKGKIPHIILHSP</t>
  </si>
  <si>
    <t>KELFKEIAASGKIPHIILHSP</t>
  </si>
  <si>
    <t>KELFKEIVKRGKIPHIILHSP</t>
  </si>
  <si>
    <t>KELFKEIVAKGKIPHIILHSP</t>
  </si>
  <si>
    <t>KELFKEIVARGKIPHIILHSP</t>
  </si>
  <si>
    <t>KELFKEIVASGKIPHIILHSP</t>
  </si>
  <si>
    <t>KELFKDIVKRGKIPHIILHSP</t>
  </si>
  <si>
    <t>KELFKAIAASGKIPHIILHSP</t>
  </si>
  <si>
    <t>KELFKAIVKKGKIPHIILHSP</t>
  </si>
  <si>
    <t>KELFKAIVKRGKIPHIILHSP</t>
  </si>
  <si>
    <t>KELFKAIVKSGKIPHIILHSP</t>
  </si>
  <si>
    <t>KELFKAIVAKGKIPHIILHSP</t>
  </si>
  <si>
    <t>KELFKAIVARGKIPHIILHSP</t>
  </si>
  <si>
    <t>KELFKAIVASGKIPHIILHSP</t>
  </si>
  <si>
    <t>KELFKSIAASGKIPHIILHSP</t>
  </si>
  <si>
    <t>KELFKSIVKKGKIPHIILHSP</t>
  </si>
  <si>
    <t>KELFKSIVKRGKIPHIILHSP</t>
  </si>
  <si>
    <t>KELFKSIVKSGKIPHIILHSP</t>
  </si>
  <si>
    <t>KELFKSIVEKGKIPHIILHSP</t>
  </si>
  <si>
    <t>KELFKSIVESGKIPHIILHSP</t>
  </si>
  <si>
    <t>KELFKSIVAKGKIPHIILHSP</t>
  </si>
  <si>
    <t>KELFKSIVARGKIPHIILHSP</t>
  </si>
  <si>
    <t>KELFKSIVASGKIPHIILHSP</t>
  </si>
  <si>
    <t>KELFKSIVSKGKIPHIILHSP</t>
  </si>
  <si>
    <t>KELFQAIVAKGKIPHIILHSP</t>
  </si>
  <si>
    <t>KELFRKIAASGKIPHIILHSP</t>
  </si>
  <si>
    <t>KELFRNIVKSGKIPHIILHSP</t>
  </si>
  <si>
    <t>KELFRQLAASGKIPHIILHSP</t>
  </si>
  <si>
    <t>KELFREIAKSGKIPHIILHSP</t>
  </si>
  <si>
    <t>KELFREIAASGKIPHIILHSP</t>
  </si>
  <si>
    <t>KELFREIVASGKIPHIILHSP</t>
  </si>
  <si>
    <t>KELFRAIVKRGKIPHIILHSP</t>
  </si>
  <si>
    <t>KELFRAIVAKGKIPHIILHSP</t>
  </si>
  <si>
    <t>KELFRAIVARGKIPHIILHSP</t>
  </si>
  <si>
    <t>KELFRSIVKKGKIPHIILHSP</t>
  </si>
  <si>
    <t>KELFLSIVARGKIPHIILHSP</t>
  </si>
  <si>
    <t>KEEMKKIAKSGKIPHIILHSP</t>
  </si>
  <si>
    <t>KEEMKKIANSGKIPHIILHSP</t>
  </si>
  <si>
    <t>KEEMKKIAESGKIPHIILHSP</t>
  </si>
  <si>
    <t>KEEMKKIADSGKIPHIILHSP</t>
  </si>
  <si>
    <t>KEEMKKIAASGKIPHIILHSP</t>
  </si>
  <si>
    <t>KEEMKKIVASGKIPHIILHSP</t>
  </si>
  <si>
    <t>KEEMKKIVSSGKIPHIILHSP</t>
  </si>
  <si>
    <t>KEEMKRIAASGKIPHIILHSP</t>
  </si>
  <si>
    <t>KEEMRKIAQSGKIPHIILHSP</t>
  </si>
  <si>
    <t>KEEMLKIAKSGKIPHIILHSP</t>
  </si>
  <si>
    <t>KEELKKIAASGKIPHIILHSP</t>
  </si>
  <si>
    <t>KEEFKKIAASGKIPHIILHSP</t>
  </si>
  <si>
    <t>KEEFKKIVASGKIPHIILHSP</t>
  </si>
  <si>
    <t>KEEFQAIVAKGKIPHIILHSP</t>
  </si>
  <si>
    <t>KEEFRKIAESGKIPHIILHSP</t>
  </si>
  <si>
    <t>KEVMKKIANSGKIPHIILHSP</t>
  </si>
  <si>
    <t>KEVMKKIAASGKIPHIILHSP</t>
  </si>
  <si>
    <t>KEVLRKIAASGKIPHIILHSP</t>
  </si>
  <si>
    <t>KEYFKNIVKKGKIPHIILHSP</t>
  </si>
  <si>
    <t>KEYFKNIVKRGKIPHIILHSP</t>
  </si>
  <si>
    <t>KEYFKNIVKSGKIPHIILHSP</t>
  </si>
  <si>
    <t>KEYFKNIVAKGKIPHIILHSP</t>
  </si>
  <si>
    <t>KEYFKNIVARGKIPHIILHSP</t>
  </si>
  <si>
    <t>KEYFKNIVASGKIPHIILHSP</t>
  </si>
  <si>
    <t>KEYFKQIVAKGKIPHIILHSP</t>
  </si>
  <si>
    <t>KEYFKEIVKRGKIPHIILHSP</t>
  </si>
  <si>
    <t>KEYFKEIVKSGKIPHIILHSP</t>
  </si>
  <si>
    <t>KEYFKEIVARGKIPHIILHSP</t>
  </si>
  <si>
    <t>KEYFKDIVARGKIPHIILHSP</t>
  </si>
  <si>
    <t>KEYFKAIVKKGKIPHIILHSP</t>
  </si>
  <si>
    <t>KEYFKAIVKRGKIPHIILHSP</t>
  </si>
  <si>
    <t>KEYFKAIVKSGKIPHIILHSP</t>
  </si>
  <si>
    <t>KEYFKAIVRKGKIPHIILHSP</t>
  </si>
  <si>
    <t>KEYFKAIVERGKIPHIILHSP</t>
  </si>
  <si>
    <t>KEYFKAIVAKGKIPHIILHSP</t>
  </si>
  <si>
    <t>KEYFKAIVASGKIPHIILHSP</t>
  </si>
  <si>
    <t>KEYFKSIAASGKIPHIILHSP</t>
  </si>
  <si>
    <t>KEYFKSIVKKGKIPHIILHSP</t>
  </si>
  <si>
    <t>KEYFKSIVKRGKIPHIILHSP</t>
  </si>
  <si>
    <t>KEYFKSIVKSGKIPHIILHSP</t>
  </si>
  <si>
    <t>KEYFKSIVQRGKIPHIILHSP</t>
  </si>
  <si>
    <t>KEYFKSIVRKGKIPHIILHSP</t>
  </si>
  <si>
    <t>KEYFKSIVEKGKIPHIILHSP</t>
  </si>
  <si>
    <t>KEYFKSIVAKGKIPHIILHSP</t>
  </si>
  <si>
    <t>KEYFKSIVARGKIPHIILHSP</t>
  </si>
  <si>
    <t>KEYFKSIVASGKIPHIILHSP</t>
  </si>
  <si>
    <t>KEYFQAIVKRGKIPHIILHSP</t>
  </si>
  <si>
    <t>KEYFRNIVKSGKIPHIILHSP</t>
  </si>
  <si>
    <t>KEYFRNIVARGKIPHIILHSP</t>
  </si>
  <si>
    <t>KEYFRAIVKRGKIPHIILHSP</t>
  </si>
  <si>
    <t>KEYFRAIVAKGKIPHIILHSP</t>
  </si>
  <si>
    <t>KEYFRSIVARGKIPHIILHSP</t>
  </si>
  <si>
    <t>KEFFKNIVKKGKIPHIILHSP</t>
  </si>
  <si>
    <t>KEFFKNIVKRGKIPHIILHSP</t>
  </si>
  <si>
    <t>KEFFKNIVKAGKIPHIILHSP</t>
  </si>
  <si>
    <t>KEFFKNIVKSGKIPHIILHSP</t>
  </si>
  <si>
    <t>KEFFKNIVESGKIPHIILHSP</t>
  </si>
  <si>
    <t>KEFFKNIVAKGKIPHIILHSP</t>
  </si>
  <si>
    <t>KEFFKNIVARGKIPHIILHSP</t>
  </si>
  <si>
    <t>KEFFKNIVASGKIPHIILHSP</t>
  </si>
  <si>
    <t>KEFFKNIVSSGKIPHIILHSP</t>
  </si>
  <si>
    <t>KEFFKQIVKKGKIPHIILHSP</t>
  </si>
  <si>
    <t>KEFFKQIVARGKIPHIILHSP</t>
  </si>
  <si>
    <t>KEFFKQIVASGKIPHIILHSP</t>
  </si>
  <si>
    <t>KEFFKEIVKRGKIPHIILHSP</t>
  </si>
  <si>
    <t>KEFFKEIVRRGKIPHIILHSP</t>
  </si>
  <si>
    <t>KEFFKEIVAKGKIPHIILHSP</t>
  </si>
  <si>
    <t>KEFFKEIVARGKIPHIILHSP</t>
  </si>
  <si>
    <t>KEFFKEIVASGKIPHIILHSP</t>
  </si>
  <si>
    <t>KEFFKDIVARGKIPHIILHSP</t>
  </si>
  <si>
    <t>KEFFKAIVKKGKIPHIILHSP</t>
  </si>
  <si>
    <t>KEFFKAIVKRGKIPHIILHSP</t>
  </si>
  <si>
    <t>KEFFKAIVKSGKIPHIILHSP</t>
  </si>
  <si>
    <t>KEFFKAIVQKGKIPHIILHSP</t>
  </si>
  <si>
    <t>KEFFKAIVQRGKIPHIILHSP</t>
  </si>
  <si>
    <t>KEFFKAIVERGKIPHIILHSP</t>
  </si>
  <si>
    <t>KEFFKAIVAKGKIPHIILHSP</t>
  </si>
  <si>
    <t>KEFFKAIVARGKIPHIILHSP</t>
  </si>
  <si>
    <t>KEFFKAIVASGKIPHIILHSP</t>
  </si>
  <si>
    <t>KEFFKSIVKKGKIPHIILHSP</t>
  </si>
  <si>
    <t>KEFFKSIVKRGKIPHIILHSP</t>
  </si>
  <si>
    <t>KEFFKSIVKAGKIPHIILHSP</t>
  </si>
  <si>
    <t>KEFFKSIVKSGKIPHIILHSP</t>
  </si>
  <si>
    <t>KEFFKSIVESGKIPHIILHSP</t>
  </si>
  <si>
    <t>KEFFKSIVAKGKIPHIILHSP</t>
  </si>
  <si>
    <t>KEFFKSIVARGKIPHIILHSP</t>
  </si>
  <si>
    <t>KEFFKSIVAAGKIPHIILHSP</t>
  </si>
  <si>
    <t>KEFFKSIVASGKIPHIILHSP</t>
  </si>
  <si>
    <t>KEFFQNIVAKGKIPHIILHSP</t>
  </si>
  <si>
    <t>KEFFQAIVKRGKIPHIILHSP</t>
  </si>
  <si>
    <t>KEFFHSIVKKGKIPHIILHSP</t>
  </si>
  <si>
    <t>KEFFHSIVKSGKIPHIILHSP</t>
  </si>
  <si>
    <t>KEFFRNIVKKGKIPHIILHSP</t>
  </si>
  <si>
    <t>KEFFRNIVKSGKIPHIILHSP</t>
  </si>
  <si>
    <t>KEFFRQIVAKGKIPHIILHSP</t>
  </si>
  <si>
    <t>KEFFREIVKKGKIPHIILHSP</t>
  </si>
  <si>
    <t>KEFFRAIVARGKIPHIILHSP</t>
  </si>
  <si>
    <t>KEFFRAIVASGKIPHIILHSP</t>
  </si>
  <si>
    <t>KEFFRSIVARGKIPHIILHSP</t>
  </si>
  <si>
    <t>KEFFRSIVASGKIPHIILHSP</t>
  </si>
  <si>
    <t>KEFFLSIVKSGKIPHIILHSP</t>
  </si>
  <si>
    <t>KEFFDSIVAKGKIPHIILHSP</t>
  </si>
  <si>
    <t>KDLFKAIVARGKIPHIILHSP</t>
  </si>
  <si>
    <t>KDFFKEIVARGKIPHIILHSP</t>
  </si>
  <si>
    <t>KDFFKDIVKKGKIPHIILHSP</t>
  </si>
  <si>
    <t>KDFFKSIVAKGKIPHIILHSP</t>
  </si>
  <si>
    <t>KDFFKSIVARGKIPHIILHSP</t>
  </si>
  <si>
    <t>KDFFRQIVAKGKIPHIILHSP</t>
  </si>
  <si>
    <t>KAKMKEIAKSGKIPHIILHSP</t>
  </si>
  <si>
    <t>KAKMKEIAASGKIPHIILHSP</t>
  </si>
  <si>
    <t>KAKMKEIVASGKIPHIILHSP</t>
  </si>
  <si>
    <t>KAKMREIAASGKIPHIILHSP</t>
  </si>
  <si>
    <t>KAKFKEIAAAGKIPHIILHSP</t>
  </si>
  <si>
    <t>KAKFKAIAASGKIPHIILHSP</t>
  </si>
  <si>
    <t>KATMKEIAKSGKIPHIILHSP</t>
  </si>
  <si>
    <t>KATMKEIAASGKIPHIILHSP</t>
  </si>
  <si>
    <t>KATMKEIASSGKIPHIILHSP</t>
  </si>
  <si>
    <t>KATMKEIVASGKIPHIILHSP</t>
  </si>
  <si>
    <t>KATLKQIAASGKIPHIILHSP</t>
  </si>
  <si>
    <t>KATLKEIAASGKIPHIILHSP</t>
  </si>
  <si>
    <t>KATFKEIAASGKIPHIILHSP</t>
  </si>
  <si>
    <t>KAQMKEIADSGKIPHIILHSP</t>
  </si>
  <si>
    <t>KARMKEIAKSGKIPHIILHSP</t>
  </si>
  <si>
    <t>KARMKEIANSGKIPHIILHSP</t>
  </si>
  <si>
    <t>KARMKEIAASGKIPHIILHSP</t>
  </si>
  <si>
    <t>KARMKEIVASGKIPHIILHSP</t>
  </si>
  <si>
    <t>KARMKAIVESGKIPHIILHSP</t>
  </si>
  <si>
    <t>KARMQEIAASGKIPHIILHSP</t>
  </si>
  <si>
    <t>KARMREIAKSGKIPHIILHSP</t>
  </si>
  <si>
    <t>KARLKEIAASGKIPHIILHSP</t>
  </si>
  <si>
    <t>KARFKEIAASGKIPHIILHSP</t>
  </si>
  <si>
    <t>KARFKAIAASGKIPHIILHSP</t>
  </si>
  <si>
    <t>KALMKKIADSGKIPHIILHSP</t>
  </si>
  <si>
    <t>KALMKKIAASGKIPHIILHSP</t>
  </si>
  <si>
    <t>KALMKEIAKSGKIPHIILHSP</t>
  </si>
  <si>
    <t>KALMKEIANSGKIPHIILHSP</t>
  </si>
  <si>
    <t>KALMKEIAESGKIPHIILHSP</t>
  </si>
  <si>
    <t>KALMKEIAASGKIPHIILHSP</t>
  </si>
  <si>
    <t>KALMKEIVASGKIPHIILHSP</t>
  </si>
  <si>
    <t>KALMREIAKSGKIPHIILHSP</t>
  </si>
  <si>
    <t>KALMREIAESGKIPHIILHSP</t>
  </si>
  <si>
    <t>KALMREIAASGKIPHIILHSP</t>
  </si>
  <si>
    <t>KALIKQIVASGKIPHIILHSP</t>
  </si>
  <si>
    <t>KALLKQIAASGKIPHIILHSP</t>
  </si>
  <si>
    <t>KALLKRIAASGKIPHIILHSP</t>
  </si>
  <si>
    <t>KALLKEIADSGKIPHIILHSP</t>
  </si>
  <si>
    <t>KALLKEIAASGKIPHIILHSP</t>
  </si>
  <si>
    <t>KALLKEIVKSGKIPHIILHSP</t>
  </si>
  <si>
    <t>KALFKKIAASGKIPHIILHSP</t>
  </si>
  <si>
    <t>KALFKEIARSGKIPHIILHSP</t>
  </si>
  <si>
    <t>KALFKEIAAAGKIPHIILHSP</t>
  </si>
  <si>
    <t>KALFKEIAASGKIPHIILHSP</t>
  </si>
  <si>
    <t>KALFKEIVASGKIPHIILHSP</t>
  </si>
  <si>
    <t>KALFKEICASGKIPHIILHSP</t>
  </si>
  <si>
    <t>KALFKAIVKKGKIPHIILHSP</t>
  </si>
  <si>
    <t>KALFKAIVKRGKIPHIILHSP</t>
  </si>
  <si>
    <t>KALFKAIVDKGKIPHIILHSP</t>
  </si>
  <si>
    <t>KALFKAIVAKGKIPHIILHSP</t>
  </si>
  <si>
    <t>KALFKAIVARGKIPHIILHSP</t>
  </si>
  <si>
    <t>KALFKSIVKRGKIPHIILHSP</t>
  </si>
  <si>
    <t>KALFKSIVEKGKIPHIILHSP</t>
  </si>
  <si>
    <t>KALFKSIVAKGKIPHIILHSP</t>
  </si>
  <si>
    <t>KALFKSIVARGKIPHIILHSP</t>
  </si>
  <si>
    <t>KALFRAIVARGKIPHIILHSP</t>
  </si>
  <si>
    <t>KALFRSIVARGKIPHIILHSP</t>
  </si>
  <si>
    <t>KAEMKKIAESGKIPHIILHSP</t>
  </si>
  <si>
    <t>KAEMKKIAASGKIPHIILHSP</t>
  </si>
  <si>
    <t>KAEMKKIVASGKIPHIILHSP</t>
  </si>
  <si>
    <t>KAEMKRIAASGKIPHIILHSP</t>
  </si>
  <si>
    <t>KAEMKEIAASGKIPHIILHSP</t>
  </si>
  <si>
    <t>KAEMKAIAKSGKIPHIILHSP</t>
  </si>
  <si>
    <t>KAEMRKIAESGKIPHIILHSP</t>
  </si>
  <si>
    <t>KAEMRAIAASGKIPHIILHSP</t>
  </si>
  <si>
    <t>KAELKKIAASGKIPHIILHSP</t>
  </si>
  <si>
    <t>KAELKRIAASGKIPHIILHSP</t>
  </si>
  <si>
    <t>KAELKEIAASGKIPHIILHSP</t>
  </si>
  <si>
    <t>KAEFKAIAASGKIPHIILHSP</t>
  </si>
  <si>
    <t>KAYFKEIAKSGKIPHIILHSP</t>
  </si>
  <si>
    <t>KAYFKEIVKRGKIPHIILHSP</t>
  </si>
  <si>
    <t>KAYFKAIVQRGKIPHIILHSP</t>
  </si>
  <si>
    <t>KAYFKAIVAKGKIPHIILHSP</t>
  </si>
  <si>
    <t>KAYFKAIVARGKIPHIILHSP</t>
  </si>
  <si>
    <t>KAYFKAIVASGKIPHIILHSP</t>
  </si>
  <si>
    <t>KAYFKSIVARGKIPHIILHSP</t>
  </si>
  <si>
    <t>KAYFKSIVASGKIPHIILHSP</t>
  </si>
  <si>
    <t>KAYFRAIVARGKIPHIILHSP</t>
  </si>
  <si>
    <t>KAFFKDIVKKGKIPHIILHSP</t>
  </si>
  <si>
    <t>KAFFKDIVKSGKIPHIILHSP</t>
  </si>
  <si>
    <t>KAFFKDIVARGKIPHIILHSP</t>
  </si>
  <si>
    <t>KAFFKDIVAAGKIPHIILHSP</t>
  </si>
  <si>
    <t>KAFFKDIVASGKIPHIILHSP</t>
  </si>
  <si>
    <t>KAFFKAIVKKGKIPHIILHSP</t>
  </si>
  <si>
    <t>KAFFKAIVKRGKIPHIILHSP</t>
  </si>
  <si>
    <t>KAFFKAIVEKGKIPHIILHSP</t>
  </si>
  <si>
    <t>KAFFKAIVERGKIPHIILHSP</t>
  </si>
  <si>
    <t>KAFFKAIVAKGKIPHIILHSP</t>
  </si>
  <si>
    <t>KAFFKAIVARGKIPHIILHSP</t>
  </si>
  <si>
    <t>KAFFKAIVASGKIPHIILHSP</t>
  </si>
  <si>
    <t>KAFFKSIVEKGKIPHIILHSP</t>
  </si>
  <si>
    <t>KAFFKSIVAKGKIPHIILHSP</t>
  </si>
  <si>
    <t>KAFFKSIVARGKIPHIILHSP</t>
  </si>
  <si>
    <t>KAFFKSIVASGKIPHIILHSP</t>
  </si>
  <si>
    <t>KAFFKSIVSSGKIPHIILHSP</t>
  </si>
  <si>
    <t>KAFFRAIVKRGKIPHIILHSP</t>
  </si>
  <si>
    <t>KAFFRAIVAKGKIPHIILHSP</t>
  </si>
  <si>
    <t>KAFFRAIVASGKIPHIILHSP</t>
  </si>
  <si>
    <t>KAFFRSIVARGKIPHIILHSP</t>
  </si>
  <si>
    <t>KAFFEAIVKRGKIPHIILHSP</t>
  </si>
  <si>
    <t>KGFFKAIVAKGKIPHIILHSP</t>
  </si>
  <si>
    <t>KSLMKEIAASGKIPHIILHSP</t>
  </si>
  <si>
    <t>KSLFKSIVKKGKIPHIILHSP</t>
  </si>
  <si>
    <t>KSLFKSIVAKGKIPHIILHSP</t>
  </si>
  <si>
    <t>KSYFKDIVKKGKIPHIILHSP</t>
  </si>
  <si>
    <t>KSYFKAIVKKGKIPHIILHSP</t>
  </si>
  <si>
    <t>KSYFESIVKSGKIPHIILHSP</t>
  </si>
  <si>
    <t>KSFFKEIVESGKIPHIILHSP</t>
  </si>
  <si>
    <t>KSFFKAIVESGKIPHIILHSP</t>
  </si>
  <si>
    <t>KSFFKSIVASGKIPHIILHSP</t>
  </si>
  <si>
    <t>RKRMKEIAESGKIPHIILHSP</t>
  </si>
  <si>
    <t>RKRFKEIAASGKIPHIILHSP</t>
  </si>
  <si>
    <t>RKLMKEIANSGKIPHIILHSP</t>
  </si>
  <si>
    <t>RKLMKEIAESGKIPHIILHSP</t>
  </si>
  <si>
    <t>RKLMKEIADSGKIPHIILHSP</t>
  </si>
  <si>
    <t>RKLFKEIAASGKIPHIILHSP</t>
  </si>
  <si>
    <t>RQLMKEIVKSGKIPHIILHSP</t>
  </si>
  <si>
    <t>REKMKEIVKSGKIPHIILHSP</t>
  </si>
  <si>
    <t>RETMKAIAASGKIPHIILHSP</t>
  </si>
  <si>
    <t>REMFKKIAASGKIPHIILHSP</t>
  </si>
  <si>
    <t>RERMKAIAASGKIPHIILHSP</t>
  </si>
  <si>
    <t>RERMRKIAASGKIPHIILHSP</t>
  </si>
  <si>
    <t>RERFRKIAASGKIPHIILHSP</t>
  </si>
  <si>
    <t>RELMKKIAESGKIPHIILHSP</t>
  </si>
  <si>
    <t>RELMKKIAASGKIPHIILHSP</t>
  </si>
  <si>
    <t>RELFKKIAASGKIPHIILHSP</t>
  </si>
  <si>
    <t>RELFKSIVNAGKIPHIILHSP</t>
  </si>
  <si>
    <t>REEMKKIAASGKIPHIILHSP</t>
  </si>
  <si>
    <t>RAKMKEIAASGKIPHIILHSP</t>
  </si>
  <si>
    <t>RATMKEIANSGKIPHIILHSP</t>
  </si>
  <si>
    <t>RATMKEIAASGKIPHIILHSP</t>
  </si>
  <si>
    <t>RATMREIAASGKIPHIILHSP</t>
  </si>
  <si>
    <t>RALMKEIAASGKIPHIILHSP</t>
  </si>
  <si>
    <t>RAYFKEIAASGKIPHIILHSP</t>
  </si>
  <si>
    <t>RAYFKELAASGKIPHIILHSP</t>
  </si>
  <si>
    <t>LKKMKEIAKSGKIPHIILHSP</t>
  </si>
  <si>
    <t>LKKMKEIAASGKIPHIILHSP</t>
  </si>
  <si>
    <t>LKTMKEIAESGKIPHIILHSP</t>
  </si>
  <si>
    <t>LKRMKEIAASGKIPHIILHSP</t>
  </si>
  <si>
    <t>LKRMREIAKSGKIPHIILHSP</t>
  </si>
  <si>
    <t>LKRLKEIVSSGKIPHIILHSP</t>
  </si>
  <si>
    <t>LKRFKEIAASGKIPHIILHSP</t>
  </si>
  <si>
    <t>LKLMKEIAASGKIPHIILHSP</t>
  </si>
  <si>
    <t>LKLMREIAASGKIPHIILHSP</t>
  </si>
  <si>
    <t>LKLFKEIAASGKIPHIILHSP</t>
  </si>
  <si>
    <t>LKEMKEIVESGKIPHIILHSP</t>
  </si>
  <si>
    <t>LKEMKEIVASGKIPHIILHSP</t>
  </si>
  <si>
    <t>LKYFKDIVKSGKIPHIILHSP</t>
  </si>
  <si>
    <t>LKFFREIVAKGKIPHIILHSP</t>
  </si>
  <si>
    <t>LKFFRDIVARGKIPHIILHSP</t>
  </si>
  <si>
    <t>LNYFKEIVAKGKIPHIILHSP</t>
  </si>
  <si>
    <t>LQKMKEIAASGKIPHIILHSP</t>
  </si>
  <si>
    <t>LQRMKEIVASGKIPHIILHSP</t>
  </si>
  <si>
    <t>LQRMREIAASGKIPHIILHSP</t>
  </si>
  <si>
    <t>LQRFKAIVASGKIPHIILHSP</t>
  </si>
  <si>
    <t>LQLMKEIAASGKIPHIILHSP</t>
  </si>
  <si>
    <t>LQLFKEIAASGKIPHIILHSP</t>
  </si>
  <si>
    <t>LQLFKDIVKRGKIPHIILHSP</t>
  </si>
  <si>
    <t>LQEMKAIAASGKIPHIILHSP</t>
  </si>
  <si>
    <t>LQYFKDIVASGKIPHIILHSP</t>
  </si>
  <si>
    <t>LEKFKEIAASGKIPHIILHSP</t>
  </si>
  <si>
    <t>LETMKKIAESGKIPHIILHSP</t>
  </si>
  <si>
    <t>LETMKKIAASGKIPHIILHSP</t>
  </si>
  <si>
    <t>LETMRKIAASGKIPHIILHSP</t>
  </si>
  <si>
    <t>LETMREIAKSGKIPHIILHSP</t>
  </si>
  <si>
    <t>LEMFKKIAASGKIPHIILHSP</t>
  </si>
  <si>
    <t>LERMKAIADSGKIPHIILHSP</t>
  </si>
  <si>
    <t>LERFKEIAASGKIPHIILHSP</t>
  </si>
  <si>
    <t>LERFKSIAKSGKIPHIILHSP</t>
  </si>
  <si>
    <t>LELMKQIAESGKIPHIILHSP</t>
  </si>
  <si>
    <t>LELLKEIAASGKIPHIILHSP</t>
  </si>
  <si>
    <t>LELFKNIVKKGKIPHIILHSP</t>
  </si>
  <si>
    <t>LELFKEIAASGKIPHIILHSP</t>
  </si>
  <si>
    <t>LELFKAIVKRGKIPHIILHSP</t>
  </si>
  <si>
    <t>LELFKSIVAKGKIPHIILHSP</t>
  </si>
  <si>
    <t>LELFKSIVASGKIPHIILHSP</t>
  </si>
  <si>
    <t>LEEMKKIANSGKIPHIILHSP</t>
  </si>
  <si>
    <t>LEEMKKIAQSGKIPHIILHSP</t>
  </si>
  <si>
    <t>LEEMRKIAKSGKIPHIILHSP</t>
  </si>
  <si>
    <t>LEEMRKIAESGKIPHIILHSP</t>
  </si>
  <si>
    <t>LEELKKIAASGKIPHIILHSP</t>
  </si>
  <si>
    <t>LEYFKNIVKKGKIPHIILHSP</t>
  </si>
  <si>
    <t>LEYFKNIVARGKIPHIILHSP</t>
  </si>
  <si>
    <t>LEYFKEIVARGKIPHIILHSP</t>
  </si>
  <si>
    <t>LEYFKAIVKRGKIPHIILHSP</t>
  </si>
  <si>
    <t>LEYFKSIVAKGKIPHIILHSP</t>
  </si>
  <si>
    <t>LEYFKSIVASGKIPHIILHSP</t>
  </si>
  <si>
    <t>LEYFRAIVARGKIPHIILHSP</t>
  </si>
  <si>
    <t>LEFFKNIVKKGKIPHIILHSP</t>
  </si>
  <si>
    <t>LEFFKNIVKSGKIPHIILHSP</t>
  </si>
  <si>
    <t>LEFFKAIVKSGKIPHIILHSP</t>
  </si>
  <si>
    <t>LEFFKAIVARGKIPHIILHSP</t>
  </si>
  <si>
    <t>LEFFKSIVAKGKIPHIILHSP</t>
  </si>
  <si>
    <t>LEFFRNIVARGKIPHIILHSP</t>
  </si>
  <si>
    <t>LAKMKEIAASGKIPHIILHSP</t>
  </si>
  <si>
    <t>LATMKEIAASGKIPHIILHSP</t>
  </si>
  <si>
    <t>LAQMKEIAASGKIPHIILHSP</t>
  </si>
  <si>
    <t>LARMKEIVASGKIPHIILHSP</t>
  </si>
  <si>
    <t>LALMKQIAASGKIPHIILHSP</t>
  </si>
  <si>
    <t>LALMKEIAASGKIPHIILHSP</t>
  </si>
  <si>
    <t>LALMRKIAQSGKIPHIILHSP</t>
  </si>
  <si>
    <t>LALMREIAASGKIPHIILHSP</t>
  </si>
  <si>
    <t>LALFKAIVAKGKIPHIILHSP</t>
  </si>
  <si>
    <t>LALFRAIVAKGKIPHIILHSP</t>
  </si>
  <si>
    <t>LAEMKKIAASGKIPHIILHSP</t>
  </si>
  <si>
    <t>LAEMKKIVASGKIPHIILHSP</t>
  </si>
  <si>
    <t>LAEMKEIAASGKIPHIILHSP</t>
  </si>
  <si>
    <t>LAYFKAIVARGKIPHIILHSP</t>
  </si>
  <si>
    <t>LAYFKAIVASGKIPHIILHSP</t>
  </si>
  <si>
    <t>LAFFKEIVARGKIPHIILHSP</t>
  </si>
  <si>
    <t>LSFFKDIVDSGKIPHIILHSP</t>
  </si>
  <si>
    <t>KETFKSITSKGKIPHIILHSP</t>
  </si>
  <si>
    <t/>
  </si>
  <si>
    <t>Total Counts</t>
  </si>
  <si>
    <t>Counts with &gt;0.1 fitness</t>
  </si>
  <si>
    <t>Sequence Name</t>
  </si>
  <si>
    <t>Amino Acid Sequence</t>
  </si>
  <si>
    <t>Enc_1 (S1)</t>
  </si>
  <si>
    <t>Enc_2 (S2)</t>
  </si>
  <si>
    <t>Enc_3 (S3)</t>
  </si>
  <si>
    <r>
      <t xml:space="preserve">Average GC% of Fit Variants (&gt;0): </t>
    </r>
    <r>
      <rPr>
        <b/>
        <sz val="14"/>
        <color theme="1"/>
        <rFont val="ArialMT"/>
        <family val="2"/>
      </rPr>
      <t>31.92%</t>
    </r>
  </si>
  <si>
    <r>
      <t xml:space="preserve">Average GC% of Sick Variants (-1 to 0): </t>
    </r>
    <r>
      <rPr>
        <b/>
        <sz val="14"/>
        <color theme="1"/>
        <rFont val="ArialMT"/>
        <family val="2"/>
      </rPr>
      <t>30.58%</t>
    </r>
  </si>
  <si>
    <r>
      <t xml:space="preserve">Average GC% of Dead Variants (&lt;-1): </t>
    </r>
    <r>
      <rPr>
        <b/>
        <sz val="14"/>
        <color theme="1"/>
        <rFont val="ArialMT"/>
        <family val="2"/>
      </rPr>
      <t>31.33%</t>
    </r>
  </si>
  <si>
    <t>Fraction of counts from &gt;0.1 fitness sequences</t>
  </si>
  <si>
    <t>STDEV</t>
  </si>
  <si>
    <t>8unh</t>
  </si>
  <si>
    <t>8uh7</t>
  </si>
  <si>
    <t>Sequence_1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</si>
</sst>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4"/>
      <color theme="1"/>
      <name val="ArialMT"/>
      <family val="2"/>
    </font>
    <font>
      <sz val="16"/>
      <color theme="1"/>
      <name val="ArialMT"/>
      <family val="2"/>
    </font>
    <font>
      <sz val="14"/>
      <color theme="1"/>
      <name val="Arial"/>
      <family val="2"/>
    </font>
    <font>
      <sz val="20"/>
      <color theme="1"/>
      <name val="Courier New"/>
      <family val="3"/>
    </font>
    <font>
      <sz val="16"/>
      <color theme="1"/>
      <name val="Arial"/>
      <family val="2"/>
    </font>
    <font>
      <sz val="16"/>
      <color theme="1"/>
      <name val="Courier New"/>
      <family val="1"/>
    </font>
    <font>
      <sz val="20"/>
      <color theme="1"/>
      <name val="Courier New"/>
      <family val="1"/>
    </font>
    <font>
      <sz val="18"/>
      <color theme="1"/>
      <name val="Courier New"/>
      <family val="1"/>
    </font>
    <font>
      <b/>
      <sz val="14"/>
      <color theme="1"/>
      <name val="ArialMT"/>
      <family val="2"/>
    </font>
    <font>
      <sz val="14"/>
      <color rgb="FF1F1F1F"/>
      <name val="Arial"/>
      <family val="2"/>
    </font>
    <font>
      <b/>
      <sz val="14"/>
      <color rgb="FF1F1F1F"/>
      <name val="Arial"/>
      <family val="2"/>
    </font>
    <font>
      <sz val="14"/>
      <color rgb="FF006100"/>
      <name val="ArialMT"/>
      <family val="2"/>
    </font>
    <font>
      <sz val="18"/>
      <color rgb="FF000000"/>
      <name val="Menlo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3" borderId="0" applyNumberFormat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  <xf numFmtId="0" fontId="10" fillId="0" borderId="0" xfId="0" applyFont="1"/>
    <xf numFmtId="0" fontId="9" fillId="0" borderId="0" xfId="0" applyFont="1"/>
    <xf numFmtId="3" fontId="0" fillId="0" borderId="0" xfId="0" applyNumberFormat="1"/>
    <xf numFmtId="0" fontId="11" fillId="3" borderId="0" xfId="1"/>
    <xf numFmtId="0" fontId="12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30-40 Wild-type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30-40 Wild-type</a:t>
          </a:r>
        </a:p>
      </cx:txPr>
    </cx:title>
    <cx:plotArea>
      <cx:plotAreaRegion>
        <cx:series layoutId="clusteredColumn" uniqueId="{3457F27D-25D7-4E4B-AAE1-04C21AC7A1C6}">
          <cx:dataId val="0"/>
          <cx:layoutPr>
            <cx:binning intervalClosed="r" underflow="-3" overflow="3">
              <cx:binCount val="100"/>
            </cx:binning>
          </cx:layoutPr>
        </cx:series>
      </cx:plotAreaRegion>
      <cx:axis id="0">
        <cx:catScaling gapWidth="0"/>
        <cx:tickLabels/>
        <cx:numFmt formatCode="0.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602802</xdr:colOff>
      <xdr:row>421</xdr:row>
      <xdr:rowOff>282977</xdr:rowOff>
    </xdr:from>
    <xdr:to>
      <xdr:col>38</xdr:col>
      <xdr:colOff>429295</xdr:colOff>
      <xdr:row>448</xdr:row>
      <xdr:rowOff>17887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9AE0066-6E2B-7291-DF45-5E8E720B6ED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880602" y="144643877"/>
              <a:ext cx="14939493" cy="89932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51FB-76DB-A04C-B61F-0AF7C39A2868}">
  <dimension ref="A1:Q445"/>
  <sheetViews>
    <sheetView tabSelected="1" topLeftCell="D1" zoomScale="71" zoomScaleNormal="71" workbookViewId="0">
      <selection activeCell="T11" sqref="T11"/>
    </sheetView>
  </sheetViews>
  <sheetFormatPr baseColWidth="10" defaultRowHeight="27"/>
  <cols>
    <col min="1" max="1" width="12.625" style="2" bestFit="1" customWidth="1"/>
    <col min="2" max="2" width="97.625" style="6" bestFit="1" customWidth="1"/>
    <col min="3" max="3" width="30.375" bestFit="1" customWidth="1"/>
    <col min="4" max="4" width="10.625" style="4"/>
    <col min="5" max="7" width="10.625" style="1"/>
    <col min="16" max="16" width="23.625" bestFit="1" customWidth="1"/>
  </cols>
  <sheetData>
    <row r="1" spans="1:17">
      <c r="A1" s="2" t="s">
        <v>1116</v>
      </c>
      <c r="B1" s="6" t="s">
        <v>1117</v>
      </c>
      <c r="D1" s="4" t="s">
        <v>553</v>
      </c>
      <c r="E1" s="1" t="s">
        <v>554</v>
      </c>
      <c r="F1" s="1" t="s">
        <v>555</v>
      </c>
      <c r="G1" s="1" t="s">
        <v>556</v>
      </c>
      <c r="I1" s="1" t="s">
        <v>558</v>
      </c>
      <c r="J1" s="1" t="s">
        <v>559</v>
      </c>
      <c r="K1" s="1" t="s">
        <v>560</v>
      </c>
      <c r="M1" s="1" t="s">
        <v>561</v>
      </c>
      <c r="N1" s="1"/>
    </row>
    <row r="2" spans="1:17">
      <c r="A2" s="2" t="s">
        <v>112</v>
      </c>
      <c r="B2" s="6" t="s">
        <v>675</v>
      </c>
      <c r="C2" s="7" t="str" cm="1">
        <f t="array" ref="C2">_xlfn.LET(
  _xlpm.s, UPPER(B2),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KEKMKAIAASGKIPHIILHSP</v>
      </c>
      <c r="D2" s="4">
        <v>730</v>
      </c>
      <c r="E2" s="1">
        <v>954</v>
      </c>
      <c r="F2" s="1">
        <v>2927</v>
      </c>
      <c r="G2" s="1">
        <v>899</v>
      </c>
      <c r="I2">
        <f t="shared" ref="I2:I65" si="0">LOG(E2/D2)-LOG(182/1787)</f>
        <v>1.1082786791042087</v>
      </c>
      <c r="J2">
        <f t="shared" ref="J2:J65" si="1">LOG(F2/D2)-LOG(516/1787)</f>
        <v>1.142574713191769</v>
      </c>
      <c r="K2">
        <f t="shared" ref="K2:K65" si="2">LOG(G2/D2)-LOG(201/1787)</f>
        <v>1.0393653266979281</v>
      </c>
      <c r="M2">
        <f t="shared" ref="M2:M65" si="3">AVERAGE(I2:K2)</f>
        <v>1.0967395729979685</v>
      </c>
      <c r="P2" t="s">
        <v>1238</v>
      </c>
      <c r="Q2" s="16" t="s">
        <v>1685</v>
      </c>
    </row>
    <row r="3" spans="1:17">
      <c r="A3" s="2" t="s">
        <v>113</v>
      </c>
      <c r="B3" s="6" t="s">
        <v>676</v>
      </c>
      <c r="C3" s="7" t="str" cm="1">
        <f t="array" ref="C3">_xlfn.LET(
  _xlpm.s, UPPER(B3),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KEKMLEIAKSGKIPHIILHSP</v>
      </c>
      <c r="D3" s="4">
        <v>297</v>
      </c>
      <c r="E3" s="1">
        <v>5362</v>
      </c>
      <c r="F3" s="1">
        <v>6639</v>
      </c>
      <c r="G3" s="1">
        <v>35</v>
      </c>
      <c r="I3">
        <f t="shared" si="0"/>
        <v>2.2486235248502178</v>
      </c>
      <c r="J3">
        <f t="shared" si="1"/>
        <v>1.8888210702081412</v>
      </c>
      <c r="K3">
        <f t="shared" si="2"/>
        <v>2.024009011821859E-2</v>
      </c>
      <c r="M3">
        <f t="shared" si="3"/>
        <v>1.3858948950588592</v>
      </c>
      <c r="P3" t="s">
        <v>1136</v>
      </c>
      <c r="Q3" s="16" t="s">
        <v>1685</v>
      </c>
    </row>
    <row r="4" spans="1:17">
      <c r="A4" s="2" t="s">
        <v>114</v>
      </c>
      <c r="B4" s="6" t="s">
        <v>677</v>
      </c>
      <c r="C4" s="7" t="str" cm="1">
        <f t="array" ref="C4">_xlfn.LET(
  _xlpm.s, UPPER(B4),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KEKLKEIAASGKIPHIILHSP</v>
      </c>
      <c r="D4" s="4">
        <v>622</v>
      </c>
      <c r="E4" s="1">
        <v>4879</v>
      </c>
      <c r="F4" s="1">
        <v>24</v>
      </c>
      <c r="G4" s="1">
        <v>1436</v>
      </c>
      <c r="I4">
        <f t="shared" si="0"/>
        <v>1.8865935979420172</v>
      </c>
      <c r="J4">
        <f t="shared" si="1"/>
        <v>-0.87410429210077967</v>
      </c>
      <c r="K4">
        <f t="shared" si="2"/>
        <v>1.3122925503006182</v>
      </c>
      <c r="M4">
        <f t="shared" si="3"/>
        <v>0.77492728538061861</v>
      </c>
      <c r="P4" t="s">
        <v>1367</v>
      </c>
      <c r="Q4" s="16" t="s">
        <v>1685</v>
      </c>
    </row>
    <row r="5" spans="1:17">
      <c r="A5" s="2" t="s">
        <v>115</v>
      </c>
      <c r="B5" s="6" t="s">
        <v>678</v>
      </c>
      <c r="C5" s="7" t="str" cm="1">
        <f t="array" ref="C5">_xlfn.LET(
  _xlpm.s, UPPER(B5),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KEKFKAIAASGKIPHIILHSP</v>
      </c>
      <c r="D5" s="4">
        <v>490</v>
      </c>
      <c r="E5" s="1">
        <v>933</v>
      </c>
      <c r="F5" s="1">
        <v>4117</v>
      </c>
      <c r="G5" s="1">
        <v>29</v>
      </c>
      <c r="I5">
        <f t="shared" si="0"/>
        <v>1.2717387282385557</v>
      </c>
      <c r="J5">
        <f t="shared" si="1"/>
        <v>1.4638596378474054</v>
      </c>
      <c r="K5">
        <f t="shared" si="2"/>
        <v>-0.27886958704440223</v>
      </c>
      <c r="M5">
        <f t="shared" si="3"/>
        <v>0.81890959301385291</v>
      </c>
      <c r="P5" t="s">
        <v>1231</v>
      </c>
      <c r="Q5" s="16" t="s">
        <v>1685</v>
      </c>
    </row>
    <row r="6" spans="1:17">
      <c r="A6" s="2" t="s">
        <v>116</v>
      </c>
      <c r="B6" s="6" t="s">
        <v>679</v>
      </c>
      <c r="C6" s="7" t="str" cm="1">
        <f t="array" ref="C6">_xlfn.LET(
  _xlpm.s, UPPER(B6),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KEKFRAIVAKGKIPHIILHSP</v>
      </c>
      <c r="D6" s="4">
        <v>408</v>
      </c>
      <c r="E6" s="1">
        <v>779</v>
      </c>
      <c r="F6" s="1">
        <v>5501</v>
      </c>
      <c r="G6" s="1">
        <v>340</v>
      </c>
      <c r="I6">
        <f t="shared" si="0"/>
        <v>1.272930459103254</v>
      </c>
      <c r="J6">
        <f t="shared" si="1"/>
        <v>1.669256332738319</v>
      </c>
      <c r="K6">
        <f t="shared" si="2"/>
        <v>0.86974724903753053</v>
      </c>
      <c r="M6">
        <f t="shared" si="3"/>
        <v>1.2706446802930345</v>
      </c>
      <c r="P6" t="s">
        <v>1327</v>
      </c>
      <c r="Q6" s="15" t="s">
        <v>1686</v>
      </c>
    </row>
    <row r="7" spans="1:17">
      <c r="A7" s="2" t="s">
        <v>117</v>
      </c>
      <c r="B7" s="6" t="s">
        <v>680</v>
      </c>
      <c r="C7" s="7" t="str" cm="1">
        <f t="array" ref="C7">_xlfn.LET(
  _xlpm.s, UPPER(B7),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KENMKKIVKSGKIPHIILHSP</v>
      </c>
      <c r="D7" s="4">
        <v>196</v>
      </c>
      <c r="E7" s="1">
        <v>81</v>
      </c>
      <c r="F7" s="1">
        <v>287311</v>
      </c>
      <c r="G7" s="1">
        <v>99</v>
      </c>
      <c r="I7">
        <f t="shared" si="0"/>
        <v>0.60828211204274318</v>
      </c>
      <c r="J7">
        <f t="shared" si="1"/>
        <v>3.7055710332474545</v>
      </c>
      <c r="K7">
        <f t="shared" si="2"/>
        <v>0.65230761832622908</v>
      </c>
      <c r="M7">
        <f t="shared" si="3"/>
        <v>1.6553869212054755</v>
      </c>
      <c r="P7" t="s">
        <v>1194</v>
      </c>
      <c r="Q7" s="16" t="s">
        <v>1685</v>
      </c>
    </row>
    <row r="8" spans="1:17">
      <c r="A8" s="2" t="s">
        <v>118</v>
      </c>
      <c r="B8" s="6" t="s">
        <v>681</v>
      </c>
      <c r="C8" s="7" t="str" cm="1">
        <f t="array" ref="C8">_xlfn.LET(
  _xlpm.s, UPPER(B8),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KETMKKIAKSGKIPHIILHSP</v>
      </c>
      <c r="D8" s="4">
        <v>266</v>
      </c>
      <c r="E8" s="1">
        <v>1460</v>
      </c>
      <c r="F8" s="1">
        <v>1569</v>
      </c>
      <c r="G8" s="1">
        <v>26</v>
      </c>
      <c r="I8">
        <f t="shared" si="0"/>
        <v>1.7315243836739396</v>
      </c>
      <c r="J8">
        <f t="shared" si="1"/>
        <v>1.3102161578343026</v>
      </c>
      <c r="K8">
        <f t="shared" si="2"/>
        <v>-6.0979793575093755E-2</v>
      </c>
      <c r="M8">
        <f t="shared" si="3"/>
        <v>0.99358691597771609</v>
      </c>
      <c r="P8" t="s">
        <v>1299</v>
      </c>
      <c r="Q8" s="16" t="s">
        <v>1685</v>
      </c>
    </row>
    <row r="9" spans="1:17">
      <c r="A9" s="2" t="s">
        <v>119</v>
      </c>
      <c r="B9" s="6" t="s">
        <v>682</v>
      </c>
      <c r="C9" s="7" t="str" cm="1">
        <f t="array" ref="C9">_xlfn.LET(
  _xlpm.s, UPPER(B9),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KETMKKIAESGKIPHIILHSP</v>
      </c>
      <c r="D9" s="4">
        <v>310</v>
      </c>
      <c r="E9" s="1">
        <v>7151</v>
      </c>
      <c r="F9" s="1">
        <v>6505</v>
      </c>
      <c r="G9" s="1">
        <v>33</v>
      </c>
      <c r="I9">
        <f t="shared" si="0"/>
        <v>2.3550582487271665</v>
      </c>
      <c r="J9">
        <f t="shared" si="1"/>
        <v>1.8613604579417653</v>
      </c>
      <c r="K9">
        <f t="shared" si="2"/>
        <v>-2.391925887122992E-2</v>
      </c>
      <c r="M9">
        <f t="shared" si="3"/>
        <v>1.3974998159325676</v>
      </c>
      <c r="P9" t="s">
        <v>1196</v>
      </c>
      <c r="Q9" s="16" t="s">
        <v>1685</v>
      </c>
    </row>
    <row r="10" spans="1:17">
      <c r="A10" s="2" t="s">
        <v>120</v>
      </c>
      <c r="B10" s="6" t="s">
        <v>683</v>
      </c>
      <c r="C10" s="7" t="str" cm="1">
        <f t="array" ref="C10">_xlfn.LET(
  _xlpm.s, UPPER(B10),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KETMKKIAASGKIPHIILHSP</v>
      </c>
      <c r="D10" s="4">
        <v>467</v>
      </c>
      <c r="E10" s="1">
        <v>51</v>
      </c>
      <c r="F10" s="1">
        <v>197</v>
      </c>
      <c r="G10" s="1">
        <v>373523</v>
      </c>
      <c r="I10">
        <f t="shared" si="0"/>
        <v>3.030646005239368E-2</v>
      </c>
      <c r="J10">
        <f t="shared" si="1"/>
        <v>0.16462419647391374</v>
      </c>
      <c r="K10">
        <f t="shared" si="2"/>
        <v>3.8519289635500957</v>
      </c>
      <c r="M10">
        <f t="shared" si="3"/>
        <v>1.3489532066921344</v>
      </c>
      <c r="P10" t="s">
        <v>1359</v>
      </c>
      <c r="Q10" s="16" t="s">
        <v>1685</v>
      </c>
    </row>
    <row r="11" spans="1:17">
      <c r="A11" s="2" t="s">
        <v>121</v>
      </c>
      <c r="B11" s="6" t="s">
        <v>684</v>
      </c>
      <c r="C11" s="7" t="str" cm="1">
        <f t="array" ref="C11">_xlfn.LET(
  _xlpm.s, UPPER(B11),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KETMKKIVNSGKIPHIILHSP</v>
      </c>
      <c r="D11" s="4">
        <v>237</v>
      </c>
      <c r="E11" s="1">
        <v>6144</v>
      </c>
      <c r="F11" s="1">
        <v>28</v>
      </c>
      <c r="G11" s="1">
        <v>7087</v>
      </c>
      <c r="I11">
        <f t="shared" si="0"/>
        <v>2.405756025533921</v>
      </c>
      <c r="J11">
        <f t="shared" si="1"/>
        <v>-0.38811546378945172</v>
      </c>
      <c r="K11">
        <f t="shared" si="2"/>
        <v>2.4246425818365678</v>
      </c>
      <c r="M11">
        <f t="shared" si="3"/>
        <v>1.4807610478603455</v>
      </c>
      <c r="P11" t="s">
        <v>1586</v>
      </c>
      <c r="Q11" s="15" t="s">
        <v>1686</v>
      </c>
    </row>
    <row r="12" spans="1:17">
      <c r="A12" s="2" t="s">
        <v>122</v>
      </c>
      <c r="B12" s="6" t="s">
        <v>685</v>
      </c>
      <c r="C12" s="7" t="str" cm="1">
        <f t="array" ref="C12">_xlfn.LET(
  _xlpm.s, UPPER(B12),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KETMKEIAKSGKIPHIILHSP</v>
      </c>
      <c r="D12" s="4">
        <v>338</v>
      </c>
      <c r="E12" s="1">
        <v>1014</v>
      </c>
      <c r="F12" s="1">
        <v>9416</v>
      </c>
      <c r="G12" s="1">
        <v>502</v>
      </c>
      <c r="I12">
        <f t="shared" si="0"/>
        <v>1.4691744192402318</v>
      </c>
      <c r="J12">
        <f t="shared" si="1"/>
        <v>1.9844246004361565</v>
      </c>
      <c r="K12">
        <f t="shared" si="2"/>
        <v>1.1207155119525198</v>
      </c>
      <c r="M12">
        <f t="shared" si="3"/>
        <v>1.5247715105429693</v>
      </c>
      <c r="P12" t="s">
        <v>1262</v>
      </c>
      <c r="Q12" s="16" t="s">
        <v>1685</v>
      </c>
    </row>
    <row r="13" spans="1:17">
      <c r="A13" s="2" t="s">
        <v>123</v>
      </c>
      <c r="B13" s="6" t="s">
        <v>686</v>
      </c>
      <c r="C13" s="7" t="str" cm="1">
        <f t="array" ref="C13">_xlfn.LET(
  _xlpm.s, UPPER(B13),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KETMKAIAKSGKIPHIILHSP</v>
      </c>
      <c r="D13" s="4">
        <v>564</v>
      </c>
      <c r="E13" s="1">
        <v>558</v>
      </c>
      <c r="F13" s="1">
        <v>918</v>
      </c>
      <c r="G13" s="1">
        <v>63</v>
      </c>
      <c r="I13">
        <f t="shared" si="0"/>
        <v>0.98740825947480593</v>
      </c>
      <c r="J13">
        <f t="shared" si="1"/>
        <v>0.75103842809633314</v>
      </c>
      <c r="K13">
        <f t="shared" si="2"/>
        <v>-3.0100594446053064E-3</v>
      </c>
      <c r="M13">
        <f t="shared" si="3"/>
        <v>0.57847887604217796</v>
      </c>
      <c r="P13" t="s">
        <v>1595</v>
      </c>
      <c r="Q13" s="16" t="s">
        <v>1685</v>
      </c>
    </row>
    <row r="14" spans="1:17">
      <c r="A14" s="2" t="s">
        <v>124</v>
      </c>
      <c r="B14" s="6" t="s">
        <v>687</v>
      </c>
      <c r="C14" s="7" t="str" cm="1">
        <f t="array" ref="C14">_xlfn.LET(
  _xlpm.s, UPPER(B14),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KETMKAIADSGKIPHIILHSP</v>
      </c>
      <c r="D14" s="4">
        <v>654</v>
      </c>
      <c r="E14" s="1">
        <v>71437</v>
      </c>
      <c r="F14" s="1">
        <v>51</v>
      </c>
      <c r="G14" s="1">
        <v>32</v>
      </c>
      <c r="I14">
        <f t="shared" si="0"/>
        <v>3.0303986242436083</v>
      </c>
      <c r="J14">
        <f t="shared" si="1"/>
        <v>-0.56853272134789801</v>
      </c>
      <c r="K14">
        <f t="shared" si="2"/>
        <v>-0.36149927491920608</v>
      </c>
      <c r="M14">
        <f t="shared" si="3"/>
        <v>0.70012220932550129</v>
      </c>
      <c r="P14" t="s">
        <v>1195</v>
      </c>
      <c r="Q14" s="16" t="s">
        <v>1685</v>
      </c>
    </row>
    <row r="15" spans="1:17">
      <c r="A15" s="2" t="s">
        <v>125</v>
      </c>
      <c r="B15" s="6" t="s">
        <v>688</v>
      </c>
      <c r="C15" s="7" t="str" cm="1">
        <f t="array" ref="C15">_xlfn.LET(
  _xlpm.s, UPPER(B15),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KETMKAIAASGKIPHIILHSP</v>
      </c>
      <c r="D15" s="4">
        <v>974</v>
      </c>
      <c r="E15" s="1">
        <v>12326</v>
      </c>
      <c r="F15" s="1">
        <v>19</v>
      </c>
      <c r="G15" s="1">
        <v>408</v>
      </c>
      <c r="I15">
        <f t="shared" si="0"/>
        <v>2.0943163710366104</v>
      </c>
      <c r="J15">
        <f t="shared" si="1"/>
        <v>-1.1703305050473536</v>
      </c>
      <c r="K15">
        <f t="shared" si="2"/>
        <v>0.57102970129641972</v>
      </c>
      <c r="M15">
        <f t="shared" si="3"/>
        <v>0.49833852242855886</v>
      </c>
      <c r="P15" t="s">
        <v>1620</v>
      </c>
      <c r="Q15" s="16" t="s">
        <v>1685</v>
      </c>
    </row>
    <row r="16" spans="1:17">
      <c r="A16" s="2" t="s">
        <v>126</v>
      </c>
      <c r="B16" s="6" t="s">
        <v>689</v>
      </c>
      <c r="C16" s="7" t="str" cm="1">
        <f t="array" ref="C16">_xlfn.LET(
  _xlpm.s, UPPER(B16),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KETMKSIAKSGKIPHIILHSP</v>
      </c>
      <c r="D16" s="4">
        <v>359</v>
      </c>
      <c r="E16" s="1">
        <v>3464</v>
      </c>
      <c r="F16" s="1">
        <v>3344</v>
      </c>
      <c r="G16" s="1">
        <v>100</v>
      </c>
      <c r="I16">
        <f t="shared" si="0"/>
        <v>1.9765365992875594</v>
      </c>
      <c r="J16">
        <f t="shared" si="1"/>
        <v>1.5086466710670927</v>
      </c>
      <c r="K16">
        <f t="shared" si="2"/>
        <v>0.39383404650683618</v>
      </c>
      <c r="M16">
        <f t="shared" si="3"/>
        <v>1.2930057722871628</v>
      </c>
      <c r="P16" t="s">
        <v>1268</v>
      </c>
      <c r="Q16" s="16" t="s">
        <v>1685</v>
      </c>
    </row>
    <row r="17" spans="1:17">
      <c r="A17" s="2" t="s">
        <v>127</v>
      </c>
      <c r="B17" s="6" t="s">
        <v>690</v>
      </c>
      <c r="C17" s="7" t="str" cm="1">
        <f t="array" ref="C17">_xlfn.LET(
  _xlpm.s, UPPER(B17),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KETMKSIASSGKIPHIILHSP</v>
      </c>
      <c r="D17" s="4">
        <v>833</v>
      </c>
      <c r="E17" s="1">
        <v>153</v>
      </c>
      <c r="F17" s="1">
        <v>642</v>
      </c>
      <c r="G17" s="1">
        <v>434</v>
      </c>
      <c r="I17">
        <f t="shared" si="0"/>
        <v>0.25609959393138071</v>
      </c>
      <c r="J17">
        <f t="shared" si="1"/>
        <v>0.42636487754049862</v>
      </c>
      <c r="K17">
        <f t="shared" si="2"/>
        <v>0.66577322319087839</v>
      </c>
      <c r="M17">
        <f t="shared" si="3"/>
        <v>0.44941256488758591</v>
      </c>
      <c r="P17" t="s">
        <v>1430</v>
      </c>
      <c r="Q17" s="15" t="s">
        <v>1686</v>
      </c>
    </row>
    <row r="18" spans="1:17">
      <c r="A18" s="2" t="s">
        <v>128</v>
      </c>
      <c r="B18" s="6" t="s">
        <v>691</v>
      </c>
      <c r="C18" s="7" t="str" cm="1">
        <f t="array" ref="C18">_xlfn.LET(
  _xlpm.s, UPPER(B18),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KETMRKIAKSGKIPHIILHSP</v>
      </c>
      <c r="D18" s="4">
        <v>545</v>
      </c>
      <c r="E18" s="1">
        <v>290</v>
      </c>
      <c r="F18" s="1">
        <v>7193</v>
      </c>
      <c r="G18" s="1">
        <v>124</v>
      </c>
      <c r="I18">
        <f t="shared" si="0"/>
        <v>0.71805466014288322</v>
      </c>
      <c r="J18">
        <f t="shared" si="1"/>
        <v>1.6599884089025769</v>
      </c>
      <c r="K18">
        <f t="shared" si="2"/>
        <v>0.30595367797074802</v>
      </c>
      <c r="M18">
        <f t="shared" si="3"/>
        <v>0.89466558233873605</v>
      </c>
      <c r="P18" t="s">
        <v>1585</v>
      </c>
      <c r="Q18" s="16" t="s">
        <v>1685</v>
      </c>
    </row>
    <row r="19" spans="1:17">
      <c r="A19" s="2" t="s">
        <v>129</v>
      </c>
      <c r="B19" s="6" t="s">
        <v>692</v>
      </c>
      <c r="C19" s="7" t="str" cm="1">
        <f t="array" ref="C19">_xlfn.LET(
  _xlpm.s, UPPER(B19),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KETLKKIAASGKIPHIILHSP</v>
      </c>
      <c r="D19" s="4">
        <v>392</v>
      </c>
      <c r="E19" s="1">
        <v>212</v>
      </c>
      <c r="F19" s="1">
        <v>236</v>
      </c>
      <c r="G19" s="1">
        <v>1653</v>
      </c>
      <c r="I19">
        <f t="shared" si="0"/>
        <v>0.72510295842886374</v>
      </c>
      <c r="J19">
        <f t="shared" si="1"/>
        <v>0.31910078682808229</v>
      </c>
      <c r="K19">
        <f t="shared" si="2"/>
        <v>1.5739152816361455</v>
      </c>
      <c r="M19">
        <f t="shared" si="3"/>
        <v>0.87270634229769717</v>
      </c>
      <c r="P19" t="s">
        <v>1301</v>
      </c>
      <c r="Q19" s="16" t="s">
        <v>1685</v>
      </c>
    </row>
    <row r="20" spans="1:17">
      <c r="A20" s="2" t="s">
        <v>130</v>
      </c>
      <c r="B20" s="6" t="s">
        <v>693</v>
      </c>
      <c r="C20" s="7" t="str" cm="1">
        <f t="array" ref="C20">_xlfn.LET(
  _xlpm.s, UPPER(B20),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KETLQKIANSGKIPHIILHSP</v>
      </c>
      <c r="D20" s="4">
        <v>248</v>
      </c>
      <c r="E20" s="1">
        <v>2769</v>
      </c>
      <c r="F20" s="1">
        <v>82</v>
      </c>
      <c r="G20" s="1">
        <v>1202</v>
      </c>
      <c r="I20">
        <f t="shared" si="0"/>
        <v>2.0399244394399276</v>
      </c>
      <c r="J20">
        <f t="shared" si="1"/>
        <v>5.8837022435933362E-2</v>
      </c>
      <c r="K20">
        <f t="shared" si="2"/>
        <v>1.6343812819256598</v>
      </c>
      <c r="M20">
        <f t="shared" si="3"/>
        <v>1.2443809146005069</v>
      </c>
      <c r="P20" t="s">
        <v>1627</v>
      </c>
      <c r="Q20" s="16" t="s">
        <v>1685</v>
      </c>
    </row>
    <row r="21" spans="1:17">
      <c r="A21" s="2" t="s">
        <v>131</v>
      </c>
      <c r="B21" s="6" t="s">
        <v>694</v>
      </c>
      <c r="C21" s="7" t="str" cm="1">
        <f t="array" ref="C21">_xlfn.LET(
  _xlpm.s, UPPER(B21),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KETFKKIAASGKIPHIILHSP</v>
      </c>
      <c r="D21" s="4">
        <v>303</v>
      </c>
      <c r="E21" s="1">
        <v>319</v>
      </c>
      <c r="F21" s="1">
        <v>6899</v>
      </c>
      <c r="G21" s="1">
        <v>462</v>
      </c>
      <c r="I21">
        <f t="shared" si="0"/>
        <v>1.0144012190754457</v>
      </c>
      <c r="J21">
        <f t="shared" si="1"/>
        <v>1.8968183673227226</v>
      </c>
      <c r="K21">
        <f t="shared" si="2"/>
        <v>1.1321278421389758</v>
      </c>
      <c r="M21">
        <f t="shared" si="3"/>
        <v>1.347782476179048</v>
      </c>
      <c r="P21" t="s">
        <v>1463</v>
      </c>
      <c r="Q21" s="16" t="s">
        <v>1685</v>
      </c>
    </row>
    <row r="22" spans="1:17">
      <c r="A22" s="2" t="s">
        <v>132</v>
      </c>
      <c r="B22" s="6" t="s">
        <v>695</v>
      </c>
      <c r="C22" s="7" t="str" cm="1">
        <f t="array" ref="C22">_xlfn.LET(
  _xlpm.s, UPPER(B22),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KETFKAIAASGKIPHIILHSP</v>
      </c>
      <c r="D22" s="4">
        <v>649</v>
      </c>
      <c r="E22" s="1">
        <v>3423</v>
      </c>
      <c r="F22" s="1">
        <v>139</v>
      </c>
      <c r="G22" s="1">
        <v>236</v>
      </c>
      <c r="I22">
        <f t="shared" si="0"/>
        <v>1.7142153668580773</v>
      </c>
      <c r="J22">
        <f t="shared" si="1"/>
        <v>-0.12975504566784124</v>
      </c>
      <c r="K22">
        <f t="shared" si="2"/>
        <v>0.50959580125489268</v>
      </c>
      <c r="M22">
        <f t="shared" si="3"/>
        <v>0.69801870748170958</v>
      </c>
      <c r="P22" t="s">
        <v>1255</v>
      </c>
      <c r="Q22" s="16" t="s">
        <v>1685</v>
      </c>
    </row>
    <row r="23" spans="1:17">
      <c r="A23" s="2" t="s">
        <v>133</v>
      </c>
      <c r="B23" s="6" t="s">
        <v>696</v>
      </c>
      <c r="C23" s="7" t="str" cm="1">
        <f t="array" ref="C23">_xlfn.LET(
  _xlpm.s, UPPER(B23),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KEMFKNIVAKGKIPHIILHSP</v>
      </c>
      <c r="D23" s="4">
        <v>214</v>
      </c>
      <c r="E23" s="1">
        <v>60498</v>
      </c>
      <c r="F23" s="1">
        <v>28</v>
      </c>
      <c r="G23" s="1">
        <v>59</v>
      </c>
      <c r="I23">
        <f t="shared" si="0"/>
        <v>3.443380408744162</v>
      </c>
      <c r="J23">
        <f t="shared" si="1"/>
        <v>-0.34378089112853871</v>
      </c>
      <c r="K23">
        <f t="shared" si="2"/>
        <v>0.38936673337810868</v>
      </c>
      <c r="M23">
        <f t="shared" si="3"/>
        <v>1.1629887503312439</v>
      </c>
      <c r="P23" t="s">
        <v>1250</v>
      </c>
      <c r="Q23" s="16" t="s">
        <v>1685</v>
      </c>
    </row>
    <row r="24" spans="1:17">
      <c r="A24" s="2" t="s">
        <v>134</v>
      </c>
      <c r="B24" s="6" t="s">
        <v>697</v>
      </c>
      <c r="C24" s="7" t="str" cm="1">
        <f t="array" ref="C24">_xlfn.LET(
  _xlpm.s, UPPER(B24),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KEIMKKIAASGKIPHIILHSP</v>
      </c>
      <c r="D24" s="4">
        <v>356</v>
      </c>
      <c r="E24" s="1">
        <v>1523</v>
      </c>
      <c r="F24" s="1">
        <v>21</v>
      </c>
      <c r="G24" s="1">
        <v>5691</v>
      </c>
      <c r="I24">
        <f t="shared" si="0"/>
        <v>1.623303069883737</v>
      </c>
      <c r="J24">
        <f t="shared" si="1"/>
        <v>-0.68975585236052306</v>
      </c>
      <c r="K24">
        <f t="shared" si="2"/>
        <v>2.1526670827206051</v>
      </c>
      <c r="M24">
        <f t="shared" si="3"/>
        <v>1.028738100081273</v>
      </c>
      <c r="P24" t="s">
        <v>1549</v>
      </c>
      <c r="Q24" s="15" t="s">
        <v>1686</v>
      </c>
    </row>
    <row r="25" spans="1:17">
      <c r="A25" s="2" t="s">
        <v>135</v>
      </c>
      <c r="B25" s="6" t="s">
        <v>698</v>
      </c>
      <c r="C25" s="7" t="str" cm="1">
        <f t="array" ref="C25">_xlfn.LET(
  _xlpm.s, UPPER(B25),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KEQMKKIAASGKIPHIILHSP</v>
      </c>
      <c r="D25" s="4">
        <v>551</v>
      </c>
      <c r="E25" s="1">
        <v>6468</v>
      </c>
      <c r="F25" s="1">
        <v>455</v>
      </c>
      <c r="G25" s="1">
        <v>81</v>
      </c>
      <c r="I25">
        <f t="shared" si="0"/>
        <v>2.061671576903148</v>
      </c>
      <c r="J25">
        <f t="shared" si="1"/>
        <v>0.45633464868376028</v>
      </c>
      <c r="K25">
        <f t="shared" si="2"/>
        <v>0.11626191511202</v>
      </c>
      <c r="M25">
        <f t="shared" si="3"/>
        <v>0.878089380232976</v>
      </c>
      <c r="P25" t="s">
        <v>1461</v>
      </c>
      <c r="Q25" s="16" t="s">
        <v>1685</v>
      </c>
    </row>
    <row r="26" spans="1:17">
      <c r="A26" s="2" t="s">
        <v>136</v>
      </c>
      <c r="B26" s="6" t="s">
        <v>699</v>
      </c>
      <c r="C26" s="7" t="str" cm="1">
        <f t="array" ref="C26">_xlfn.LET(
  _xlpm.s, UPPER(B26),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KEQMREIAKSGKIPHIILHSP</v>
      </c>
      <c r="D26" s="4">
        <v>698</v>
      </c>
      <c r="E26" s="1">
        <v>32</v>
      </c>
      <c r="F26" s="1">
        <v>4827</v>
      </c>
      <c r="G26" s="1">
        <v>1131</v>
      </c>
      <c r="I26">
        <f t="shared" si="0"/>
        <v>-0.34665227978268565</v>
      </c>
      <c r="J26">
        <f t="shared" si="1"/>
        <v>1.3792967270739638</v>
      </c>
      <c r="K26">
        <f t="shared" si="2"/>
        <v>1.1585356773874496</v>
      </c>
      <c r="M26">
        <f t="shared" si="3"/>
        <v>0.73039337489290934</v>
      </c>
      <c r="P26" t="s">
        <v>1245</v>
      </c>
      <c r="Q26" s="16" t="s">
        <v>1685</v>
      </c>
    </row>
    <row r="27" spans="1:17">
      <c r="A27" s="2" t="s">
        <v>137</v>
      </c>
      <c r="B27" s="6" t="s">
        <v>700</v>
      </c>
      <c r="C27" s="7" t="str" cm="1">
        <f t="array" ref="C27">_xlfn.LET(
  _xlpm.s, UPPER(B27),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KEQLKAIAKSGKIPHIILHSP</v>
      </c>
      <c r="D27" s="4">
        <v>673</v>
      </c>
      <c r="E27" s="1">
        <v>10</v>
      </c>
      <c r="F27" s="1">
        <v>15184</v>
      </c>
      <c r="G27" s="1">
        <v>26</v>
      </c>
      <c r="I27">
        <f t="shared" si="0"/>
        <v>-0.83596189970340751</v>
      </c>
      <c r="J27">
        <f t="shared" si="1"/>
        <v>1.8928459817376737</v>
      </c>
      <c r="K27">
        <f t="shared" si="2"/>
        <v>-0.46411322116800346</v>
      </c>
      <c r="M27">
        <f t="shared" si="3"/>
        <v>0.19759028695542091</v>
      </c>
      <c r="P27" t="s">
        <v>1138</v>
      </c>
      <c r="Q27" s="16" t="s">
        <v>1685</v>
      </c>
    </row>
    <row r="28" spans="1:17">
      <c r="A28" s="2" t="s">
        <v>138</v>
      </c>
      <c r="B28" s="6" t="s">
        <v>701</v>
      </c>
      <c r="C28" s="7" t="str" cm="1">
        <f t="array" ref="C28">_xlfn.LET(
  _xlpm.s, UPPER(B28),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KERMKKIAESGKIPHIILHSP</v>
      </c>
      <c r="D28" s="4">
        <v>539</v>
      </c>
      <c r="E28" s="1">
        <v>368</v>
      </c>
      <c r="F28" s="1">
        <v>2171</v>
      </c>
      <c r="G28" s="1">
        <v>175</v>
      </c>
      <c r="I28">
        <f t="shared" si="0"/>
        <v>0.82631221800734844</v>
      </c>
      <c r="J28">
        <f t="shared" si="1"/>
        <v>1.1445459091461143</v>
      </c>
      <c r="K28">
        <f t="shared" si="2"/>
        <v>0.46037777858471102</v>
      </c>
      <c r="M28">
        <f t="shared" si="3"/>
        <v>0.81041196857939124</v>
      </c>
      <c r="P28" t="s">
        <v>1601</v>
      </c>
      <c r="Q28" s="16" t="s">
        <v>1685</v>
      </c>
    </row>
    <row r="29" spans="1:17">
      <c r="A29" s="2" t="s">
        <v>139</v>
      </c>
      <c r="B29" s="6" t="s">
        <v>702</v>
      </c>
      <c r="C29" s="7" t="str" cm="1">
        <f t="array" ref="C29">_xlfn.LET(
  _xlpm.s, UPPER(B29),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KERMKKIAASGKIPHIILHSP</v>
      </c>
      <c r="D29" s="4">
        <v>733</v>
      </c>
      <c r="E29" s="1">
        <v>280</v>
      </c>
      <c r="F29" s="1">
        <v>279</v>
      </c>
      <c r="G29" s="1">
        <v>196</v>
      </c>
      <c r="I29">
        <f t="shared" si="0"/>
        <v>0.57410722122166069</v>
      </c>
      <c r="J29">
        <f t="shared" si="1"/>
        <v>0.11997507951090258</v>
      </c>
      <c r="K29">
        <f t="shared" si="2"/>
        <v>0.37608059180050346</v>
      </c>
      <c r="M29">
        <f t="shared" si="3"/>
        <v>0.35672096417768895</v>
      </c>
      <c r="P29" t="s">
        <v>1271</v>
      </c>
      <c r="Q29" s="16" t="s">
        <v>1685</v>
      </c>
    </row>
    <row r="30" spans="1:17">
      <c r="A30" s="2" t="s">
        <v>140</v>
      </c>
      <c r="B30" s="6" t="s">
        <v>703</v>
      </c>
      <c r="C30" s="7" t="str" cm="1">
        <f t="array" ref="C30">_xlfn.LET(
  _xlpm.s, UPPER(B30),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KERMKEIAKSGKIPHIILHSP</v>
      </c>
      <c r="D30" s="4">
        <v>800</v>
      </c>
      <c r="E30" s="1">
        <v>4764</v>
      </c>
      <c r="F30" s="1">
        <v>2576</v>
      </c>
      <c r="G30" s="1">
        <v>64</v>
      </c>
      <c r="I30">
        <f t="shared" si="0"/>
        <v>1.7669349303393658</v>
      </c>
      <c r="J30">
        <f t="shared" si="1"/>
        <v>1.0473307225742639</v>
      </c>
      <c r="K30">
        <f t="shared" si="2"/>
        <v>-0.14798151792290115</v>
      </c>
      <c r="M30">
        <f t="shared" si="3"/>
        <v>0.88876137833024282</v>
      </c>
      <c r="P30" t="s">
        <v>1483</v>
      </c>
      <c r="Q30" s="16" t="s">
        <v>1685</v>
      </c>
    </row>
    <row r="31" spans="1:17">
      <c r="A31" s="2" t="s">
        <v>141</v>
      </c>
      <c r="B31" s="6" t="s">
        <v>704</v>
      </c>
      <c r="C31" s="7" t="str" cm="1">
        <f t="array" ref="C31">_xlfn.LET(
  _xlpm.s, UPPER(B31),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KERMKEIAASGKIPHIILHSP</v>
      </c>
      <c r="D31" s="4">
        <v>1364</v>
      </c>
      <c r="E31" s="1">
        <v>600</v>
      </c>
      <c r="F31" s="1">
        <v>665</v>
      </c>
      <c r="G31" s="1">
        <v>981</v>
      </c>
      <c r="I31">
        <f t="shared" si="0"/>
        <v>0.63539004458375303</v>
      </c>
      <c r="J31">
        <f t="shared" si="1"/>
        <v>0.22748212586107747</v>
      </c>
      <c r="K31">
        <f t="shared" si="2"/>
        <v>0.8057831321446437</v>
      </c>
      <c r="M31">
        <f t="shared" si="3"/>
        <v>0.55621843419649142</v>
      </c>
      <c r="P31" t="s">
        <v>1477</v>
      </c>
      <c r="Q31" s="16" t="s">
        <v>1685</v>
      </c>
    </row>
    <row r="32" spans="1:17">
      <c r="A32" s="2" t="s">
        <v>142</v>
      </c>
      <c r="B32" s="6" t="s">
        <v>705</v>
      </c>
      <c r="C32" s="7" t="str" cm="1">
        <f t="array" ref="C32">_xlfn.LET(
  _xlpm.s, UPPER(B32),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KERMKEIVASGKIPHIILHSP</v>
      </c>
      <c r="D32" s="4">
        <v>991</v>
      </c>
      <c r="E32" s="1">
        <v>624</v>
      </c>
      <c r="F32" s="1">
        <v>650</v>
      </c>
      <c r="G32" s="1">
        <v>497</v>
      </c>
      <c r="I32">
        <f t="shared" si="0"/>
        <v>0.79116409971771806</v>
      </c>
      <c r="J32">
        <f t="shared" si="1"/>
        <v>0.35631455303601323</v>
      </c>
      <c r="K32">
        <f t="shared" si="2"/>
        <v>0.64921122933321218</v>
      </c>
      <c r="M32">
        <f t="shared" si="3"/>
        <v>0.59889662736231453</v>
      </c>
      <c r="P32" t="s">
        <v>1584</v>
      </c>
      <c r="Q32" s="16" t="s">
        <v>1685</v>
      </c>
    </row>
    <row r="33" spans="1:17">
      <c r="A33" s="2" t="s">
        <v>143</v>
      </c>
      <c r="B33" s="6" t="s">
        <v>706</v>
      </c>
      <c r="C33" s="7" t="str" cm="1">
        <f t="array" ref="C33">_xlfn.LET(
  _xlpm.s, UPPER(B33),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KERMKAIAASGKIPHIILHSP</v>
      </c>
      <c r="D33" s="4">
        <v>1534</v>
      </c>
      <c r="E33" s="1">
        <v>454</v>
      </c>
      <c r="F33" s="1">
        <v>6269</v>
      </c>
      <c r="G33" s="1">
        <v>94</v>
      </c>
      <c r="I33">
        <f t="shared" si="0"/>
        <v>0.46328365776471125</v>
      </c>
      <c r="J33">
        <f t="shared" si="1"/>
        <v>1.1508477611044297</v>
      </c>
      <c r="K33">
        <f t="shared" si="2"/>
        <v>-0.26376901092810812</v>
      </c>
      <c r="M33">
        <f t="shared" si="3"/>
        <v>0.45012080264701093</v>
      </c>
      <c r="P33" t="s">
        <v>1277</v>
      </c>
      <c r="Q33" s="16" t="s">
        <v>1685</v>
      </c>
    </row>
    <row r="34" spans="1:17">
      <c r="A34" s="2" t="s">
        <v>144</v>
      </c>
      <c r="B34" s="6" t="s">
        <v>707</v>
      </c>
      <c r="C34" s="7" t="str" cm="1">
        <f t="array" ref="C34">_xlfn.LET(
  _xlpm.s, UPPER(B34),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KERMRKIASSGKIPHIILHSP</v>
      </c>
      <c r="D34" s="4">
        <v>1437</v>
      </c>
      <c r="E34" s="1">
        <v>387</v>
      </c>
      <c r="F34" s="1">
        <v>4361</v>
      </c>
      <c r="G34" s="1">
        <v>66</v>
      </c>
      <c r="I34">
        <f t="shared" si="0"/>
        <v>0.42230736140525527</v>
      </c>
      <c r="J34">
        <f t="shared" si="1"/>
        <v>1.0216041694176337</v>
      </c>
      <c r="K34">
        <f t="shared" si="2"/>
        <v>-0.38898433750720174</v>
      </c>
      <c r="M34">
        <f t="shared" si="3"/>
        <v>0.35164239777189571</v>
      </c>
      <c r="P34" t="s">
        <v>1193</v>
      </c>
      <c r="Q34" s="16" t="s">
        <v>1685</v>
      </c>
    </row>
    <row r="35" spans="1:17">
      <c r="A35" s="2" t="s">
        <v>145</v>
      </c>
      <c r="B35" s="6" t="s">
        <v>708</v>
      </c>
      <c r="C35" s="7" t="str" cm="1">
        <f t="array" ref="C35">_xlfn.LET(
  _xlpm.s, UPPER(B35),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KERMRQIAKSGKIPHIILHSP</v>
      </c>
      <c r="D35" s="4">
        <v>1119</v>
      </c>
      <c r="E35" s="1">
        <v>1902</v>
      </c>
      <c r="F35" s="1">
        <v>18</v>
      </c>
      <c r="G35" s="1">
        <v>253</v>
      </c>
      <c r="I35">
        <f t="shared" si="0"/>
        <v>1.2224335905936146</v>
      </c>
      <c r="J35">
        <f t="shared" si="1"/>
        <v>-1.2540827305466111</v>
      </c>
      <c r="K35">
        <f t="shared" si="2"/>
        <v>0.30321892973262321</v>
      </c>
      <c r="M35">
        <f t="shared" si="3"/>
        <v>9.0523263259875544E-2</v>
      </c>
      <c r="P35" t="s">
        <v>1283</v>
      </c>
      <c r="Q35" s="16" t="s">
        <v>1685</v>
      </c>
    </row>
    <row r="36" spans="1:17">
      <c r="A36" s="2" t="s">
        <v>146</v>
      </c>
      <c r="B36" s="6" t="s">
        <v>709</v>
      </c>
      <c r="C36" s="7" t="str" cm="1">
        <f t="array" ref="C36">_xlfn.LET(
  _xlpm.s, UPPER(B36),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KERMREIAASGKIPHIILHSP</v>
      </c>
      <c r="D36" s="4">
        <v>1814</v>
      </c>
      <c r="E36" s="1">
        <v>123</v>
      </c>
      <c r="F36" s="1">
        <v>6876</v>
      </c>
      <c r="G36" s="1">
        <v>43</v>
      </c>
      <c r="I36">
        <f t="shared" si="0"/>
        <v>-0.17667900676410908</v>
      </c>
      <c r="J36">
        <f t="shared" si="1"/>
        <v>1.1181734361693714</v>
      </c>
      <c r="K36">
        <f t="shared" si="2"/>
        <v>-0.67624033205933465</v>
      </c>
      <c r="M36">
        <f t="shared" si="3"/>
        <v>8.8418032448642547E-2</v>
      </c>
      <c r="P36" t="s">
        <v>1583</v>
      </c>
      <c r="Q36" s="16" t="s">
        <v>1685</v>
      </c>
    </row>
    <row r="37" spans="1:17">
      <c r="A37" s="2" t="s">
        <v>147</v>
      </c>
      <c r="B37" s="6" t="s">
        <v>710</v>
      </c>
      <c r="C37" s="7" t="str" cm="1">
        <f t="array" ref="C37">_xlfn.LET(
  _xlpm.s, UPPER(B37),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KERMLEIAKSGKIPHIILHSP</v>
      </c>
      <c r="D37" s="4">
        <v>836</v>
      </c>
      <c r="E37" s="1">
        <v>97872</v>
      </c>
      <c r="F37" s="1">
        <v>49</v>
      </c>
      <c r="G37" s="1">
        <v>138</v>
      </c>
      <c r="I37">
        <f t="shared" si="0"/>
        <v>3.0605053502352804</v>
      </c>
      <c r="J37">
        <f t="shared" si="1"/>
        <v>-0.69253534653206972</v>
      </c>
      <c r="K37">
        <f t="shared" si="2"/>
        <v>0.16660130404737539</v>
      </c>
      <c r="M37">
        <f t="shared" si="3"/>
        <v>0.84485710258352864</v>
      </c>
      <c r="P37" t="s">
        <v>1658</v>
      </c>
      <c r="Q37" s="16" t="s">
        <v>1685</v>
      </c>
    </row>
    <row r="38" spans="1:17">
      <c r="A38" s="2" t="s">
        <v>148</v>
      </c>
      <c r="B38" s="6" t="s">
        <v>711</v>
      </c>
      <c r="C38" s="7" t="str" cm="1">
        <f t="array" ref="C38">_xlfn.LET(
  _xlpm.s, UPPER(B38),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KERMLEIVKSGKIPHIILHSP</v>
      </c>
      <c r="D38" s="4">
        <v>801</v>
      </c>
      <c r="E38" s="1">
        <v>30467</v>
      </c>
      <c r="F38" s="1">
        <v>63</v>
      </c>
      <c r="G38" s="1">
        <v>24</v>
      </c>
      <c r="I38">
        <f t="shared" si="0"/>
        <v>2.5722503410052724</v>
      </c>
      <c r="J38">
        <f t="shared" si="1"/>
        <v>-0.56481711575222293</v>
      </c>
      <c r="K38">
        <f t="shared" si="2"/>
        <v>-0.57449277928747633</v>
      </c>
      <c r="M38">
        <f t="shared" si="3"/>
        <v>0.47764681532185765</v>
      </c>
      <c r="P38" t="s">
        <v>1340</v>
      </c>
      <c r="Q38" s="15" t="s">
        <v>1686</v>
      </c>
    </row>
    <row r="39" spans="1:17">
      <c r="A39" s="2" t="s">
        <v>149</v>
      </c>
      <c r="B39" s="6" t="s">
        <v>712</v>
      </c>
      <c r="C39" s="7" t="str" cm="1">
        <f t="array" ref="C39">_xlfn.LET(
  _xlpm.s, UPPER(B39),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KERLKEIAKSGKIPHIILHSP</v>
      </c>
      <c r="D39" s="4">
        <v>541</v>
      </c>
      <c r="E39" s="1">
        <v>10562</v>
      </c>
      <c r="F39" s="1">
        <v>21</v>
      </c>
      <c r="G39" s="1">
        <v>48</v>
      </c>
      <c r="I39">
        <f t="shared" si="0"/>
        <v>2.2826020625664762</v>
      </c>
      <c r="J39">
        <f t="shared" si="1"/>
        <v>-0.87150311949421722</v>
      </c>
      <c r="K39">
        <f t="shared" si="2"/>
        <v>-0.10302753264582698</v>
      </c>
      <c r="M39">
        <f t="shared" si="3"/>
        <v>0.43602380347547731</v>
      </c>
      <c r="P39" t="s">
        <v>1460</v>
      </c>
      <c r="Q39" s="16" t="s">
        <v>1685</v>
      </c>
    </row>
    <row r="40" spans="1:17">
      <c r="A40" s="2" t="s">
        <v>150</v>
      </c>
      <c r="B40" s="6" t="s">
        <v>713</v>
      </c>
      <c r="C40" s="7" t="str" cm="1">
        <f t="array" ref="C40">_xlfn.LET(
  _xlpm.s, UPPER(B40),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KERLKEIAASGKIPHIILHSP</v>
      </c>
      <c r="D40" s="4">
        <v>1085</v>
      </c>
      <c r="E40" s="1">
        <v>188</v>
      </c>
      <c r="F40" s="1">
        <v>3433</v>
      </c>
      <c r="G40" s="1">
        <v>39</v>
      </c>
      <c r="I40">
        <f t="shared" si="0"/>
        <v>0.23078127559970107</v>
      </c>
      <c r="J40">
        <f t="shared" si="1"/>
        <v>1.0397189161196347</v>
      </c>
      <c r="K40">
        <f t="shared" si="2"/>
        <v>-0.49543663607289368</v>
      </c>
      <c r="M40">
        <f t="shared" si="3"/>
        <v>0.25835451854881403</v>
      </c>
      <c r="P40" t="s">
        <v>1232</v>
      </c>
      <c r="Q40" s="16" t="s">
        <v>1685</v>
      </c>
    </row>
    <row r="41" spans="1:17">
      <c r="A41" s="2" t="s">
        <v>151</v>
      </c>
      <c r="B41" s="6" t="s">
        <v>714</v>
      </c>
      <c r="C41" s="7" t="str" cm="1">
        <f t="array" ref="C41">_xlfn.LET(
  _xlpm.s, UPPER(B41),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KERLREIAASGKIPHIILHSP</v>
      </c>
      <c r="D41" s="4">
        <v>1499</v>
      </c>
      <c r="E41" s="1">
        <v>5</v>
      </c>
      <c r="F41" s="1">
        <v>12</v>
      </c>
      <c r="G41" s="1">
        <v>11766</v>
      </c>
      <c r="I41">
        <f t="shared" si="0"/>
        <v>-1.4847784639916912</v>
      </c>
      <c r="J41">
        <f t="shared" si="1"/>
        <v>-1.5571455359222219</v>
      </c>
      <c r="K41">
        <f t="shared" si="2"/>
        <v>1.8437557062883037</v>
      </c>
      <c r="M41">
        <f t="shared" si="3"/>
        <v>-0.39938943120853648</v>
      </c>
      <c r="P41" t="s">
        <v>1420</v>
      </c>
      <c r="Q41" s="15" t="s">
        <v>1686</v>
      </c>
    </row>
    <row r="42" spans="1:17">
      <c r="A42" s="2" t="s">
        <v>152</v>
      </c>
      <c r="B42" s="6" t="s">
        <v>715</v>
      </c>
      <c r="C42" s="7" t="str" cm="1">
        <f t="array" ref="C42">_xlfn.LET(
  _xlpm.s, UPPER(B42),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KERFKKIAKSGKIPHIILHSP</v>
      </c>
      <c r="D42" s="4">
        <v>306</v>
      </c>
      <c r="E42" s="1">
        <v>482</v>
      </c>
      <c r="F42" s="1">
        <v>270</v>
      </c>
      <c r="G42" s="1">
        <v>10</v>
      </c>
      <c r="I42">
        <f t="shared" si="0"/>
        <v>1.1893787762778389</v>
      </c>
      <c r="J42">
        <f t="shared" si="1"/>
        <v>0.48511718855584024</v>
      </c>
      <c r="K42">
        <f t="shared" si="2"/>
        <v>-0.53679293139642459</v>
      </c>
      <c r="M42">
        <f t="shared" si="3"/>
        <v>0.37923434447908488</v>
      </c>
      <c r="P42" t="s">
        <v>1248</v>
      </c>
      <c r="Q42" s="16" t="s">
        <v>1685</v>
      </c>
    </row>
    <row r="43" spans="1:17">
      <c r="A43" s="2" t="s">
        <v>153</v>
      </c>
      <c r="B43" s="6" t="s">
        <v>716</v>
      </c>
      <c r="C43" s="7" t="str" cm="1">
        <f t="array" ref="C43">_xlfn.LET(
  _xlpm.s, UPPER(B43),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KERFKKIAAAGKIPHIILHSP</v>
      </c>
      <c r="D43" s="4">
        <v>394</v>
      </c>
      <c r="E43" s="1">
        <v>2477</v>
      </c>
      <c r="F43" s="1">
        <v>191</v>
      </c>
      <c r="G43" s="1">
        <v>47</v>
      </c>
      <c r="I43">
        <f t="shared" si="0"/>
        <v>1.7904829492808323</v>
      </c>
      <c r="J43">
        <f t="shared" si="1"/>
        <v>0.22501199630058638</v>
      </c>
      <c r="K43">
        <f t="shared" si="2"/>
        <v>2.5530131195298678E-2</v>
      </c>
      <c r="M43">
        <f t="shared" si="3"/>
        <v>0.68034169225890595</v>
      </c>
      <c r="P43" t="s">
        <v>1622</v>
      </c>
      <c r="Q43" s="16" t="s">
        <v>1685</v>
      </c>
    </row>
    <row r="44" spans="1:17">
      <c r="A44" s="2" t="s">
        <v>154</v>
      </c>
      <c r="B44" s="6" t="s">
        <v>717</v>
      </c>
      <c r="C44" s="7" t="str" cm="1">
        <f t="array" ref="C44">_xlfn.LET(
  _xlpm.s, UPPER(B44),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KERFKKIAASGKIPHIILHSP</v>
      </c>
      <c r="D44" s="4">
        <v>553</v>
      </c>
      <c r="E44" s="1">
        <v>11893</v>
      </c>
      <c r="F44" s="1">
        <v>204</v>
      </c>
      <c r="G44" s="1">
        <v>40</v>
      </c>
      <c r="I44">
        <f t="shared" si="0"/>
        <v>2.3246194520991734</v>
      </c>
      <c r="J44">
        <f t="shared" si="1"/>
        <v>0.10637988699963347</v>
      </c>
      <c r="K44">
        <f t="shared" si="2"/>
        <v>-0.19173664489158049</v>
      </c>
      <c r="M44">
        <f t="shared" si="3"/>
        <v>0.7464208980690753</v>
      </c>
      <c r="P44" t="s">
        <v>1329</v>
      </c>
      <c r="Q44" s="15" t="s">
        <v>1686</v>
      </c>
    </row>
    <row r="45" spans="1:17">
      <c r="A45" s="2" t="s">
        <v>155</v>
      </c>
      <c r="B45" s="6" t="s">
        <v>718</v>
      </c>
      <c r="C45" s="7" t="str" cm="1">
        <f t="array" ref="C45">_xlfn.LET(
  _xlpm.s, UPPER(B45),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KERFKEIAKSGKIPHIILHSP</v>
      </c>
      <c r="D45" s="4">
        <v>450</v>
      </c>
      <c r="E45" s="1">
        <v>14</v>
      </c>
      <c r="F45" s="1">
        <v>34</v>
      </c>
      <c r="G45" s="1">
        <v>9988</v>
      </c>
      <c r="I45">
        <f t="shared" si="0"/>
        <v>-0.51503131357653631</v>
      </c>
      <c r="J45">
        <f t="shared" si="1"/>
        <v>-0.58225874585465565</v>
      </c>
      <c r="K45">
        <f t="shared" si="2"/>
        <v>2.295194514989122</v>
      </c>
      <c r="M45">
        <f t="shared" si="3"/>
        <v>0.39930148518597663</v>
      </c>
      <c r="P45" t="s">
        <v>1155</v>
      </c>
      <c r="Q45" s="15" t="s">
        <v>1686</v>
      </c>
    </row>
    <row r="46" spans="1:17">
      <c r="A46" s="2" t="s">
        <v>156</v>
      </c>
      <c r="B46" s="6" t="s">
        <v>719</v>
      </c>
      <c r="C46" s="7" t="str" cm="1">
        <f t="array" ref="C46">_xlfn.LET(
  _xlpm.s, UPPER(B46),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KERFKEIAASGKIPHIILHSP</v>
      </c>
      <c r="D46" s="4">
        <v>927</v>
      </c>
      <c r="E46" s="1">
        <v>16</v>
      </c>
      <c r="F46" s="1">
        <v>23</v>
      </c>
      <c r="G46" s="1">
        <v>887</v>
      </c>
      <c r="I46">
        <f t="shared" si="0"/>
        <v>-0.77090658696800296</v>
      </c>
      <c r="J46">
        <f t="shared" si="1"/>
        <v>-1.0658770472484713</v>
      </c>
      <c r="K46">
        <f t="shared" si="2"/>
        <v>0.92977238077238467</v>
      </c>
      <c r="M46">
        <f t="shared" si="3"/>
        <v>-0.30233708448136321</v>
      </c>
      <c r="P46" t="s">
        <v>1567</v>
      </c>
      <c r="Q46" s="15" t="s">
        <v>1686</v>
      </c>
    </row>
    <row r="47" spans="1:17">
      <c r="A47" s="2" t="s">
        <v>157</v>
      </c>
      <c r="B47" s="6" t="s">
        <v>720</v>
      </c>
      <c r="C47" s="7" t="str" cm="1">
        <f t="array" ref="C47">_xlfn.LET(
  _xlpm.s, UPPER(B47),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KERFKEIVASGKIPHIILHSP</v>
      </c>
      <c r="D47" s="4">
        <v>760</v>
      </c>
      <c r="E47" s="1">
        <v>292</v>
      </c>
      <c r="F47" s="1">
        <v>4022</v>
      </c>
      <c r="G47" s="1">
        <v>5</v>
      </c>
      <c r="I47">
        <f t="shared" si="0"/>
        <v>0.57662242368819638</v>
      </c>
      <c r="J47">
        <f t="shared" si="1"/>
        <v>1.2631033248583647</v>
      </c>
      <c r="K47">
        <f t="shared" si="2"/>
        <v>-1.2329150928596173</v>
      </c>
      <c r="M47">
        <f t="shared" si="3"/>
        <v>0.20227021856231464</v>
      </c>
      <c r="P47" t="s">
        <v>1333</v>
      </c>
      <c r="Q47" s="15" t="s">
        <v>1686</v>
      </c>
    </row>
    <row r="48" spans="1:17">
      <c r="A48" s="2" t="s">
        <v>158</v>
      </c>
      <c r="B48" s="6" t="s">
        <v>721</v>
      </c>
      <c r="C48" s="7" t="str" cm="1">
        <f t="array" ref="C48">_xlfn.LET(
  _xlpm.s, UPPER(B48),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KERFKAIAAKGKIPHIILHSP</v>
      </c>
      <c r="D48" s="4">
        <v>650</v>
      </c>
      <c r="E48" s="1">
        <v>675</v>
      </c>
      <c r="F48" s="1">
        <v>98</v>
      </c>
      <c r="G48" s="1">
        <v>96</v>
      </c>
      <c r="I48">
        <f t="shared" si="0"/>
        <v>1.0084435807087389</v>
      </c>
      <c r="J48">
        <f t="shared" si="1"/>
        <v>-0.28221243007192776</v>
      </c>
      <c r="K48">
        <f t="shared" si="2"/>
        <v>0.11828637148186816</v>
      </c>
      <c r="M48">
        <f t="shared" si="3"/>
        <v>0.28150584070622642</v>
      </c>
      <c r="P48" t="s">
        <v>1273</v>
      </c>
      <c r="Q48" s="16" t="s">
        <v>1685</v>
      </c>
    </row>
    <row r="49" spans="1:17">
      <c r="A49" s="2" t="s">
        <v>159</v>
      </c>
      <c r="B49" s="6" t="s">
        <v>722</v>
      </c>
      <c r="C49" s="7" t="str" cm="1">
        <f t="array" ref="C49">_xlfn.LET(
  _xlpm.s, UPPER(B49),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KERFKAIAASGKIPHIILHSP</v>
      </c>
      <c r="D49" s="4">
        <v>1157</v>
      </c>
      <c r="E49" s="1">
        <v>467</v>
      </c>
      <c r="F49" s="1">
        <v>2618</v>
      </c>
      <c r="G49" s="1">
        <v>81</v>
      </c>
      <c r="I49">
        <f t="shared" si="0"/>
        <v>0.59803668613493199</v>
      </c>
      <c r="J49">
        <f t="shared" si="1"/>
        <v>0.89411113414142041</v>
      </c>
      <c r="K49">
        <f t="shared" si="2"/>
        <v>-0.20591984498794447</v>
      </c>
      <c r="M49">
        <f t="shared" si="3"/>
        <v>0.42874265842946929</v>
      </c>
      <c r="P49" t="s">
        <v>1482</v>
      </c>
      <c r="Q49" s="16" t="s">
        <v>1685</v>
      </c>
    </row>
    <row r="50" spans="1:17">
      <c r="A50" s="2" t="s">
        <v>160</v>
      </c>
      <c r="B50" s="6" t="s">
        <v>723</v>
      </c>
      <c r="C50" s="7" t="str" cm="1">
        <f t="array" ref="C50">_xlfn.LET(
  _xlpm.s, UPPER(B50),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KERFKAIVAKGKIPHIILHSP</v>
      </c>
      <c r="D50" s="4">
        <v>718</v>
      </c>
      <c r="E50" s="1">
        <v>74</v>
      </c>
      <c r="F50" s="1">
        <v>4273</v>
      </c>
      <c r="G50" s="1">
        <v>78</v>
      </c>
      <c r="I50">
        <f t="shared" si="0"/>
        <v>5.1604400092453151E-3</v>
      </c>
      <c r="J50">
        <f t="shared" si="1"/>
        <v>1.3140832994533291</v>
      </c>
      <c r="K50">
        <f t="shared" si="2"/>
        <v>-1.5101346466664611E-2</v>
      </c>
      <c r="M50">
        <f t="shared" si="3"/>
        <v>0.43471413099863659</v>
      </c>
      <c r="P50" t="s">
        <v>1257</v>
      </c>
      <c r="Q50" s="16" t="s">
        <v>1685</v>
      </c>
    </row>
    <row r="51" spans="1:17">
      <c r="A51" s="2" t="s">
        <v>161</v>
      </c>
      <c r="B51" s="6" t="s">
        <v>724</v>
      </c>
      <c r="C51" s="7" t="str" cm="1">
        <f t="array" ref="C51">_xlfn.LET(
  _xlpm.s, UPPER(B51),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KERFKSIAESGKIPHIILHSP</v>
      </c>
      <c r="D51" s="4">
        <v>574</v>
      </c>
      <c r="E51" s="1">
        <v>6280</v>
      </c>
      <c r="F51" s="1">
        <v>591</v>
      </c>
      <c r="G51" s="1">
        <v>72</v>
      </c>
      <c r="I51">
        <f t="shared" si="0"/>
        <v>2.0311009158597919</v>
      </c>
      <c r="J51">
        <f t="shared" si="1"/>
        <v>0.55215043936171482</v>
      </c>
      <c r="K51">
        <f t="shared" si="2"/>
        <v>4.73490991184502E-2</v>
      </c>
      <c r="M51">
        <f t="shared" si="3"/>
        <v>0.87686681811331901</v>
      </c>
      <c r="P51" t="s">
        <v>1476</v>
      </c>
      <c r="Q51" s="16" t="s">
        <v>1685</v>
      </c>
    </row>
    <row r="52" spans="1:17">
      <c r="A52" s="2" t="s">
        <v>162</v>
      </c>
      <c r="B52" s="6" t="s">
        <v>725</v>
      </c>
      <c r="C52" s="7" t="str" cm="1">
        <f t="array" ref="C52">_xlfn.LET(
  _xlpm.s, UPPER(B52),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KELMKKIAKSGKIPHIILHSP</v>
      </c>
      <c r="D52" s="4">
        <v>335</v>
      </c>
      <c r="E52" s="1">
        <v>602</v>
      </c>
      <c r="F52" s="1">
        <v>4219</v>
      </c>
      <c r="G52" s="1">
        <v>54</v>
      </c>
      <c r="I52">
        <f t="shared" si="0"/>
        <v>1.2466048487415486</v>
      </c>
      <c r="J52">
        <f t="shared" si="1"/>
        <v>1.6396395692234687</v>
      </c>
      <c r="K52">
        <f t="shared" si="2"/>
        <v>0.15627744787127862</v>
      </c>
      <c r="M52">
        <f t="shared" si="3"/>
        <v>1.0141739552787652</v>
      </c>
      <c r="P52" t="s">
        <v>1623</v>
      </c>
      <c r="Q52" s="16" t="s">
        <v>1685</v>
      </c>
    </row>
    <row r="53" spans="1:17">
      <c r="A53" s="2" t="s">
        <v>163</v>
      </c>
      <c r="B53" s="6" t="s">
        <v>726</v>
      </c>
      <c r="C53" s="7" t="str" cm="1">
        <f t="array" ref="C53">_xlfn.LET(
  _xlpm.s, UPPER(B53),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KELMKKIANSGKIPHIILHSP</v>
      </c>
      <c r="D53" s="4">
        <v>321</v>
      </c>
      <c r="E53" s="1">
        <v>774</v>
      </c>
      <c r="F53" s="1">
        <v>154</v>
      </c>
      <c r="G53" s="1">
        <v>13</v>
      </c>
      <c r="I53">
        <f t="shared" si="0"/>
        <v>1.37428909279859</v>
      </c>
      <c r="J53">
        <f t="shared" si="1"/>
        <v>0.22049053931002394</v>
      </c>
      <c r="K53">
        <f t="shared" si="2"/>
        <v>-0.44363318501288007</v>
      </c>
      <c r="M53">
        <f t="shared" si="3"/>
        <v>0.38371548236524461</v>
      </c>
      <c r="P53" t="s">
        <v>1198</v>
      </c>
      <c r="Q53" s="16" t="s">
        <v>1685</v>
      </c>
    </row>
    <row r="54" spans="1:17">
      <c r="A54" s="2" t="s">
        <v>164</v>
      </c>
      <c r="B54" s="6" t="s">
        <v>727</v>
      </c>
      <c r="C54" s="7" t="str" cm="1">
        <f t="array" ref="C54">_xlfn.LET(
  _xlpm.s, UPPER(B54),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KELMKKIAESGKIPHIILHSP</v>
      </c>
      <c r="D54" s="4">
        <v>427</v>
      </c>
      <c r="E54" s="1">
        <v>1091</v>
      </c>
      <c r="F54" s="1">
        <v>76</v>
      </c>
      <c r="G54" s="1">
        <v>299</v>
      </c>
      <c r="I54">
        <f t="shared" si="0"/>
        <v>1.3994500400838874</v>
      </c>
      <c r="J54">
        <f t="shared" si="1"/>
        <v>-0.21013943186579953</v>
      </c>
      <c r="K54">
        <f t="shared" si="2"/>
        <v>0.79417180838456103</v>
      </c>
      <c r="M54">
        <f t="shared" si="3"/>
        <v>0.6611608055342163</v>
      </c>
      <c r="P54" t="s">
        <v>1266</v>
      </c>
      <c r="Q54" s="16" t="s">
        <v>1685</v>
      </c>
    </row>
    <row r="55" spans="1:17">
      <c r="A55" s="2" t="s">
        <v>165</v>
      </c>
      <c r="B55" s="6" t="s">
        <v>728</v>
      </c>
      <c r="C55" s="7" t="str" cm="1">
        <f t="array" ref="C55">_xlfn.LET(
  _xlpm.s, UPPER(B55),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KELMKKIADSGKIPHIILHSP</v>
      </c>
      <c r="D55" s="4">
        <v>381</v>
      </c>
      <c r="E55" s="1">
        <v>13</v>
      </c>
      <c r="F55" s="1">
        <v>1472</v>
      </c>
      <c r="G55" s="1">
        <v>22</v>
      </c>
      <c r="I55">
        <f t="shared" si="0"/>
        <v>-0.474928458848213</v>
      </c>
      <c r="J55">
        <f t="shared" si="1"/>
        <v>1.1264576852042936</v>
      </c>
      <c r="K55">
        <f t="shared" si="2"/>
        <v>-0.2895737997682577</v>
      </c>
      <c r="M55">
        <f t="shared" si="3"/>
        <v>0.12065180886260762</v>
      </c>
      <c r="P55" t="s">
        <v>1118</v>
      </c>
      <c r="Q55" s="16" t="s">
        <v>1685</v>
      </c>
    </row>
    <row r="56" spans="1:17">
      <c r="A56" s="2" t="s">
        <v>166</v>
      </c>
      <c r="B56" s="6" t="s">
        <v>729</v>
      </c>
      <c r="C56" s="7" t="str" cm="1">
        <f t="array" ref="C56">_xlfn.LET(
  _xlpm.s, UPPER(B56),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KELMKKIAASGKIPHIILHSP</v>
      </c>
      <c r="D56" s="4">
        <v>635</v>
      </c>
      <c r="E56" s="1">
        <v>31</v>
      </c>
      <c r="F56" s="1">
        <v>54</v>
      </c>
      <c r="G56" s="1">
        <v>4108</v>
      </c>
      <c r="I56">
        <f t="shared" si="0"/>
        <v>-0.31935886693713345</v>
      </c>
      <c r="J56">
        <f t="shared" si="1"/>
        <v>-0.53090511459057421</v>
      </c>
      <c r="K56">
        <f t="shared" si="2"/>
        <v>1.7597852047184204</v>
      </c>
      <c r="M56">
        <f t="shared" si="3"/>
        <v>0.30317374106357092</v>
      </c>
      <c r="P56" t="s">
        <v>1553</v>
      </c>
      <c r="Q56" s="15" t="s">
        <v>1686</v>
      </c>
    </row>
    <row r="57" spans="1:17">
      <c r="A57" s="2" t="s">
        <v>167</v>
      </c>
      <c r="B57" s="6" t="s">
        <v>730</v>
      </c>
      <c r="C57" s="7" t="str" cm="1">
        <f t="array" ref="C57">_xlfn.LET(
  _xlpm.s, UPPER(B57),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KELMKKIASSGKIPHIILHSP</v>
      </c>
      <c r="D57" s="4">
        <v>432</v>
      </c>
      <c r="E57" s="1">
        <v>30</v>
      </c>
      <c r="F57" s="1">
        <v>2581</v>
      </c>
      <c r="G57" s="1">
        <v>94</v>
      </c>
      <c r="I57">
        <f t="shared" si="0"/>
        <v>-0.16630932757468009</v>
      </c>
      <c r="J57">
        <f t="shared" si="1"/>
        <v>1.3157791086073898</v>
      </c>
      <c r="K57">
        <f t="shared" si="2"/>
        <v>0.28657260186994182</v>
      </c>
      <c r="M57">
        <f t="shared" si="3"/>
        <v>0.47868079430088378</v>
      </c>
      <c r="P57" t="s">
        <v>1253</v>
      </c>
      <c r="Q57" s="16" t="s">
        <v>1685</v>
      </c>
    </row>
    <row r="58" spans="1:17">
      <c r="A58" s="2" t="s">
        <v>168</v>
      </c>
      <c r="B58" s="6" t="s">
        <v>731</v>
      </c>
      <c r="C58" s="7" t="str" cm="1">
        <f t="array" ref="C58">_xlfn.LET(
  _xlpm.s, UPPER(B58),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KELMKKIVESGKIPHIILHSP</v>
      </c>
      <c r="D58" s="4">
        <v>372</v>
      </c>
      <c r="E58" s="1">
        <v>121</v>
      </c>
      <c r="F58" s="1">
        <v>540</v>
      </c>
      <c r="G58" s="1">
        <v>90</v>
      </c>
      <c r="I58">
        <f t="shared" si="0"/>
        <v>0.504295594955122</v>
      </c>
      <c r="J58">
        <f t="shared" si="1"/>
        <v>0.70132567081950392</v>
      </c>
      <c r="K58">
        <f t="shared" si="2"/>
        <v>0.33262806464258265</v>
      </c>
      <c r="M58">
        <f t="shared" si="3"/>
        <v>0.51274977680573619</v>
      </c>
      <c r="P58" t="s">
        <v>1484</v>
      </c>
      <c r="Q58" s="16" t="s">
        <v>1685</v>
      </c>
    </row>
    <row r="59" spans="1:17">
      <c r="A59" s="2" t="s">
        <v>169</v>
      </c>
      <c r="B59" s="6" t="s">
        <v>732</v>
      </c>
      <c r="C59" s="7" t="str" cm="1">
        <f t="array" ref="C59">_xlfn.LET(
  _xlpm.s, UPPER(B59),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KELMKNIAASGKIPHIILHSP</v>
      </c>
      <c r="D59" s="4">
        <v>715</v>
      </c>
      <c r="E59" s="1">
        <v>19</v>
      </c>
      <c r="F59" s="1">
        <v>4173</v>
      </c>
      <c r="G59" s="1">
        <v>28</v>
      </c>
      <c r="I59">
        <f t="shared" si="0"/>
        <v>-0.58349927632768228</v>
      </c>
      <c r="J59">
        <f t="shared" si="1"/>
        <v>1.305617193789061</v>
      </c>
      <c r="K59">
        <f t="shared" si="2"/>
        <v>-0.45821951537370609</v>
      </c>
      <c r="M59">
        <f t="shared" si="3"/>
        <v>8.7966134029224222E-2</v>
      </c>
      <c r="P59" t="s">
        <v>1162</v>
      </c>
      <c r="Q59" s="15" t="s">
        <v>1686</v>
      </c>
    </row>
    <row r="60" spans="1:17">
      <c r="A60" s="2" t="s">
        <v>170</v>
      </c>
      <c r="B60" s="6" t="s">
        <v>733</v>
      </c>
      <c r="C60" s="7" t="str" cm="1">
        <f t="array" ref="C60">_xlfn.LET(
  _xlpm.s, UPPER(B60),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KELMKQIAESGKIPHIILHSP</v>
      </c>
      <c r="D60" s="4">
        <v>755</v>
      </c>
      <c r="E60" s="1">
        <v>41</v>
      </c>
      <c r="F60" s="1">
        <v>889</v>
      </c>
      <c r="G60" s="1">
        <v>242</v>
      </c>
      <c r="I60">
        <f t="shared" si="0"/>
        <v>-0.27310993038888332</v>
      </c>
      <c r="J60">
        <f t="shared" si="1"/>
        <v>0.61042966021945833</v>
      </c>
      <c r="K60">
        <f t="shared" si="2"/>
        <v>0.45479690943639833</v>
      </c>
      <c r="M60">
        <f t="shared" si="3"/>
        <v>0.26403887975565782</v>
      </c>
      <c r="P60" t="s">
        <v>1634</v>
      </c>
      <c r="Q60" s="15" t="s">
        <v>1686</v>
      </c>
    </row>
    <row r="61" spans="1:17">
      <c r="A61" s="2" t="s">
        <v>171</v>
      </c>
      <c r="B61" s="6" t="s">
        <v>734</v>
      </c>
      <c r="C61" s="7" t="str" cm="1">
        <f t="array" ref="C61">_xlfn.LET(
  _xlpm.s, UPPER(B61),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KELMKQIAASGKIPHIILHSP</v>
      </c>
      <c r="D61" s="4">
        <v>1007</v>
      </c>
      <c r="E61" s="1">
        <v>44</v>
      </c>
      <c r="F61" s="1">
        <v>23</v>
      </c>
      <c r="G61" s="1">
        <v>3811</v>
      </c>
      <c r="I61">
        <f t="shared" si="0"/>
        <v>-0.36752362954686113</v>
      </c>
      <c r="J61">
        <f t="shared" si="1"/>
        <v>-1.1018267836575921</v>
      </c>
      <c r="K61">
        <f t="shared" si="2"/>
        <v>1.5269379733037045</v>
      </c>
      <c r="M61">
        <f t="shared" si="3"/>
        <v>1.9195853366417086E-2</v>
      </c>
      <c r="P61" t="s">
        <v>1205</v>
      </c>
      <c r="Q61" s="16" t="s">
        <v>1685</v>
      </c>
    </row>
    <row r="62" spans="1:17">
      <c r="A62" s="2" t="s">
        <v>172</v>
      </c>
      <c r="B62" s="6" t="s">
        <v>735</v>
      </c>
      <c r="C62" s="7" t="str" cm="1">
        <f t="array" ref="C62">_xlfn.LET(
  _xlpm.s, UPPER(B62),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KELMKEIAKSGKIPHIILHSP</v>
      </c>
      <c r="D62" s="4">
        <v>485</v>
      </c>
      <c r="E62" s="1">
        <v>3891</v>
      </c>
      <c r="F62" s="1">
        <v>442</v>
      </c>
      <c r="G62" s="1">
        <v>22</v>
      </c>
      <c r="I62">
        <f t="shared" si="0"/>
        <v>1.8963726567220482</v>
      </c>
      <c r="J62">
        <f t="shared" si="1"/>
        <v>0.49915538162526119</v>
      </c>
      <c r="K62">
        <f t="shared" si="2"/>
        <v>-0.39439056269490202</v>
      </c>
      <c r="M62">
        <f t="shared" si="3"/>
        <v>0.66704582521746902</v>
      </c>
      <c r="P62" t="s">
        <v>1289</v>
      </c>
      <c r="Q62" s="16" t="s">
        <v>1685</v>
      </c>
    </row>
    <row r="63" spans="1:17">
      <c r="A63" s="2" t="s">
        <v>173</v>
      </c>
      <c r="B63" s="6" t="s">
        <v>736</v>
      </c>
      <c r="C63" s="7" t="str" cm="1">
        <f t="array" ref="C63">_xlfn.LET(
  _xlpm.s, UPPER(B63),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KELMKEIAASGKIPHIILHSP</v>
      </c>
      <c r="D63" s="4">
        <v>938</v>
      </c>
      <c r="E63" s="1">
        <v>16940</v>
      </c>
      <c r="F63" s="1">
        <v>58</v>
      </c>
      <c r="G63" s="1">
        <v>67</v>
      </c>
      <c r="I63">
        <f t="shared" si="0"/>
        <v>2.2487637321361928</v>
      </c>
      <c r="J63">
        <f t="shared" si="1"/>
        <v>-0.66929999393769435</v>
      </c>
      <c r="K63">
        <f t="shared" si="2"/>
        <v>-0.19719954059308265</v>
      </c>
      <c r="M63">
        <f t="shared" si="3"/>
        <v>0.4607547325351386</v>
      </c>
      <c r="P63" t="s">
        <v>1294</v>
      </c>
      <c r="Q63" s="16" t="s">
        <v>1685</v>
      </c>
    </row>
    <row r="64" spans="1:17">
      <c r="A64" s="2" t="s">
        <v>174</v>
      </c>
      <c r="B64" s="6" t="s">
        <v>737</v>
      </c>
      <c r="C64" s="7" t="str" cm="1">
        <f t="array" ref="C64">_xlfn.LET(
  _xlpm.s, UPPER(B64),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KELMKSIAASGKIPHIILHSP</v>
      </c>
      <c r="D64" s="4">
        <v>1019</v>
      </c>
      <c r="E64" s="1">
        <v>4274</v>
      </c>
      <c r="F64" s="1">
        <v>86</v>
      </c>
      <c r="G64" s="1">
        <v>79</v>
      </c>
      <c r="I64">
        <f t="shared" si="0"/>
        <v>1.6147134983421938</v>
      </c>
      <c r="J64">
        <f t="shared" si="1"/>
        <v>-0.53420088188442583</v>
      </c>
      <c r="K64">
        <f t="shared" si="2"/>
        <v>-0.16161859763082975</v>
      </c>
      <c r="M64">
        <f t="shared" si="3"/>
        <v>0.30629800627564613</v>
      </c>
      <c r="P64" t="s">
        <v>1211</v>
      </c>
      <c r="Q64" s="16" t="s">
        <v>1685</v>
      </c>
    </row>
    <row r="65" spans="1:17">
      <c r="A65" s="2" t="s">
        <v>175</v>
      </c>
      <c r="B65" s="6" t="s">
        <v>738</v>
      </c>
      <c r="C65" s="7" t="str" cm="1">
        <f t="array" ref="C65">_xlfn.LET(
  _xlpm.s, UPPER(B65),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KELMKSIASSGKIPHIILHSP</v>
      </c>
      <c r="D65" s="4">
        <v>797</v>
      </c>
      <c r="E65" s="1">
        <v>5943</v>
      </c>
      <c r="F65" s="1">
        <v>58</v>
      </c>
      <c r="G65" s="1">
        <v>107</v>
      </c>
      <c r="I65">
        <f t="shared" si="0"/>
        <v>1.8646005733826665</v>
      </c>
      <c r="J65">
        <f t="shared" si="1"/>
        <v>-0.5985554769547422</v>
      </c>
      <c r="K65">
        <f t="shared" si="2"/>
        <v>7.6853951374252549E-2</v>
      </c>
      <c r="M65">
        <f t="shared" si="3"/>
        <v>0.44763301593405896</v>
      </c>
      <c r="P65" t="s">
        <v>1292</v>
      </c>
      <c r="Q65" s="16" t="s">
        <v>1685</v>
      </c>
    </row>
    <row r="66" spans="1:17">
      <c r="A66" s="2" t="s">
        <v>176</v>
      </c>
      <c r="B66" s="6" t="s">
        <v>739</v>
      </c>
      <c r="C66" s="7" t="str" cm="1">
        <f t="array" ref="C66">_xlfn.LET(
  _xlpm.s, UPPER(B66),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KELMRKIAASGKIPHIILHSP</v>
      </c>
      <c r="D66" s="4">
        <v>1223</v>
      </c>
      <c r="E66" s="1">
        <v>618</v>
      </c>
      <c r="F66" s="1">
        <v>281</v>
      </c>
      <c r="G66" s="1">
        <v>42</v>
      </c>
      <c r="I66">
        <f t="shared" ref="I66:I129" si="4">LOG(E66/D66)-LOG(182/1787)</f>
        <v>0.69561518257309984</v>
      </c>
      <c r="J66">
        <f t="shared" ref="J66:J129" si="5">LOG(F66/D66)-LOG(516/1787)</f>
        <v>-9.9245286252772624E-2</v>
      </c>
      <c r="K66">
        <f t="shared" ref="K66:K129" si="6">LOG(G66/D66)-LOG(201/1787)</f>
        <v>-0.51524867155322962</v>
      </c>
      <c r="M66">
        <f t="shared" ref="M66:M129" si="7">AVERAGE(I66:K66)</f>
        <v>2.70404082556992E-2</v>
      </c>
      <c r="P66" t="s">
        <v>1206</v>
      </c>
      <c r="Q66" s="16" t="s">
        <v>1685</v>
      </c>
    </row>
    <row r="67" spans="1:17">
      <c r="A67" s="2" t="s">
        <v>177</v>
      </c>
      <c r="B67" s="6" t="s">
        <v>740</v>
      </c>
      <c r="C67" s="7" t="str" cm="1">
        <f t="array" ref="C67">_xlfn.LET(
  _xlpm.s, UPPER(B67),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KELMREIAKSGKIPHIILHSP</v>
      </c>
      <c r="D67" s="4">
        <v>864</v>
      </c>
      <c r="E67" s="1">
        <v>68</v>
      </c>
      <c r="F67" s="1">
        <v>1069</v>
      </c>
      <c r="G67" s="1">
        <v>33</v>
      </c>
      <c r="I67">
        <f t="shared" si="4"/>
        <v>-0.11195166525208755</v>
      </c>
      <c r="J67">
        <f t="shared" si="5"/>
        <v>0.63193881360831772</v>
      </c>
      <c r="K67">
        <f t="shared" si="6"/>
        <v>-0.46907130751585036</v>
      </c>
      <c r="M67">
        <f t="shared" si="7"/>
        <v>1.697194694679327E-2</v>
      </c>
      <c r="P67" t="s">
        <v>1282</v>
      </c>
      <c r="Q67" s="16" t="s">
        <v>1685</v>
      </c>
    </row>
    <row r="68" spans="1:17">
      <c r="A68" s="2" t="s">
        <v>178</v>
      </c>
      <c r="B68" s="6" t="s">
        <v>741</v>
      </c>
      <c r="C68" s="7" t="str" cm="1">
        <f t="array" ref="C68">_xlfn.LET(
  _xlpm.s, UPPER(B68),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KELMRSIANSGKIPHIILHSP</v>
      </c>
      <c r="D68" s="4">
        <v>985</v>
      </c>
      <c r="E68" s="1">
        <v>98</v>
      </c>
      <c r="F68" s="1">
        <v>34</v>
      </c>
      <c r="G68" s="1">
        <v>1887</v>
      </c>
      <c r="I68">
        <f t="shared" si="4"/>
        <v>-1.0156990284547529E-2</v>
      </c>
      <c r="J68">
        <f t="shared" si="5"/>
        <v>-0.92248246257692357</v>
      </c>
      <c r="K68">
        <f t="shared" si="6"/>
        <v>1.2312641647524749</v>
      </c>
      <c r="M68">
        <f t="shared" si="7"/>
        <v>9.95415706303346E-2</v>
      </c>
      <c r="P68" t="s">
        <v>1188</v>
      </c>
      <c r="Q68" s="16" t="s">
        <v>1685</v>
      </c>
    </row>
    <row r="69" spans="1:17">
      <c r="A69" s="2" t="s">
        <v>179</v>
      </c>
      <c r="B69" s="6" t="s">
        <v>742</v>
      </c>
      <c r="C69" s="7" t="str" cm="1">
        <f t="array" ref="C69">_xlfn.LET(
  _xlpm.s, UPPER(B69),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KELLKKIAKSGKIPHIILHSP</v>
      </c>
      <c r="D69" s="4">
        <v>283</v>
      </c>
      <c r="E69" s="1">
        <v>212</v>
      </c>
      <c r="F69" s="1">
        <v>78</v>
      </c>
      <c r="G69" s="1">
        <v>279</v>
      </c>
      <c r="I69">
        <f t="shared" si="4"/>
        <v>0.8666025899250307</v>
      </c>
      <c r="J69">
        <f t="shared" si="5"/>
        <v>-2.0216981955376911E-2</v>
      </c>
      <c r="K69">
        <f t="shared" si="6"/>
        <v>0.94274626283446261</v>
      </c>
      <c r="M69">
        <f t="shared" si="7"/>
        <v>0.59637729026803876</v>
      </c>
      <c r="P69" t="s">
        <v>1267</v>
      </c>
      <c r="Q69" s="16" t="s">
        <v>1685</v>
      </c>
    </row>
    <row r="70" spans="1:17">
      <c r="A70" s="2" t="s">
        <v>180</v>
      </c>
      <c r="B70" s="6" t="s">
        <v>743</v>
      </c>
      <c r="C70" s="7" t="str" cm="1">
        <f t="array" ref="C70">_xlfn.LET(
  _xlpm.s, UPPER(B70),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KELLRKIADSGKIPHIILHSP</v>
      </c>
      <c r="D70" s="4">
        <v>694</v>
      </c>
      <c r="E70" s="1">
        <v>782</v>
      </c>
      <c r="F70" s="1">
        <v>289</v>
      </c>
      <c r="G70" s="1">
        <v>95</v>
      </c>
      <c r="I70">
        <f t="shared" si="4"/>
        <v>1.0439004471255626</v>
      </c>
      <c r="J70">
        <f t="shared" si="5"/>
        <v>0.15901322318012584</v>
      </c>
      <c r="K70">
        <f t="shared" si="6"/>
        <v>8.52926299191481E-2</v>
      </c>
      <c r="M70">
        <f t="shared" si="7"/>
        <v>0.4294021000749455</v>
      </c>
      <c r="P70" t="s">
        <v>1274</v>
      </c>
      <c r="Q70" s="16" t="s">
        <v>1685</v>
      </c>
    </row>
    <row r="71" spans="1:17">
      <c r="A71" s="2" t="s">
        <v>181</v>
      </c>
      <c r="B71" s="6" t="s">
        <v>744</v>
      </c>
      <c r="C71" s="7" t="str" cm="1">
        <f t="array" ref="C71">_xlfn.LET(
  _xlpm.s, UPPER(B71),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KELFKKIAESGKIPHIILHSP</v>
      </c>
      <c r="D71" s="4">
        <v>310</v>
      </c>
      <c r="E71" s="1">
        <v>199</v>
      </c>
      <c r="F71" s="1">
        <v>47</v>
      </c>
      <c r="G71" s="1">
        <v>3887</v>
      </c>
      <c r="I71">
        <f t="shared" si="4"/>
        <v>0.79954454709600342</v>
      </c>
      <c r="J71">
        <f t="shared" si="5"/>
        <v>-0.27978898502012228</v>
      </c>
      <c r="K71">
        <f t="shared" si="6"/>
        <v>2.047181341882149</v>
      </c>
      <c r="M71">
        <f t="shared" si="7"/>
        <v>0.85564563465267673</v>
      </c>
      <c r="P71" t="s">
        <v>1599</v>
      </c>
      <c r="Q71" s="16" t="s">
        <v>1685</v>
      </c>
    </row>
    <row r="72" spans="1:17">
      <c r="A72" s="2" t="s">
        <v>182</v>
      </c>
      <c r="B72" s="6" t="s">
        <v>745</v>
      </c>
      <c r="C72" s="7" t="str" cm="1">
        <f t="array" ref="C72">_xlfn.LET(
  _xlpm.s, UPPER(B72),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KELFKKIAAAGKIPHIILHSP</v>
      </c>
      <c r="D72" s="4">
        <v>403</v>
      </c>
      <c r="E72" s="1">
        <v>3399</v>
      </c>
      <c r="F72" s="1">
        <v>46</v>
      </c>
      <c r="G72" s="1">
        <v>109</v>
      </c>
      <c r="I72">
        <f t="shared" si="4"/>
        <v>1.9180992829625196</v>
      </c>
      <c r="J72">
        <f t="shared" si="5"/>
        <v>-0.40307236358110243</v>
      </c>
      <c r="K72">
        <f t="shared" si="6"/>
        <v>0.38104994688466953</v>
      </c>
      <c r="M72">
        <f t="shared" si="7"/>
        <v>0.63202562208869562</v>
      </c>
      <c r="P72" t="s">
        <v>1654</v>
      </c>
      <c r="Q72" s="16" t="s">
        <v>1685</v>
      </c>
    </row>
    <row r="73" spans="1:17">
      <c r="A73" s="2" t="s">
        <v>183</v>
      </c>
      <c r="B73" s="6" t="s">
        <v>746</v>
      </c>
      <c r="C73" s="7" t="str" cm="1">
        <f t="array" ref="C73">_xlfn.LET(
  _xlpm.s, UPPER(B73),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KELFKKIAASGKIPHIILHSP</v>
      </c>
      <c r="D73" s="4">
        <v>581</v>
      </c>
      <c r="E73" s="1">
        <v>39</v>
      </c>
      <c r="F73" s="1">
        <v>7248</v>
      </c>
      <c r="G73" s="1">
        <v>94</v>
      </c>
      <c r="I73">
        <f t="shared" si="4"/>
        <v>-0.1810583608432621</v>
      </c>
      <c r="J73">
        <f t="shared" si="5"/>
        <v>1.635516903156859</v>
      </c>
      <c r="K73">
        <f t="shared" si="6"/>
        <v>0.15788021629452331</v>
      </c>
      <c r="M73">
        <f t="shared" si="7"/>
        <v>0.53744625286937342</v>
      </c>
      <c r="P73" t="s">
        <v>1635</v>
      </c>
      <c r="Q73" s="15" t="s">
        <v>1686</v>
      </c>
    </row>
    <row r="74" spans="1:17">
      <c r="A74" s="2" t="s">
        <v>184</v>
      </c>
      <c r="B74" s="6" t="s">
        <v>747</v>
      </c>
      <c r="C74" s="7" t="str" cm="1">
        <f t="array" ref="C74">_xlfn.LET(
  _xlpm.s, UPPER(B74),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KELFKKIASSGKIPHIILHSP</v>
      </c>
      <c r="D74" s="4">
        <v>337</v>
      </c>
      <c r="E74" s="1">
        <v>1105</v>
      </c>
      <c r="F74" s="1">
        <v>19</v>
      </c>
      <c r="G74" s="1">
        <v>85</v>
      </c>
      <c r="I74">
        <f t="shared" si="4"/>
        <v>1.5077855416703603</v>
      </c>
      <c r="J74">
        <f t="shared" si="5"/>
        <v>-0.70940144904007674</v>
      </c>
      <c r="K74">
        <f t="shared" si="6"/>
        <v>0.3507175199281094</v>
      </c>
      <c r="M74">
        <f t="shared" si="7"/>
        <v>0.38303387085279761</v>
      </c>
      <c r="P74" t="s">
        <v>1625</v>
      </c>
      <c r="Q74" s="16" t="s">
        <v>1685</v>
      </c>
    </row>
    <row r="75" spans="1:17">
      <c r="A75" s="2" t="s">
        <v>185</v>
      </c>
      <c r="B75" s="6" t="s">
        <v>748</v>
      </c>
      <c r="C75" s="7" t="str" cm="1">
        <f t="array" ref="C75">_xlfn.LET(
  _xlpm.s, UPPER(B75),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KELFKKIVASGKIPHIILHSP</v>
      </c>
      <c r="D75" s="4">
        <v>467</v>
      </c>
      <c r="E75" s="1">
        <v>71</v>
      </c>
      <c r="F75" s="1">
        <v>9141</v>
      </c>
      <c r="G75" s="1">
        <v>70</v>
      </c>
      <c r="I75">
        <f t="shared" si="4"/>
        <v>0.17399463267353266</v>
      </c>
      <c r="J75">
        <f t="shared" si="5"/>
        <v>1.8311516792546567</v>
      </c>
      <c r="K75">
        <f t="shared" si="6"/>
        <v>0.12470965453329996</v>
      </c>
      <c r="M75">
        <f t="shared" si="7"/>
        <v>0.70995198882049648</v>
      </c>
      <c r="P75" t="s">
        <v>1557</v>
      </c>
      <c r="Q75" s="15" t="s">
        <v>1686</v>
      </c>
    </row>
    <row r="76" spans="1:17">
      <c r="A76" s="2" t="s">
        <v>186</v>
      </c>
      <c r="B76" s="6" t="s">
        <v>749</v>
      </c>
      <c r="C76" s="7" t="str" cm="1">
        <f t="array" ref="C76">_xlfn.LET(
  _xlpm.s, UPPER(B76),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KELFKNIVKKGKIPHIILHSP</v>
      </c>
      <c r="D76" s="4">
        <v>135</v>
      </c>
      <c r="E76" s="1">
        <v>496</v>
      </c>
      <c r="F76" s="1">
        <v>15</v>
      </c>
      <c r="G76" s="1">
        <v>90</v>
      </c>
      <c r="I76">
        <f t="shared" si="4"/>
        <v>1.5572010725157608</v>
      </c>
      <c r="J76">
        <f t="shared" si="5"/>
        <v>-0.41476765856089193</v>
      </c>
      <c r="K76">
        <f t="shared" si="6"/>
        <v>0.77283723602947407</v>
      </c>
      <c r="M76">
        <f t="shared" si="7"/>
        <v>0.6384235499947809</v>
      </c>
      <c r="P76" t="s">
        <v>1146</v>
      </c>
      <c r="Q76" s="16" t="s">
        <v>1685</v>
      </c>
    </row>
    <row r="77" spans="1:17">
      <c r="A77" s="2" t="s">
        <v>187</v>
      </c>
      <c r="B77" s="6" t="s">
        <v>750</v>
      </c>
      <c r="C77" s="7" t="str" cm="1">
        <f t="array" ref="C77">_xlfn.LET(
  _xlpm.s, UPPER(B77),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KELFKNIVKRGKIPHIILHSP</v>
      </c>
      <c r="D77" s="4">
        <v>214</v>
      </c>
      <c r="E77" s="1">
        <v>40</v>
      </c>
      <c r="F77" s="1">
        <v>1134</v>
      </c>
      <c r="G77" s="1">
        <v>54</v>
      </c>
      <c r="I77">
        <f t="shared" si="4"/>
        <v>0.263699382499341</v>
      </c>
      <c r="J77">
        <f t="shared" si="5"/>
        <v>1.26367413208613</v>
      </c>
      <c r="K77">
        <f t="shared" si="6"/>
        <v>0.35090848155893295</v>
      </c>
      <c r="M77">
        <f t="shared" si="7"/>
        <v>0.62609399871480131</v>
      </c>
      <c r="P77" t="s">
        <v>1290</v>
      </c>
      <c r="Q77" s="16" t="s">
        <v>1685</v>
      </c>
    </row>
    <row r="78" spans="1:17">
      <c r="A78" s="2" t="s">
        <v>188</v>
      </c>
      <c r="B78" s="6" t="s">
        <v>751</v>
      </c>
      <c r="C78" s="7" t="str" cm="1">
        <f t="array" ref="C78">_xlfn.LET(
  _xlpm.s, UPPER(B78),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KELFKNIVKSGKIPHIILHSP</v>
      </c>
      <c r="D78" s="4">
        <v>289</v>
      </c>
      <c r="E78" s="1">
        <v>14823</v>
      </c>
      <c r="F78" s="1">
        <v>22</v>
      </c>
      <c r="G78" s="1">
        <v>21</v>
      </c>
      <c r="I78">
        <f t="shared" si="4"/>
        <v>2.702091430373101</v>
      </c>
      <c r="J78">
        <f t="shared" si="5"/>
        <v>-0.57900031105590866</v>
      </c>
      <c r="K78">
        <f t="shared" si="6"/>
        <v>-0.18975005293747316</v>
      </c>
      <c r="M78">
        <f t="shared" si="7"/>
        <v>0.64444702212657301</v>
      </c>
      <c r="P78" t="s">
        <v>1604</v>
      </c>
      <c r="Q78" s="16" t="s">
        <v>1685</v>
      </c>
    </row>
    <row r="79" spans="1:17">
      <c r="A79" s="2" t="s">
        <v>189</v>
      </c>
      <c r="B79" s="6" t="s">
        <v>752</v>
      </c>
      <c r="C79" s="7" t="str" cm="1">
        <f t="array" ref="C79">_xlfn.LET(
  _xlpm.s, UPPER(B79),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KELFKNIVAKGKIPHIILHSP</v>
      </c>
      <c r="D79" s="4">
        <v>349</v>
      </c>
      <c r="E79" s="1">
        <v>57</v>
      </c>
      <c r="F79" s="1">
        <v>106</v>
      </c>
      <c r="G79" s="1">
        <v>7247</v>
      </c>
      <c r="I79">
        <f t="shared" si="4"/>
        <v>0.20510259323388103</v>
      </c>
      <c r="J79">
        <f t="shared" si="5"/>
        <v>2.1955289184023341E-2</v>
      </c>
      <c r="K79">
        <f t="shared" si="6"/>
        <v>2.2662613294442533</v>
      </c>
      <c r="M79">
        <f t="shared" si="7"/>
        <v>0.83110640395405255</v>
      </c>
      <c r="P79" t="s">
        <v>1612</v>
      </c>
      <c r="Q79" s="16" t="s">
        <v>1685</v>
      </c>
    </row>
    <row r="80" spans="1:17">
      <c r="A80" s="2" t="s">
        <v>190</v>
      </c>
      <c r="B80" s="6" t="s">
        <v>753</v>
      </c>
      <c r="C80" s="7" t="str" cm="1">
        <f t="array" ref="C80">_xlfn.LET(
  _xlpm.s, UPPER(B80),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KELFKNIVASGKIPHIILHSP</v>
      </c>
      <c r="D80" s="4">
        <v>569</v>
      </c>
      <c r="E80" s="1">
        <v>1934</v>
      </c>
      <c r="F80" s="1">
        <v>7</v>
      </c>
      <c r="G80" s="1">
        <v>54</v>
      </c>
      <c r="I80">
        <f t="shared" si="4"/>
        <v>1.523397367872481</v>
      </c>
      <c r="J80">
        <f t="shared" si="5"/>
        <v>-1.3705393755023816</v>
      </c>
      <c r="K80">
        <f t="shared" si="6"/>
        <v>-7.3790011486947416E-2</v>
      </c>
      <c r="M80">
        <f t="shared" si="7"/>
        <v>2.6355993627717345E-2</v>
      </c>
      <c r="P80" t="s">
        <v>1302</v>
      </c>
      <c r="Q80" s="16" t="s">
        <v>1685</v>
      </c>
    </row>
    <row r="81" spans="1:17">
      <c r="A81" s="2" t="s">
        <v>191</v>
      </c>
      <c r="B81" s="6" t="s">
        <v>754</v>
      </c>
      <c r="C81" s="7" t="str" cm="1">
        <f t="array" ref="C81">_xlfn.LET(
  _xlpm.s, UPPER(B81),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KELFKQIAAAGKIPHIILHSP</v>
      </c>
      <c r="D81" s="4">
        <v>692</v>
      </c>
      <c r="E81" s="1">
        <v>30</v>
      </c>
      <c r="F81" s="1">
        <v>3761</v>
      </c>
      <c r="G81" s="1">
        <v>77</v>
      </c>
      <c r="I81">
        <f t="shared" si="4"/>
        <v>-0.37093167521652592</v>
      </c>
      <c r="J81">
        <f t="shared" si="5"/>
        <v>1.2746720898440742</v>
      </c>
      <c r="K81">
        <f t="shared" si="6"/>
        <v>-4.6868741991206164E-3</v>
      </c>
      <c r="M81">
        <f t="shared" si="7"/>
        <v>0.29968451347614256</v>
      </c>
      <c r="P81" t="s">
        <v>1505</v>
      </c>
      <c r="Q81" s="16" t="s">
        <v>1685</v>
      </c>
    </row>
    <row r="82" spans="1:17">
      <c r="A82" s="2" t="s">
        <v>192</v>
      </c>
      <c r="B82" s="6" t="s">
        <v>755</v>
      </c>
      <c r="C82" s="7" t="str" cm="1">
        <f t="array" ref="C82">_xlfn.LET(
  _xlpm.s, UPPER(B82),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KELFKQIAASGKIPHIILHSP</v>
      </c>
      <c r="D82" s="4">
        <v>951</v>
      </c>
      <c r="E82" s="1">
        <v>359</v>
      </c>
      <c r="F82" s="1">
        <v>123</v>
      </c>
      <c r="G82" s="1">
        <v>98</v>
      </c>
      <c r="I82">
        <f t="shared" si="4"/>
        <v>0.56896709616147467</v>
      </c>
      <c r="J82">
        <f t="shared" si="5"/>
        <v>-0.34880055461958304</v>
      </c>
      <c r="K82">
        <f t="shared" si="6"/>
        <v>-3.8025946159763735E-2</v>
      </c>
      <c r="M82">
        <f t="shared" si="7"/>
        <v>6.0713531794042631E-2</v>
      </c>
      <c r="P82" t="s">
        <v>1284</v>
      </c>
      <c r="Q82" s="16" t="s">
        <v>1685</v>
      </c>
    </row>
    <row r="83" spans="1:17">
      <c r="A83" s="2" t="s">
        <v>193</v>
      </c>
      <c r="B83" s="6" t="s">
        <v>756</v>
      </c>
      <c r="C83" s="7" t="str" cm="1">
        <f t="array" ref="C83">_xlfn.LET(
  _xlpm.s, UPPER(B83),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KELFKQIVASGKIPHIILHSP</v>
      </c>
      <c r="D83" s="4">
        <v>917</v>
      </c>
      <c r="E83" s="1">
        <v>23</v>
      </c>
      <c r="F83" s="1">
        <v>33</v>
      </c>
      <c r="G83" s="1">
        <v>17288</v>
      </c>
      <c r="I83">
        <f t="shared" si="4"/>
        <v>-0.60858833513185884</v>
      </c>
      <c r="J83">
        <f t="shared" si="5"/>
        <v>-0.90438054491370068</v>
      </c>
      <c r="K83">
        <f t="shared" si="6"/>
        <v>2.2243039132903188</v>
      </c>
      <c r="M83">
        <f t="shared" si="7"/>
        <v>0.23711167774825315</v>
      </c>
      <c r="P83" t="s">
        <v>1348</v>
      </c>
      <c r="Q83" s="15" t="s">
        <v>1686</v>
      </c>
    </row>
    <row r="84" spans="1:17">
      <c r="A84" s="2" t="s">
        <v>194</v>
      </c>
      <c r="B84" s="6" t="s">
        <v>757</v>
      </c>
      <c r="C84" s="7" t="str" cm="1">
        <f t="array" ref="C84">_xlfn.LET(
  _xlpm.s, UPPER(B84),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KELFKQICASGKIPHIILHSP</v>
      </c>
      <c r="D84" s="4">
        <v>737</v>
      </c>
      <c r="E84" s="1">
        <v>131</v>
      </c>
      <c r="F84" s="1">
        <v>643</v>
      </c>
      <c r="G84" s="1">
        <v>14</v>
      </c>
      <c r="I84">
        <f t="shared" si="4"/>
        <v>0.2418569723172822</v>
      </c>
      <c r="J84">
        <f t="shared" si="5"/>
        <v>0.48021833594360352</v>
      </c>
      <c r="K84">
        <f t="shared" si="6"/>
        <v>-0.7724109570956581</v>
      </c>
      <c r="M84">
        <f t="shared" si="7"/>
        <v>-1.6778549611590792E-2</v>
      </c>
      <c r="P84" t="s">
        <v>1132</v>
      </c>
      <c r="Q84" s="15" t="s">
        <v>1686</v>
      </c>
    </row>
    <row r="85" spans="1:17">
      <c r="A85" s="2" t="s">
        <v>195</v>
      </c>
      <c r="B85" s="6" t="s">
        <v>758</v>
      </c>
      <c r="C85" s="7" t="str" cm="1">
        <f t="array" ref="C85">_xlfn.LET(
  _xlpm.s, UPPER(B85),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KELFKRIAASGKIPHIILHSP</v>
      </c>
      <c r="D85" s="4">
        <v>1325</v>
      </c>
      <c r="E85" s="1">
        <v>19</v>
      </c>
      <c r="F85" s="1">
        <v>33</v>
      </c>
      <c r="G85" s="1">
        <v>8874</v>
      </c>
      <c r="I85">
        <f t="shared" si="4"/>
        <v>-0.85140911279942832</v>
      </c>
      <c r="J85">
        <f t="shared" si="5"/>
        <v>-1.0642270875165063</v>
      </c>
      <c r="K85">
        <f t="shared" si="6"/>
        <v>1.7748320411928646</v>
      </c>
      <c r="M85">
        <f t="shared" si="7"/>
        <v>-4.6934719707689997E-2</v>
      </c>
      <c r="P85" t="s">
        <v>1487</v>
      </c>
      <c r="Q85" s="16" t="s">
        <v>1685</v>
      </c>
    </row>
    <row r="86" spans="1:17">
      <c r="A86" s="2" t="s">
        <v>196</v>
      </c>
      <c r="B86" s="6" t="s">
        <v>759</v>
      </c>
      <c r="C86" s="7" t="str" cm="1">
        <f t="array" ref="C86">_xlfn.LET(
  _xlpm.s, UPPER(B86),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KELFKRIVASGKIPHIILHSP</v>
      </c>
      <c r="D86" s="4">
        <v>1337</v>
      </c>
      <c r="E86" s="1">
        <v>1014</v>
      </c>
      <c r="F86" s="1">
        <v>27</v>
      </c>
      <c r="G86" s="1">
        <v>156</v>
      </c>
      <c r="I86">
        <f t="shared" si="4"/>
        <v>0.8719597122559023</v>
      </c>
      <c r="J86">
        <f t="shared" si="5"/>
        <v>-1.1552927922245639</v>
      </c>
      <c r="K86">
        <f t="shared" si="6"/>
        <v>1.5921686177632566E-2</v>
      </c>
      <c r="M86">
        <f t="shared" si="7"/>
        <v>-8.9137131263676353E-2</v>
      </c>
      <c r="P86" t="s">
        <v>1342</v>
      </c>
      <c r="Q86" s="15" t="s">
        <v>1686</v>
      </c>
    </row>
    <row r="87" spans="1:17">
      <c r="A87" s="2" t="s">
        <v>197</v>
      </c>
      <c r="B87" s="6" t="s">
        <v>760</v>
      </c>
      <c r="C87" s="7" t="str" cm="1">
        <f t="array" ref="C87">_xlfn.LET(
  _xlpm.s, UPPER(B87),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KELFKEIAKSGKIPHIILHSP</v>
      </c>
      <c r="D87" s="4">
        <v>512</v>
      </c>
      <c r="E87" s="1">
        <v>73</v>
      </c>
      <c r="F87" s="1">
        <v>3708</v>
      </c>
      <c r="G87" s="1">
        <v>93</v>
      </c>
      <c r="I87">
        <f t="shared" si="4"/>
        <v>0.14610606366519463</v>
      </c>
      <c r="J87">
        <f t="shared" si="5"/>
        <v>1.3993446153750617</v>
      </c>
      <c r="K87">
        <f t="shared" si="6"/>
        <v>0.20814148266325971</v>
      </c>
      <c r="M87">
        <f t="shared" si="7"/>
        <v>0.58453072056783861</v>
      </c>
      <c r="P87" t="s">
        <v>1495</v>
      </c>
      <c r="Q87" s="16" t="s">
        <v>1685</v>
      </c>
    </row>
    <row r="88" spans="1:17">
      <c r="A88" s="2" t="s">
        <v>198</v>
      </c>
      <c r="B88" s="6" t="s">
        <v>761</v>
      </c>
      <c r="C88" s="7" t="str" cm="1">
        <f t="array" ref="C88">_xlfn.LET(
  _xlpm.s, UPPER(B88),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KELFKEIAAKGKIPHIILHSP</v>
      </c>
      <c r="D88" s="4">
        <v>458</v>
      </c>
      <c r="E88" s="1">
        <v>350</v>
      </c>
      <c r="F88" s="1">
        <v>55</v>
      </c>
      <c r="G88" s="1">
        <v>37</v>
      </c>
      <c r="I88">
        <f t="shared" si="4"/>
        <v>0.87525573086697595</v>
      </c>
      <c r="J88">
        <f t="shared" si="5"/>
        <v>-0.38102793763119236</v>
      </c>
      <c r="K88">
        <f t="shared" si="6"/>
        <v>-0.14373525885171889</v>
      </c>
      <c r="M88">
        <f t="shared" si="7"/>
        <v>0.11683084479468824</v>
      </c>
      <c r="P88" t="s">
        <v>1286</v>
      </c>
      <c r="Q88" s="16" t="s">
        <v>1685</v>
      </c>
    </row>
    <row r="89" spans="1:17">
      <c r="A89" s="2" t="s">
        <v>199</v>
      </c>
      <c r="B89" s="6" t="s">
        <v>762</v>
      </c>
      <c r="C89" s="7" t="str" cm="1">
        <f t="array" ref="C89">_xlfn.LET(
  _xlpm.s, UPPER(B89),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KELFKEIAASGKIPHIILHSP</v>
      </c>
      <c r="D89" s="4">
        <v>1027</v>
      </c>
      <c r="E89" s="1">
        <v>203</v>
      </c>
      <c r="F89" s="1">
        <v>160</v>
      </c>
      <c r="G89" s="1">
        <v>306</v>
      </c>
      <c r="I89">
        <f t="shared" si="4"/>
        <v>0.28797875883650415</v>
      </c>
      <c r="J89">
        <f t="shared" si="5"/>
        <v>-0.26797561006292048</v>
      </c>
      <c r="K89">
        <f t="shared" si="6"/>
        <v>0.42307947796945711</v>
      </c>
      <c r="M89">
        <f t="shared" si="7"/>
        <v>0.14769420891434692</v>
      </c>
      <c r="P89" t="s">
        <v>1207</v>
      </c>
      <c r="Q89" s="16" t="s">
        <v>1685</v>
      </c>
    </row>
    <row r="90" spans="1:17">
      <c r="A90" s="2" t="s">
        <v>200</v>
      </c>
      <c r="B90" s="6" t="s">
        <v>763</v>
      </c>
      <c r="C90" s="7" t="str" cm="1">
        <f t="array" ref="C90">_xlfn.LET(
  _xlpm.s, UPPER(B90),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KELFKEIVKRGKIPHIILHSP</v>
      </c>
      <c r="D90" s="4">
        <v>383</v>
      </c>
      <c r="E90" s="1">
        <v>52</v>
      </c>
      <c r="F90" s="1">
        <v>430</v>
      </c>
      <c r="G90" s="1">
        <v>15</v>
      </c>
      <c r="I90">
        <f t="shared" si="4"/>
        <v>0.12485773418674595</v>
      </c>
      <c r="J90">
        <f t="shared" si="5"/>
        <v>0.58974453248939673</v>
      </c>
      <c r="K90">
        <f t="shared" si="6"/>
        <v>-0.45817901982778619</v>
      </c>
      <c r="M90">
        <f t="shared" si="7"/>
        <v>8.5474415616118835E-2</v>
      </c>
      <c r="P90" t="s">
        <v>1554</v>
      </c>
      <c r="Q90" s="15" t="s">
        <v>1686</v>
      </c>
    </row>
    <row r="91" spans="1:17">
      <c r="A91" s="2" t="s">
        <v>201</v>
      </c>
      <c r="B91" s="6" t="s">
        <v>764</v>
      </c>
      <c r="C91" s="7" t="str" cm="1">
        <f t="array" ref="C91">_xlfn.LET(
  _xlpm.s, UPPER(B91),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KELFKEIVAKGKIPHIILHSP</v>
      </c>
      <c r="D91" s="4">
        <v>508</v>
      </c>
      <c r="E91" s="1">
        <v>831</v>
      </c>
      <c r="F91" s="1">
        <v>59</v>
      </c>
      <c r="G91" s="1">
        <v>39</v>
      </c>
      <c r="I91">
        <f t="shared" si="4"/>
        <v>1.2057904760207612</v>
      </c>
      <c r="J91">
        <f t="shared" si="5"/>
        <v>-0.39553684976334214</v>
      </c>
      <c r="K91">
        <f t="shared" si="6"/>
        <v>-0.16587061017226468</v>
      </c>
      <c r="M91">
        <f t="shared" si="7"/>
        <v>0.21479433869505146</v>
      </c>
      <c r="P91" t="s">
        <v>1665</v>
      </c>
      <c r="Q91" s="16" t="s">
        <v>1685</v>
      </c>
    </row>
    <row r="92" spans="1:17">
      <c r="A92" s="2" t="s">
        <v>202</v>
      </c>
      <c r="B92" s="6" t="s">
        <v>765</v>
      </c>
      <c r="C92" s="7" t="str" cm="1">
        <f t="array" ref="C92">_xlfn.LET(
  _xlpm.s, UPPER(B92),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KELFKEIVARGKIPHIILHSP</v>
      </c>
      <c r="D92" s="4">
        <v>661</v>
      </c>
      <c r="E92" s="1">
        <v>79</v>
      </c>
      <c r="F92" s="1">
        <v>1418</v>
      </c>
      <c r="G92" s="1">
        <v>59</v>
      </c>
      <c r="I92">
        <f t="shared" si="4"/>
        <v>6.9478796325370684E-2</v>
      </c>
      <c r="J92">
        <f t="shared" si="5"/>
        <v>0.87094962223984052</v>
      </c>
      <c r="K92">
        <f t="shared" si="6"/>
        <v>-0.10042095275834084</v>
      </c>
      <c r="M92">
        <f t="shared" si="7"/>
        <v>0.2800024886022901</v>
      </c>
      <c r="P92" t="s">
        <v>1462</v>
      </c>
      <c r="Q92" s="16" t="s">
        <v>1685</v>
      </c>
    </row>
    <row r="93" spans="1:17">
      <c r="A93" s="2" t="s">
        <v>203</v>
      </c>
      <c r="B93" s="6" t="s">
        <v>766</v>
      </c>
      <c r="C93" s="7" t="str" cm="1">
        <f t="array" ref="C93">_xlfn.LET(
  _xlpm.s, UPPER(B93),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KELFKEIVASGKIPHIILHSP</v>
      </c>
      <c r="D93" s="4">
        <v>639</v>
      </c>
      <c r="E93" s="1">
        <v>402</v>
      </c>
      <c r="F93" s="1">
        <v>166</v>
      </c>
      <c r="G93" s="1">
        <v>110</v>
      </c>
      <c r="I93">
        <f t="shared" si="4"/>
        <v>0.79077835944663932</v>
      </c>
      <c r="J93">
        <f t="shared" si="5"/>
        <v>-4.5917919239912175E-2</v>
      </c>
      <c r="K93">
        <f t="shared" si="6"/>
        <v>0.18482032208498012</v>
      </c>
      <c r="M93">
        <f t="shared" si="7"/>
        <v>0.30989358743056911</v>
      </c>
      <c r="P93" t="s">
        <v>1501</v>
      </c>
      <c r="Q93" s="16" t="s">
        <v>1685</v>
      </c>
    </row>
    <row r="94" spans="1:17">
      <c r="A94" s="2" t="s">
        <v>204</v>
      </c>
      <c r="B94" s="6" t="s">
        <v>767</v>
      </c>
      <c r="C94" s="7" t="str" cm="1">
        <f t="array" ref="C94">_xlfn.LET(
  _xlpm.s, UPPER(B94),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KELFKDIVKRGKIPHIILHSP</v>
      </c>
      <c r="D94" s="4">
        <v>482</v>
      </c>
      <c r="E94" s="1">
        <v>41</v>
      </c>
      <c r="F94" s="1">
        <v>37</v>
      </c>
      <c r="G94" s="1">
        <v>12324</v>
      </c>
      <c r="I94">
        <f t="shared" si="4"/>
        <v>-7.8210016998544685E-2</v>
      </c>
      <c r="J94">
        <f t="shared" si="5"/>
        <v>-0.57537046329342167</v>
      </c>
      <c r="K94">
        <f t="shared" si="6"/>
        <v>2.3566331464912089</v>
      </c>
      <c r="M94">
        <f t="shared" si="7"/>
        <v>0.56768422206641411</v>
      </c>
      <c r="P94" t="s">
        <v>1630</v>
      </c>
      <c r="Q94" s="16" t="s">
        <v>1685</v>
      </c>
    </row>
    <row r="95" spans="1:17">
      <c r="A95" s="2" t="s">
        <v>205</v>
      </c>
      <c r="B95" s="6" t="s">
        <v>768</v>
      </c>
      <c r="C95" s="7" t="str" cm="1">
        <f t="array" ref="C95">_xlfn.LET(
  _xlpm.s, UPPER(B95),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KELFKAIAASGKIPHIILHSP</v>
      </c>
      <c r="D95" s="4">
        <v>1115</v>
      </c>
      <c r="E95" s="1">
        <v>1746</v>
      </c>
      <c r="F95" s="1">
        <v>143</v>
      </c>
      <c r="G95" s="1">
        <v>951</v>
      </c>
      <c r="I95">
        <f t="shared" si="4"/>
        <v>1.1868225365059408</v>
      </c>
      <c r="J95">
        <f t="shared" si="5"/>
        <v>-0.35246397904068472</v>
      </c>
      <c r="K95">
        <f t="shared" si="6"/>
        <v>0.87983414463838971</v>
      </c>
      <c r="M95">
        <f t="shared" si="7"/>
        <v>0.57139756736788194</v>
      </c>
      <c r="P95" t="s">
        <v>1661</v>
      </c>
      <c r="Q95" s="16" t="s">
        <v>1685</v>
      </c>
    </row>
    <row r="96" spans="1:17">
      <c r="A96" s="2" t="s">
        <v>206</v>
      </c>
      <c r="B96" s="6" t="s">
        <v>769</v>
      </c>
      <c r="C96" s="7" t="str" cm="1">
        <f t="array" ref="C96">_xlfn.LET(
  _xlpm.s, UPPER(B96),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KELFKAIVKKGKIPHIILHSP</v>
      </c>
      <c r="D96" s="4">
        <v>349</v>
      </c>
      <c r="E96" s="1">
        <v>1417</v>
      </c>
      <c r="F96" s="1">
        <v>129</v>
      </c>
      <c r="G96" s="1">
        <v>79</v>
      </c>
      <c r="I96">
        <f t="shared" si="4"/>
        <v>1.6005975878088501</v>
      </c>
      <c r="J96">
        <f t="shared" si="5"/>
        <v>0.10723913421850201</v>
      </c>
      <c r="K96">
        <f t="shared" si="6"/>
        <v>0.30373015941641679</v>
      </c>
      <c r="M96">
        <f t="shared" si="7"/>
        <v>0.67052229381458961</v>
      </c>
      <c r="P96" t="s">
        <v>1323</v>
      </c>
      <c r="Q96" s="16" t="s">
        <v>1685</v>
      </c>
    </row>
    <row r="97" spans="1:17">
      <c r="A97" s="2" t="s">
        <v>207</v>
      </c>
      <c r="B97" s="6" t="s">
        <v>770</v>
      </c>
      <c r="C97" s="7" t="str" cm="1">
        <f t="array" ref="C97">_xlfn.LET(
  _xlpm.s, UPPER(B97),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KELFKAIVKRGKIPHIILHSP</v>
      </c>
      <c r="D97" s="4">
        <v>658</v>
      </c>
      <c r="E97" s="1">
        <v>1104</v>
      </c>
      <c r="F97" s="1">
        <v>27</v>
      </c>
      <c r="G97" s="1">
        <v>225</v>
      </c>
      <c r="I97">
        <f t="shared" si="4"/>
        <v>1.216796344299794</v>
      </c>
      <c r="J97">
        <f t="shared" si="5"/>
        <v>-0.84738727857653517</v>
      </c>
      <c r="K97">
        <f t="shared" si="6"/>
        <v>0.48288511958256225</v>
      </c>
      <c r="M97">
        <f t="shared" si="7"/>
        <v>0.28409806176860702</v>
      </c>
      <c r="P97" t="s">
        <v>1295</v>
      </c>
      <c r="Q97" s="16" t="s">
        <v>1685</v>
      </c>
    </row>
    <row r="98" spans="1:17">
      <c r="A98" s="2" t="s">
        <v>208</v>
      </c>
      <c r="B98" s="6" t="s">
        <v>771</v>
      </c>
      <c r="C98" s="7" t="str" cm="1">
        <f t="array" ref="C98">_xlfn.LET(
  _xlpm.s, UPPER(B98),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KELFKAIVKSGKIPHIILHSP</v>
      </c>
      <c r="D98" s="4">
        <v>617</v>
      </c>
      <c r="E98" s="1">
        <v>4003</v>
      </c>
      <c r="F98" s="1">
        <v>40</v>
      </c>
      <c r="G98" s="1">
        <v>64</v>
      </c>
      <c r="I98">
        <f t="shared" si="4"/>
        <v>1.8041535905924331</v>
      </c>
      <c r="J98">
        <f t="shared" si="5"/>
        <v>-0.64875032182684633</v>
      </c>
      <c r="K98">
        <f t="shared" si="6"/>
        <v>-3.5176694964199173E-2</v>
      </c>
      <c r="M98">
        <f t="shared" si="7"/>
        <v>0.37340885793379591</v>
      </c>
      <c r="P98" t="s">
        <v>1202</v>
      </c>
      <c r="Q98" s="16" t="s">
        <v>1685</v>
      </c>
    </row>
    <row r="99" spans="1:17">
      <c r="A99" s="2" t="s">
        <v>209</v>
      </c>
      <c r="B99" s="6" t="s">
        <v>772</v>
      </c>
      <c r="C99" s="7" t="str" cm="1">
        <f t="array" ref="C99">_xlfn.LET(
  _xlpm.s, UPPER(B99),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KELFKAIVAKGKIPHIILHSP</v>
      </c>
      <c r="D99" s="4">
        <v>746</v>
      </c>
      <c r="E99" s="1">
        <v>121</v>
      </c>
      <c r="F99" s="1">
        <v>186</v>
      </c>
      <c r="G99" s="1">
        <v>64</v>
      </c>
      <c r="I99">
        <f t="shared" si="4"/>
        <v>0.20209970736435079</v>
      </c>
      <c r="J99">
        <f t="shared" si="5"/>
        <v>-6.3751032376319516E-2</v>
      </c>
      <c r="K99">
        <f t="shared" si="6"/>
        <v>-0.11763035840362623</v>
      </c>
      <c r="M99">
        <f t="shared" si="7"/>
        <v>6.9061055281350132E-3</v>
      </c>
      <c r="P99" t="s">
        <v>1368</v>
      </c>
      <c r="Q99" s="16" t="s">
        <v>1685</v>
      </c>
    </row>
    <row r="100" spans="1:17">
      <c r="A100" s="2" t="s">
        <v>210</v>
      </c>
      <c r="B100" s="6" t="s">
        <v>773</v>
      </c>
      <c r="C100" s="7" t="str" cm="1">
        <f t="array" ref="C100">_xlfn.LET(
  _xlpm.s, UPPER(B100),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KELFKAIVARGKIPHIILHSP</v>
      </c>
      <c r="D100" s="4">
        <v>1009</v>
      </c>
      <c r="E100" s="1">
        <v>262</v>
      </c>
      <c r="F100" s="1">
        <v>305</v>
      </c>
      <c r="G100" s="1">
        <v>43</v>
      </c>
      <c r="I100">
        <f t="shared" si="4"/>
        <v>0.40646328960340439</v>
      </c>
      <c r="J100">
        <f t="shared" si="5"/>
        <v>1.9883523988308283E-2</v>
      </c>
      <c r="K100">
        <f t="shared" si="6"/>
        <v>-0.4214942155721686</v>
      </c>
      <c r="M100">
        <f t="shared" si="7"/>
        <v>1.6175326731813582E-3</v>
      </c>
      <c r="P100" t="s">
        <v>1133</v>
      </c>
      <c r="Q100" s="16" t="s">
        <v>1685</v>
      </c>
    </row>
    <row r="101" spans="1:17">
      <c r="A101" s="2" t="s">
        <v>211</v>
      </c>
      <c r="B101" s="6" t="s">
        <v>774</v>
      </c>
      <c r="C101" s="7" t="str" cm="1">
        <f t="array" ref="C101">_xlfn.LET(
  _xlpm.s, UPPER(B101),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KELFKAIVASGKIPHIILHSP</v>
      </c>
      <c r="D101" s="4">
        <v>1067</v>
      </c>
      <c r="E101" s="1">
        <v>235</v>
      </c>
      <c r="F101" s="1">
        <v>4101</v>
      </c>
      <c r="G101" s="1">
        <v>35</v>
      </c>
      <c r="I101">
        <f t="shared" si="4"/>
        <v>0.33495660736783583</v>
      </c>
      <c r="J101">
        <f t="shared" si="5"/>
        <v>1.1242002007414478</v>
      </c>
      <c r="K101">
        <f t="shared" si="6"/>
        <v>-0.53516787998903892</v>
      </c>
      <c r="M101">
        <f t="shared" si="7"/>
        <v>0.30799630937341488</v>
      </c>
      <c r="P101" t="s">
        <v>1516</v>
      </c>
      <c r="Q101" s="15" t="s">
        <v>1686</v>
      </c>
    </row>
    <row r="102" spans="1:17">
      <c r="A102" s="2" t="s">
        <v>212</v>
      </c>
      <c r="B102" s="6" t="s">
        <v>775</v>
      </c>
      <c r="C102" s="7" t="str" cm="1">
        <f t="array" ref="C102">_xlfn.LET(
  _xlpm.s, UPPER(B102),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KELFKSIAASGKIPHIILHSP</v>
      </c>
      <c r="D102" s="4">
        <v>874</v>
      </c>
      <c r="E102" s="1">
        <v>4357</v>
      </c>
      <c r="F102" s="1">
        <v>16</v>
      </c>
      <c r="G102" s="1">
        <v>23</v>
      </c>
      <c r="I102">
        <f t="shared" si="4"/>
        <v>1.6897292918219202</v>
      </c>
      <c r="J102">
        <f t="shared" si="5"/>
        <v>-1.1979165991000453</v>
      </c>
      <c r="K102">
        <f t="shared" si="6"/>
        <v>-0.6308551015316548</v>
      </c>
      <c r="M102">
        <f t="shared" si="7"/>
        <v>-4.6347469603259972E-2</v>
      </c>
      <c r="P102" t="s">
        <v>1241</v>
      </c>
      <c r="Q102" s="16" t="s">
        <v>1685</v>
      </c>
    </row>
    <row r="103" spans="1:17">
      <c r="A103" s="2" t="s">
        <v>213</v>
      </c>
      <c r="B103" s="6" t="s">
        <v>776</v>
      </c>
      <c r="C103" s="7" t="str" cm="1">
        <f t="array" ref="C103">_xlfn.LET(
  _xlpm.s, UPPER(B103),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KELFKSIVKKGKIPHIILHSP</v>
      </c>
      <c r="D103" s="4">
        <v>243</v>
      </c>
      <c r="E103" s="1">
        <v>269</v>
      </c>
      <c r="F103" s="1">
        <v>18</v>
      </c>
      <c r="G103" s="1">
        <v>13</v>
      </c>
      <c r="I103">
        <f t="shared" si="4"/>
        <v>1.0361991709246652</v>
      </c>
      <c r="J103">
        <f t="shared" si="5"/>
        <v>-0.59085891761657316</v>
      </c>
      <c r="K103">
        <f t="shared" si="6"/>
        <v>-0.32273442620632009</v>
      </c>
      <c r="M103">
        <f t="shared" si="7"/>
        <v>4.0868609033923975E-2</v>
      </c>
      <c r="P103" t="s">
        <v>1235</v>
      </c>
      <c r="Q103" s="16" t="s">
        <v>1685</v>
      </c>
    </row>
    <row r="104" spans="1:17">
      <c r="A104" s="2" t="s">
        <v>214</v>
      </c>
      <c r="B104" s="6" t="s">
        <v>777</v>
      </c>
      <c r="C104" s="7" t="str" cm="1">
        <f t="array" ref="C104">_xlfn.LET(
  _xlpm.s, UPPER(B104),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KELFKSIVKRGKIPHIILHSP</v>
      </c>
      <c r="D104" s="4">
        <v>425</v>
      </c>
      <c r="E104" s="1">
        <v>1107</v>
      </c>
      <c r="F104" s="1">
        <v>71</v>
      </c>
      <c r="G104" s="1">
        <v>67</v>
      </c>
      <c r="I104">
        <f t="shared" si="4"/>
        <v>1.4078118553489807</v>
      </c>
      <c r="J104">
        <f t="shared" si="5"/>
        <v>-0.2376557304528033</v>
      </c>
      <c r="K104">
        <f t="shared" si="6"/>
        <v>0.14661436773567027</v>
      </c>
      <c r="M104">
        <f t="shared" si="7"/>
        <v>0.43892349754394927</v>
      </c>
      <c r="P104" t="s">
        <v>1465</v>
      </c>
      <c r="Q104" s="16" t="s">
        <v>1685</v>
      </c>
    </row>
    <row r="105" spans="1:17">
      <c r="A105" s="2" t="s">
        <v>215</v>
      </c>
      <c r="B105" s="6" t="s">
        <v>778</v>
      </c>
      <c r="C105" s="7" t="str" cm="1">
        <f t="array" ref="C105">_xlfn.LET(
  _xlpm.s, UPPER(B105),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KELFKSIVKSGKIPHIILHSP</v>
      </c>
      <c r="D105" s="4">
        <v>435</v>
      </c>
      <c r="E105" s="1">
        <v>33</v>
      </c>
      <c r="F105" s="1">
        <v>2993</v>
      </c>
      <c r="G105" s="1">
        <v>41</v>
      </c>
      <c r="I105">
        <f t="shared" si="4"/>
        <v>-0.12792215255618045</v>
      </c>
      <c r="J105">
        <f t="shared" si="5"/>
        <v>1.377092310763987</v>
      </c>
      <c r="K105">
        <f t="shared" si="6"/>
        <v>-7.6776905149746444E-2</v>
      </c>
      <c r="M105">
        <f t="shared" si="7"/>
        <v>0.39079775101935338</v>
      </c>
      <c r="P105" t="s">
        <v>1369</v>
      </c>
      <c r="Q105" s="16" t="s">
        <v>1685</v>
      </c>
    </row>
    <row r="106" spans="1:17">
      <c r="A106" s="2" t="s">
        <v>216</v>
      </c>
      <c r="B106" s="6" t="s">
        <v>779</v>
      </c>
      <c r="C106" s="7" t="str" cm="1">
        <f t="array" ref="C106">_xlfn.LET(
  _xlpm.s, UPPER(B106),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KELFKSIVEKGKIPHIILHSP</v>
      </c>
      <c r="D106" s="4">
        <v>457</v>
      </c>
      <c r="E106" s="1">
        <v>1237</v>
      </c>
      <c r="F106" s="1">
        <v>24</v>
      </c>
      <c r="G106" s="1">
        <v>15</v>
      </c>
      <c r="I106">
        <f t="shared" si="4"/>
        <v>1.4245066640798398</v>
      </c>
      <c r="J106">
        <f t="shared" si="5"/>
        <v>-0.74023010747981133</v>
      </c>
      <c r="K106">
        <f t="shared" si="6"/>
        <v>-0.53489644592901375</v>
      </c>
      <c r="M106">
        <f t="shared" si="7"/>
        <v>4.9793370223671585E-2</v>
      </c>
      <c r="P106" t="s">
        <v>1318</v>
      </c>
      <c r="Q106" s="15" t="s">
        <v>1686</v>
      </c>
    </row>
    <row r="107" spans="1:17">
      <c r="A107" s="2" t="s">
        <v>217</v>
      </c>
      <c r="B107" s="6" t="s">
        <v>780</v>
      </c>
      <c r="C107" s="7" t="str" cm="1">
        <f t="array" ref="C107">_xlfn.LET(
  _xlpm.s, UPPER(B107),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KELFKSIVESGKIPHIILHSP</v>
      </c>
      <c r="D107" s="4">
        <v>577</v>
      </c>
      <c r="E107" s="1">
        <v>57</v>
      </c>
      <c r="F107" s="1">
        <v>1277</v>
      </c>
      <c r="G107" s="1">
        <v>34</v>
      </c>
      <c r="I107">
        <f t="shared" si="4"/>
        <v>-1.3247792962670646E-2</v>
      </c>
      <c r="J107">
        <f t="shared" si="5"/>
        <v>0.88448993498611683</v>
      </c>
      <c r="K107">
        <f t="shared" si="6"/>
        <v>-0.2807684010283209</v>
      </c>
      <c r="M107">
        <f t="shared" si="7"/>
        <v>0.19682458033170844</v>
      </c>
      <c r="P107" t="s">
        <v>1298</v>
      </c>
      <c r="Q107" s="16" t="s">
        <v>1685</v>
      </c>
    </row>
    <row r="108" spans="1:17">
      <c r="A108" s="2" t="s">
        <v>218</v>
      </c>
      <c r="B108" s="6" t="s">
        <v>781</v>
      </c>
      <c r="C108" s="7" t="str" cm="1">
        <f t="array" ref="C108">_xlfn.LET(
  _xlpm.s, UPPER(B108),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KELFKSIVAKGKIPHIILHSP</v>
      </c>
      <c r="D108" s="4">
        <v>610</v>
      </c>
      <c r="E108" s="1">
        <v>1190</v>
      </c>
      <c r="F108" s="1">
        <v>26</v>
      </c>
      <c r="G108" s="1">
        <v>85</v>
      </c>
      <c r="I108">
        <f t="shared" si="4"/>
        <v>1.2822702909023331</v>
      </c>
      <c r="J108">
        <f t="shared" si="5"/>
        <v>-0.83088163616151622</v>
      </c>
      <c r="K108">
        <f t="shared" si="6"/>
        <v>9.3017585788681023E-2</v>
      </c>
      <c r="M108">
        <f t="shared" si="7"/>
        <v>0.18146874684316597</v>
      </c>
      <c r="P108" t="s">
        <v>1488</v>
      </c>
      <c r="Q108" s="16" t="s">
        <v>1685</v>
      </c>
    </row>
    <row r="109" spans="1:17">
      <c r="A109" s="2" t="s">
        <v>219</v>
      </c>
      <c r="B109" s="6" t="s">
        <v>782</v>
      </c>
      <c r="C109" s="7" t="str" cm="1">
        <f t="array" ref="C109">_xlfn.LET(
  _xlpm.s, UPPER(B109),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KELFKSIVARGKIPHIILHSP</v>
      </c>
      <c r="D109" s="4">
        <v>760</v>
      </c>
      <c r="E109" s="1">
        <v>119</v>
      </c>
      <c r="F109" s="1">
        <v>428</v>
      </c>
      <c r="G109" s="1">
        <v>84</v>
      </c>
      <c r="I109">
        <f t="shared" si="4"/>
        <v>0.18678653363230879</v>
      </c>
      <c r="J109">
        <f t="shared" si="5"/>
        <v>0.29010502761081358</v>
      </c>
      <c r="K109">
        <f t="shared" si="6"/>
        <v>-7.6058111337543588E-3</v>
      </c>
      <c r="M109">
        <f t="shared" si="7"/>
        <v>0.15642858336978935</v>
      </c>
      <c r="P109" t="s">
        <v>1454</v>
      </c>
      <c r="Q109" s="15" t="s">
        <v>1686</v>
      </c>
    </row>
    <row r="110" spans="1:17">
      <c r="A110" s="2" t="s">
        <v>220</v>
      </c>
      <c r="B110" s="6" t="s">
        <v>783</v>
      </c>
      <c r="C110" s="7" t="str" cm="1">
        <f t="array" ref="C110">_xlfn.LET(
  _xlpm.s, UPPER(B110),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KELFKSIVASGKIPHIILHSP</v>
      </c>
      <c r="D110" s="4">
        <v>1107</v>
      </c>
      <c r="E110" s="1">
        <v>1184</v>
      </c>
      <c r="F110" s="1">
        <v>256</v>
      </c>
      <c r="G110" s="1">
        <v>36</v>
      </c>
      <c r="I110">
        <f t="shared" si="4"/>
        <v>1.0212572460287477</v>
      </c>
      <c r="J110">
        <f t="shared" si="5"/>
        <v>-9.6432804688440288E-2</v>
      </c>
      <c r="K110">
        <f t="shared" si="6"/>
        <v>-0.53891662502628024</v>
      </c>
      <c r="M110">
        <f t="shared" si="7"/>
        <v>0.12863593877134238</v>
      </c>
      <c r="P110" t="s">
        <v>1192</v>
      </c>
      <c r="Q110" s="16" t="s">
        <v>1685</v>
      </c>
    </row>
    <row r="111" spans="1:17">
      <c r="A111" s="2" t="s">
        <v>221</v>
      </c>
      <c r="B111" s="6" t="s">
        <v>784</v>
      </c>
      <c r="C111" s="7" t="str" cm="1">
        <f t="array" ref="C111">_xlfn.LET(
  _xlpm.s, UPPER(B111),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KELFKSIVSKGKIPHIILHSP</v>
      </c>
      <c r="D111" s="4">
        <v>355</v>
      </c>
      <c r="E111" s="1">
        <v>384</v>
      </c>
      <c r="F111" s="1">
        <v>41</v>
      </c>
      <c r="G111" s="1">
        <v>396</v>
      </c>
      <c r="I111">
        <f t="shared" si="4"/>
        <v>1.0261560358330062</v>
      </c>
      <c r="J111">
        <f t="shared" si="5"/>
        <v>-0.3979696454569257</v>
      </c>
      <c r="K111">
        <f t="shared" si="6"/>
        <v>0.99639532795557351</v>
      </c>
      <c r="M111">
        <f t="shared" si="7"/>
        <v>0.5415272394438847</v>
      </c>
      <c r="P111" t="s">
        <v>1632</v>
      </c>
      <c r="Q111" s="16" t="s">
        <v>1685</v>
      </c>
    </row>
    <row r="112" spans="1:17">
      <c r="A112" s="2" t="s">
        <v>222</v>
      </c>
      <c r="B112" s="6" t="s">
        <v>785</v>
      </c>
      <c r="C112" s="7" t="str" cm="1">
        <f t="array" ref="C112">_xlfn.LET(
  _xlpm.s, UPPER(B112),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KELFQAIVAKGKIPHIILHSP</v>
      </c>
      <c r="D112" s="4">
        <v>725</v>
      </c>
      <c r="E112" s="1">
        <v>18</v>
      </c>
      <c r="F112" s="1">
        <v>1926</v>
      </c>
      <c r="G112" s="1">
        <v>27</v>
      </c>
      <c r="I112">
        <f t="shared" si="4"/>
        <v>-0.6130123369471181</v>
      </c>
      <c r="J112">
        <f t="shared" si="5"/>
        <v>0.96379312709595499</v>
      </c>
      <c r="K112">
        <f t="shared" si="6"/>
        <v>-0.48004574732685112</v>
      </c>
      <c r="M112">
        <f t="shared" si="7"/>
        <v>-4.3088319059338076E-2</v>
      </c>
      <c r="P112" t="s">
        <v>1512</v>
      </c>
      <c r="Q112" s="15" t="s">
        <v>1686</v>
      </c>
    </row>
    <row r="113" spans="1:17">
      <c r="A113" s="2" t="s">
        <v>223</v>
      </c>
      <c r="B113" s="6" t="s">
        <v>786</v>
      </c>
      <c r="C113" s="7" t="str" cm="1">
        <f t="array" ref="C113">_xlfn.LET(
  _xlpm.s, UPPER(B113),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KELFRKIAASGKIPHIILHSP</v>
      </c>
      <c r="D113" s="4">
        <v>991</v>
      </c>
      <c r="E113" s="1">
        <v>40</v>
      </c>
      <c r="F113" s="1">
        <v>286</v>
      </c>
      <c r="G113" s="1">
        <v>297</v>
      </c>
      <c r="I113">
        <f t="shared" si="4"/>
        <v>-0.40196049863674355</v>
      </c>
      <c r="J113">
        <f t="shared" si="5"/>
        <v>-2.327704777993489E-4</v>
      </c>
      <c r="K113">
        <f t="shared" si="6"/>
        <v>0.42561128991709241</v>
      </c>
      <c r="M113">
        <f t="shared" si="7"/>
        <v>7.8060069341831699E-3</v>
      </c>
      <c r="P113" t="s">
        <v>1258</v>
      </c>
      <c r="Q113" s="16" t="s">
        <v>1685</v>
      </c>
    </row>
    <row r="114" spans="1:17">
      <c r="A114" s="2" t="s">
        <v>224</v>
      </c>
      <c r="B114" s="6" t="s">
        <v>787</v>
      </c>
      <c r="C114" s="7" t="str" cm="1">
        <f t="array" ref="C114">_xlfn.LET(
  _xlpm.s, UPPER(B114),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KELFRNIVKSGKIPHIILHSP</v>
      </c>
      <c r="D114" s="4">
        <v>667</v>
      </c>
      <c r="E114" s="1">
        <v>858</v>
      </c>
      <c r="F114" s="1">
        <v>62</v>
      </c>
      <c r="G114" s="1">
        <v>46</v>
      </c>
      <c r="I114">
        <f t="shared" si="4"/>
        <v>1.101414618452726</v>
      </c>
      <c r="J114">
        <f t="shared" si="5"/>
        <v>-0.49225929353986209</v>
      </c>
      <c r="K114">
        <f t="shared" si="6"/>
        <v>-0.21243950714981952</v>
      </c>
      <c r="M114">
        <f t="shared" si="7"/>
        <v>0.1322386059210148</v>
      </c>
      <c r="P114" t="s">
        <v>1278</v>
      </c>
      <c r="Q114" s="15" t="s">
        <v>1686</v>
      </c>
    </row>
    <row r="115" spans="1:17">
      <c r="A115" s="2" t="s">
        <v>225</v>
      </c>
      <c r="B115" s="6" t="s">
        <v>788</v>
      </c>
      <c r="C115" s="7" t="str" cm="1">
        <f t="array" ref="C115">_xlfn.LET(
  _xlpm.s, UPPER(B115),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KELFRQLAASGKIPHIILHSP</v>
      </c>
      <c r="D115" s="4">
        <v>1718</v>
      </c>
      <c r="E115" s="1">
        <v>130</v>
      </c>
      <c r="F115" s="1">
        <v>3997</v>
      </c>
      <c r="G115" s="1">
        <v>89</v>
      </c>
      <c r="I115">
        <f t="shared" si="4"/>
        <v>-0.12902664266781727</v>
      </c>
      <c r="J115">
        <f t="shared" si="5"/>
        <v>0.90618583964331434</v>
      </c>
      <c r="K115">
        <f t="shared" si="6"/>
        <v>-0.33670465776515535</v>
      </c>
      <c r="M115">
        <f t="shared" si="7"/>
        <v>0.14681817973678057</v>
      </c>
      <c r="P115" t="s">
        <v>1580</v>
      </c>
      <c r="Q115" s="16" t="s">
        <v>1685</v>
      </c>
    </row>
    <row r="116" spans="1:17">
      <c r="A116" s="2" t="s">
        <v>226</v>
      </c>
      <c r="B116" s="6" t="s">
        <v>789</v>
      </c>
      <c r="C116" s="7" t="str" cm="1">
        <f t="array" ref="C116">_xlfn.LET(
  _xlpm.s, UPPER(B116),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KELFREIAKSGKIPHIILHSP</v>
      </c>
      <c r="D116" s="4">
        <v>673</v>
      </c>
      <c r="E116" s="1">
        <v>530</v>
      </c>
      <c r="F116" s="1">
        <v>1081</v>
      </c>
      <c r="G116" s="1">
        <v>45</v>
      </c>
      <c r="I116">
        <f t="shared" si="4"/>
        <v>0.88831396989738165</v>
      </c>
      <c r="J116">
        <f t="shared" si="5"/>
        <v>0.74528548060776645</v>
      </c>
      <c r="K116">
        <f t="shared" si="6"/>
        <v>-0.22587405536347793</v>
      </c>
      <c r="M116">
        <f t="shared" si="7"/>
        <v>0.46924179838055674</v>
      </c>
      <c r="P116" t="s">
        <v>1659</v>
      </c>
      <c r="Q116" s="16" t="s">
        <v>1685</v>
      </c>
    </row>
    <row r="117" spans="1:17">
      <c r="A117" s="2" t="s">
        <v>227</v>
      </c>
      <c r="B117" s="6" t="s">
        <v>790</v>
      </c>
      <c r="C117" s="7" t="str" cm="1">
        <f t="array" ref="C117">_xlfn.LET(
  _xlpm.s, UPPER(B117),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KELFREIAASGKIPHIILHSP</v>
      </c>
      <c r="D117" s="4">
        <v>1199</v>
      </c>
      <c r="E117" s="1">
        <v>50</v>
      </c>
      <c r="F117" s="1">
        <v>355</v>
      </c>
      <c r="G117" s="1">
        <v>603</v>
      </c>
      <c r="I117">
        <f t="shared" si="4"/>
        <v>-0.38779601424226051</v>
      </c>
      <c r="J117">
        <f t="shared" si="5"/>
        <v>1.0884020834678321E-2</v>
      </c>
      <c r="K117">
        <f t="shared" si="6"/>
        <v>0.65042662412645802</v>
      </c>
      <c r="M117">
        <f t="shared" si="7"/>
        <v>9.1171543572958605E-2</v>
      </c>
      <c r="P117" t="s">
        <v>1349</v>
      </c>
      <c r="Q117" s="15" t="s">
        <v>1686</v>
      </c>
    </row>
    <row r="118" spans="1:17">
      <c r="A118" s="2" t="s">
        <v>228</v>
      </c>
      <c r="B118" s="6" t="s">
        <v>791</v>
      </c>
      <c r="C118" s="7" t="str" cm="1">
        <f t="array" ref="C118">_xlfn.LET(
  _xlpm.s, UPPER(B118),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KELFREIVASGKIPHIILHSP</v>
      </c>
      <c r="D118" s="4">
        <v>1111</v>
      </c>
      <c r="E118" s="1">
        <v>61</v>
      </c>
      <c r="F118" s="1">
        <v>174</v>
      </c>
      <c r="G118" s="1">
        <v>115</v>
      </c>
      <c r="I118">
        <f t="shared" si="4"/>
        <v>-0.26833105940953117</v>
      </c>
      <c r="J118">
        <f t="shared" si="5"/>
        <v>-0.26568995977983501</v>
      </c>
      <c r="K118">
        <f t="shared" si="6"/>
        <v>-3.6087723502100655E-2</v>
      </c>
      <c r="M118">
        <f t="shared" si="7"/>
        <v>-0.19003624756382229</v>
      </c>
      <c r="P118" t="s">
        <v>1152</v>
      </c>
      <c r="Q118" s="16" t="s">
        <v>1685</v>
      </c>
    </row>
    <row r="119" spans="1:17">
      <c r="A119" s="2" t="s">
        <v>229</v>
      </c>
      <c r="B119" s="6" t="s">
        <v>792</v>
      </c>
      <c r="C119" s="7" t="str" cm="1">
        <f t="array" ref="C119">_xlfn.LET(
  _xlpm.s, UPPER(B119),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KELFRAIVKRGKIPHIILHSP</v>
      </c>
      <c r="D119" s="4">
        <v>707</v>
      </c>
      <c r="E119" s="1">
        <v>4254</v>
      </c>
      <c r="F119" s="1">
        <v>26</v>
      </c>
      <c r="G119" s="1">
        <v>73</v>
      </c>
      <c r="I119">
        <f t="shared" si="4"/>
        <v>1.7714312362903804</v>
      </c>
      <c r="J119">
        <f t="shared" si="5"/>
        <v>-0.89497121494764842</v>
      </c>
      <c r="K119">
        <f t="shared" si="6"/>
        <v>-3.7168058591288244E-2</v>
      </c>
      <c r="M119">
        <f t="shared" si="7"/>
        <v>0.27976398758381454</v>
      </c>
      <c r="P119" t="s">
        <v>1263</v>
      </c>
      <c r="Q119" s="16" t="s">
        <v>1685</v>
      </c>
    </row>
    <row r="120" spans="1:17">
      <c r="A120" s="2" t="s">
        <v>230</v>
      </c>
      <c r="B120" s="6" t="s">
        <v>793</v>
      </c>
      <c r="C120" s="7" t="str" cm="1">
        <f t="array" ref="C120">_xlfn.LET(
  _xlpm.s, UPPER(B120),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KELFRAIVAKGKIPHIILHSP</v>
      </c>
      <c r="D120" s="4">
        <v>924</v>
      </c>
      <c r="E120" s="1">
        <v>14</v>
      </c>
      <c r="F120" s="1">
        <v>452</v>
      </c>
      <c r="G120" s="1">
        <v>26</v>
      </c>
      <c r="I120">
        <f t="shared" si="4"/>
        <v>-0.82749077102129909</v>
      </c>
      <c r="J120">
        <f t="shared" si="5"/>
        <v>0.22894131446970833</v>
      </c>
      <c r="K120">
        <f t="shared" si="6"/>
        <v>-0.60177012816413344</v>
      </c>
      <c r="M120">
        <f t="shared" si="7"/>
        <v>-0.40010652823857473</v>
      </c>
      <c r="P120" t="s">
        <v>1397</v>
      </c>
      <c r="Q120" s="15" t="s">
        <v>1686</v>
      </c>
    </row>
    <row r="121" spans="1:17">
      <c r="A121" s="2" t="s">
        <v>231</v>
      </c>
      <c r="B121" s="6" t="s">
        <v>794</v>
      </c>
      <c r="C121" s="7" t="str" cm="1">
        <f t="array" ref="C121">_xlfn.LET(
  _xlpm.s, UPPER(B121),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KELFRAIVARGKIPHIILHSP</v>
      </c>
      <c r="D121" s="4">
        <v>1192</v>
      </c>
      <c r="E121" s="1">
        <v>1626</v>
      </c>
      <c r="F121" s="1">
        <v>90</v>
      </c>
      <c r="G121" s="1">
        <v>37</v>
      </c>
      <c r="I121">
        <f t="shared" si="4"/>
        <v>1.1268974503744011</v>
      </c>
      <c r="J121">
        <f t="shared" si="5"/>
        <v>-0.58255889508645986</v>
      </c>
      <c r="K121">
        <f t="shared" si="6"/>
        <v>-0.55914603625206727</v>
      </c>
      <c r="M121">
        <f t="shared" si="7"/>
        <v>-4.9358269880419954E-3</v>
      </c>
      <c r="P121" t="s">
        <v>1200</v>
      </c>
      <c r="Q121" s="16" t="s">
        <v>1685</v>
      </c>
    </row>
    <row r="122" spans="1:17">
      <c r="A122" s="2" t="s">
        <v>232</v>
      </c>
      <c r="B122" s="6" t="s">
        <v>795</v>
      </c>
      <c r="C122" s="7" t="str" cm="1">
        <f t="array" ref="C122">_xlfn.LET(
  _xlpm.s, UPPER(B122),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KELFRSIVKKGKIPHIILHSP</v>
      </c>
      <c r="D122" s="4">
        <v>409</v>
      </c>
      <c r="E122" s="1">
        <v>1210</v>
      </c>
      <c r="F122" s="1">
        <v>42</v>
      </c>
      <c r="G122" s="1">
        <v>19</v>
      </c>
      <c r="I122">
        <f t="shared" si="4"/>
        <v>1.4631152268296779</v>
      </c>
      <c r="J122">
        <f t="shared" si="5"/>
        <v>-0.44899916673100837</v>
      </c>
      <c r="K122">
        <f t="shared" si="6"/>
        <v>-0.38404121196935748</v>
      </c>
      <c r="M122">
        <f t="shared" si="7"/>
        <v>0.21002494937643737</v>
      </c>
      <c r="P122" t="s">
        <v>1594</v>
      </c>
      <c r="Q122" s="16" t="s">
        <v>1685</v>
      </c>
    </row>
    <row r="123" spans="1:17">
      <c r="A123" s="2" t="s">
        <v>233</v>
      </c>
      <c r="B123" s="6" t="s">
        <v>796</v>
      </c>
      <c r="C123" s="7" t="str" cm="1">
        <f t="array" ref="C123">_xlfn.LET(
  _xlpm.s, UPPER(B123),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KELFLSIVARGKIPHIILHSP</v>
      </c>
      <c r="D123" s="4">
        <v>1022</v>
      </c>
      <c r="E123" s="1">
        <v>73</v>
      </c>
      <c r="F123" s="1">
        <v>56</v>
      </c>
      <c r="G123" s="1">
        <v>9</v>
      </c>
      <c r="I123">
        <f t="shared" si="4"/>
        <v>-0.15407487115766849</v>
      </c>
      <c r="J123">
        <f t="shared" si="5"/>
        <v>-0.72178801791406066</v>
      </c>
      <c r="K123">
        <f t="shared" si="6"/>
        <v>-1.1062798912742136</v>
      </c>
      <c r="M123">
        <f t="shared" si="7"/>
        <v>-0.6607142601153142</v>
      </c>
      <c r="P123" t="s">
        <v>1383</v>
      </c>
      <c r="Q123" s="15" t="s">
        <v>1686</v>
      </c>
    </row>
    <row r="124" spans="1:17">
      <c r="A124" s="2" t="s">
        <v>234</v>
      </c>
      <c r="B124" s="6" t="s">
        <v>797</v>
      </c>
      <c r="C124" s="7" t="str" cm="1">
        <f t="array" ref="C124">_xlfn.LET(
  _xlpm.s, UPPER(B124),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KEEMKKIAKSGKIPHIILHSP</v>
      </c>
      <c r="D124" s="4">
        <v>249</v>
      </c>
      <c r="E124" s="1">
        <v>14</v>
      </c>
      <c r="F124" s="1">
        <v>1453</v>
      </c>
      <c r="G124" s="1">
        <v>30</v>
      </c>
      <c r="I124">
        <f t="shared" si="4"/>
        <v>-0.25801814689692892</v>
      </c>
      <c r="J124">
        <f t="shared" si="5"/>
        <v>1.3055411180807182</v>
      </c>
      <c r="K124">
        <f t="shared" si="6"/>
        <v>2.9850402709081458E-2</v>
      </c>
      <c r="M124">
        <f t="shared" si="7"/>
        <v>0.35912445796429021</v>
      </c>
      <c r="P124" t="s">
        <v>1600</v>
      </c>
      <c r="Q124" s="16" t="s">
        <v>1685</v>
      </c>
    </row>
    <row r="125" spans="1:17">
      <c r="A125" s="2" t="s">
        <v>235</v>
      </c>
      <c r="B125" s="6" t="s">
        <v>798</v>
      </c>
      <c r="C125" s="7" t="str" cm="1">
        <f t="array" ref="C125">_xlfn.LET(
  _xlpm.s, UPPER(B125),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KEEMKKIANSGKIPHIILHSP</v>
      </c>
      <c r="D125" s="4">
        <v>268</v>
      </c>
      <c r="E125" s="1">
        <v>641</v>
      </c>
      <c r="F125" s="1">
        <v>198</v>
      </c>
      <c r="G125" s="1">
        <v>77</v>
      </c>
      <c r="I125">
        <f t="shared" si="4"/>
        <v>1.370776400010598</v>
      </c>
      <c r="J125">
        <f t="shared" si="5"/>
        <v>0.40800524711117525</v>
      </c>
      <c r="K125">
        <f t="shared" si="6"/>
        <v>0.40728442622884831</v>
      </c>
      <c r="M125">
        <f t="shared" si="7"/>
        <v>0.72868869111687384</v>
      </c>
      <c r="P125" t="s">
        <v>1503</v>
      </c>
      <c r="Q125" s="16" t="s">
        <v>1685</v>
      </c>
    </row>
    <row r="126" spans="1:17">
      <c r="A126" s="2" t="s">
        <v>236</v>
      </c>
      <c r="B126" s="6" t="s">
        <v>799</v>
      </c>
      <c r="C126" s="7" t="str" cm="1">
        <f t="array" ref="C126">_xlfn.LET(
  _xlpm.s, UPPER(B126),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KEEMKKIAESGKIPHIILHSP</v>
      </c>
      <c r="D126" s="4">
        <v>280</v>
      </c>
      <c r="E126" s="1">
        <v>290</v>
      </c>
      <c r="F126" s="1">
        <v>160</v>
      </c>
      <c r="G126" s="1">
        <v>16</v>
      </c>
      <c r="I126">
        <f t="shared" si="4"/>
        <v>1.0072931310773063</v>
      </c>
      <c r="J126">
        <f t="shared" si="5"/>
        <v>0.29643680219213847</v>
      </c>
      <c r="K126">
        <f t="shared" si="6"/>
        <v>-0.29410955360113911</v>
      </c>
      <c r="M126">
        <f t="shared" si="7"/>
        <v>0.33654012655610188</v>
      </c>
      <c r="P126" t="s">
        <v>1256</v>
      </c>
      <c r="Q126" s="16" t="s">
        <v>1685</v>
      </c>
    </row>
    <row r="127" spans="1:17">
      <c r="A127" s="2" t="s">
        <v>237</v>
      </c>
      <c r="B127" s="6" t="s">
        <v>800</v>
      </c>
      <c r="C127" s="7" t="str" cm="1">
        <f t="array" ref="C127">_xlfn.LET(
  _xlpm.s, UPPER(B127),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KEEMKKIADSGKIPHIILHSP</v>
      </c>
      <c r="D127" s="4">
        <v>454</v>
      </c>
      <c r="E127" s="1">
        <v>2645</v>
      </c>
      <c r="F127" s="1">
        <v>322</v>
      </c>
      <c r="G127" s="1">
        <v>159</v>
      </c>
      <c r="I127">
        <f t="shared" si="4"/>
        <v>1.7574229880346701</v>
      </c>
      <c r="J127">
        <f t="shared" si="5"/>
        <v>0.39027486971715991</v>
      </c>
      <c r="K127">
        <f t="shared" si="6"/>
        <v>0.49326976654850285</v>
      </c>
      <c r="M127">
        <f t="shared" si="7"/>
        <v>0.88032254143344435</v>
      </c>
      <c r="P127" t="s">
        <v>1613</v>
      </c>
      <c r="Q127" s="16" t="s">
        <v>1685</v>
      </c>
    </row>
    <row r="128" spans="1:17">
      <c r="A128" s="2" t="s">
        <v>238</v>
      </c>
      <c r="B128" s="6" t="s">
        <v>801</v>
      </c>
      <c r="C128" s="7" t="str" cm="1">
        <f t="array" ref="C128">_xlfn.LET(
  _xlpm.s, UPPER(B128),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KEEMKKIAASGKIPHIILHSP</v>
      </c>
      <c r="D128" s="4">
        <v>504</v>
      </c>
      <c r="E128" s="1">
        <v>19</v>
      </c>
      <c r="F128" s="1">
        <v>495</v>
      </c>
      <c r="G128" s="1">
        <v>21</v>
      </c>
      <c r="I128">
        <f t="shared" si="4"/>
        <v>-0.4316237709721269</v>
      </c>
      <c r="J128">
        <f t="shared" si="5"/>
        <v>0.53164951336647637</v>
      </c>
      <c r="K128">
        <f t="shared" si="6"/>
        <v>-0.43128274662645083</v>
      </c>
      <c r="M128">
        <f t="shared" si="7"/>
        <v>-0.11041900141070045</v>
      </c>
      <c r="P128" t="s">
        <v>1228</v>
      </c>
      <c r="Q128" s="16" t="s">
        <v>1685</v>
      </c>
    </row>
    <row r="129" spans="1:17">
      <c r="A129" s="2" t="s">
        <v>239</v>
      </c>
      <c r="B129" s="6" t="s">
        <v>802</v>
      </c>
      <c r="C129" s="7" t="str" cm="1">
        <f t="array" ref="C129">_xlfn.LET(
  _xlpm.s, UPPER(B129),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KEEMKKIVASGKIPHIILHSP</v>
      </c>
      <c r="D129" s="4">
        <v>372</v>
      </c>
      <c r="E129" s="1">
        <v>136</v>
      </c>
      <c r="F129" s="1">
        <v>76</v>
      </c>
      <c r="G129" s="1">
        <v>19</v>
      </c>
      <c r="I129">
        <f t="shared" si="4"/>
        <v>0.55504913300888947</v>
      </c>
      <c r="J129">
        <f t="shared" si="5"/>
        <v>-0.15025449672267321</v>
      </c>
      <c r="K129">
        <f t="shared" si="6"/>
        <v>-0.34286084384391313</v>
      </c>
      <c r="M129">
        <f t="shared" si="7"/>
        <v>2.0644597480767708E-2</v>
      </c>
      <c r="P129" t="s">
        <v>1307</v>
      </c>
      <c r="Q129" s="15" t="s">
        <v>1686</v>
      </c>
    </row>
    <row r="130" spans="1:17">
      <c r="A130" s="2" t="s">
        <v>240</v>
      </c>
      <c r="B130" s="6" t="s">
        <v>803</v>
      </c>
      <c r="C130" s="7" t="str" cm="1">
        <f t="array" ref="C130">_xlfn.LET(
  _xlpm.s, UPPER(B130),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KEEMKKIVSSGKIPHIILHSP</v>
      </c>
      <c r="D130" s="4">
        <v>271</v>
      </c>
      <c r="E130" s="1">
        <v>1844</v>
      </c>
      <c r="F130" s="1">
        <v>11</v>
      </c>
      <c r="G130" s="1">
        <v>112</v>
      </c>
      <c r="I130">
        <f t="shared" ref="I130:I193" si="8">LOG(E130/D130)-LOG(182/1787)</f>
        <v>1.8248447903637743</v>
      </c>
      <c r="J130">
        <f t="shared" ref="J130:J193" si="9">LOG(F130/D130)-LOG(516/1787)</f>
        <v>-0.85210175483774775</v>
      </c>
      <c r="K130">
        <f t="shared" ref="K130:K193" si="10">LOG(G130/D130)-LOG(201/1787)</f>
        <v>0.56517722688093119</v>
      </c>
      <c r="M130">
        <f t="shared" ref="M130:M193" si="11">AVERAGE(I130:K130)</f>
        <v>0.51264008746898593</v>
      </c>
      <c r="P130" t="s">
        <v>1293</v>
      </c>
      <c r="Q130" s="16" t="s">
        <v>1685</v>
      </c>
    </row>
    <row r="131" spans="1:17">
      <c r="A131" s="2" t="s">
        <v>241</v>
      </c>
      <c r="B131" s="6" t="s">
        <v>804</v>
      </c>
      <c r="C131" s="7" t="str" cm="1">
        <f t="array" ref="C131">_xlfn.LET(
  _xlpm.s, UPPER(B131),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KEEMKRIAASGKIPHIILHSP</v>
      </c>
      <c r="D131" s="4">
        <v>1297</v>
      </c>
      <c r="E131" s="1">
        <v>78</v>
      </c>
      <c r="F131" s="1">
        <v>640</v>
      </c>
      <c r="G131" s="1">
        <v>51</v>
      </c>
      <c r="I131">
        <f t="shared" si="8"/>
        <v>-0.22879220887303031</v>
      </c>
      <c r="J131">
        <f t="shared" si="9"/>
        <v>0.23271484877824006</v>
      </c>
      <c r="K131">
        <f t="shared" si="10"/>
        <v>-0.45644130490098833</v>
      </c>
      <c r="M131">
        <f t="shared" si="11"/>
        <v>-0.15083955499859286</v>
      </c>
      <c r="P131" t="s">
        <v>1265</v>
      </c>
      <c r="Q131" s="16" t="s">
        <v>1685</v>
      </c>
    </row>
    <row r="132" spans="1:17">
      <c r="A132" s="2" t="s">
        <v>242</v>
      </c>
      <c r="B132" s="6" t="s">
        <v>805</v>
      </c>
      <c r="C132" s="7" t="str" cm="1">
        <f t="array" ref="C132">_xlfn.LET(
  _xlpm.s, UPPER(B132),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KEEMRKIAQSGKIPHIILHSP</v>
      </c>
      <c r="D132" s="4">
        <v>708</v>
      </c>
      <c r="E132" s="1">
        <v>184</v>
      </c>
      <c r="F132" s="1">
        <v>39</v>
      </c>
      <c r="G132" s="1">
        <v>24</v>
      </c>
      <c r="I132">
        <f t="shared" si="8"/>
        <v>0.40683772984033695</v>
      </c>
      <c r="J132">
        <f t="shared" si="9"/>
        <v>-0.71949379978483685</v>
      </c>
      <c r="K132">
        <f t="shared" si="10"/>
        <v>-0.52089352089300767</v>
      </c>
      <c r="M132">
        <f t="shared" si="11"/>
        <v>-0.27784986361250252</v>
      </c>
      <c r="P132" t="s">
        <v>1142</v>
      </c>
      <c r="Q132" s="16" t="s">
        <v>1685</v>
      </c>
    </row>
    <row r="133" spans="1:17">
      <c r="A133" s="2" t="s">
        <v>243</v>
      </c>
      <c r="B133" s="6" t="s">
        <v>806</v>
      </c>
      <c r="C133" s="7" t="str" cm="1">
        <f t="array" ref="C133">_xlfn.LET(
  _xlpm.s, UPPER(B133),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KEEMLKIAKSGKIPHIILHSP</v>
      </c>
      <c r="D133" s="4">
        <v>359</v>
      </c>
      <c r="E133" s="1">
        <v>8</v>
      </c>
      <c r="F133" s="1">
        <v>285</v>
      </c>
      <c r="G133" s="1">
        <v>18</v>
      </c>
      <c r="I133">
        <f t="shared" si="8"/>
        <v>-0.65995129706580613</v>
      </c>
      <c r="J133">
        <f t="shared" si="9"/>
        <v>0.43922526230862402</v>
      </c>
      <c r="K133">
        <f t="shared" si="10"/>
        <v>-0.35089344838985781</v>
      </c>
      <c r="M133">
        <f t="shared" si="11"/>
        <v>-0.19053982771567998</v>
      </c>
      <c r="P133" t="s">
        <v>1225</v>
      </c>
      <c r="Q133" s="16" t="s">
        <v>1685</v>
      </c>
    </row>
    <row r="134" spans="1:17">
      <c r="A134" s="2" t="s">
        <v>244</v>
      </c>
      <c r="B134" s="6" t="s">
        <v>807</v>
      </c>
      <c r="C134" s="7" t="str" cm="1">
        <f t="array" ref="C134">_xlfn.LET(
  _xlpm.s, UPPER(B134),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KEELKKIAASGKIPHIILHSP</v>
      </c>
      <c r="D134" s="4">
        <v>543</v>
      </c>
      <c r="E134" s="1">
        <v>24518</v>
      </c>
      <c r="F134" s="1">
        <v>25</v>
      </c>
      <c r="G134" s="1">
        <v>84</v>
      </c>
      <c r="I134">
        <f t="shared" si="8"/>
        <v>2.6467383756398686</v>
      </c>
      <c r="J134">
        <f t="shared" si="9"/>
        <v>-0.79738497003837649</v>
      </c>
      <c r="K134">
        <f t="shared" si="10"/>
        <v>0.13840795155818997</v>
      </c>
      <c r="M134">
        <f t="shared" si="11"/>
        <v>0.66258711905322742</v>
      </c>
      <c r="P134" t="s">
        <v>1493</v>
      </c>
      <c r="Q134" s="16" t="s">
        <v>1685</v>
      </c>
    </row>
    <row r="135" spans="1:17">
      <c r="A135" s="2" t="s">
        <v>245</v>
      </c>
      <c r="B135" s="6" t="s">
        <v>808</v>
      </c>
      <c r="C135" s="7" t="str" cm="1">
        <f t="array" ref="C135">_xlfn.LET(
  _xlpm.s, UPPER(B135),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KEEFKKIAASGKIPHIILHSP</v>
      </c>
      <c r="D135" s="4">
        <v>287</v>
      </c>
      <c r="E135" s="1">
        <v>29</v>
      </c>
      <c r="F135" s="1">
        <v>1016</v>
      </c>
      <c r="G135" s="1">
        <v>8</v>
      </c>
      <c r="I135">
        <f t="shared" si="8"/>
        <v>-3.4307343144667213E-3</v>
      </c>
      <c r="J135">
        <f t="shared" si="9"/>
        <v>1.088486662092341</v>
      </c>
      <c r="K135">
        <f t="shared" si="10"/>
        <v>-0.60586341465689353</v>
      </c>
      <c r="M135">
        <f t="shared" si="11"/>
        <v>0.15973083770699356</v>
      </c>
      <c r="P135" t="s">
        <v>1247</v>
      </c>
      <c r="Q135" s="16" t="s">
        <v>1685</v>
      </c>
    </row>
    <row r="136" spans="1:17">
      <c r="A136" s="2" t="s">
        <v>246</v>
      </c>
      <c r="B136" s="6" t="s">
        <v>809</v>
      </c>
      <c r="C136" s="7" t="str" cm="1">
        <f t="array" ref="C136">_xlfn.LET(
  _xlpm.s, UPPER(B136),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KEEFKKIVASGKIPHIILHSP</v>
      </c>
      <c r="D136" s="4">
        <v>286</v>
      </c>
      <c r="E136" s="1">
        <v>91</v>
      </c>
      <c r="F136" s="1">
        <v>81</v>
      </c>
      <c r="G136" s="1">
        <v>1201</v>
      </c>
      <c r="I136">
        <f t="shared" si="8"/>
        <v>0.49472852371262005</v>
      </c>
      <c r="J136">
        <f t="shared" si="9"/>
        <v>-8.4061633719603179E-3</v>
      </c>
      <c r="K136">
        <f t="shared" si="10"/>
        <v>1.5721054693590184</v>
      </c>
      <c r="M136">
        <f t="shared" si="11"/>
        <v>0.68614260989989273</v>
      </c>
      <c r="P136" t="s">
        <v>1615</v>
      </c>
      <c r="Q136" s="16" t="s">
        <v>1685</v>
      </c>
    </row>
    <row r="137" spans="1:17">
      <c r="A137" s="2" t="s">
        <v>247</v>
      </c>
      <c r="B137" s="6" t="s">
        <v>810</v>
      </c>
      <c r="C137" s="7" t="str" cm="1">
        <f t="array" ref="C137">_xlfn.LET(
  _xlpm.s, UPPER(B137),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KEEFQAIVAKGKIPHIILHSP</v>
      </c>
      <c r="D137" s="4">
        <v>597</v>
      </c>
      <c r="E137" s="1">
        <v>1004</v>
      </c>
      <c r="F137" s="1">
        <v>33</v>
      </c>
      <c r="G137" s="1">
        <v>103</v>
      </c>
      <c r="I137">
        <f t="shared" si="8"/>
        <v>1.217812546200201</v>
      </c>
      <c r="J137">
        <f t="shared" si="9"/>
        <v>-0.71798554037304874</v>
      </c>
      <c r="K137">
        <f t="shared" si="10"/>
        <v>0.18579138866095846</v>
      </c>
      <c r="M137">
        <f t="shared" si="11"/>
        <v>0.22853946482937024</v>
      </c>
      <c r="P137" t="s">
        <v>1243</v>
      </c>
      <c r="Q137" s="16" t="s">
        <v>1685</v>
      </c>
    </row>
    <row r="138" spans="1:17">
      <c r="A138" s="2" t="s">
        <v>248</v>
      </c>
      <c r="B138" s="6" t="s">
        <v>811</v>
      </c>
      <c r="C138" s="7" t="str" cm="1">
        <f t="array" ref="C138">_xlfn.LET(
  _xlpm.s, UPPER(B138),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KEEFRKIAESGKIPHIILHSP</v>
      </c>
      <c r="D138" s="4">
        <v>435</v>
      </c>
      <c r="E138" s="1">
        <v>532</v>
      </c>
      <c r="F138" s="1">
        <v>83</v>
      </c>
      <c r="G138" s="1">
        <v>18</v>
      </c>
      <c r="I138">
        <f t="shared" si="8"/>
        <v>1.0794755398609803</v>
      </c>
      <c r="J138">
        <f t="shared" si="9"/>
        <v>-0.17993631370013041</v>
      </c>
      <c r="K138">
        <f t="shared" si="10"/>
        <v>-0.43428825676617588</v>
      </c>
      <c r="M138">
        <f t="shared" si="11"/>
        <v>0.15508365646489133</v>
      </c>
      <c r="P138" t="s">
        <v>1336</v>
      </c>
      <c r="Q138" s="15" t="s">
        <v>1686</v>
      </c>
    </row>
    <row r="139" spans="1:17">
      <c r="A139" s="2" t="s">
        <v>249</v>
      </c>
      <c r="B139" s="6" t="s">
        <v>812</v>
      </c>
      <c r="C139" s="7" t="str" cm="1">
        <f t="array" ref="C139">_xlfn.LET(
  _xlpm.s, UPPER(B139),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KEVMKKIANSGKIPHIILHSP</v>
      </c>
      <c r="D139" s="4">
        <v>328</v>
      </c>
      <c r="E139" s="1">
        <v>348</v>
      </c>
      <c r="F139" s="1">
        <v>47</v>
      </c>
      <c r="G139" s="1">
        <v>25</v>
      </c>
      <c r="I139">
        <f t="shared" si="8"/>
        <v>1.0177585647554712</v>
      </c>
      <c r="J139">
        <f t="shared" si="9"/>
        <v>-0.30430113489752875</v>
      </c>
      <c r="K139">
        <f t="shared" si="10"/>
        <v>-0.16900533995448619</v>
      </c>
      <c r="M139">
        <f t="shared" si="11"/>
        <v>0.18148402996781876</v>
      </c>
      <c r="P139" t="s">
        <v>1233</v>
      </c>
      <c r="Q139" s="16" t="s">
        <v>1685</v>
      </c>
    </row>
    <row r="140" spans="1:17">
      <c r="A140" s="2" t="s">
        <v>250</v>
      </c>
      <c r="B140" s="6" t="s">
        <v>813</v>
      </c>
      <c r="C140" s="7" t="str" cm="1">
        <f t="array" ref="C140">_xlfn.LET(
  _xlpm.s, UPPER(B140),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KEVMKKIAASGKIPHIILHSP</v>
      </c>
      <c r="D140" s="4">
        <v>533</v>
      </c>
      <c r="E140" s="1">
        <v>93</v>
      </c>
      <c r="F140" s="1">
        <v>1245</v>
      </c>
      <c r="G140" s="1">
        <v>113</v>
      </c>
      <c r="I140">
        <f t="shared" si="8"/>
        <v>0.23380890404793231</v>
      </c>
      <c r="J140">
        <f t="shared" si="9"/>
        <v>0.90791699328361575</v>
      </c>
      <c r="K140">
        <f t="shared" si="10"/>
        <v>0.27527972954200275</v>
      </c>
      <c r="M140">
        <f t="shared" si="11"/>
        <v>0.47233520895785031</v>
      </c>
      <c r="P140" t="s">
        <v>1515</v>
      </c>
      <c r="Q140" s="15" t="s">
        <v>1686</v>
      </c>
    </row>
    <row r="141" spans="1:17">
      <c r="A141" s="2" t="s">
        <v>251</v>
      </c>
      <c r="B141" s="6" t="s">
        <v>814</v>
      </c>
      <c r="C141" s="7" t="str" cm="1">
        <f t="array" ref="C141">_xlfn.LET(
  _xlpm.s, UPPER(B141),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KEVLRKIAASGKIPHIILHSP</v>
      </c>
      <c r="D141" s="4">
        <v>792</v>
      </c>
      <c r="E141" s="1">
        <v>182</v>
      </c>
      <c r="F141" s="1">
        <v>516</v>
      </c>
      <c r="G141" s="1">
        <v>201</v>
      </c>
      <c r="I141">
        <f t="shared" si="8"/>
        <v>0.35339937091615081</v>
      </c>
      <c r="J141">
        <f t="shared" si="9"/>
        <v>0.35339937091615081</v>
      </c>
      <c r="K141">
        <f t="shared" si="10"/>
        <v>0.3533993709161507</v>
      </c>
      <c r="M141">
        <f t="shared" si="11"/>
        <v>0.35339937091615076</v>
      </c>
      <c r="P141" t="s">
        <v>1671</v>
      </c>
      <c r="Q141" t="s">
        <v>557</v>
      </c>
    </row>
    <row r="142" spans="1:17">
      <c r="A142" s="2" t="s">
        <v>252</v>
      </c>
      <c r="B142" s="6" t="s">
        <v>815</v>
      </c>
      <c r="C142" s="7" t="str" cm="1">
        <f t="array" ref="C142">_xlfn.LET(
  _xlpm.s, UPPER(B142),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KEYFKNIVKKGKIPHIILHSP</v>
      </c>
      <c r="D142" s="4">
        <v>26</v>
      </c>
      <c r="E142" s="1">
        <v>19</v>
      </c>
      <c r="F142" s="1">
        <v>4812</v>
      </c>
      <c r="G142" s="1">
        <v>49</v>
      </c>
      <c r="I142">
        <f t="shared" si="8"/>
        <v>0.85583341750258046</v>
      </c>
      <c r="J142">
        <f t="shared" si="9"/>
        <v>2.8068271215754219</v>
      </c>
      <c r="K142">
        <f t="shared" si="10"/>
        <v>1.224151227142851</v>
      </c>
      <c r="M142">
        <f t="shared" si="11"/>
        <v>1.6289372554069512</v>
      </c>
      <c r="P142" t="s">
        <v>1346</v>
      </c>
      <c r="Q142" s="16" t="s">
        <v>1685</v>
      </c>
    </row>
    <row r="143" spans="1:17">
      <c r="A143" s="2" t="s">
        <v>253</v>
      </c>
      <c r="B143" s="6" t="s">
        <v>816</v>
      </c>
      <c r="C143" s="7" t="str" cm="1">
        <f t="array" ref="C143">_xlfn.LET(
  _xlpm.s, UPPER(B143),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KEYFKNIVKRGKIPHIILHSP</v>
      </c>
      <c r="D143" s="4">
        <v>92</v>
      </c>
      <c r="E143" s="1">
        <v>812</v>
      </c>
      <c r="F143" s="1">
        <v>128</v>
      </c>
      <c r="G143" s="1">
        <v>150</v>
      </c>
      <c r="I143">
        <f t="shared" si="8"/>
        <v>1.9378213664161894</v>
      </c>
      <c r="J143">
        <f t="shared" si="9"/>
        <v>0.68289699318074604</v>
      </c>
      <c r="K143">
        <f t="shared" si="10"/>
        <v>1.1612319267952813</v>
      </c>
      <c r="M143">
        <f t="shared" si="11"/>
        <v>1.2606500954640723</v>
      </c>
      <c r="P143" t="s">
        <v>1496</v>
      </c>
      <c r="Q143" s="16" t="s">
        <v>1685</v>
      </c>
    </row>
    <row r="144" spans="1:17">
      <c r="A144" s="2" t="s">
        <v>254</v>
      </c>
      <c r="B144" s="6" t="s">
        <v>817</v>
      </c>
      <c r="C144" s="7" t="str" cm="1">
        <f t="array" ref="C144">_xlfn.LET(
  _xlpm.s, UPPER(B144),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KEYFKNIVKSGKIPHIILHSP</v>
      </c>
      <c r="D144" s="4">
        <v>82</v>
      </c>
      <c r="E144" s="1">
        <v>2023</v>
      </c>
      <c r="F144" s="1">
        <v>8</v>
      </c>
      <c r="G144" s="1">
        <v>52</v>
      </c>
      <c r="I144">
        <f t="shared" si="8"/>
        <v>2.3842351949076575</v>
      </c>
      <c r="J144">
        <f t="shared" si="9"/>
        <v>-0.47124901451334023</v>
      </c>
      <c r="K144">
        <f t="shared" si="10"/>
        <v>0.75111798633623783</v>
      </c>
      <c r="M144">
        <f t="shared" si="11"/>
        <v>0.88803472224351843</v>
      </c>
      <c r="P144" t="s">
        <v>1525</v>
      </c>
      <c r="Q144" s="16" t="s">
        <v>1685</v>
      </c>
    </row>
    <row r="145" spans="1:17">
      <c r="A145" s="2" t="s">
        <v>255</v>
      </c>
      <c r="B145" s="6" t="s">
        <v>818</v>
      </c>
      <c r="C145" s="7" t="str" cm="1">
        <f t="array" ref="C145">_xlfn.LET(
  _xlpm.s, UPPER(B145),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KEYFKNIVAKGKIPHIILHSP</v>
      </c>
      <c r="D145" s="4">
        <v>115</v>
      </c>
      <c r="E145" s="1">
        <v>872</v>
      </c>
      <c r="F145" s="1">
        <v>15</v>
      </c>
      <c r="G145" s="1">
        <v>29</v>
      </c>
      <c r="I145">
        <f t="shared" si="8"/>
        <v>1.871871809099525</v>
      </c>
      <c r="J145">
        <f t="shared" si="9"/>
        <v>-0.34513173041949752</v>
      </c>
      <c r="K145">
        <f t="shared" si="10"/>
        <v>0.35062865263049969</v>
      </c>
      <c r="M145">
        <f t="shared" si="11"/>
        <v>0.62578957710350913</v>
      </c>
      <c r="P145" t="s">
        <v>1319</v>
      </c>
      <c r="Q145" s="16" t="s">
        <v>1685</v>
      </c>
    </row>
    <row r="146" spans="1:17">
      <c r="A146" s="2" t="s">
        <v>256</v>
      </c>
      <c r="B146" s="6" t="s">
        <v>819</v>
      </c>
      <c r="C146" s="7" t="str" cm="1">
        <f t="array" ref="C146">_xlfn.LET(
  _xlpm.s, UPPER(B146),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KEYFKNIVARGKIPHIILHSP</v>
      </c>
      <c r="D146" s="4">
        <v>178</v>
      </c>
      <c r="E146" s="1">
        <v>157</v>
      </c>
      <c r="F146" s="1">
        <v>35</v>
      </c>
      <c r="G146" s="1">
        <v>29</v>
      </c>
      <c r="I146">
        <f t="shared" si="8"/>
        <v>0.93753281462090921</v>
      </c>
      <c r="J146">
        <f t="shared" si="9"/>
        <v>-0.16687710708018533</v>
      </c>
      <c r="K146">
        <f t="shared" si="10"/>
        <v>0.16090649067521745</v>
      </c>
      <c r="M146">
        <f t="shared" si="11"/>
        <v>0.31052073273864711</v>
      </c>
      <c r="P146" t="s">
        <v>1226</v>
      </c>
      <c r="Q146" s="16" t="s">
        <v>1685</v>
      </c>
    </row>
    <row r="147" spans="1:17">
      <c r="A147" s="2" t="s">
        <v>257</v>
      </c>
      <c r="B147" s="6" t="s">
        <v>820</v>
      </c>
      <c r="C147" s="7" t="str" cm="1">
        <f t="array" ref="C147">_xlfn.LET(
  _xlpm.s, UPPER(B147),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KEYFKNIVASGKIPHIILHSP</v>
      </c>
      <c r="D147" s="4">
        <v>111</v>
      </c>
      <c r="E147" s="1">
        <v>101</v>
      </c>
      <c r="F147" s="1">
        <v>450</v>
      </c>
      <c r="G147" s="1">
        <v>85</v>
      </c>
      <c r="I147">
        <f t="shared" si="8"/>
        <v>0.95105155951655462</v>
      </c>
      <c r="J147">
        <f t="shared" si="9"/>
        <v>1.1473643858671192</v>
      </c>
      <c r="K147">
        <f t="shared" si="10"/>
        <v>0.83302444201279058</v>
      </c>
      <c r="M147">
        <f t="shared" si="11"/>
        <v>0.97714679579882147</v>
      </c>
      <c r="P147" t="s">
        <v>1338</v>
      </c>
      <c r="Q147" s="15" t="s">
        <v>1686</v>
      </c>
    </row>
    <row r="148" spans="1:17">
      <c r="A148" s="2" t="s">
        <v>258</v>
      </c>
      <c r="B148" s="6" t="s">
        <v>821</v>
      </c>
      <c r="C148" s="7" t="str" cm="1">
        <f t="array" ref="C148">_xlfn.LET(
  _xlpm.s, UPPER(B148),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KEYFKQIVAKGKIPHIILHSP</v>
      </c>
      <c r="D148" s="4">
        <v>244</v>
      </c>
      <c r="E148" s="1">
        <v>426</v>
      </c>
      <c r="F148" s="1">
        <v>46</v>
      </c>
      <c r="G148" s="1">
        <v>47</v>
      </c>
      <c r="I148">
        <f t="shared" si="8"/>
        <v>1.2340729372845589</v>
      </c>
      <c r="J148">
        <f t="shared" si="9"/>
        <v>-0.18515714377872239</v>
      </c>
      <c r="K148">
        <f t="shared" si="10"/>
        <v>0.2336365266821433</v>
      </c>
      <c r="M148">
        <f t="shared" si="11"/>
        <v>0.42751744006266001</v>
      </c>
      <c r="P148" t="s">
        <v>1474</v>
      </c>
      <c r="Q148" s="16" t="s">
        <v>1685</v>
      </c>
    </row>
    <row r="149" spans="1:17">
      <c r="A149" s="2" t="s">
        <v>259</v>
      </c>
      <c r="B149" s="6" t="s">
        <v>822</v>
      </c>
      <c r="C149" s="7" t="str" cm="1">
        <f t="array" ref="C149">_xlfn.LET(
  _xlpm.s, UPPER(B149),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KEYFKEIVKRGKIPHIILHSP</v>
      </c>
      <c r="D149" s="4">
        <v>133</v>
      </c>
      <c r="E149" s="1">
        <v>277</v>
      </c>
      <c r="F149" s="1">
        <v>21</v>
      </c>
      <c r="G149" s="1">
        <v>32</v>
      </c>
      <c r="I149">
        <f t="shared" si="8"/>
        <v>1.3106812926179323</v>
      </c>
      <c r="J149">
        <f t="shared" si="9"/>
        <v>-0.26215749535473365</v>
      </c>
      <c r="K149">
        <f t="shared" si="10"/>
        <v>0.33022683243797546</v>
      </c>
      <c r="M149">
        <f t="shared" si="11"/>
        <v>0.45958354323372469</v>
      </c>
      <c r="P149" t="s">
        <v>1577</v>
      </c>
      <c r="Q149" s="16" t="s">
        <v>1685</v>
      </c>
    </row>
    <row r="150" spans="1:17">
      <c r="A150" s="2" t="s">
        <v>260</v>
      </c>
      <c r="B150" s="6" t="s">
        <v>823</v>
      </c>
      <c r="C150" s="7" t="str" cm="1">
        <f t="array" ref="C150">_xlfn.LET(
  _xlpm.s, UPPER(B150),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KEYFKEIVKSGKIPHIILHSP</v>
      </c>
      <c r="D150" s="4">
        <v>131</v>
      </c>
      <c r="E150" s="1">
        <v>38</v>
      </c>
      <c r="F150" s="1">
        <v>589</v>
      </c>
      <c r="G150" s="1">
        <v>28</v>
      </c>
      <c r="I150">
        <f t="shared" si="8"/>
        <v>0.45456546548161536</v>
      </c>
      <c r="J150">
        <f t="shared" si="9"/>
        <v>1.1923188500097703</v>
      </c>
      <c r="K150">
        <f t="shared" si="10"/>
        <v>0.2788152307716103</v>
      </c>
      <c r="M150">
        <f t="shared" si="11"/>
        <v>0.64189984875433204</v>
      </c>
      <c r="P150" t="s">
        <v>1326</v>
      </c>
      <c r="Q150" s="15" t="s">
        <v>1686</v>
      </c>
    </row>
    <row r="151" spans="1:17">
      <c r="A151" s="2" t="s">
        <v>261</v>
      </c>
      <c r="B151" s="6" t="s">
        <v>824</v>
      </c>
      <c r="C151" s="7" t="str" cm="1">
        <f t="array" ref="C151">_xlfn.LET(
  _xlpm.s, UPPER(B151),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KEYFKEIVARGKIPHIILHSP</v>
      </c>
      <c r="D151" s="4">
        <v>208</v>
      </c>
      <c r="E151" s="1">
        <v>481</v>
      </c>
      <c r="F151" s="1">
        <v>43</v>
      </c>
      <c r="G151" s="1">
        <v>39</v>
      </c>
      <c r="I151">
        <f t="shared" si="8"/>
        <v>1.3561349059316397</v>
      </c>
      <c r="J151">
        <f t="shared" si="9"/>
        <v>-0.14512002850474215</v>
      </c>
      <c r="K151">
        <f t="shared" si="10"/>
        <v>0.22192976714889301</v>
      </c>
      <c r="M151">
        <f t="shared" si="11"/>
        <v>0.47764821485859682</v>
      </c>
      <c r="P151" t="s">
        <v>1344</v>
      </c>
      <c r="Q151" s="16" t="s">
        <v>1685</v>
      </c>
    </row>
    <row r="152" spans="1:17">
      <c r="A152" s="2" t="s">
        <v>262</v>
      </c>
      <c r="B152" s="6" t="s">
        <v>825</v>
      </c>
      <c r="C152" s="7" t="str" cm="1">
        <f t="array" ref="C152">_xlfn.LET(
  _xlpm.s, UPPER(B152),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KEYFKDIVARGKIPHIILHSP</v>
      </c>
      <c r="D152" s="4">
        <v>214</v>
      </c>
      <c r="E152" s="1">
        <v>300</v>
      </c>
      <c r="F152" s="1">
        <v>38</v>
      </c>
      <c r="G152" s="1">
        <v>657</v>
      </c>
      <c r="I152">
        <f t="shared" si="8"/>
        <v>1.1387606458910411</v>
      </c>
      <c r="J152">
        <f t="shared" si="9"/>
        <v>-0.21115532585394781</v>
      </c>
      <c r="K152">
        <f t="shared" si="10"/>
        <v>1.4360800912957452</v>
      </c>
      <c r="M152">
        <f t="shared" si="11"/>
        <v>0.78789513711094605</v>
      </c>
      <c r="P152" t="s">
        <v>1489</v>
      </c>
      <c r="Q152" s="16" t="s">
        <v>1685</v>
      </c>
    </row>
    <row r="153" spans="1:17">
      <c r="A153" s="2" t="s">
        <v>263</v>
      </c>
      <c r="B153" s="6" t="s">
        <v>826</v>
      </c>
      <c r="C153" s="7" t="str" cm="1">
        <f t="array" ref="C153">_xlfn.LET(
  _xlpm.s, UPPER(B153),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KEYFKAIVKKGKIPHIILHSP</v>
      </c>
      <c r="D153" s="4">
        <v>144</v>
      </c>
      <c r="E153" s="1">
        <v>51</v>
      </c>
      <c r="F153" s="1">
        <v>159</v>
      </c>
      <c r="G153" s="1">
        <v>31</v>
      </c>
      <c r="I153">
        <f t="shared" si="8"/>
        <v>0.54126084852325618</v>
      </c>
      <c r="J153">
        <f t="shared" si="9"/>
        <v>0.58250948310363482</v>
      </c>
      <c r="K153">
        <f t="shared" si="10"/>
        <v>0.2819276968241784</v>
      </c>
      <c r="M153">
        <f t="shared" si="11"/>
        <v>0.46856600948368982</v>
      </c>
      <c r="P153" t="s">
        <v>1316</v>
      </c>
      <c r="Q153" s="16" t="s">
        <v>1685</v>
      </c>
    </row>
    <row r="154" spans="1:17">
      <c r="A154" s="2" t="s">
        <v>264</v>
      </c>
      <c r="B154" s="6" t="s">
        <v>827</v>
      </c>
      <c r="C154" s="7" t="str" cm="1">
        <f t="array" ref="C154">_xlfn.LET(
  _xlpm.s, UPPER(B154),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KEYFKAIVKRGKIPHIILHSP</v>
      </c>
      <c r="D154" s="4">
        <v>269</v>
      </c>
      <c r="E154" s="1">
        <v>22</v>
      </c>
      <c r="F154" s="1">
        <v>12</v>
      </c>
      <c r="G154" s="1">
        <v>798</v>
      </c>
      <c r="I154">
        <f t="shared" si="8"/>
        <v>-9.5276434659632203E-2</v>
      </c>
      <c r="J154">
        <f t="shared" si="9"/>
        <v>-0.81109618307635023</v>
      </c>
      <c r="K154">
        <f t="shared" si="10"/>
        <v>1.4211791064334767</v>
      </c>
      <c r="M154">
        <f t="shared" si="11"/>
        <v>0.17160216289916475</v>
      </c>
      <c r="P154" t="s">
        <v>1189</v>
      </c>
      <c r="Q154" s="16" t="s">
        <v>1685</v>
      </c>
    </row>
    <row r="155" spans="1:17">
      <c r="A155" s="2" t="s">
        <v>265</v>
      </c>
      <c r="B155" s="6" t="s">
        <v>828</v>
      </c>
      <c r="C155" s="7" t="str" cm="1">
        <f t="array" ref="C155">_xlfn.LET(
  _xlpm.s, UPPER(B155),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KEYFKAIVKSGKIPHIILHSP</v>
      </c>
      <c r="D155" s="4">
        <v>194</v>
      </c>
      <c r="E155" s="1">
        <v>31</v>
      </c>
      <c r="F155" s="1">
        <v>42</v>
      </c>
      <c r="G155" s="1">
        <v>1073</v>
      </c>
      <c r="I155">
        <f t="shared" si="8"/>
        <v>0.19561312842461609</v>
      </c>
      <c r="J155">
        <f t="shared" si="9"/>
        <v>-0.12507758865389262</v>
      </c>
      <c r="K155">
        <f t="shared" si="10"/>
        <v>1.6917264871208804</v>
      </c>
      <c r="M155">
        <f t="shared" si="11"/>
        <v>0.58742067563053457</v>
      </c>
      <c r="P155" t="s">
        <v>1668</v>
      </c>
      <c r="Q155" s="15" t="s">
        <v>1686</v>
      </c>
    </row>
    <row r="156" spans="1:17">
      <c r="A156" s="2" t="s">
        <v>266</v>
      </c>
      <c r="B156" s="6" t="s">
        <v>829</v>
      </c>
      <c r="C156" s="7" t="str" cm="1">
        <f t="array" ref="C156">_xlfn.LET(
  _xlpm.s, UPPER(B156),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KEYFKAIVRKGKIPHIILHSP</v>
      </c>
      <c r="D156" s="4">
        <v>254</v>
      </c>
      <c r="E156" s="1">
        <v>354</v>
      </c>
      <c r="F156" s="1">
        <v>142</v>
      </c>
      <c r="G156" s="1">
        <v>34</v>
      </c>
      <c r="I156">
        <f t="shared" si="8"/>
        <v>1.1362227099264193</v>
      </c>
      <c r="J156">
        <f t="shared" si="9"/>
        <v>0.28692947864155138</v>
      </c>
      <c r="K156">
        <f t="shared" si="10"/>
        <v>7.5573695507472394E-2</v>
      </c>
      <c r="M156">
        <f t="shared" si="11"/>
        <v>0.49957529469181433</v>
      </c>
      <c r="P156" t="s">
        <v>1330</v>
      </c>
      <c r="Q156" s="16" t="s">
        <v>1685</v>
      </c>
    </row>
    <row r="157" spans="1:17">
      <c r="A157" s="2" t="s">
        <v>267</v>
      </c>
      <c r="B157" s="6" t="s">
        <v>830</v>
      </c>
      <c r="C157" s="7" t="str" cm="1">
        <f t="array" ref="C157">_xlfn.LET(
  _xlpm.s, UPPER(B157),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KEYFKAIVERGKIPHIILHSP</v>
      </c>
      <c r="D157" s="4">
        <v>359</v>
      </c>
      <c r="E157" s="1">
        <v>1645</v>
      </c>
      <c r="F157" s="1">
        <v>48</v>
      </c>
      <c r="G157" s="1">
        <v>106</v>
      </c>
      <c r="I157">
        <f t="shared" si="8"/>
        <v>1.6531246182282433</v>
      </c>
      <c r="J157">
        <f t="shared" si="9"/>
        <v>-0.33437836032429902</v>
      </c>
      <c r="K157">
        <f t="shared" si="10"/>
        <v>0.41913991177160637</v>
      </c>
      <c r="M157">
        <f t="shared" si="11"/>
        <v>0.57929538989185025</v>
      </c>
      <c r="P157" t="s">
        <v>1269</v>
      </c>
      <c r="Q157" s="16" t="s">
        <v>1685</v>
      </c>
    </row>
    <row r="158" spans="1:17">
      <c r="A158" s="2" t="s">
        <v>268</v>
      </c>
      <c r="B158" s="6" t="s">
        <v>831</v>
      </c>
      <c r="C158" s="7" t="str" cm="1">
        <f t="array" ref="C158">_xlfn.LET(
  _xlpm.s, UPPER(B158),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KEYFKAIVAKGKIPHIILHSP</v>
      </c>
      <c r="D158" s="4">
        <v>285</v>
      </c>
      <c r="E158" s="1">
        <v>15</v>
      </c>
      <c r="F158" s="1">
        <v>370</v>
      </c>
      <c r="G158" s="1">
        <v>22</v>
      </c>
      <c r="I158">
        <f t="shared" si="8"/>
        <v>-0.28670043643225962</v>
      </c>
      <c r="J158">
        <f t="shared" si="9"/>
        <v>0.65283171493691772</v>
      </c>
      <c r="K158">
        <f t="shared" si="10"/>
        <v>-0.16349368410114873</v>
      </c>
      <c r="M158">
        <f t="shared" si="11"/>
        <v>6.7545864801169794E-2</v>
      </c>
      <c r="P158" t="s">
        <v>1120</v>
      </c>
      <c r="Q158" s="16" t="s">
        <v>1685</v>
      </c>
    </row>
    <row r="159" spans="1:17">
      <c r="A159" s="2" t="s">
        <v>269</v>
      </c>
      <c r="B159" s="6" t="s">
        <v>832</v>
      </c>
      <c r="C159" s="7" t="str" cm="1">
        <f t="array" ref="C159">_xlfn.LET(
  _xlpm.s, UPPER(B159),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KEYFKAIVASGKIPHIILHSP</v>
      </c>
      <c r="D159" s="4">
        <v>375</v>
      </c>
      <c r="E159" s="1">
        <v>45</v>
      </c>
      <c r="F159" s="1">
        <v>31</v>
      </c>
      <c r="G159" s="1">
        <v>12</v>
      </c>
      <c r="I159">
        <f t="shared" si="8"/>
        <v>7.123441056819424E-2</v>
      </c>
      <c r="J159">
        <f t="shared" si="9"/>
        <v>-0.54319472301501326</v>
      </c>
      <c r="K159">
        <f t="shared" si="10"/>
        <v>-0.54592152659493864</v>
      </c>
      <c r="M159">
        <f t="shared" si="11"/>
        <v>-0.33929394634725257</v>
      </c>
      <c r="P159" t="s">
        <v>1452</v>
      </c>
      <c r="Q159" s="15" t="s">
        <v>1686</v>
      </c>
    </row>
    <row r="160" spans="1:17">
      <c r="A160" s="2" t="s">
        <v>270</v>
      </c>
      <c r="B160" s="6" t="s">
        <v>833</v>
      </c>
      <c r="C160" s="7" t="str" cm="1">
        <f t="array" ref="C160">_xlfn.LET(
  _xlpm.s, UPPER(B160),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KEYFKSIAASGKIPHIILHSP</v>
      </c>
      <c r="D160" s="4">
        <v>257</v>
      </c>
      <c r="E160" s="1">
        <v>251</v>
      </c>
      <c r="F160" s="1">
        <v>113</v>
      </c>
      <c r="G160" s="1">
        <v>66</v>
      </c>
      <c r="I160">
        <f t="shared" si="8"/>
        <v>0.98179376267031304</v>
      </c>
      <c r="J160">
        <f t="shared" si="9"/>
        <v>0.18262017103055811</v>
      </c>
      <c r="K160">
        <f t="shared" si="10"/>
        <v>0.35853930729572936</v>
      </c>
      <c r="M160">
        <f t="shared" si="11"/>
        <v>0.50765108033220019</v>
      </c>
      <c r="P160" t="s">
        <v>1509</v>
      </c>
      <c r="Q160" s="15" t="s">
        <v>1686</v>
      </c>
    </row>
    <row r="161" spans="1:17">
      <c r="A161" s="2" t="s">
        <v>271</v>
      </c>
      <c r="B161" s="6" t="s">
        <v>834</v>
      </c>
      <c r="C161" s="7" t="str" cm="1">
        <f t="array" ref="C161">_xlfn.LET(
  _xlpm.s, UPPER(B161),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KEYFKSIVKKGKIPHIILHSP</v>
      </c>
      <c r="D161" s="4">
        <v>79</v>
      </c>
      <c r="E161" s="1">
        <v>28</v>
      </c>
      <c r="F161" s="1">
        <v>347</v>
      </c>
      <c r="G161" s="1">
        <v>18</v>
      </c>
      <c r="I161">
        <f t="shared" si="8"/>
        <v>0.54158410457234729</v>
      </c>
      <c r="J161">
        <f t="shared" si="9"/>
        <v>1.1821772343788652</v>
      </c>
      <c r="K161">
        <f t="shared" si="10"/>
        <v>0.30657390889801994</v>
      </c>
      <c r="M161">
        <f t="shared" si="11"/>
        <v>0.67677841594974419</v>
      </c>
      <c r="P161" t="s">
        <v>1332</v>
      </c>
      <c r="Q161" s="15" t="s">
        <v>1686</v>
      </c>
    </row>
    <row r="162" spans="1:17">
      <c r="A162" s="2" t="s">
        <v>272</v>
      </c>
      <c r="B162" s="6" t="s">
        <v>835</v>
      </c>
      <c r="C162" s="7" t="str" cm="1">
        <f t="array" ref="C162">_xlfn.LET(
  _xlpm.s, UPPER(B162),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KEYFKSIVKRGKIPHIILHSP</v>
      </c>
      <c r="D162" s="4">
        <v>202</v>
      </c>
      <c r="E162" s="1">
        <v>25</v>
      </c>
      <c r="F162" s="1">
        <v>18</v>
      </c>
      <c r="G162" s="1">
        <v>125</v>
      </c>
      <c r="I162">
        <f t="shared" si="8"/>
        <v>8.4641803745983291E-2</v>
      </c>
      <c r="J162">
        <f t="shared" si="9"/>
        <v>-0.51060401346488471</v>
      </c>
      <c r="K162">
        <f t="shared" si="10"/>
        <v>0.74048713864658788</v>
      </c>
      <c r="M162">
        <f t="shared" si="11"/>
        <v>0.10484164297589549</v>
      </c>
      <c r="P162" t="s">
        <v>1439</v>
      </c>
      <c r="Q162" s="15" t="s">
        <v>1686</v>
      </c>
    </row>
    <row r="163" spans="1:17">
      <c r="A163" s="2" t="s">
        <v>273</v>
      </c>
      <c r="B163" s="6" t="s">
        <v>836</v>
      </c>
      <c r="C163" s="7" t="str" cm="1">
        <f t="array" ref="C163">_xlfn.LET(
  _xlpm.s, UPPER(B163),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KEYFKSIVKSGKIPHIILHSP</v>
      </c>
      <c r="D163" s="4">
        <v>142</v>
      </c>
      <c r="E163" s="1">
        <v>109</v>
      </c>
      <c r="F163" s="1">
        <v>26</v>
      </c>
      <c r="G163" s="1">
        <v>23</v>
      </c>
      <c r="I163">
        <f t="shared" si="8"/>
        <v>0.87719131807813655</v>
      </c>
      <c r="J163">
        <f t="shared" si="9"/>
        <v>-0.19784014553380558</v>
      </c>
      <c r="K163">
        <f t="shared" si="10"/>
        <v>0.15836798671969177</v>
      </c>
      <c r="M163">
        <f t="shared" si="11"/>
        <v>0.27923971975467426</v>
      </c>
      <c r="P163" t="s">
        <v>1227</v>
      </c>
      <c r="Q163" s="16" t="s">
        <v>1685</v>
      </c>
    </row>
    <row r="164" spans="1:17">
      <c r="A164" s="2" t="s">
        <v>274</v>
      </c>
      <c r="B164" s="6" t="s">
        <v>837</v>
      </c>
      <c r="C164" s="7" t="str" cm="1">
        <f t="array" ref="C164">_xlfn.LET(
  _xlpm.s, UPPER(B164),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KEYFKSIVQRGKIPHIILHSP</v>
      </c>
      <c r="D164" s="4">
        <v>248</v>
      </c>
      <c r="E164" s="1">
        <v>97</v>
      </c>
      <c r="F164" s="1">
        <v>155</v>
      </c>
      <c r="G164" s="1">
        <v>28</v>
      </c>
      <c r="I164">
        <f t="shared" si="8"/>
        <v>0.58437321796059805</v>
      </c>
      <c r="J164">
        <f t="shared" si="9"/>
        <v>0.33535486822250815</v>
      </c>
      <c r="K164">
        <f t="shared" si="10"/>
        <v>1.6348456011582302E-3</v>
      </c>
      <c r="M164">
        <f t="shared" si="11"/>
        <v>0.30712097726142146</v>
      </c>
      <c r="P164" t="s">
        <v>1596</v>
      </c>
      <c r="Q164" s="16" t="s">
        <v>1685</v>
      </c>
    </row>
    <row r="165" spans="1:17">
      <c r="A165" s="2" t="s">
        <v>275</v>
      </c>
      <c r="B165" s="6" t="s">
        <v>838</v>
      </c>
      <c r="C165" s="7" t="str" cm="1">
        <f t="array" ref="C165">_xlfn.LET(
  _xlpm.s, UPPER(B165),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KEYFKSIVRKGKIPHIILHSP</v>
      </c>
      <c r="D165" s="4">
        <v>197</v>
      </c>
      <c r="E165" s="1">
        <v>140</v>
      </c>
      <c r="F165" s="1">
        <v>7</v>
      </c>
      <c r="G165" s="1">
        <v>31</v>
      </c>
      <c r="I165">
        <f t="shared" si="8"/>
        <v>0.84371497403721452</v>
      </c>
      <c r="J165">
        <f t="shared" si="9"/>
        <v>-0.90989333526890304</v>
      </c>
      <c r="K165">
        <f t="shared" si="10"/>
        <v>0.14582396275783505</v>
      </c>
      <c r="M165">
        <f t="shared" si="11"/>
        <v>2.6548533842048843E-2</v>
      </c>
      <c r="P165" t="s">
        <v>1331</v>
      </c>
      <c r="Q165" s="15" t="s">
        <v>1686</v>
      </c>
    </row>
    <row r="166" spans="1:17">
      <c r="A166" s="2" t="s">
        <v>276</v>
      </c>
      <c r="B166" s="6" t="s">
        <v>839</v>
      </c>
      <c r="C166" s="7" t="str" cm="1">
        <f t="array" ref="C166">_xlfn.LET(
  _xlpm.s, UPPER(B166),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KEYFKSIVEKGKIPHIILHSP</v>
      </c>
      <c r="D166" s="4">
        <v>165</v>
      </c>
      <c r="E166" s="1">
        <v>41</v>
      </c>
      <c r="F166" s="1">
        <v>207</v>
      </c>
      <c r="G166" s="1">
        <v>60</v>
      </c>
      <c r="I166">
        <f t="shared" si="8"/>
        <v>0.38735307702639865</v>
      </c>
      <c r="J166">
        <f t="shared" si="9"/>
        <v>0.63796125212144439</v>
      </c>
      <c r="K166">
        <f t="shared" si="10"/>
        <v>0.50959580125489268</v>
      </c>
      <c r="M166">
        <f t="shared" si="11"/>
        <v>0.51163671013424528</v>
      </c>
      <c r="P166" t="s">
        <v>1229</v>
      </c>
      <c r="Q166" s="16" t="s">
        <v>1685</v>
      </c>
    </row>
    <row r="167" spans="1:17">
      <c r="A167" s="2" t="s">
        <v>277</v>
      </c>
      <c r="B167" s="6" t="s">
        <v>840</v>
      </c>
      <c r="C167" s="7" t="str" cm="1">
        <f t="array" ref="C167">_xlfn.LET(
  _xlpm.s, UPPER(B167),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KEYFKSIVAKGKIPHIILHSP</v>
      </c>
      <c r="D167" s="4">
        <v>216</v>
      </c>
      <c r="E167" s="1">
        <v>11</v>
      </c>
      <c r="F167" s="1">
        <v>164</v>
      </c>
      <c r="G167" s="1">
        <v>5</v>
      </c>
      <c r="I167">
        <f t="shared" si="8"/>
        <v>-0.30100790147213652</v>
      </c>
      <c r="J167">
        <f t="shared" si="9"/>
        <v>0.41986494777519995</v>
      </c>
      <c r="K167">
        <f t="shared" si="10"/>
        <v>-0.68655525172975684</v>
      </c>
      <c r="M167">
        <f t="shared" si="11"/>
        <v>-0.18923273514223116</v>
      </c>
      <c r="P167" t="s">
        <v>1130</v>
      </c>
      <c r="Q167" s="16" t="s">
        <v>1685</v>
      </c>
    </row>
    <row r="168" spans="1:17">
      <c r="A168" s="2" t="s">
        <v>278</v>
      </c>
      <c r="B168" s="6" t="s">
        <v>841</v>
      </c>
      <c r="C168" s="7" t="str" cm="1">
        <f t="array" ref="C168">_xlfn.LET(
  _xlpm.s, UPPER(B168),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KEYFKSIVARGKIPHIILHSP</v>
      </c>
      <c r="D168" s="4">
        <v>301</v>
      </c>
      <c r="E168" s="1">
        <v>59</v>
      </c>
      <c r="F168" s="1">
        <v>73</v>
      </c>
      <c r="G168" s="1">
        <v>79</v>
      </c>
      <c r="I168">
        <f t="shared" si="8"/>
        <v>0.28433868056887035</v>
      </c>
      <c r="J168">
        <f t="shared" si="9"/>
        <v>-7.5768784594954508E-2</v>
      </c>
      <c r="K168">
        <f t="shared" si="10"/>
        <v>0.36798909078175335</v>
      </c>
      <c r="M168">
        <f t="shared" si="11"/>
        <v>0.19218632891855639</v>
      </c>
      <c r="P168" t="s">
        <v>1272</v>
      </c>
      <c r="Q168" s="16" t="s">
        <v>1685</v>
      </c>
    </row>
    <row r="169" spans="1:17">
      <c r="A169" s="2" t="s">
        <v>279</v>
      </c>
      <c r="B169" s="6" t="s">
        <v>842</v>
      </c>
      <c r="C169" s="7" t="str" cm="1">
        <f t="array" ref="C169">_xlfn.LET(
  _xlpm.s, UPPER(B169),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KEYFKSIVASGKIPHIILHSP</v>
      </c>
      <c r="D169" s="4">
        <v>309</v>
      </c>
      <c r="E169" s="1">
        <v>183</v>
      </c>
      <c r="F169" s="1">
        <v>22</v>
      </c>
      <c r="G169" s="1">
        <v>106</v>
      </c>
      <c r="I169">
        <f t="shared" si="8"/>
        <v>0.76454577482616426</v>
      </c>
      <c r="J169">
        <f t="shared" si="9"/>
        <v>-0.6080609477241955</v>
      </c>
      <c r="K169">
        <f t="shared" si="10"/>
        <v>0.48427588092509088</v>
      </c>
      <c r="M169">
        <f t="shared" si="11"/>
        <v>0.21358690267568656</v>
      </c>
      <c r="P169" t="s">
        <v>1486</v>
      </c>
      <c r="Q169" s="16" t="s">
        <v>1685</v>
      </c>
    </row>
    <row r="170" spans="1:17">
      <c r="A170" s="2" t="s">
        <v>280</v>
      </c>
      <c r="B170" s="6" t="s">
        <v>843</v>
      </c>
      <c r="C170" s="7" t="str" cm="1">
        <f t="array" ref="C170">_xlfn.LET(
  _xlpm.s, UPPER(B170),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KEYFQAIVKRGKIPHIILHSP</v>
      </c>
      <c r="D170" s="4">
        <v>389</v>
      </c>
      <c r="E170" s="1">
        <v>11</v>
      </c>
      <c r="F170" s="1">
        <v>2</v>
      </c>
      <c r="G170" s="1">
        <v>1193</v>
      </c>
      <c r="I170">
        <f t="shared" si="8"/>
        <v>-0.55650375164691335</v>
      </c>
      <c r="J170">
        <f t="shared" si="9"/>
        <v>-1.7494447547832936</v>
      </c>
      <c r="K170">
        <f t="shared" si="10"/>
        <v>1.4356193374297894</v>
      </c>
      <c r="M170">
        <f t="shared" si="11"/>
        <v>-0.29010972300013921</v>
      </c>
      <c r="P170" t="s">
        <v>1239</v>
      </c>
      <c r="Q170" s="16" t="s">
        <v>1685</v>
      </c>
    </row>
    <row r="171" spans="1:17">
      <c r="A171" s="2" t="s">
        <v>281</v>
      </c>
      <c r="B171" s="6" t="s">
        <v>844</v>
      </c>
      <c r="C171" s="7" t="str" cm="1">
        <f t="array" ref="C171">_xlfn.LET(
  _xlpm.s, UPPER(B171),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KEYFRNIVKSGKIPHIILHSP</v>
      </c>
      <c r="D171" s="4">
        <v>249</v>
      </c>
      <c r="E171" s="1">
        <v>27</v>
      </c>
      <c r="F171" s="1">
        <v>346</v>
      </c>
      <c r="G171" s="1">
        <v>16</v>
      </c>
      <c r="I171">
        <f t="shared" si="8"/>
        <v>2.7217581583820483E-2</v>
      </c>
      <c r="J171">
        <f t="shared" si="9"/>
        <v>0.68235160257547323</v>
      </c>
      <c r="K171">
        <f t="shared" si="10"/>
        <v>-0.24315086935465624</v>
      </c>
      <c r="M171">
        <f t="shared" si="11"/>
        <v>0.15547277160154582</v>
      </c>
      <c r="P171" t="s">
        <v>1285</v>
      </c>
      <c r="Q171" s="16" t="s">
        <v>1685</v>
      </c>
    </row>
    <row r="172" spans="1:17">
      <c r="A172" s="2" t="s">
        <v>282</v>
      </c>
      <c r="B172" s="6" t="s">
        <v>845</v>
      </c>
      <c r="C172" s="7" t="str" cm="1">
        <f t="array" ref="C172">_xlfn.LET(
  _xlpm.s, UPPER(B172),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KEYFRNIVARGKIPHIILHSP</v>
      </c>
      <c r="D172" s="4">
        <v>577</v>
      </c>
      <c r="E172" s="1">
        <v>237</v>
      </c>
      <c r="F172" s="1">
        <v>20</v>
      </c>
      <c r="G172" s="1">
        <v>13</v>
      </c>
      <c r="I172">
        <f t="shared" si="8"/>
        <v>0.60562569737494187</v>
      </c>
      <c r="J172">
        <f t="shared" si="9"/>
        <v>-0.92067096661331738</v>
      </c>
      <c r="K172">
        <f t="shared" si="10"/>
        <v>-0.69830396576373932</v>
      </c>
      <c r="M172">
        <f t="shared" si="11"/>
        <v>-0.33778307833403831</v>
      </c>
      <c r="P172" t="s">
        <v>1280</v>
      </c>
      <c r="Q172" s="16" t="s">
        <v>1685</v>
      </c>
    </row>
    <row r="173" spans="1:17">
      <c r="A173" s="2" t="s">
        <v>283</v>
      </c>
      <c r="B173" s="6" t="s">
        <v>846</v>
      </c>
      <c r="C173" s="7" t="str" cm="1">
        <f t="array" ref="C173">_xlfn.LET(
  _xlpm.s, UPPER(B173),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KEYFRAIVKRGKIPHIILHSP</v>
      </c>
      <c r="D173" s="4">
        <v>410</v>
      </c>
      <c r="E173" s="1">
        <v>270</v>
      </c>
      <c r="F173" s="1">
        <v>31</v>
      </c>
      <c r="G173" s="1">
        <v>63</v>
      </c>
      <c r="I173">
        <f t="shared" si="8"/>
        <v>0.81063307195982126</v>
      </c>
      <c r="J173">
        <f t="shared" si="9"/>
        <v>-0.58194731200702987</v>
      </c>
      <c r="K173">
        <f t="shared" si="10"/>
        <v>0.13548518781900154</v>
      </c>
      <c r="M173">
        <f t="shared" si="11"/>
        <v>0.12139031592393097</v>
      </c>
      <c r="P173" t="s">
        <v>1513</v>
      </c>
      <c r="Q173" s="15" t="s">
        <v>1686</v>
      </c>
    </row>
    <row r="174" spans="1:17">
      <c r="A174" s="2" t="s">
        <v>284</v>
      </c>
      <c r="B174" s="6" t="s">
        <v>847</v>
      </c>
      <c r="C174" s="7" t="str" cm="1">
        <f t="array" ref="C174">_xlfn.LET(
  _xlpm.s, UPPER(B174),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KEYFRAIVAKGKIPHIILHSP</v>
      </c>
      <c r="D174" s="4">
        <v>382</v>
      </c>
      <c r="E174" s="1">
        <v>205</v>
      </c>
      <c r="F174" s="1">
        <v>168</v>
      </c>
      <c r="G174" s="1">
        <v>11</v>
      </c>
      <c r="I174">
        <f t="shared" si="8"/>
        <v>0.72174366266461498</v>
      </c>
      <c r="J174">
        <f t="shared" si="9"/>
        <v>0.1827207696925871</v>
      </c>
      <c r="K174">
        <f t="shared" si="10"/>
        <v>-0.59174218266832845</v>
      </c>
      <c r="M174">
        <f t="shared" si="11"/>
        <v>0.10424074989629122</v>
      </c>
      <c r="P174" t="s">
        <v>1143</v>
      </c>
      <c r="Q174" s="16" t="s">
        <v>1685</v>
      </c>
    </row>
    <row r="175" spans="1:17">
      <c r="A175" s="2" t="s">
        <v>285</v>
      </c>
      <c r="B175" s="6" t="s">
        <v>848</v>
      </c>
      <c r="C175" s="7" t="str" cm="1">
        <f t="array" ref="C175">_xlfn.LET(
  _xlpm.s, UPPER(B175),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KEYFRSIVARGKIPHIILHSP</v>
      </c>
      <c r="D175" s="4">
        <v>650</v>
      </c>
      <c r="E175" s="1">
        <v>12</v>
      </c>
      <c r="F175" s="1">
        <v>3</v>
      </c>
      <c r="G175" s="1">
        <v>274</v>
      </c>
      <c r="I175">
        <f t="shared" si="8"/>
        <v>-0.74167894607466134</v>
      </c>
      <c r="J175">
        <f t="shared" si="9"/>
        <v>-1.7963172510447603</v>
      </c>
      <c r="K175">
        <f t="shared" si="10"/>
        <v>0.57376570126268767</v>
      </c>
      <c r="M175">
        <f t="shared" si="11"/>
        <v>-0.65474349861891135</v>
      </c>
      <c r="P175" t="s">
        <v>1650</v>
      </c>
      <c r="Q175" s="15" t="s">
        <v>1686</v>
      </c>
    </row>
    <row r="176" spans="1:17">
      <c r="A176" s="2" t="s">
        <v>286</v>
      </c>
      <c r="B176" s="6" t="s">
        <v>849</v>
      </c>
      <c r="C176" s="7" t="str" cm="1">
        <f t="array" ref="C176">_xlfn.LET(
  _xlpm.s, UPPER(B176),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KEFFKNIVKKGKIPHIILHSP</v>
      </c>
      <c r="D176" s="4">
        <v>34</v>
      </c>
      <c r="E176" s="1">
        <v>14</v>
      </c>
      <c r="F176" s="1">
        <v>102</v>
      </c>
      <c r="G176" s="1">
        <v>30</v>
      </c>
      <c r="I176">
        <f t="shared" si="8"/>
        <v>0.60670228315655228</v>
      </c>
      <c r="J176">
        <f t="shared" si="9"/>
        <v>1.0165961055980954</v>
      </c>
      <c r="K176">
        <f t="shared" si="10"/>
        <v>0.89457083276256266</v>
      </c>
      <c r="M176">
        <f t="shared" si="11"/>
        <v>0.83928974050573679</v>
      </c>
      <c r="P176" t="s">
        <v>1237</v>
      </c>
      <c r="Q176" s="16" t="s">
        <v>1685</v>
      </c>
    </row>
    <row r="177" spans="1:17">
      <c r="A177" s="2" t="s">
        <v>287</v>
      </c>
      <c r="B177" s="6" t="s">
        <v>850</v>
      </c>
      <c r="C177" s="7" t="str" cm="1">
        <f t="array" ref="C177">_xlfn.LET(
  _xlpm.s, UPPER(B177),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KEFFKNIVKRGKIPHIILHSP</v>
      </c>
      <c r="D177" s="4">
        <v>88</v>
      </c>
      <c r="E177" s="1">
        <v>190</v>
      </c>
      <c r="F177" s="1">
        <v>439</v>
      </c>
      <c r="G177" s="1">
        <v>43</v>
      </c>
      <c r="I177">
        <f t="shared" si="8"/>
        <v>1.3263240933232299</v>
      </c>
      <c r="J177">
        <f t="shared" si="9"/>
        <v>1.2374566989703857</v>
      </c>
      <c r="K177">
        <f t="shared" si="10"/>
        <v>0.63791427851457327</v>
      </c>
      <c r="M177">
        <f t="shared" si="11"/>
        <v>1.0672316902693961</v>
      </c>
      <c r="P177" t="s">
        <v>1259</v>
      </c>
      <c r="Q177" s="16" t="s">
        <v>1685</v>
      </c>
    </row>
    <row r="178" spans="1:17">
      <c r="A178" s="2" t="s">
        <v>288</v>
      </c>
      <c r="B178" s="6" t="s">
        <v>851</v>
      </c>
      <c r="C178" s="7" t="str" cm="1">
        <f t="array" ref="C178">_xlfn.LET(
  _xlpm.s, UPPER(B178),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KEFFKNIVKAGKIPHIILHSP</v>
      </c>
      <c r="D178" s="4">
        <v>77</v>
      </c>
      <c r="E178" s="1">
        <v>6879</v>
      </c>
      <c r="F178" s="1">
        <v>7</v>
      </c>
      <c r="G178" s="1">
        <v>47</v>
      </c>
      <c r="I178">
        <f t="shared" si="8"/>
        <v>2.943087748797689</v>
      </c>
      <c r="J178">
        <f t="shared" si="9"/>
        <v>-0.50191783427979197</v>
      </c>
      <c r="K178">
        <f t="shared" si="10"/>
        <v>0.73453562784839088</v>
      </c>
      <c r="M178">
        <f t="shared" si="11"/>
        <v>1.058568514122096</v>
      </c>
      <c r="P178" t="s">
        <v>1578</v>
      </c>
      <c r="Q178" s="16" t="s">
        <v>1685</v>
      </c>
    </row>
    <row r="179" spans="1:17">
      <c r="A179" s="2" t="s">
        <v>289</v>
      </c>
      <c r="B179" s="6" t="s">
        <v>852</v>
      </c>
      <c r="C179" s="7" t="str" cm="1">
        <f t="array" ref="C179">_xlfn.LET(
  _xlpm.s, UPPER(B179),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KEFFKNIVKSGKIPHIILHSP</v>
      </c>
      <c r="D179" s="4">
        <v>66</v>
      </c>
      <c r="E179" s="1">
        <v>1110</v>
      </c>
      <c r="F179" s="1">
        <v>10</v>
      </c>
      <c r="G179" s="1">
        <v>36</v>
      </c>
      <c r="I179">
        <f t="shared" si="8"/>
        <v>2.2178322077653583</v>
      </c>
      <c r="J179">
        <f t="shared" si="9"/>
        <v>-0.28006908466343572</v>
      </c>
      <c r="K179">
        <f t="shared" si="10"/>
        <v>0.6856870603105738</v>
      </c>
      <c r="M179">
        <f t="shared" si="11"/>
        <v>0.87448339447083212</v>
      </c>
      <c r="P179" t="s">
        <v>1576</v>
      </c>
      <c r="Q179" s="16" t="s">
        <v>1685</v>
      </c>
    </row>
    <row r="180" spans="1:17">
      <c r="A180" s="2" t="s">
        <v>290</v>
      </c>
      <c r="B180" s="6" t="s">
        <v>853</v>
      </c>
      <c r="C180" s="7" t="str" cm="1">
        <f t="array" ref="C180">_xlfn.LET(
  _xlpm.s, UPPER(B180),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KEFFKNIVESGKIPHIILHSP</v>
      </c>
      <c r="D180" s="4">
        <v>86</v>
      </c>
      <c r="E180" s="1">
        <v>16</v>
      </c>
      <c r="F180" s="1">
        <v>18</v>
      </c>
      <c r="G180" s="1">
        <v>413</v>
      </c>
      <c r="I180">
        <f t="shared" si="8"/>
        <v>0.26167469593292647</v>
      </c>
      <c r="J180">
        <f t="shared" si="9"/>
        <v>-0.13975109526182872</v>
      </c>
      <c r="K180">
        <f t="shared" si="10"/>
        <v>1.6303800954979886</v>
      </c>
      <c r="M180">
        <f t="shared" si="11"/>
        <v>0.58410123205636211</v>
      </c>
      <c r="P180" t="s">
        <v>1156</v>
      </c>
      <c r="Q180" s="14" t="s">
        <v>1685</v>
      </c>
    </row>
    <row r="181" spans="1:17">
      <c r="A181" s="2" t="s">
        <v>291</v>
      </c>
      <c r="B181" s="6" t="s">
        <v>854</v>
      </c>
      <c r="C181" s="7" t="str" cm="1">
        <f t="array" ref="C181">_xlfn.LET(
  _xlpm.s, UPPER(B181),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KEFFKNIVAKGKIPHIILHSP</v>
      </c>
      <c r="D181" s="4">
        <v>98</v>
      </c>
      <c r="E181" s="1">
        <v>379</v>
      </c>
      <c r="F181" s="1">
        <v>94</v>
      </c>
      <c r="G181" s="1">
        <v>39</v>
      </c>
      <c r="I181">
        <f t="shared" si="8"/>
        <v>1.579466298796147</v>
      </c>
      <c r="J181">
        <f t="shared" si="9"/>
        <v>0.52137662878563673</v>
      </c>
      <c r="K181">
        <f t="shared" si="10"/>
        <v>0.54876702641915964</v>
      </c>
      <c r="M181">
        <f t="shared" si="11"/>
        <v>0.88320331800031449</v>
      </c>
      <c r="P181" t="s">
        <v>1317</v>
      </c>
      <c r="Q181" s="16" t="s">
        <v>1685</v>
      </c>
    </row>
    <row r="182" spans="1:17">
      <c r="A182" s="2" t="s">
        <v>292</v>
      </c>
      <c r="B182" s="6" t="s">
        <v>855</v>
      </c>
      <c r="C182" s="7" t="str" cm="1">
        <f t="array" ref="C182">_xlfn.LET(
  _xlpm.s, UPPER(B182),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KEFFKNIVARGKIPHIILHSP</v>
      </c>
      <c r="D182" s="4">
        <v>155</v>
      </c>
      <c r="E182" s="1">
        <v>198</v>
      </c>
      <c r="F182" s="1">
        <v>28</v>
      </c>
      <c r="G182" s="1">
        <v>63</v>
      </c>
      <c r="I182">
        <f t="shared" si="8"/>
        <v>1.098386656611809</v>
      </c>
      <c r="J182">
        <f t="shared" si="9"/>
        <v>-0.20369881594963934</v>
      </c>
      <c r="K182">
        <f t="shared" si="10"/>
        <v>0.5579373463684455</v>
      </c>
      <c r="M182">
        <f t="shared" si="11"/>
        <v>0.48420839567687174</v>
      </c>
      <c r="P182" t="s">
        <v>1276</v>
      </c>
      <c r="Q182" s="16" t="s">
        <v>1685</v>
      </c>
    </row>
    <row r="183" spans="1:17">
      <c r="A183" s="2" t="s">
        <v>293</v>
      </c>
      <c r="B183" s="6" t="s">
        <v>856</v>
      </c>
      <c r="C183" s="7" t="str" cm="1">
        <f t="array" ref="C183">_xlfn.LET(
  _xlpm.s, UPPER(B183),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KEFFKNIVASGKIPHIILHSP</v>
      </c>
      <c r="D183" s="4">
        <v>123</v>
      </c>
      <c r="E183" s="1">
        <v>33</v>
      </c>
      <c r="F183" s="1">
        <v>21</v>
      </c>
      <c r="G183" s="1">
        <v>1946</v>
      </c>
      <c r="I183">
        <f t="shared" si="8"/>
        <v>0.42066199295905904</v>
      </c>
      <c r="J183">
        <f t="shared" si="9"/>
        <v>-0.2282109658270457</v>
      </c>
      <c r="K183">
        <f t="shared" si="10"/>
        <v>2.1481662195780906</v>
      </c>
      <c r="M183">
        <f t="shared" si="11"/>
        <v>0.78020574890336791</v>
      </c>
      <c r="P183" t="s">
        <v>1588</v>
      </c>
      <c r="Q183" s="16" t="s">
        <v>1685</v>
      </c>
    </row>
    <row r="184" spans="1:17">
      <c r="A184" s="2" t="s">
        <v>294</v>
      </c>
      <c r="B184" s="6" t="s">
        <v>857</v>
      </c>
      <c r="C184" s="7" t="str" cm="1">
        <f t="array" ref="C184">_xlfn.LET(
  _xlpm.s, UPPER(B184),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KEFFKNIVSSGKIPHIILHSP</v>
      </c>
      <c r="D184" s="4">
        <v>78</v>
      </c>
      <c r="E184" s="1">
        <v>168</v>
      </c>
      <c r="F184" s="1">
        <v>59</v>
      </c>
      <c r="G184" s="1">
        <v>33</v>
      </c>
      <c r="I184">
        <f t="shared" si="8"/>
        <v>1.325267843555952</v>
      </c>
      <c r="J184">
        <f t="shared" si="9"/>
        <v>0.41823225983009671</v>
      </c>
      <c r="K184">
        <f t="shared" si="10"/>
        <v>0.57534783227256237</v>
      </c>
      <c r="M184">
        <f t="shared" si="11"/>
        <v>0.77294931188620364</v>
      </c>
      <c r="P184" t="s">
        <v>1321</v>
      </c>
      <c r="Q184" s="15" t="s">
        <v>1686</v>
      </c>
    </row>
    <row r="185" spans="1:17">
      <c r="A185" s="2" t="s">
        <v>295</v>
      </c>
      <c r="B185" s="6" t="s">
        <v>858</v>
      </c>
      <c r="C185" s="7" t="str" cm="1">
        <f t="array" ref="C185">_xlfn.LET(
  _xlpm.s, UPPER(B185),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KEFFKQIVKKGKIPHIILHSP</v>
      </c>
      <c r="D185" s="4">
        <v>95</v>
      </c>
      <c r="E185" s="1">
        <v>446</v>
      </c>
      <c r="F185" s="1">
        <v>158</v>
      </c>
      <c r="G185" s="1">
        <v>94</v>
      </c>
      <c r="I185">
        <f t="shared" si="8"/>
        <v>1.6636644179438635</v>
      </c>
      <c r="J185">
        <f t="shared" si="9"/>
        <v>0.76040833254400786</v>
      </c>
      <c r="K185">
        <f t="shared" si="10"/>
        <v>0.94433274339600615</v>
      </c>
      <c r="M185">
        <f t="shared" si="11"/>
        <v>1.122801831294626</v>
      </c>
      <c r="P185" t="s">
        <v>1660</v>
      </c>
      <c r="Q185" s="16" t="s">
        <v>1685</v>
      </c>
    </row>
    <row r="186" spans="1:17">
      <c r="A186" s="2" t="s">
        <v>296</v>
      </c>
      <c r="B186" s="6" t="s">
        <v>859</v>
      </c>
      <c r="C186" s="7" t="str" cm="1">
        <f t="array" ref="C186">_xlfn.LET(
  _xlpm.s, UPPER(B186),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KEFFKQIVARGKIPHIILHSP</v>
      </c>
      <c r="D186" s="4">
        <v>274</v>
      </c>
      <c r="E186" s="1">
        <v>61</v>
      </c>
      <c r="F186" s="1">
        <v>17</v>
      </c>
      <c r="G186" s="1">
        <v>20</v>
      </c>
      <c r="I186">
        <f t="shared" si="8"/>
        <v>0.33963243671094856</v>
      </c>
      <c r="J186">
        <f t="shared" si="9"/>
        <v>-0.66782679056368111</v>
      </c>
      <c r="K186">
        <f t="shared" si="10"/>
        <v>-0.18779207207125159</v>
      </c>
      <c r="M186">
        <f t="shared" si="11"/>
        <v>-0.17199547530799472</v>
      </c>
      <c r="P186" t="s">
        <v>1388</v>
      </c>
      <c r="Q186" s="16" t="s">
        <v>1685</v>
      </c>
    </row>
    <row r="187" spans="1:17">
      <c r="A187" s="2" t="s">
        <v>297</v>
      </c>
      <c r="B187" s="6" t="s">
        <v>860</v>
      </c>
      <c r="C187" s="7" t="str" cm="1">
        <f t="array" ref="C187">_xlfn.LET(
  _xlpm.s, UPPER(B187),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KEFFKQIVASGKIPHIILHSP</v>
      </c>
      <c r="D187" s="4">
        <v>269</v>
      </c>
      <c r="E187" s="1">
        <v>149</v>
      </c>
      <c r="F187" s="1">
        <v>46</v>
      </c>
      <c r="G187" s="1">
        <v>64</v>
      </c>
      <c r="I187">
        <f t="shared" si="8"/>
        <v>0.73548715293043554</v>
      </c>
      <c r="J187">
        <f t="shared" si="9"/>
        <v>-0.22751959744240102</v>
      </c>
      <c r="K187">
        <f t="shared" si="10"/>
        <v>0.32535618906663444</v>
      </c>
      <c r="M187">
        <f t="shared" si="11"/>
        <v>0.27777458151822298</v>
      </c>
      <c r="P187" t="s">
        <v>1287</v>
      </c>
      <c r="Q187" s="16" t="s">
        <v>1685</v>
      </c>
    </row>
    <row r="188" spans="1:17">
      <c r="A188" s="2" t="s">
        <v>298</v>
      </c>
      <c r="B188" s="6" t="s">
        <v>861</v>
      </c>
      <c r="C188" s="7" t="str" cm="1">
        <f t="array" ref="C188">_xlfn.LET(
  _xlpm.s, UPPER(B188),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KEFFKEIVKRGKIPHIILHSP</v>
      </c>
      <c r="D188" s="4">
        <v>117</v>
      </c>
      <c r="E188" s="1">
        <v>134</v>
      </c>
      <c r="F188" s="1">
        <v>5</v>
      </c>
      <c r="G188" s="1">
        <v>114</v>
      </c>
      <c r="I188">
        <f t="shared" si="8"/>
        <v>1.0509721011392155</v>
      </c>
      <c r="J188">
        <f t="shared" si="9"/>
        <v>-0.82974100653170979</v>
      </c>
      <c r="K188">
        <f t="shared" si="10"/>
        <v>0.93764748467546621</v>
      </c>
      <c r="M188">
        <f t="shared" si="11"/>
        <v>0.38629285976099065</v>
      </c>
      <c r="P188" t="s">
        <v>1542</v>
      </c>
      <c r="Q188" s="15" t="s">
        <v>1686</v>
      </c>
    </row>
    <row r="189" spans="1:17">
      <c r="A189" s="2" t="s">
        <v>299</v>
      </c>
      <c r="B189" s="6" t="s">
        <v>862</v>
      </c>
      <c r="C189" s="7" t="str" cm="1">
        <f t="array" ref="C189">_xlfn.LET(
  _xlpm.s, UPPER(B189),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KEFFKEIVRRGKIPHIILHSP</v>
      </c>
      <c r="D189" s="4">
        <v>129</v>
      </c>
      <c r="E189" s="1">
        <v>28</v>
      </c>
      <c r="F189" s="1">
        <v>18</v>
      </c>
      <c r="G189" s="1">
        <v>394</v>
      </c>
      <c r="I189">
        <f t="shared" si="8"/>
        <v>0.32862148556353976</v>
      </c>
      <c r="J189">
        <f t="shared" si="9"/>
        <v>-0.31584235431750995</v>
      </c>
      <c r="K189">
        <f t="shared" si="10"/>
        <v>1.4338350066114804</v>
      </c>
      <c r="M189">
        <f t="shared" si="11"/>
        <v>0.48220471261917003</v>
      </c>
      <c r="P189" t="s">
        <v>1209</v>
      </c>
      <c r="Q189" s="15" t="s">
        <v>1686</v>
      </c>
    </row>
    <row r="190" spans="1:17">
      <c r="A190" s="2" t="s">
        <v>300</v>
      </c>
      <c r="B190" s="6" t="s">
        <v>863</v>
      </c>
      <c r="C190" s="7" t="str" cm="1">
        <f t="array" ref="C190">_xlfn.LET(
  _xlpm.s, UPPER(B190),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KEFFKEIVAKGKIPHIILHSP</v>
      </c>
      <c r="D190" s="4">
        <v>153</v>
      </c>
      <c r="E190" s="1">
        <v>24</v>
      </c>
      <c r="F190" s="1">
        <v>18</v>
      </c>
      <c r="G190" s="1">
        <v>50</v>
      </c>
      <c r="I190">
        <f t="shared" si="8"/>
        <v>0.18757297541457663</v>
      </c>
      <c r="J190">
        <f t="shared" si="9"/>
        <v>-0.3899440748358598</v>
      </c>
      <c r="K190">
        <f t="shared" si="10"/>
        <v>0.4632070686035753</v>
      </c>
      <c r="M190">
        <f t="shared" si="11"/>
        <v>8.6945323060764038E-2</v>
      </c>
      <c r="P190" t="s">
        <v>1236</v>
      </c>
      <c r="Q190" s="16" t="s">
        <v>1685</v>
      </c>
    </row>
    <row r="191" spans="1:17">
      <c r="A191" s="2" t="s">
        <v>301</v>
      </c>
      <c r="B191" s="6" t="s">
        <v>864</v>
      </c>
      <c r="C191" s="7" t="str" cm="1">
        <f t="array" ref="C191">_xlfn.LET(
  _xlpm.s, UPPER(B191),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KEFFKEIVARGKIPHIILHSP</v>
      </c>
      <c r="D191" s="4">
        <v>187</v>
      </c>
      <c r="E191" s="1">
        <v>9</v>
      </c>
      <c r="F191" s="1">
        <v>71</v>
      </c>
      <c r="G191" s="1">
        <v>4</v>
      </c>
      <c r="I191">
        <f t="shared" si="8"/>
        <v>-0.32554593257660458</v>
      </c>
      <c r="J191">
        <f t="shared" si="9"/>
        <v>0.11889159306100927</v>
      </c>
      <c r="K191">
        <f t="shared" si="10"/>
        <v>-0.72085312012338121</v>
      </c>
      <c r="M191">
        <f t="shared" si="11"/>
        <v>-0.30916915321299215</v>
      </c>
      <c r="P191" t="s">
        <v>1378</v>
      </c>
      <c r="Q191" s="15" t="s">
        <v>1686</v>
      </c>
    </row>
    <row r="192" spans="1:17">
      <c r="A192" s="2" t="s">
        <v>302</v>
      </c>
      <c r="B192" s="6" t="s">
        <v>865</v>
      </c>
      <c r="C192" s="7" t="str" cm="1">
        <f t="array" ref="C192">_xlfn.LET(
  _xlpm.s, UPPER(B192),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KEFFKEIVASGKIPHIILHSP</v>
      </c>
      <c r="D192" s="4">
        <v>189</v>
      </c>
      <c r="E192" s="1">
        <v>10</v>
      </c>
      <c r="F192" s="1">
        <v>6</v>
      </c>
      <c r="G192" s="1">
        <v>149</v>
      </c>
      <c r="I192">
        <f t="shared" si="8"/>
        <v>-0.2844086396526746</v>
      </c>
      <c r="J192">
        <f t="shared" si="9"/>
        <v>-0.95883570291116749</v>
      </c>
      <c r="K192">
        <f t="shared" si="10"/>
        <v>0.84565295932418527</v>
      </c>
      <c r="M192">
        <f t="shared" si="11"/>
        <v>-0.13253046107988556</v>
      </c>
      <c r="P192" t="s">
        <v>1562</v>
      </c>
      <c r="Q192" s="15" t="s">
        <v>1686</v>
      </c>
    </row>
    <row r="193" spans="1:17">
      <c r="A193" s="2" t="s">
        <v>303</v>
      </c>
      <c r="B193" s="6" t="s">
        <v>866</v>
      </c>
      <c r="C193" s="7" t="str" cm="1">
        <f t="array" ref="C193">_xlfn.LET(
  _xlpm.s, UPPER(B193),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KEFFKDIVARGKIPHIILHSP</v>
      </c>
      <c r="D193" s="4">
        <v>251</v>
      </c>
      <c r="E193" s="1">
        <v>113</v>
      </c>
      <c r="F193" s="1">
        <v>83</v>
      </c>
      <c r="G193" s="1">
        <v>232</v>
      </c>
      <c r="I193">
        <f t="shared" si="8"/>
        <v>0.645457886522951</v>
      </c>
      <c r="J193">
        <f t="shared" si="9"/>
        <v>5.887922177346866E-2</v>
      </c>
      <c r="K193">
        <f t="shared" si="10"/>
        <v>0.91474275849501685</v>
      </c>
      <c r="M193">
        <f t="shared" si="11"/>
        <v>0.53969328893047885</v>
      </c>
      <c r="P193" t="s">
        <v>1498</v>
      </c>
      <c r="Q193" s="16" t="s">
        <v>1685</v>
      </c>
    </row>
    <row r="194" spans="1:17">
      <c r="A194" s="2" t="s">
        <v>304</v>
      </c>
      <c r="B194" s="6" t="s">
        <v>867</v>
      </c>
      <c r="C194" s="7" t="str" cm="1">
        <f t="array" ref="C194">_xlfn.LET(
  _xlpm.s, UPPER(B194),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KEFFKAIVKKGKIPHIILHSP</v>
      </c>
      <c r="D194" s="4">
        <v>136</v>
      </c>
      <c r="E194" s="1">
        <v>90</v>
      </c>
      <c r="F194" s="1">
        <v>33</v>
      </c>
      <c r="G194" s="1">
        <v>56</v>
      </c>
      <c r="I194">
        <f t="shared" ref="I194:I257" si="12">LOG(E194/D194)-LOG(182/1787)</f>
        <v>0.8127567655896768</v>
      </c>
      <c r="J194">
        <f t="shared" ref="J194:J257" si="13">LOG(F194/D194)-LOG(516/1787)</f>
        <v>-7.5550117613897072E-2</v>
      </c>
      <c r="K194">
        <f t="shared" ref="K194:K257" si="14">LOG(G194/D194)-LOG(201/1787)</f>
        <v>0.56357761372113813</v>
      </c>
      <c r="M194">
        <f t="shared" ref="M194:M257" si="15">AVERAGE(I194:K194)</f>
        <v>0.43359475389897262</v>
      </c>
      <c r="P194" t="s">
        <v>1246</v>
      </c>
      <c r="Q194" s="16" t="s">
        <v>1685</v>
      </c>
    </row>
    <row r="195" spans="1:17">
      <c r="A195" s="2" t="s">
        <v>305</v>
      </c>
      <c r="B195" s="6" t="s">
        <v>868</v>
      </c>
      <c r="C195" s="7" t="str" cm="1">
        <f t="array" ref="C195">_xlfn.LET(
  _xlpm.s, UPPER(B195),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KEFFKAIVKRGKIPHIILHSP</v>
      </c>
      <c r="D195" s="4">
        <v>266</v>
      </c>
      <c r="E195" s="1">
        <v>264</v>
      </c>
      <c r="F195" s="1">
        <v>25</v>
      </c>
      <c r="G195" s="1">
        <v>63</v>
      </c>
      <c r="I195">
        <f t="shared" si="12"/>
        <v>0.98877545475933348</v>
      </c>
      <c r="J195">
        <f t="shared" si="13"/>
        <v>-0.48746677708059638</v>
      </c>
      <c r="K195">
        <f t="shared" si="14"/>
        <v>0.32338740790766995</v>
      </c>
      <c r="M195">
        <f t="shared" si="15"/>
        <v>0.274898695195469</v>
      </c>
      <c r="P195" t="s">
        <v>1497</v>
      </c>
      <c r="Q195" s="16" t="s">
        <v>1685</v>
      </c>
    </row>
    <row r="196" spans="1:17">
      <c r="A196" s="2" t="s">
        <v>306</v>
      </c>
      <c r="B196" s="6" t="s">
        <v>869</v>
      </c>
      <c r="C196" s="7" t="str" cm="1">
        <f t="array" ref="C196">_xlfn.LET(
  _xlpm.s, UPPER(B196),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KEFFKAIVKSGKIPHIILHSP</v>
      </c>
      <c r="D196" s="4">
        <v>170</v>
      </c>
      <c r="E196" s="1">
        <v>10</v>
      </c>
      <c r="F196" s="1">
        <v>42</v>
      </c>
      <c r="G196" s="1">
        <v>11</v>
      </c>
      <c r="I196">
        <f t="shared" si="12"/>
        <v>-0.23839575685770442</v>
      </c>
      <c r="J196">
        <f t="shared" si="13"/>
        <v>-6.7724780101940496E-2</v>
      </c>
      <c r="K196">
        <f t="shared" si="14"/>
        <v>-0.24012774113489344</v>
      </c>
      <c r="M196">
        <f t="shared" si="15"/>
        <v>-0.18208275936484611</v>
      </c>
      <c r="P196" t="s">
        <v>1424</v>
      </c>
      <c r="Q196" s="15" t="s">
        <v>1686</v>
      </c>
    </row>
    <row r="197" spans="1:17">
      <c r="A197" s="2" t="s">
        <v>307</v>
      </c>
      <c r="B197" s="6" t="s">
        <v>870</v>
      </c>
      <c r="C197" s="7" t="str" cm="1">
        <f t="array" ref="C197">_xlfn.LET(
  _xlpm.s, UPPER(B197),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KEFFKAIVQKGKIPHIILHSP</v>
      </c>
      <c r="D197" s="4">
        <v>159</v>
      </c>
      <c r="E197" s="1">
        <v>431</v>
      </c>
      <c r="F197" s="1">
        <v>54</v>
      </c>
      <c r="G197" s="1">
        <v>44</v>
      </c>
      <c r="I197">
        <f t="shared" si="12"/>
        <v>1.4251333103608497</v>
      </c>
      <c r="J197">
        <f t="shared" si="13"/>
        <v>7.0471486380949966E-2</v>
      </c>
      <c r="K197">
        <f t="shared" si="14"/>
        <v>0.3909840472508912</v>
      </c>
      <c r="M197">
        <f t="shared" si="15"/>
        <v>0.62886294799756359</v>
      </c>
      <c r="P197" t="s">
        <v>1470</v>
      </c>
      <c r="Q197" s="16" t="s">
        <v>1685</v>
      </c>
    </row>
    <row r="198" spans="1:17">
      <c r="A198" s="2" t="s">
        <v>308</v>
      </c>
      <c r="B198" s="6" t="s">
        <v>871</v>
      </c>
      <c r="C198" s="7" t="str" cm="1">
        <f t="array" ref="C198">_xlfn.LET(
  _xlpm.s, UPPER(B198),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KEFFKAIVQRGKIPHIILHSP</v>
      </c>
      <c r="D198" s="4">
        <v>226</v>
      </c>
      <c r="E198" s="1">
        <v>15</v>
      </c>
      <c r="F198" s="1">
        <v>14</v>
      </c>
      <c r="G198" s="1">
        <v>470</v>
      </c>
      <c r="I198">
        <f t="shared" si="12"/>
        <v>-0.18596401557115017</v>
      </c>
      <c r="J198">
        <f t="shared" si="13"/>
        <v>-0.66850555259072986</v>
      </c>
      <c r="K198">
        <f t="shared" si="14"/>
        <v>1.2669179138734719</v>
      </c>
      <c r="M198">
        <f t="shared" si="15"/>
        <v>0.13748278190386395</v>
      </c>
      <c r="P198" t="s">
        <v>1466</v>
      </c>
      <c r="Q198" s="16" t="s">
        <v>1685</v>
      </c>
    </row>
    <row r="199" spans="1:17">
      <c r="A199" s="2" t="s">
        <v>309</v>
      </c>
      <c r="B199" s="6" t="s">
        <v>872</v>
      </c>
      <c r="C199" s="7" t="str" cm="1">
        <f t="array" ref="C199">_xlfn.LET(
  _xlpm.s, UPPER(B199),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KEFFKAIVERGKIPHIILHSP</v>
      </c>
      <c r="D199" s="4">
        <v>309</v>
      </c>
      <c r="E199" s="1">
        <v>70</v>
      </c>
      <c r="F199" s="1">
        <v>39</v>
      </c>
      <c r="G199" s="1">
        <v>8</v>
      </c>
      <c r="I199">
        <f t="shared" si="12"/>
        <v>0.34719272510999166</v>
      </c>
      <c r="J199">
        <f t="shared" si="13"/>
        <v>-0.35941902151990246</v>
      </c>
      <c r="K199">
        <f t="shared" si="14"/>
        <v>-0.63793999734773577</v>
      </c>
      <c r="M199">
        <f t="shared" si="15"/>
        <v>-0.21672209791921551</v>
      </c>
      <c r="P199" t="s">
        <v>1139</v>
      </c>
      <c r="Q199" s="16" t="s">
        <v>1685</v>
      </c>
    </row>
    <row r="200" spans="1:17">
      <c r="A200" s="2" t="s">
        <v>310</v>
      </c>
      <c r="B200" s="6" t="s">
        <v>873</v>
      </c>
      <c r="C200" s="7" t="str" cm="1">
        <f t="array" ref="C200">_xlfn.LET(
  _xlpm.s, UPPER(B200),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KEFFKAIVAKGKIPHIILHSP</v>
      </c>
      <c r="D200" s="4">
        <v>274</v>
      </c>
      <c r="E200" s="1">
        <v>1667</v>
      </c>
      <c r="F200" s="1">
        <v>7</v>
      </c>
      <c r="G200" s="1">
        <v>53</v>
      </c>
      <c r="I200">
        <f t="shared" si="12"/>
        <v>1.7762382015281868</v>
      </c>
      <c r="J200">
        <f t="shared" si="13"/>
        <v>-1.0531776719276982</v>
      </c>
      <c r="K200">
        <f t="shared" si="14"/>
        <v>0.23545380186555642</v>
      </c>
      <c r="M200">
        <f t="shared" si="15"/>
        <v>0.31950477715534836</v>
      </c>
      <c r="P200" t="s">
        <v>1504</v>
      </c>
      <c r="Q200" s="16" t="s">
        <v>1685</v>
      </c>
    </row>
    <row r="201" spans="1:17">
      <c r="A201" s="2" t="s">
        <v>311</v>
      </c>
      <c r="B201" s="6" t="s">
        <v>874</v>
      </c>
      <c r="C201" s="7" t="str" cm="1">
        <f t="array" ref="C201">_xlfn.LET(
  _xlpm.s, UPPER(B201),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KEFFKAIVARGKIPHIILHSP</v>
      </c>
      <c r="D201" s="4">
        <v>412</v>
      </c>
      <c r="E201" s="1">
        <v>121</v>
      </c>
      <c r="F201" s="1">
        <v>244</v>
      </c>
      <c r="G201" s="1">
        <v>49</v>
      </c>
      <c r="I201">
        <f t="shared" si="12"/>
        <v>0.45994131880388489</v>
      </c>
      <c r="J201">
        <f t="shared" si="13"/>
        <v>0.31196746118402774</v>
      </c>
      <c r="K201">
        <f t="shared" si="14"/>
        <v>2.4227359080534416E-2</v>
      </c>
      <c r="M201">
        <f t="shared" si="15"/>
        <v>0.26537871302281568</v>
      </c>
      <c r="P201" t="s">
        <v>1345</v>
      </c>
      <c r="Q201" s="16" t="s">
        <v>1685</v>
      </c>
    </row>
    <row r="202" spans="1:17">
      <c r="A202" s="2" t="s">
        <v>312</v>
      </c>
      <c r="B202" s="6" t="s">
        <v>875</v>
      </c>
      <c r="C202" s="7" t="str" cm="1">
        <f t="array" ref="C202">_xlfn.LET(
  _xlpm.s, UPPER(B202),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KEFFKAIVASGKIPHIILHSP</v>
      </c>
      <c r="D202" s="4">
        <v>368</v>
      </c>
      <c r="E202" s="1">
        <v>194</v>
      </c>
      <c r="F202" s="1">
        <v>43</v>
      </c>
      <c r="G202" s="1">
        <v>69</v>
      </c>
      <c r="I202">
        <f t="shared" si="12"/>
        <v>0.71400707577727784</v>
      </c>
      <c r="J202">
        <f t="shared" si="13"/>
        <v>-0.39290451221549816</v>
      </c>
      <c r="K202">
        <f t="shared" si="14"/>
        <v>0.22192976714889301</v>
      </c>
      <c r="M202">
        <f t="shared" si="15"/>
        <v>0.18101077690355757</v>
      </c>
      <c r="P202" t="s">
        <v>1210</v>
      </c>
      <c r="Q202" s="16" t="s">
        <v>1685</v>
      </c>
    </row>
    <row r="203" spans="1:17">
      <c r="A203" s="2" t="s">
        <v>313</v>
      </c>
      <c r="B203" s="6" t="s">
        <v>876</v>
      </c>
      <c r="C203" s="7" t="str" cm="1">
        <f t="array" ref="C203">_xlfn.LET(
  _xlpm.s, UPPER(B203),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KEFFKSIVKKGKIPHIILHSP</v>
      </c>
      <c r="D203" s="4">
        <v>99</v>
      </c>
      <c r="E203" s="1">
        <v>80</v>
      </c>
      <c r="F203" s="1">
        <v>27</v>
      </c>
      <c r="G203" s="1">
        <v>39</v>
      </c>
      <c r="I203">
        <f t="shared" si="12"/>
        <v>0.8995079569149631</v>
      </c>
      <c r="J203">
        <f t="shared" si="13"/>
        <v>-2.4796579560129706E-2</v>
      </c>
      <c r="K203">
        <f t="shared" si="14"/>
        <v>0.54435790751410451</v>
      </c>
      <c r="M203">
        <f t="shared" si="15"/>
        <v>0.47302309495631262</v>
      </c>
      <c r="P203" t="s">
        <v>1147</v>
      </c>
      <c r="Q203" s="16" t="s">
        <v>1685</v>
      </c>
    </row>
    <row r="204" spans="1:17">
      <c r="A204" s="2" t="s">
        <v>314</v>
      </c>
      <c r="B204" s="6" t="s">
        <v>877</v>
      </c>
      <c r="C204" s="7" t="str" cm="1">
        <f t="array" ref="C204">_xlfn.LET(
  _xlpm.s, UPPER(B204),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KEFFKSIVKRGKIPHIILHSP</v>
      </c>
      <c r="D204" s="4">
        <v>189</v>
      </c>
      <c r="E204" s="1">
        <v>18</v>
      </c>
      <c r="F204" s="1">
        <v>2</v>
      </c>
      <c r="G204" s="1">
        <v>14</v>
      </c>
      <c r="I204">
        <f t="shared" si="12"/>
        <v>-2.9136134549368586E-2</v>
      </c>
      <c r="J204">
        <f t="shared" si="13"/>
        <v>-1.4359569576308302</v>
      </c>
      <c r="K204">
        <f t="shared" si="14"/>
        <v>-0.1814052734098508</v>
      </c>
      <c r="M204">
        <f t="shared" si="15"/>
        <v>-0.54883278853001649</v>
      </c>
      <c r="P204" t="s">
        <v>1408</v>
      </c>
      <c r="Q204" s="15" t="s">
        <v>1686</v>
      </c>
    </row>
    <row r="205" spans="1:17">
      <c r="A205" s="2" t="s">
        <v>315</v>
      </c>
      <c r="B205" s="6" t="s">
        <v>878</v>
      </c>
      <c r="C205" s="7" t="str" cm="1">
        <f t="array" ref="C205">_xlfn.LET(
  _xlpm.s, UPPER(B205),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KEFFKSIVKAGKIPHIILHSP</v>
      </c>
      <c r="D205" s="4">
        <v>171</v>
      </c>
      <c r="E205" s="1">
        <v>248</v>
      </c>
      <c r="F205" s="1">
        <v>13</v>
      </c>
      <c r="G205" s="1">
        <v>71</v>
      </c>
      <c r="I205">
        <f t="shared" si="12"/>
        <v>1.1535087349546318</v>
      </c>
      <c r="J205">
        <f t="shared" si="13"/>
        <v>-0.57957790720688418</v>
      </c>
      <c r="K205">
        <f t="shared" si="14"/>
        <v>0.56719073341207671</v>
      </c>
      <c r="M205">
        <f t="shared" si="15"/>
        <v>0.38037385371994148</v>
      </c>
      <c r="P205" t="s">
        <v>1640</v>
      </c>
      <c r="Q205" s="16" t="s">
        <v>1685</v>
      </c>
    </row>
    <row r="206" spans="1:17">
      <c r="A206" s="2" t="s">
        <v>316</v>
      </c>
      <c r="B206" s="6" t="s">
        <v>879</v>
      </c>
      <c r="C206" s="7" t="str" cm="1">
        <f t="array" ref="C206">_xlfn.LET(
  _xlpm.s, UPPER(B206),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KEFFKSIVKSGKIPHIILHSP</v>
      </c>
      <c r="D206" s="4">
        <v>154</v>
      </c>
      <c r="E206" s="1">
        <v>55</v>
      </c>
      <c r="F206" s="1">
        <v>90</v>
      </c>
      <c r="G206" s="1">
        <v>86</v>
      </c>
      <c r="I206">
        <f t="shared" si="12"/>
        <v>0.54489513317835025</v>
      </c>
      <c r="J206">
        <f t="shared" si="13"/>
        <v>0.30619663948129472</v>
      </c>
      <c r="K206">
        <f t="shared" si="14"/>
        <v>0.69590622549225989</v>
      </c>
      <c r="M206">
        <f t="shared" si="15"/>
        <v>0.51566599938396829</v>
      </c>
      <c r="P206" t="s">
        <v>1485</v>
      </c>
      <c r="Q206" s="16" t="s">
        <v>1685</v>
      </c>
    </row>
    <row r="207" spans="1:17">
      <c r="A207" s="2" t="s">
        <v>317</v>
      </c>
      <c r="B207" s="6" t="s">
        <v>880</v>
      </c>
      <c r="C207" s="7" t="str" cm="1">
        <f t="array" ref="C207">_xlfn.LET(
  _xlpm.s, UPPER(B207),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KEFFKSIVESGKIPHIILHSP</v>
      </c>
      <c r="D207" s="4">
        <v>181</v>
      </c>
      <c r="E207" s="1">
        <v>75</v>
      </c>
      <c r="F207" s="1">
        <v>334</v>
      </c>
      <c r="G207" s="1">
        <v>60</v>
      </c>
      <c r="I207">
        <f t="shared" si="12"/>
        <v>0.60943585304308501</v>
      </c>
      <c r="J207">
        <f t="shared" si="13"/>
        <v>0.80554274282081284</v>
      </c>
      <c r="K207">
        <f t="shared" si="14"/>
        <v>0.46940117059961439</v>
      </c>
      <c r="M207">
        <f t="shared" si="15"/>
        <v>0.62812658882117078</v>
      </c>
      <c r="P207" t="s">
        <v>1478</v>
      </c>
      <c r="Q207" s="16" t="s">
        <v>1685</v>
      </c>
    </row>
    <row r="208" spans="1:17">
      <c r="A208" s="2" t="s">
        <v>318</v>
      </c>
      <c r="B208" s="6" t="s">
        <v>881</v>
      </c>
      <c r="C208" s="7" t="str" cm="1">
        <f t="array" ref="C208">_xlfn.LET(
  _xlpm.s, UPPER(B208),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KEFFKSIVAKGKIPHIILHSP</v>
      </c>
      <c r="D208" s="4">
        <v>216</v>
      </c>
      <c r="E208" s="1">
        <v>1147</v>
      </c>
      <c r="F208" s="1">
        <v>19</v>
      </c>
      <c r="G208" s="1">
        <v>4</v>
      </c>
      <c r="I208">
        <f t="shared" si="12"/>
        <v>1.7171628312709062</v>
      </c>
      <c r="J208">
        <f t="shared" si="13"/>
        <v>-0.51622529931966887</v>
      </c>
      <c r="K208">
        <f t="shared" si="14"/>
        <v>-0.78346526473781331</v>
      </c>
      <c r="M208">
        <f t="shared" si="15"/>
        <v>0.13915742240447471</v>
      </c>
      <c r="P208" t="s">
        <v>1223</v>
      </c>
      <c r="Q208" s="15" t="s">
        <v>1686</v>
      </c>
    </row>
    <row r="209" spans="1:17">
      <c r="A209" s="2" t="s">
        <v>319</v>
      </c>
      <c r="B209" s="6" t="s">
        <v>882</v>
      </c>
      <c r="C209" s="7" t="str" cm="1">
        <f t="array" ref="C209">_xlfn.LET(
  _xlpm.s, UPPER(B209),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KEFFKSIVARGKIPHIILHSP</v>
      </c>
      <c r="D209" s="4">
        <v>346</v>
      </c>
      <c r="E209" s="1">
        <v>57</v>
      </c>
      <c r="F209" s="1">
        <v>87</v>
      </c>
      <c r="G209" s="1">
        <v>50</v>
      </c>
      <c r="I209">
        <f t="shared" si="12"/>
        <v>0.2088519214002843</v>
      </c>
      <c r="J209">
        <f t="shared" si="13"/>
        <v>-6.008199529572511E-2</v>
      </c>
      <c r="K209">
        <f t="shared" si="14"/>
        <v>0.10882240062839754</v>
      </c>
      <c r="M209">
        <f t="shared" si="15"/>
        <v>8.5864108910985573E-2</v>
      </c>
      <c r="P209" t="s">
        <v>1309</v>
      </c>
      <c r="Q209" s="16" t="s">
        <v>1685</v>
      </c>
    </row>
    <row r="210" spans="1:17">
      <c r="A210" s="2" t="s">
        <v>320</v>
      </c>
      <c r="B210" s="6" t="s">
        <v>883</v>
      </c>
      <c r="C210" s="7" t="str" cm="1">
        <f t="array" ref="C210">_xlfn.LET(
  _xlpm.s, UPPER(B210),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KEFFKSIVAAGKIPHIILHSP</v>
      </c>
      <c r="D210" s="4">
        <v>241</v>
      </c>
      <c r="E210" s="1">
        <v>293</v>
      </c>
      <c r="F210" s="1">
        <v>76</v>
      </c>
      <c r="G210" s="1">
        <v>75</v>
      </c>
      <c r="I210">
        <f t="shared" si="12"/>
        <v>1.0769037422998105</v>
      </c>
      <c r="J210">
        <f t="shared" si="13"/>
        <v>3.8271400584355852E-2</v>
      </c>
      <c r="K210">
        <f t="shared" si="14"/>
        <v>0.44197271590198695</v>
      </c>
      <c r="M210">
        <f t="shared" si="15"/>
        <v>0.51904928626205116</v>
      </c>
      <c r="P210" t="s">
        <v>1313</v>
      </c>
      <c r="Q210" s="16" t="s">
        <v>1685</v>
      </c>
    </row>
    <row r="211" spans="1:17">
      <c r="A211" s="2" t="s">
        <v>321</v>
      </c>
      <c r="B211" s="6" t="s">
        <v>884</v>
      </c>
      <c r="C211" s="7" t="str" cm="1">
        <f t="array" ref="C211">_xlfn.LET(
  _xlpm.s, UPPER(B211),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KEFFKSIVASGKIPHIILHSP</v>
      </c>
      <c r="D211" s="4">
        <v>292</v>
      </c>
      <c r="E211" s="1">
        <v>33</v>
      </c>
      <c r="F211" s="1">
        <v>95</v>
      </c>
      <c r="G211" s="1">
        <v>22</v>
      </c>
      <c r="I211">
        <f t="shared" si="12"/>
        <v>4.5184252950038584E-2</v>
      </c>
      <c r="J211">
        <f t="shared" si="13"/>
        <v>5.1815604718862429E-2</v>
      </c>
      <c r="K211">
        <f t="shared" si="14"/>
        <v>-0.1740316755410567</v>
      </c>
      <c r="M211">
        <f t="shared" si="15"/>
        <v>-2.5677272624051894E-2</v>
      </c>
      <c r="P211" t="s">
        <v>1208</v>
      </c>
      <c r="Q211" s="16" t="s">
        <v>1685</v>
      </c>
    </row>
    <row r="212" spans="1:17">
      <c r="A212" s="2" t="s">
        <v>322</v>
      </c>
      <c r="B212" s="6" t="s">
        <v>885</v>
      </c>
      <c r="C212" s="7" t="str" cm="1">
        <f t="array" ref="C212">_xlfn.LET(
  _xlpm.s, UPPER(B212),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KEFFQNIVAKGKIPHIILHSP</v>
      </c>
      <c r="D212" s="4">
        <v>176</v>
      </c>
      <c r="E212" s="1">
        <v>207</v>
      </c>
      <c r="F212" s="1">
        <v>4</v>
      </c>
      <c r="G212" s="1">
        <v>79</v>
      </c>
      <c r="I212">
        <f t="shared" si="12"/>
        <v>1.0625108421633374</v>
      </c>
      <c r="J212">
        <f t="shared" si="13"/>
        <v>-1.1039778256077546</v>
      </c>
      <c r="K212">
        <f t="shared" si="14"/>
        <v>0.60104291856144698</v>
      </c>
      <c r="M212">
        <f t="shared" si="15"/>
        <v>0.18652531170567657</v>
      </c>
      <c r="P212" t="s">
        <v>1669</v>
      </c>
      <c r="Q212" s="15" t="s">
        <v>1686</v>
      </c>
    </row>
    <row r="213" spans="1:17">
      <c r="A213" s="2" t="s">
        <v>323</v>
      </c>
      <c r="B213" s="6" t="s">
        <v>886</v>
      </c>
      <c r="C213" s="7" t="str" cm="1">
        <f t="array" ref="C213">_xlfn.LET(
  _xlpm.s, UPPER(B213),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KEFFQAIVKRGKIPHIILHSP</v>
      </c>
      <c r="D213" s="4">
        <v>338</v>
      </c>
      <c r="E213" s="1">
        <v>359</v>
      </c>
      <c r="F213" s="1">
        <v>19</v>
      </c>
      <c r="G213" s="1">
        <v>49</v>
      </c>
      <c r="I213">
        <f t="shared" si="12"/>
        <v>1.0182309128212339</v>
      </c>
      <c r="J213">
        <f t="shared" si="13"/>
        <v>-0.71068824844639289</v>
      </c>
      <c r="K213">
        <f t="shared" si="14"/>
        <v>0.11020787483601424</v>
      </c>
      <c r="M213">
        <f t="shared" si="15"/>
        <v>0.13925017973695175</v>
      </c>
      <c r="P213" t="s">
        <v>1502</v>
      </c>
      <c r="Q213" s="16" t="s">
        <v>1685</v>
      </c>
    </row>
    <row r="214" spans="1:17">
      <c r="A214" s="2" t="s">
        <v>324</v>
      </c>
      <c r="B214" s="6" t="s">
        <v>887</v>
      </c>
      <c r="C214" s="7" t="str" cm="1">
        <f t="array" ref="C214">_xlfn.LET(
  _xlpm.s, UPPER(B214),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KEFFHSIVKKGKIPHIILHSP</v>
      </c>
      <c r="D214" s="4">
        <v>125</v>
      </c>
      <c r="E214" s="1">
        <v>57</v>
      </c>
      <c r="F214" s="1">
        <v>50</v>
      </c>
      <c r="G214" s="1">
        <v>346</v>
      </c>
      <c r="I214">
        <f t="shared" si="12"/>
        <v>0.65101800718500447</v>
      </c>
      <c r="J214">
        <f t="shared" si="13"/>
        <v>0.14153484220639534</v>
      </c>
      <c r="K214">
        <f t="shared" si="14"/>
        <v>1.3910945808698756</v>
      </c>
      <c r="M214">
        <f t="shared" si="15"/>
        <v>0.72788247675375839</v>
      </c>
      <c r="P214" t="s">
        <v>1657</v>
      </c>
      <c r="Q214" s="16" t="s">
        <v>1685</v>
      </c>
    </row>
    <row r="215" spans="1:17">
      <c r="A215" s="2" t="s">
        <v>325</v>
      </c>
      <c r="B215" s="6" t="s">
        <v>888</v>
      </c>
      <c r="C215" s="7" t="str" cm="1">
        <f t="array" ref="C215">_xlfn.LET(
  _xlpm.s, UPPER(B215),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KEFFHSIVKSGKIPHIILHSP</v>
      </c>
      <c r="D215" s="4">
        <v>191</v>
      </c>
      <c r="E215" s="1">
        <v>23</v>
      </c>
      <c r="F215" s="1">
        <v>41</v>
      </c>
      <c r="G215" s="1">
        <v>475</v>
      </c>
      <c r="I215">
        <f t="shared" si="12"/>
        <v>7.2747633290434766E-2</v>
      </c>
      <c r="J215">
        <f t="shared" si="13"/>
        <v>-0.12877465964955914</v>
      </c>
      <c r="K215">
        <f t="shared" si="14"/>
        <v>1.3445887374622942</v>
      </c>
      <c r="M215">
        <f t="shared" si="15"/>
        <v>0.42952057036772323</v>
      </c>
      <c r="P215" t="s">
        <v>1571</v>
      </c>
      <c r="Q215" s="16" t="s">
        <v>1685</v>
      </c>
    </row>
    <row r="216" spans="1:17">
      <c r="A216" s="2" t="s">
        <v>326</v>
      </c>
      <c r="B216" s="6" t="s">
        <v>889</v>
      </c>
      <c r="C216" s="7" t="str" cm="1">
        <f t="array" ref="C216">_xlfn.LET(
  _xlpm.s, UPPER(B216),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KEFFRNIVKKGKIPHIILHSP</v>
      </c>
      <c r="D216" s="4">
        <v>125</v>
      </c>
      <c r="E216" s="1">
        <v>31</v>
      </c>
      <c r="F216" s="1">
        <v>112</v>
      </c>
      <c r="G216" s="1">
        <v>21</v>
      </c>
      <c r="I216">
        <f t="shared" si="12"/>
        <v>0.38650484534678575</v>
      </c>
      <c r="J216">
        <f t="shared" si="13"/>
        <v>0.49178286054055814</v>
      </c>
      <c r="K216">
        <f t="shared" si="14"/>
        <v>0.17423777681101815</v>
      </c>
      <c r="M216">
        <f t="shared" si="15"/>
        <v>0.3508418275661207</v>
      </c>
      <c r="P216" t="s">
        <v>1322</v>
      </c>
      <c r="Q216" s="15" t="s">
        <v>1686</v>
      </c>
    </row>
    <row r="217" spans="1:17">
      <c r="A217" s="2" t="s">
        <v>327</v>
      </c>
      <c r="B217" s="6" t="s">
        <v>890</v>
      </c>
      <c r="C217" s="7" t="str" cm="1">
        <f t="array" ref="C217">_xlfn.LET(
  _xlpm.s, UPPER(B217),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KEFFRNIVKSGKIPHIILHSP</v>
      </c>
      <c r="D217" s="4">
        <v>205</v>
      </c>
      <c r="E217" s="1">
        <v>710</v>
      </c>
      <c r="F217" s="1">
        <v>31</v>
      </c>
      <c r="G217" s="1">
        <v>23</v>
      </c>
      <c r="I217">
        <f t="shared" si="12"/>
        <v>1.5315576521838903</v>
      </c>
      <c r="J217">
        <f t="shared" si="13"/>
        <v>-0.28091731634304873</v>
      </c>
      <c r="K217">
        <f t="shared" si="14"/>
        <v>-1.0975299530060489E-3</v>
      </c>
      <c r="M217">
        <f t="shared" si="15"/>
        <v>0.41651426862927848</v>
      </c>
      <c r="P217" t="s">
        <v>1662</v>
      </c>
      <c r="Q217" s="15" t="s">
        <v>1686</v>
      </c>
    </row>
    <row r="218" spans="1:17">
      <c r="A218" s="2" t="s">
        <v>328</v>
      </c>
      <c r="B218" s="6" t="s">
        <v>891</v>
      </c>
      <c r="C218" s="7" t="str" cm="1">
        <f t="array" ref="C218">_xlfn.LET(
  _xlpm.s, UPPER(B218),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KEFFRQIVAKGKIPHIILHSP</v>
      </c>
      <c r="D218" s="4">
        <v>270</v>
      </c>
      <c r="E218" s="1">
        <v>115</v>
      </c>
      <c r="F218" s="1">
        <v>140</v>
      </c>
      <c r="G218" s="1">
        <v>264</v>
      </c>
      <c r="I218">
        <f t="shared" si="12"/>
        <v>0.62138724071519391</v>
      </c>
      <c r="J218">
        <f t="shared" si="13"/>
        <v>0.25423912239768365</v>
      </c>
      <c r="K218">
        <f t="shared" si="14"/>
        <v>0.93916865779599901</v>
      </c>
      <c r="M218">
        <f t="shared" si="15"/>
        <v>0.60493167363629219</v>
      </c>
      <c r="P218" t="s">
        <v>1524</v>
      </c>
      <c r="Q218" s="16" t="s">
        <v>1685</v>
      </c>
    </row>
    <row r="219" spans="1:17">
      <c r="A219" s="2" t="s">
        <v>329</v>
      </c>
      <c r="B219" s="6" t="s">
        <v>892</v>
      </c>
      <c r="C219" s="7" t="str" cm="1">
        <f t="array" ref="C219">_xlfn.LET(
  _xlpm.s, UPPER(B219),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KEFFREIVKKGKIPHIILHSP</v>
      </c>
      <c r="D219" s="4">
        <v>141</v>
      </c>
      <c r="E219" s="1">
        <v>688</v>
      </c>
      <c r="F219" s="1">
        <v>30</v>
      </c>
      <c r="G219" s="1">
        <v>1</v>
      </c>
      <c r="I219">
        <f t="shared" si="12"/>
        <v>1.680422490100701</v>
      </c>
      <c r="J219">
        <f t="shared" si="13"/>
        <v>-0.13262300705728447</v>
      </c>
      <c r="K219">
        <f t="shared" si="14"/>
        <v>-1.2002906175702248</v>
      </c>
      <c r="M219">
        <f t="shared" si="15"/>
        <v>0.11583628849106391</v>
      </c>
      <c r="P219" t="s">
        <v>1141</v>
      </c>
      <c r="Q219" s="16" t="s">
        <v>1685</v>
      </c>
    </row>
    <row r="220" spans="1:17">
      <c r="A220" s="2" t="s">
        <v>330</v>
      </c>
      <c r="B220" s="6" t="s">
        <v>893</v>
      </c>
      <c r="C220" s="7" t="str" cm="1">
        <f t="array" ref="C220">_xlfn.LET(
  _xlpm.s, UPPER(B220),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KEFFRAIVARGKIPHIILHSP</v>
      </c>
      <c r="D220" s="4">
        <v>559</v>
      </c>
      <c r="E220" s="1">
        <v>2</v>
      </c>
      <c r="F220" s="1">
        <v>276</v>
      </c>
      <c r="G220" s="1">
        <v>29</v>
      </c>
      <c r="I220">
        <f t="shared" si="12"/>
        <v>-1.4543286477018724</v>
      </c>
      <c r="J220">
        <f t="shared" si="13"/>
        <v>0.23297212505722736</v>
      </c>
      <c r="K220">
        <f t="shared" si="14"/>
        <v>-0.33608531490231197</v>
      </c>
      <c r="M220">
        <f t="shared" si="15"/>
        <v>-0.51914727918231895</v>
      </c>
      <c r="P220" t="s">
        <v>1140</v>
      </c>
      <c r="Q220" s="16" t="s">
        <v>1685</v>
      </c>
    </row>
    <row r="221" spans="1:17">
      <c r="A221" s="2" t="s">
        <v>331</v>
      </c>
      <c r="B221" s="6" t="s">
        <v>894</v>
      </c>
      <c r="C221" s="7" t="str" cm="1">
        <f t="array" ref="C221">_xlfn.LET(
  _xlpm.s, UPPER(B221),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KEFFRAIVASGKIPHIILHSP</v>
      </c>
      <c r="D221" s="4">
        <v>494</v>
      </c>
      <c r="E221" s="1">
        <v>285</v>
      </c>
      <c r="F221" s="1">
        <v>6</v>
      </c>
      <c r="G221" s="1">
        <v>22</v>
      </c>
      <c r="I221">
        <f t="shared" si="12"/>
        <v>0.75317107560543273</v>
      </c>
      <c r="J221">
        <f t="shared" si="13"/>
        <v>-1.3761008476615704</v>
      </c>
      <c r="K221">
        <f t="shared" si="14"/>
        <v>-0.40237577301628535</v>
      </c>
      <c r="M221">
        <f t="shared" si="15"/>
        <v>-0.34176851502414102</v>
      </c>
      <c r="P221" t="s">
        <v>1300</v>
      </c>
      <c r="Q221" s="16" t="s">
        <v>1685</v>
      </c>
    </row>
    <row r="222" spans="1:17">
      <c r="A222" s="2" t="s">
        <v>332</v>
      </c>
      <c r="B222" s="6" t="s">
        <v>895</v>
      </c>
      <c r="C222" s="7" t="str" cm="1">
        <f t="array" ref="C222">_xlfn.LET(
  _xlpm.s, UPPER(B222),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KEFFRSIVARGKIPHIILHSP</v>
      </c>
      <c r="D222" s="4">
        <v>557</v>
      </c>
      <c r="E222" s="1">
        <v>44</v>
      </c>
      <c r="F222" s="1">
        <v>31</v>
      </c>
      <c r="G222" s="1">
        <v>54</v>
      </c>
      <c r="I222">
        <f t="shared" si="12"/>
        <v>-0.110349354166972</v>
      </c>
      <c r="J222">
        <f t="shared" si="13"/>
        <v>-0.71501865046102331</v>
      </c>
      <c r="K222">
        <f t="shared" si="14"/>
        <v>-6.4532940265605188E-2</v>
      </c>
      <c r="M222">
        <f t="shared" si="15"/>
        <v>-0.29663364829786681</v>
      </c>
      <c r="P222" t="s">
        <v>1519</v>
      </c>
      <c r="Q222" s="16" t="s">
        <v>1685</v>
      </c>
    </row>
    <row r="223" spans="1:17">
      <c r="A223" s="2" t="s">
        <v>333</v>
      </c>
      <c r="B223" s="6" t="s">
        <v>896</v>
      </c>
      <c r="C223" s="7" t="str" cm="1">
        <f t="array" ref="C223">_xlfn.LET(
  _xlpm.s, UPPER(B223),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KEFFRSIVASGKIPHIILHSP</v>
      </c>
      <c r="D223" s="4">
        <v>435</v>
      </c>
      <c r="E223" s="1">
        <v>5</v>
      </c>
      <c r="F223" s="1">
        <v>11</v>
      </c>
      <c r="G223" s="1">
        <v>17</v>
      </c>
      <c r="I223">
        <f t="shared" si="12"/>
        <v>-0.947466088098049</v>
      </c>
      <c r="J223">
        <f t="shared" si="13"/>
        <v>-1.0576217209179792</v>
      </c>
      <c r="K223">
        <f t="shared" si="14"/>
        <v>-0.45911184049120801</v>
      </c>
      <c r="M223">
        <f t="shared" si="15"/>
        <v>-0.82139988316907875</v>
      </c>
      <c r="P223" t="s">
        <v>1181</v>
      </c>
      <c r="Q223" s="15" t="s">
        <v>1686</v>
      </c>
    </row>
    <row r="224" spans="1:17">
      <c r="A224" s="2" t="s">
        <v>334</v>
      </c>
      <c r="B224" s="6" t="s">
        <v>897</v>
      </c>
      <c r="C224" s="7" t="str" cm="1">
        <f t="array" ref="C224">_xlfn.LET(
  _xlpm.s, UPPER(B224),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KEFFLSIVKSGKIPHIILHSP</v>
      </c>
      <c r="D224" s="4">
        <v>191</v>
      </c>
      <c r="E224" s="1">
        <v>81</v>
      </c>
      <c r="F224" s="1">
        <v>69</v>
      </c>
      <c r="G224" s="1">
        <v>214</v>
      </c>
      <c r="I224">
        <f t="shared" si="12"/>
        <v>0.61950481615149167</v>
      </c>
      <c r="J224">
        <f t="shared" si="13"/>
        <v>9.7290574367960736E-2</v>
      </c>
      <c r="K224">
        <f t="shared" si="14"/>
        <v>0.99830890118661864</v>
      </c>
      <c r="M224">
        <f t="shared" si="15"/>
        <v>0.57170143056869038</v>
      </c>
      <c r="P224" t="s">
        <v>1481</v>
      </c>
      <c r="Q224" s="16" t="s">
        <v>1685</v>
      </c>
    </row>
    <row r="225" spans="1:17">
      <c r="A225" s="2" t="s">
        <v>335</v>
      </c>
      <c r="B225" s="6" t="s">
        <v>898</v>
      </c>
      <c r="C225" s="7" t="str" cm="1">
        <f t="array" ref="C225">_xlfn.LET(
  _xlpm.s, UPPER(B225),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KEFFDSIVAKGKIPHIILHSP</v>
      </c>
      <c r="D225" s="4">
        <v>305</v>
      </c>
      <c r="E225" s="1">
        <v>31</v>
      </c>
      <c r="F225" s="1">
        <v>39</v>
      </c>
      <c r="G225" s="1">
        <v>23</v>
      </c>
      <c r="I225">
        <f t="shared" si="12"/>
        <v>-8.8498099194367352E-4</v>
      </c>
      <c r="J225">
        <f t="shared" si="13"/>
        <v>-0.35376038144185373</v>
      </c>
      <c r="K225">
        <f t="shared" si="14"/>
        <v>-0.17364350824403751</v>
      </c>
      <c r="M225">
        <f t="shared" si="15"/>
        <v>-0.17609629022594497</v>
      </c>
      <c r="P225" t="s">
        <v>1121</v>
      </c>
      <c r="Q225" s="16" t="s">
        <v>1685</v>
      </c>
    </row>
    <row r="226" spans="1:17">
      <c r="A226" s="2" t="s">
        <v>336</v>
      </c>
      <c r="B226" s="6" t="s">
        <v>899</v>
      </c>
      <c r="C226" s="7" t="str" cm="1">
        <f t="array" ref="C226">_xlfn.LET(
  _xlpm.s, UPPER(B226),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KDLFKAIVARGKIPHIILHSP</v>
      </c>
      <c r="D226" s="4">
        <v>839</v>
      </c>
      <c r="E226" s="1">
        <v>4</v>
      </c>
      <c r="F226" s="1">
        <v>45</v>
      </c>
      <c r="G226" s="1">
        <v>12</v>
      </c>
      <c r="I226">
        <f t="shared" si="12"/>
        <v>-1.3296488049801685</v>
      </c>
      <c r="J226">
        <f t="shared" si="13"/>
        <v>-0.73107459617492376</v>
      </c>
      <c r="K226">
        <f t="shared" si="14"/>
        <v>-0.89565221969592024</v>
      </c>
      <c r="M226">
        <f t="shared" si="15"/>
        <v>-0.98545854028367075</v>
      </c>
      <c r="P226" t="s">
        <v>1119</v>
      </c>
      <c r="Q226" s="16" t="s">
        <v>1685</v>
      </c>
    </row>
    <row r="227" spans="1:17">
      <c r="A227" s="2" t="s">
        <v>337</v>
      </c>
      <c r="B227" s="6" t="s">
        <v>900</v>
      </c>
      <c r="C227" s="7" t="str" cm="1">
        <f t="array" ref="C227">_xlfn.LET(
  _xlpm.s, UPPER(B227),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KDFFKEIVARGKIPHIILHSP</v>
      </c>
      <c r="D227" s="4">
        <v>165</v>
      </c>
      <c r="E227" s="1">
        <v>56</v>
      </c>
      <c r="F227" s="1">
        <v>319</v>
      </c>
      <c r="G227" s="1">
        <v>45</v>
      </c>
      <c r="I227">
        <f t="shared" si="12"/>
        <v>0.52275724731286366</v>
      </c>
      <c r="J227">
        <f t="shared" si="13"/>
        <v>0.82578158972170779</v>
      </c>
      <c r="K227">
        <f t="shared" si="14"/>
        <v>0.38465706464659266</v>
      </c>
      <c r="M227">
        <f t="shared" si="15"/>
        <v>0.57773196722705478</v>
      </c>
      <c r="P227" t="s">
        <v>1602</v>
      </c>
      <c r="Q227" s="16" t="s">
        <v>1685</v>
      </c>
    </row>
    <row r="228" spans="1:17">
      <c r="A228" s="2" t="s">
        <v>338</v>
      </c>
      <c r="B228" s="6" t="s">
        <v>901</v>
      </c>
      <c r="C228" s="7" t="str" cm="1">
        <f t="array" ref="C228">_xlfn.LET(
  _xlpm.s, UPPER(B228),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KDFFKDIVKKGKIPHIILHSP</v>
      </c>
      <c r="D228" s="4">
        <v>91</v>
      </c>
      <c r="E228" s="1">
        <v>361</v>
      </c>
      <c r="F228" s="1">
        <v>10</v>
      </c>
      <c r="G228" s="1">
        <v>15</v>
      </c>
      <c r="I228">
        <f t="shared" si="12"/>
        <v>1.5905189741051338</v>
      </c>
      <c r="J228">
        <f t="shared" si="13"/>
        <v>-0.4195665414426607</v>
      </c>
      <c r="K228">
        <f t="shared" si="14"/>
        <v>0.1659783618197429</v>
      </c>
      <c r="M228">
        <f t="shared" si="15"/>
        <v>0.44564359816073873</v>
      </c>
      <c r="P228" t="s">
        <v>1303</v>
      </c>
      <c r="Q228" s="16" t="s">
        <v>1685</v>
      </c>
    </row>
    <row r="229" spans="1:17">
      <c r="A229" s="2" t="s">
        <v>339</v>
      </c>
      <c r="B229" s="6" t="s">
        <v>902</v>
      </c>
      <c r="C229" s="7" t="str" cm="1">
        <f t="array" ref="C229">_xlfn.LET(
  _xlpm.s, UPPER(B229),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KDFFKSIVAKGKIPHIILHSP</v>
      </c>
      <c r="D229" s="4">
        <v>208</v>
      </c>
      <c r="E229" s="1">
        <v>14</v>
      </c>
      <c r="F229" s="1">
        <v>64</v>
      </c>
      <c r="G229" s="1">
        <v>171</v>
      </c>
      <c r="I229">
        <f t="shared" si="12"/>
        <v>-0.17988213476395409</v>
      </c>
      <c r="J229">
        <f t="shared" si="13"/>
        <v>2.7591489899558619E-2</v>
      </c>
      <c r="K229">
        <f t="shared" si="14"/>
        <v>0.86386127051454753</v>
      </c>
      <c r="M229">
        <f t="shared" si="15"/>
        <v>0.23719020855005069</v>
      </c>
      <c r="P229" t="s">
        <v>1320</v>
      </c>
      <c r="Q229" s="15" t="s">
        <v>1686</v>
      </c>
    </row>
    <row r="230" spans="1:17">
      <c r="A230" s="2" t="s">
        <v>340</v>
      </c>
      <c r="B230" s="6" t="s">
        <v>903</v>
      </c>
      <c r="C230" s="7" t="str" cm="1">
        <f t="array" ref="C230">_xlfn.LET(
  _xlpm.s, UPPER(B230),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KDFFKSIVARGKIPHIILHSP</v>
      </c>
      <c r="D230" s="4">
        <v>305</v>
      </c>
      <c r="E230" s="1">
        <v>95</v>
      </c>
      <c r="F230" s="1">
        <v>254</v>
      </c>
      <c r="G230" s="1">
        <v>18</v>
      </c>
      <c r="I230">
        <f t="shared" si="12"/>
        <v>0.48547693046263141</v>
      </c>
      <c r="J230">
        <f t="shared" si="13"/>
        <v>0.46000872815158517</v>
      </c>
      <c r="K230">
        <f t="shared" si="14"/>
        <v>-0.28009883915832434</v>
      </c>
      <c r="M230">
        <f t="shared" si="15"/>
        <v>0.22179560648529742</v>
      </c>
      <c r="P230" t="s">
        <v>1291</v>
      </c>
      <c r="Q230" s="16" t="s">
        <v>1685</v>
      </c>
    </row>
    <row r="231" spans="1:17">
      <c r="A231" s="2" t="s">
        <v>341</v>
      </c>
      <c r="B231" s="6" t="s">
        <v>904</v>
      </c>
      <c r="C231" s="7" t="str" cm="1">
        <f t="array" ref="C231">_xlfn.LET(
  _xlpm.s, UPPER(B231),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KDFFRQIVAKGKIPHIILHSP</v>
      </c>
      <c r="D231" s="4">
        <v>278</v>
      </c>
      <c r="E231" s="1">
        <v>14</v>
      </c>
      <c r="F231" s="1">
        <v>69</v>
      </c>
      <c r="G231" s="1">
        <v>23</v>
      </c>
      <c r="I231">
        <f t="shared" si="12"/>
        <v>-0.3058635957192688</v>
      </c>
      <c r="J231">
        <f t="shared" si="13"/>
        <v>-6.5720854302387943E-2</v>
      </c>
      <c r="K231">
        <f t="shared" si="14"/>
        <v>-0.13338846481532807</v>
      </c>
      <c r="M231">
        <f t="shared" si="15"/>
        <v>-0.16832430494566161</v>
      </c>
      <c r="P231" t="s">
        <v>1160</v>
      </c>
      <c r="Q231" s="14" t="s">
        <v>1685</v>
      </c>
    </row>
    <row r="232" spans="1:17">
      <c r="A232" s="2" t="s">
        <v>342</v>
      </c>
      <c r="B232" s="6" t="s">
        <v>905</v>
      </c>
      <c r="C232" s="7" t="str" cm="1">
        <f t="array" ref="C232">_xlfn.LET(
  _xlpm.s, UPPER(B232),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KAKMKEIAKSGKIPHIILHSP</v>
      </c>
      <c r="D232" s="4">
        <v>458</v>
      </c>
      <c r="E232" s="1">
        <v>19</v>
      </c>
      <c r="F232" s="1">
        <v>7</v>
      </c>
      <c r="G232" s="1">
        <v>48</v>
      </c>
      <c r="I232">
        <f t="shared" si="12"/>
        <v>-0.39005871253047086</v>
      </c>
      <c r="J232">
        <f t="shared" si="13"/>
        <v>-1.2762925871111794</v>
      </c>
      <c r="K232">
        <f t="shared" si="14"/>
        <v>-3.0695745543126707E-2</v>
      </c>
      <c r="M232">
        <f t="shared" si="15"/>
        <v>-0.5656823483949257</v>
      </c>
      <c r="P232" t="s">
        <v>1149</v>
      </c>
      <c r="Q232" s="16" t="s">
        <v>1685</v>
      </c>
    </row>
    <row r="233" spans="1:17">
      <c r="A233" s="2" t="s">
        <v>343</v>
      </c>
      <c r="B233" s="6" t="s">
        <v>906</v>
      </c>
      <c r="C233" s="7" t="str" cm="1">
        <f t="array" ref="C233">_xlfn.LET(
  _xlpm.s, UPPER(B233),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KAKMKEIAASGKIPHIILHSP</v>
      </c>
      <c r="D233" s="4">
        <v>894</v>
      </c>
      <c r="E233" s="1">
        <v>960</v>
      </c>
      <c r="F233" s="1">
        <v>76</v>
      </c>
      <c r="G233" s="1">
        <v>41</v>
      </c>
      <c r="I233">
        <f t="shared" si="12"/>
        <v>1.0229868787642202</v>
      </c>
      <c r="J233">
        <f t="shared" si="13"/>
        <v>-0.53104907563669335</v>
      </c>
      <c r="K233">
        <f t="shared" si="14"/>
        <v>-0.38962516699102689</v>
      </c>
      <c r="M233">
        <f t="shared" si="15"/>
        <v>3.4104212045499994E-2</v>
      </c>
      <c r="P233" t="s">
        <v>1479</v>
      </c>
      <c r="Q233" s="16" t="s">
        <v>1685</v>
      </c>
    </row>
    <row r="234" spans="1:17">
      <c r="A234" s="2" t="s">
        <v>344</v>
      </c>
      <c r="B234" s="6" t="s">
        <v>907</v>
      </c>
      <c r="C234" s="7" t="str" cm="1">
        <f t="array" ref="C234">_xlfn.LET(
  _xlpm.s, UPPER(B234),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KAKMKEIVASGKIPHIILHSP</v>
      </c>
      <c r="D234" s="4">
        <v>823</v>
      </c>
      <c r="E234" s="1">
        <v>32</v>
      </c>
      <c r="F234" s="1">
        <v>192</v>
      </c>
      <c r="G234" s="1">
        <v>11</v>
      </c>
      <c r="I234">
        <f t="shared" si="12"/>
        <v>-0.41819669237179435</v>
      </c>
      <c r="J234">
        <f t="shared" si="13"/>
        <v>-9.2623755630287352E-2</v>
      </c>
      <c r="K234">
        <f t="shared" si="14"/>
        <v>-0.92507865496888941</v>
      </c>
      <c r="M234">
        <f t="shared" si="15"/>
        <v>-0.47863303432365706</v>
      </c>
      <c r="P234" t="s">
        <v>1199</v>
      </c>
      <c r="Q234" s="16" t="s">
        <v>1685</v>
      </c>
    </row>
    <row r="235" spans="1:17">
      <c r="A235" s="2" t="s">
        <v>345</v>
      </c>
      <c r="B235" s="6" t="s">
        <v>908</v>
      </c>
      <c r="C235" s="7" t="str" cm="1">
        <f t="array" ref="C235">_xlfn.LET(
  _xlpm.s, UPPER(B235),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KAKMREIAASGKIPHIILHSP</v>
      </c>
      <c r="D235" s="4">
        <v>1360</v>
      </c>
      <c r="E235" s="1">
        <v>38</v>
      </c>
      <c r="F235" s="1">
        <v>119</v>
      </c>
      <c r="G235" s="1">
        <v>296</v>
      </c>
      <c r="I235">
        <f t="shared" si="12"/>
        <v>-0.56170214723283785</v>
      </c>
      <c r="J235">
        <f t="shared" si="13"/>
        <v>-0.51851709609925389</v>
      </c>
      <c r="K235">
        <f t="shared" si="14"/>
        <v>0.28668129777387641</v>
      </c>
      <c r="M235">
        <f t="shared" si="15"/>
        <v>-0.26451264851940515</v>
      </c>
      <c r="P235" t="s">
        <v>1663</v>
      </c>
      <c r="Q235" s="15" t="s">
        <v>1686</v>
      </c>
    </row>
    <row r="236" spans="1:17">
      <c r="A236" s="2" t="s">
        <v>346</v>
      </c>
      <c r="B236" s="6" t="s">
        <v>909</v>
      </c>
      <c r="C236" s="7" t="str" cm="1">
        <f t="array" ref="C236">_xlfn.LET(
  _xlpm.s, UPPER(B236),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KAKFKEIAAAGKIPHIILHSP</v>
      </c>
      <c r="D236" s="4">
        <v>507</v>
      </c>
      <c r="E236" s="1">
        <v>187</v>
      </c>
      <c r="F236" s="1">
        <v>6</v>
      </c>
      <c r="G236" s="1">
        <v>14</v>
      </c>
      <c r="I236">
        <f t="shared" si="12"/>
        <v>0.55888681172373245</v>
      </c>
      <c r="J236">
        <f t="shared" si="13"/>
        <v>-1.3873818580712594</v>
      </c>
      <c r="K236">
        <f t="shared" si="14"/>
        <v>-0.60995142856994256</v>
      </c>
      <c r="M236">
        <f t="shared" si="15"/>
        <v>-0.47948215830582314</v>
      </c>
      <c r="P236" t="s">
        <v>1281</v>
      </c>
      <c r="Q236" s="16" t="s">
        <v>1685</v>
      </c>
    </row>
    <row r="237" spans="1:17">
      <c r="A237" s="2" t="s">
        <v>347</v>
      </c>
      <c r="B237" s="6" t="s">
        <v>910</v>
      </c>
      <c r="C237" s="7" t="str" cm="1">
        <f t="array" ref="C237">_xlfn.LET(
  _xlpm.s, UPPER(B237),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KAKFKAIAASGKIPHIILHSP</v>
      </c>
      <c r="D237" s="4">
        <v>864</v>
      </c>
      <c r="E237" s="1">
        <v>2225</v>
      </c>
      <c r="F237" s="1">
        <v>5</v>
      </c>
      <c r="G237" s="1">
        <v>52</v>
      </c>
      <c r="I237">
        <f t="shared" si="12"/>
        <v>1.4028694373586266</v>
      </c>
      <c r="J237">
        <f t="shared" si="13"/>
        <v>-1.6980688872644416</v>
      </c>
      <c r="K237">
        <f t="shared" si="14"/>
        <v>-0.27158190375893887</v>
      </c>
      <c r="M237">
        <f t="shared" si="15"/>
        <v>-0.18892711788825131</v>
      </c>
      <c r="P237" t="s">
        <v>1491</v>
      </c>
      <c r="Q237" s="16" t="s">
        <v>1685</v>
      </c>
    </row>
    <row r="238" spans="1:17">
      <c r="A238" s="2" t="s">
        <v>348</v>
      </c>
      <c r="B238" s="6" t="s">
        <v>911</v>
      </c>
      <c r="C238" s="7" t="str" cm="1">
        <f t="array" ref="C238">_xlfn.LET(
  _xlpm.s, UPPER(B238),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KATMKEIAKSGKIPHIILHSP</v>
      </c>
      <c r="D238" s="4">
        <v>474</v>
      </c>
      <c r="E238" s="1">
        <v>6</v>
      </c>
      <c r="F238" s="1">
        <v>276</v>
      </c>
      <c r="G238" s="1">
        <v>13</v>
      </c>
      <c r="I238">
        <f t="shared" si="12"/>
        <v>-0.90557392676987192</v>
      </c>
      <c r="J238">
        <f t="shared" si="13"/>
        <v>0.30460559126956555</v>
      </c>
      <c r="K238">
        <f t="shared" si="14"/>
        <v>-0.61290649428209298</v>
      </c>
      <c r="M238">
        <f t="shared" si="15"/>
        <v>-0.40462494326079979</v>
      </c>
      <c r="P238" t="s">
        <v>1357</v>
      </c>
      <c r="Q238" s="16" t="s">
        <v>1685</v>
      </c>
    </row>
    <row r="239" spans="1:17">
      <c r="A239" s="2" t="s">
        <v>349</v>
      </c>
      <c r="B239" s="6" t="s">
        <v>912</v>
      </c>
      <c r="C239" s="7" t="str" cm="1">
        <f t="array" ref="C239">_xlfn.LET(
  _xlpm.s, UPPER(B239),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KATMKEIAASGKIPHIILHSP</v>
      </c>
      <c r="D239" s="4">
        <v>1019</v>
      </c>
      <c r="E239" s="1">
        <v>23</v>
      </c>
      <c r="F239" s="1">
        <v>14</v>
      </c>
      <c r="G239" s="1">
        <v>37</v>
      </c>
      <c r="I239">
        <f t="shared" si="12"/>
        <v>-0.65439318346826414</v>
      </c>
      <c r="J239">
        <f t="shared" si="13"/>
        <v>-1.3225712974497554</v>
      </c>
      <c r="K239">
        <f t="shared" si="14"/>
        <v>-0.49104396485427615</v>
      </c>
      <c r="M239">
        <f t="shared" si="15"/>
        <v>-0.82266948192409861</v>
      </c>
      <c r="P239" t="s">
        <v>1270</v>
      </c>
      <c r="Q239" s="16" t="s">
        <v>1685</v>
      </c>
    </row>
    <row r="240" spans="1:17">
      <c r="A240" s="2" t="s">
        <v>350</v>
      </c>
      <c r="B240" s="6" t="s">
        <v>913</v>
      </c>
      <c r="C240" s="7" t="str" cm="1">
        <f t="array" ref="C240">_xlfn.LET(
  _xlpm.s, UPPER(B240),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KATMKEIASSGKIPHIILHSP</v>
      </c>
      <c r="D240" s="4">
        <v>616</v>
      </c>
      <c r="E240" s="1">
        <v>10</v>
      </c>
      <c r="F240" s="1">
        <v>13</v>
      </c>
      <c r="G240" s="1">
        <v>31</v>
      </c>
      <c r="I240">
        <f t="shared" si="12"/>
        <v>-0.79752754764385614</v>
      </c>
      <c r="J240">
        <f t="shared" si="13"/>
        <v>-1.1361625089791558</v>
      </c>
      <c r="K240">
        <f t="shared" si="14"/>
        <v>-0.34929052324499743</v>
      </c>
      <c r="M240">
        <f t="shared" si="15"/>
        <v>-0.76099352662266984</v>
      </c>
      <c r="P240" t="s">
        <v>1305</v>
      </c>
      <c r="Q240" s="15" t="s">
        <v>1686</v>
      </c>
    </row>
    <row r="241" spans="1:17">
      <c r="A241" s="2" t="s">
        <v>351</v>
      </c>
      <c r="B241" s="6" t="s">
        <v>914</v>
      </c>
      <c r="C241" s="7" t="str" cm="1">
        <f t="array" ref="C241">_xlfn.LET(
  _xlpm.s, UPPER(B241),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KATMKEIVASGKIPHIILHSP</v>
      </c>
      <c r="D241" s="4">
        <v>712</v>
      </c>
      <c r="E241" s="1">
        <v>31</v>
      </c>
      <c r="F241" s="1">
        <v>40</v>
      </c>
      <c r="G241" s="1">
        <v>55</v>
      </c>
      <c r="I241">
        <f t="shared" si="12"/>
        <v>-0.36906513528201423</v>
      </c>
      <c r="J241">
        <f t="shared" si="13"/>
        <v>-0.71094515143046111</v>
      </c>
      <c r="K241">
        <f t="shared" si="14"/>
        <v>-0.16318880905745714</v>
      </c>
      <c r="M241">
        <f t="shared" si="15"/>
        <v>-0.41439969858997744</v>
      </c>
      <c r="P241" t="s">
        <v>1593</v>
      </c>
      <c r="Q241" s="16" t="s">
        <v>1685</v>
      </c>
    </row>
    <row r="242" spans="1:17">
      <c r="A242" s="2" t="s">
        <v>352</v>
      </c>
      <c r="B242" s="6" t="s">
        <v>915</v>
      </c>
      <c r="C242" s="7" t="str" cm="1">
        <f t="array" ref="C242">_xlfn.LET(
  _xlpm.s, UPPER(B242),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KATLKQIAASGKIPHIILHSP</v>
      </c>
      <c r="D242" s="4">
        <v>1030</v>
      </c>
      <c r="E242" s="1">
        <v>84</v>
      </c>
      <c r="F242" s="1">
        <v>1</v>
      </c>
      <c r="G242" s="1">
        <v>6</v>
      </c>
      <c r="I242">
        <f t="shared" si="12"/>
        <v>-9.650477412272096E-2</v>
      </c>
      <c r="J242">
        <f t="shared" si="13"/>
        <v>-2.4733623738267392</v>
      </c>
      <c r="K242">
        <f t="shared" si="14"/>
        <v>-1.2857574792363733</v>
      </c>
      <c r="M242">
        <f t="shared" si="15"/>
        <v>-1.2852082090619446</v>
      </c>
      <c r="P242" t="s">
        <v>1649</v>
      </c>
      <c r="Q242" s="15" t="s">
        <v>1686</v>
      </c>
    </row>
    <row r="243" spans="1:17">
      <c r="A243" s="2" t="s">
        <v>353</v>
      </c>
      <c r="B243" s="6" t="s">
        <v>916</v>
      </c>
      <c r="C243" s="7" t="str" cm="1">
        <f t="array" ref="C243">_xlfn.LET(
  _xlpm.s, UPPER(B243),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KATLKEIAASGKIPHIILHSP</v>
      </c>
      <c r="D243" s="4">
        <v>790</v>
      </c>
      <c r="E243" s="1">
        <v>3</v>
      </c>
      <c r="F243" s="1">
        <v>42</v>
      </c>
      <c r="G243" s="1">
        <v>27</v>
      </c>
      <c r="I243">
        <f t="shared" si="12"/>
        <v>-1.4284526720502098</v>
      </c>
      <c r="J243">
        <f t="shared" si="13"/>
        <v>-0.7349029500141081</v>
      </c>
      <c r="K243">
        <f t="shared" si="14"/>
        <v>-0.51733483204629871</v>
      </c>
      <c r="M243">
        <f t="shared" si="15"/>
        <v>-0.89356348470353897</v>
      </c>
      <c r="P243" t="s">
        <v>1445</v>
      </c>
      <c r="Q243" s="15" t="s">
        <v>1686</v>
      </c>
    </row>
    <row r="244" spans="1:17">
      <c r="A244" s="2" t="s">
        <v>354</v>
      </c>
      <c r="B244" s="6" t="s">
        <v>917</v>
      </c>
      <c r="C244" s="7" t="str" cm="1">
        <f t="array" ref="C244">_xlfn.LET(
  _xlpm.s, UPPER(B244),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KATFKEIAASGKIPHIILHSP</v>
      </c>
      <c r="D244" s="4">
        <v>666</v>
      </c>
      <c r="E244" s="1">
        <v>71</v>
      </c>
      <c r="F244" s="1">
        <v>20</v>
      </c>
      <c r="G244" s="1">
        <v>312</v>
      </c>
      <c r="I244">
        <f t="shared" si="12"/>
        <v>1.9837284069343708E-2</v>
      </c>
      <c r="J244">
        <f t="shared" si="13"/>
        <v>-0.98296938262788702</v>
      </c>
      <c r="K244">
        <f t="shared" si="14"/>
        <v>0.61960885993329695</v>
      </c>
      <c r="M244">
        <f t="shared" si="15"/>
        <v>-0.11450774620841546</v>
      </c>
      <c r="P244" t="s">
        <v>1490</v>
      </c>
      <c r="Q244" s="16" t="s">
        <v>1685</v>
      </c>
    </row>
    <row r="245" spans="1:17">
      <c r="A245" s="2" t="s">
        <v>355</v>
      </c>
      <c r="B245" s="6" t="s">
        <v>918</v>
      </c>
      <c r="C245" s="7" t="str" cm="1">
        <f t="array" ref="C245">_xlfn.LET(
  _xlpm.s, UPPER(B245),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KAQMKEIADSGKIPHIILHSP</v>
      </c>
      <c r="D245" s="4">
        <v>659</v>
      </c>
      <c r="E245" s="1">
        <v>165</v>
      </c>
      <c r="F245" s="1">
        <v>21</v>
      </c>
      <c r="G245" s="1">
        <v>15</v>
      </c>
      <c r="I245">
        <f t="shared" si="12"/>
        <v>0.39065169414046585</v>
      </c>
      <c r="J245">
        <f t="shared" si="13"/>
        <v>-0.95719126898165763</v>
      </c>
      <c r="K245">
        <f t="shared" si="14"/>
        <v>-0.69386566045317344</v>
      </c>
      <c r="M245">
        <f t="shared" si="15"/>
        <v>-0.42013507843145509</v>
      </c>
      <c r="P245" t="s">
        <v>1315</v>
      </c>
      <c r="Q245" s="16" t="s">
        <v>1685</v>
      </c>
    </row>
    <row r="246" spans="1:17">
      <c r="A246" s="2" t="s">
        <v>356</v>
      </c>
      <c r="B246" s="6" t="s">
        <v>919</v>
      </c>
      <c r="C246" s="7" t="str" cm="1">
        <f t="array" ref="C246">_xlfn.LET(
  _xlpm.s, UPPER(B246),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KARMKEIAKSGKIPHIILHSP</v>
      </c>
      <c r="D246" s="4">
        <v>690</v>
      </c>
      <c r="E246" s="1">
        <v>29</v>
      </c>
      <c r="F246" s="1">
        <v>40</v>
      </c>
      <c r="G246" s="1">
        <v>1094</v>
      </c>
      <c r="I246">
        <f t="shared" si="12"/>
        <v>-0.38439792831772968</v>
      </c>
      <c r="J246">
        <f t="shared" si="13"/>
        <v>-0.69731424853085999</v>
      </c>
      <c r="K246">
        <f t="shared" si="14"/>
        <v>1.149096726345312</v>
      </c>
      <c r="M246">
        <f t="shared" si="15"/>
        <v>2.2461516498907486E-2</v>
      </c>
      <c r="P246" t="s">
        <v>1520</v>
      </c>
      <c r="Q246" s="16" t="s">
        <v>1685</v>
      </c>
    </row>
    <row r="247" spans="1:17">
      <c r="A247" s="2" t="s">
        <v>357</v>
      </c>
      <c r="B247" s="6" t="s">
        <v>920</v>
      </c>
      <c r="C247" s="7" t="str" cm="1">
        <f t="array" ref="C247">_xlfn.LET(
  _xlpm.s, UPPER(B247),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KARMKEIANSGKIPHIILHSP</v>
      </c>
      <c r="D247" s="4">
        <v>766</v>
      </c>
      <c r="E247" s="1">
        <v>66</v>
      </c>
      <c r="F247" s="1">
        <v>36</v>
      </c>
      <c r="G247" s="1">
        <v>124</v>
      </c>
      <c r="I247">
        <f t="shared" si="12"/>
        <v>-7.2631669570165869E-2</v>
      </c>
      <c r="J247">
        <f t="shared" si="13"/>
        <v>-0.78845141798688367</v>
      </c>
      <c r="K247">
        <f t="shared" si="14"/>
        <v>0.15812141061478646</v>
      </c>
      <c r="M247">
        <f t="shared" si="15"/>
        <v>-0.23432055898075435</v>
      </c>
      <c r="P247" t="s">
        <v>1311</v>
      </c>
      <c r="Q247" s="16" t="s">
        <v>1685</v>
      </c>
    </row>
    <row r="248" spans="1:17">
      <c r="A248" s="2" t="s">
        <v>358</v>
      </c>
      <c r="B248" s="6" t="s">
        <v>921</v>
      </c>
      <c r="C248" s="7" t="str" cm="1">
        <f t="array" ref="C248">_xlfn.LET(
  _xlpm.s, UPPER(B248),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KARMKEIAASGKIPHIILHSP</v>
      </c>
      <c r="D248" s="4">
        <v>1666</v>
      </c>
      <c r="E248" s="1">
        <v>36</v>
      </c>
      <c r="F248" s="1">
        <v>48</v>
      </c>
      <c r="G248" s="1">
        <v>71</v>
      </c>
      <c r="I248">
        <f t="shared" si="12"/>
        <v>-0.67331933178291203</v>
      </c>
      <c r="J248">
        <f t="shared" si="13"/>
        <v>-1.0009589088167488</v>
      </c>
      <c r="K248">
        <f t="shared" si="14"/>
        <v>-0.42148815326653821</v>
      </c>
      <c r="M248">
        <f t="shared" si="15"/>
        <v>-0.69858879795539963</v>
      </c>
      <c r="P248" t="s">
        <v>1633</v>
      </c>
      <c r="Q248" s="15" t="s">
        <v>1686</v>
      </c>
    </row>
    <row r="249" spans="1:17">
      <c r="A249" s="2" t="s">
        <v>359</v>
      </c>
      <c r="B249" s="6" t="s">
        <v>922</v>
      </c>
      <c r="C249" s="7" t="str" cm="1">
        <f t="array" ref="C249">_xlfn.LET(
  _xlpm.s, UPPER(B249),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KARMKEIVASGKIPHIILHSP</v>
      </c>
      <c r="D249" s="4">
        <v>1242</v>
      </c>
      <c r="E249" s="1">
        <v>110</v>
      </c>
      <c r="F249" s="1">
        <v>25</v>
      </c>
      <c r="G249" s="1">
        <v>18</v>
      </c>
      <c r="I249">
        <f t="shared" si="12"/>
        <v>-6.0675746161766853E-2</v>
      </c>
      <c r="J249">
        <f t="shared" si="13"/>
        <v>-1.1567067362900909</v>
      </c>
      <c r="K249">
        <f t="shared" si="14"/>
        <v>-0.88992059565209991</v>
      </c>
      <c r="M249">
        <f t="shared" si="15"/>
        <v>-0.70243435936798593</v>
      </c>
      <c r="P249" t="s">
        <v>1464</v>
      </c>
      <c r="Q249" s="16" t="s">
        <v>1685</v>
      </c>
    </row>
    <row r="250" spans="1:17">
      <c r="A250" s="2" t="s">
        <v>360</v>
      </c>
      <c r="B250" s="6" t="s">
        <v>923</v>
      </c>
      <c r="C250" s="7" t="str" cm="1">
        <f t="array" ref="C250">_xlfn.LET(
  _xlpm.s, UPPER(B250),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KARMKAIVESGKIPHIILHSP</v>
      </c>
      <c r="D250" s="4">
        <v>1250</v>
      </c>
      <c r="E250" s="1">
        <v>147</v>
      </c>
      <c r="F250" s="1">
        <v>73</v>
      </c>
      <c r="G250" s="1">
        <v>106</v>
      </c>
      <c r="I250">
        <f t="shared" si="12"/>
        <v>6.2460486260689119E-2</v>
      </c>
      <c r="J250">
        <f t="shared" si="13"/>
        <v>-0.69411230200916763</v>
      </c>
      <c r="K250">
        <f t="shared" si="14"/>
        <v>-0.12267565265813096</v>
      </c>
      <c r="M250">
        <f t="shared" si="15"/>
        <v>-0.25144248946886982</v>
      </c>
      <c r="P250" t="s">
        <v>1614</v>
      </c>
      <c r="Q250" s="16" t="s">
        <v>1685</v>
      </c>
    </row>
    <row r="251" spans="1:17">
      <c r="A251" s="2" t="s">
        <v>361</v>
      </c>
      <c r="B251" s="6" t="s">
        <v>924</v>
      </c>
      <c r="C251" s="7" t="str" cm="1">
        <f t="array" ref="C251">_xlfn.LET(
  _xlpm.s, UPPER(B251),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KARMQEIAASGKIPHIILHSP</v>
      </c>
      <c r="D251" s="4">
        <v>1817</v>
      </c>
      <c r="E251" s="1">
        <v>6</v>
      </c>
      <c r="F251" s="1">
        <v>546</v>
      </c>
      <c r="G251" s="1">
        <v>7</v>
      </c>
      <c r="I251">
        <f t="shared" si="12"/>
        <v>-1.4891505124038211</v>
      </c>
      <c r="J251">
        <f t="shared" si="13"/>
        <v>1.7312566275135888E-2</v>
      </c>
      <c r="K251">
        <f t="shared" si="14"/>
        <v>-1.4653283922086222</v>
      </c>
      <c r="M251">
        <f t="shared" si="15"/>
        <v>-0.97905544611243578</v>
      </c>
      <c r="P251" t="s">
        <v>1150</v>
      </c>
      <c r="Q251" s="16" t="s">
        <v>1685</v>
      </c>
    </row>
    <row r="252" spans="1:17">
      <c r="A252" s="2" t="s">
        <v>362</v>
      </c>
      <c r="B252" s="6" t="s">
        <v>925</v>
      </c>
      <c r="C252" s="7" t="str" cm="1">
        <f t="array" ref="C252">_xlfn.LET(
  _xlpm.s, UPPER(B252),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KARMREIAKSGKIPHIILHSP</v>
      </c>
      <c r="D252" s="4">
        <v>1282</v>
      </c>
      <c r="E252" s="1">
        <v>28</v>
      </c>
      <c r="F252" s="1">
        <v>99</v>
      </c>
      <c r="G252" s="1">
        <v>32</v>
      </c>
      <c r="I252">
        <f t="shared" si="12"/>
        <v>-0.66867682932000982</v>
      </c>
      <c r="J252">
        <f t="shared" si="13"/>
        <v>-0.57277797970681565</v>
      </c>
      <c r="K252">
        <f t="shared" si="14"/>
        <v>-0.65380955177773736</v>
      </c>
      <c r="M252">
        <f t="shared" si="15"/>
        <v>-0.63175478693485432</v>
      </c>
      <c r="P252" t="s">
        <v>1664</v>
      </c>
      <c r="Q252" s="16" t="s">
        <v>1685</v>
      </c>
    </row>
    <row r="253" spans="1:17">
      <c r="A253" s="2" t="s">
        <v>363</v>
      </c>
      <c r="B253" s="6" t="s">
        <v>926</v>
      </c>
      <c r="C253" s="7" t="str" cm="1">
        <f t="array" ref="C253">_xlfn.LET(
  _xlpm.s, UPPER(B253),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KARLKEIAASGKIPHIILHSP</v>
      </c>
      <c r="D253" s="4">
        <v>1295</v>
      </c>
      <c r="E253" s="1">
        <v>19</v>
      </c>
      <c r="F253" s="1">
        <v>25</v>
      </c>
      <c r="G253" s="1">
        <v>24</v>
      </c>
      <c r="I253">
        <f t="shared" si="12"/>
        <v>-0.84146300294387211</v>
      </c>
      <c r="J253">
        <f t="shared" si="13"/>
        <v>-1.1748549088667999</v>
      </c>
      <c r="K253">
        <f t="shared" si="14"/>
        <v>-0.78313003162050943</v>
      </c>
      <c r="M253">
        <f t="shared" si="15"/>
        <v>-0.93314931447706062</v>
      </c>
      <c r="P253" t="s">
        <v>1154</v>
      </c>
      <c r="Q253" s="16" t="s">
        <v>1685</v>
      </c>
    </row>
    <row r="254" spans="1:17">
      <c r="A254" s="2" t="s">
        <v>364</v>
      </c>
      <c r="B254" s="6" t="s">
        <v>927</v>
      </c>
      <c r="C254" s="7" t="str" cm="1">
        <f t="array" ref="C254">_xlfn.LET(
  _xlpm.s, UPPER(B254),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KARFKEIAASGKIPHIILHSP</v>
      </c>
      <c r="D254" s="4">
        <v>1129</v>
      </c>
      <c r="E254" s="1">
        <v>13</v>
      </c>
      <c r="F254" s="1">
        <v>25</v>
      </c>
      <c r="G254" s="1">
        <v>16</v>
      </c>
      <c r="I254">
        <f t="shared" si="12"/>
        <v>-0.94669742509756172</v>
      </c>
      <c r="J254">
        <f t="shared" si="13"/>
        <v>-1.1152790823744971</v>
      </c>
      <c r="K254">
        <f t="shared" si="14"/>
        <v>-0.8996454641838878</v>
      </c>
      <c r="M254">
        <f t="shared" si="15"/>
        <v>-0.98720732388531551</v>
      </c>
      <c r="P254" t="s">
        <v>1539</v>
      </c>
      <c r="Q254" s="15" t="s">
        <v>1686</v>
      </c>
    </row>
    <row r="255" spans="1:17">
      <c r="A255" s="2" t="s">
        <v>365</v>
      </c>
      <c r="B255" s="6" t="s">
        <v>928</v>
      </c>
      <c r="C255" s="7" t="str" cm="1">
        <f t="array" ref="C255">_xlfn.LET(
  _xlpm.s, UPPER(B255),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KARFKAIAASGKIPHIILHSP</v>
      </c>
      <c r="D255" s="4">
        <v>1533</v>
      </c>
      <c r="E255" s="1">
        <v>72</v>
      </c>
      <c r="F255" s="1">
        <v>94</v>
      </c>
      <c r="G255" s="1">
        <v>108</v>
      </c>
      <c r="I255">
        <f t="shared" si="12"/>
        <v>-0.33615649390253721</v>
      </c>
      <c r="J255">
        <f t="shared" si="13"/>
        <v>-0.6729394503762437</v>
      </c>
      <c r="K255">
        <f t="shared" si="14"/>
        <v>-0.20318990428227024</v>
      </c>
      <c r="M255">
        <f t="shared" si="15"/>
        <v>-0.40409528285368368</v>
      </c>
      <c r="P255" t="s">
        <v>1314</v>
      </c>
      <c r="Q255" s="16" t="s">
        <v>1685</v>
      </c>
    </row>
    <row r="256" spans="1:17">
      <c r="A256" s="2" t="s">
        <v>366</v>
      </c>
      <c r="B256" s="6" t="s">
        <v>929</v>
      </c>
      <c r="C256" s="7" t="str" cm="1">
        <f t="array" ref="C256">_xlfn.LET(
  _xlpm.s, UPPER(B256),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KALMKKIADSGKIPHIILHSP</v>
      </c>
      <c r="D256" s="4">
        <v>523</v>
      </c>
      <c r="E256" s="1">
        <v>18</v>
      </c>
      <c r="F256" s="1">
        <v>72</v>
      </c>
      <c r="G256" s="1">
        <v>39</v>
      </c>
      <c r="I256">
        <f t="shared" si="12"/>
        <v>-0.47117601924339869</v>
      </c>
      <c r="J256">
        <f t="shared" si="13"/>
        <v>-0.32169434155757282</v>
      </c>
      <c r="K256">
        <f t="shared" si="14"/>
        <v>-0.17850858675561976</v>
      </c>
      <c r="M256">
        <f t="shared" si="15"/>
        <v>-0.32379298251886374</v>
      </c>
      <c r="P256" t="s">
        <v>1617</v>
      </c>
      <c r="Q256" s="15" t="s">
        <v>1686</v>
      </c>
    </row>
    <row r="257" spans="1:17">
      <c r="A257" s="2" t="s">
        <v>367</v>
      </c>
      <c r="B257" s="6" t="s">
        <v>930</v>
      </c>
      <c r="C257" s="7" t="str" cm="1">
        <f t="array" ref="C257">_xlfn.LET(
  _xlpm.s, UPPER(B257),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KALMKKIAASGKIPHIILHSP</v>
      </c>
      <c r="D257" s="4">
        <v>817</v>
      </c>
      <c r="E257" s="1">
        <v>17</v>
      </c>
      <c r="F257" s="1">
        <v>14</v>
      </c>
      <c r="G257" s="1">
        <v>31</v>
      </c>
      <c r="I257">
        <f t="shared" si="12"/>
        <v>-0.68971997063357215</v>
      </c>
      <c r="J257">
        <f t="shared" si="13"/>
        <v>-1.2266191699757445</v>
      </c>
      <c r="K257">
        <f t="shared" si="14"/>
        <v>-0.47193186761298755</v>
      </c>
      <c r="M257">
        <f t="shared" si="15"/>
        <v>-0.7960903360741014</v>
      </c>
      <c r="P257" t="s">
        <v>1122</v>
      </c>
      <c r="Q257" s="16" t="s">
        <v>1685</v>
      </c>
    </row>
    <row r="258" spans="1:17">
      <c r="A258" s="2" t="s">
        <v>368</v>
      </c>
      <c r="B258" s="6" t="s">
        <v>931</v>
      </c>
      <c r="C258" s="7" t="str" cm="1">
        <f t="array" ref="C258">_xlfn.LET(
  _xlpm.s, UPPER(B258),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KALMKEIAKSGKIPHIILHSP</v>
      </c>
      <c r="D258" s="4">
        <v>597</v>
      </c>
      <c r="E258" s="1">
        <v>66</v>
      </c>
      <c r="F258" s="1">
        <v>73</v>
      </c>
      <c r="G258" s="1">
        <v>61</v>
      </c>
      <c r="I258">
        <f t="shared" ref="I258:I321" si="16">LOG(E258/D258)-LOG(182/1787)</f>
        <v>3.5622768933069038E-2</v>
      </c>
      <c r="J258">
        <f t="shared" ref="J258:J321" si="17">LOG(F258/D258)-LOG(516/1787)</f>
        <v>-0.37317662013048025</v>
      </c>
      <c r="K258">
        <f t="shared" ref="K258:K321" si="18">LOG(G258/D258)-LOG(201/1787)</f>
        <v>-4.1716001033446748E-2</v>
      </c>
      <c r="M258">
        <f t="shared" ref="M258:M321" si="19">AVERAGE(I258:K258)</f>
        <v>-0.12642328407695266</v>
      </c>
      <c r="P258" t="s">
        <v>1341</v>
      </c>
      <c r="Q258" s="16" t="s">
        <v>1685</v>
      </c>
    </row>
    <row r="259" spans="1:17">
      <c r="A259" s="2" t="s">
        <v>369</v>
      </c>
      <c r="B259" s="6" t="s">
        <v>932</v>
      </c>
      <c r="C259" s="7" t="str" cm="1">
        <f t="array" ref="C259">_xlfn.LET(
  _xlpm.s, UPPER(B259),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KALMKEIANSGKIPHIILHSP</v>
      </c>
      <c r="D259" s="4">
        <v>706</v>
      </c>
      <c r="E259" s="1">
        <v>144</v>
      </c>
      <c r="F259" s="1">
        <v>28</v>
      </c>
      <c r="G259" s="1">
        <v>22</v>
      </c>
      <c r="I259">
        <f t="shared" si="16"/>
        <v>0.30161095556401529</v>
      </c>
      <c r="J259">
        <f t="shared" si="17"/>
        <v>-0.86217181883115168</v>
      </c>
      <c r="K259">
        <f t="shared" si="18"/>
        <v>-0.55745352514444213</v>
      </c>
      <c r="M259">
        <f t="shared" si="19"/>
        <v>-0.37267146280385949</v>
      </c>
      <c r="P259" t="s">
        <v>1534</v>
      </c>
      <c r="Q259" s="15" t="s">
        <v>1686</v>
      </c>
    </row>
    <row r="260" spans="1:17">
      <c r="A260" s="2" t="s">
        <v>370</v>
      </c>
      <c r="B260" s="6" t="s">
        <v>933</v>
      </c>
      <c r="C260" s="7" t="str" cm="1">
        <f t="array" ref="C260">_xlfn.LET(
  _xlpm.s, UPPER(B260),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KALMKEIAESGKIPHIILHSP</v>
      </c>
      <c r="D260" s="4">
        <v>710</v>
      </c>
      <c r="E260" s="1">
        <v>29</v>
      </c>
      <c r="F260" s="1">
        <v>26</v>
      </c>
      <c r="G260" s="1">
        <v>15</v>
      </c>
      <c r="I260">
        <f t="shared" si="16"/>
        <v>-0.3968071862995497</v>
      </c>
      <c r="J260">
        <f t="shared" si="17"/>
        <v>-0.89681014986982432</v>
      </c>
      <c r="K260">
        <f t="shared" si="18"/>
        <v>-0.72623859457823881</v>
      </c>
      <c r="M260">
        <f t="shared" si="19"/>
        <v>-0.67328531024920435</v>
      </c>
      <c r="P260" t="s">
        <v>1240</v>
      </c>
      <c r="Q260" s="16" t="s">
        <v>1685</v>
      </c>
    </row>
    <row r="261" spans="1:17">
      <c r="A261" s="2" t="s">
        <v>371</v>
      </c>
      <c r="B261" s="6" t="s">
        <v>934</v>
      </c>
      <c r="C261" s="7" t="str" cm="1">
        <f t="array" ref="C261">_xlfn.LET(
  _xlpm.s, UPPER(B261),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KALMKEIAASGKIPHIILHSP</v>
      </c>
      <c r="D261" s="4">
        <v>1419</v>
      </c>
      <c r="E261" s="1">
        <v>33</v>
      </c>
      <c r="F261" s="1">
        <v>12</v>
      </c>
      <c r="G261" s="1">
        <v>34</v>
      </c>
      <c r="I261">
        <f t="shared" si="16"/>
        <v>-0.64141529105901718</v>
      </c>
      <c r="J261">
        <f t="shared" si="17"/>
        <v>-1.5333262985314162</v>
      </c>
      <c r="K261">
        <f t="shared" si="18"/>
        <v>-0.67157498333006349</v>
      </c>
      <c r="M261">
        <f t="shared" si="19"/>
        <v>-0.94877219097349885</v>
      </c>
      <c r="P261" t="s">
        <v>1244</v>
      </c>
      <c r="Q261" s="16" t="s">
        <v>1685</v>
      </c>
    </row>
    <row r="262" spans="1:17">
      <c r="A262" s="2" t="s">
        <v>372</v>
      </c>
      <c r="B262" s="6" t="s">
        <v>935</v>
      </c>
      <c r="C262" s="7" t="str" cm="1">
        <f t="array" ref="C262">_xlfn.LET(
  _xlpm.s, UPPER(B262),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KALMKEIVASGKIPHIILHSP</v>
      </c>
      <c r="D262" s="4">
        <v>1045</v>
      </c>
      <c r="E262" s="1">
        <v>22</v>
      </c>
      <c r="F262" s="1">
        <v>18</v>
      </c>
      <c r="G262" s="1">
        <v>41</v>
      </c>
      <c r="I262">
        <f t="shared" si="16"/>
        <v>-0.68464044510429711</v>
      </c>
      <c r="J262">
        <f t="shared" si="17"/>
        <v>-1.2243689344653337</v>
      </c>
      <c r="K262">
        <f t="shared" si="18"/>
        <v>-0.45740393864218198</v>
      </c>
      <c r="M262">
        <f t="shared" si="19"/>
        <v>-0.78880443940393763</v>
      </c>
      <c r="P262" t="s">
        <v>1159</v>
      </c>
      <c r="Q262" s="15" t="s">
        <v>1686</v>
      </c>
    </row>
    <row r="263" spans="1:17">
      <c r="A263" s="2" t="s">
        <v>373</v>
      </c>
      <c r="B263" s="6" t="s">
        <v>936</v>
      </c>
      <c r="C263" s="7" t="str" cm="1">
        <f t="array" ref="C263">_xlfn.LET(
  _xlpm.s, UPPER(B263),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KALMREIAKSGKIPHIILHSP</v>
      </c>
      <c r="D263" s="4">
        <v>1073</v>
      </c>
      <c r="E263" s="1">
        <v>27</v>
      </c>
      <c r="F263" s="1">
        <v>36</v>
      </c>
      <c r="G263" s="1">
        <v>65</v>
      </c>
      <c r="I263">
        <f t="shared" si="16"/>
        <v>-0.60718279328639424</v>
      </c>
      <c r="J263">
        <f t="shared" si="17"/>
        <v>-0.93482237032023086</v>
      </c>
      <c r="K263">
        <f t="shared" si="18"/>
        <v>-0.26875787023794029</v>
      </c>
      <c r="M263">
        <f t="shared" si="19"/>
        <v>-0.60358767794818846</v>
      </c>
      <c r="P263" t="s">
        <v>1500</v>
      </c>
      <c r="Q263" s="16" t="s">
        <v>1685</v>
      </c>
    </row>
    <row r="264" spans="1:17">
      <c r="A264" s="2" t="s">
        <v>374</v>
      </c>
      <c r="B264" s="6" t="s">
        <v>937</v>
      </c>
      <c r="C264" s="7" t="str" cm="1">
        <f t="array" ref="C264">_xlfn.LET(
  _xlpm.s, UPPER(B264),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KALMREIAESGKIPHIILHSP</v>
      </c>
      <c r="D264" s="4">
        <v>1629</v>
      </c>
      <c r="E264" s="1">
        <v>89</v>
      </c>
      <c r="F264" s="1">
        <v>213</v>
      </c>
      <c r="G264" s="1">
        <v>56</v>
      </c>
      <c r="I264">
        <f t="shared" si="16"/>
        <v>-0.27047791314302705</v>
      </c>
      <c r="J264">
        <f t="shared" si="17"/>
        <v>-0.34406662999133875</v>
      </c>
      <c r="K264">
        <f t="shared" si="18"/>
        <v>-0.51480456221715354</v>
      </c>
      <c r="M264">
        <f t="shared" si="19"/>
        <v>-0.3764497017838398</v>
      </c>
      <c r="P264" t="s">
        <v>1197</v>
      </c>
      <c r="Q264" s="16" t="s">
        <v>1685</v>
      </c>
    </row>
    <row r="265" spans="1:17">
      <c r="A265" s="2" t="s">
        <v>375</v>
      </c>
      <c r="B265" s="6" t="s">
        <v>938</v>
      </c>
      <c r="C265" s="7" t="str" cm="1">
        <f t="array" ref="C265">_xlfn.LET(
  _xlpm.s, UPPER(B265),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KALMREIAASGKIPHIILHSP</v>
      </c>
      <c r="D265" s="4">
        <v>2321</v>
      </c>
      <c r="E265" s="1">
        <v>373</v>
      </c>
      <c r="F265" s="1">
        <v>46</v>
      </c>
      <c r="G265" s="1">
        <v>14</v>
      </c>
      <c r="I265">
        <f t="shared" si="16"/>
        <v>0.19808685587333941</v>
      </c>
      <c r="J265">
        <f t="shared" si="17"/>
        <v>-1.1634424578959108</v>
      </c>
      <c r="K265">
        <f t="shared" si="18"/>
        <v>-1.2706186096925245</v>
      </c>
      <c r="M265">
        <f t="shared" si="19"/>
        <v>-0.74532473723836523</v>
      </c>
      <c r="P265" t="s">
        <v>1527</v>
      </c>
      <c r="Q265" s="16" t="s">
        <v>1685</v>
      </c>
    </row>
    <row r="266" spans="1:17">
      <c r="A266" s="2" t="s">
        <v>376</v>
      </c>
      <c r="B266" s="6" t="s">
        <v>939</v>
      </c>
      <c r="C266" s="7" t="str" cm="1">
        <f t="array" ref="C266">_xlfn.LET(
  _xlpm.s, UPPER(B266),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KALIKQIVASGKIPHIILHSP</v>
      </c>
      <c r="D266" s="4">
        <v>1185</v>
      </c>
      <c r="E266" s="1">
        <v>21</v>
      </c>
      <c r="F266" s="1">
        <v>10</v>
      </c>
      <c r="G266" s="1">
        <v>22</v>
      </c>
      <c r="I266">
        <f t="shared" si="16"/>
        <v>-0.75944589109163396</v>
      </c>
      <c r="J266">
        <f t="shared" si="17"/>
        <v>-1.5342434994676899</v>
      </c>
      <c r="K266">
        <f t="shared" si="18"/>
        <v>-0.78236717443876103</v>
      </c>
      <c r="M266">
        <f t="shared" si="19"/>
        <v>-1.025352188332695</v>
      </c>
      <c r="P266" t="s">
        <v>1131</v>
      </c>
      <c r="Q266" s="16" t="s">
        <v>1685</v>
      </c>
    </row>
    <row r="267" spans="1:17">
      <c r="A267" s="2" t="s">
        <v>377</v>
      </c>
      <c r="B267" s="6" t="s">
        <v>940</v>
      </c>
      <c r="C267" s="7" t="str" cm="1">
        <f t="array" ref="C267">_xlfn.LET(
  _xlpm.s, UPPER(B267),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KALLKQIAASGKIPHIILHSP</v>
      </c>
      <c r="D267" s="4">
        <v>1206</v>
      </c>
      <c r="E267" s="1">
        <v>32</v>
      </c>
      <c r="F267" s="1">
        <v>12</v>
      </c>
      <c r="G267" s="1">
        <v>17</v>
      </c>
      <c r="I267">
        <f t="shared" si="16"/>
        <v>-0.58414416496365695</v>
      </c>
      <c r="J267">
        <f t="shared" si="17"/>
        <v>-1.462691210878075</v>
      </c>
      <c r="K267">
        <f t="shared" si="18"/>
        <v>-0.90196989134070327</v>
      </c>
      <c r="M267">
        <f t="shared" si="19"/>
        <v>-0.98293508906081162</v>
      </c>
      <c r="P267" t="s">
        <v>1306</v>
      </c>
      <c r="Q267" s="15" t="s">
        <v>1686</v>
      </c>
    </row>
    <row r="268" spans="1:17">
      <c r="A268" s="2" t="s">
        <v>378</v>
      </c>
      <c r="B268" s="6" t="s">
        <v>941</v>
      </c>
      <c r="C268" s="7" t="str" cm="1">
        <f t="array" ref="C268">_xlfn.LET(
  _xlpm.s, UPPER(B268),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KALLKRIAASGKIPHIILHSP</v>
      </c>
      <c r="D268" s="4">
        <v>1707</v>
      </c>
      <c r="E268" s="1">
        <v>21</v>
      </c>
      <c r="F268" s="1">
        <v>7</v>
      </c>
      <c r="G268" s="1">
        <v>42</v>
      </c>
      <c r="I268">
        <f t="shared" si="16"/>
        <v>-0.91796106186024495</v>
      </c>
      <c r="J268">
        <f t="shared" si="17"/>
        <v>-1.8476606302220437</v>
      </c>
      <c r="K268">
        <f t="shared" si="18"/>
        <v>-0.66005573563167785</v>
      </c>
      <c r="M268">
        <f t="shared" si="19"/>
        <v>-1.1418924759046556</v>
      </c>
      <c r="P268" t="s">
        <v>1222</v>
      </c>
      <c r="Q268" s="15" t="s">
        <v>1686</v>
      </c>
    </row>
    <row r="269" spans="1:17">
      <c r="A269" s="2" t="s">
        <v>379</v>
      </c>
      <c r="B269" s="6" t="s">
        <v>942</v>
      </c>
      <c r="C269" s="7" t="str" cm="1">
        <f t="array" ref="C269">_xlfn.LET(
  _xlpm.s, UPPER(B269),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KALLKEIADSGKIPHIILHSP</v>
      </c>
      <c r="D269" s="4">
        <v>749</v>
      </c>
      <c r="E269" s="1">
        <v>48</v>
      </c>
      <c r="F269" s="1">
        <v>44</v>
      </c>
      <c r="G269" s="1">
        <v>55</v>
      </c>
      <c r="I269">
        <f t="shared" si="16"/>
        <v>-0.20118741580330979</v>
      </c>
      <c r="J269">
        <f t="shared" si="17"/>
        <v>-0.69155429033484606</v>
      </c>
      <c r="K269">
        <f t="shared" si="18"/>
        <v>-0.18519063312006723</v>
      </c>
      <c r="M269">
        <f t="shared" si="19"/>
        <v>-0.35931077975274101</v>
      </c>
      <c r="P269" t="s">
        <v>1137</v>
      </c>
      <c r="Q269" s="16" t="s">
        <v>1685</v>
      </c>
    </row>
    <row r="270" spans="1:17">
      <c r="A270" s="2" t="s">
        <v>380</v>
      </c>
      <c r="B270" s="6" t="s">
        <v>943</v>
      </c>
      <c r="C270" s="7" t="str" cm="1">
        <f t="array" ref="C270">_xlfn.LET(
  _xlpm.s, UPPER(B270),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KALLKEIAASGKIPHIILHSP</v>
      </c>
      <c r="D270" s="4">
        <v>1275</v>
      </c>
      <c r="E270" s="1">
        <v>46</v>
      </c>
      <c r="F270" s="1">
        <v>65</v>
      </c>
      <c r="G270" s="1">
        <v>54</v>
      </c>
      <c r="I270">
        <f t="shared" si="16"/>
        <v>-0.45069918856783042</v>
      </c>
      <c r="J270">
        <f t="shared" si="17"/>
        <v>-0.75312197724868557</v>
      </c>
      <c r="K270">
        <f t="shared" si="18"/>
        <v>-0.42418792986185028</v>
      </c>
      <c r="M270">
        <f t="shared" si="19"/>
        <v>-0.54266969855945546</v>
      </c>
      <c r="P270" t="s">
        <v>1523</v>
      </c>
      <c r="Q270" s="16" t="s">
        <v>1685</v>
      </c>
    </row>
    <row r="271" spans="1:17">
      <c r="A271" s="2" t="s">
        <v>381</v>
      </c>
      <c r="B271" s="6" t="s">
        <v>944</v>
      </c>
      <c r="C271" s="7" t="str" cm="1">
        <f t="array" ref="C271">_xlfn.LET(
  _xlpm.s, UPPER(B271),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KALLKEIVKSGKIPHIILHSP</v>
      </c>
      <c r="D271" s="4">
        <v>487</v>
      </c>
      <c r="E271" s="1">
        <v>9</v>
      </c>
      <c r="F271" s="1">
        <v>17</v>
      </c>
      <c r="G271" s="1">
        <v>4</v>
      </c>
      <c r="I271">
        <f t="shared" si="16"/>
        <v>-0.74123328725474003</v>
      </c>
      <c r="J271">
        <f t="shared" si="17"/>
        <v>-0.91760518895792742</v>
      </c>
      <c r="K271">
        <f t="shared" si="18"/>
        <v>-1.1365404748015167</v>
      </c>
      <c r="M271">
        <f t="shared" si="19"/>
        <v>-0.93179298367139474</v>
      </c>
      <c r="P271" t="s">
        <v>1304</v>
      </c>
      <c r="Q271" s="15" t="s">
        <v>1686</v>
      </c>
    </row>
    <row r="272" spans="1:17">
      <c r="A272" s="2" t="s">
        <v>382</v>
      </c>
      <c r="B272" s="6" t="s">
        <v>945</v>
      </c>
      <c r="C272" s="7" t="str" cm="1">
        <f t="array" ref="C272">_xlfn.LET(
  _xlpm.s, UPPER(B272),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KALFKKIAASGKIPHIILHSP</v>
      </c>
      <c r="D272" s="4">
        <v>603</v>
      </c>
      <c r="E272" s="1">
        <v>69</v>
      </c>
      <c r="F272" s="1">
        <v>28</v>
      </c>
      <c r="G272" s="1">
        <v>122</v>
      </c>
      <c r="I272">
        <f t="shared" si="16"/>
        <v>5.0584943117673475E-2</v>
      </c>
      <c r="J272">
        <f t="shared" si="17"/>
        <v>-0.79368442991949928</v>
      </c>
      <c r="K272">
        <f t="shared" si="18"/>
        <v>0.25497101361975227</v>
      </c>
      <c r="M272">
        <f t="shared" si="19"/>
        <v>-0.16270949106069119</v>
      </c>
      <c r="P272" t="s">
        <v>1296</v>
      </c>
      <c r="Q272" s="16" t="s">
        <v>1685</v>
      </c>
    </row>
    <row r="273" spans="1:17">
      <c r="A273" s="2" t="s">
        <v>383</v>
      </c>
      <c r="B273" s="6" t="s">
        <v>946</v>
      </c>
      <c r="C273" s="7" t="str" cm="1">
        <f t="array" ref="C273">_xlfn.LET(
  _xlpm.s, UPPER(B273),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KALFKEIARSGKIPHIILHSP</v>
      </c>
      <c r="D273" s="4">
        <v>880</v>
      </c>
      <c r="E273" s="1">
        <v>17</v>
      </c>
      <c r="F273" s="1">
        <v>8</v>
      </c>
      <c r="G273" s="1">
        <v>13</v>
      </c>
      <c r="I273">
        <f t="shared" si="16"/>
        <v>-0.72198058625132533</v>
      </c>
      <c r="J273">
        <f t="shared" si="17"/>
        <v>-1.5019178342797921</v>
      </c>
      <c r="K273">
        <f t="shared" si="18"/>
        <v>-0.88161082475817665</v>
      </c>
      <c r="M273">
        <f t="shared" si="19"/>
        <v>-1.0351697484297648</v>
      </c>
      <c r="P273" t="s">
        <v>1187</v>
      </c>
      <c r="Q273" s="15" t="s">
        <v>1686</v>
      </c>
    </row>
    <row r="274" spans="1:17">
      <c r="A274" s="2" t="s">
        <v>384</v>
      </c>
      <c r="B274" s="6" t="s">
        <v>947</v>
      </c>
      <c r="C274" s="7" t="str" cm="1">
        <f t="array" ref="C274">_xlfn.LET(
  _xlpm.s, UPPER(B274),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KALFKEIAAAGKIPHIILHSP</v>
      </c>
      <c r="D274" s="4">
        <v>788</v>
      </c>
      <c r="E274" s="1">
        <v>27</v>
      </c>
      <c r="F274" s="1">
        <v>15</v>
      </c>
      <c r="G274" s="1">
        <v>48</v>
      </c>
      <c r="I274">
        <f t="shared" si="16"/>
        <v>-0.47310928880999858</v>
      </c>
      <c r="J274">
        <f t="shared" si="17"/>
        <v>-1.1809601075554412</v>
      </c>
      <c r="K274">
        <f t="shared" si="18"/>
        <v>-0.26635648502881271</v>
      </c>
      <c r="M274">
        <f t="shared" si="19"/>
        <v>-0.6401419604647508</v>
      </c>
      <c r="P274" t="s">
        <v>1451</v>
      </c>
      <c r="Q274" s="15" t="s">
        <v>1686</v>
      </c>
    </row>
    <row r="275" spans="1:17">
      <c r="A275" s="2" t="s">
        <v>385</v>
      </c>
      <c r="B275" s="6" t="s">
        <v>948</v>
      </c>
      <c r="C275" s="7" t="str" cm="1">
        <f t="array" ref="C275">_xlfn.LET(
  _xlpm.s, UPPER(B275),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KALFKEIAASGKIPHIILHSP</v>
      </c>
      <c r="D275" s="4">
        <v>1255</v>
      </c>
      <c r="E275" s="1">
        <v>51</v>
      </c>
      <c r="F275" s="1">
        <v>11</v>
      </c>
      <c r="G275" s="1">
        <v>17</v>
      </c>
      <c r="I275">
        <f t="shared" si="16"/>
        <v>-0.39902038519855121</v>
      </c>
      <c r="J275">
        <f t="shared" si="17"/>
        <v>-1.517776189780399</v>
      </c>
      <c r="K275">
        <f t="shared" si="18"/>
        <v>-0.91926630935362774</v>
      </c>
      <c r="M275">
        <f t="shared" si="19"/>
        <v>-0.94535429477752597</v>
      </c>
      <c r="P275" t="s">
        <v>1144</v>
      </c>
      <c r="Q275" s="16" t="s">
        <v>1685</v>
      </c>
    </row>
    <row r="276" spans="1:17">
      <c r="A276" s="2" t="s">
        <v>386</v>
      </c>
      <c r="B276" s="6" t="s">
        <v>949</v>
      </c>
      <c r="C276" s="7" t="str" cm="1">
        <f t="array" ref="C276">_xlfn.LET(
  _xlpm.s, UPPER(B276),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KALFKEIVASGKIPHIILHSP</v>
      </c>
      <c r="D276" s="4">
        <v>899</v>
      </c>
      <c r="E276" s="1">
        <v>46</v>
      </c>
      <c r="F276" s="1">
        <v>52</v>
      </c>
      <c r="G276" s="1">
        <v>39</v>
      </c>
      <c r="I276">
        <f t="shared" si="16"/>
        <v>-0.29894869553108516</v>
      </c>
      <c r="J276">
        <f t="shared" si="17"/>
        <v>-0.69828149721999677</v>
      </c>
      <c r="K276">
        <f t="shared" si="18"/>
        <v>-0.41376658962157431</v>
      </c>
      <c r="M276">
        <f t="shared" si="19"/>
        <v>-0.47033226079088547</v>
      </c>
      <c r="P276" t="s">
        <v>1312</v>
      </c>
      <c r="Q276" s="16" t="s">
        <v>1685</v>
      </c>
    </row>
    <row r="277" spans="1:17">
      <c r="A277" s="2" t="s">
        <v>387</v>
      </c>
      <c r="B277" s="6" t="s">
        <v>950</v>
      </c>
      <c r="C277" s="7" t="str" cm="1">
        <f t="array" ref="C277">_xlfn.LET(
  _xlpm.s, UPPER(B277),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KALFKEICASGKIPHIILHSP</v>
      </c>
      <c r="D277" s="4">
        <v>793</v>
      </c>
      <c r="E277" s="1">
        <v>11</v>
      </c>
      <c r="F277" s="1">
        <v>12</v>
      </c>
      <c r="G277" s="1">
        <v>36</v>
      </c>
      <c r="I277">
        <f t="shared" si="16"/>
        <v>-0.86582733763880926</v>
      </c>
      <c r="J277">
        <f t="shared" si="17"/>
        <v>-1.2806170903915461</v>
      </c>
      <c r="K277">
        <f t="shared" si="18"/>
        <v>-0.39404219146516128</v>
      </c>
      <c r="M277">
        <f t="shared" si="19"/>
        <v>-0.84682887316517219</v>
      </c>
      <c r="P277" t="s">
        <v>1428</v>
      </c>
      <c r="Q277" s="15" t="s">
        <v>1686</v>
      </c>
    </row>
    <row r="278" spans="1:17">
      <c r="A278" s="2" t="s">
        <v>388</v>
      </c>
      <c r="B278" s="6" t="s">
        <v>951</v>
      </c>
      <c r="C278" s="7" t="str" cm="1">
        <f t="array" ref="C278">_xlfn.LET(
  _xlpm.s, UPPER(B278),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KALFKAIVKKGKIPHIILHSP</v>
      </c>
      <c r="D278" s="4">
        <v>411</v>
      </c>
      <c r="E278" s="1">
        <v>19</v>
      </c>
      <c r="F278" s="1">
        <v>12</v>
      </c>
      <c r="G278" s="1">
        <v>14</v>
      </c>
      <c r="I278">
        <f t="shared" si="16"/>
        <v>-0.34303505640267073</v>
      </c>
      <c r="J278">
        <f t="shared" si="17"/>
        <v>-0.99518572495001145</v>
      </c>
      <c r="K278">
        <f t="shared" si="18"/>
        <v>-0.51878529111267579</v>
      </c>
      <c r="M278">
        <f t="shared" si="19"/>
        <v>-0.6190020241551194</v>
      </c>
      <c r="P278" t="s">
        <v>1148</v>
      </c>
      <c r="Q278" s="16" t="s">
        <v>1685</v>
      </c>
    </row>
    <row r="279" spans="1:17">
      <c r="A279" s="2" t="s">
        <v>389</v>
      </c>
      <c r="B279" s="6" t="s">
        <v>952</v>
      </c>
      <c r="C279" s="7" t="str" cm="1">
        <f t="array" ref="C279">_xlfn.LET(
  _xlpm.s, UPPER(B279),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KALFKAIVKRGKIPHIILHSP</v>
      </c>
      <c r="D279" s="4">
        <v>854</v>
      </c>
      <c r="E279" s="1">
        <v>47</v>
      </c>
      <c r="F279" s="1">
        <v>123</v>
      </c>
      <c r="G279" s="1">
        <v>41</v>
      </c>
      <c r="I279">
        <f t="shared" si="16"/>
        <v>-0.26730684823271811</v>
      </c>
      <c r="J279">
        <f t="shared" si="17"/>
        <v>-0.30207790837117421</v>
      </c>
      <c r="K279">
        <f t="shared" si="18"/>
        <v>-0.36974551888411433</v>
      </c>
      <c r="M279">
        <f t="shared" si="19"/>
        <v>-0.31304342516266886</v>
      </c>
      <c r="P279" t="s">
        <v>1328</v>
      </c>
      <c r="Q279" s="15" t="s">
        <v>1686</v>
      </c>
    </row>
    <row r="280" spans="1:17">
      <c r="A280" s="2" t="s">
        <v>390</v>
      </c>
      <c r="B280" s="6" t="s">
        <v>953</v>
      </c>
      <c r="C280" s="7" t="str" cm="1">
        <f t="array" ref="C280">_xlfn.LET(
  _xlpm.s, UPPER(B280),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KALFKAIVDKGKIPHIILHSP</v>
      </c>
      <c r="D280" s="4">
        <v>785</v>
      </c>
      <c r="E280" s="1">
        <v>20</v>
      </c>
      <c r="F280" s="1">
        <v>3</v>
      </c>
      <c r="G280" s="1">
        <v>86</v>
      </c>
      <c r="I280">
        <f t="shared" si="16"/>
        <v>-0.60178649656070182</v>
      </c>
      <c r="J280">
        <f t="shared" si="17"/>
        <v>-1.8782735511471573</v>
      </c>
      <c r="K280">
        <f t="shared" si="18"/>
        <v>-1.1442710416529445E-2</v>
      </c>
      <c r="M280">
        <f t="shared" si="19"/>
        <v>-0.83050091937479609</v>
      </c>
      <c r="P280" t="s">
        <v>1364</v>
      </c>
      <c r="Q280" s="16" t="s">
        <v>1685</v>
      </c>
    </row>
    <row r="281" spans="1:17">
      <c r="A281" s="2" t="s">
        <v>391</v>
      </c>
      <c r="B281" s="6" t="s">
        <v>954</v>
      </c>
      <c r="C281" s="7" t="str" cm="1">
        <f t="array" ref="C281">_xlfn.LET(
  _xlpm.s, UPPER(B281),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KALFKAIVAKGKIPHIILHSP</v>
      </c>
      <c r="D281" s="4">
        <v>928</v>
      </c>
      <c r="E281" s="1">
        <v>25</v>
      </c>
      <c r="F281" s="1">
        <v>1</v>
      </c>
      <c r="G281" s="1">
        <v>598</v>
      </c>
      <c r="I281">
        <f t="shared" si="16"/>
        <v>-0.57755480302625495</v>
      </c>
      <c r="J281">
        <f t="shared" si="17"/>
        <v>-2.4280731253404291</v>
      </c>
      <c r="K281">
        <f t="shared" si="18"/>
        <v>0.75808170285470411</v>
      </c>
      <c r="M281">
        <f t="shared" si="19"/>
        <v>-0.74918207517066004</v>
      </c>
      <c r="P281" t="s">
        <v>1350</v>
      </c>
      <c r="Q281" s="15" t="s">
        <v>1686</v>
      </c>
    </row>
    <row r="282" spans="1:17">
      <c r="A282" s="2" t="s">
        <v>392</v>
      </c>
      <c r="B282" s="6" t="s">
        <v>955</v>
      </c>
      <c r="C282" s="7" t="str" cm="1">
        <f t="array" ref="C282">_xlfn.LET(
  _xlpm.s, UPPER(B282),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KALFKAIVARGKIPHIILHSP</v>
      </c>
      <c r="D282" s="4">
        <v>1374</v>
      </c>
      <c r="E282" s="1">
        <v>12</v>
      </c>
      <c r="F282" s="1">
        <v>8</v>
      </c>
      <c r="G282" s="1">
        <v>12</v>
      </c>
      <c r="I282">
        <f t="shared" si="16"/>
        <v>-1.0667523221553372</v>
      </c>
      <c r="J282">
        <f t="shared" si="17"/>
        <v>-1.6954218948531552</v>
      </c>
      <c r="K282">
        <f t="shared" si="18"/>
        <v>-1.1098769915907514</v>
      </c>
      <c r="M282">
        <f t="shared" si="19"/>
        <v>-1.2906837361997479</v>
      </c>
      <c r="P282" t="s">
        <v>1631</v>
      </c>
      <c r="Q282" s="15" t="s">
        <v>1686</v>
      </c>
    </row>
    <row r="283" spans="1:17">
      <c r="A283" s="2" t="s">
        <v>393</v>
      </c>
      <c r="B283" s="6" t="s">
        <v>956</v>
      </c>
      <c r="C283" s="7" t="str" cm="1">
        <f t="array" ref="C283">_xlfn.LET(
  _xlpm.s, UPPER(B283),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KALFKSIVKRGKIPHIILHSP</v>
      </c>
      <c r="D283" s="4">
        <v>489</v>
      </c>
      <c r="E283" s="1">
        <v>101</v>
      </c>
      <c r="F283" s="1">
        <v>18</v>
      </c>
      <c r="G283" s="1">
        <v>10</v>
      </c>
      <c r="I283">
        <f t="shared" si="16"/>
        <v>0.30706567917959182</v>
      </c>
      <c r="J283">
        <f t="shared" si="17"/>
        <v>-0.8945615031418811</v>
      </c>
      <c r="K283">
        <f t="shared" si="18"/>
        <v>-0.74038036403846497</v>
      </c>
      <c r="M283">
        <f t="shared" si="19"/>
        <v>-0.44262539600025147</v>
      </c>
      <c r="P283" t="s">
        <v>1621</v>
      </c>
      <c r="Q283" s="16" t="s">
        <v>1685</v>
      </c>
    </row>
    <row r="284" spans="1:17">
      <c r="A284" s="2" t="s">
        <v>394</v>
      </c>
      <c r="B284" s="6" t="s">
        <v>957</v>
      </c>
      <c r="C284" s="7" t="str" cm="1">
        <f t="array" ref="C284">_xlfn.LET(
  _xlpm.s, UPPER(B284),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KALFKSIVEKGKIPHIILHSP</v>
      </c>
      <c r="D284" s="4">
        <v>520</v>
      </c>
      <c r="E284" s="1">
        <v>17</v>
      </c>
      <c r="F284" s="1">
        <v>100</v>
      </c>
      <c r="G284" s="1">
        <v>61</v>
      </c>
      <c r="I284">
        <f t="shared" si="16"/>
        <v>-0.49350125773595566</v>
      </c>
      <c r="J284">
        <f t="shared" si="17"/>
        <v>-0.17652849275636617</v>
      </c>
      <c r="K284">
        <f t="shared" si="18"/>
        <v>1.8254986461123224E-2</v>
      </c>
      <c r="M284">
        <f t="shared" si="19"/>
        <v>-0.21725825467706619</v>
      </c>
      <c r="P284" t="s">
        <v>1471</v>
      </c>
      <c r="Q284" s="16" t="s">
        <v>1685</v>
      </c>
    </row>
    <row r="285" spans="1:17">
      <c r="A285" s="2" t="s">
        <v>395</v>
      </c>
      <c r="B285" s="6" t="s">
        <v>958</v>
      </c>
      <c r="C285" s="7" t="str" cm="1">
        <f t="array" ref="C285">_xlfn.LET(
  _xlpm.s, UPPER(B285),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KALFKSIVAKGKIPHIILHSP</v>
      </c>
      <c r="D285" s="4">
        <v>690</v>
      </c>
      <c r="E285" s="1">
        <v>45</v>
      </c>
      <c r="F285" s="1">
        <v>42</v>
      </c>
      <c r="G285" s="1">
        <v>14</v>
      </c>
      <c r="I285">
        <f t="shared" si="16"/>
        <v>-0.19358341244134225</v>
      </c>
      <c r="J285">
        <f t="shared" si="17"/>
        <v>-0.67612494946092194</v>
      </c>
      <c r="K285">
        <f t="shared" si="18"/>
        <v>-0.74379255997386196</v>
      </c>
      <c r="M285">
        <f t="shared" si="19"/>
        <v>-0.53783364062537542</v>
      </c>
      <c r="P285" t="s">
        <v>1135</v>
      </c>
      <c r="Q285" s="16" t="s">
        <v>1685</v>
      </c>
    </row>
    <row r="286" spans="1:17">
      <c r="A286" s="2" t="s">
        <v>396</v>
      </c>
      <c r="B286" s="6" t="s">
        <v>959</v>
      </c>
      <c r="C286" s="7" t="str" cm="1">
        <f t="array" ref="C286">_xlfn.LET(
  _xlpm.s, UPPER(B286),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KALFKSIVARGKIPHIILHSP</v>
      </c>
      <c r="D286" s="4">
        <v>1111</v>
      </c>
      <c r="E286" s="1">
        <v>60</v>
      </c>
      <c r="F286" s="1">
        <v>40</v>
      </c>
      <c r="G286" s="1">
        <v>82</v>
      </c>
      <c r="I286">
        <f t="shared" si="16"/>
        <v>-0.27550964403665446</v>
      </c>
      <c r="J286">
        <f t="shared" si="17"/>
        <v>-0.90417921673447232</v>
      </c>
      <c r="K286">
        <f t="shared" si="18"/>
        <v>-0.18297171147199554</v>
      </c>
      <c r="M286">
        <f t="shared" si="19"/>
        <v>-0.45422019074770748</v>
      </c>
      <c r="P286" t="s">
        <v>1186</v>
      </c>
      <c r="Q286" s="16" t="s">
        <v>1685</v>
      </c>
    </row>
    <row r="287" spans="1:17">
      <c r="A287" s="2" t="s">
        <v>397</v>
      </c>
      <c r="B287" s="6" t="s">
        <v>960</v>
      </c>
      <c r="C287" s="7" t="str" cm="1">
        <f t="array" ref="C287">_xlfn.LET(
  _xlpm.s, UPPER(B287),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KALFRAIVARGKIPHIILHSP</v>
      </c>
      <c r="D287" s="4">
        <v>1557</v>
      </c>
      <c r="E287" s="1">
        <v>9</v>
      </c>
      <c r="F287" s="1">
        <v>7</v>
      </c>
      <c r="G287" s="1">
        <v>19</v>
      </c>
      <c r="I287">
        <f t="shared" si="16"/>
        <v>-1.245992938608226</v>
      </c>
      <c r="J287">
        <f t="shared" si="17"/>
        <v>-1.8077157216754305</v>
      </c>
      <c r="K287">
        <f t="shared" si="18"/>
        <v>-0.96460651653013607</v>
      </c>
      <c r="M287">
        <f t="shared" si="19"/>
        <v>-1.339438392271264</v>
      </c>
      <c r="P287" t="s">
        <v>1607</v>
      </c>
      <c r="Q287" s="15" t="s">
        <v>1686</v>
      </c>
    </row>
    <row r="288" spans="1:17">
      <c r="A288" s="2" t="s">
        <v>398</v>
      </c>
      <c r="B288" s="6" t="s">
        <v>961</v>
      </c>
      <c r="C288" s="7" t="str" cm="1">
        <f t="array" ref="C288">_xlfn.LET(
  _xlpm.s, UPPER(B288),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KALFRSIVARGKIPHIILHSP</v>
      </c>
      <c r="D288" s="4">
        <v>1549</v>
      </c>
      <c r="E288" s="1">
        <v>19</v>
      </c>
      <c r="F288" s="1">
        <v>10</v>
      </c>
      <c r="G288" s="1">
        <v>17</v>
      </c>
      <c r="I288">
        <f t="shared" si="16"/>
        <v>-0.91924465228580754</v>
      </c>
      <c r="J288">
        <f t="shared" si="17"/>
        <v>-1.650576566880773</v>
      </c>
      <c r="K288">
        <f t="shared" si="18"/>
        <v>-1.0106740012957769</v>
      </c>
      <c r="M288">
        <f t="shared" si="19"/>
        <v>-1.1934984068207859</v>
      </c>
      <c r="P288" t="s">
        <v>1158</v>
      </c>
      <c r="Q288" s="15" t="s">
        <v>1686</v>
      </c>
    </row>
    <row r="289" spans="1:17">
      <c r="A289" s="2" t="s">
        <v>399</v>
      </c>
      <c r="B289" s="6" t="s">
        <v>962</v>
      </c>
      <c r="C289" s="7" t="str" cm="1">
        <f t="array" ref="C289">_xlfn.LET(
  _xlpm.s, UPPER(B289),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KAEMKKIAESGKIPHIILHSP</v>
      </c>
      <c r="D289" s="4">
        <v>382</v>
      </c>
      <c r="E289" s="1">
        <v>28</v>
      </c>
      <c r="F289" s="1">
        <v>18</v>
      </c>
      <c r="G289" s="1">
        <v>40</v>
      </c>
      <c r="I289">
        <f t="shared" si="16"/>
        <v>-0.14285216704892001</v>
      </c>
      <c r="J289">
        <f t="shared" si="17"/>
        <v>-0.78731600692996973</v>
      </c>
      <c r="K289">
        <f t="shared" si="18"/>
        <v>-3.1074876498591086E-2</v>
      </c>
      <c r="M289">
        <f t="shared" si="19"/>
        <v>-0.32041435015916025</v>
      </c>
      <c r="P289" t="s">
        <v>1628</v>
      </c>
      <c r="Q289" s="16" t="s">
        <v>1685</v>
      </c>
    </row>
    <row r="290" spans="1:17">
      <c r="A290" s="2" t="s">
        <v>400</v>
      </c>
      <c r="B290" s="6" t="s">
        <v>963</v>
      </c>
      <c r="C290" s="7" t="str" cm="1">
        <f t="array" ref="C290">_xlfn.LET(
  _xlpm.s, UPPER(B290),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KAEMKKIAASGKIPHIILHSP</v>
      </c>
      <c r="D290" s="4">
        <v>636</v>
      </c>
      <c r="E290" s="1">
        <v>13</v>
      </c>
      <c r="F290" s="1">
        <v>10</v>
      </c>
      <c r="G290" s="1">
        <v>67</v>
      </c>
      <c r="I290">
        <f t="shared" si="16"/>
        <v>-0.69746059882100764</v>
      </c>
      <c r="J290">
        <f t="shared" si="17"/>
        <v>-1.263982264769981</v>
      </c>
      <c r="K290">
        <f t="shared" si="18"/>
        <v>-2.8453817862432063E-2</v>
      </c>
      <c r="M290">
        <f t="shared" si="19"/>
        <v>-0.66329889381780693</v>
      </c>
      <c r="P290" t="s">
        <v>1619</v>
      </c>
      <c r="Q290" s="15" t="s">
        <v>1686</v>
      </c>
    </row>
    <row r="291" spans="1:17">
      <c r="A291" s="2" t="s">
        <v>401</v>
      </c>
      <c r="B291" s="6" t="s">
        <v>964</v>
      </c>
      <c r="C291" s="7" t="str" cm="1">
        <f t="array" ref="C291">_xlfn.LET(
  _xlpm.s, UPPER(B291),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KAEMKKIVASGKIPHIILHSP</v>
      </c>
      <c r="D291" s="4">
        <v>507</v>
      </c>
      <c r="E291" s="1">
        <v>51</v>
      </c>
      <c r="F291" s="1">
        <v>21</v>
      </c>
      <c r="G291" s="1">
        <v>47</v>
      </c>
      <c r="I291">
        <f t="shared" si="16"/>
        <v>-5.3846187148300917E-3</v>
      </c>
      <c r="J291">
        <f t="shared" si="17"/>
        <v>-0.8433138137209838</v>
      </c>
      <c r="K291">
        <f t="shared" si="18"/>
        <v>-8.3981606312463208E-2</v>
      </c>
      <c r="M291">
        <f t="shared" si="19"/>
        <v>-0.31089334624942572</v>
      </c>
      <c r="P291" t="s">
        <v>1325</v>
      </c>
      <c r="Q291" s="15" t="s">
        <v>1686</v>
      </c>
    </row>
    <row r="292" spans="1:17">
      <c r="A292" s="2" t="s">
        <v>402</v>
      </c>
      <c r="B292" s="6" t="s">
        <v>965</v>
      </c>
      <c r="C292" s="7" t="str" cm="1">
        <f t="array" ref="C292">_xlfn.LET(
  _xlpm.s, UPPER(B292),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KAEMKRIAASGKIPHIILHSP</v>
      </c>
      <c r="D292" s="4">
        <v>1487</v>
      </c>
      <c r="E292" s="1">
        <v>46</v>
      </c>
      <c r="F292" s="1">
        <v>15</v>
      </c>
      <c r="G292" s="1">
        <v>29</v>
      </c>
      <c r="I292">
        <f t="shared" si="16"/>
        <v>-0.5174999723198106</v>
      </c>
      <c r="J292">
        <f t="shared" si="17"/>
        <v>-1.45674485858784</v>
      </c>
      <c r="K292">
        <f t="shared" si="18"/>
        <v>-0.76098447553784276</v>
      </c>
      <c r="M292">
        <f t="shared" si="19"/>
        <v>-0.91174310214849774</v>
      </c>
      <c r="P292" t="s">
        <v>1204</v>
      </c>
      <c r="Q292" s="16" t="s">
        <v>1685</v>
      </c>
    </row>
    <row r="293" spans="1:17">
      <c r="A293" s="2" t="s">
        <v>403</v>
      </c>
      <c r="B293" s="6" t="s">
        <v>966</v>
      </c>
      <c r="C293" s="7" t="str" cm="1">
        <f t="array" ref="C293">_xlfn.LET(
  _xlpm.s, UPPER(B293),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KAEMKEIAASGKIPHIILHSP</v>
      </c>
      <c r="D293" s="4">
        <v>993</v>
      </c>
      <c r="E293" s="1">
        <v>174</v>
      </c>
      <c r="F293" s="1">
        <v>23</v>
      </c>
      <c r="G293" s="1">
        <v>27</v>
      </c>
      <c r="I293">
        <f t="shared" si="16"/>
        <v>0.23565316430778804</v>
      </c>
      <c r="J293">
        <f t="shared" si="17"/>
        <v>-1.0957465615993556</v>
      </c>
      <c r="K293">
        <f t="shared" si="18"/>
        <v>-0.61665698925123857</v>
      </c>
      <c r="M293">
        <f t="shared" si="19"/>
        <v>-0.49225012884760205</v>
      </c>
      <c r="P293" t="s">
        <v>1507</v>
      </c>
      <c r="Q293" s="15" t="s">
        <v>1686</v>
      </c>
    </row>
    <row r="294" spans="1:17">
      <c r="A294" s="2" t="s">
        <v>404</v>
      </c>
      <c r="B294" s="6" t="s">
        <v>967</v>
      </c>
      <c r="C294" s="7" t="str" cm="1">
        <f t="array" ref="C294">_xlfn.LET(
  _xlpm.s, UPPER(B294),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KAEMKAIAKSGKIPHIILHSP</v>
      </c>
      <c r="D294" s="4">
        <v>536</v>
      </c>
      <c r="E294" s="1">
        <v>150</v>
      </c>
      <c r="F294" s="1">
        <v>48</v>
      </c>
      <c r="G294" s="1">
        <v>84</v>
      </c>
      <c r="I294">
        <f t="shared" si="16"/>
        <v>0.4389796338834806</v>
      </c>
      <c r="J294">
        <f t="shared" si="17"/>
        <v>-0.50844870143874987</v>
      </c>
      <c r="K294">
        <f t="shared" si="18"/>
        <v>0.14404299145426702</v>
      </c>
      <c r="M294">
        <f t="shared" si="19"/>
        <v>2.4857974632999252E-2</v>
      </c>
      <c r="P294" t="s">
        <v>1261</v>
      </c>
      <c r="Q294" s="16" t="s">
        <v>1685</v>
      </c>
    </row>
    <row r="295" spans="1:17">
      <c r="A295" s="2" t="s">
        <v>405</v>
      </c>
      <c r="B295" s="6" t="s">
        <v>968</v>
      </c>
      <c r="C295" s="7" t="str" cm="1">
        <f t="array" ref="C295">_xlfn.LET(
  _xlpm.s, UPPER(B295),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KAEMRKIAESGKIPHIILHSP</v>
      </c>
      <c r="D295" s="4">
        <v>860</v>
      </c>
      <c r="E295" s="1">
        <v>40</v>
      </c>
      <c r="F295" s="1">
        <v>22</v>
      </c>
      <c r="G295" s="1">
        <v>53</v>
      </c>
      <c r="I295">
        <f t="shared" si="16"/>
        <v>-0.34038529539503593</v>
      </c>
      <c r="J295">
        <f t="shared" si="17"/>
        <v>-1.0526009195429284</v>
      </c>
      <c r="K295">
        <f t="shared" si="18"/>
        <v>-0.26129408655762343</v>
      </c>
      <c r="M295">
        <f t="shared" si="19"/>
        <v>-0.5514267671651959</v>
      </c>
      <c r="P295" t="s">
        <v>1242</v>
      </c>
      <c r="Q295" s="16" t="s">
        <v>1685</v>
      </c>
    </row>
    <row r="296" spans="1:17">
      <c r="A296" s="2" t="s">
        <v>406</v>
      </c>
      <c r="B296" s="6" t="s">
        <v>969</v>
      </c>
      <c r="C296" s="7" t="str" cm="1">
        <f t="array" ref="C296">_xlfn.LET(
  _xlpm.s, UPPER(B296),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KAEMRAIAASGKIPHIILHSP</v>
      </c>
      <c r="D296" s="4">
        <v>1884</v>
      </c>
      <c r="E296" s="1">
        <v>215</v>
      </c>
      <c r="F296" s="1">
        <v>32</v>
      </c>
      <c r="G296" s="1">
        <v>103</v>
      </c>
      <c r="I296">
        <f t="shared" si="16"/>
        <v>4.9410725979316283E-2</v>
      </c>
      <c r="J296">
        <f t="shared" si="17"/>
        <v>-1.2304560692585196</v>
      </c>
      <c r="K296">
        <f t="shared" si="18"/>
        <v>-0.31331517866653114</v>
      </c>
      <c r="M296">
        <f t="shared" si="19"/>
        <v>-0.4981201739819115</v>
      </c>
      <c r="P296" t="s">
        <v>1492</v>
      </c>
      <c r="Q296" s="16" t="s">
        <v>1685</v>
      </c>
    </row>
    <row r="297" spans="1:17">
      <c r="A297" s="2" t="s">
        <v>407</v>
      </c>
      <c r="B297" s="6" t="s">
        <v>970</v>
      </c>
      <c r="C297" s="7" t="str" cm="1">
        <f t="array" ref="C297">_xlfn.LET(
  _xlpm.s, UPPER(B297),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KAELKKIAASGKIPHIILHSP</v>
      </c>
      <c r="D297" s="4">
        <v>653</v>
      </c>
      <c r="E297" s="1">
        <v>144</v>
      </c>
      <c r="F297" s="1">
        <v>26</v>
      </c>
      <c r="G297" s="1">
        <v>71</v>
      </c>
      <c r="I297">
        <f t="shared" si="16"/>
        <v>0.33550247534074518</v>
      </c>
      <c r="J297">
        <f t="shared" si="17"/>
        <v>-0.86046498242582314</v>
      </c>
      <c r="K297">
        <f t="shared" si="18"/>
        <v>-1.4726337470843287E-2</v>
      </c>
      <c r="M297">
        <f t="shared" si="19"/>
        <v>-0.17989628151864043</v>
      </c>
      <c r="P297" t="s">
        <v>1494</v>
      </c>
      <c r="Q297" s="16" t="s">
        <v>1685</v>
      </c>
    </row>
    <row r="298" spans="1:17">
      <c r="A298" s="2" t="s">
        <v>408</v>
      </c>
      <c r="B298" s="6" t="s">
        <v>971</v>
      </c>
      <c r="C298" s="7" t="str" cm="1">
        <f t="array" ref="C298">_xlfn.LET(
  _xlpm.s, UPPER(B298),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KAELKRIAASGKIPHIILHSP</v>
      </c>
      <c r="D298" s="4">
        <v>1582</v>
      </c>
      <c r="E298" s="1">
        <v>7</v>
      </c>
      <c r="F298" s="1">
        <v>29</v>
      </c>
      <c r="G298" s="1">
        <v>15</v>
      </c>
      <c r="I298">
        <f t="shared" si="16"/>
        <v>-1.3620552746268313</v>
      </c>
      <c r="J298">
        <f t="shared" si="17"/>
        <v>-1.1973336303842688</v>
      </c>
      <c r="K298">
        <f t="shared" si="18"/>
        <v>-1.074186725020821</v>
      </c>
      <c r="M298">
        <f t="shared" si="19"/>
        <v>-1.2111918766773071</v>
      </c>
      <c r="P298" t="s">
        <v>1415</v>
      </c>
      <c r="Q298" s="15" t="s">
        <v>1686</v>
      </c>
    </row>
    <row r="299" spans="1:17">
      <c r="A299" s="2" t="s">
        <v>409</v>
      </c>
      <c r="B299" s="6" t="s">
        <v>972</v>
      </c>
      <c r="C299" s="7" t="str" cm="1">
        <f t="array" ref="C299">_xlfn.LET(
  _xlpm.s, UPPER(B299),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KAELKEIAASGKIPHIILHSP</v>
      </c>
      <c r="D299" s="4">
        <v>950</v>
      </c>
      <c r="E299" s="1">
        <v>5</v>
      </c>
      <c r="F299" s="1">
        <v>14</v>
      </c>
      <c r="G299" s="1">
        <v>8</v>
      </c>
      <c r="I299">
        <f t="shared" si="16"/>
        <v>-1.2867004364322594</v>
      </c>
      <c r="J299">
        <f t="shared" si="17"/>
        <v>-1.2921207187321766</v>
      </c>
      <c r="K299">
        <f t="shared" si="18"/>
        <v>-1.125705123211749</v>
      </c>
      <c r="M299">
        <f t="shared" si="19"/>
        <v>-1.2348420927920616</v>
      </c>
      <c r="P299" t="s">
        <v>1434</v>
      </c>
      <c r="Q299" s="15" t="s">
        <v>1686</v>
      </c>
    </row>
    <row r="300" spans="1:17">
      <c r="A300" s="2" t="s">
        <v>410</v>
      </c>
      <c r="B300" s="6" t="s">
        <v>973</v>
      </c>
      <c r="C300" s="7" t="str" cm="1">
        <f t="array" ref="C300">_xlfn.LET(
  _xlpm.s, UPPER(B300),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KAEFKAIAASGKIPHIILHSP</v>
      </c>
      <c r="D300" s="4">
        <v>820</v>
      </c>
      <c r="E300" s="1">
        <v>19</v>
      </c>
      <c r="F300" s="1">
        <v>17</v>
      </c>
      <c r="G300" s="1">
        <v>25</v>
      </c>
      <c r="I300">
        <f t="shared" si="16"/>
        <v>-0.64300708691031816</v>
      </c>
      <c r="J300">
        <f t="shared" si="17"/>
        <v>-1.1438900801270098</v>
      </c>
      <c r="K300">
        <f t="shared" si="18"/>
        <v>-0.56694534862652368</v>
      </c>
      <c r="M300">
        <f t="shared" si="19"/>
        <v>-0.78461417188795046</v>
      </c>
      <c r="P300" t="s">
        <v>1387</v>
      </c>
      <c r="Q300" s="15" t="s">
        <v>1686</v>
      </c>
    </row>
    <row r="301" spans="1:17">
      <c r="A301" s="2" t="s">
        <v>411</v>
      </c>
      <c r="B301" s="6" t="s">
        <v>974</v>
      </c>
      <c r="C301" s="7" t="str" cm="1">
        <f t="array" ref="C301">_xlfn.LET(
  _xlpm.s, UPPER(B301),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KAYFKEIAKSGKIPHIILHSP</v>
      </c>
      <c r="D301" s="4">
        <v>242</v>
      </c>
      <c r="E301" s="1">
        <v>55</v>
      </c>
      <c r="F301" s="1">
        <v>63</v>
      </c>
      <c r="G301" s="1">
        <v>72</v>
      </c>
      <c r="I301">
        <f t="shared" si="16"/>
        <v>0.34860048803438204</v>
      </c>
      <c r="J301">
        <f t="shared" si="17"/>
        <v>-4.4999965648416573E-2</v>
      </c>
      <c r="K301">
        <f t="shared" si="18"/>
        <v>0.42244562553599252</v>
      </c>
      <c r="M301">
        <f t="shared" si="19"/>
        <v>0.24201538264065267</v>
      </c>
      <c r="P301" t="s">
        <v>1626</v>
      </c>
      <c r="Q301" s="16" t="s">
        <v>1685</v>
      </c>
    </row>
    <row r="302" spans="1:17">
      <c r="A302" s="2" t="s">
        <v>412</v>
      </c>
      <c r="B302" s="6" t="s">
        <v>975</v>
      </c>
      <c r="C302" s="7" t="str" cm="1">
        <f t="array" ref="C302">_xlfn.LET(
  _xlpm.s, UPPER(B302),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KAYFKEIVKRGKIPHIILHSP</v>
      </c>
      <c r="D302" s="4">
        <v>252</v>
      </c>
      <c r="E302" s="1">
        <v>1</v>
      </c>
      <c r="F302" s="1">
        <v>37</v>
      </c>
      <c r="G302" s="1">
        <v>3</v>
      </c>
      <c r="I302">
        <f t="shared" si="16"/>
        <v>-1.4093473762609747</v>
      </c>
      <c r="J302">
        <f t="shared" si="17"/>
        <v>-0.29372396583611615</v>
      </c>
      <c r="K302">
        <f t="shared" si="18"/>
        <v>-0.97535079097672628</v>
      </c>
      <c r="M302">
        <f t="shared" si="19"/>
        <v>-0.89280737769127239</v>
      </c>
      <c r="P302" t="s">
        <v>1456</v>
      </c>
      <c r="Q302" s="15" t="s">
        <v>1686</v>
      </c>
    </row>
    <row r="303" spans="1:17">
      <c r="A303" s="2" t="s">
        <v>413</v>
      </c>
      <c r="B303" s="6" t="s">
        <v>976</v>
      </c>
      <c r="C303" s="7" t="str" cm="1">
        <f t="array" ref="C303">_xlfn.LET(
  _xlpm.s, UPPER(B303),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KAYFKAIVQRGKIPHIILHSP</v>
      </c>
      <c r="D303" s="4">
        <v>529</v>
      </c>
      <c r="E303" s="1">
        <v>6</v>
      </c>
      <c r="F303" s="1">
        <v>17</v>
      </c>
      <c r="G303" s="1">
        <v>2815</v>
      </c>
      <c r="I303">
        <f t="shared" si="16"/>
        <v>-0.95325125713097258</v>
      </c>
      <c r="J303">
        <f t="shared" si="17"/>
        <v>-0.95353189977847885</v>
      </c>
      <c r="K303">
        <f t="shared" si="18"/>
        <v>1.6749512222373346</v>
      </c>
      <c r="M303">
        <f t="shared" si="19"/>
        <v>-7.7277311557372316E-2</v>
      </c>
      <c r="P303" t="s">
        <v>1590</v>
      </c>
      <c r="Q303" s="16" t="s">
        <v>1685</v>
      </c>
    </row>
    <row r="304" spans="1:17">
      <c r="A304" s="2" t="s">
        <v>414</v>
      </c>
      <c r="B304" s="6" t="s">
        <v>977</v>
      </c>
      <c r="C304" s="7" t="str" cm="1">
        <f t="array" ref="C304">_xlfn.LET(
  _xlpm.s, UPPER(B304),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KAYFKAIVAKGKIPHIILHSP</v>
      </c>
      <c r="D304" s="4">
        <v>472</v>
      </c>
      <c r="E304" s="1">
        <v>72</v>
      </c>
      <c r="F304" s="1">
        <v>142</v>
      </c>
      <c r="G304" s="1">
        <v>72</v>
      </c>
      <c r="I304">
        <f t="shared" si="16"/>
        <v>0.17544366231775022</v>
      </c>
      <c r="J304">
        <f t="shared" si="17"/>
        <v>1.7821196627401559E-2</v>
      </c>
      <c r="K304">
        <f t="shared" si="18"/>
        <v>0.13231899288233606</v>
      </c>
      <c r="M304">
        <f t="shared" si="19"/>
        <v>0.10852795060916261</v>
      </c>
      <c r="P304" t="s">
        <v>1343</v>
      </c>
      <c r="Q304" s="16" t="s">
        <v>1685</v>
      </c>
    </row>
    <row r="305" spans="1:17">
      <c r="A305" s="2" t="s">
        <v>415</v>
      </c>
      <c r="B305" s="6" t="s">
        <v>978</v>
      </c>
      <c r="C305" s="7" t="str" cm="1">
        <f t="array" ref="C305">_xlfn.LET(
  _xlpm.s, UPPER(B305),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KAYFKAIVARGKIPHIILHSP</v>
      </c>
      <c r="D305" s="4">
        <v>731</v>
      </c>
      <c r="E305" s="1">
        <v>26</v>
      </c>
      <c r="F305" s="1">
        <v>31</v>
      </c>
      <c r="G305" s="1">
        <v>40</v>
      </c>
      <c r="I305">
        <f t="shared" si="16"/>
        <v>-0.45689086446647309</v>
      </c>
      <c r="J305">
        <f t="shared" si="17"/>
        <v>-0.83308083224515495</v>
      </c>
      <c r="K305">
        <f t="shared" si="18"/>
        <v>-0.31292889054474271</v>
      </c>
      <c r="M305">
        <f t="shared" si="19"/>
        <v>-0.53430019575212351</v>
      </c>
      <c r="P305" t="s">
        <v>1579</v>
      </c>
      <c r="Q305" s="16" t="s">
        <v>1685</v>
      </c>
    </row>
    <row r="306" spans="1:17">
      <c r="A306" s="2" t="s">
        <v>416</v>
      </c>
      <c r="B306" s="6" t="s">
        <v>979</v>
      </c>
      <c r="C306" s="7" t="str" cm="1">
        <f t="array" ref="C306">_xlfn.LET(
  _xlpm.s, UPPER(B306),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KAYFKAIVASGKIPHIILHSP</v>
      </c>
      <c r="D306" s="4">
        <v>671</v>
      </c>
      <c r="E306" s="1">
        <v>15</v>
      </c>
      <c r="F306" s="1">
        <v>92</v>
      </c>
      <c r="G306" s="1">
        <v>10</v>
      </c>
      <c r="I306">
        <f t="shared" si="16"/>
        <v>-0.65857809659274125</v>
      </c>
      <c r="J306">
        <f t="shared" si="17"/>
        <v>-0.32345984194500388</v>
      </c>
      <c r="K306">
        <f t="shared" si="18"/>
        <v>-0.87779402508383675</v>
      </c>
      <c r="M306">
        <f t="shared" si="19"/>
        <v>-0.61994398787386062</v>
      </c>
      <c r="P306" t="s">
        <v>1334</v>
      </c>
      <c r="Q306" s="15" t="s">
        <v>1686</v>
      </c>
    </row>
    <row r="307" spans="1:17">
      <c r="A307" s="2" t="s">
        <v>417</v>
      </c>
      <c r="B307" s="6" t="s">
        <v>980</v>
      </c>
      <c r="C307" s="7" t="str" cm="1">
        <f t="array" ref="C307">_xlfn.LET(
  _xlpm.s, UPPER(B307),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KAYFKSIVARGKIPHIILHSP</v>
      </c>
      <c r="D307" s="4">
        <v>521</v>
      </c>
      <c r="E307" s="1">
        <v>29</v>
      </c>
      <c r="F307" s="1">
        <v>39</v>
      </c>
      <c r="G307" s="1">
        <v>55</v>
      </c>
      <c r="I307">
        <f t="shared" si="16"/>
        <v>-0.2623865608799989</v>
      </c>
      <c r="J307">
        <f t="shared" si="17"/>
        <v>-0.5862982653945924</v>
      </c>
      <c r="K307">
        <f t="shared" si="18"/>
        <v>-2.7546538720125358E-2</v>
      </c>
      <c r="M307">
        <f t="shared" si="19"/>
        <v>-0.29207712166490557</v>
      </c>
      <c r="P307" t="s">
        <v>1288</v>
      </c>
      <c r="Q307" s="16" t="s">
        <v>1685</v>
      </c>
    </row>
    <row r="308" spans="1:17">
      <c r="A308" s="2" t="s">
        <v>418</v>
      </c>
      <c r="B308" s="6" t="s">
        <v>981</v>
      </c>
      <c r="C308" s="7" t="str" cm="1">
        <f t="array" ref="C308">_xlfn.LET(
  _xlpm.s, UPPER(B308),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KAYFKSIVASGKIPHIILHSP</v>
      </c>
      <c r="D308" s="4">
        <v>513</v>
      </c>
      <c r="E308" s="1">
        <v>16</v>
      </c>
      <c r="F308" s="1">
        <v>50</v>
      </c>
      <c r="G308" s="1">
        <v>10</v>
      </c>
      <c r="I308">
        <f t="shared" si="16"/>
        <v>-0.51394421793532197</v>
      </c>
      <c r="J308">
        <f t="shared" si="17"/>
        <v>-0.47167250989736453</v>
      </c>
      <c r="K308">
        <f t="shared" si="18"/>
        <v>-0.76118887002666091</v>
      </c>
      <c r="M308">
        <f t="shared" si="19"/>
        <v>-0.58226853261978251</v>
      </c>
      <c r="P308" t="s">
        <v>1517</v>
      </c>
      <c r="Q308" s="16" t="s">
        <v>1685</v>
      </c>
    </row>
    <row r="309" spans="1:17">
      <c r="A309" s="2" t="s">
        <v>419</v>
      </c>
      <c r="B309" s="6" t="s">
        <v>982</v>
      </c>
      <c r="C309" s="7" t="str" cm="1">
        <f t="array" ref="C309">_xlfn.LET(
  _xlpm.s, UPPER(B309),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KAYFRAIVARGKIPHIILHSP</v>
      </c>
      <c r="D309" s="4">
        <v>1000</v>
      </c>
      <c r="E309" s="1">
        <v>47</v>
      </c>
      <c r="F309" s="1">
        <v>45</v>
      </c>
      <c r="G309" s="1">
        <v>26</v>
      </c>
      <c r="I309">
        <f t="shared" si="16"/>
        <v>-0.33584897754371301</v>
      </c>
      <c r="J309">
        <f t="shared" si="17"/>
        <v>-0.80731263534622333</v>
      </c>
      <c r="K309">
        <f t="shared" si="18"/>
        <v>-0.63609815694402672</v>
      </c>
      <c r="M309">
        <f t="shared" si="19"/>
        <v>-0.59308658994465435</v>
      </c>
      <c r="P309" t="s">
        <v>1230</v>
      </c>
      <c r="Q309" s="16" t="s">
        <v>1685</v>
      </c>
    </row>
    <row r="310" spans="1:17">
      <c r="A310" s="2" t="s">
        <v>420</v>
      </c>
      <c r="B310" s="6" t="s">
        <v>983</v>
      </c>
      <c r="C310" s="7" t="str" cm="1">
        <f t="array" ref="C310">_xlfn.LET(
  _xlpm.s, UPPER(B310),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KAFFKDIVKKGKIPHIILHSP</v>
      </c>
      <c r="D310" s="4">
        <v>160</v>
      </c>
      <c r="E310" s="1">
        <v>221</v>
      </c>
      <c r="F310" s="1">
        <v>14</v>
      </c>
      <c r="G310" s="1">
        <v>25</v>
      </c>
      <c r="I310">
        <f t="shared" si="16"/>
        <v>1.1323254555497555</v>
      </c>
      <c r="J310">
        <f t="shared" si="17"/>
        <v>-0.51851709609925389</v>
      </c>
      <c r="K310">
        <f t="shared" si="18"/>
        <v>0.14274852110126812</v>
      </c>
      <c r="M310">
        <f t="shared" si="19"/>
        <v>0.25218562685058993</v>
      </c>
      <c r="P310" t="s">
        <v>1528</v>
      </c>
      <c r="Q310" s="16" t="s">
        <v>1685</v>
      </c>
    </row>
    <row r="311" spans="1:17">
      <c r="A311" s="2" t="s">
        <v>421</v>
      </c>
      <c r="B311" s="6" t="s">
        <v>984</v>
      </c>
      <c r="C311" s="7" t="str" cm="1">
        <f t="array" ref="C311">_xlfn.LET(
  _xlpm.s, UPPER(B311),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KAFFKDIVKSGKIPHIILHSP</v>
      </c>
      <c r="D311" s="4">
        <v>254</v>
      </c>
      <c r="E311" s="1">
        <v>41</v>
      </c>
      <c r="F311" s="1">
        <v>38</v>
      </c>
      <c r="G311" s="1">
        <v>43</v>
      </c>
      <c r="I311">
        <f t="shared" si="16"/>
        <v>0.20000330462036686</v>
      </c>
      <c r="J311">
        <f t="shared" si="17"/>
        <v>-0.28557526912469489</v>
      </c>
      <c r="K311">
        <f t="shared" si="18"/>
        <v>0.17756323404480379</v>
      </c>
      <c r="M311">
        <f t="shared" si="19"/>
        <v>3.0663756513491919E-2</v>
      </c>
      <c r="P311" t="s">
        <v>1508</v>
      </c>
      <c r="Q311" s="15" t="s">
        <v>1686</v>
      </c>
    </row>
    <row r="312" spans="1:17">
      <c r="A312" s="2" t="s">
        <v>422</v>
      </c>
      <c r="B312" s="6" t="s">
        <v>985</v>
      </c>
      <c r="C312" s="7" t="str" cm="1">
        <f t="array" ref="C312">_xlfn.LET(
  _xlpm.s, UPPER(B312),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KAFFKDIVARGKIPHIILHSP</v>
      </c>
      <c r="D312" s="4">
        <v>444</v>
      </c>
      <c r="E312" s="1">
        <v>15</v>
      </c>
      <c r="F312" s="1">
        <v>358</v>
      </c>
      <c r="G312" s="1">
        <v>12</v>
      </c>
      <c r="I312">
        <f t="shared" si="16"/>
        <v>-0.47923854653836906</v>
      </c>
      <c r="J312">
        <f t="shared" si="17"/>
        <v>0.44597490740768747</v>
      </c>
      <c r="K312">
        <f t="shared" si="18"/>
        <v>-0.61927322898183967</v>
      </c>
      <c r="M312">
        <f t="shared" si="19"/>
        <v>-0.21751228937084041</v>
      </c>
      <c r="P312" t="s">
        <v>1190</v>
      </c>
      <c r="Q312" s="16" t="s">
        <v>1685</v>
      </c>
    </row>
    <row r="313" spans="1:17">
      <c r="A313" s="2" t="s">
        <v>423</v>
      </c>
      <c r="B313" s="6" t="s">
        <v>986</v>
      </c>
      <c r="C313" s="7" t="str" cm="1">
        <f t="array" ref="C313">_xlfn.LET(
  _xlpm.s, UPPER(B313),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KAFFKDIVAAGKIPHIILHSP</v>
      </c>
      <c r="D313" s="4">
        <v>419</v>
      </c>
      <c r="E313" s="1">
        <v>26</v>
      </c>
      <c r="F313" s="1">
        <v>16</v>
      </c>
      <c r="G313" s="1">
        <v>44</v>
      </c>
      <c r="I313">
        <f t="shared" si="16"/>
        <v>-0.21518751047490792</v>
      </c>
      <c r="J313">
        <f t="shared" si="17"/>
        <v>-0.87861918943193762</v>
      </c>
      <c r="K313">
        <f t="shared" si="18"/>
        <v>-2.9832851394952509E-2</v>
      </c>
      <c r="M313">
        <f t="shared" si="19"/>
        <v>-0.37454651710059944</v>
      </c>
      <c r="P313" t="s">
        <v>1536</v>
      </c>
      <c r="Q313" s="15" t="s">
        <v>1686</v>
      </c>
    </row>
    <row r="314" spans="1:17">
      <c r="A314" s="2" t="s">
        <v>424</v>
      </c>
      <c r="B314" s="6" t="s">
        <v>987</v>
      </c>
      <c r="C314" s="7" t="str" cm="1">
        <f t="array" ref="C314">_xlfn.LET(
  _xlpm.s, UPPER(B314),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KAFFKDIVASGKIPHIILHSP</v>
      </c>
      <c r="D314" s="4">
        <v>404</v>
      </c>
      <c r="E314" s="1">
        <v>20</v>
      </c>
      <c r="F314" s="1">
        <v>13</v>
      </c>
      <c r="G314" s="1">
        <v>21</v>
      </c>
      <c r="I314">
        <f t="shared" si="16"/>
        <v>-0.3132982049260542</v>
      </c>
      <c r="J314">
        <f t="shared" si="17"/>
        <v>-0.95296316192533526</v>
      </c>
      <c r="K314">
        <f t="shared" si="18"/>
        <v>-0.33523357529153031</v>
      </c>
      <c r="M314">
        <f t="shared" si="19"/>
        <v>-0.53383164738097322</v>
      </c>
      <c r="P314" t="s">
        <v>1646</v>
      </c>
      <c r="Q314" s="15" t="s">
        <v>1686</v>
      </c>
    </row>
    <row r="315" spans="1:17">
      <c r="A315" s="2" t="s">
        <v>425</v>
      </c>
      <c r="B315" s="6" t="s">
        <v>988</v>
      </c>
      <c r="C315" s="7" t="str" cm="1">
        <f t="array" ref="C315">_xlfn.LET(
  _xlpm.s, UPPER(B315),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KAFFKAIVKKGKIPHIILHSP</v>
      </c>
      <c r="D315" s="4">
        <v>259</v>
      </c>
      <c r="E315" s="1">
        <v>13</v>
      </c>
      <c r="F315" s="1">
        <v>15</v>
      </c>
      <c r="G315" s="1">
        <v>4</v>
      </c>
      <c r="I315">
        <f t="shared" si="16"/>
        <v>-0.30730324725384572</v>
      </c>
      <c r="J315">
        <f t="shared" si="17"/>
        <v>-0.69773365414713762</v>
      </c>
      <c r="K315">
        <f t="shared" si="18"/>
        <v>-0.86231127766813409</v>
      </c>
      <c r="M315">
        <f t="shared" si="19"/>
        <v>-0.62244939302303914</v>
      </c>
      <c r="P315" t="s">
        <v>1217</v>
      </c>
      <c r="Q315" s="15" t="s">
        <v>1686</v>
      </c>
    </row>
    <row r="316" spans="1:17">
      <c r="A316" s="2" t="s">
        <v>426</v>
      </c>
      <c r="B316" s="6" t="s">
        <v>989</v>
      </c>
      <c r="C316" s="7" t="str" cm="1">
        <f t="array" ref="C316">_xlfn.LET(
  _xlpm.s, UPPER(B316),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KAFFKAIVKRGKIPHIILHSP</v>
      </c>
      <c r="D316" s="4">
        <v>506</v>
      </c>
      <c r="E316" s="1">
        <v>23</v>
      </c>
      <c r="F316" s="1">
        <v>35</v>
      </c>
      <c r="G316" s="1">
        <v>20</v>
      </c>
      <c r="I316">
        <f t="shared" si="16"/>
        <v>-0.35036951630163671</v>
      </c>
      <c r="J316">
        <f t="shared" si="17"/>
        <v>-0.62060762161109062</v>
      </c>
      <c r="K316">
        <f t="shared" si="18"/>
        <v>-0.45419202609066267</v>
      </c>
      <c r="M316">
        <f t="shared" si="19"/>
        <v>-0.47505638800112998</v>
      </c>
      <c r="P316" t="s">
        <v>1449</v>
      </c>
      <c r="Q316" s="15" t="s">
        <v>1686</v>
      </c>
    </row>
    <row r="317" spans="1:17">
      <c r="A317" s="2" t="s">
        <v>427</v>
      </c>
      <c r="B317" s="6" t="s">
        <v>990</v>
      </c>
      <c r="C317" s="7" t="str" cm="1">
        <f t="array" ref="C317">_xlfn.LET(
  _xlpm.s, UPPER(B317),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KAFFKAIVEKGKIPHIILHSP</v>
      </c>
      <c r="D317" s="4">
        <v>298</v>
      </c>
      <c r="E317" s="1">
        <v>20</v>
      </c>
      <c r="F317" s="1">
        <v>20</v>
      </c>
      <c r="G317" s="1">
        <v>15</v>
      </c>
      <c r="I317">
        <f t="shared" si="16"/>
        <v>-0.18113310389170456</v>
      </c>
      <c r="J317">
        <f t="shared" si="17"/>
        <v>-0.63371141753384108</v>
      </c>
      <c r="K317">
        <f t="shared" si="18"/>
        <v>-0.34919650993541862</v>
      </c>
      <c r="M317">
        <f t="shared" si="19"/>
        <v>-0.38801367712032137</v>
      </c>
      <c r="P317" t="s">
        <v>1252</v>
      </c>
      <c r="Q317" s="16" t="s">
        <v>1685</v>
      </c>
    </row>
    <row r="318" spans="1:17">
      <c r="A318" s="2" t="s">
        <v>428</v>
      </c>
      <c r="B318" s="6" t="s">
        <v>991</v>
      </c>
      <c r="C318" s="7" t="str" cm="1">
        <f t="array" ref="C318">_xlfn.LET(
  _xlpm.s, UPPER(B318),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KAFFKAIVERGKIPHIILHSP</v>
      </c>
      <c r="D318" s="4">
        <v>568</v>
      </c>
      <c r="E318" s="1">
        <v>38</v>
      </c>
      <c r="F318" s="1">
        <v>8</v>
      </c>
      <c r="G318" s="1">
        <v>50</v>
      </c>
      <c r="I318">
        <f t="shared" si="16"/>
        <v>-0.1825115745736392</v>
      </c>
      <c r="J318">
        <f t="shared" si="17"/>
        <v>-1.3117834978406422</v>
      </c>
      <c r="K318">
        <f t="shared" si="18"/>
        <v>-0.10644983628984472</v>
      </c>
      <c r="M318">
        <f t="shared" si="19"/>
        <v>-0.53358163623470867</v>
      </c>
      <c r="P318" t="s">
        <v>1499</v>
      </c>
      <c r="Q318" s="16" t="s">
        <v>1685</v>
      </c>
    </row>
    <row r="319" spans="1:17">
      <c r="A319" s="2" t="s">
        <v>429</v>
      </c>
      <c r="B319" s="6" t="s">
        <v>992</v>
      </c>
      <c r="C319" s="7" t="str" cm="1">
        <f t="array" ref="C319">_xlfn.LET(
  _xlpm.s, UPPER(B319),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KAFFKAIVAKGKIPHIILHSP</v>
      </c>
      <c r="D319" s="4">
        <v>507</v>
      </c>
      <c r="E319" s="1">
        <v>8</v>
      </c>
      <c r="F319" s="1">
        <v>2</v>
      </c>
      <c r="G319" s="1">
        <v>76</v>
      </c>
      <c r="I319">
        <f t="shared" si="16"/>
        <v>-0.80986480782082282</v>
      </c>
      <c r="J319">
        <f t="shared" si="17"/>
        <v>-1.864503112790922</v>
      </c>
      <c r="K319">
        <f t="shared" si="18"/>
        <v>0.12473412803261064</v>
      </c>
      <c r="M319">
        <f t="shared" si="19"/>
        <v>-0.84987793085971131</v>
      </c>
      <c r="P319" t="s">
        <v>1566</v>
      </c>
      <c r="Q319" s="15" t="s">
        <v>1686</v>
      </c>
    </row>
    <row r="320" spans="1:17">
      <c r="A320" s="2" t="s">
        <v>430</v>
      </c>
      <c r="B320" s="6" t="s">
        <v>993</v>
      </c>
      <c r="C320" s="7" t="str" cm="1">
        <f t="array" ref="C320">_xlfn.LET(
  _xlpm.s, UPPER(B320),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KAFFKAIVARGKIPHIILHSP</v>
      </c>
      <c r="D320" s="4">
        <v>724</v>
      </c>
      <c r="E320" s="1">
        <v>36</v>
      </c>
      <c r="F320" s="1">
        <v>25</v>
      </c>
      <c r="G320" s="1">
        <v>41</v>
      </c>
      <c r="I320">
        <f t="shared" si="16"/>
        <v>-0.31138290090929011</v>
      </c>
      <c r="J320">
        <f t="shared" si="17"/>
        <v>-0.9223237066466764</v>
      </c>
      <c r="K320">
        <f t="shared" si="18"/>
        <v>-0.29802621439225607</v>
      </c>
      <c r="M320">
        <f t="shared" si="19"/>
        <v>-0.51057760731607427</v>
      </c>
      <c r="P320" t="s">
        <v>1473</v>
      </c>
      <c r="Q320" s="16" t="s">
        <v>1685</v>
      </c>
    </row>
    <row r="321" spans="1:17">
      <c r="A321" s="2" t="s">
        <v>431</v>
      </c>
      <c r="B321" s="6" t="s">
        <v>994</v>
      </c>
      <c r="C321" s="7" t="str" cm="1">
        <f t="array" ref="C321">_xlfn.LET(
  _xlpm.s, UPPER(B321),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KAFFKAIVASGKIPHIILHSP</v>
      </c>
      <c r="D321" s="4">
        <v>809</v>
      </c>
      <c r="E321" s="1">
        <v>12</v>
      </c>
      <c r="F321" s="1">
        <v>18</v>
      </c>
      <c r="G321" s="1">
        <v>12</v>
      </c>
      <c r="I321">
        <f t="shared" si="16"/>
        <v>-0.83671411104407789</v>
      </c>
      <c r="J321">
        <f t="shared" si="17"/>
        <v>-1.1132011656305334</v>
      </c>
      <c r="K321">
        <f t="shared" si="18"/>
        <v>-0.87983878047949204</v>
      </c>
      <c r="M321">
        <f t="shared" si="19"/>
        <v>-0.94325135238470104</v>
      </c>
      <c r="P321" t="s">
        <v>1168</v>
      </c>
      <c r="Q321" s="14" t="s">
        <v>1685</v>
      </c>
    </row>
    <row r="322" spans="1:17">
      <c r="A322" s="2" t="s">
        <v>432</v>
      </c>
      <c r="B322" s="6" t="s">
        <v>995</v>
      </c>
      <c r="C322" s="7" t="str" cm="1">
        <f t="array" ref="C322">_xlfn.LET(
  _xlpm.s, UPPER(B322),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KAFFKSIVEKGKIPHIILHSP</v>
      </c>
      <c r="D322" s="4">
        <v>224</v>
      </c>
      <c r="E322" s="1">
        <v>53</v>
      </c>
      <c r="F322" s="1">
        <v>35</v>
      </c>
      <c r="G322" s="1">
        <v>58</v>
      </c>
      <c r="I322">
        <f t="shared" ref="I322:I385" si="20">LOG(E322/D322)-LOG(182/1787)</f>
        <v>0.36608101578719565</v>
      </c>
      <c r="J322">
        <f t="shared" ref="J322:J385" si="21">LOG(F322/D322)-LOG(516/1787)</f>
        <v>-0.26670512310545424</v>
      </c>
      <c r="K322">
        <f t="shared" ref="K322:K385" si="22">LOG(G322/D322)-LOG(201/1787)</f>
        <v>0.36210847031392979</v>
      </c>
      <c r="M322">
        <f t="shared" ref="M322:M385" si="23">AVERAGE(I322:K322)</f>
        <v>0.15382812099855706</v>
      </c>
      <c r="P322" t="s">
        <v>1310</v>
      </c>
      <c r="Q322" s="16" t="s">
        <v>1685</v>
      </c>
    </row>
    <row r="323" spans="1:17">
      <c r="A323" s="2" t="s">
        <v>433</v>
      </c>
      <c r="B323" s="6" t="s">
        <v>996</v>
      </c>
      <c r="C323" s="7" t="str" cm="1">
        <f t="array" ref="C323">_xlfn.LET(
  _xlpm.s, UPPER(B323),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KAFFKSIVAKGKIPHIILHSP</v>
      </c>
      <c r="D323" s="4">
        <v>318</v>
      </c>
      <c r="E323" s="1">
        <v>37</v>
      </c>
      <c r="F323" s="1">
        <v>29</v>
      </c>
      <c r="G323" s="1">
        <v>8</v>
      </c>
      <c r="I323">
        <f t="shared" si="20"/>
        <v>5.7827768603131768E-2</v>
      </c>
      <c r="J323">
        <f t="shared" si="21"/>
        <v>-0.50055427120704377</v>
      </c>
      <c r="K323">
        <f t="shared" si="22"/>
        <v>-0.65040863790733372</v>
      </c>
      <c r="M323">
        <f t="shared" si="23"/>
        <v>-0.36437838017041524</v>
      </c>
      <c r="P323" t="s">
        <v>1506</v>
      </c>
      <c r="Q323" s="15" t="s">
        <v>1686</v>
      </c>
    </row>
    <row r="324" spans="1:17">
      <c r="A324" s="2" t="s">
        <v>434</v>
      </c>
      <c r="B324" s="6" t="s">
        <v>997</v>
      </c>
      <c r="C324" s="7" t="str" cm="1">
        <f t="array" ref="C324">_xlfn.LET(
  _xlpm.s, UPPER(B324),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KAFFKSIVARGKIPHIILHSP</v>
      </c>
      <c r="D324" s="4">
        <v>551</v>
      </c>
      <c r="E324" s="1">
        <v>59</v>
      </c>
      <c r="F324" s="1">
        <v>11</v>
      </c>
      <c r="G324" s="1">
        <v>83</v>
      </c>
      <c r="I324">
        <f t="shared" si="20"/>
        <v>2.175357731092864E-2</v>
      </c>
      <c r="J324">
        <f t="shared" si="21"/>
        <v>-1.1602840628151272</v>
      </c>
      <c r="K324">
        <f t="shared" si="22"/>
        <v>0.12685498860944422</v>
      </c>
      <c r="M324">
        <f t="shared" si="23"/>
        <v>-0.33722516563158472</v>
      </c>
      <c r="P324" t="s">
        <v>1275</v>
      </c>
      <c r="Q324" s="16" t="s">
        <v>1685</v>
      </c>
    </row>
    <row r="325" spans="1:17">
      <c r="A325" s="2" t="s">
        <v>435</v>
      </c>
      <c r="B325" s="6" t="s">
        <v>998</v>
      </c>
      <c r="C325" s="7" t="str" cm="1">
        <f t="array" ref="C325">_xlfn.LET(
  _xlpm.s, UPPER(B325),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KAFFKSIVASGKIPHIILHSP</v>
      </c>
      <c r="D325" s="4">
        <v>535</v>
      </c>
      <c r="E325" s="1">
        <v>36</v>
      </c>
      <c r="F325" s="1">
        <v>92</v>
      </c>
      <c r="G325" s="1">
        <v>31</v>
      </c>
      <c r="I325">
        <f t="shared" si="20"/>
        <v>-0.17999811673337174</v>
      </c>
      <c r="J325">
        <f t="shared" si="21"/>
        <v>-0.22509110379724018</v>
      </c>
      <c r="K325">
        <f t="shared" si="22"/>
        <v>-0.28806359310180052</v>
      </c>
      <c r="M325">
        <f t="shared" si="23"/>
        <v>-0.2310509378774708</v>
      </c>
      <c r="P325" t="s">
        <v>1655</v>
      </c>
      <c r="Q325" s="16" t="s">
        <v>1685</v>
      </c>
    </row>
    <row r="326" spans="1:17">
      <c r="A326" s="2" t="s">
        <v>436</v>
      </c>
      <c r="B326" s="6" t="s">
        <v>999</v>
      </c>
      <c r="C326" s="7" t="str" cm="1">
        <f t="array" ref="C326">_xlfn.LET(
  _xlpm.s, UPPER(B326),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KAFFKSIVSSGKIPHIILHSP</v>
      </c>
      <c r="D326" s="4">
        <v>295</v>
      </c>
      <c r="E326" s="1">
        <v>17</v>
      </c>
      <c r="F326" s="1">
        <v>12</v>
      </c>
      <c r="G326" s="1">
        <v>28</v>
      </c>
      <c r="I326">
        <f t="shared" si="20"/>
        <v>-0.24731993007931963</v>
      </c>
      <c r="J326">
        <f t="shared" si="21"/>
        <v>-0.85116591905210515</v>
      </c>
      <c r="K326">
        <f t="shared" si="22"/>
        <v>-7.3735489550788458E-2</v>
      </c>
      <c r="M326">
        <f t="shared" si="23"/>
        <v>-0.39074044622740445</v>
      </c>
      <c r="P326" t="s">
        <v>1670</v>
      </c>
      <c r="Q326" s="15" t="s">
        <v>1686</v>
      </c>
    </row>
    <row r="327" spans="1:17">
      <c r="A327" s="2" t="s">
        <v>437</v>
      </c>
      <c r="B327" s="6" t="s">
        <v>1000</v>
      </c>
      <c r="C327" s="7" t="str" cm="1">
        <f t="array" ref="C327">_xlfn.LET(
  _xlpm.s, UPPER(B327),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KAFFRAIVKRGKIPHIILHSP</v>
      </c>
      <c r="D327" s="4">
        <v>761</v>
      </c>
      <c r="E327" s="1">
        <v>7</v>
      </c>
      <c r="F327" s="1">
        <v>11</v>
      </c>
      <c r="G327" s="1">
        <v>21</v>
      </c>
      <c r="I327">
        <f t="shared" si="20"/>
        <v>-1.0442334522357464</v>
      </c>
      <c r="J327">
        <f t="shared" si="21"/>
        <v>-1.300517120733915</v>
      </c>
      <c r="K327">
        <f t="shared" si="22"/>
        <v>-0.61023686695149837</v>
      </c>
      <c r="M327">
        <f t="shared" si="23"/>
        <v>-0.98499581330705333</v>
      </c>
      <c r="P327" t="s">
        <v>1438</v>
      </c>
      <c r="Q327" s="15" t="s">
        <v>1686</v>
      </c>
    </row>
    <row r="328" spans="1:17">
      <c r="A328" s="2" t="s">
        <v>438</v>
      </c>
      <c r="B328" s="6" t="s">
        <v>1001</v>
      </c>
      <c r="C328" s="7" t="str" cm="1">
        <f t="array" ref="C328">_xlfn.LET(
  _xlpm.s, UPPER(B328),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KAFFRAIVAKGKIPHIILHSP</v>
      </c>
      <c r="D328" s="4">
        <v>696</v>
      </c>
      <c r="E328" s="1">
        <v>14</v>
      </c>
      <c r="F328" s="1">
        <v>11</v>
      </c>
      <c r="G328" s="1">
        <v>33</v>
      </c>
      <c r="I328">
        <f t="shared" si="20"/>
        <v>-0.70442803941175458</v>
      </c>
      <c r="J328">
        <f t="shared" si="21"/>
        <v>-1.2617417035739042</v>
      </c>
      <c r="K328">
        <f t="shared" si="22"/>
        <v>-0.37516680464751939</v>
      </c>
      <c r="M328">
        <f t="shared" si="23"/>
        <v>-0.78044551587772604</v>
      </c>
      <c r="P328" t="s">
        <v>1339</v>
      </c>
      <c r="Q328" s="15" t="s">
        <v>1686</v>
      </c>
    </row>
    <row r="329" spans="1:17">
      <c r="A329" s="2" t="s">
        <v>439</v>
      </c>
      <c r="B329" s="6" t="s">
        <v>1002</v>
      </c>
      <c r="C329" s="7" t="str" cm="1">
        <f t="array" ref="C329">_xlfn.LET(
  _xlpm.s, UPPER(B329),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KAFFRAIVASGKIPHIILHSP</v>
      </c>
      <c r="D329" s="4">
        <v>1253</v>
      </c>
      <c r="E329" s="1">
        <v>27</v>
      </c>
      <c r="F329" s="1">
        <v>13</v>
      </c>
      <c r="G329" s="1">
        <v>59</v>
      </c>
      <c r="I329">
        <f t="shared" si="20"/>
        <v>-0.67453414231459319</v>
      </c>
      <c r="J329">
        <f t="shared" si="21"/>
        <v>-1.4445328678088805</v>
      </c>
      <c r="K329">
        <f t="shared" si="22"/>
        <v>-0.37817056426685047</v>
      </c>
      <c r="M329">
        <f t="shared" si="23"/>
        <v>-0.83241252479677474</v>
      </c>
      <c r="P329" t="s">
        <v>1279</v>
      </c>
      <c r="Q329" s="16" t="s">
        <v>1685</v>
      </c>
    </row>
    <row r="330" spans="1:17">
      <c r="A330" s="2" t="s">
        <v>440</v>
      </c>
      <c r="B330" s="6" t="s">
        <v>1003</v>
      </c>
      <c r="C330" s="7" t="str" cm="1">
        <f t="array" ref="C330">_xlfn.LET(
  _xlpm.s, UPPER(B330),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KAFFRSIVARGKIPHIILHSP</v>
      </c>
      <c r="D330" s="4">
        <v>892</v>
      </c>
      <c r="E330" s="1">
        <v>40</v>
      </c>
      <c r="F330" s="1">
        <v>9</v>
      </c>
      <c r="G330" s="1">
        <v>135</v>
      </c>
      <c r="I330">
        <f t="shared" si="20"/>
        <v>-0.3562516985275912</v>
      </c>
      <c r="J330">
        <f t="shared" si="21"/>
        <v>-1.4566474940583651</v>
      </c>
      <c r="K330">
        <f t="shared" si="22"/>
        <v>0.12889740920403836</v>
      </c>
      <c r="M330">
        <f t="shared" si="23"/>
        <v>-0.56133392779397262</v>
      </c>
      <c r="P330" t="s">
        <v>1475</v>
      </c>
      <c r="Q330" s="16" t="s">
        <v>1685</v>
      </c>
    </row>
    <row r="331" spans="1:17">
      <c r="A331" s="2" t="s">
        <v>441</v>
      </c>
      <c r="B331" s="6" t="s">
        <v>1004</v>
      </c>
      <c r="C331" s="7" t="str" cm="1">
        <f t="array" ref="C331">_xlfn.LET(
  _xlpm.s, UPPER(B331),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KAFFEAIVKRGKIPHIILHSP</v>
      </c>
      <c r="D331" s="4">
        <v>591</v>
      </c>
      <c r="E331" s="1">
        <v>178</v>
      </c>
      <c r="F331" s="1">
        <v>29</v>
      </c>
      <c r="G331" s="1">
        <v>215</v>
      </c>
      <c r="I331">
        <f t="shared" si="20"/>
        <v>0.47088568594820801</v>
      </c>
      <c r="J331">
        <f t="shared" si="21"/>
        <v>-0.76971463210386626</v>
      </c>
      <c r="K331">
        <f t="shared" si="22"/>
        <v>0.5097794741195053</v>
      </c>
      <c r="M331">
        <f t="shared" si="23"/>
        <v>7.0316842654615686E-2</v>
      </c>
      <c r="P331" t="s">
        <v>1581</v>
      </c>
      <c r="Q331" s="16" t="s">
        <v>1685</v>
      </c>
    </row>
    <row r="332" spans="1:17">
      <c r="A332" s="2" t="s">
        <v>442</v>
      </c>
      <c r="B332" s="6" t="s">
        <v>1005</v>
      </c>
      <c r="C332" s="7" t="str" cm="1">
        <f t="array" ref="C332">_xlfn.LET(
  _xlpm.s, UPPER(B332),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KGFFKAIVAKGKIPHIILHSP</v>
      </c>
      <c r="D332" s="4">
        <v>307</v>
      </c>
      <c r="E332" s="1">
        <v>29</v>
      </c>
      <c r="F332" s="1">
        <v>30</v>
      </c>
      <c r="G332" s="1">
        <v>45</v>
      </c>
      <c r="I332">
        <f t="shared" si="20"/>
        <v>-3.268721305766098E-2</v>
      </c>
      <c r="J332">
        <f t="shared" si="21"/>
        <v>-0.4705422698790912</v>
      </c>
      <c r="K332">
        <f t="shared" si="22"/>
        <v>0.11500263338331251</v>
      </c>
      <c r="M332">
        <f t="shared" si="23"/>
        <v>-0.12940894985114657</v>
      </c>
      <c r="P332" t="s">
        <v>1201</v>
      </c>
      <c r="Q332" s="16" t="s">
        <v>1685</v>
      </c>
    </row>
    <row r="333" spans="1:17">
      <c r="A333" s="2" t="s">
        <v>443</v>
      </c>
      <c r="B333" s="6" t="s">
        <v>1006</v>
      </c>
      <c r="C333" s="7" t="str" cm="1">
        <f t="array" ref="C333">_xlfn.LET(
  _xlpm.s, UPPER(B333),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KSLMKEIAASGKIPHIILHSP</v>
      </c>
      <c r="D333" s="4">
        <v>552</v>
      </c>
      <c r="E333" s="1">
        <v>10</v>
      </c>
      <c r="F333" s="1">
        <v>10</v>
      </c>
      <c r="G333" s="1">
        <v>9</v>
      </c>
      <c r="I333">
        <f t="shared" si="20"/>
        <v>-0.74988591320862952</v>
      </c>
      <c r="J333">
        <f t="shared" si="21"/>
        <v>-1.2024642268507661</v>
      </c>
      <c r="K333">
        <f t="shared" si="22"/>
        <v>-0.83876807320471869</v>
      </c>
      <c r="M333">
        <f t="shared" si="23"/>
        <v>-0.93037273775470475</v>
      </c>
      <c r="P333" t="s">
        <v>1123</v>
      </c>
      <c r="Q333" s="16" t="s">
        <v>1685</v>
      </c>
    </row>
    <row r="334" spans="1:17">
      <c r="A334" s="2" t="s">
        <v>444</v>
      </c>
      <c r="B334" s="6" t="s">
        <v>1007</v>
      </c>
      <c r="C334" s="7" t="str" cm="1">
        <f t="array" ref="C334">_xlfn.LET(
  _xlpm.s, UPPER(B334),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KSLFKSIVKKGKIPHIILHSP</v>
      </c>
      <c r="D334" s="4">
        <v>204</v>
      </c>
      <c r="E334" s="1">
        <v>52</v>
      </c>
      <c r="F334" s="1">
        <v>53</v>
      </c>
      <c r="G334" s="1">
        <v>35</v>
      </c>
      <c r="I334">
        <f t="shared" si="20"/>
        <v>0.39842634072946981</v>
      </c>
      <c r="J334">
        <f t="shared" si="21"/>
        <v>-4.5879446946676783E-2</v>
      </c>
      <c r="K334">
        <f t="shared" si="22"/>
        <v>0.18336637200953221</v>
      </c>
      <c r="M334">
        <f t="shared" si="23"/>
        <v>0.17863775526410841</v>
      </c>
      <c r="P334" t="s">
        <v>1351</v>
      </c>
      <c r="Q334" s="15" t="s">
        <v>1686</v>
      </c>
    </row>
    <row r="335" spans="1:17">
      <c r="A335" s="2" t="s">
        <v>445</v>
      </c>
      <c r="B335" s="6" t="s">
        <v>1008</v>
      </c>
      <c r="C335" s="7" t="str" cm="1">
        <f t="array" ref="C335">_xlfn.LET(
  _xlpm.s, UPPER(B335),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KSLFKSIVAKGKIPHIILHSP</v>
      </c>
      <c r="D335" s="4">
        <v>356</v>
      </c>
      <c r="E335" s="1">
        <v>53</v>
      </c>
      <c r="F335" s="1">
        <v>16</v>
      </c>
      <c r="G335" s="1">
        <v>35</v>
      </c>
      <c r="I335">
        <f t="shared" si="20"/>
        <v>0.16487903614848332</v>
      </c>
      <c r="J335">
        <f t="shared" si="21"/>
        <v>-0.80785516443851757</v>
      </c>
      <c r="K335">
        <f t="shared" si="22"/>
        <v>-5.8453458537444103E-2</v>
      </c>
      <c r="M335">
        <f t="shared" si="23"/>
        <v>-0.23380986227582612</v>
      </c>
      <c r="P335" t="s">
        <v>1360</v>
      </c>
      <c r="Q335" s="16" t="s">
        <v>1685</v>
      </c>
    </row>
    <row r="336" spans="1:17">
      <c r="A336" s="2" t="s">
        <v>446</v>
      </c>
      <c r="B336" s="6" t="s">
        <v>1009</v>
      </c>
      <c r="C336" s="7" t="str" cm="1">
        <f t="array" ref="C336">_xlfn.LET(
  _xlpm.s, UPPER(B336),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KSYFKDIVKKGKIPHIILHSP</v>
      </c>
      <c r="D336" s="4">
        <v>127</v>
      </c>
      <c r="E336" s="1">
        <v>20</v>
      </c>
      <c r="F336" s="1">
        <v>87</v>
      </c>
      <c r="G336" s="1">
        <v>17</v>
      </c>
      <c r="I336">
        <f t="shared" si="20"/>
        <v>0.1892794392285938</v>
      </c>
      <c r="J336">
        <f t="shared" si="21"/>
        <v>0.3751903825410946</v>
      </c>
      <c r="K336">
        <f t="shared" si="22"/>
        <v>7.5573695507472394E-2</v>
      </c>
      <c r="M336">
        <f t="shared" si="23"/>
        <v>0.21334783909238694</v>
      </c>
      <c r="P336" t="s">
        <v>1469</v>
      </c>
      <c r="Q336" s="16" t="s">
        <v>1685</v>
      </c>
    </row>
    <row r="337" spans="1:17">
      <c r="A337" s="2" t="s">
        <v>447</v>
      </c>
      <c r="B337" s="6" t="s">
        <v>1010</v>
      </c>
      <c r="C337" s="7" t="str" cm="1">
        <f t="array" ref="C337">_xlfn.LET(
  _xlpm.s, UPPER(B337),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KSYFKAIVKKGKIPHIILHSP</v>
      </c>
      <c r="D337" s="4">
        <v>178</v>
      </c>
      <c r="E337" s="1">
        <v>30</v>
      </c>
      <c r="F337" s="1">
        <v>67</v>
      </c>
      <c r="G337" s="1">
        <v>114</v>
      </c>
      <c r="I337">
        <f t="shared" si="20"/>
        <v>0.2187544169313379</v>
      </c>
      <c r="J337">
        <f t="shared" si="21"/>
        <v>0.1151296512703654</v>
      </c>
      <c r="K337">
        <f t="shared" si="22"/>
        <v>0.75541334411273398</v>
      </c>
      <c r="M337">
        <f t="shared" si="23"/>
        <v>0.36309913743814576</v>
      </c>
      <c r="P337" t="s">
        <v>1582</v>
      </c>
      <c r="Q337" s="16" t="s">
        <v>1685</v>
      </c>
    </row>
    <row r="338" spans="1:17">
      <c r="A338" s="2" t="s">
        <v>448</v>
      </c>
      <c r="B338" s="6" t="s">
        <v>1011</v>
      </c>
      <c r="C338" s="7" t="str" cm="1">
        <f t="array" ref="C338">_xlfn.LET(
  _xlpm.s, UPPER(B338),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KSYFESIVKSGKIPHIILHSP</v>
      </c>
      <c r="D338" s="4">
        <v>210</v>
      </c>
      <c r="E338" s="1">
        <v>22</v>
      </c>
      <c r="F338" s="1">
        <v>17</v>
      </c>
      <c r="G338" s="1">
        <v>38</v>
      </c>
      <c r="I338">
        <f t="shared" si="20"/>
        <v>1.2256550608856442E-2</v>
      </c>
      <c r="J338">
        <f t="shared" si="21"/>
        <v>-0.55229552247721247</v>
      </c>
      <c r="K338">
        <f t="shared" si="22"/>
        <v>0.20649279696804623</v>
      </c>
      <c r="M338">
        <f t="shared" si="23"/>
        <v>-0.11118205830010326</v>
      </c>
      <c r="P338" t="s">
        <v>1335</v>
      </c>
      <c r="Q338" s="15" t="s">
        <v>1686</v>
      </c>
    </row>
    <row r="339" spans="1:17">
      <c r="A339" s="2" t="s">
        <v>449</v>
      </c>
      <c r="B339" s="6" t="s">
        <v>1012</v>
      </c>
      <c r="C339" s="7" t="str" cm="1">
        <f t="array" ref="C339">_xlfn.LET(
  _xlpm.s, UPPER(B339),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KSFFKEIVESGKIPHIILHSP</v>
      </c>
      <c r="D339" s="4">
        <v>166</v>
      </c>
      <c r="E339" s="1">
        <v>21</v>
      </c>
      <c r="F339" s="1">
        <v>22</v>
      </c>
      <c r="G339" s="1">
        <v>16</v>
      </c>
      <c r="I339">
        <f t="shared" si="20"/>
        <v>9.4164371214433551E-2</v>
      </c>
      <c r="J339">
        <f t="shared" si="21"/>
        <v>-0.33821055633941588</v>
      </c>
      <c r="K339">
        <f t="shared" si="22"/>
        <v>-6.7059610298974892E-2</v>
      </c>
      <c r="M339">
        <f t="shared" si="23"/>
        <v>-0.10370193180798574</v>
      </c>
      <c r="P339" t="s">
        <v>1127</v>
      </c>
      <c r="Q339" s="16" t="s">
        <v>1685</v>
      </c>
    </row>
    <row r="340" spans="1:17">
      <c r="A340" s="2" t="s">
        <v>450</v>
      </c>
      <c r="B340" s="6" t="s">
        <v>1013</v>
      </c>
      <c r="C340" s="7" t="str" cm="1">
        <f t="array" ref="C340">_xlfn.LET(
  _xlpm.s, UPPER(B340),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KSFFKAIVESGKIPHIILHSP</v>
      </c>
      <c r="D340" s="4">
        <v>274</v>
      </c>
      <c r="E340" s="1">
        <v>4</v>
      </c>
      <c r="F340" s="1">
        <v>3</v>
      </c>
      <c r="G340" s="1">
        <v>8</v>
      </c>
      <c r="I340">
        <f t="shared" si="20"/>
        <v>-0.84363740697185619</v>
      </c>
      <c r="J340">
        <f t="shared" si="21"/>
        <v>-1.4211544572222925</v>
      </c>
      <c r="K340">
        <f t="shared" si="22"/>
        <v>-0.58573208074328909</v>
      </c>
      <c r="M340">
        <f t="shared" si="23"/>
        <v>-0.95017464831247933</v>
      </c>
      <c r="P340" t="s">
        <v>1375</v>
      </c>
      <c r="Q340" s="15" t="s">
        <v>1686</v>
      </c>
    </row>
    <row r="341" spans="1:17">
      <c r="A341" s="2" t="s">
        <v>451</v>
      </c>
      <c r="B341" s="6" t="s">
        <v>1014</v>
      </c>
      <c r="C341" s="7" t="str" cm="1">
        <f t="array" ref="C341">_xlfn.LET(
  _xlpm.s, UPPER(B341),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KSFFKSIVASGKIPHIILHSP</v>
      </c>
      <c r="D341" s="4">
        <v>246</v>
      </c>
      <c r="E341" s="1">
        <v>1</v>
      </c>
      <c r="F341" s="1">
        <v>4</v>
      </c>
      <c r="G341" s="1">
        <v>6</v>
      </c>
      <c r="I341">
        <f t="shared" si="20"/>
        <v>-1.3988819425828094</v>
      </c>
      <c r="J341">
        <f t="shared" si="21"/>
        <v>-1.2494002648969835</v>
      </c>
      <c r="K341">
        <f t="shared" si="22"/>
        <v>-0.66385536163458014</v>
      </c>
      <c r="M341">
        <f t="shared" si="23"/>
        <v>-1.1040458563714577</v>
      </c>
      <c r="P341" t="s">
        <v>1177</v>
      </c>
      <c r="Q341" s="15" t="s">
        <v>1686</v>
      </c>
    </row>
    <row r="342" spans="1:17">
      <c r="A342" s="2" t="s">
        <v>452</v>
      </c>
      <c r="B342" s="6" t="s">
        <v>1015</v>
      </c>
      <c r="C342" s="7" t="str" cm="1">
        <f t="array" ref="C342">_xlfn.LET(
  _xlpm.s, UPPER(B342),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RKRMKEIAESGKIPHIILHSP</v>
      </c>
      <c r="D342" s="4">
        <v>770</v>
      </c>
      <c r="E342" s="1">
        <v>4</v>
      </c>
      <c r="F342" s="1">
        <v>13</v>
      </c>
      <c r="G342" s="1">
        <v>30</v>
      </c>
      <c r="I342">
        <f t="shared" si="20"/>
        <v>-1.2923775693239499</v>
      </c>
      <c r="J342">
        <f t="shared" si="21"/>
        <v>-1.2330725219872121</v>
      </c>
      <c r="K342">
        <f t="shared" si="22"/>
        <v>-0.46044097536766415</v>
      </c>
      <c r="M342">
        <f t="shared" si="23"/>
        <v>-0.99529702222627536</v>
      </c>
      <c r="P342" t="s">
        <v>1297</v>
      </c>
      <c r="Q342" s="16" t="s">
        <v>1685</v>
      </c>
    </row>
    <row r="343" spans="1:17">
      <c r="A343" s="2" t="s">
        <v>453</v>
      </c>
      <c r="B343" s="6" t="s">
        <v>1016</v>
      </c>
      <c r="C343" s="7" t="str" cm="1">
        <f t="array" ref="C343">_xlfn.LET(
  _xlpm.s, UPPER(B343),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RKRFKEIAASGKIPHIILHSP</v>
      </c>
      <c r="D343" s="4">
        <v>881</v>
      </c>
      <c r="E343" s="1">
        <v>26</v>
      </c>
      <c r="F343" s="1">
        <v>6</v>
      </c>
      <c r="G343" s="1">
        <v>12</v>
      </c>
      <c r="I343">
        <f t="shared" si="20"/>
        <v>-0.53794939592066049</v>
      </c>
      <c r="J343">
        <f t="shared" si="21"/>
        <v>-1.6273498071499715</v>
      </c>
      <c r="K343">
        <f t="shared" si="22"/>
        <v>-0.91686616727926773</v>
      </c>
      <c r="M343">
        <f t="shared" si="23"/>
        <v>-1.0273884567833</v>
      </c>
      <c r="P343" t="s">
        <v>1249</v>
      </c>
      <c r="Q343" s="16" t="s">
        <v>1685</v>
      </c>
    </row>
    <row r="344" spans="1:17">
      <c r="A344" s="2" t="s">
        <v>454</v>
      </c>
      <c r="B344" s="6" t="s">
        <v>1017</v>
      </c>
      <c r="C344" s="7" t="str" cm="1">
        <f t="array" ref="C344">_xlfn.LET(
  _xlpm.s, UPPER(B344),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RKLMKEIANSGKIPHIILHSP</v>
      </c>
      <c r="D344" s="4">
        <v>636</v>
      </c>
      <c r="E344" s="1">
        <v>11</v>
      </c>
      <c r="F344" s="1">
        <v>10</v>
      </c>
      <c r="G344" s="1">
        <v>28</v>
      </c>
      <c r="I344">
        <f t="shared" si="20"/>
        <v>-0.77001126596961944</v>
      </c>
      <c r="J344">
        <f t="shared" si="21"/>
        <v>-1.263982264769981</v>
      </c>
      <c r="K344">
        <f t="shared" si="22"/>
        <v>-0.4073705892210393</v>
      </c>
      <c r="M344">
        <f t="shared" si="23"/>
        <v>-0.81378803998687987</v>
      </c>
      <c r="P344" t="s">
        <v>1361</v>
      </c>
      <c r="Q344" s="16" t="s">
        <v>1685</v>
      </c>
    </row>
    <row r="345" spans="1:17">
      <c r="A345" s="2" t="s">
        <v>455</v>
      </c>
      <c r="B345" s="6" t="s">
        <v>1018</v>
      </c>
      <c r="C345" s="7" t="str" cm="1">
        <f t="array" ref="C345">_xlfn.LET(
  _xlpm.s, UPPER(B345),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RKLMKEIAESGKIPHIILHSP</v>
      </c>
      <c r="D345" s="4">
        <v>713</v>
      </c>
      <c r="E345" s="1">
        <v>25</v>
      </c>
      <c r="F345" s="1">
        <v>12</v>
      </c>
      <c r="G345" s="1">
        <v>12</v>
      </c>
      <c r="I345">
        <f t="shared" si="20"/>
        <v>-0.46309635665925852</v>
      </c>
      <c r="J345">
        <f t="shared" si="21"/>
        <v>-1.2344334329258078</v>
      </c>
      <c r="K345">
        <f t="shared" si="22"/>
        <v>-0.82497978871908551</v>
      </c>
      <c r="M345">
        <f t="shared" si="23"/>
        <v>-0.84083652610138382</v>
      </c>
      <c r="P345" t="s">
        <v>1125</v>
      </c>
      <c r="Q345" s="16" t="s">
        <v>1685</v>
      </c>
    </row>
    <row r="346" spans="1:17">
      <c r="A346" s="2" t="s">
        <v>456</v>
      </c>
      <c r="B346" s="6" t="s">
        <v>1019</v>
      </c>
      <c r="C346" s="7" t="str" cm="1">
        <f t="array" ref="C346">_xlfn.LET(
  _xlpm.s, UPPER(B346),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RKLMKEIADSGKIPHIILHSP</v>
      </c>
      <c r="D346" s="4">
        <v>716</v>
      </c>
      <c r="E346" s="1">
        <v>163</v>
      </c>
      <c r="F346" s="1">
        <v>5</v>
      </c>
      <c r="G346" s="1">
        <v>9</v>
      </c>
      <c r="I346">
        <f t="shared" si="20"/>
        <v>0.34932774661667165</v>
      </c>
      <c r="J346">
        <f t="shared" si="21"/>
        <v>-1.6164681670934038</v>
      </c>
      <c r="K346">
        <f t="shared" si="22"/>
        <v>-0.9517420177833753</v>
      </c>
      <c r="M346">
        <f t="shared" si="23"/>
        <v>-0.73962747942003571</v>
      </c>
      <c r="P346" t="s">
        <v>1129</v>
      </c>
      <c r="Q346" s="16" t="s">
        <v>1685</v>
      </c>
    </row>
    <row r="347" spans="1:17">
      <c r="A347" s="2" t="s">
        <v>457</v>
      </c>
      <c r="B347" s="6" t="s">
        <v>1020</v>
      </c>
      <c r="C347" s="7" t="str" cm="1">
        <f t="array" ref="C347">_xlfn.LET(
  _xlpm.s, UPPER(B347),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RKLFKEIAASGKIPHIILHSP</v>
      </c>
      <c r="D347" s="4">
        <v>761</v>
      </c>
      <c r="E347" s="1">
        <v>67</v>
      </c>
      <c r="F347" s="1">
        <v>11</v>
      </c>
      <c r="G347" s="1">
        <v>14</v>
      </c>
      <c r="I347">
        <f t="shared" si="20"/>
        <v>-6.3256689549176848E-2</v>
      </c>
      <c r="J347">
        <f t="shared" si="21"/>
        <v>-1.300517120733915</v>
      </c>
      <c r="K347">
        <f t="shared" si="22"/>
        <v>-0.7863281260071795</v>
      </c>
      <c r="M347">
        <f t="shared" si="23"/>
        <v>-0.71670064543009049</v>
      </c>
      <c r="P347" t="s">
        <v>1163</v>
      </c>
      <c r="Q347" s="15" t="s">
        <v>1686</v>
      </c>
    </row>
    <row r="348" spans="1:17">
      <c r="A348" s="2" t="s">
        <v>458</v>
      </c>
      <c r="B348" s="6" t="s">
        <v>1021</v>
      </c>
      <c r="C348" s="7" t="str" cm="1">
        <f t="array" ref="C348">_xlfn.LET(
  _xlpm.s, UPPER(B348),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RQLMKEIVKSGKIPHIILHSP</v>
      </c>
      <c r="D348" s="4">
        <v>666</v>
      </c>
      <c r="E348" s="1">
        <v>99</v>
      </c>
      <c r="F348" s="1">
        <v>18</v>
      </c>
      <c r="G348" s="1">
        <v>51</v>
      </c>
      <c r="I348">
        <f t="shared" si="20"/>
        <v>0.16421412994781837</v>
      </c>
      <c r="J348">
        <f t="shared" si="21"/>
        <v>-1.0287268731885622</v>
      </c>
      <c r="K348">
        <f t="shared" si="22"/>
        <v>-0.16697555798720942</v>
      </c>
      <c r="M348">
        <f t="shared" si="23"/>
        <v>-0.34382943374265107</v>
      </c>
      <c r="P348" t="s">
        <v>1598</v>
      </c>
      <c r="Q348" s="16" t="s">
        <v>1685</v>
      </c>
    </row>
    <row r="349" spans="1:17">
      <c r="A349" s="2" t="s">
        <v>459</v>
      </c>
      <c r="B349" s="6" t="s">
        <v>1022</v>
      </c>
      <c r="C349" s="7" t="str" cm="1">
        <f t="array" ref="C349">_xlfn.LET(
  _xlpm.s, UPPER(B349),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REKMKEIVKSGKIPHIILHSP</v>
      </c>
      <c r="D349" s="4">
        <v>407</v>
      </c>
      <c r="E349" s="1">
        <v>18</v>
      </c>
      <c r="F349" s="1">
        <v>33</v>
      </c>
      <c r="G349" s="1">
        <v>48</v>
      </c>
      <c r="I349">
        <f t="shared" si="20"/>
        <v>-0.36226873960134442</v>
      </c>
      <c r="J349">
        <f t="shared" si="21"/>
        <v>-0.55160561846889966</v>
      </c>
      <c r="K349">
        <f t="shared" si="22"/>
        <v>2.0575323235522469E-2</v>
      </c>
      <c r="M349">
        <f t="shared" si="23"/>
        <v>-0.29776634494490722</v>
      </c>
      <c r="P349" t="s">
        <v>1337</v>
      </c>
      <c r="Q349" s="15" t="s">
        <v>1686</v>
      </c>
    </row>
    <row r="350" spans="1:17">
      <c r="A350" s="2" t="s">
        <v>460</v>
      </c>
      <c r="B350" s="6" t="s">
        <v>1023</v>
      </c>
      <c r="C350" s="7" t="str" cm="1">
        <f t="array" ref="C350">_xlfn.LET(
  _xlpm.s, UPPER(B350),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RETMKAIAASGKIPHIILHSP</v>
      </c>
      <c r="D350" s="4">
        <v>1185</v>
      </c>
      <c r="E350" s="1">
        <v>12</v>
      </c>
      <c r="F350" s="1">
        <v>4</v>
      </c>
      <c r="G350" s="1">
        <v>20</v>
      </c>
      <c r="I350">
        <f t="shared" si="20"/>
        <v>-1.0024839397779284</v>
      </c>
      <c r="J350">
        <f t="shared" si="21"/>
        <v>-1.9321835081397274</v>
      </c>
      <c r="K350">
        <f t="shared" si="22"/>
        <v>-0.82375985959698617</v>
      </c>
      <c r="M350">
        <f t="shared" si="23"/>
        <v>-1.2528091025048809</v>
      </c>
      <c r="P350" t="s">
        <v>1219</v>
      </c>
      <c r="Q350" s="15" t="s">
        <v>1686</v>
      </c>
    </row>
    <row r="351" spans="1:17">
      <c r="A351" s="2" t="s">
        <v>461</v>
      </c>
      <c r="B351" s="6" t="s">
        <v>1024</v>
      </c>
      <c r="C351" s="7" t="str" cm="1">
        <f t="array" ref="C351">_xlfn.LET(
  _xlpm.s, UPPER(B351),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REMFKKIAASGKIPHIILHSP</v>
      </c>
      <c r="D351" s="4">
        <v>606</v>
      </c>
      <c r="E351" s="1">
        <v>3</v>
      </c>
      <c r="F351" s="1">
        <v>3</v>
      </c>
      <c r="G351" s="1">
        <v>2</v>
      </c>
      <c r="I351">
        <f t="shared" si="20"/>
        <v>-1.3132982049260544</v>
      </c>
      <c r="J351">
        <f t="shared" si="21"/>
        <v>-1.7658765185681911</v>
      </c>
      <c r="K351">
        <f t="shared" si="22"/>
        <v>-1.5325141334171495</v>
      </c>
      <c r="M351">
        <f t="shared" si="23"/>
        <v>-1.5372296189704651</v>
      </c>
      <c r="P351" t="s">
        <v>1407</v>
      </c>
      <c r="Q351" s="15" t="s">
        <v>1686</v>
      </c>
    </row>
    <row r="352" spans="1:17">
      <c r="A352" s="2" t="s">
        <v>462</v>
      </c>
      <c r="B352" s="6" t="s">
        <v>1025</v>
      </c>
      <c r="C352" s="7" t="str" cm="1">
        <f t="array" ref="C352">_xlfn.LET(
  _xlpm.s, UPPER(B352),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RERMKAIAASGKIPHIILHSP</v>
      </c>
      <c r="D352" s="4">
        <v>1932</v>
      </c>
      <c r="E352" s="1">
        <v>10</v>
      </c>
      <c r="F352" s="1">
        <v>8</v>
      </c>
      <c r="G352" s="1">
        <v>15</v>
      </c>
      <c r="I352">
        <f t="shared" si="20"/>
        <v>-1.2939539575589052</v>
      </c>
      <c r="J352">
        <f t="shared" si="21"/>
        <v>-1.8434422842090981</v>
      </c>
      <c r="K352">
        <f t="shared" si="22"/>
        <v>-1.160987367938638</v>
      </c>
      <c r="M352">
        <f t="shared" si="23"/>
        <v>-1.4327945365688803</v>
      </c>
      <c r="P352" t="s">
        <v>1153</v>
      </c>
      <c r="Q352" s="16" t="s">
        <v>1685</v>
      </c>
    </row>
    <row r="353" spans="1:17">
      <c r="A353" s="2" t="s">
        <v>463</v>
      </c>
      <c r="B353" s="6" t="s">
        <v>1026</v>
      </c>
      <c r="C353" s="7" t="str" cm="1">
        <f t="array" ref="C353">_xlfn.LET(
  _xlpm.s, UPPER(B353),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RERMRKIAASGKIPHIILHSP</v>
      </c>
      <c r="D353" s="4">
        <v>2215</v>
      </c>
      <c r="E353" s="1">
        <v>82</v>
      </c>
      <c r="F353" s="1">
        <v>5</v>
      </c>
      <c r="G353" s="1">
        <v>14</v>
      </c>
      <c r="I353">
        <f t="shared" si="20"/>
        <v>-0.43950671365480209</v>
      </c>
      <c r="J353">
        <f t="shared" si="21"/>
        <v>-2.1069288753446367</v>
      </c>
      <c r="K353">
        <f t="shared" si="22"/>
        <v>-1.2503171997956952</v>
      </c>
      <c r="M353">
        <f t="shared" si="23"/>
        <v>-1.2655842629317113</v>
      </c>
      <c r="P353" t="s">
        <v>1355</v>
      </c>
      <c r="Q353" s="16" t="s">
        <v>1685</v>
      </c>
    </row>
    <row r="354" spans="1:17">
      <c r="A354" s="2" t="s">
        <v>464</v>
      </c>
      <c r="B354" s="6" t="s">
        <v>1027</v>
      </c>
      <c r="C354" s="7" t="str" cm="1">
        <f t="array" ref="C354">_xlfn.LET(
  _xlpm.s, UPPER(B354),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RERFRKIAASGKIPHIILHSP</v>
      </c>
      <c r="D354" s="4">
        <v>1442</v>
      </c>
      <c r="E354" s="1">
        <v>11</v>
      </c>
      <c r="F354" s="1">
        <v>18</v>
      </c>
      <c r="G354" s="1">
        <v>13</v>
      </c>
      <c r="I354">
        <f t="shared" si="20"/>
        <v>-1.1255194107046158</v>
      </c>
      <c r="J354">
        <f t="shared" si="21"/>
        <v>-1.3642179044016713</v>
      </c>
      <c r="K354">
        <f t="shared" si="22"/>
        <v>-1.0960934129914184</v>
      </c>
      <c r="M354">
        <f t="shared" si="23"/>
        <v>-1.1952769093659017</v>
      </c>
      <c r="P354" t="s">
        <v>1324</v>
      </c>
      <c r="Q354" s="15" t="s">
        <v>1686</v>
      </c>
    </row>
    <row r="355" spans="1:17">
      <c r="A355" s="2" t="s">
        <v>465</v>
      </c>
      <c r="B355" s="6" t="s">
        <v>1028</v>
      </c>
      <c r="C355" s="7" t="str" cm="1">
        <f t="array" ref="C355">_xlfn.LET(
  _xlpm.s, UPPER(B355),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RELMKKIAESGKIPHIILHSP</v>
      </c>
      <c r="D355" s="4">
        <v>642</v>
      </c>
      <c r="E355" s="1">
        <v>29</v>
      </c>
      <c r="F355" s="1">
        <v>10</v>
      </c>
      <c r="G355" s="1">
        <v>26</v>
      </c>
      <c r="I355">
        <f t="shared" si="20"/>
        <v>-0.35308386564932781</v>
      </c>
      <c r="J355">
        <f t="shared" si="21"/>
        <v>-1.2680601771904203</v>
      </c>
      <c r="K355">
        <f t="shared" si="22"/>
        <v>-0.44363318501288007</v>
      </c>
      <c r="M355">
        <f t="shared" si="23"/>
        <v>-0.6882590759508761</v>
      </c>
      <c r="P355" t="s">
        <v>1164</v>
      </c>
      <c r="Q355" s="14" t="s">
        <v>1685</v>
      </c>
    </row>
    <row r="356" spans="1:17">
      <c r="A356" s="2" t="s">
        <v>466</v>
      </c>
      <c r="B356" s="6" t="s">
        <v>1029</v>
      </c>
      <c r="C356" s="7" t="str" cm="1">
        <f t="array" ref="C356">_xlfn.LET(
  _xlpm.s, UPPER(B356),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RELMKKIAASGKIPHIILHSP</v>
      </c>
      <c r="D356" s="4">
        <v>1036</v>
      </c>
      <c r="E356" s="1">
        <v>16</v>
      </c>
      <c r="F356" s="1">
        <v>12</v>
      </c>
      <c r="G356" s="1">
        <v>42</v>
      </c>
      <c r="I356">
        <f t="shared" si="20"/>
        <v>-0.81918660823271994</v>
      </c>
      <c r="J356">
        <f t="shared" si="21"/>
        <v>-1.3967036584831565</v>
      </c>
      <c r="K356">
        <f t="shared" si="22"/>
        <v>-0.44318196992615833</v>
      </c>
      <c r="M356">
        <f t="shared" si="23"/>
        <v>-0.88635741221401165</v>
      </c>
      <c r="P356" t="s">
        <v>1161</v>
      </c>
      <c r="Q356" s="15" t="s">
        <v>1686</v>
      </c>
    </row>
    <row r="357" spans="1:17">
      <c r="A357" s="2" t="s">
        <v>467</v>
      </c>
      <c r="B357" s="6" t="s">
        <v>1030</v>
      </c>
      <c r="C357" s="7" t="str" cm="1">
        <f t="array" ref="C357">_xlfn.LET(
  _xlpm.s, UPPER(B357),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RELFKKIAASGKIPHIILHSP</v>
      </c>
      <c r="D357" s="4">
        <v>788</v>
      </c>
      <c r="E357" s="1">
        <v>5</v>
      </c>
      <c r="F357" s="1">
        <v>17</v>
      </c>
      <c r="G357" s="1">
        <v>7</v>
      </c>
      <c r="I357">
        <f t="shared" si="20"/>
        <v>-1.2055030486329672</v>
      </c>
      <c r="J357">
        <f t="shared" si="21"/>
        <v>-1.1266024452328485</v>
      </c>
      <c r="K357">
        <f t="shared" si="22"/>
        <v>-1.1024996823901432</v>
      </c>
      <c r="M357">
        <f t="shared" si="23"/>
        <v>-1.1448683920853195</v>
      </c>
      <c r="P357" t="s">
        <v>1436</v>
      </c>
      <c r="Q357" s="15" t="s">
        <v>1686</v>
      </c>
    </row>
    <row r="358" spans="1:17">
      <c r="A358" s="2" t="s">
        <v>468</v>
      </c>
      <c r="B358" s="6" t="s">
        <v>1031</v>
      </c>
      <c r="C358" s="7" t="str" cm="1">
        <f t="array" ref="C358">_xlfn.LET(
  _xlpm.s, UPPER(B358),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RELFKSIVNAGKIPHIILHSP</v>
      </c>
      <c r="D358" s="4">
        <v>910</v>
      </c>
      <c r="E358" s="1">
        <v>32</v>
      </c>
      <c r="F358" s="1">
        <v>34</v>
      </c>
      <c r="G358" s="1">
        <v>65</v>
      </c>
      <c r="I358">
        <f t="shared" si="20"/>
        <v>-0.46183824948061813</v>
      </c>
      <c r="J358">
        <f t="shared" si="21"/>
        <v>-0.88808762440040556</v>
      </c>
      <c r="K358">
        <f t="shared" si="22"/>
        <v>-0.19719954059308265</v>
      </c>
      <c r="M358">
        <f t="shared" si="23"/>
        <v>-0.51570847149136878</v>
      </c>
      <c r="P358" t="s">
        <v>1134</v>
      </c>
      <c r="Q358" s="16" t="s">
        <v>1685</v>
      </c>
    </row>
    <row r="359" spans="1:17">
      <c r="A359" s="2" t="s">
        <v>469</v>
      </c>
      <c r="B359" s="6" t="s">
        <v>1032</v>
      </c>
      <c r="C359" s="7" t="str" cm="1">
        <f t="array" ref="C359">_xlfn.LET(
  _xlpm.s, UPPER(B359),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REEMKKIAASGKIPHIILHSP</v>
      </c>
      <c r="D359" s="4">
        <v>686</v>
      </c>
      <c r="E359" s="1">
        <v>7</v>
      </c>
      <c r="F359" s="1">
        <v>18</v>
      </c>
      <c r="G359" s="1">
        <v>7</v>
      </c>
      <c r="I359">
        <f t="shared" si="20"/>
        <v>-0.99917291117192542</v>
      </c>
      <c r="J359">
        <f t="shared" si="21"/>
        <v>-1.0415767597250127</v>
      </c>
      <c r="K359">
        <f t="shared" si="22"/>
        <v>-1.0422975806073396</v>
      </c>
      <c r="M359">
        <f t="shared" si="23"/>
        <v>-1.0276824171680925</v>
      </c>
      <c r="P359" t="s">
        <v>1399</v>
      </c>
      <c r="Q359" s="15" t="s">
        <v>1686</v>
      </c>
    </row>
    <row r="360" spans="1:17">
      <c r="A360" s="2" t="s">
        <v>470</v>
      </c>
      <c r="B360" s="6" t="s">
        <v>1033</v>
      </c>
      <c r="C360" s="7" t="str" cm="1">
        <f t="array" ref="C360">_xlfn.LET(
  _xlpm.s, UPPER(B360),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RAKMKEIAASGKIPHIILHSP</v>
      </c>
      <c r="D360" s="4">
        <v>1023</v>
      </c>
      <c r="E360" s="1">
        <v>8</v>
      </c>
      <c r="F360" s="1">
        <v>3</v>
      </c>
      <c r="G360" s="1">
        <v>59</v>
      </c>
      <c r="I360">
        <f t="shared" si="20"/>
        <v>-1.1147324821996469</v>
      </c>
      <c r="J360">
        <f t="shared" si="21"/>
        <v>-1.9932795281140647</v>
      </c>
      <c r="K360">
        <f t="shared" si="22"/>
        <v>-0.29009512698486062</v>
      </c>
      <c r="M360">
        <f t="shared" si="23"/>
        <v>-1.1327023790995241</v>
      </c>
      <c r="P360" t="s">
        <v>1126</v>
      </c>
      <c r="Q360" s="16" t="s">
        <v>1685</v>
      </c>
    </row>
    <row r="361" spans="1:17">
      <c r="A361" s="2" t="s">
        <v>471</v>
      </c>
      <c r="B361" s="6" t="s">
        <v>1034</v>
      </c>
      <c r="C361" s="7" t="str" cm="1">
        <f t="array" ref="C361">_xlfn.LET(
  _xlpm.s, UPPER(B361),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RATMKEIANSGKIPHIILHSP</v>
      </c>
      <c r="D361" s="4">
        <v>631</v>
      </c>
      <c r="E361" s="1">
        <v>9</v>
      </c>
      <c r="F361" s="1">
        <v>11</v>
      </c>
      <c r="G361" s="1">
        <v>67</v>
      </c>
      <c r="I361">
        <f t="shared" si="20"/>
        <v>-0.85373368528423987</v>
      </c>
      <c r="J361">
        <f t="shared" si="21"/>
        <v>-1.2191618232074761</v>
      </c>
      <c r="K361">
        <f t="shared" si="22"/>
        <v>-2.502606145815256E-2</v>
      </c>
      <c r="M361">
        <f t="shared" si="23"/>
        <v>-0.69930718998328967</v>
      </c>
      <c r="P361" t="s">
        <v>1356</v>
      </c>
      <c r="Q361" s="16" t="s">
        <v>1685</v>
      </c>
    </row>
    <row r="362" spans="1:17">
      <c r="A362" s="2" t="s">
        <v>472</v>
      </c>
      <c r="B362" s="6" t="s">
        <v>1035</v>
      </c>
      <c r="C362" s="7" t="str" cm="1">
        <f t="array" ref="C362">_xlfn.LET(
  _xlpm.s, UPPER(B362),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RATMKEIAASGKIPHIILHSP</v>
      </c>
      <c r="D362" s="4">
        <v>1255</v>
      </c>
      <c r="E362" s="1">
        <v>26</v>
      </c>
      <c r="F362" s="1">
        <v>11</v>
      </c>
      <c r="G362" s="1">
        <v>53</v>
      </c>
      <c r="I362">
        <f t="shared" si="20"/>
        <v>-0.6916172133256695</v>
      </c>
      <c r="J362">
        <f t="shared" si="21"/>
        <v>-1.517776189780399</v>
      </c>
      <c r="K362">
        <f t="shared" si="22"/>
        <v>-0.42543936113111247</v>
      </c>
      <c r="M362">
        <f t="shared" si="23"/>
        <v>-0.87827758807906031</v>
      </c>
      <c r="P362" t="s">
        <v>1472</v>
      </c>
      <c r="Q362" s="16" t="s">
        <v>1685</v>
      </c>
    </row>
    <row r="363" spans="1:17">
      <c r="A363" s="2" t="s">
        <v>473</v>
      </c>
      <c r="B363" s="6" t="s">
        <v>1036</v>
      </c>
      <c r="C363" s="7" t="str" cm="1">
        <f t="array" ref="C363">_xlfn.LET(
  _xlpm.s, UPPER(B363),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RATMREIAASGKIPHIILHSP</v>
      </c>
      <c r="D363" s="4">
        <v>2351</v>
      </c>
      <c r="E363" s="1">
        <v>6</v>
      </c>
      <c r="F363" s="1">
        <v>5</v>
      </c>
      <c r="G363" s="1">
        <v>10</v>
      </c>
      <c r="I363">
        <f t="shared" si="20"/>
        <v>-1.6010482142207261</v>
      </c>
      <c r="J363">
        <f t="shared" si="21"/>
        <v>-2.1328077739104878</v>
      </c>
      <c r="K363">
        <f t="shared" si="22"/>
        <v>-1.4223241340397841</v>
      </c>
      <c r="M363">
        <f t="shared" si="23"/>
        <v>-1.7187267073903325</v>
      </c>
      <c r="P363" t="s">
        <v>1435</v>
      </c>
      <c r="Q363" s="15" t="s">
        <v>1686</v>
      </c>
    </row>
    <row r="364" spans="1:17">
      <c r="A364" s="2" t="s">
        <v>474</v>
      </c>
      <c r="B364" s="6" t="s">
        <v>1037</v>
      </c>
      <c r="C364" s="7" t="str" cm="1">
        <f t="array" ref="C364">_xlfn.LET(
  _xlpm.s, UPPER(B364),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RALMKEIAASGKIPHIILHSP</v>
      </c>
      <c r="D364" s="4">
        <v>1480</v>
      </c>
      <c r="E364" s="1">
        <v>26</v>
      </c>
      <c r="F364" s="1">
        <v>9</v>
      </c>
      <c r="G364" s="1">
        <v>20</v>
      </c>
      <c r="I364">
        <f t="shared" si="20"/>
        <v>-0.76323520290356983</v>
      </c>
      <c r="J364">
        <f t="shared" si="21"/>
        <v>-1.6765443550771995</v>
      </c>
      <c r="K364">
        <f t="shared" si="22"/>
        <v>-0.92030322464582093</v>
      </c>
      <c r="M364">
        <f t="shared" si="23"/>
        <v>-1.1200275942088636</v>
      </c>
      <c r="P364" t="s">
        <v>1157</v>
      </c>
      <c r="Q364" s="14" t="s">
        <v>1685</v>
      </c>
    </row>
    <row r="365" spans="1:17">
      <c r="A365" s="2" t="s">
        <v>475</v>
      </c>
      <c r="B365" s="6" t="s">
        <v>1038</v>
      </c>
      <c r="C365" s="7" t="str" cm="1">
        <f t="array" ref="C365">_xlfn.LET(
  _xlpm.s, UPPER(B365),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RAYFKEIAASGKIPHIILHSP</v>
      </c>
      <c r="D365" s="4">
        <v>554</v>
      </c>
      <c r="E365" s="1">
        <v>7</v>
      </c>
      <c r="F365" s="1">
        <v>10</v>
      </c>
      <c r="G365" s="1">
        <v>14</v>
      </c>
      <c r="I365">
        <f t="shared" si="20"/>
        <v>-0.9063585601936035</v>
      </c>
      <c r="J365">
        <f t="shared" si="21"/>
        <v>-1.2040349138499966</v>
      </c>
      <c r="K365">
        <f t="shared" si="22"/>
        <v>-0.6484532339650364</v>
      </c>
      <c r="M365">
        <f t="shared" si="23"/>
        <v>-0.91961556933621225</v>
      </c>
      <c r="P365" t="s">
        <v>1568</v>
      </c>
      <c r="Q365" s="15" t="s">
        <v>1686</v>
      </c>
    </row>
    <row r="366" spans="1:17">
      <c r="A366" s="2" t="s">
        <v>476</v>
      </c>
      <c r="B366" s="6" t="s">
        <v>1039</v>
      </c>
      <c r="C366" s="7" t="str" cm="1">
        <f t="array" ref="C366">_xlfn.LET(
  _xlpm.s, UPPER(B366),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RAYFKELAASGKIPHIILHSP</v>
      </c>
      <c r="D366" s="4">
        <v>574</v>
      </c>
      <c r="E366" s="1">
        <v>37</v>
      </c>
      <c r="F366" s="1">
        <v>33</v>
      </c>
      <c r="G366" s="1">
        <v>41</v>
      </c>
      <c r="I366">
        <f t="shared" si="20"/>
        <v>-0.19865700381040918</v>
      </c>
      <c r="J366">
        <f t="shared" si="21"/>
        <v>-0.70092310164165317</v>
      </c>
      <c r="K366">
        <f t="shared" si="22"/>
        <v>-0.19719954059308265</v>
      </c>
      <c r="M366">
        <f t="shared" si="23"/>
        <v>-0.36559321534838168</v>
      </c>
      <c r="P366" t="s">
        <v>1467</v>
      </c>
      <c r="Q366" s="16" t="s">
        <v>1685</v>
      </c>
    </row>
    <row r="367" spans="1:17">
      <c r="A367" s="2" t="s">
        <v>477</v>
      </c>
      <c r="B367" s="6" t="s">
        <v>1040</v>
      </c>
      <c r="C367" s="7" t="str" cm="1">
        <f t="array" ref="C367">_xlfn.LET(
  _xlpm.s, UPPER(B367),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LKKMKEIAKSGKIPHIILHSP</v>
      </c>
      <c r="D367" s="4">
        <v>294</v>
      </c>
      <c r="E367" s="1">
        <v>13</v>
      </c>
      <c r="F367" s="1">
        <v>9</v>
      </c>
      <c r="G367" s="1">
        <v>6</v>
      </c>
      <c r="I367">
        <f t="shared" si="20"/>
        <v>-0.36235081358475107</v>
      </c>
      <c r="J367">
        <f t="shared" si="21"/>
        <v>-0.97462997009439956</v>
      </c>
      <c r="K367">
        <f t="shared" si="22"/>
        <v>-0.74126758494335832</v>
      </c>
      <c r="M367">
        <f t="shared" si="23"/>
        <v>-0.69274945620750294</v>
      </c>
      <c r="P367" t="s">
        <v>1569</v>
      </c>
      <c r="Q367" s="15" t="s">
        <v>1686</v>
      </c>
    </row>
    <row r="368" spans="1:17">
      <c r="A368" s="2" t="s">
        <v>478</v>
      </c>
      <c r="B368" s="6" t="s">
        <v>1041</v>
      </c>
      <c r="C368" s="7" t="str" cm="1">
        <f t="array" ref="C368">_xlfn.LET(
  _xlpm.s, UPPER(B368),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LKKMKEIAASGKIPHIILHSP</v>
      </c>
      <c r="D368" s="4">
        <v>581</v>
      </c>
      <c r="E368" s="1">
        <v>25</v>
      </c>
      <c r="F368" s="1">
        <v>5</v>
      </c>
      <c r="G368" s="1">
        <v>80</v>
      </c>
      <c r="I368">
        <f t="shared" si="20"/>
        <v>-0.37418295919772371</v>
      </c>
      <c r="J368">
        <f t="shared" si="21"/>
        <v>-1.5257312771758791</v>
      </c>
      <c r="K368">
        <f t="shared" si="22"/>
        <v>8.7842349686768073E-2</v>
      </c>
      <c r="M368">
        <f t="shared" si="23"/>
        <v>-0.60402396222894483</v>
      </c>
      <c r="P368" t="s">
        <v>1365</v>
      </c>
      <c r="Q368" s="16" t="s">
        <v>1686</v>
      </c>
    </row>
    <row r="369" spans="1:17">
      <c r="A369" s="2" t="s">
        <v>479</v>
      </c>
      <c r="B369" s="6" t="s">
        <v>1042</v>
      </c>
      <c r="C369" s="7" t="str" cm="1">
        <f t="array" ref="C369">_xlfn.LET(
  _xlpm.s, UPPER(B369),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LKTMKEIAESGKIPHIILHSP</v>
      </c>
      <c r="D369" s="4">
        <v>432</v>
      </c>
      <c r="E369" s="1">
        <v>67</v>
      </c>
      <c r="F369" s="1">
        <v>44</v>
      </c>
      <c r="G369" s="1">
        <v>63</v>
      </c>
      <c r="I369">
        <f t="shared" si="20"/>
        <v>0.18264422040648376</v>
      </c>
      <c r="J369">
        <f t="shared" si="21"/>
        <v>-0.45255621945029179</v>
      </c>
      <c r="K369">
        <f t="shared" si="22"/>
        <v>0.11278529772382495</v>
      </c>
      <c r="M369">
        <f t="shared" si="23"/>
        <v>-5.2375567106661025E-2</v>
      </c>
      <c r="P369" t="s">
        <v>1526</v>
      </c>
      <c r="Q369" s="16" t="s">
        <v>1685</v>
      </c>
    </row>
    <row r="370" spans="1:17">
      <c r="A370" s="2" t="s">
        <v>480</v>
      </c>
      <c r="B370" s="6" t="s">
        <v>1043</v>
      </c>
      <c r="C370" s="7" t="str" cm="1">
        <f t="array" ref="C370">_xlfn.LET(
  _xlpm.s, UPPER(B370),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LKRMKEIAASGKIPHIILHSP</v>
      </c>
      <c r="D370" s="4">
        <v>1115</v>
      </c>
      <c r="E370" s="1">
        <v>58</v>
      </c>
      <c r="F370" s="1">
        <v>44</v>
      </c>
      <c r="G370" s="1">
        <v>36</v>
      </c>
      <c r="I370">
        <f t="shared" si="20"/>
        <v>-0.29179370930067283</v>
      </c>
      <c r="J370">
        <f t="shared" si="21"/>
        <v>-0.86434734001955904</v>
      </c>
      <c r="K370">
        <f t="shared" si="22"/>
        <v>-0.54204387153173683</v>
      </c>
      <c r="M370">
        <f t="shared" si="23"/>
        <v>-0.56606164028398953</v>
      </c>
      <c r="P370" t="s">
        <v>1480</v>
      </c>
      <c r="Q370" s="16" t="s">
        <v>1685</v>
      </c>
    </row>
    <row r="371" spans="1:17">
      <c r="A371" s="2" t="s">
        <v>481</v>
      </c>
      <c r="B371" s="6" t="s">
        <v>1044</v>
      </c>
      <c r="C371" s="7" t="str" cm="1">
        <f t="array" ref="C371">_xlfn.LET(
  _xlpm.s, UPPER(B371),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LKRMREIAKSGKIPHIILHSP</v>
      </c>
      <c r="D371" s="4">
        <v>1109</v>
      </c>
      <c r="E371" s="1">
        <v>41</v>
      </c>
      <c r="F371" s="1">
        <v>37</v>
      </c>
      <c r="G371" s="1">
        <v>22</v>
      </c>
      <c r="I371">
        <f t="shared" si="20"/>
        <v>-0.44009452490885503</v>
      </c>
      <c r="J371">
        <f t="shared" si="21"/>
        <v>-0.93725497120373202</v>
      </c>
      <c r="K371">
        <f t="shared" si="22"/>
        <v>-0.75358037024179847</v>
      </c>
      <c r="M371">
        <f t="shared" si="23"/>
        <v>-0.71030995545146192</v>
      </c>
      <c r="P371" t="s">
        <v>1260</v>
      </c>
      <c r="Q371" s="16" t="s">
        <v>1685</v>
      </c>
    </row>
    <row r="372" spans="1:17">
      <c r="A372" s="2" t="s">
        <v>482</v>
      </c>
      <c r="B372" s="6" t="s">
        <v>1045</v>
      </c>
      <c r="C372" s="7" t="str" cm="1">
        <f t="array" ref="C372">_xlfn.LET(
  _xlpm.s, UPPER(B372),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LKRLKEIVSSGKIPHIILHSP</v>
      </c>
      <c r="D372" s="4">
        <v>497</v>
      </c>
      <c r="E372" s="1">
        <v>11</v>
      </c>
      <c r="F372" s="1">
        <v>14</v>
      </c>
      <c r="G372" s="1">
        <v>24</v>
      </c>
      <c r="I372">
        <f t="shared" si="20"/>
        <v>-0.66291053905453756</v>
      </c>
      <c r="J372">
        <f t="shared" si="21"/>
        <v>-1.0107535021766609</v>
      </c>
      <c r="K372">
        <f t="shared" si="22"/>
        <v>-0.36721665193657071</v>
      </c>
      <c r="M372">
        <f t="shared" si="23"/>
        <v>-0.68029356438925637</v>
      </c>
      <c r="P372" t="s">
        <v>1511</v>
      </c>
      <c r="Q372" s="15" t="s">
        <v>1686</v>
      </c>
    </row>
    <row r="373" spans="1:17">
      <c r="A373" s="2" t="s">
        <v>483</v>
      </c>
      <c r="B373" s="6" t="s">
        <v>1046</v>
      </c>
      <c r="C373" s="7" t="str" cm="1">
        <f t="array" ref="C373">_xlfn.LET(
  _xlpm.s, UPPER(B373),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LKRFKEIAASGKIPHIILHSP</v>
      </c>
      <c r="D373" s="4">
        <v>798</v>
      </c>
      <c r="E373" s="1">
        <v>20</v>
      </c>
      <c r="F373" s="1">
        <v>2</v>
      </c>
      <c r="G373" s="1">
        <v>235</v>
      </c>
      <c r="I373">
        <f t="shared" si="20"/>
        <v>-0.6089197311661787</v>
      </c>
      <c r="J373">
        <f t="shared" si="21"/>
        <v>-2.0614980448083156</v>
      </c>
      <c r="K373">
        <f t="shared" si="22"/>
        <v>0.41799346600616216</v>
      </c>
      <c r="M373">
        <f t="shared" si="23"/>
        <v>-0.75080810332277725</v>
      </c>
      <c r="P373" t="s">
        <v>1145</v>
      </c>
      <c r="Q373" s="16" t="s">
        <v>1685</v>
      </c>
    </row>
    <row r="374" spans="1:17">
      <c r="A374" s="2" t="s">
        <v>484</v>
      </c>
      <c r="B374" s="6" t="s">
        <v>1047</v>
      </c>
      <c r="C374" s="7" t="str" cm="1">
        <f t="array" ref="C374">_xlfn.LET(
  _xlpm.s, UPPER(B374),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LKLMKEIAASGKIPHIILHSP</v>
      </c>
      <c r="D374" s="4">
        <v>1145</v>
      </c>
      <c r="E374" s="1">
        <v>15</v>
      </c>
      <c r="F374" s="1">
        <v>22</v>
      </c>
      <c r="G374" s="1">
        <v>6</v>
      </c>
      <c r="I374">
        <f t="shared" si="20"/>
        <v>-0.89066106309965609</v>
      </c>
      <c r="J374">
        <f t="shared" si="21"/>
        <v>-1.1769079549752677</v>
      </c>
      <c r="K374">
        <f t="shared" si="22"/>
        <v>-1.331725741207108</v>
      </c>
      <c r="M374">
        <f t="shared" si="23"/>
        <v>-1.1330982530940104</v>
      </c>
      <c r="P374" t="s">
        <v>1151</v>
      </c>
      <c r="Q374" s="16" t="s">
        <v>1685</v>
      </c>
    </row>
    <row r="375" spans="1:17">
      <c r="A375" s="2" t="s">
        <v>485</v>
      </c>
      <c r="B375" s="6" t="s">
        <v>1048</v>
      </c>
      <c r="C375" s="7" t="str" cm="1">
        <f t="array" ref="C375">_xlfn.LET(
  _xlpm.s, UPPER(B375),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LKLMREIAASGKIPHIILHSP</v>
      </c>
      <c r="D375" s="4">
        <v>1697</v>
      </c>
      <c r="E375" s="1">
        <v>15</v>
      </c>
      <c r="F375" s="1">
        <v>9</v>
      </c>
      <c r="G375" s="1">
        <v>34</v>
      </c>
      <c r="I375">
        <f t="shared" si="20"/>
        <v>-1.061537418741425</v>
      </c>
      <c r="J375">
        <f t="shared" si="21"/>
        <v>-1.7359644819999183</v>
      </c>
      <c r="K375">
        <f t="shared" si="22"/>
        <v>-0.74927443019026541</v>
      </c>
      <c r="M375">
        <f t="shared" si="23"/>
        <v>-1.1822587769772028</v>
      </c>
      <c r="P375" t="s">
        <v>1362</v>
      </c>
      <c r="Q375" s="16" t="s">
        <v>1685</v>
      </c>
    </row>
    <row r="376" spans="1:17">
      <c r="A376" s="2" t="s">
        <v>486</v>
      </c>
      <c r="B376" s="6" t="s">
        <v>1049</v>
      </c>
      <c r="C376" s="7" t="str" cm="1">
        <f t="array" ref="C376">_xlfn.LET(
  _xlpm.s, UPPER(B376),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LKLFKEIAASGKIPHIILHSP</v>
      </c>
      <c r="D376" s="4">
        <v>697</v>
      </c>
      <c r="E376" s="1">
        <v>9</v>
      </c>
      <c r="F376" s="1">
        <v>21</v>
      </c>
      <c r="G376" s="1">
        <v>10</v>
      </c>
      <c r="I376">
        <f t="shared" si="20"/>
        <v>-0.89693710413811512</v>
      </c>
      <c r="J376">
        <f t="shared" si="21"/>
        <v>-0.98153863248565731</v>
      </c>
      <c r="K376">
        <f t="shared" si="22"/>
        <v>-0.89430428301285403</v>
      </c>
      <c r="M376">
        <f t="shared" si="23"/>
        <v>-0.92426000654554219</v>
      </c>
      <c r="P376" t="s">
        <v>1234</v>
      </c>
      <c r="Q376" s="15" t="s">
        <v>1686</v>
      </c>
    </row>
    <row r="377" spans="1:17">
      <c r="A377" s="2" t="s">
        <v>487</v>
      </c>
      <c r="B377" s="6" t="s">
        <v>1050</v>
      </c>
      <c r="C377" s="7" t="str" cm="1">
        <f t="array" ref="C377">_xlfn.LET(
  _xlpm.s, UPPER(B377),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LKEMKEIVESGKIPHIILHSP</v>
      </c>
      <c r="D377" s="4">
        <v>449</v>
      </c>
      <c r="E377" s="1">
        <v>5</v>
      </c>
      <c r="F377" s="1">
        <v>1</v>
      </c>
      <c r="G377" s="1">
        <v>3</v>
      </c>
      <c r="I377">
        <f t="shared" si="20"/>
        <v>-0.96122317214673481</v>
      </c>
      <c r="J377">
        <f t="shared" si="21"/>
        <v>-2.1127714901248904</v>
      </c>
      <c r="K377">
        <f t="shared" si="22"/>
        <v>-1.2261965911985053</v>
      </c>
      <c r="M377">
        <f t="shared" si="23"/>
        <v>-1.4333970844900434</v>
      </c>
      <c r="P377" t="s">
        <v>1372</v>
      </c>
      <c r="Q377" s="15" t="s">
        <v>1686</v>
      </c>
    </row>
    <row r="378" spans="1:17">
      <c r="A378" s="2" t="s">
        <v>488</v>
      </c>
      <c r="B378" s="6" t="s">
        <v>1051</v>
      </c>
      <c r="C378" s="7" t="str" cm="1">
        <f t="array" ref="C378">_xlfn.LET(
  _xlpm.s, UPPER(B378),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LKEMKEIVASGKIPHIILHSP</v>
      </c>
      <c r="D378" s="4">
        <v>646</v>
      </c>
      <c r="E378" s="1">
        <v>65</v>
      </c>
      <c r="F378" s="1">
        <v>11</v>
      </c>
      <c r="G378" s="1">
        <v>33</v>
      </c>
      <c r="I378">
        <f t="shared" si="20"/>
        <v>-5.26599683165907E-3</v>
      </c>
      <c r="J378">
        <f t="shared" si="21"/>
        <v>-1.229364981958426</v>
      </c>
      <c r="K378">
        <f t="shared" si="22"/>
        <v>-0.34279008303204139</v>
      </c>
      <c r="M378">
        <f t="shared" si="23"/>
        <v>-0.5258070206073755</v>
      </c>
      <c r="P378" t="s">
        <v>1616</v>
      </c>
      <c r="Q378" s="16" t="s">
        <v>1685</v>
      </c>
    </row>
    <row r="379" spans="1:17">
      <c r="A379" s="2" t="s">
        <v>489</v>
      </c>
      <c r="B379" s="6" t="s">
        <v>1052</v>
      </c>
      <c r="C379" s="7" t="str" cm="1">
        <f t="array" ref="C379">_xlfn.LET(
  _xlpm.s, UPPER(B379),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LKYFKDIVKSGKIPHIILHSP</v>
      </c>
      <c r="D379" s="4">
        <v>184</v>
      </c>
      <c r="E379" s="1">
        <v>2</v>
      </c>
      <c r="F379" s="1">
        <v>3</v>
      </c>
      <c r="G379" s="1">
        <v>67</v>
      </c>
      <c r="I379">
        <f t="shared" si="20"/>
        <v>-0.97173466282498588</v>
      </c>
      <c r="J379">
        <f t="shared" si="21"/>
        <v>-1.2482217174114409</v>
      </c>
      <c r="K379">
        <f t="shared" si="22"/>
        <v>0.51018547477644527</v>
      </c>
      <c r="M379">
        <f t="shared" si="23"/>
        <v>-0.56992363515332733</v>
      </c>
      <c r="P379" t="s">
        <v>1352</v>
      </c>
      <c r="Q379" s="16" t="s">
        <v>1685</v>
      </c>
    </row>
    <row r="380" spans="1:17">
      <c r="A380" s="2" t="s">
        <v>490</v>
      </c>
      <c r="B380" s="6" t="s">
        <v>1053</v>
      </c>
      <c r="C380" s="7" t="str" cm="1">
        <f t="array" ref="C380">_xlfn.LET(
  _xlpm.s, UPPER(B380),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LKFFREIVAKGKIPHIILHSP</v>
      </c>
      <c r="D380" s="4">
        <v>327</v>
      </c>
      <c r="E380" s="1">
        <v>3</v>
      </c>
      <c r="F380" s="1">
        <v>8</v>
      </c>
      <c r="G380" s="1">
        <v>10</v>
      </c>
      <c r="I380">
        <f t="shared" si="20"/>
        <v>-1.0453733334200543</v>
      </c>
      <c r="J380">
        <f t="shared" si="21"/>
        <v>-1.0719829147899094</v>
      </c>
      <c r="K380">
        <f t="shared" si="22"/>
        <v>-0.56561925757513087</v>
      </c>
      <c r="M380">
        <f t="shared" si="23"/>
        <v>-0.89432516859503153</v>
      </c>
      <c r="P380" t="s">
        <v>1251</v>
      </c>
      <c r="Q380" s="15" t="s">
        <v>1686</v>
      </c>
    </row>
    <row r="381" spans="1:17">
      <c r="A381" s="2" t="s">
        <v>491</v>
      </c>
      <c r="B381" s="6" t="s">
        <v>1054</v>
      </c>
      <c r="C381" s="7" t="str" cm="1">
        <f t="array" ref="C381">_xlfn.LET(
  _xlpm.s, UPPER(B381),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LKFFRDIVARGKIPHIILHSP</v>
      </c>
      <c r="D381" s="4">
        <v>616</v>
      </c>
      <c r="E381" s="1">
        <v>14</v>
      </c>
      <c r="F381" s="1">
        <v>16</v>
      </c>
      <c r="G381" s="1">
        <v>18</v>
      </c>
      <c r="I381">
        <f t="shared" si="20"/>
        <v>-0.65139951196561796</v>
      </c>
      <c r="J381">
        <f t="shared" si="21"/>
        <v>-1.0459858786300678</v>
      </c>
      <c r="K381">
        <f t="shared" si="22"/>
        <v>-0.58537971197596406</v>
      </c>
      <c r="M381">
        <f t="shared" si="23"/>
        <v>-0.76092170085721655</v>
      </c>
      <c r="P381" t="s">
        <v>1561</v>
      </c>
      <c r="Q381" s="15" t="s">
        <v>1685</v>
      </c>
    </row>
    <row r="382" spans="1:17">
      <c r="A382" s="2" t="s">
        <v>492</v>
      </c>
      <c r="B382" s="6" t="s">
        <v>1055</v>
      </c>
      <c r="C382" s="7" t="str" cm="1">
        <f t="array" ref="C382">_xlfn.LET(
  _xlpm.s, UPPER(B382),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LNYFKEIVAKGKIPHIILHSP</v>
      </c>
      <c r="D382" s="4">
        <v>238</v>
      </c>
      <c r="E382" s="1">
        <v>35</v>
      </c>
      <c r="F382" s="1">
        <v>13</v>
      </c>
      <c r="G382" s="1">
        <v>69</v>
      </c>
      <c r="I382">
        <f t="shared" si="20"/>
        <v>0.15954425181433318</v>
      </c>
      <c r="J382">
        <f t="shared" si="21"/>
        <v>-0.72315875387124218</v>
      </c>
      <c r="K382">
        <f t="shared" si="22"/>
        <v>0.41120062876589869</v>
      </c>
      <c r="M382">
        <f t="shared" si="23"/>
        <v>-5.0804624430336766E-2</v>
      </c>
      <c r="P382" t="s">
        <v>1514</v>
      </c>
      <c r="Q382" s="15" t="s">
        <v>1686</v>
      </c>
    </row>
    <row r="383" spans="1:17">
      <c r="A383" s="2" t="s">
        <v>493</v>
      </c>
      <c r="B383" s="6" t="s">
        <v>1056</v>
      </c>
      <c r="C383" s="7" t="str" cm="1">
        <f t="array" ref="C383">_xlfn.LET(
  _xlpm.s, UPPER(B383),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LQKMKEIAASGKIPHIILHSP</v>
      </c>
      <c r="D383" s="4">
        <v>752</v>
      </c>
      <c r="E383" s="1">
        <v>6</v>
      </c>
      <c r="F383" s="1">
        <v>8</v>
      </c>
      <c r="G383" s="1">
        <v>11</v>
      </c>
      <c r="I383">
        <f t="shared" si="20"/>
        <v>-1.1060134256874292</v>
      </c>
      <c r="J383">
        <f t="shared" si="21"/>
        <v>-1.4336530027212659</v>
      </c>
      <c r="K383">
        <f t="shared" si="22"/>
        <v>-0.88589666034826187</v>
      </c>
      <c r="M383">
        <f t="shared" si="23"/>
        <v>-1.1418543629189857</v>
      </c>
      <c r="P383" t="s">
        <v>1363</v>
      </c>
      <c r="Q383" s="16" t="s">
        <v>1685</v>
      </c>
    </row>
    <row r="384" spans="1:17">
      <c r="A384" s="2" t="s">
        <v>494</v>
      </c>
      <c r="B384" s="6" t="s">
        <v>1057</v>
      </c>
      <c r="C384" s="7" t="str" cm="1">
        <f t="array" ref="C384">_xlfn.LET(
  _xlpm.s, UPPER(B384),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LQRMKEIVASGKIPHIILHSP</v>
      </c>
      <c r="D384" s="4">
        <v>1305</v>
      </c>
      <c r="E384" s="1">
        <v>10</v>
      </c>
      <c r="F384" s="1">
        <v>1</v>
      </c>
      <c r="G384" s="1">
        <v>15</v>
      </c>
      <c r="I384">
        <f t="shared" si="20"/>
        <v>-1.1235573471537301</v>
      </c>
      <c r="J384">
        <f t="shared" si="21"/>
        <v>-2.5761356607958668</v>
      </c>
      <c r="K384">
        <f t="shared" si="22"/>
        <v>-0.99059075753346315</v>
      </c>
      <c r="M384">
        <f t="shared" si="23"/>
        <v>-1.5634279218276868</v>
      </c>
      <c r="P384" t="s">
        <v>1443</v>
      </c>
      <c r="Q384" s="15" t="s">
        <v>1686</v>
      </c>
    </row>
    <row r="385" spans="1:17">
      <c r="A385" s="2" t="s">
        <v>495</v>
      </c>
      <c r="B385" s="6" t="s">
        <v>1058</v>
      </c>
      <c r="C385" s="7" t="str" cm="1">
        <f t="array" ref="C385">_xlfn.LET(
  _xlpm.s, UPPER(B385),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LQRMREIAASGKIPHIILHSP</v>
      </c>
      <c r="D385" s="4">
        <v>3058</v>
      </c>
      <c r="E385" s="1">
        <v>67</v>
      </c>
      <c r="F385" s="1">
        <v>21</v>
      </c>
      <c r="G385" s="1">
        <v>12</v>
      </c>
      <c r="I385">
        <f t="shared" si="20"/>
        <v>-0.66730951385490545</v>
      </c>
      <c r="J385">
        <f t="shared" si="21"/>
        <v>-1.6237433354639492</v>
      </c>
      <c r="K385">
        <f t="shared" si="22"/>
        <v>-1.4573277399435212</v>
      </c>
      <c r="M385">
        <f t="shared" si="23"/>
        <v>-1.2494601964207919</v>
      </c>
      <c r="P385" t="s">
        <v>1203</v>
      </c>
      <c r="Q385" s="16" t="s">
        <v>1685</v>
      </c>
    </row>
    <row r="386" spans="1:17">
      <c r="A386" s="2" t="s">
        <v>496</v>
      </c>
      <c r="B386" s="6" t="s">
        <v>1059</v>
      </c>
      <c r="C386" s="7" t="str" cm="1">
        <f t="array" ref="C386">_xlfn.LET(
  _xlpm.s, UPPER(B386),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LQRFKAIVASGKIPHIILHSP</v>
      </c>
      <c r="D386" s="4">
        <v>1448</v>
      </c>
      <c r="E386" s="1">
        <v>103</v>
      </c>
      <c r="F386" s="1">
        <v>50</v>
      </c>
      <c r="G386" s="1">
        <v>24</v>
      </c>
      <c r="I386">
        <f t="shared" ref="I386:I443" si="24">LOG(E386/D386)-LOG(182/1787)</f>
        <v>-0.15587817263538639</v>
      </c>
      <c r="J386">
        <f t="shared" ref="J386:J443" si="25">LOG(F386/D386)-LOG(516/1787)</f>
        <v>-0.9223237066466764</v>
      </c>
      <c r="K386">
        <f t="shared" ref="K386:K443" si="26">LOG(G386/D386)-LOG(201/1787)</f>
        <v>-0.83162882506436686</v>
      </c>
      <c r="M386">
        <f t="shared" ref="M386:M443" si="27">AVERAGE(I386:K386)</f>
        <v>-0.63661023478214318</v>
      </c>
      <c r="P386" t="s">
        <v>1264</v>
      </c>
      <c r="Q386" s="16" t="s">
        <v>1685</v>
      </c>
    </row>
    <row r="387" spans="1:17">
      <c r="A387" s="2" t="s">
        <v>497</v>
      </c>
      <c r="B387" s="6" t="s">
        <v>1060</v>
      </c>
      <c r="C387" s="7" t="str" cm="1">
        <f t="array" ref="C387">_xlfn.LET(
  _xlpm.s, UPPER(B387),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LQLMKEIAASGKIPHIILHSP</v>
      </c>
      <c r="D387" s="4">
        <v>1317</v>
      </c>
      <c r="E387" s="1">
        <v>23</v>
      </c>
      <c r="F387" s="1">
        <v>22</v>
      </c>
      <c r="G387" s="1">
        <v>14</v>
      </c>
      <c r="I387">
        <f t="shared" si="24"/>
        <v>-0.76580477442362138</v>
      </c>
      <c r="J387">
        <f t="shared" si="25"/>
        <v>-1.2376882432611445</v>
      </c>
      <c r="K387">
        <f t="shared" si="26"/>
        <v>-1.0245292441983904</v>
      </c>
      <c r="M387">
        <f t="shared" si="27"/>
        <v>-1.0093407539610519</v>
      </c>
      <c r="P387" t="s">
        <v>1347</v>
      </c>
      <c r="Q387" s="15" t="s">
        <v>1686</v>
      </c>
    </row>
    <row r="388" spans="1:17">
      <c r="A388" s="2" t="s">
        <v>498</v>
      </c>
      <c r="B388" s="6" t="s">
        <v>1061</v>
      </c>
      <c r="C388" s="7" t="str" cm="1">
        <f t="array" ref="C388">_xlfn.LET(
  _xlpm.s, UPPER(B388),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LQLFKEIAASGKIPHIILHSP</v>
      </c>
      <c r="D388" s="4">
        <v>964</v>
      </c>
      <c r="E388" s="1">
        <v>16</v>
      </c>
      <c r="F388" s="1">
        <v>26</v>
      </c>
      <c r="G388" s="1">
        <v>20</v>
      </c>
      <c r="I388">
        <f t="shared" si="24"/>
        <v>-0.7879038867263366</v>
      </c>
      <c r="J388">
        <f t="shared" si="25"/>
        <v>-1.0296288350535798</v>
      </c>
      <c r="K388">
        <f t="shared" si="26"/>
        <v>-0.73411854315369429</v>
      </c>
      <c r="M388">
        <f t="shared" si="27"/>
        <v>-0.85055042164453687</v>
      </c>
      <c r="P388" t="s">
        <v>1611</v>
      </c>
      <c r="Q388" s="16" t="s">
        <v>1685</v>
      </c>
    </row>
    <row r="389" spans="1:17">
      <c r="A389" s="2" t="s">
        <v>499</v>
      </c>
      <c r="B389" s="6" t="s">
        <v>1062</v>
      </c>
      <c r="C389" s="7" t="str" cm="1">
        <f t="array" ref="C389">_xlfn.LET(
  _xlpm.s, UPPER(B389),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LQLFKDIVKRGKIPHIILHSP</v>
      </c>
      <c r="D389" s="4">
        <v>549</v>
      </c>
      <c r="E389" s="1">
        <v>24</v>
      </c>
      <c r="F389" s="1">
        <v>23</v>
      </c>
      <c r="G389" s="1">
        <v>47</v>
      </c>
      <c r="I389">
        <f t="shared" si="24"/>
        <v>-0.36730793821791652</v>
      </c>
      <c r="J389">
        <f t="shared" si="25"/>
        <v>-0.83836965755406612</v>
      </c>
      <c r="K389">
        <f t="shared" si="26"/>
        <v>-0.11854599142921907</v>
      </c>
      <c r="M389">
        <f t="shared" si="27"/>
        <v>-0.44140786240040053</v>
      </c>
      <c r="P389" t="s">
        <v>1656</v>
      </c>
      <c r="Q389" s="16" t="s">
        <v>1685</v>
      </c>
    </row>
    <row r="390" spans="1:17">
      <c r="A390" s="2" t="s">
        <v>500</v>
      </c>
      <c r="B390" s="6" t="s">
        <v>1063</v>
      </c>
      <c r="C390" s="7" t="str" cm="1">
        <f t="array" ref="C390">_xlfn.LET(
  _xlpm.s, UPPER(B390),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LQEMKAIAASGKIPHIILHSP</v>
      </c>
      <c r="D390" s="4">
        <v>1144</v>
      </c>
      <c r="E390" s="1">
        <v>27</v>
      </c>
      <c r="F390" s="1">
        <v>79</v>
      </c>
      <c r="G390" s="1">
        <v>3</v>
      </c>
      <c r="I390">
        <f t="shared" si="24"/>
        <v>-0.63500909577744857</v>
      </c>
      <c r="J390">
        <f t="shared" si="25"/>
        <v>-0.62132408228813107</v>
      </c>
      <c r="K390">
        <f t="shared" si="26"/>
        <v>-1.6323762746521877</v>
      </c>
      <c r="M390">
        <f t="shared" si="27"/>
        <v>-0.9629031509059226</v>
      </c>
      <c r="P390" t="s">
        <v>1254</v>
      </c>
      <c r="Q390" s="16" t="s">
        <v>1685</v>
      </c>
    </row>
    <row r="391" spans="1:17">
      <c r="A391" s="2" t="s">
        <v>501</v>
      </c>
      <c r="B391" s="6" t="s">
        <v>1064</v>
      </c>
      <c r="C391" s="7" t="str" cm="1">
        <f t="array" ref="C391">_xlfn.LET(
  _xlpm.s, UPPER(B391),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LQYFKDIVASGKIPHIILHSP</v>
      </c>
      <c r="D391" s="4">
        <v>362</v>
      </c>
      <c r="E391" s="1">
        <v>45</v>
      </c>
      <c r="F391" s="1">
        <v>12</v>
      </c>
      <c r="G391" s="1">
        <v>17</v>
      </c>
      <c r="I391">
        <f t="shared" si="24"/>
        <v>8.6557107762747498E-2</v>
      </c>
      <c r="J391">
        <f t="shared" si="25"/>
        <v>-0.94005247360710797</v>
      </c>
      <c r="K391">
        <f t="shared" si="26"/>
        <v>-0.37933115406973639</v>
      </c>
      <c r="M391">
        <f t="shared" si="27"/>
        <v>-0.41094217330469895</v>
      </c>
      <c r="P391" t="s">
        <v>1224</v>
      </c>
      <c r="Q391" s="16" t="s">
        <v>1685</v>
      </c>
    </row>
    <row r="392" spans="1:17">
      <c r="A392" s="2" t="s">
        <v>502</v>
      </c>
      <c r="B392" s="6" t="s">
        <v>1065</v>
      </c>
      <c r="C392" s="7" t="str" cm="1">
        <f t="array" ref="C392">_xlfn.LET(
  _xlpm.s, UPPER(B392),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LEKFKEIAASGKIPHIILHSP</v>
      </c>
      <c r="D392" s="4">
        <v>450</v>
      </c>
      <c r="E392" s="1">
        <v>9</v>
      </c>
      <c r="F392" s="1">
        <v>5</v>
      </c>
      <c r="G392" s="1">
        <v>3</v>
      </c>
      <c r="I392">
        <f t="shared" si="24"/>
        <v>-0.70691683981544928</v>
      </c>
      <c r="J392">
        <f t="shared" si="25"/>
        <v>-1.4147676585608919</v>
      </c>
      <c r="K392">
        <f t="shared" si="26"/>
        <v>-1.227162763970526</v>
      </c>
      <c r="M392">
        <f t="shared" si="27"/>
        <v>-1.116282420782289</v>
      </c>
      <c r="P392" t="s">
        <v>1183</v>
      </c>
      <c r="Q392" s="15" t="s">
        <v>1686</v>
      </c>
    </row>
    <row r="393" spans="1:17">
      <c r="A393" s="2" t="s">
        <v>503</v>
      </c>
      <c r="B393" s="6" t="s">
        <v>1066</v>
      </c>
      <c r="C393" s="7" t="str" cm="1">
        <f t="array" ref="C393">_xlfn.LET(
  _xlpm.s, UPPER(B393),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LETMKKIAESGKIPHIILHSP</v>
      </c>
      <c r="D393" s="4">
        <v>440</v>
      </c>
      <c r="E393" s="1">
        <v>4</v>
      </c>
      <c r="F393" s="1">
        <v>2</v>
      </c>
      <c r="G393" s="1">
        <v>1</v>
      </c>
      <c r="I393">
        <f t="shared" si="24"/>
        <v>-1.0493395206376555</v>
      </c>
      <c r="J393">
        <f t="shared" si="25"/>
        <v>-1.8029478299437733</v>
      </c>
      <c r="K393">
        <f t="shared" si="26"/>
        <v>-1.6945241814010321</v>
      </c>
      <c r="M393">
        <f t="shared" si="27"/>
        <v>-1.5156038439941535</v>
      </c>
      <c r="P393" t="s">
        <v>1412</v>
      </c>
      <c r="Q393" s="15" t="s">
        <v>1686</v>
      </c>
    </row>
    <row r="394" spans="1:17">
      <c r="A394" s="2" t="s">
        <v>504</v>
      </c>
      <c r="B394" s="6" t="s">
        <v>1067</v>
      </c>
      <c r="C394" s="7" t="str" cm="1">
        <f t="array" ref="C394">_xlfn.LET(
  _xlpm.s, UPPER(B394),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LETMKKIAASGKIPHIILHSP</v>
      </c>
      <c r="D394" s="4">
        <v>649</v>
      </c>
      <c r="E394" s="1">
        <v>16</v>
      </c>
      <c r="F394" s="1">
        <v>34</v>
      </c>
      <c r="G394" s="1">
        <v>10</v>
      </c>
      <c r="I394">
        <f t="shared" si="24"/>
        <v>-0.61607154962387489</v>
      </c>
      <c r="J394">
        <f t="shared" si="25"/>
        <v>-0.74129092887968129</v>
      </c>
      <c r="K394">
        <f t="shared" si="26"/>
        <v>-0.86331620171521384</v>
      </c>
      <c r="M394">
        <f t="shared" si="27"/>
        <v>-0.74022622673958993</v>
      </c>
      <c r="P394" t="s">
        <v>1556</v>
      </c>
      <c r="Q394" s="15" t="s">
        <v>1686</v>
      </c>
    </row>
    <row r="395" spans="1:17">
      <c r="A395" s="2" t="s">
        <v>505</v>
      </c>
      <c r="B395" s="6" t="s">
        <v>1068</v>
      </c>
      <c r="C395" s="7" t="str" cm="1">
        <f t="array" ref="C395">_xlfn.LET(
  _xlpm.s, UPPER(B395),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LETMRKIAASGKIPHIILHSP</v>
      </c>
      <c r="D395" s="4">
        <v>1335</v>
      </c>
      <c r="E395" s="1">
        <v>5</v>
      </c>
      <c r="F395" s="1">
        <v>6</v>
      </c>
      <c r="G395" s="1">
        <v>1</v>
      </c>
      <c r="I395">
        <f t="shared" si="24"/>
        <v>-1.4344580968440059</v>
      </c>
      <c r="J395">
        <f t="shared" si="25"/>
        <v>-1.8078551644385175</v>
      </c>
      <c r="K395">
        <f t="shared" si="26"/>
        <v>-2.1765527706154391</v>
      </c>
      <c r="M395">
        <f t="shared" si="27"/>
        <v>-1.806288677299321</v>
      </c>
      <c r="P395" t="s">
        <v>1411</v>
      </c>
      <c r="Q395" s="15" t="s">
        <v>1686</v>
      </c>
    </row>
    <row r="396" spans="1:17">
      <c r="A396" s="2" t="s">
        <v>506</v>
      </c>
      <c r="B396" s="6" t="s">
        <v>1069</v>
      </c>
      <c r="C396" s="7" t="str" cm="1">
        <f t="array" ref="C396">_xlfn.LET(
  _xlpm.s, UPPER(B396),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LETMREIAKSGKIPHIILHSP</v>
      </c>
      <c r="D396" s="4">
        <v>827</v>
      </c>
      <c r="E396" s="1">
        <v>6</v>
      </c>
      <c r="F396" s="1">
        <v>4</v>
      </c>
      <c r="G396" s="1">
        <v>13</v>
      </c>
      <c r="I396">
        <f t="shared" si="24"/>
        <v>-1.1473010946483337</v>
      </c>
      <c r="J396">
        <f t="shared" si="25"/>
        <v>-1.7759706673461513</v>
      </c>
      <c r="K396">
        <f t="shared" si="26"/>
        <v>-0.85463366216055459</v>
      </c>
      <c r="M396">
        <f t="shared" si="27"/>
        <v>-1.2593018080516798</v>
      </c>
      <c r="P396" t="s">
        <v>1358</v>
      </c>
      <c r="Q396" s="16" t="s">
        <v>1685</v>
      </c>
    </row>
    <row r="397" spans="1:17">
      <c r="A397" s="2" t="s">
        <v>507</v>
      </c>
      <c r="B397" s="6" t="s">
        <v>1070</v>
      </c>
      <c r="C397" s="7" t="str" cm="1">
        <f t="array" ref="C397">_xlfn.LET(
  _xlpm.s, UPPER(B397),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LEMFKKIAASGKIPHIILHSP</v>
      </c>
      <c r="D397" s="4">
        <v>425</v>
      </c>
      <c r="E397" s="1">
        <v>2</v>
      </c>
      <c r="F397" s="1">
        <v>2</v>
      </c>
      <c r="G397" s="1">
        <v>11</v>
      </c>
      <c r="I397">
        <f t="shared" si="24"/>
        <v>-1.3353057698657609</v>
      </c>
      <c r="J397">
        <f t="shared" si="25"/>
        <v>-1.7878840835078975</v>
      </c>
      <c r="K397">
        <f t="shared" si="26"/>
        <v>-0.63806774980693115</v>
      </c>
      <c r="M397">
        <f t="shared" si="27"/>
        <v>-1.2537525343935298</v>
      </c>
      <c r="P397" t="s">
        <v>1391</v>
      </c>
      <c r="Q397" s="15" t="s">
        <v>1686</v>
      </c>
    </row>
    <row r="398" spans="1:17">
      <c r="A398" s="2" t="s">
        <v>508</v>
      </c>
      <c r="B398" s="6" t="s">
        <v>1071</v>
      </c>
      <c r="C398" s="7" t="str" cm="1">
        <f t="array" ref="C398">_xlfn.LET(
  _xlpm.s, UPPER(B398),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LERMKAIADSGKIPHIILHSP</v>
      </c>
      <c r="D398" s="4">
        <v>1178</v>
      </c>
      <c r="E398" s="1">
        <v>7</v>
      </c>
      <c r="F398" s="1">
        <v>12</v>
      </c>
      <c r="G398" s="1">
        <v>41</v>
      </c>
      <c r="I398">
        <f t="shared" si="24"/>
        <v>-1.2339940859162564</v>
      </c>
      <c r="J398">
        <f t="shared" si="25"/>
        <v>-1.4524891935250248</v>
      </c>
      <c r="K398">
        <f t="shared" si="26"/>
        <v>-0.50943293864619199</v>
      </c>
      <c r="M398">
        <f t="shared" si="27"/>
        <v>-1.0653054060291576</v>
      </c>
      <c r="P398" t="s">
        <v>1609</v>
      </c>
      <c r="Q398" s="15" t="s">
        <v>1686</v>
      </c>
    </row>
    <row r="399" spans="1:17">
      <c r="A399" s="2" t="s">
        <v>509</v>
      </c>
      <c r="B399" s="6" t="s">
        <v>1072</v>
      </c>
      <c r="C399" s="7" t="str" cm="1">
        <f t="array" ref="C399">_xlfn.LET(
  _xlpm.s, UPPER(B399),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LERFKEIAASGKIPHIILHSP</v>
      </c>
      <c r="D399" s="4">
        <v>868</v>
      </c>
      <c r="E399" s="1">
        <v>92</v>
      </c>
      <c r="F399" s="1">
        <v>35</v>
      </c>
      <c r="G399" s="1">
        <v>22</v>
      </c>
      <c r="I399">
        <f t="shared" si="24"/>
        <v>1.7321266689632853E-2</v>
      </c>
      <c r="J399">
        <f t="shared" si="25"/>
        <v>-0.85497682994778323</v>
      </c>
      <c r="K399">
        <f t="shared" si="26"/>
        <v>-0.64716854926913037</v>
      </c>
      <c r="M399">
        <f t="shared" si="27"/>
        <v>-0.4949413708424269</v>
      </c>
      <c r="P399" t="s">
        <v>1603</v>
      </c>
      <c r="Q399" s="16" t="s">
        <v>1685</v>
      </c>
    </row>
    <row r="400" spans="1:17">
      <c r="A400" s="2" t="s">
        <v>510</v>
      </c>
      <c r="B400" s="6" t="s">
        <v>1073</v>
      </c>
      <c r="C400" s="7" t="str" cm="1">
        <f t="array" ref="C400">_xlfn.LET(
  _xlpm.s, UPPER(B400),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LERFKSIAKSGKIPHIILHSP</v>
      </c>
      <c r="D400" s="4">
        <v>476</v>
      </c>
      <c r="E400" s="1">
        <v>59</v>
      </c>
      <c r="F400" s="1">
        <v>18</v>
      </c>
      <c r="G400" s="1">
        <v>34</v>
      </c>
      <c r="I400">
        <f t="shared" si="24"/>
        <v>8.5298223442220489E-2</v>
      </c>
      <c r="J400">
        <f t="shared" si="25"/>
        <v>-0.88285959673875414</v>
      </c>
      <c r="K400">
        <f t="shared" si="26"/>
        <v>-0.19719954059308265</v>
      </c>
      <c r="M400">
        <f t="shared" si="27"/>
        <v>-0.33158697129653875</v>
      </c>
      <c r="P400" t="s">
        <v>1510</v>
      </c>
      <c r="Q400" s="15" t="s">
        <v>1686</v>
      </c>
    </row>
    <row r="401" spans="1:17">
      <c r="A401" s="2" t="s">
        <v>511</v>
      </c>
      <c r="B401" s="6" t="s">
        <v>1074</v>
      </c>
      <c r="C401" s="7" t="str" cm="1">
        <f t="array" ref="C401">_xlfn.LET(
  _xlpm.s, UPPER(B401),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LELMKQIAESGKIPHIILHSP</v>
      </c>
      <c r="D401" s="4">
        <v>936</v>
      </c>
      <c r="E401" s="1">
        <v>8</v>
      </c>
      <c r="F401" s="1">
        <v>18</v>
      </c>
      <c r="G401" s="1">
        <v>23</v>
      </c>
      <c r="I401">
        <f t="shared" si="24"/>
        <v>-1.0761326972255922</v>
      </c>
      <c r="J401">
        <f t="shared" si="25"/>
        <v>-1.1765284927563662</v>
      </c>
      <c r="K401">
        <f t="shared" si="26"/>
        <v>-0.66061951763535709</v>
      </c>
      <c r="M401">
        <f t="shared" si="27"/>
        <v>-0.97109356920577172</v>
      </c>
      <c r="P401" t="s">
        <v>1638</v>
      </c>
      <c r="Q401" s="16" t="s">
        <v>1685</v>
      </c>
    </row>
    <row r="402" spans="1:17">
      <c r="A402" s="2" t="s">
        <v>512</v>
      </c>
      <c r="B402" s="6" t="s">
        <v>1075</v>
      </c>
      <c r="C402" s="7" t="str" cm="1">
        <f t="array" ref="C402">_xlfn.LET(
  _xlpm.s, UPPER(B402),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LELLKEIAASGKIPHIILHSP</v>
      </c>
      <c r="D402" s="4">
        <v>1207</v>
      </c>
      <c r="E402" s="1">
        <v>5</v>
      </c>
      <c r="F402" s="1">
        <v>1</v>
      </c>
      <c r="G402" s="1">
        <v>9</v>
      </c>
      <c r="I402">
        <f t="shared" si="24"/>
        <v>-1.3906841012407609</v>
      </c>
      <c r="J402">
        <f t="shared" si="25"/>
        <v>-2.5422324192189163</v>
      </c>
      <c r="K402">
        <f t="shared" si="26"/>
        <v>-1.1785362655728691</v>
      </c>
      <c r="M402">
        <f t="shared" si="27"/>
        <v>-1.7038175953441821</v>
      </c>
      <c r="P402" t="s">
        <v>1418</v>
      </c>
      <c r="Q402" s="15" t="s">
        <v>1686</v>
      </c>
    </row>
    <row r="403" spans="1:17">
      <c r="A403" s="2" t="s">
        <v>513</v>
      </c>
      <c r="B403" s="6" t="s">
        <v>1076</v>
      </c>
      <c r="C403" s="7" t="str" cm="1">
        <f t="array" ref="C403">_xlfn.LET(
  _xlpm.s, UPPER(B403),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LELFKNIVKKGKIPHIILHSP</v>
      </c>
      <c r="D403" s="4">
        <v>175</v>
      </c>
      <c r="E403" s="1">
        <v>44</v>
      </c>
      <c r="F403" s="1">
        <v>18</v>
      </c>
      <c r="G403" s="1">
        <v>13</v>
      </c>
      <c r="I403">
        <f t="shared" si="24"/>
        <v>0.39246779232046247</v>
      </c>
      <c r="J403">
        <f t="shared" si="25"/>
        <v>-0.44829069270455546</v>
      </c>
      <c r="K403">
        <f t="shared" si="26"/>
        <v>-0.18016620129430239</v>
      </c>
      <c r="M403">
        <f t="shared" si="27"/>
        <v>-7.8663033892798453E-2</v>
      </c>
      <c r="P403" t="s">
        <v>1629</v>
      </c>
      <c r="Q403" s="16" t="s">
        <v>1685</v>
      </c>
    </row>
    <row r="404" spans="1:17">
      <c r="A404" s="2" t="s">
        <v>514</v>
      </c>
      <c r="B404" s="6" t="s">
        <v>1077</v>
      </c>
      <c r="C404" s="7" t="str" cm="1">
        <f t="array" ref="C404">_xlfn.LET(
  _xlpm.s, UPPER(B404),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LELFKEIAASGKIPHIILHSP</v>
      </c>
      <c r="D404" s="4">
        <v>974</v>
      </c>
      <c r="E404" s="1">
        <v>7</v>
      </c>
      <c r="F404" s="1">
        <v>20</v>
      </c>
      <c r="G404" s="1">
        <v>19</v>
      </c>
      <c r="I404">
        <f t="shared" si="24"/>
        <v>-1.1514077523437893</v>
      </c>
      <c r="J404">
        <f t="shared" si="25"/>
        <v>-1.1480541103362012</v>
      </c>
      <c r="K404">
        <f t="shared" si="26"/>
        <v>-0.76087686084063133</v>
      </c>
      <c r="M404">
        <f t="shared" si="27"/>
        <v>-1.0201129078402074</v>
      </c>
      <c r="P404" t="s">
        <v>1128</v>
      </c>
      <c r="Q404" s="16" t="s">
        <v>1685</v>
      </c>
    </row>
    <row r="405" spans="1:17">
      <c r="A405" s="2" t="s">
        <v>515</v>
      </c>
      <c r="B405" s="6" t="s">
        <v>1078</v>
      </c>
      <c r="C405" s="7" t="str" cm="1">
        <f t="array" ref="C405">_xlfn.LET(
  _xlpm.s, UPPER(B405),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LELFKAIVKRGKIPHIILHSP</v>
      </c>
      <c r="D405" s="4">
        <v>686</v>
      </c>
      <c r="E405" s="1">
        <v>6</v>
      </c>
      <c r="F405" s="1">
        <v>30</v>
      </c>
      <c r="G405" s="1">
        <v>23</v>
      </c>
      <c r="I405">
        <f t="shared" si="24"/>
        <v>-1.0661197008025387</v>
      </c>
      <c r="J405">
        <f t="shared" si="25"/>
        <v>-0.81972801010865626</v>
      </c>
      <c r="K405">
        <f t="shared" si="26"/>
        <v>-0.52566778460400343</v>
      </c>
      <c r="M405">
        <f t="shared" si="27"/>
        <v>-0.80383849850506606</v>
      </c>
      <c r="P405" t="s">
        <v>1574</v>
      </c>
      <c r="Q405" s="16" t="s">
        <v>1685</v>
      </c>
    </row>
    <row r="406" spans="1:17">
      <c r="A406" s="2" t="s">
        <v>516</v>
      </c>
      <c r="B406" s="6" t="s">
        <v>1079</v>
      </c>
      <c r="C406" s="7" t="str" cm="1">
        <f t="array" ref="C406">_xlfn.LET(
  _xlpm.s, UPPER(B406),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LELFKSIVAKGKIPHIILHSP</v>
      </c>
      <c r="D406" s="4">
        <v>605</v>
      </c>
      <c r="E406" s="1">
        <v>12</v>
      </c>
      <c r="F406" s="1">
        <v>3</v>
      </c>
      <c r="G406" s="1">
        <v>6</v>
      </c>
      <c r="I406">
        <f t="shared" si="24"/>
        <v>-0.71052096408427468</v>
      </c>
      <c r="J406">
        <f t="shared" si="25"/>
        <v>-1.7651592690543736</v>
      </c>
      <c r="K406">
        <f t="shared" si="26"/>
        <v>-1.0546756291836699</v>
      </c>
      <c r="M406">
        <f t="shared" si="27"/>
        <v>-1.1767852874407729</v>
      </c>
      <c r="P406" t="s">
        <v>1124</v>
      </c>
      <c r="Q406" s="16" t="s">
        <v>1685</v>
      </c>
    </row>
    <row r="407" spans="1:17">
      <c r="A407" s="2" t="s">
        <v>517</v>
      </c>
      <c r="B407" s="6" t="s">
        <v>1080</v>
      </c>
      <c r="C407" s="7" t="str" cm="1">
        <f t="array" ref="C407">_xlfn.LET(
  _xlpm.s, UPPER(B407),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LELFKSIVASGKIPHIILHSP</v>
      </c>
      <c r="D407" s="4">
        <v>1022</v>
      </c>
      <c r="E407" s="1">
        <v>3</v>
      </c>
      <c r="F407" s="1">
        <v>6</v>
      </c>
      <c r="G407" s="1">
        <v>12</v>
      </c>
      <c r="I407">
        <f t="shared" si="24"/>
        <v>-1.540276476558462</v>
      </c>
      <c r="J407">
        <f t="shared" si="25"/>
        <v>-1.6918247945366174</v>
      </c>
      <c r="K407">
        <f t="shared" si="26"/>
        <v>-0.98134115466591387</v>
      </c>
      <c r="M407">
        <f t="shared" si="27"/>
        <v>-1.4044808085869978</v>
      </c>
      <c r="P407" t="s">
        <v>1446</v>
      </c>
      <c r="Q407" s="15" t="s">
        <v>1686</v>
      </c>
    </row>
    <row r="408" spans="1:17">
      <c r="A408" s="2" t="s">
        <v>518</v>
      </c>
      <c r="B408" s="6" t="s">
        <v>1081</v>
      </c>
      <c r="C408" s="7" t="str" cm="1">
        <f t="array" ref="C408">_xlfn.LET(
  _xlpm.s, UPPER(B408),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LEEMKKIANSGKIPHIILHSP</v>
      </c>
      <c r="D408" s="4">
        <v>262</v>
      </c>
      <c r="E408" s="1">
        <v>7</v>
      </c>
      <c r="F408" s="1">
        <v>6</v>
      </c>
      <c r="G408" s="1">
        <v>121</v>
      </c>
      <c r="I408">
        <f t="shared" si="24"/>
        <v>-0.58115008678491908</v>
      </c>
      <c r="J408">
        <f t="shared" si="25"/>
        <v>-1.100675190057669</v>
      </c>
      <c r="K408">
        <f t="shared" si="26"/>
        <v>0.6134125740818599</v>
      </c>
      <c r="M408">
        <f t="shared" si="27"/>
        <v>-0.3561375675869094</v>
      </c>
      <c r="P408" t="s">
        <v>1639</v>
      </c>
      <c r="Q408" s="16" t="s">
        <v>1685</v>
      </c>
    </row>
    <row r="409" spans="1:17">
      <c r="A409" s="2" t="s">
        <v>519</v>
      </c>
      <c r="B409" s="6" t="s">
        <v>1082</v>
      </c>
      <c r="C409" s="7" t="str" cm="1">
        <f t="array" ref="C409">_xlfn.LET(
  _xlpm.s, UPPER(B409),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LEEMKKIAQSGKIPHIILHSP</v>
      </c>
      <c r="D409" s="4">
        <v>423</v>
      </c>
      <c r="E409" s="1">
        <v>8</v>
      </c>
      <c r="F409" s="1">
        <v>2</v>
      </c>
      <c r="G409" s="1">
        <v>27</v>
      </c>
      <c r="I409">
        <f t="shared" si="24"/>
        <v>-0.73119721586252928</v>
      </c>
      <c r="J409">
        <f t="shared" si="25"/>
        <v>-1.7858355208326282</v>
      </c>
      <c r="K409">
        <f t="shared" si="26"/>
        <v>-0.24604810813089983</v>
      </c>
      <c r="M409">
        <f t="shared" si="27"/>
        <v>-0.92102694827535248</v>
      </c>
      <c r="P409" t="s">
        <v>1563</v>
      </c>
      <c r="Q409" s="15" t="s">
        <v>1686</v>
      </c>
    </row>
    <row r="410" spans="1:17">
      <c r="A410" s="2" t="s">
        <v>520</v>
      </c>
      <c r="B410" s="6" t="s">
        <v>1083</v>
      </c>
      <c r="C410" s="7" t="str" cm="1">
        <f t="array" ref="C410">_xlfn.LET(
  _xlpm.s, UPPER(B410),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LEEMRKIAKSGKIPHIILHSP</v>
      </c>
      <c r="D410" s="4">
        <v>633</v>
      </c>
      <c r="E410" s="1">
        <v>22</v>
      </c>
      <c r="F410" s="1">
        <v>5</v>
      </c>
      <c r="G410" s="1">
        <v>16</v>
      </c>
      <c r="I410">
        <f t="shared" si="24"/>
        <v>-0.46692786467457936</v>
      </c>
      <c r="J410">
        <f t="shared" si="25"/>
        <v>-1.5629588548029036</v>
      </c>
      <c r="K410">
        <f t="shared" si="26"/>
        <v>-0.64835523227627512</v>
      </c>
      <c r="M410">
        <f t="shared" si="27"/>
        <v>-0.89274731725125278</v>
      </c>
      <c r="P410" t="s">
        <v>1308</v>
      </c>
      <c r="Q410" s="15" t="s">
        <v>1686</v>
      </c>
    </row>
    <row r="411" spans="1:17">
      <c r="A411" s="2" t="s">
        <v>521</v>
      </c>
      <c r="B411" s="6" t="s">
        <v>1084</v>
      </c>
      <c r="C411" s="7" t="str" cm="1">
        <f t="array" ref="C411">_xlfn.LET(
  _xlpm.s, UPPER(B411),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LEEMRKIAESGKIPHIILHSP</v>
      </c>
      <c r="D411" s="4">
        <v>777</v>
      </c>
      <c r="E411" s="1">
        <v>27</v>
      </c>
      <c r="F411" s="1">
        <v>10</v>
      </c>
      <c r="G411" s="1">
        <v>15</v>
      </c>
      <c r="I411">
        <f t="shared" si="24"/>
        <v>-0.46700409012135746</v>
      </c>
      <c r="J411">
        <f t="shared" si="25"/>
        <v>-1.3509461679224812</v>
      </c>
      <c r="K411">
        <f t="shared" si="26"/>
        <v>-0.76540126466007763</v>
      </c>
      <c r="M411">
        <f t="shared" si="27"/>
        <v>-0.86111717423463874</v>
      </c>
      <c r="P411" t="s">
        <v>1575</v>
      </c>
      <c r="Q411" s="16" t="s">
        <v>1685</v>
      </c>
    </row>
    <row r="412" spans="1:17">
      <c r="A412" s="2" t="s">
        <v>522</v>
      </c>
      <c r="B412" s="6" t="s">
        <v>1085</v>
      </c>
      <c r="C412" s="7" t="str" cm="1">
        <f t="array" ref="C412">_xlfn.LET(
  _xlpm.s, UPPER(B412),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LEELKKIAASGKIPHIILHSP</v>
      </c>
      <c r="D412" s="4">
        <v>663</v>
      </c>
      <c r="E412" s="1">
        <v>25</v>
      </c>
      <c r="F412" s="1">
        <v>4</v>
      </c>
      <c r="G412" s="1">
        <v>21</v>
      </c>
      <c r="I412">
        <f t="shared" si="24"/>
        <v>-0.43152035521216603</v>
      </c>
      <c r="J412">
        <f t="shared" si="25"/>
        <v>-1.6799786861983779</v>
      </c>
      <c r="K412">
        <f t="shared" si="26"/>
        <v>-0.55036573858569859</v>
      </c>
      <c r="M412">
        <f t="shared" si="27"/>
        <v>-0.88728825999874739</v>
      </c>
      <c r="P412" t="s">
        <v>1518</v>
      </c>
      <c r="Q412" s="16" t="s">
        <v>1685</v>
      </c>
    </row>
    <row r="413" spans="1:17">
      <c r="A413" s="2" t="s">
        <v>523</v>
      </c>
      <c r="B413" s="6" t="s">
        <v>1086</v>
      </c>
      <c r="C413" s="7" t="str" cm="1">
        <f t="array" ref="C413">_xlfn.LET(
  _xlpm.s, UPPER(B413),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LEYFKNIVKKGKIPHIILHSP</v>
      </c>
      <c r="D413" s="4">
        <v>88</v>
      </c>
      <c r="E413" s="1">
        <v>4</v>
      </c>
      <c r="F413" s="1">
        <v>8</v>
      </c>
      <c r="G413" s="1">
        <v>19</v>
      </c>
      <c r="I413">
        <f t="shared" si="24"/>
        <v>-0.35036951630163671</v>
      </c>
      <c r="J413">
        <f t="shared" si="25"/>
        <v>-0.50191783427979197</v>
      </c>
      <c r="K413">
        <f t="shared" si="26"/>
        <v>0.2831994238878156</v>
      </c>
      <c r="M413">
        <f t="shared" si="27"/>
        <v>-0.18969597556453768</v>
      </c>
      <c r="P413" t="s">
        <v>1637</v>
      </c>
      <c r="Q413" s="16" t="s">
        <v>1685</v>
      </c>
    </row>
    <row r="414" spans="1:17">
      <c r="A414" s="2" t="s">
        <v>524</v>
      </c>
      <c r="B414" s="6" t="s">
        <v>1087</v>
      </c>
      <c r="C414" s="7" t="str" cm="1">
        <f t="array" ref="C414">_xlfn.LET(
  _xlpm.s, UPPER(B414),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LEYFKNIVARGKIPHIILHSP</v>
      </c>
      <c r="D414" s="4">
        <v>242</v>
      </c>
      <c r="E414" s="1">
        <v>24</v>
      </c>
      <c r="F414" s="1">
        <v>8</v>
      </c>
      <c r="G414" s="1">
        <v>3</v>
      </c>
      <c r="I414">
        <f t="shared" si="24"/>
        <v>-1.1550959748255707E-2</v>
      </c>
      <c r="J414">
        <f t="shared" si="25"/>
        <v>-0.94125052811005483</v>
      </c>
      <c r="K414">
        <f t="shared" si="26"/>
        <v>-0.95776561617561362</v>
      </c>
      <c r="M414">
        <f t="shared" si="27"/>
        <v>-0.63685570134464131</v>
      </c>
      <c r="P414" t="s">
        <v>1541</v>
      </c>
      <c r="Q414" s="15" t="s">
        <v>1686</v>
      </c>
    </row>
    <row r="415" spans="1:17">
      <c r="A415" s="2" t="s">
        <v>525</v>
      </c>
      <c r="B415" s="6" t="s">
        <v>1088</v>
      </c>
      <c r="C415" s="7" t="str" cm="1">
        <f t="array" ref="C415">_xlfn.LET(
  _xlpm.s, UPPER(B415),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LEYFKEIVARGKIPHIILHSP</v>
      </c>
      <c r="D415" s="4">
        <v>302</v>
      </c>
      <c r="E415" s="1">
        <v>11</v>
      </c>
      <c r="F415" s="1">
        <v>17</v>
      </c>
      <c r="G415" s="1">
        <v>14</v>
      </c>
      <c r="I415">
        <f t="shared" si="24"/>
        <v>-0.44656109327835614</v>
      </c>
      <c r="J415">
        <f t="shared" si="25"/>
        <v>-0.71008317070044369</v>
      </c>
      <c r="K415">
        <f t="shared" si="26"/>
        <v>-0.38495041219375725</v>
      </c>
      <c r="M415">
        <f t="shared" si="27"/>
        <v>-0.51386489205751895</v>
      </c>
      <c r="P415" t="s">
        <v>1573</v>
      </c>
      <c r="Q415" s="16" t="s">
        <v>1685</v>
      </c>
    </row>
    <row r="416" spans="1:17">
      <c r="A416" s="2" t="s">
        <v>526</v>
      </c>
      <c r="B416" s="6" t="s">
        <v>1089</v>
      </c>
      <c r="C416" s="7" t="str" cm="1">
        <f t="array" ref="C416">_xlfn.LET(
  _xlpm.s, UPPER(B416),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LEYFKAIVKRGKIPHIILHSP</v>
      </c>
      <c r="D416" s="4">
        <v>351</v>
      </c>
      <c r="E416" s="1">
        <v>2</v>
      </c>
      <c r="F416" s="1">
        <v>1</v>
      </c>
      <c r="G416" s="1">
        <v>4</v>
      </c>
      <c r="I416">
        <f t="shared" si="24"/>
        <v>-1.2522239562812736</v>
      </c>
      <c r="J416">
        <f t="shared" si="25"/>
        <v>-2.005832265587391</v>
      </c>
      <c r="K416">
        <f t="shared" si="26"/>
        <v>-0.99431863005270626</v>
      </c>
      <c r="M416">
        <f t="shared" si="27"/>
        <v>-1.4174582839737901</v>
      </c>
      <c r="P416" t="s">
        <v>1416</v>
      </c>
      <c r="Q416" s="15" t="s">
        <v>1686</v>
      </c>
    </row>
    <row r="417" spans="1:17">
      <c r="A417" s="2" t="s">
        <v>527</v>
      </c>
      <c r="B417" s="6" t="s">
        <v>1090</v>
      </c>
      <c r="C417" s="7" t="str" cm="1">
        <f t="array" ref="C417">_xlfn.LET(
  _xlpm.s, UPPER(B417),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LEYFKSIVAKGKIPHIILHSP</v>
      </c>
      <c r="D417" s="4">
        <v>311</v>
      </c>
      <c r="E417" s="1">
        <v>5</v>
      </c>
      <c r="F417" s="1">
        <v>7</v>
      </c>
      <c r="G417" s="1">
        <v>3</v>
      </c>
      <c r="I417">
        <f t="shared" si="24"/>
        <v>-0.80173722017024929</v>
      </c>
      <c r="J417">
        <f t="shared" si="25"/>
        <v>-1.1081874981341477</v>
      </c>
      <c r="K417">
        <f t="shared" si="26"/>
        <v>-1.0667106392220196</v>
      </c>
      <c r="M417">
        <f t="shared" si="27"/>
        <v>-0.99221178584213876</v>
      </c>
      <c r="P417" t="s">
        <v>1354</v>
      </c>
      <c r="Q417" s="16" t="s">
        <v>1685</v>
      </c>
    </row>
    <row r="418" spans="1:17">
      <c r="A418" s="2" t="s">
        <v>528</v>
      </c>
      <c r="B418" s="6" t="s">
        <v>1091</v>
      </c>
      <c r="C418" s="7" t="str" cm="1">
        <f t="array" ref="C418">_xlfn.LET(
  _xlpm.s, UPPER(B418),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LEYFKSIVASGKIPHIILHSP</v>
      </c>
      <c r="D418" s="4">
        <v>343</v>
      </c>
      <c r="E418" s="1">
        <v>38</v>
      </c>
      <c r="F418" s="1">
        <v>3</v>
      </c>
      <c r="G418" s="1">
        <v>19</v>
      </c>
      <c r="I418">
        <f t="shared" si="24"/>
        <v>3.6542641094609141E-2</v>
      </c>
      <c r="J418">
        <f t="shared" si="25"/>
        <v>-1.5186980144446753</v>
      </c>
      <c r="K418">
        <f t="shared" si="26"/>
        <v>-0.30761202400478616</v>
      </c>
      <c r="M418">
        <f t="shared" si="27"/>
        <v>-0.59658913245161738</v>
      </c>
      <c r="P418" t="s">
        <v>1570</v>
      </c>
      <c r="Q418" s="16" t="s">
        <v>1685</v>
      </c>
    </row>
    <row r="419" spans="1:17">
      <c r="A419" s="2" t="s">
        <v>529</v>
      </c>
      <c r="B419" s="6" t="s">
        <v>1092</v>
      </c>
      <c r="C419" s="7" t="str" cm="1">
        <f t="array" ref="C419">_xlfn.LET(
  _xlpm.s, UPPER(B419),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LEYFRAIVARGKIPHIILHSP</v>
      </c>
      <c r="D419" s="4">
        <v>821</v>
      </c>
      <c r="E419" s="1">
        <v>1</v>
      </c>
      <c r="F419" s="1">
        <v>3</v>
      </c>
      <c r="G419" s="1">
        <v>7</v>
      </c>
      <c r="I419">
        <f t="shared" si="24"/>
        <v>-1.9222899925988712</v>
      </c>
      <c r="J419">
        <f t="shared" si="25"/>
        <v>-1.8977470515213457</v>
      </c>
      <c r="K419">
        <f t="shared" si="26"/>
        <v>-1.1203166220200285</v>
      </c>
      <c r="M419">
        <f t="shared" si="27"/>
        <v>-1.6467845553800817</v>
      </c>
      <c r="P419" t="s">
        <v>1215</v>
      </c>
      <c r="Q419" s="15" t="s">
        <v>1686</v>
      </c>
    </row>
    <row r="420" spans="1:17">
      <c r="A420" s="2" t="s">
        <v>530</v>
      </c>
      <c r="B420" s="6" t="s">
        <v>1093</v>
      </c>
      <c r="C420" s="7" t="str" cm="1">
        <f t="array" ref="C420">_xlfn.LET(
  _xlpm.s, UPPER(B420),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LEFFKNIVKKGKIPHIILHSP</v>
      </c>
      <c r="D420" s="4">
        <v>68</v>
      </c>
      <c r="E420" s="1">
        <v>9</v>
      </c>
      <c r="F420" s="1">
        <v>20</v>
      </c>
      <c r="G420" s="1">
        <v>2</v>
      </c>
      <c r="I420">
        <f t="shared" si="24"/>
        <v>0.11378676125365805</v>
      </c>
      <c r="J420">
        <f t="shared" si="25"/>
        <v>7.9959338361778043E-3</v>
      </c>
      <c r="K420">
        <f t="shared" si="26"/>
        <v>-0.58255042195709983</v>
      </c>
      <c r="M420">
        <f t="shared" si="27"/>
        <v>-0.15358924228908799</v>
      </c>
      <c r="P420" t="s">
        <v>1366</v>
      </c>
      <c r="Q420" s="16" t="s">
        <v>1685</v>
      </c>
    </row>
    <row r="421" spans="1:17">
      <c r="A421" s="2" t="s">
        <v>531</v>
      </c>
      <c r="B421" s="6" t="s">
        <v>1094</v>
      </c>
      <c r="C421" s="7" t="str" cm="1">
        <f t="array" ref="C421">_xlfn.LET(
  _xlpm.s, UPPER(B421),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LEFFKNIVKSGKIPHIILHSP</v>
      </c>
      <c r="D421" s="4">
        <v>108</v>
      </c>
      <c r="E421" s="1">
        <v>31</v>
      </c>
      <c r="F421" s="1">
        <v>3</v>
      </c>
      <c r="G421" s="1">
        <v>9</v>
      </c>
      <c r="I421">
        <f t="shared" si="24"/>
        <v>0.44999110286789246</v>
      </c>
      <c r="J421">
        <f t="shared" si="25"/>
        <v>-1.0168276498888544</v>
      </c>
      <c r="K421">
        <f t="shared" si="26"/>
        <v>-0.13025275096246958</v>
      </c>
      <c r="M421">
        <f t="shared" si="27"/>
        <v>-0.23236309932781052</v>
      </c>
      <c r="P421" t="s">
        <v>1572</v>
      </c>
      <c r="Q421" s="16" t="s">
        <v>1685</v>
      </c>
    </row>
    <row r="422" spans="1:17">
      <c r="A422" s="2" t="s">
        <v>532</v>
      </c>
      <c r="B422" s="6" t="s">
        <v>1095</v>
      </c>
      <c r="C422" s="7" t="str" cm="1">
        <f t="array" ref="C422">_xlfn.LET(
  _xlpm.s, UPPER(B422),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LEFFKAIVKSGKIPHIILHSP</v>
      </c>
      <c r="D422" s="4">
        <v>189</v>
      </c>
      <c r="E422" s="1">
        <v>1</v>
      </c>
      <c r="F422" s="1">
        <v>1</v>
      </c>
      <c r="G422" s="1">
        <v>6</v>
      </c>
      <c r="I422">
        <f t="shared" si="24"/>
        <v>-1.2844086396526748</v>
      </c>
      <c r="J422">
        <f t="shared" si="25"/>
        <v>-1.7369869532948115</v>
      </c>
      <c r="K422">
        <f t="shared" si="26"/>
        <v>-0.54938205870444512</v>
      </c>
      <c r="M422">
        <f t="shared" si="27"/>
        <v>-1.1902592172173103</v>
      </c>
      <c r="P422" t="s">
        <v>1182</v>
      </c>
      <c r="Q422" s="15" t="s">
        <v>1686</v>
      </c>
    </row>
    <row r="423" spans="1:17">
      <c r="A423" s="2" t="s">
        <v>533</v>
      </c>
      <c r="B423" s="6" t="s">
        <v>1096</v>
      </c>
      <c r="C423" s="7" t="str" cm="1">
        <f t="array" ref="C423">_xlfn.LET(
  _xlpm.s, UPPER(B423),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LEFFKAIVARGKIPHIILHSP</v>
      </c>
      <c r="D423" s="4">
        <v>456</v>
      </c>
      <c r="E423" s="1">
        <v>2</v>
      </c>
      <c r="F423" s="1">
        <v>2</v>
      </c>
      <c r="G423" s="1">
        <v>22</v>
      </c>
      <c r="I423">
        <f t="shared" si="24"/>
        <v>-1.3658816824798845</v>
      </c>
      <c r="J423">
        <f t="shared" si="25"/>
        <v>-1.8184599961220211</v>
      </c>
      <c r="K423">
        <f t="shared" si="26"/>
        <v>-0.36761366675707352</v>
      </c>
      <c r="M423">
        <f t="shared" si="27"/>
        <v>-1.1839851151196596</v>
      </c>
      <c r="P423" t="s">
        <v>1551</v>
      </c>
      <c r="Q423" s="15" t="s">
        <v>1686</v>
      </c>
    </row>
    <row r="424" spans="1:17">
      <c r="A424" s="2" t="s">
        <v>534</v>
      </c>
      <c r="B424" s="6" t="s">
        <v>1097</v>
      </c>
      <c r="C424" s="7" t="str" cm="1">
        <f t="array" ref="C424">_xlfn.LET(
  _xlpm.s, UPPER(B424),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LEFFKSIVAKGKIPHIILHSP</v>
      </c>
      <c r="D424" s="4">
        <v>214</v>
      </c>
      <c r="E424" s="1">
        <v>3</v>
      </c>
      <c r="F424" s="1">
        <v>4</v>
      </c>
      <c r="G424" s="1">
        <v>2</v>
      </c>
      <c r="I424">
        <f t="shared" si="24"/>
        <v>-0.86123935410895891</v>
      </c>
      <c r="J424">
        <f t="shared" si="25"/>
        <v>-1.1888789311427956</v>
      </c>
      <c r="K424">
        <f t="shared" si="26"/>
        <v>-1.0804552826000544</v>
      </c>
      <c r="M424">
        <f t="shared" si="27"/>
        <v>-1.0435245226172698</v>
      </c>
      <c r="P424" t="s">
        <v>1220</v>
      </c>
      <c r="Q424" s="15" t="s">
        <v>1686</v>
      </c>
    </row>
    <row r="425" spans="1:17">
      <c r="A425" s="2" t="s">
        <v>535</v>
      </c>
      <c r="B425" s="6" t="s">
        <v>1098</v>
      </c>
      <c r="C425" s="7" t="str" cm="1">
        <f t="array" ref="C425">_xlfn.LET(
  _xlpm.s, UPPER(B425),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LEFFRNIVARGKIPHIILHSP</v>
      </c>
      <c r="D425" s="4">
        <v>607</v>
      </c>
      <c r="E425" s="1">
        <v>14</v>
      </c>
      <c r="F425" s="1">
        <v>14</v>
      </c>
      <c r="G425" s="1">
        <v>7</v>
      </c>
      <c r="I425">
        <f t="shared" si="24"/>
        <v>-0.64500749087645004</v>
      </c>
      <c r="J425">
        <f t="shared" si="25"/>
        <v>-1.0975858045185864</v>
      </c>
      <c r="K425">
        <f t="shared" si="26"/>
        <v>-0.98916215597584545</v>
      </c>
      <c r="M425">
        <f t="shared" si="27"/>
        <v>-0.91058515045696053</v>
      </c>
      <c r="P425" t="s">
        <v>1624</v>
      </c>
      <c r="Q425" s="16" t="s">
        <v>1685</v>
      </c>
    </row>
    <row r="426" spans="1:17">
      <c r="A426" s="2" t="s">
        <v>536</v>
      </c>
      <c r="B426" s="6" t="s">
        <v>1099</v>
      </c>
      <c r="C426" s="7" t="str" cm="1">
        <f t="array" ref="C426">_xlfn.LET(
  _xlpm.s, UPPER(B426),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LAKMKEIAASGKIPHIILHSP</v>
      </c>
      <c r="D426" s="4">
        <v>867</v>
      </c>
      <c r="E426" s="1">
        <v>3</v>
      </c>
      <c r="F426" s="1">
        <v>6</v>
      </c>
      <c r="G426" s="1">
        <v>10</v>
      </c>
      <c r="I426">
        <f t="shared" si="24"/>
        <v>-1.4688446782359783</v>
      </c>
      <c r="J426">
        <f t="shared" si="25"/>
        <v>-1.6203929962141337</v>
      </c>
      <c r="K426">
        <f t="shared" si="26"/>
        <v>-0.98909060239105506</v>
      </c>
      <c r="M426">
        <f t="shared" si="27"/>
        <v>-1.3594427589470557</v>
      </c>
      <c r="P426" t="s">
        <v>1597</v>
      </c>
      <c r="Q426" s="16" t="s">
        <v>1685</v>
      </c>
    </row>
    <row r="427" spans="1:17">
      <c r="A427" s="2" t="s">
        <v>537</v>
      </c>
      <c r="B427" s="6" t="s">
        <v>1100</v>
      </c>
      <c r="C427" s="7" t="str" cm="1">
        <f t="array" ref="C427">_xlfn.LET(
  _xlpm.s, UPPER(B427),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LATMKEIAASGKIPHIILHSP</v>
      </c>
      <c r="D427" s="4">
        <v>954</v>
      </c>
      <c r="E427" s="1">
        <v>13</v>
      </c>
      <c r="F427" s="1">
        <v>1</v>
      </c>
      <c r="G427" s="1">
        <v>6</v>
      </c>
      <c r="I427">
        <f t="shared" si="24"/>
        <v>-0.87355185787668899</v>
      </c>
      <c r="J427">
        <f t="shared" si="25"/>
        <v>-2.4400735238256623</v>
      </c>
      <c r="K427">
        <f t="shared" si="26"/>
        <v>-1.252468629235296</v>
      </c>
      <c r="M427">
        <f t="shared" si="27"/>
        <v>-1.522031336979216</v>
      </c>
      <c r="P427" t="s">
        <v>1608</v>
      </c>
      <c r="Q427" s="15" t="s">
        <v>1686</v>
      </c>
    </row>
    <row r="428" spans="1:17">
      <c r="A428" s="2" t="s">
        <v>538</v>
      </c>
      <c r="B428" s="6" t="s">
        <v>1101</v>
      </c>
      <c r="C428" s="7" t="str" cm="1">
        <f t="array" ref="C428">_xlfn.LET(
  _xlpm.s, UPPER(B428),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LAQMKEIAASGKIPHIILHSP</v>
      </c>
      <c r="D428" s="4">
        <v>1102</v>
      </c>
      <c r="E428" s="1">
        <v>2</v>
      </c>
      <c r="F428" s="1">
        <v>3</v>
      </c>
      <c r="G428" s="1">
        <v>1</v>
      </c>
      <c r="I428">
        <f t="shared" si="24"/>
        <v>-1.7490984343312155</v>
      </c>
      <c r="J428">
        <f t="shared" si="25"/>
        <v>-2.0255854889176712</v>
      </c>
      <c r="K428">
        <f t="shared" si="26"/>
        <v>-2.0932530994306111</v>
      </c>
      <c r="M428">
        <f t="shared" si="27"/>
        <v>-1.9559790075598327</v>
      </c>
      <c r="P428" t="s">
        <v>1218</v>
      </c>
      <c r="Q428" s="15" t="s">
        <v>1686</v>
      </c>
    </row>
    <row r="429" spans="1:17">
      <c r="A429" s="2" t="s">
        <v>539</v>
      </c>
      <c r="B429" s="6" t="s">
        <v>1102</v>
      </c>
      <c r="C429" s="7" t="str" cm="1">
        <f t="array" ref="C429">_xlfn.LET(
  _xlpm.s, UPPER(B429),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LARMKEIVASGKIPHIILHSP</v>
      </c>
      <c r="D429" s="4">
        <v>1134</v>
      </c>
      <c r="E429" s="1">
        <v>11</v>
      </c>
      <c r="F429" s="1">
        <v>10</v>
      </c>
      <c r="G429" s="1">
        <v>38</v>
      </c>
      <c r="I429">
        <f t="shared" si="24"/>
        <v>-1.0211672048780933</v>
      </c>
      <c r="J429">
        <f t="shared" si="25"/>
        <v>-1.5151382036784549</v>
      </c>
      <c r="K429">
        <f t="shared" si="26"/>
        <v>-0.52590096285492227</v>
      </c>
      <c r="M429">
        <f t="shared" si="27"/>
        <v>-1.0207354571371567</v>
      </c>
      <c r="P429" t="s">
        <v>1592</v>
      </c>
      <c r="Q429" s="16" t="s">
        <v>1685</v>
      </c>
    </row>
    <row r="430" spans="1:17">
      <c r="A430" s="2" t="s">
        <v>540</v>
      </c>
      <c r="B430" s="6" t="s">
        <v>1103</v>
      </c>
      <c r="C430" s="7" t="str" cm="1">
        <f t="array" ref="C430">_xlfn.LET(
  _xlpm.s, UPPER(B430),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LALMKQIAASGKIPHIILHSP</v>
      </c>
      <c r="D430" s="4">
        <v>1689</v>
      </c>
      <c r="E430" s="1">
        <v>1</v>
      </c>
      <c r="F430" s="1">
        <v>2</v>
      </c>
      <c r="G430" s="1">
        <v>6</v>
      </c>
      <c r="I430">
        <f t="shared" si="24"/>
        <v>-2.2355764850504394</v>
      </c>
      <c r="J430">
        <f t="shared" si="25"/>
        <v>-2.3871248030285948</v>
      </c>
      <c r="K430">
        <f t="shared" si="26"/>
        <v>-1.5005499041022097</v>
      </c>
      <c r="M430">
        <f t="shared" si="27"/>
        <v>-2.041083730727081</v>
      </c>
      <c r="P430" t="s">
        <v>1550</v>
      </c>
      <c r="Q430" s="15" t="s">
        <v>1686</v>
      </c>
    </row>
    <row r="431" spans="1:17">
      <c r="A431" s="2" t="s">
        <v>541</v>
      </c>
      <c r="B431" s="6" t="s">
        <v>1104</v>
      </c>
      <c r="C431" s="7" t="str" cm="1">
        <f t="array" ref="C431">_xlfn.LET(
  _xlpm.s, UPPER(B431),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LALMKEIAASGKIPHIILHSP</v>
      </c>
      <c r="D431" s="4">
        <v>1597</v>
      </c>
      <c r="E431" s="1">
        <v>12</v>
      </c>
      <c r="F431" s="1">
        <v>6</v>
      </c>
      <c r="G431" s="1">
        <v>25</v>
      </c>
      <c r="I431">
        <f t="shared" si="24"/>
        <v>-1.1320705055702884</v>
      </c>
      <c r="J431">
        <f t="shared" si="25"/>
        <v>-1.8856788148764063</v>
      </c>
      <c r="K431">
        <f t="shared" si="26"/>
        <v>-0.85643641238128998</v>
      </c>
      <c r="M431">
        <f t="shared" si="27"/>
        <v>-1.2913952442759948</v>
      </c>
      <c r="P431" t="s">
        <v>1191</v>
      </c>
      <c r="Q431" s="16" t="s">
        <v>1685</v>
      </c>
    </row>
    <row r="432" spans="1:17">
      <c r="A432" s="2" t="s">
        <v>542</v>
      </c>
      <c r="B432" s="6" t="s">
        <v>1105</v>
      </c>
      <c r="C432" s="7" t="str" cm="1">
        <f t="array" ref="C432">_xlfn.LET(
  _xlpm.s, UPPER(B432),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LALMRKIAQSGKIPHIILHSP</v>
      </c>
      <c r="D432" s="4">
        <v>1748</v>
      </c>
      <c r="E432" s="1">
        <v>2</v>
      </c>
      <c r="F432" s="1">
        <v>7</v>
      </c>
      <c r="G432" s="1">
        <v>25</v>
      </c>
      <c r="I432">
        <f t="shared" si="24"/>
        <v>-1.9494582681138337</v>
      </c>
      <c r="J432">
        <f t="shared" si="25"/>
        <v>-1.8579685374056947</v>
      </c>
      <c r="K432">
        <f t="shared" si="26"/>
        <v>-0.89567292454119118</v>
      </c>
      <c r="M432">
        <f t="shared" si="27"/>
        <v>-1.5676999100202398</v>
      </c>
      <c r="P432" t="s">
        <v>1548</v>
      </c>
      <c r="Q432" s="15" t="s">
        <v>1686</v>
      </c>
    </row>
    <row r="433" spans="1:17">
      <c r="A433" s="2" t="s">
        <v>543</v>
      </c>
      <c r="B433" s="6" t="s">
        <v>1106</v>
      </c>
      <c r="C433" s="7" t="str" cm="1">
        <f t="array" ref="C433">_xlfn.LET(
  _xlpm.s, UPPER(B433),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LALMREIAASGKIPHIILHSP</v>
      </c>
      <c r="D433" s="4">
        <v>2819</v>
      </c>
      <c r="E433" s="1">
        <v>9</v>
      </c>
      <c r="F433" s="1">
        <v>1</v>
      </c>
      <c r="G433" s="1">
        <v>21</v>
      </c>
      <c r="I433">
        <f t="shared" si="24"/>
        <v>-1.5037994019117078</v>
      </c>
      <c r="J433">
        <f t="shared" si="25"/>
        <v>-2.9106202249931696</v>
      </c>
      <c r="K433">
        <f t="shared" si="26"/>
        <v>-1.1789472860525276</v>
      </c>
      <c r="M433">
        <f t="shared" si="27"/>
        <v>-1.8644556376524681</v>
      </c>
      <c r="P433" t="s">
        <v>1589</v>
      </c>
      <c r="Q433" s="16" t="s">
        <v>1685</v>
      </c>
    </row>
    <row r="434" spans="1:17">
      <c r="A434" s="2" t="s">
        <v>544</v>
      </c>
      <c r="B434" s="6" t="s">
        <v>1107</v>
      </c>
      <c r="C434" s="7" t="str" cm="1">
        <f t="array" ref="C434">_xlfn.LET(
  _xlpm.s, UPPER(B434),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LALFKAIVAKGKIPHIILHSP</v>
      </c>
      <c r="D434" s="4">
        <v>920</v>
      </c>
      <c r="E434" s="1">
        <v>18</v>
      </c>
      <c r="F434" s="1">
        <v>3</v>
      </c>
      <c r="G434" s="1">
        <v>7</v>
      </c>
      <c r="I434">
        <f t="shared" si="24"/>
        <v>-0.71646215772167965</v>
      </c>
      <c r="J434">
        <f t="shared" si="25"/>
        <v>-1.9471917217474601</v>
      </c>
      <c r="K434">
        <f t="shared" si="26"/>
        <v>-1.1697612922461429</v>
      </c>
      <c r="M434">
        <f t="shared" si="27"/>
        <v>-1.2778050572384274</v>
      </c>
      <c r="P434" t="s">
        <v>1666</v>
      </c>
      <c r="Q434" s="16" t="s">
        <v>1685</v>
      </c>
    </row>
    <row r="435" spans="1:17">
      <c r="A435" s="2" t="s">
        <v>545</v>
      </c>
      <c r="B435" s="6" t="s">
        <v>1108</v>
      </c>
      <c r="C435" s="7" t="str" cm="1">
        <f t="array" ref="C435">_xlfn.LET(
  _xlpm.s, UPPER(B435),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LALFRAIVAKGKIPHIILHSP</v>
      </c>
      <c r="D435" s="4">
        <v>1404</v>
      </c>
      <c r="E435" s="1">
        <v>5</v>
      </c>
      <c r="F435" s="1">
        <v>4</v>
      </c>
      <c r="G435" s="1">
        <v>9</v>
      </c>
      <c r="I435">
        <f t="shared" si="24"/>
        <v>-1.4563439389371982</v>
      </c>
      <c r="J435">
        <f t="shared" si="25"/>
        <v>-2.005832265587391</v>
      </c>
      <c r="K435">
        <f t="shared" si="26"/>
        <v>-1.2441961032693063</v>
      </c>
      <c r="M435">
        <f t="shared" si="27"/>
        <v>-1.5687907692646317</v>
      </c>
      <c r="P435" t="s">
        <v>1606</v>
      </c>
      <c r="Q435" s="16" t="s">
        <v>1685</v>
      </c>
    </row>
    <row r="436" spans="1:17">
      <c r="A436" s="2" t="s">
        <v>546</v>
      </c>
      <c r="B436" s="6" t="s">
        <v>1109</v>
      </c>
      <c r="C436" s="7" t="str" cm="1">
        <f t="array" ref="C436">_xlfn.LET(
  _xlpm.s, UPPER(B436),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LAEMKKIAASGKIPHIILHSP</v>
      </c>
      <c r="D436" s="4">
        <v>647</v>
      </c>
      <c r="E436" s="1">
        <v>1</v>
      </c>
      <c r="F436" s="1">
        <v>2</v>
      </c>
      <c r="G436" s="1">
        <v>33</v>
      </c>
      <c r="I436">
        <f t="shared" si="24"/>
        <v>-1.8188511161481311</v>
      </c>
      <c r="J436">
        <f t="shared" si="25"/>
        <v>-1.9703994341262865</v>
      </c>
      <c r="K436">
        <f t="shared" si="26"/>
        <v>-0.34346184570565752</v>
      </c>
      <c r="M436">
        <f t="shared" si="27"/>
        <v>-1.377570798660025</v>
      </c>
      <c r="P436" t="s">
        <v>1532</v>
      </c>
      <c r="Q436" s="15" t="s">
        <v>1686</v>
      </c>
    </row>
    <row r="437" spans="1:17">
      <c r="A437" s="2" t="s">
        <v>547</v>
      </c>
      <c r="B437" s="6" t="s">
        <v>1110</v>
      </c>
      <c r="C437" s="7" t="str" cm="1">
        <f t="array" ref="C437">_xlfn.LET(
  _xlpm.s, UPPER(B437),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LAEMKKIVASGKIPHIILHSP</v>
      </c>
      <c r="D437" s="4">
        <v>543</v>
      </c>
      <c r="E437" s="1">
        <v>17</v>
      </c>
      <c r="F437" s="1">
        <v>9</v>
      </c>
      <c r="G437" s="1">
        <v>5</v>
      </c>
      <c r="I437">
        <f t="shared" si="24"/>
        <v>-0.51229774369000358</v>
      </c>
      <c r="J437">
        <f t="shared" si="25"/>
        <v>-1.2410824692710891</v>
      </c>
      <c r="K437">
        <f t="shared" si="26"/>
        <v>-1.0869013301676727</v>
      </c>
      <c r="M437">
        <f t="shared" si="27"/>
        <v>-0.94676051437625508</v>
      </c>
      <c r="P437" t="s">
        <v>1618</v>
      </c>
      <c r="Q437" s="16" t="s">
        <v>1685</v>
      </c>
    </row>
    <row r="438" spans="1:17">
      <c r="A438" s="2" t="s">
        <v>548</v>
      </c>
      <c r="B438" s="6" t="s">
        <v>1111</v>
      </c>
      <c r="C438" s="7" t="str" cm="1">
        <f t="array" ref="C438">_xlfn.LET(
  _xlpm.s, UPPER(B438),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LAEMKEIAASGKIPHIILHSP</v>
      </c>
      <c r="D438" s="4">
        <v>811</v>
      </c>
      <c r="E438" s="1">
        <v>8</v>
      </c>
      <c r="F438" s="1">
        <v>17</v>
      </c>
      <c r="G438" s="1">
        <v>1</v>
      </c>
      <c r="I438">
        <f t="shared" si="24"/>
        <v>-1.0138777026986432</v>
      </c>
      <c r="J438">
        <f t="shared" si="25"/>
        <v>-1.139097081954449</v>
      </c>
      <c r="K438">
        <f t="shared" si="26"/>
        <v>-1.9600923591260007</v>
      </c>
      <c r="M438">
        <f t="shared" si="27"/>
        <v>-1.3710223812596976</v>
      </c>
      <c r="P438" t="s">
        <v>1587</v>
      </c>
      <c r="Q438" s="16" t="s">
        <v>1685</v>
      </c>
    </row>
    <row r="439" spans="1:17">
      <c r="A439" s="2" t="s">
        <v>549</v>
      </c>
      <c r="B439" s="6" t="s">
        <v>1112</v>
      </c>
      <c r="C439" s="7" t="str" cm="1">
        <f t="array" ref="C439">_xlfn.LET(
  _xlpm.s, UPPER(B439),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LAYFKAIVARGKIPHIILHSP</v>
      </c>
      <c r="D439" s="4">
        <v>865</v>
      </c>
      <c r="E439" s="1">
        <v>2</v>
      </c>
      <c r="F439" s="1">
        <v>2</v>
      </c>
      <c r="G439" s="1">
        <v>9</v>
      </c>
      <c r="I439">
        <f t="shared" si="24"/>
        <v>-1.6439329472802635</v>
      </c>
      <c r="J439">
        <f t="shared" si="25"/>
        <v>-2.0965112609224001</v>
      </c>
      <c r="K439">
        <f t="shared" si="26"/>
        <v>-1.0338451029403339</v>
      </c>
      <c r="M439">
        <f t="shared" si="27"/>
        <v>-1.591429770380999</v>
      </c>
      <c r="P439" t="s">
        <v>1540</v>
      </c>
      <c r="Q439" s="15" t="s">
        <v>1686</v>
      </c>
    </row>
    <row r="440" spans="1:17">
      <c r="A440" s="2" t="s">
        <v>550</v>
      </c>
      <c r="B440" s="6" t="s">
        <v>1113</v>
      </c>
      <c r="C440" s="7" t="str" cm="1">
        <f t="array" ref="C440">_xlfn.LET(
  _xlpm.s, UPPER(B440),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LAYFKAIVASGKIPHIILHSP</v>
      </c>
      <c r="D440" s="4">
        <v>815</v>
      </c>
      <c r="E440" s="1">
        <v>2</v>
      </c>
      <c r="F440" s="1">
        <v>1</v>
      </c>
      <c r="G440" s="1">
        <v>1</v>
      </c>
      <c r="I440">
        <f t="shared" si="24"/>
        <v>-1.6180744485554261</v>
      </c>
      <c r="J440">
        <f t="shared" si="25"/>
        <v>-2.3716827578615436</v>
      </c>
      <c r="K440">
        <f t="shared" si="26"/>
        <v>-1.9622291136548211</v>
      </c>
      <c r="M440">
        <f t="shared" si="27"/>
        <v>-1.9839954400239304</v>
      </c>
      <c r="P440" t="s">
        <v>1379</v>
      </c>
      <c r="Q440" s="15" t="s">
        <v>1686</v>
      </c>
    </row>
    <row r="441" spans="1:17">
      <c r="A441" s="2" t="s">
        <v>551</v>
      </c>
      <c r="B441" s="6" t="s">
        <v>1114</v>
      </c>
      <c r="C441" s="7" t="str" cm="1">
        <f t="array" ref="C441">_xlfn.LET(
  _xlpm.s, UPPER(B441),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LAFFKEIVARGKIPHIILHSP</v>
      </c>
      <c r="D441" s="4">
        <v>453</v>
      </c>
      <c r="E441" s="1">
        <v>16</v>
      </c>
      <c r="F441" s="1">
        <v>17</v>
      </c>
      <c r="G441" s="1">
        <v>6</v>
      </c>
      <c r="I441">
        <f t="shared" si="24"/>
        <v>-0.45992505483633761</v>
      </c>
      <c r="J441">
        <f t="shared" si="25"/>
        <v>-0.88617442975612504</v>
      </c>
      <c r="K441">
        <f t="shared" si="26"/>
        <v>-0.92901845654403292</v>
      </c>
      <c r="M441">
        <f t="shared" si="27"/>
        <v>-0.75837264704549856</v>
      </c>
      <c r="P441" t="s">
        <v>1591</v>
      </c>
      <c r="Q441" s="16" t="s">
        <v>1685</v>
      </c>
    </row>
    <row r="442" spans="1:17">
      <c r="A442" s="2" t="s">
        <v>552</v>
      </c>
      <c r="B442" s="6" t="s">
        <v>1115</v>
      </c>
      <c r="C442" s="7" t="str" cm="1">
        <f t="array" ref="C442">_xlfn.LET(
  _xlpm.s, UPPER(B442),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LSFFKDIVDSGKIPHIILHSP</v>
      </c>
      <c r="D442" s="4">
        <v>367</v>
      </c>
      <c r="E442" s="1">
        <v>2</v>
      </c>
      <c r="F442" s="1">
        <v>1</v>
      </c>
      <c r="G442" s="1">
        <v>1</v>
      </c>
      <c r="I442">
        <f t="shared" si="24"/>
        <v>-1.2715829040675386</v>
      </c>
      <c r="J442">
        <f t="shared" si="25"/>
        <v>-2.0251912133736565</v>
      </c>
      <c r="K442">
        <f t="shared" si="26"/>
        <v>-1.615737569166934</v>
      </c>
      <c r="M442">
        <f t="shared" si="27"/>
        <v>-1.637503895536043</v>
      </c>
      <c r="P442" t="s">
        <v>1636</v>
      </c>
      <c r="Q442" s="16" t="s">
        <v>1685</v>
      </c>
    </row>
    <row r="443" spans="1:17">
      <c r="A443" s="2" t="s">
        <v>557</v>
      </c>
      <c r="B443" s="6" t="s">
        <v>562</v>
      </c>
      <c r="C443" s="7" t="str" cm="1">
        <f t="array" ref="C443">_xlfn.LET(
  _xlpm.s, UPPER(B443),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KETFKSITSKGKIPHIILHSP</v>
      </c>
      <c r="D443" s="4">
        <v>1787</v>
      </c>
      <c r="E443" s="1">
        <v>1</v>
      </c>
      <c r="F443" s="1">
        <v>3</v>
      </c>
      <c r="G443" s="1">
        <v>1</v>
      </c>
      <c r="I443">
        <f t="shared" si="24"/>
        <v>-2.2600713879850747</v>
      </c>
      <c r="J443">
        <f t="shared" si="25"/>
        <v>-2.2355284469075491</v>
      </c>
      <c r="K443">
        <f t="shared" si="26"/>
        <v>-2.3031960574204886</v>
      </c>
      <c r="M443">
        <f t="shared" si="27"/>
        <v>-2.266265297437704</v>
      </c>
      <c r="P443" t="s">
        <v>1450</v>
      </c>
      <c r="Q443" s="15" t="s">
        <v>1686</v>
      </c>
    </row>
    <row r="444" spans="1:17">
      <c r="M444">
        <v>-3</v>
      </c>
    </row>
    <row r="445" spans="1:17">
      <c r="M445">
        <v>3</v>
      </c>
    </row>
  </sheetData>
  <sortState xmlns:xlrd2="http://schemas.microsoft.com/office/spreadsheetml/2017/richdata2" ref="E2:Q444">
    <sortCondition descending="1" ref="M2:M444"/>
  </sortState>
  <conditionalFormatting sqref="M1:N1048576">
    <cfRule type="colorScale" priority="1">
      <colorScale>
        <cfvo type="num" val="-2"/>
        <cfvo type="num" val="0"/>
        <cfvo type="num" val="2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9CE1-08B9-B542-8055-0725A9FD3CAC}">
  <dimension ref="A1:P1048576"/>
  <sheetViews>
    <sheetView topLeftCell="B1" zoomScaleNormal="91" workbookViewId="0">
      <selection activeCell="B38" sqref="B38"/>
    </sheetView>
  </sheetViews>
  <sheetFormatPr baseColWidth="10" defaultRowHeight="18"/>
  <cols>
    <col min="1" max="1" width="14.75" bestFit="1" customWidth="1"/>
    <col min="2" max="2" width="78" bestFit="1" customWidth="1"/>
    <col min="3" max="3" width="38.625" bestFit="1" customWidth="1"/>
    <col min="7" max="7" width="14.625" bestFit="1" customWidth="1"/>
    <col min="8" max="8" width="23.25" bestFit="1" customWidth="1"/>
  </cols>
  <sheetData>
    <row r="1" spans="1:15">
      <c r="A1" t="s">
        <v>301</v>
      </c>
      <c r="B1" t="s">
        <v>864</v>
      </c>
      <c r="C1" t="s">
        <v>1419</v>
      </c>
      <c r="D1">
        <v>187</v>
      </c>
      <c r="E1">
        <v>6</v>
      </c>
      <c r="F1">
        <v>0</v>
      </c>
      <c r="G1">
        <v>232</v>
      </c>
      <c r="H1">
        <f t="shared" ref="H1:H32" si="0">STDEV(E1:G1)</f>
        <v>132.24724319747969</v>
      </c>
      <c r="I1">
        <v>-0.50163719163228593</v>
      </c>
      <c r="J1" t="e">
        <v>#NUM!</v>
      </c>
      <c r="K1">
        <v>1.0425748734395561</v>
      </c>
      <c r="M1" t="e">
        <v>#NUM!</v>
      </c>
      <c r="O1" t="s">
        <v>1419</v>
      </c>
    </row>
    <row r="2" spans="1:15">
      <c r="A2" t="s">
        <v>429</v>
      </c>
      <c r="B2" t="s">
        <v>992</v>
      </c>
      <c r="C2" t="s">
        <v>1547</v>
      </c>
      <c r="D2">
        <v>507</v>
      </c>
      <c r="E2">
        <v>39</v>
      </c>
      <c r="F2">
        <v>0</v>
      </c>
      <c r="G2">
        <v>47</v>
      </c>
      <c r="H2">
        <f t="shared" si="0"/>
        <v>25.146238950056393</v>
      </c>
      <c r="I2">
        <v>-0.12189018778626726</v>
      </c>
      <c r="J2" t="e">
        <v>#NUM!</v>
      </c>
      <c r="K2">
        <v>-8.3981606312463208E-2</v>
      </c>
      <c r="M2" t="e">
        <v>#NUM!</v>
      </c>
      <c r="O2" t="s">
        <v>1547</v>
      </c>
    </row>
    <row r="3" spans="1:15">
      <c r="A3" t="s">
        <v>350</v>
      </c>
      <c r="B3" t="s">
        <v>913</v>
      </c>
      <c r="C3" t="s">
        <v>1468</v>
      </c>
      <c r="D3">
        <v>616</v>
      </c>
      <c r="E3">
        <v>12</v>
      </c>
      <c r="F3">
        <v>0</v>
      </c>
      <c r="G3">
        <v>39</v>
      </c>
      <c r="H3">
        <f t="shared" si="0"/>
        <v>19.974984355438178</v>
      </c>
      <c r="I3">
        <v>-0.71834630159623125</v>
      </c>
      <c r="J3" t="e">
        <v>#NUM!</v>
      </c>
      <c r="K3">
        <v>-0.24958761005277097</v>
      </c>
      <c r="M3" t="e">
        <v>#NUM!</v>
      </c>
      <c r="O3" t="s">
        <v>1468</v>
      </c>
    </row>
    <row r="4" spans="1:15">
      <c r="A4" t="s">
        <v>315</v>
      </c>
      <c r="B4" t="s">
        <v>878</v>
      </c>
      <c r="C4" t="s">
        <v>1433</v>
      </c>
      <c r="D4">
        <v>171</v>
      </c>
      <c r="E4">
        <v>0</v>
      </c>
      <c r="F4">
        <v>205</v>
      </c>
      <c r="G4">
        <v>37</v>
      </c>
      <c r="H4">
        <f t="shared" si="0"/>
        <v>109.25352778438477</v>
      </c>
      <c r="I4" t="e">
        <v>#NUM!</v>
      </c>
      <c r="J4">
        <v>0.61823260154203341</v>
      </c>
      <c r="K4">
        <v>0.28413410875999645</v>
      </c>
      <c r="M4" t="e">
        <v>#NUM!</v>
      </c>
      <c r="O4" t="s">
        <v>1433</v>
      </c>
    </row>
    <row r="5" spans="1:15">
      <c r="A5" t="s">
        <v>404</v>
      </c>
      <c r="B5" t="s">
        <v>967</v>
      </c>
      <c r="C5" t="s">
        <v>1522</v>
      </c>
      <c r="D5">
        <v>536</v>
      </c>
      <c r="E5">
        <v>12</v>
      </c>
      <c r="F5">
        <v>0</v>
      </c>
      <c r="G5">
        <v>35</v>
      </c>
      <c r="H5">
        <f t="shared" si="0"/>
        <v>17.7857620959388</v>
      </c>
      <c r="I5">
        <v>-0.65793037912457586</v>
      </c>
      <c r="J5" t="e">
        <v>#NUM!</v>
      </c>
      <c r="K5">
        <v>-0.23616825025733901</v>
      </c>
      <c r="M5" t="e">
        <v>#NUM!</v>
      </c>
      <c r="O5" t="s">
        <v>1522</v>
      </c>
    </row>
    <row r="6" spans="1:15">
      <c r="A6" t="s">
        <v>437</v>
      </c>
      <c r="B6" t="s">
        <v>1000</v>
      </c>
      <c r="C6" t="s">
        <v>1555</v>
      </c>
      <c r="D6">
        <v>761</v>
      </c>
      <c r="E6">
        <v>0</v>
      </c>
      <c r="F6">
        <v>2</v>
      </c>
      <c r="G6">
        <v>28</v>
      </c>
      <c r="H6">
        <f t="shared" si="0"/>
        <v>15.620499351813308</v>
      </c>
      <c r="I6" t="e">
        <v>#NUM!</v>
      </c>
      <c r="J6">
        <v>-2.0408798102281587</v>
      </c>
      <c r="K6">
        <v>-0.48529813034319824</v>
      </c>
      <c r="M6" t="e">
        <v>#NUM!</v>
      </c>
      <c r="O6" t="s">
        <v>1555</v>
      </c>
    </row>
    <row r="7" spans="1:15">
      <c r="A7" t="s">
        <v>434</v>
      </c>
      <c r="B7" t="s">
        <v>997</v>
      </c>
      <c r="C7" t="s">
        <v>1552</v>
      </c>
      <c r="D7">
        <v>551</v>
      </c>
      <c r="E7">
        <v>4</v>
      </c>
      <c r="F7">
        <v>0</v>
      </c>
      <c r="G7">
        <v>25</v>
      </c>
      <c r="H7">
        <f t="shared" si="0"/>
        <v>13.428824718989125</v>
      </c>
      <c r="I7">
        <v>-1.1470384430032534</v>
      </c>
      <c r="J7" t="e">
        <v>#NUM!</v>
      </c>
      <c r="K7">
        <v>-0.39428309509459214</v>
      </c>
      <c r="M7" t="e">
        <v>#NUM!</v>
      </c>
      <c r="O7" t="s">
        <v>1552</v>
      </c>
    </row>
    <row r="8" spans="1:15">
      <c r="A8" t="s">
        <v>288</v>
      </c>
      <c r="B8" t="s">
        <v>851</v>
      </c>
      <c r="C8" t="s">
        <v>1406</v>
      </c>
      <c r="D8">
        <v>77</v>
      </c>
      <c r="E8">
        <v>3</v>
      </c>
      <c r="F8">
        <v>0</v>
      </c>
      <c r="G8">
        <v>21</v>
      </c>
      <c r="H8">
        <f t="shared" si="0"/>
        <v>11.357816691600547</v>
      </c>
      <c r="I8">
        <v>-0.41731630593225</v>
      </c>
      <c r="J8" t="e">
        <v>#NUM!</v>
      </c>
      <c r="K8">
        <v>0.38465706464659266</v>
      </c>
      <c r="M8" t="e">
        <v>#NUM!</v>
      </c>
      <c r="O8" t="s">
        <v>1406</v>
      </c>
    </row>
    <row r="9" spans="1:15">
      <c r="A9" t="s">
        <v>487</v>
      </c>
      <c r="B9" t="s">
        <v>1050</v>
      </c>
      <c r="C9" t="s">
        <v>1605</v>
      </c>
      <c r="D9">
        <v>449</v>
      </c>
      <c r="E9">
        <v>0</v>
      </c>
      <c r="F9">
        <v>46</v>
      </c>
      <c r="G9">
        <v>19</v>
      </c>
      <c r="H9">
        <f t="shared" si="0"/>
        <v>23.115651263447745</v>
      </c>
      <c r="I9" t="e">
        <v>#NUM!</v>
      </c>
      <c r="J9">
        <v>-0.4500136584433162</v>
      </c>
      <c r="K9">
        <v>-0.42456424496533884</v>
      </c>
      <c r="M9" t="e">
        <v>#NUM!</v>
      </c>
      <c r="O9" t="s">
        <v>1605</v>
      </c>
    </row>
    <row r="10" spans="1:15">
      <c r="A10" t="s">
        <v>296</v>
      </c>
      <c r="B10" t="s">
        <v>859</v>
      </c>
      <c r="C10" t="s">
        <v>1414</v>
      </c>
      <c r="D10">
        <v>274</v>
      </c>
      <c r="E10">
        <v>1</v>
      </c>
      <c r="F10">
        <v>0</v>
      </c>
      <c r="G10">
        <v>19</v>
      </c>
      <c r="H10">
        <f t="shared" si="0"/>
        <v>10.692676621563626</v>
      </c>
      <c r="I10">
        <v>-1.4456973982998185</v>
      </c>
      <c r="J10" t="e">
        <v>#NUM!</v>
      </c>
      <c r="K10">
        <v>-0.21006846678240376</v>
      </c>
      <c r="M10" t="e">
        <v>#NUM!</v>
      </c>
      <c r="O10" t="s">
        <v>1414</v>
      </c>
    </row>
    <row r="11" spans="1:15">
      <c r="A11" t="s">
        <v>403</v>
      </c>
      <c r="B11" t="s">
        <v>966</v>
      </c>
      <c r="C11" t="s">
        <v>1521</v>
      </c>
      <c r="D11">
        <v>993</v>
      </c>
      <c r="E11">
        <v>13</v>
      </c>
      <c r="F11">
        <v>0</v>
      </c>
      <c r="G11">
        <v>15</v>
      </c>
      <c r="H11">
        <f t="shared" si="0"/>
        <v>8.1445278152470788</v>
      </c>
      <c r="I11">
        <v>-0.89095273166797484</v>
      </c>
      <c r="J11" t="e">
        <v>#NUM!</v>
      </c>
      <c r="K11">
        <v>-0.87192949435454459</v>
      </c>
      <c r="M11" t="e">
        <v>#NUM!</v>
      </c>
      <c r="O11" t="s">
        <v>1521</v>
      </c>
    </row>
    <row r="12" spans="1:15">
      <c r="A12" t="s">
        <v>262</v>
      </c>
      <c r="B12" t="s">
        <v>825</v>
      </c>
      <c r="C12" t="s">
        <v>1380</v>
      </c>
      <c r="D12">
        <v>214</v>
      </c>
      <c r="E12">
        <v>0</v>
      </c>
      <c r="F12">
        <v>0</v>
      </c>
      <c r="G12">
        <v>12</v>
      </c>
      <c r="H12">
        <f t="shared" si="0"/>
        <v>6.9282032302755088</v>
      </c>
      <c r="I12" t="e">
        <v>#NUM!</v>
      </c>
      <c r="J12" t="e">
        <v>#NUM!</v>
      </c>
      <c r="K12">
        <v>-0.30230403221641078</v>
      </c>
      <c r="M12" t="e">
        <v>#NUM!</v>
      </c>
      <c r="O12" t="s">
        <v>1380</v>
      </c>
    </row>
    <row r="13" spans="1:15">
      <c r="A13" t="s">
        <v>309</v>
      </c>
      <c r="B13" t="s">
        <v>872</v>
      </c>
      <c r="C13" t="s">
        <v>1427</v>
      </c>
      <c r="D13">
        <v>309</v>
      </c>
      <c r="E13">
        <v>134</v>
      </c>
      <c r="F13">
        <v>0</v>
      </c>
      <c r="G13">
        <v>11</v>
      </c>
      <c r="H13">
        <f t="shared" si="0"/>
        <v>74.393100038466827</v>
      </c>
      <c r="I13">
        <v>0.62919948346054244</v>
      </c>
      <c r="J13" t="e">
        <v>#NUM!</v>
      </c>
      <c r="K13">
        <v>-0.49963729918145439</v>
      </c>
      <c r="M13" t="e">
        <v>#NUM!</v>
      </c>
      <c r="O13" t="s">
        <v>1427</v>
      </c>
    </row>
    <row r="14" spans="1:15">
      <c r="A14" t="s">
        <v>235</v>
      </c>
      <c r="B14" t="s">
        <v>798</v>
      </c>
      <c r="C14" t="s">
        <v>1353</v>
      </c>
      <c r="D14">
        <v>268</v>
      </c>
      <c r="E14">
        <v>11</v>
      </c>
      <c r="F14">
        <v>0</v>
      </c>
      <c r="G14">
        <v>11</v>
      </c>
      <c r="H14">
        <f t="shared" si="0"/>
        <v>6.3508529610858826</v>
      </c>
      <c r="I14">
        <v>-0.39468894434999435</v>
      </c>
      <c r="J14" t="e">
        <v>#NUM!</v>
      </c>
      <c r="K14">
        <v>-0.43781361378540851</v>
      </c>
      <c r="M14" t="e">
        <v>#NUM!</v>
      </c>
      <c r="O14" t="s">
        <v>1353</v>
      </c>
    </row>
    <row r="15" spans="1:15">
      <c r="A15" t="s">
        <v>259</v>
      </c>
      <c r="B15" t="s">
        <v>822</v>
      </c>
      <c r="C15" t="s">
        <v>1377</v>
      </c>
      <c r="D15">
        <v>133</v>
      </c>
      <c r="E15">
        <v>0</v>
      </c>
      <c r="F15">
        <v>2</v>
      </c>
      <c r="G15">
        <v>8</v>
      </c>
      <c r="H15">
        <f t="shared" si="0"/>
        <v>4.1633319989322652</v>
      </c>
      <c r="I15" t="e">
        <v>#NUM!</v>
      </c>
      <c r="J15">
        <v>-1.2833467944246717</v>
      </c>
      <c r="K15">
        <v>-0.27183315888998694</v>
      </c>
      <c r="M15" t="e">
        <v>#NUM!</v>
      </c>
      <c r="O15" t="s">
        <v>1377</v>
      </c>
    </row>
    <row r="16" spans="1:15">
      <c r="A16" t="s">
        <v>330</v>
      </c>
      <c r="B16" t="s">
        <v>893</v>
      </c>
      <c r="C16" t="s">
        <v>1448</v>
      </c>
      <c r="D16">
        <v>559</v>
      </c>
      <c r="E16">
        <v>0</v>
      </c>
      <c r="F16">
        <v>1</v>
      </c>
      <c r="G16">
        <v>8</v>
      </c>
      <c r="H16">
        <f t="shared" si="0"/>
        <v>4.358898943540674</v>
      </c>
      <c r="I16" t="e">
        <v>#NUM!</v>
      </c>
      <c r="J16">
        <v>-2.2079369570079903</v>
      </c>
      <c r="K16">
        <v>-0.89539332580932429</v>
      </c>
      <c r="M16" t="e">
        <v>#NUM!</v>
      </c>
      <c r="O16" t="s">
        <v>1448</v>
      </c>
    </row>
    <row r="17" spans="1:15">
      <c r="A17" t="s">
        <v>426</v>
      </c>
      <c r="B17" t="s">
        <v>989</v>
      </c>
      <c r="C17" t="s">
        <v>1544</v>
      </c>
      <c r="D17">
        <v>506</v>
      </c>
      <c r="E17">
        <v>0</v>
      </c>
      <c r="F17">
        <v>5</v>
      </c>
      <c r="G17">
        <v>6</v>
      </c>
      <c r="H17">
        <f t="shared" si="0"/>
        <v>3.214550253664318</v>
      </c>
      <c r="I17" t="e">
        <v>#NUM!</v>
      </c>
      <c r="J17">
        <v>-1.4657056616253477</v>
      </c>
      <c r="K17">
        <v>-0.97707077137100029</v>
      </c>
      <c r="M17" t="e">
        <v>#NUM!</v>
      </c>
      <c r="O17" t="s">
        <v>1544</v>
      </c>
    </row>
    <row r="18" spans="1:15">
      <c r="A18" t="s">
        <v>341</v>
      </c>
      <c r="B18" t="s">
        <v>904</v>
      </c>
      <c r="C18" t="s">
        <v>1459</v>
      </c>
      <c r="D18">
        <v>278</v>
      </c>
      <c r="E18">
        <v>0</v>
      </c>
      <c r="F18">
        <v>2</v>
      </c>
      <c r="G18">
        <v>6</v>
      </c>
      <c r="H18">
        <f t="shared" si="0"/>
        <v>3.0550504633038935</v>
      </c>
      <c r="I18" t="e">
        <v>#NUM!</v>
      </c>
      <c r="J18">
        <v>-1.6035399493756621</v>
      </c>
      <c r="K18">
        <v>-0.71696505044927727</v>
      </c>
      <c r="M18" t="e">
        <v>#NUM!</v>
      </c>
      <c r="O18" t="s">
        <v>1459</v>
      </c>
    </row>
    <row r="19" spans="1:15">
      <c r="A19" t="s">
        <v>417</v>
      </c>
      <c r="B19" t="s">
        <v>980</v>
      </c>
      <c r="C19" t="s">
        <v>1535</v>
      </c>
      <c r="D19">
        <v>521</v>
      </c>
      <c r="E19">
        <v>0</v>
      </c>
      <c r="F19">
        <v>0</v>
      </c>
      <c r="G19">
        <v>6</v>
      </c>
      <c r="H19">
        <f t="shared" si="0"/>
        <v>3.4641016151377544</v>
      </c>
      <c r="I19" t="e">
        <v>#NUM!</v>
      </c>
      <c r="J19" t="e">
        <v>#NUM!</v>
      </c>
      <c r="K19">
        <v>-0.9897579778307255</v>
      </c>
      <c r="M19" t="e">
        <v>#NUM!</v>
      </c>
      <c r="O19" t="s">
        <v>1535</v>
      </c>
    </row>
    <row r="20" spans="1:15">
      <c r="A20" t="s">
        <v>62</v>
      </c>
      <c r="B20" t="s">
        <v>625</v>
      </c>
      <c r="C20" t="s">
        <v>1180</v>
      </c>
      <c r="D20">
        <v>91</v>
      </c>
      <c r="E20">
        <v>0</v>
      </c>
      <c r="F20">
        <v>1</v>
      </c>
      <c r="G20">
        <v>5</v>
      </c>
      <c r="H20">
        <f t="shared" si="0"/>
        <v>2.6457513110645907</v>
      </c>
      <c r="I20" t="e">
        <v>#NUM!</v>
      </c>
      <c r="J20">
        <v>-1.4195665414426606</v>
      </c>
      <c r="K20">
        <v>-0.31114289289991959</v>
      </c>
      <c r="M20" t="e">
        <v>#NUM!</v>
      </c>
      <c r="O20" t="s">
        <v>1180</v>
      </c>
    </row>
    <row r="21" spans="1:15">
      <c r="A21" t="s">
        <v>52</v>
      </c>
      <c r="B21" t="s">
        <v>615</v>
      </c>
      <c r="C21" t="s">
        <v>1170</v>
      </c>
      <c r="D21">
        <v>105</v>
      </c>
      <c r="E21">
        <v>0</v>
      </c>
      <c r="F21">
        <v>0</v>
      </c>
      <c r="G21">
        <v>5</v>
      </c>
      <c r="H21">
        <f t="shared" si="0"/>
        <v>2.8867513459481287</v>
      </c>
      <c r="I21" t="e">
        <v>#NUM!</v>
      </c>
      <c r="J21" t="e">
        <v>#NUM!</v>
      </c>
      <c r="K21">
        <v>-0.37329079964876399</v>
      </c>
      <c r="M21" t="e">
        <v>#NUM!</v>
      </c>
      <c r="O21" t="s">
        <v>1170</v>
      </c>
    </row>
    <row r="22" spans="1:15">
      <c r="A22" t="s">
        <v>524</v>
      </c>
      <c r="B22" t="s">
        <v>1087</v>
      </c>
      <c r="C22" t="s">
        <v>1642</v>
      </c>
      <c r="D22">
        <v>242</v>
      </c>
      <c r="E22">
        <v>0</v>
      </c>
      <c r="F22">
        <v>0</v>
      </c>
      <c r="G22">
        <v>5</v>
      </c>
      <c r="H22">
        <f t="shared" si="0"/>
        <v>2.8867513459481287</v>
      </c>
      <c r="I22" t="e">
        <v>#NUM!</v>
      </c>
      <c r="J22" t="e">
        <v>#NUM!</v>
      </c>
      <c r="K22">
        <v>-0.73591686655925725</v>
      </c>
      <c r="M22" t="e">
        <v>#NUM!</v>
      </c>
      <c r="O22" t="s">
        <v>1642</v>
      </c>
    </row>
    <row r="23" spans="1:15">
      <c r="A23" t="s">
        <v>274</v>
      </c>
      <c r="B23" t="s">
        <v>837</v>
      </c>
      <c r="C23" t="s">
        <v>1392</v>
      </c>
      <c r="D23">
        <v>248</v>
      </c>
      <c r="E23">
        <v>0</v>
      </c>
      <c r="F23">
        <v>0</v>
      </c>
      <c r="G23">
        <v>5</v>
      </c>
      <c r="H23">
        <f t="shared" si="0"/>
        <v>2.8867513459481287</v>
      </c>
      <c r="I23" t="e">
        <v>#NUM!</v>
      </c>
      <c r="J23" t="e">
        <v>#NUM!</v>
      </c>
      <c r="K23">
        <v>-0.74655318140504212</v>
      </c>
      <c r="M23" t="e">
        <v>#NUM!</v>
      </c>
      <c r="O23" t="s">
        <v>1392</v>
      </c>
    </row>
    <row r="24" spans="1:15">
      <c r="A24" t="s">
        <v>525</v>
      </c>
      <c r="B24" t="s">
        <v>1088</v>
      </c>
      <c r="C24" t="s">
        <v>1643</v>
      </c>
      <c r="D24">
        <v>302</v>
      </c>
      <c r="E24">
        <v>0</v>
      </c>
      <c r="F24">
        <v>0</v>
      </c>
      <c r="G24">
        <v>5</v>
      </c>
      <c r="H24">
        <f t="shared" si="0"/>
        <v>2.8867513459481287</v>
      </c>
      <c r="I24" t="e">
        <v>#NUM!</v>
      </c>
      <c r="J24" t="e">
        <v>#NUM!</v>
      </c>
      <c r="K24">
        <v>-0.83210844353597646</v>
      </c>
      <c r="M24" t="e">
        <v>#NUM!</v>
      </c>
      <c r="O24" t="s">
        <v>1643</v>
      </c>
    </row>
    <row r="25" spans="1:15">
      <c r="A25" t="s">
        <v>311</v>
      </c>
      <c r="B25" t="s">
        <v>874</v>
      </c>
      <c r="C25" t="s">
        <v>1429</v>
      </c>
      <c r="D25">
        <v>412</v>
      </c>
      <c r="E25">
        <v>0</v>
      </c>
      <c r="F25">
        <v>9</v>
      </c>
      <c r="G25">
        <v>4</v>
      </c>
      <c r="H25">
        <f t="shared" si="0"/>
        <v>4.5092497528228943</v>
      </c>
      <c r="I25" t="e">
        <v>#NUM!</v>
      </c>
      <c r="J25">
        <v>-1.1211798557153769</v>
      </c>
      <c r="K25">
        <v>-1.0639087296200171</v>
      </c>
      <c r="M25" t="e">
        <v>#NUM!</v>
      </c>
      <c r="O25" t="s">
        <v>1429</v>
      </c>
    </row>
    <row r="26" spans="1:15">
      <c r="A26" t="s">
        <v>53</v>
      </c>
      <c r="B26" t="s">
        <v>616</v>
      </c>
      <c r="C26" t="s">
        <v>1171</v>
      </c>
      <c r="D26">
        <v>29</v>
      </c>
      <c r="E26">
        <v>0</v>
      </c>
      <c r="F26">
        <v>1</v>
      </c>
      <c r="G26">
        <v>4</v>
      </c>
      <c r="H26">
        <f t="shared" si="0"/>
        <v>2.0816659994661326</v>
      </c>
      <c r="I26" t="e">
        <v>#NUM!</v>
      </c>
      <c r="J26">
        <v>-0.92292314702052314</v>
      </c>
      <c r="K26">
        <v>8.8590488514161625E-2</v>
      </c>
      <c r="M26" t="e">
        <v>#NUM!</v>
      </c>
      <c r="O26" t="s">
        <v>1171</v>
      </c>
    </row>
    <row r="27" spans="1:15">
      <c r="A27" t="s">
        <v>96</v>
      </c>
      <c r="B27" t="s">
        <v>659</v>
      </c>
      <c r="C27" t="s">
        <v>1214</v>
      </c>
      <c r="D27">
        <v>153</v>
      </c>
      <c r="E27">
        <v>9</v>
      </c>
      <c r="F27">
        <v>0</v>
      </c>
      <c r="G27">
        <v>4</v>
      </c>
      <c r="H27">
        <f t="shared" si="0"/>
        <v>4.5092497528228943</v>
      </c>
      <c r="I27">
        <v>-0.23839575685770442</v>
      </c>
      <c r="J27" t="e">
        <v>#NUM!</v>
      </c>
      <c r="K27">
        <v>-0.63370294440448105</v>
      </c>
      <c r="M27" t="e">
        <v>#NUM!</v>
      </c>
      <c r="O27" t="s">
        <v>1214</v>
      </c>
    </row>
    <row r="28" spans="1:15">
      <c r="A28" t="s">
        <v>54</v>
      </c>
      <c r="B28" t="s">
        <v>617</v>
      </c>
      <c r="C28" t="s">
        <v>1172</v>
      </c>
      <c r="D28">
        <v>44</v>
      </c>
      <c r="E28">
        <v>1</v>
      </c>
      <c r="F28">
        <v>0</v>
      </c>
      <c r="G28">
        <v>4</v>
      </c>
      <c r="H28">
        <f t="shared" si="0"/>
        <v>2.0816659994661326</v>
      </c>
      <c r="I28">
        <v>-0.65139951196561796</v>
      </c>
      <c r="J28" t="e">
        <v>#NUM!</v>
      </c>
      <c r="K28">
        <v>-9.2464190073069608E-2</v>
      </c>
      <c r="M28" t="e">
        <v>#NUM!</v>
      </c>
      <c r="O28" t="s">
        <v>1172</v>
      </c>
    </row>
    <row r="29" spans="1:15">
      <c r="A29" t="s">
        <v>66</v>
      </c>
      <c r="B29" t="s">
        <v>629</v>
      </c>
      <c r="C29" t="s">
        <v>1184</v>
      </c>
      <c r="D29">
        <v>119</v>
      </c>
      <c r="E29">
        <v>1</v>
      </c>
      <c r="F29">
        <v>0</v>
      </c>
      <c r="G29">
        <v>4</v>
      </c>
      <c r="H29">
        <f t="shared" si="0"/>
        <v>2.0816659994661326</v>
      </c>
      <c r="I29">
        <v>-1.0834937968719611</v>
      </c>
      <c r="J29" t="e">
        <v>#NUM!</v>
      </c>
      <c r="K29">
        <v>-0.52455847497941299</v>
      </c>
      <c r="M29" t="e">
        <v>#NUM!</v>
      </c>
      <c r="O29" t="s">
        <v>1184</v>
      </c>
    </row>
    <row r="30" spans="1:15">
      <c r="A30" t="s">
        <v>323</v>
      </c>
      <c r="B30" t="s">
        <v>886</v>
      </c>
      <c r="C30" t="s">
        <v>1441</v>
      </c>
      <c r="D30">
        <v>338</v>
      </c>
      <c r="E30">
        <v>0</v>
      </c>
      <c r="F30">
        <v>0</v>
      </c>
      <c r="G30">
        <v>4</v>
      </c>
      <c r="H30">
        <f t="shared" si="0"/>
        <v>2.3094010767585034</v>
      </c>
      <c r="I30" t="e">
        <v>#NUM!</v>
      </c>
      <c r="J30" t="e">
        <v>#NUM!</v>
      </c>
      <c r="K30">
        <v>-0.9779282138645371</v>
      </c>
      <c r="M30" t="e">
        <v>#NUM!</v>
      </c>
      <c r="O30" t="s">
        <v>1441</v>
      </c>
    </row>
    <row r="31" spans="1:15">
      <c r="A31" t="s">
        <v>48</v>
      </c>
      <c r="B31" t="s">
        <v>611</v>
      </c>
      <c r="C31" t="s">
        <v>1166</v>
      </c>
      <c r="D31">
        <v>455</v>
      </c>
      <c r="E31">
        <v>0</v>
      </c>
      <c r="F31">
        <v>4</v>
      </c>
      <c r="G31">
        <v>3</v>
      </c>
      <c r="H31">
        <f t="shared" si="0"/>
        <v>2.0816659994661331</v>
      </c>
      <c r="I31" t="e">
        <v>#NUM!</v>
      </c>
      <c r="J31">
        <v>-1.5164765544507173</v>
      </c>
      <c r="K31">
        <v>-1.2319616468522947</v>
      </c>
      <c r="M31" t="e">
        <v>#NUM!</v>
      </c>
      <c r="O31" t="s">
        <v>1166</v>
      </c>
    </row>
    <row r="32" spans="1:15">
      <c r="A32" t="s">
        <v>276</v>
      </c>
      <c r="B32" t="s">
        <v>839</v>
      </c>
      <c r="C32" t="s">
        <v>1394</v>
      </c>
      <c r="D32">
        <v>165</v>
      </c>
      <c r="E32">
        <v>0</v>
      </c>
      <c r="F32">
        <v>1</v>
      </c>
      <c r="G32">
        <v>3</v>
      </c>
      <c r="H32">
        <f t="shared" si="0"/>
        <v>1.5275252316519468</v>
      </c>
      <c r="I32" t="e">
        <v>#NUM!</v>
      </c>
      <c r="J32">
        <v>-1.6780090933354734</v>
      </c>
      <c r="K32">
        <v>-0.79143419440908858</v>
      </c>
      <c r="M32" t="e">
        <v>#NUM!</v>
      </c>
      <c r="O32" t="s">
        <v>1394</v>
      </c>
    </row>
    <row r="33" spans="1:15">
      <c r="A33" t="s">
        <v>49</v>
      </c>
      <c r="B33" t="s">
        <v>612</v>
      </c>
      <c r="C33" t="s">
        <v>1167</v>
      </c>
      <c r="D33">
        <v>298</v>
      </c>
      <c r="E33">
        <v>25</v>
      </c>
      <c r="F33">
        <v>0</v>
      </c>
      <c r="G33">
        <v>3</v>
      </c>
      <c r="H33">
        <f t="shared" ref="H33:H64" si="1">STDEV(E33:G33)</f>
        <v>13.650396819628847</v>
      </c>
      <c r="I33">
        <v>-8.42230908836481E-2</v>
      </c>
      <c r="J33" t="e">
        <v>#NUM!</v>
      </c>
      <c r="K33">
        <v>-1.0481665142714376</v>
      </c>
      <c r="M33" t="e">
        <v>#NUM!</v>
      </c>
      <c r="O33" t="s">
        <v>1167</v>
      </c>
    </row>
    <row r="34" spans="1:15">
      <c r="A34" t="s">
        <v>57</v>
      </c>
      <c r="B34" t="s">
        <v>620</v>
      </c>
      <c r="C34" t="s">
        <v>1175</v>
      </c>
      <c r="D34">
        <v>44</v>
      </c>
      <c r="E34">
        <v>3</v>
      </c>
      <c r="F34">
        <v>0</v>
      </c>
      <c r="G34">
        <v>3</v>
      </c>
      <c r="H34">
        <f t="shared" si="1"/>
        <v>1.7320508075688772</v>
      </c>
      <c r="I34">
        <v>-0.17427825724595558</v>
      </c>
      <c r="J34" t="e">
        <v>#NUM!</v>
      </c>
      <c r="K34">
        <v>-0.21740292668136973</v>
      </c>
      <c r="M34" t="e">
        <v>#NUM!</v>
      </c>
      <c r="O34" t="s">
        <v>1175</v>
      </c>
    </row>
    <row r="35" spans="1:15">
      <c r="A35" t="s">
        <v>61</v>
      </c>
      <c r="B35" t="s">
        <v>624</v>
      </c>
      <c r="C35" t="s">
        <v>1179</v>
      </c>
      <c r="D35">
        <v>114</v>
      </c>
      <c r="E35">
        <v>2</v>
      </c>
      <c r="F35">
        <v>0</v>
      </c>
      <c r="G35">
        <v>3</v>
      </c>
      <c r="H35">
        <f t="shared" si="1"/>
        <v>1.5275252316519465</v>
      </c>
      <c r="I35">
        <v>-0.763821691151922</v>
      </c>
      <c r="J35" t="e">
        <v>#NUM!</v>
      </c>
      <c r="K35">
        <v>-0.6308551015316548</v>
      </c>
      <c r="M35" t="e">
        <v>#NUM!</v>
      </c>
      <c r="O35" t="s">
        <v>1179</v>
      </c>
    </row>
    <row r="36" spans="1:15">
      <c r="A36" t="s">
        <v>412</v>
      </c>
      <c r="B36" t="s">
        <v>975</v>
      </c>
      <c r="C36" t="s">
        <v>1530</v>
      </c>
      <c r="D36">
        <v>252</v>
      </c>
      <c r="E36">
        <v>0</v>
      </c>
      <c r="F36">
        <v>0</v>
      </c>
      <c r="G36">
        <v>3</v>
      </c>
      <c r="H36">
        <f t="shared" si="1"/>
        <v>1.7320508075688772</v>
      </c>
      <c r="I36" t="e">
        <v>#NUM!</v>
      </c>
      <c r="J36" t="e">
        <v>#NUM!</v>
      </c>
      <c r="K36">
        <v>-0.97535079097672628</v>
      </c>
      <c r="M36" t="e">
        <v>#NUM!</v>
      </c>
      <c r="O36" t="s">
        <v>1530</v>
      </c>
    </row>
    <row r="37" spans="1:15">
      <c r="A37" t="s">
        <v>335</v>
      </c>
      <c r="B37" t="s">
        <v>898</v>
      </c>
      <c r="C37" t="s">
        <v>1453</v>
      </c>
      <c r="D37">
        <v>305</v>
      </c>
      <c r="E37">
        <v>0</v>
      </c>
      <c r="F37">
        <v>0</v>
      </c>
      <c r="G37">
        <v>3</v>
      </c>
      <c r="H37">
        <f t="shared" si="1"/>
        <v>1.7320508075688772</v>
      </c>
      <c r="I37" t="e">
        <v>#NUM!</v>
      </c>
      <c r="J37" t="e">
        <v>#NUM!</v>
      </c>
      <c r="K37">
        <v>-1.058250089541968</v>
      </c>
      <c r="M37" t="e">
        <v>#NUM!</v>
      </c>
      <c r="O37" t="s">
        <v>1453</v>
      </c>
    </row>
    <row r="38" spans="1:15">
      <c r="A38" t="s">
        <v>415</v>
      </c>
      <c r="B38" t="s">
        <v>978</v>
      </c>
      <c r="C38" t="s">
        <v>1533</v>
      </c>
      <c r="D38">
        <v>731</v>
      </c>
      <c r="E38">
        <v>0</v>
      </c>
      <c r="F38">
        <v>26</v>
      </c>
      <c r="G38">
        <v>2</v>
      </c>
      <c r="H38">
        <f t="shared" si="1"/>
        <v>14.46835627614047</v>
      </c>
      <c r="I38" t="e">
        <v>#NUM!</v>
      </c>
      <c r="J38">
        <v>-0.90946917810860961</v>
      </c>
      <c r="K38">
        <v>-1.6139588862087237</v>
      </c>
      <c r="M38" t="e">
        <v>#NUM!</v>
      </c>
      <c r="O38" t="s">
        <v>1533</v>
      </c>
    </row>
    <row r="39" spans="1:15">
      <c r="A39" t="s">
        <v>264</v>
      </c>
      <c r="B39" t="s">
        <v>827</v>
      </c>
      <c r="C39" t="s">
        <v>1382</v>
      </c>
      <c r="D39">
        <v>269</v>
      </c>
      <c r="E39">
        <v>0</v>
      </c>
      <c r="F39">
        <v>4</v>
      </c>
      <c r="G39">
        <v>2</v>
      </c>
      <c r="H39">
        <f t="shared" si="1"/>
        <v>2</v>
      </c>
      <c r="I39" t="e">
        <v>#NUM!</v>
      </c>
      <c r="J39">
        <v>-1.2882174377960127</v>
      </c>
      <c r="K39">
        <v>-1.1797937892532715</v>
      </c>
      <c r="M39" t="e">
        <v>#NUM!</v>
      </c>
      <c r="O39" t="s">
        <v>1382</v>
      </c>
    </row>
    <row r="40" spans="1:15">
      <c r="A40" t="s">
        <v>446</v>
      </c>
      <c r="B40" t="s">
        <v>1009</v>
      </c>
      <c r="C40" t="s">
        <v>1564</v>
      </c>
      <c r="D40">
        <v>127</v>
      </c>
      <c r="E40">
        <v>0</v>
      </c>
      <c r="F40">
        <v>2</v>
      </c>
      <c r="G40">
        <v>2</v>
      </c>
      <c r="H40">
        <f t="shared" si="1"/>
        <v>1.1547005383792517</v>
      </c>
      <c r="I40" t="e">
        <v>#NUM!</v>
      </c>
      <c r="J40">
        <v>-1.2632988744135427</v>
      </c>
      <c r="K40">
        <v>-0.85384523020682046</v>
      </c>
      <c r="M40" t="e">
        <v>#NUM!</v>
      </c>
      <c r="O40" t="s">
        <v>1564</v>
      </c>
    </row>
    <row r="41" spans="1:15">
      <c r="A41" t="s">
        <v>295</v>
      </c>
      <c r="B41" t="s">
        <v>858</v>
      </c>
      <c r="C41" t="s">
        <v>1413</v>
      </c>
      <c r="D41">
        <v>95</v>
      </c>
      <c r="E41">
        <v>4</v>
      </c>
      <c r="F41">
        <v>0</v>
      </c>
      <c r="G41">
        <v>2</v>
      </c>
      <c r="H41">
        <f t="shared" si="1"/>
        <v>2</v>
      </c>
      <c r="I41">
        <v>-0.38361044944031586</v>
      </c>
      <c r="J41" t="e">
        <v>#NUM!</v>
      </c>
      <c r="K41">
        <v>-0.72776511453971127</v>
      </c>
      <c r="M41" t="e">
        <v>#NUM!</v>
      </c>
      <c r="O41" t="s">
        <v>1413</v>
      </c>
    </row>
    <row r="42" spans="1:15">
      <c r="A42" t="s">
        <v>47</v>
      </c>
      <c r="B42" t="s">
        <v>610</v>
      </c>
      <c r="C42" t="s">
        <v>1165</v>
      </c>
      <c r="D42">
        <v>204</v>
      </c>
      <c r="E42">
        <v>3</v>
      </c>
      <c r="F42">
        <v>0</v>
      </c>
      <c r="G42">
        <v>2</v>
      </c>
      <c r="H42">
        <f t="shared" si="1"/>
        <v>1.5275252316519465</v>
      </c>
      <c r="I42">
        <v>-0.84045574818566693</v>
      </c>
      <c r="J42" t="e">
        <v>#NUM!</v>
      </c>
      <c r="K42">
        <v>-1.0596716766767622</v>
      </c>
      <c r="M42" t="e">
        <v>#NUM!</v>
      </c>
      <c r="O42" t="s">
        <v>1165</v>
      </c>
    </row>
    <row r="43" spans="1:15">
      <c r="A43" t="s">
        <v>420</v>
      </c>
      <c r="B43" t="s">
        <v>983</v>
      </c>
      <c r="C43" t="s">
        <v>1538</v>
      </c>
      <c r="D43">
        <v>160</v>
      </c>
      <c r="E43">
        <v>2</v>
      </c>
      <c r="F43">
        <v>0</v>
      </c>
      <c r="G43">
        <v>2</v>
      </c>
      <c r="H43">
        <f t="shared" si="1"/>
        <v>1.1547005383792517</v>
      </c>
      <c r="I43">
        <v>-0.91103682247137407</v>
      </c>
      <c r="J43" t="e">
        <v>#NUM!</v>
      </c>
      <c r="K43">
        <v>-0.95416149190678823</v>
      </c>
      <c r="M43" t="e">
        <v>#NUM!</v>
      </c>
      <c r="O43" t="s">
        <v>1538</v>
      </c>
    </row>
    <row r="44" spans="1:15">
      <c r="A44" t="s">
        <v>549</v>
      </c>
      <c r="B44" t="s">
        <v>1112</v>
      </c>
      <c r="C44" t="s">
        <v>1667</v>
      </c>
      <c r="D44">
        <v>865</v>
      </c>
      <c r="E44">
        <v>1</v>
      </c>
      <c r="F44">
        <v>0</v>
      </c>
      <c r="G44">
        <v>2</v>
      </c>
      <c r="H44">
        <f t="shared" si="1"/>
        <v>1</v>
      </c>
      <c r="I44">
        <v>-1.9449629429442448</v>
      </c>
      <c r="J44" t="e">
        <v>#NUM!</v>
      </c>
      <c r="K44">
        <v>-1.6870576167156777</v>
      </c>
      <c r="M44" t="e">
        <v>#NUM!</v>
      </c>
      <c r="O44" t="s">
        <v>1667</v>
      </c>
    </row>
    <row r="45" spans="1:15">
      <c r="A45" t="s">
        <v>287</v>
      </c>
      <c r="B45" t="s">
        <v>850</v>
      </c>
      <c r="C45" t="s">
        <v>1405</v>
      </c>
      <c r="D45">
        <v>88</v>
      </c>
      <c r="E45">
        <v>0</v>
      </c>
      <c r="F45">
        <v>0</v>
      </c>
      <c r="G45">
        <v>2</v>
      </c>
      <c r="H45">
        <f t="shared" si="1"/>
        <v>1.1547005383792517</v>
      </c>
      <c r="I45" t="e">
        <v>#NUM!</v>
      </c>
      <c r="J45" t="e">
        <v>#NUM!</v>
      </c>
      <c r="K45">
        <v>-0.69452418140103211</v>
      </c>
      <c r="M45" t="e">
        <v>#NUM!</v>
      </c>
      <c r="O45" t="s">
        <v>1405</v>
      </c>
    </row>
    <row r="46" spans="1:15">
      <c r="A46" t="s">
        <v>313</v>
      </c>
      <c r="B46" t="s">
        <v>876</v>
      </c>
      <c r="C46" t="s">
        <v>1431</v>
      </c>
      <c r="D46">
        <v>99</v>
      </c>
      <c r="E46">
        <v>0</v>
      </c>
      <c r="F46">
        <v>0</v>
      </c>
      <c r="G46">
        <v>2</v>
      </c>
      <c r="H46">
        <f t="shared" si="1"/>
        <v>1.1547005383792517</v>
      </c>
      <c r="I46" t="e">
        <v>#NUM!</v>
      </c>
      <c r="J46" t="e">
        <v>#NUM!</v>
      </c>
      <c r="K46">
        <v>-0.74567670384841334</v>
      </c>
      <c r="M46" t="e">
        <v>#NUM!</v>
      </c>
      <c r="O46" t="s">
        <v>1431</v>
      </c>
    </row>
    <row r="47" spans="1:15">
      <c r="A47" t="s">
        <v>534</v>
      </c>
      <c r="B47" t="s">
        <v>1097</v>
      </c>
      <c r="C47" t="s">
        <v>1652</v>
      </c>
      <c r="D47">
        <v>214</v>
      </c>
      <c r="E47">
        <v>0</v>
      </c>
      <c r="F47">
        <v>0</v>
      </c>
      <c r="G47">
        <v>2</v>
      </c>
      <c r="H47">
        <f t="shared" si="1"/>
        <v>1.1547005383792517</v>
      </c>
      <c r="I47" t="e">
        <v>#NUM!</v>
      </c>
      <c r="J47" t="e">
        <v>#NUM!</v>
      </c>
      <c r="K47">
        <v>-1.0804552826000544</v>
      </c>
      <c r="M47" t="e">
        <v>#NUM!</v>
      </c>
      <c r="O47" t="s">
        <v>1652</v>
      </c>
    </row>
    <row r="48" spans="1:15">
      <c r="A48" t="s">
        <v>304</v>
      </c>
      <c r="B48" t="s">
        <v>867</v>
      </c>
      <c r="C48" t="s">
        <v>1422</v>
      </c>
      <c r="D48">
        <v>136</v>
      </c>
      <c r="E48">
        <v>0</v>
      </c>
      <c r="F48">
        <v>8</v>
      </c>
      <c r="G48">
        <v>1</v>
      </c>
      <c r="H48">
        <f t="shared" si="1"/>
        <v>4.358898943540674</v>
      </c>
      <c r="I48" t="e">
        <v>#NUM!</v>
      </c>
      <c r="J48">
        <v>-0.69097407049984094</v>
      </c>
      <c r="K48">
        <v>-1.1846104132850621</v>
      </c>
      <c r="M48" t="e">
        <v>#NUM!</v>
      </c>
      <c r="O48" t="s">
        <v>1422</v>
      </c>
    </row>
    <row r="49" spans="1:15">
      <c r="A49" t="s">
        <v>103</v>
      </c>
      <c r="B49" t="s">
        <v>666</v>
      </c>
      <c r="C49" t="s">
        <v>1221</v>
      </c>
      <c r="D49">
        <v>277</v>
      </c>
      <c r="E49">
        <v>0</v>
      </c>
      <c r="F49">
        <v>3</v>
      </c>
      <c r="G49">
        <v>1</v>
      </c>
      <c r="H49">
        <f t="shared" si="1"/>
        <v>1.5275252316519468</v>
      </c>
      <c r="I49" t="e">
        <v>#NUM!</v>
      </c>
      <c r="J49">
        <v>-1.4258836634663532</v>
      </c>
      <c r="K49">
        <v>-1.4935512739792933</v>
      </c>
      <c r="M49" t="e">
        <v>#NUM!</v>
      </c>
      <c r="O49" t="s">
        <v>1221</v>
      </c>
    </row>
    <row r="50" spans="1:15">
      <c r="A50" t="s">
        <v>58</v>
      </c>
      <c r="B50" t="s">
        <v>621</v>
      </c>
      <c r="C50" t="s">
        <v>1176</v>
      </c>
      <c r="D50">
        <v>76</v>
      </c>
      <c r="E50">
        <v>43</v>
      </c>
      <c r="F50">
        <v>0</v>
      </c>
      <c r="G50">
        <v>1</v>
      </c>
      <c r="H50">
        <f t="shared" si="1"/>
        <v>24.542480178933285</v>
      </c>
      <c r="I50">
        <v>0.74470802781936463</v>
      </c>
      <c r="J50" t="e">
        <v>#NUM!</v>
      </c>
      <c r="K50">
        <v>-0.93188509719563606</v>
      </c>
      <c r="M50" t="e">
        <v>#NUM!</v>
      </c>
      <c r="O50" t="s">
        <v>1176</v>
      </c>
    </row>
    <row r="51" spans="1:15">
      <c r="A51" t="s">
        <v>268</v>
      </c>
      <c r="B51" t="s">
        <v>831</v>
      </c>
      <c r="C51" t="s">
        <v>1386</v>
      </c>
      <c r="D51">
        <v>285</v>
      </c>
      <c r="E51">
        <v>3</v>
      </c>
      <c r="F51">
        <v>0</v>
      </c>
      <c r="G51">
        <v>1</v>
      </c>
      <c r="H51">
        <f t="shared" si="1"/>
        <v>1.5275252316519468</v>
      </c>
      <c r="I51">
        <v>-0.98567044076827837</v>
      </c>
      <c r="J51" t="e">
        <v>#NUM!</v>
      </c>
      <c r="K51">
        <v>-1.5059163649233549</v>
      </c>
      <c r="M51" t="e">
        <v>#NUM!</v>
      </c>
      <c r="O51" t="s">
        <v>1386</v>
      </c>
    </row>
    <row r="52" spans="1:15">
      <c r="A52" t="s">
        <v>267</v>
      </c>
      <c r="B52" t="s">
        <v>830</v>
      </c>
      <c r="C52" t="s">
        <v>1385</v>
      </c>
      <c r="D52">
        <v>359</v>
      </c>
      <c r="E52">
        <v>1</v>
      </c>
      <c r="F52">
        <v>0</v>
      </c>
      <c r="G52">
        <v>1</v>
      </c>
      <c r="H52">
        <f t="shared" si="1"/>
        <v>0.57735026918962584</v>
      </c>
      <c r="I52">
        <v>-1.5630412840577499</v>
      </c>
      <c r="J52" t="e">
        <v>#NUM!</v>
      </c>
      <c r="K52">
        <v>-1.606165953493164</v>
      </c>
      <c r="M52" t="e">
        <v>#NUM!</v>
      </c>
      <c r="O52" t="s">
        <v>1385</v>
      </c>
    </row>
    <row r="53" spans="1:15">
      <c r="A53" t="s">
        <v>255</v>
      </c>
      <c r="B53" t="s">
        <v>818</v>
      </c>
      <c r="C53" t="s">
        <v>1373</v>
      </c>
      <c r="D53">
        <v>115</v>
      </c>
      <c r="E53">
        <v>0</v>
      </c>
      <c r="F53">
        <v>0</v>
      </c>
      <c r="G53">
        <v>1</v>
      </c>
      <c r="H53">
        <f t="shared" si="1"/>
        <v>0.57735026918962584</v>
      </c>
      <c r="I53" t="e">
        <v>#NUM!</v>
      </c>
      <c r="J53" t="e">
        <v>#NUM!</v>
      </c>
      <c r="K53">
        <v>-1.1117693452684565</v>
      </c>
      <c r="M53" t="e">
        <v>#NUM!</v>
      </c>
      <c r="O53" t="s">
        <v>1373</v>
      </c>
    </row>
    <row r="54" spans="1:15">
      <c r="A54" t="s">
        <v>329</v>
      </c>
      <c r="B54" t="s">
        <v>892</v>
      </c>
      <c r="C54" t="s">
        <v>1447</v>
      </c>
      <c r="D54">
        <v>141</v>
      </c>
      <c r="E54">
        <v>0</v>
      </c>
      <c r="F54">
        <v>0</v>
      </c>
      <c r="G54">
        <v>1</v>
      </c>
      <c r="H54">
        <f t="shared" si="1"/>
        <v>0.57735026918962584</v>
      </c>
      <c r="I54" t="e">
        <v>#NUM!</v>
      </c>
      <c r="J54" t="e">
        <v>#NUM!</v>
      </c>
      <c r="K54">
        <v>-1.2002906175702248</v>
      </c>
      <c r="M54" t="e">
        <v>#NUM!</v>
      </c>
      <c r="O54" t="s">
        <v>1447</v>
      </c>
    </row>
    <row r="55" spans="1:15">
      <c r="A55" t="s">
        <v>95</v>
      </c>
      <c r="B55" t="s">
        <v>658</v>
      </c>
      <c r="C55" t="s">
        <v>1213</v>
      </c>
      <c r="D55">
        <v>276</v>
      </c>
      <c r="E55">
        <v>0</v>
      </c>
      <c r="F55">
        <v>0</v>
      </c>
      <c r="G55">
        <v>1</v>
      </c>
      <c r="H55">
        <f t="shared" si="1"/>
        <v>0.57735026918962584</v>
      </c>
      <c r="I55" t="e">
        <v>#NUM!</v>
      </c>
      <c r="J55" t="e">
        <v>#NUM!</v>
      </c>
      <c r="K55">
        <v>-1.4919805869800624</v>
      </c>
      <c r="M55" t="e">
        <v>#NUM!</v>
      </c>
      <c r="O55" t="s">
        <v>1213</v>
      </c>
    </row>
    <row r="56" spans="1:15">
      <c r="A56" t="s">
        <v>282</v>
      </c>
      <c r="B56" t="s">
        <v>845</v>
      </c>
      <c r="C56" t="s">
        <v>1400</v>
      </c>
      <c r="D56">
        <v>577</v>
      </c>
      <c r="E56">
        <v>0</v>
      </c>
      <c r="F56">
        <v>37</v>
      </c>
      <c r="G56">
        <v>0</v>
      </c>
      <c r="H56">
        <f t="shared" si="1"/>
        <v>21.361959960016154</v>
      </c>
      <c r="I56" t="e">
        <v>#NUM!</v>
      </c>
      <c r="J56">
        <v>-0.65349923821030342</v>
      </c>
      <c r="K56" t="e">
        <v>#NUM!</v>
      </c>
      <c r="M56" t="e">
        <v>#NUM!</v>
      </c>
      <c r="O56" t="s">
        <v>1400</v>
      </c>
    </row>
    <row r="57" spans="1:15">
      <c r="A57" t="s">
        <v>272</v>
      </c>
      <c r="B57" t="s">
        <v>835</v>
      </c>
      <c r="C57" t="s">
        <v>1390</v>
      </c>
      <c r="D57">
        <v>202</v>
      </c>
      <c r="E57">
        <v>17</v>
      </c>
      <c r="F57">
        <v>31</v>
      </c>
      <c r="G57">
        <v>0</v>
      </c>
      <c r="H57">
        <f t="shared" si="1"/>
        <v>15.524174696260024</v>
      </c>
      <c r="I57">
        <v>-8.2849283547780317E-2</v>
      </c>
      <c r="J57">
        <v>-0.27451482473391819</v>
      </c>
      <c r="K57" t="e">
        <v>#NUM!</v>
      </c>
      <c r="M57" t="e">
        <v>#NUM!</v>
      </c>
      <c r="O57" t="s">
        <v>1390</v>
      </c>
    </row>
    <row r="58" spans="1:15">
      <c r="A58" t="s">
        <v>51</v>
      </c>
      <c r="B58" t="s">
        <v>614</v>
      </c>
      <c r="C58" t="s">
        <v>1169</v>
      </c>
      <c r="D58">
        <v>462</v>
      </c>
      <c r="E58">
        <v>7</v>
      </c>
      <c r="F58">
        <v>11</v>
      </c>
      <c r="G58">
        <v>0</v>
      </c>
      <c r="H58">
        <f t="shared" si="1"/>
        <v>5.5677643628300215</v>
      </c>
      <c r="I58">
        <v>-0.82749077102129909</v>
      </c>
      <c r="J58">
        <v>-1.0837744395194675</v>
      </c>
      <c r="K58" t="e">
        <v>#NUM!</v>
      </c>
      <c r="M58" t="e">
        <v>#NUM!</v>
      </c>
      <c r="O58" t="s">
        <v>1169</v>
      </c>
    </row>
    <row r="59" spans="1:15">
      <c r="A59" t="s">
        <v>529</v>
      </c>
      <c r="B59" t="s">
        <v>1092</v>
      </c>
      <c r="C59" t="s">
        <v>1647</v>
      </c>
      <c r="D59">
        <v>821</v>
      </c>
      <c r="E59">
        <v>3</v>
      </c>
      <c r="F59">
        <v>8</v>
      </c>
      <c r="G59">
        <v>0</v>
      </c>
      <c r="H59">
        <f t="shared" si="1"/>
        <v>4.0414518843273806</v>
      </c>
      <c r="I59">
        <v>-1.4451687378792091</v>
      </c>
      <c r="J59">
        <v>-1.4717783192490645</v>
      </c>
      <c r="K59" t="e">
        <v>#NUM!</v>
      </c>
      <c r="M59" t="e">
        <v>#NUM!</v>
      </c>
      <c r="O59" t="s">
        <v>1647</v>
      </c>
    </row>
    <row r="60" spans="1:15">
      <c r="A60" t="s">
        <v>266</v>
      </c>
      <c r="B60" t="s">
        <v>829</v>
      </c>
      <c r="C60" t="s">
        <v>1384</v>
      </c>
      <c r="D60">
        <v>254</v>
      </c>
      <c r="E60">
        <v>2</v>
      </c>
      <c r="F60">
        <v>7</v>
      </c>
      <c r="G60">
        <v>0</v>
      </c>
      <c r="H60">
        <f t="shared" si="1"/>
        <v>3.6055512754639891</v>
      </c>
      <c r="I60">
        <v>-1.1117505564353873</v>
      </c>
      <c r="J60">
        <v>-1.0202608257272483</v>
      </c>
      <c r="K60" t="e">
        <v>#NUM!</v>
      </c>
      <c r="M60" t="e">
        <v>#NUM!</v>
      </c>
      <c r="O60" t="s">
        <v>1384</v>
      </c>
    </row>
    <row r="61" spans="1:15">
      <c r="A61" t="s">
        <v>60</v>
      </c>
      <c r="B61" t="s">
        <v>623</v>
      </c>
      <c r="C61" t="s">
        <v>1178</v>
      </c>
      <c r="D61">
        <v>82</v>
      </c>
      <c r="E61">
        <v>0</v>
      </c>
      <c r="F61">
        <v>6</v>
      </c>
      <c r="G61">
        <v>0</v>
      </c>
      <c r="H61">
        <f t="shared" si="1"/>
        <v>3.4641016151377544</v>
      </c>
      <c r="I61" t="e">
        <v>#NUM!</v>
      </c>
      <c r="J61">
        <v>-0.59618775112164013</v>
      </c>
      <c r="K61" t="e">
        <v>#NUM!</v>
      </c>
      <c r="M61" t="e">
        <v>#NUM!</v>
      </c>
      <c r="O61" t="s">
        <v>1178</v>
      </c>
    </row>
    <row r="62" spans="1:15">
      <c r="A62" t="s">
        <v>280</v>
      </c>
      <c r="B62" t="s">
        <v>843</v>
      </c>
      <c r="C62" t="s">
        <v>1398</v>
      </c>
      <c r="D62">
        <v>389</v>
      </c>
      <c r="E62">
        <v>0</v>
      </c>
      <c r="F62">
        <v>6</v>
      </c>
      <c r="G62">
        <v>0</v>
      </c>
      <c r="H62">
        <f t="shared" si="1"/>
        <v>3.4641016151377544</v>
      </c>
      <c r="I62" t="e">
        <v>#NUM!</v>
      </c>
      <c r="J62">
        <v>-1.272323500063631</v>
      </c>
      <c r="K62" t="e">
        <v>#NUM!</v>
      </c>
      <c r="M62" t="e">
        <v>#NUM!</v>
      </c>
      <c r="O62" t="s">
        <v>1398</v>
      </c>
    </row>
    <row r="63" spans="1:15">
      <c r="A63" t="s">
        <v>419</v>
      </c>
      <c r="B63" t="s">
        <v>982</v>
      </c>
      <c r="C63" t="s">
        <v>1537</v>
      </c>
      <c r="D63">
        <v>1000</v>
      </c>
      <c r="E63">
        <v>6</v>
      </c>
      <c r="F63">
        <v>5</v>
      </c>
      <c r="G63">
        <v>0</v>
      </c>
      <c r="H63">
        <f t="shared" si="1"/>
        <v>3.214550253664318</v>
      </c>
      <c r="I63">
        <v>-1.2297955850957867</v>
      </c>
      <c r="J63">
        <v>-1.7615551447855484</v>
      </c>
      <c r="K63" t="e">
        <v>#NUM!</v>
      </c>
      <c r="M63" t="e">
        <v>#NUM!</v>
      </c>
      <c r="O63" t="s">
        <v>1537</v>
      </c>
    </row>
    <row r="64" spans="1:15">
      <c r="A64" t="s">
        <v>526</v>
      </c>
      <c r="B64" t="s">
        <v>1089</v>
      </c>
      <c r="C64" t="s">
        <v>1644</v>
      </c>
      <c r="D64">
        <v>351</v>
      </c>
      <c r="E64">
        <v>3</v>
      </c>
      <c r="F64">
        <v>5</v>
      </c>
      <c r="G64">
        <v>0</v>
      </c>
      <c r="H64">
        <f t="shared" si="1"/>
        <v>2.5166114784235836</v>
      </c>
      <c r="I64">
        <v>-1.0761326972255922</v>
      </c>
      <c r="J64">
        <v>-1.3068622612513723</v>
      </c>
      <c r="K64" t="e">
        <v>#NUM!</v>
      </c>
      <c r="M64" t="e">
        <v>#NUM!</v>
      </c>
      <c r="O64" t="s">
        <v>1644</v>
      </c>
    </row>
    <row r="65" spans="1:15">
      <c r="A65" t="s">
        <v>322</v>
      </c>
      <c r="B65" t="s">
        <v>885</v>
      </c>
      <c r="C65" t="s">
        <v>1440</v>
      </c>
      <c r="D65">
        <v>176</v>
      </c>
      <c r="E65">
        <v>1</v>
      </c>
      <c r="F65">
        <v>4</v>
      </c>
      <c r="G65">
        <v>0</v>
      </c>
      <c r="H65">
        <f t="shared" ref="H65:H96" si="2">STDEV(E65:G65)</f>
        <v>2.0816659994661326</v>
      </c>
      <c r="I65">
        <v>-1.2534595032935805</v>
      </c>
      <c r="J65">
        <v>-1.1039778256077546</v>
      </c>
      <c r="K65" t="e">
        <v>#NUM!</v>
      </c>
      <c r="M65" t="e">
        <v>#NUM!</v>
      </c>
      <c r="O65" t="s">
        <v>1440</v>
      </c>
    </row>
    <row r="66" spans="1:15">
      <c r="A66" t="s">
        <v>411</v>
      </c>
      <c r="B66" t="s">
        <v>974</v>
      </c>
      <c r="C66" t="s">
        <v>1529</v>
      </c>
      <c r="D66">
        <v>242</v>
      </c>
      <c r="E66">
        <v>60</v>
      </c>
      <c r="F66">
        <v>3</v>
      </c>
      <c r="G66">
        <v>0</v>
      </c>
      <c r="H66">
        <f t="shared" si="2"/>
        <v>33.808283008753932</v>
      </c>
      <c r="I66">
        <v>0.38638904892378179</v>
      </c>
      <c r="J66">
        <v>-1.3672192603823361</v>
      </c>
      <c r="K66" t="e">
        <v>#NUM!</v>
      </c>
      <c r="M66" t="e">
        <v>#NUM!</v>
      </c>
      <c r="O66" t="s">
        <v>1529</v>
      </c>
    </row>
    <row r="67" spans="1:15">
      <c r="A67" t="s">
        <v>277</v>
      </c>
      <c r="B67" t="s">
        <v>840</v>
      </c>
      <c r="C67" t="s">
        <v>1395</v>
      </c>
      <c r="D67">
        <v>216</v>
      </c>
      <c r="E67">
        <v>0</v>
      </c>
      <c r="F67">
        <v>3</v>
      </c>
      <c r="G67">
        <v>0</v>
      </c>
      <c r="H67">
        <f t="shared" si="2"/>
        <v>1.7320508075688772</v>
      </c>
      <c r="I67" t="e">
        <v>#NUM!</v>
      </c>
      <c r="J67">
        <v>-1.3178576455528357</v>
      </c>
      <c r="K67" t="e">
        <v>#NUM!</v>
      </c>
      <c r="M67" t="e">
        <v>#NUM!</v>
      </c>
      <c r="O67" t="s">
        <v>1395</v>
      </c>
    </row>
    <row r="68" spans="1:15">
      <c r="A68" t="s">
        <v>98</v>
      </c>
      <c r="B68" t="s">
        <v>661</v>
      </c>
      <c r="C68" t="s">
        <v>1216</v>
      </c>
      <c r="D68">
        <v>238</v>
      </c>
      <c r="E68">
        <v>0</v>
      </c>
      <c r="F68">
        <v>3</v>
      </c>
      <c r="G68">
        <v>0</v>
      </c>
      <c r="H68">
        <f t="shared" si="2"/>
        <v>1.7320508075688772</v>
      </c>
      <c r="I68" t="e">
        <v>#NUM!</v>
      </c>
      <c r="J68">
        <v>-1.3599808514584164</v>
      </c>
      <c r="K68" t="e">
        <v>#NUM!</v>
      </c>
      <c r="M68" t="e">
        <v>#NUM!</v>
      </c>
      <c r="O68" t="s">
        <v>1216</v>
      </c>
    </row>
    <row r="69" spans="1:15">
      <c r="A69" t="s">
        <v>94</v>
      </c>
      <c r="B69" t="s">
        <v>657</v>
      </c>
      <c r="C69" t="s">
        <v>1212</v>
      </c>
      <c r="D69">
        <v>209</v>
      </c>
      <c r="E69">
        <v>0</v>
      </c>
      <c r="F69">
        <v>2</v>
      </c>
      <c r="G69">
        <v>0</v>
      </c>
      <c r="H69">
        <f t="shared" si="2"/>
        <v>1.1547005383792517</v>
      </c>
      <c r="I69" t="e">
        <v>#NUM!</v>
      </c>
      <c r="J69">
        <v>-1.4796414395686401</v>
      </c>
      <c r="K69" t="e">
        <v>#NUM!</v>
      </c>
      <c r="M69" t="e">
        <v>#NUM!</v>
      </c>
      <c r="O69" t="s">
        <v>1212</v>
      </c>
    </row>
    <row r="70" spans="1:15">
      <c r="A70" t="s">
        <v>308</v>
      </c>
      <c r="B70" t="s">
        <v>871</v>
      </c>
      <c r="C70" t="s">
        <v>1426</v>
      </c>
      <c r="D70">
        <v>226</v>
      </c>
      <c r="E70">
        <v>0</v>
      </c>
      <c r="F70">
        <v>2</v>
      </c>
      <c r="G70">
        <v>0</v>
      </c>
      <c r="H70">
        <f t="shared" si="2"/>
        <v>1.1547005383792517</v>
      </c>
      <c r="I70" t="e">
        <v>#NUM!</v>
      </c>
      <c r="J70">
        <v>-1.5136035926049871</v>
      </c>
      <c r="K70" t="e">
        <v>#NUM!</v>
      </c>
      <c r="M70" t="e">
        <v>#NUM!</v>
      </c>
      <c r="O70" t="s">
        <v>1426</v>
      </c>
    </row>
    <row r="71" spans="1:15">
      <c r="A71" t="s">
        <v>55</v>
      </c>
      <c r="B71" t="s">
        <v>618</v>
      </c>
      <c r="C71" t="s">
        <v>1173</v>
      </c>
      <c r="D71">
        <v>60</v>
      </c>
      <c r="E71">
        <v>2</v>
      </c>
      <c r="F71">
        <v>1</v>
      </c>
      <c r="G71">
        <v>0</v>
      </c>
      <c r="H71">
        <f t="shared" si="2"/>
        <v>1</v>
      </c>
      <c r="I71">
        <v>-0.48506809019909292</v>
      </c>
      <c r="J71">
        <v>-1.2386763995052106</v>
      </c>
      <c r="K71" t="e">
        <v>#NUM!</v>
      </c>
      <c r="M71" t="e">
        <v>#NUM!</v>
      </c>
      <c r="O71" t="s">
        <v>1173</v>
      </c>
    </row>
    <row r="72" spans="1:15">
      <c r="A72" t="s">
        <v>324</v>
      </c>
      <c r="B72" t="s">
        <v>887</v>
      </c>
      <c r="C72" t="s">
        <v>1442</v>
      </c>
      <c r="D72">
        <v>125</v>
      </c>
      <c r="E72">
        <v>1</v>
      </c>
      <c r="F72">
        <v>1</v>
      </c>
      <c r="G72">
        <v>0</v>
      </c>
      <c r="H72">
        <f t="shared" si="2"/>
        <v>0.57735026918962584</v>
      </c>
      <c r="I72">
        <v>-1.1048568484874868</v>
      </c>
      <c r="J72">
        <v>-1.5574351621296234</v>
      </c>
      <c r="K72" t="e">
        <v>#NUM!</v>
      </c>
      <c r="M72" t="e">
        <v>#NUM!</v>
      </c>
      <c r="O72" t="s">
        <v>1442</v>
      </c>
    </row>
    <row r="73" spans="1:15">
      <c r="A73" t="s">
        <v>440</v>
      </c>
      <c r="B73" t="s">
        <v>1003</v>
      </c>
      <c r="C73" t="s">
        <v>1558</v>
      </c>
      <c r="D73">
        <v>892</v>
      </c>
      <c r="E73">
        <v>1</v>
      </c>
      <c r="F73">
        <v>1</v>
      </c>
      <c r="G73">
        <v>0</v>
      </c>
      <c r="H73">
        <f t="shared" si="2"/>
        <v>0.57735026918962584</v>
      </c>
      <c r="I73">
        <v>-1.9583116898555537</v>
      </c>
      <c r="J73">
        <v>-2.4108900034976903</v>
      </c>
      <c r="K73" t="e">
        <v>#NUM!</v>
      </c>
      <c r="M73" t="e">
        <v>#NUM!</v>
      </c>
      <c r="O73" t="s">
        <v>1558</v>
      </c>
    </row>
    <row r="74" spans="1:15">
      <c r="A74" t="s">
        <v>67</v>
      </c>
      <c r="B74" t="s">
        <v>630</v>
      </c>
      <c r="C74" t="s">
        <v>1185</v>
      </c>
      <c r="D74">
        <v>150</v>
      </c>
      <c r="E74">
        <v>0</v>
      </c>
      <c r="F74">
        <v>1</v>
      </c>
      <c r="G74">
        <v>0</v>
      </c>
      <c r="H74">
        <f t="shared" si="2"/>
        <v>0.57735026918962584</v>
      </c>
      <c r="I74" t="e">
        <v>#NUM!</v>
      </c>
      <c r="J74">
        <v>-1.6366164081772485</v>
      </c>
      <c r="K74" t="e">
        <v>#NUM!</v>
      </c>
      <c r="M74" t="e">
        <v>#NUM!</v>
      </c>
      <c r="O74" t="s">
        <v>1185</v>
      </c>
    </row>
    <row r="75" spans="1:15">
      <c r="A75" t="s">
        <v>314</v>
      </c>
      <c r="B75" t="s">
        <v>877</v>
      </c>
      <c r="C75" t="s">
        <v>1432</v>
      </c>
      <c r="D75">
        <v>189</v>
      </c>
      <c r="E75">
        <v>0</v>
      </c>
      <c r="F75">
        <v>1</v>
      </c>
      <c r="G75">
        <v>0</v>
      </c>
      <c r="H75">
        <f t="shared" si="2"/>
        <v>0.57735026918962584</v>
      </c>
      <c r="I75" t="e">
        <v>#NUM!</v>
      </c>
      <c r="J75">
        <v>-1.7369869532948115</v>
      </c>
      <c r="K75" t="e">
        <v>#NUM!</v>
      </c>
      <c r="M75" t="e">
        <v>#NUM!</v>
      </c>
      <c r="O75" t="s">
        <v>1432</v>
      </c>
    </row>
    <row r="76" spans="1:15">
      <c r="A76" t="s">
        <v>275</v>
      </c>
      <c r="B76" t="s">
        <v>838</v>
      </c>
      <c r="C76" t="s">
        <v>1393</v>
      </c>
      <c r="D76">
        <v>197</v>
      </c>
      <c r="E76">
        <v>0</v>
      </c>
      <c r="F76">
        <v>1</v>
      </c>
      <c r="G76">
        <v>0</v>
      </c>
      <c r="H76">
        <f t="shared" si="2"/>
        <v>0.57735026918962584</v>
      </c>
      <c r="I76" t="e">
        <v>#NUM!</v>
      </c>
      <c r="J76">
        <v>-1.7549913752831601</v>
      </c>
      <c r="K76" t="e">
        <v>#NUM!</v>
      </c>
      <c r="M76" t="e">
        <v>#NUM!</v>
      </c>
      <c r="O76" t="s">
        <v>1393</v>
      </c>
    </row>
    <row r="77" spans="1:15">
      <c r="A77" t="s">
        <v>319</v>
      </c>
      <c r="B77" t="s">
        <v>882</v>
      </c>
      <c r="C77" t="s">
        <v>1437</v>
      </c>
      <c r="D77">
        <v>346</v>
      </c>
      <c r="E77">
        <v>0</v>
      </c>
      <c r="F77">
        <v>1</v>
      </c>
      <c r="G77">
        <v>0</v>
      </c>
      <c r="H77">
        <f t="shared" si="2"/>
        <v>0.57735026918962584</v>
      </c>
      <c r="I77" t="e">
        <v>#NUM!</v>
      </c>
      <c r="J77">
        <v>-1.9996012479143439</v>
      </c>
      <c r="K77" t="e">
        <v>#NUM!</v>
      </c>
      <c r="M77" t="e">
        <v>#NUM!</v>
      </c>
      <c r="O77" t="s">
        <v>1437</v>
      </c>
    </row>
    <row r="78" spans="1:15">
      <c r="A78" t="s">
        <v>442</v>
      </c>
      <c r="B78" t="s">
        <v>1005</v>
      </c>
      <c r="C78" t="s">
        <v>1560</v>
      </c>
      <c r="D78">
        <v>307</v>
      </c>
      <c r="E78">
        <v>17</v>
      </c>
      <c r="F78">
        <v>0</v>
      </c>
      <c r="G78">
        <v>0</v>
      </c>
      <c r="H78">
        <f t="shared" si="2"/>
        <v>9.8149545762236379</v>
      </c>
      <c r="I78">
        <v>-0.26463628957834318</v>
      </c>
      <c r="J78" t="e">
        <v>#NUM!</v>
      </c>
      <c r="K78" t="e">
        <v>#NUM!</v>
      </c>
      <c r="M78" t="e">
        <v>#NUM!</v>
      </c>
      <c r="O78" t="s">
        <v>1560</v>
      </c>
    </row>
    <row r="79" spans="1:15">
      <c r="A79" t="s">
        <v>428</v>
      </c>
      <c r="B79" t="s">
        <v>991</v>
      </c>
      <c r="C79" t="s">
        <v>1546</v>
      </c>
      <c r="D79">
        <v>568</v>
      </c>
      <c r="E79">
        <v>5</v>
      </c>
      <c r="F79">
        <v>0</v>
      </c>
      <c r="G79">
        <v>0</v>
      </c>
      <c r="H79">
        <f t="shared" si="2"/>
        <v>2.8867513459481287</v>
      </c>
      <c r="I79">
        <v>-1.0633251668544306</v>
      </c>
      <c r="J79" t="e">
        <v>#NUM!</v>
      </c>
      <c r="K79" t="e">
        <v>#NUM!</v>
      </c>
      <c r="M79" t="e">
        <v>#NUM!</v>
      </c>
      <c r="O79" t="s">
        <v>1546</v>
      </c>
    </row>
    <row r="80" spans="1:15">
      <c r="A80" t="s">
        <v>441</v>
      </c>
      <c r="B80" t="s">
        <v>1004</v>
      </c>
      <c r="C80" t="s">
        <v>1559</v>
      </c>
      <c r="D80">
        <v>591</v>
      </c>
      <c r="E80">
        <v>5</v>
      </c>
      <c r="F80">
        <v>0</v>
      </c>
      <c r="G80">
        <v>0</v>
      </c>
      <c r="H80">
        <f t="shared" si="2"/>
        <v>2.8867513459481287</v>
      </c>
      <c r="I80">
        <v>-1.0805643120246673</v>
      </c>
      <c r="J80" t="e">
        <v>#NUM!</v>
      </c>
      <c r="K80" t="e">
        <v>#NUM!</v>
      </c>
      <c r="M80" t="e">
        <v>#NUM!</v>
      </c>
      <c r="O80" t="s">
        <v>1559</v>
      </c>
    </row>
    <row r="81" spans="1:15">
      <c r="A81" t="s">
        <v>492</v>
      </c>
      <c r="B81" t="s">
        <v>1055</v>
      </c>
      <c r="C81" t="s">
        <v>1610</v>
      </c>
      <c r="D81">
        <v>238</v>
      </c>
      <c r="E81">
        <v>4</v>
      </c>
      <c r="F81">
        <v>0</v>
      </c>
      <c r="G81">
        <v>0</v>
      </c>
      <c r="H81">
        <f t="shared" si="2"/>
        <v>2.3094010767585034</v>
      </c>
      <c r="I81">
        <v>-0.78246380120798009</v>
      </c>
      <c r="J81" t="e">
        <v>#NUM!</v>
      </c>
      <c r="K81" t="e">
        <v>#NUM!</v>
      </c>
      <c r="M81" t="e">
        <v>#NUM!</v>
      </c>
      <c r="O81" t="s">
        <v>1610</v>
      </c>
    </row>
    <row r="82" spans="1:15">
      <c r="A82" t="s">
        <v>427</v>
      </c>
      <c r="B82" t="s">
        <v>990</v>
      </c>
      <c r="C82" t="s">
        <v>1545</v>
      </c>
      <c r="D82">
        <v>298</v>
      </c>
      <c r="E82">
        <v>4</v>
      </c>
      <c r="F82">
        <v>0</v>
      </c>
      <c r="G82">
        <v>0</v>
      </c>
      <c r="H82">
        <f t="shared" si="2"/>
        <v>2.3094010767585034</v>
      </c>
      <c r="I82">
        <v>-0.88010310822772331</v>
      </c>
      <c r="J82" t="e">
        <v>#NUM!</v>
      </c>
      <c r="K82" t="e">
        <v>#NUM!</v>
      </c>
      <c r="M82" t="e">
        <v>#NUM!</v>
      </c>
      <c r="O82" t="s">
        <v>1545</v>
      </c>
    </row>
    <row r="83" spans="1:15">
      <c r="A83" t="s">
        <v>284</v>
      </c>
      <c r="B83" t="s">
        <v>847</v>
      </c>
      <c r="C83" t="s">
        <v>1402</v>
      </c>
      <c r="D83">
        <v>382</v>
      </c>
      <c r="E83">
        <v>4</v>
      </c>
      <c r="F83">
        <v>0</v>
      </c>
      <c r="G83">
        <v>0</v>
      </c>
      <c r="H83">
        <f t="shared" si="2"/>
        <v>2.3094010767585034</v>
      </c>
      <c r="I83">
        <v>-0.98795020706317693</v>
      </c>
      <c r="J83" t="e">
        <v>#NUM!</v>
      </c>
      <c r="K83" t="e">
        <v>#NUM!</v>
      </c>
      <c r="M83" t="e">
        <v>#NUM!</v>
      </c>
      <c r="O83" t="s">
        <v>1402</v>
      </c>
    </row>
    <row r="84" spans="1:15">
      <c r="A84" t="s">
        <v>56</v>
      </c>
      <c r="B84" t="s">
        <v>619</v>
      </c>
      <c r="C84" t="s">
        <v>1174</v>
      </c>
      <c r="D84">
        <v>72</v>
      </c>
      <c r="E84">
        <v>3</v>
      </c>
      <c r="F84">
        <v>0</v>
      </c>
      <c r="G84">
        <v>0</v>
      </c>
      <c r="H84">
        <f t="shared" si="2"/>
        <v>1.7320508075688772</v>
      </c>
      <c r="I84">
        <v>-0.38815807719103668</v>
      </c>
      <c r="J84" t="e">
        <v>#NUM!</v>
      </c>
      <c r="K84" t="e">
        <v>#NUM!</v>
      </c>
      <c r="M84" t="e">
        <v>#NUM!</v>
      </c>
      <c r="O84" t="s">
        <v>1174</v>
      </c>
    </row>
    <row r="85" spans="1:15">
      <c r="A85" t="s">
        <v>278</v>
      </c>
      <c r="B85" t="s">
        <v>841</v>
      </c>
      <c r="C85" t="s">
        <v>1396</v>
      </c>
      <c r="D85">
        <v>301</v>
      </c>
      <c r="E85">
        <v>3</v>
      </c>
      <c r="F85">
        <v>0</v>
      </c>
      <c r="G85">
        <v>0</v>
      </c>
      <c r="H85">
        <f t="shared" si="2"/>
        <v>1.7320508075688772</v>
      </c>
      <c r="I85">
        <v>-1.0093920763536115</v>
      </c>
      <c r="J85" t="e">
        <v>#NUM!</v>
      </c>
      <c r="K85" t="e">
        <v>#NUM!</v>
      </c>
      <c r="M85" t="e">
        <v>#NUM!</v>
      </c>
      <c r="O85" t="s">
        <v>1396</v>
      </c>
    </row>
    <row r="86" spans="1:15">
      <c r="A86" t="s">
        <v>523</v>
      </c>
      <c r="B86" t="s">
        <v>1086</v>
      </c>
      <c r="C86" t="s">
        <v>1641</v>
      </c>
      <c r="D86">
        <v>88</v>
      </c>
      <c r="E86">
        <v>2</v>
      </c>
      <c r="F86">
        <v>0</v>
      </c>
      <c r="G86">
        <v>0</v>
      </c>
      <c r="H86">
        <f t="shared" si="2"/>
        <v>1.1547005383792517</v>
      </c>
      <c r="I86">
        <v>-0.65139951196561796</v>
      </c>
      <c r="J86" t="e">
        <v>#NUM!</v>
      </c>
      <c r="K86" t="e">
        <v>#NUM!</v>
      </c>
      <c r="M86" t="e">
        <v>#NUM!</v>
      </c>
      <c r="O86" t="s">
        <v>1641</v>
      </c>
    </row>
    <row r="87" spans="1:15">
      <c r="A87" t="s">
        <v>413</v>
      </c>
      <c r="B87" t="s">
        <v>976</v>
      </c>
      <c r="C87" t="s">
        <v>1531</v>
      </c>
      <c r="D87">
        <v>529</v>
      </c>
      <c r="E87">
        <v>2</v>
      </c>
      <c r="F87">
        <v>0</v>
      </c>
      <c r="G87">
        <v>0</v>
      </c>
      <c r="H87">
        <f t="shared" si="2"/>
        <v>1.1547005383792517</v>
      </c>
      <c r="I87">
        <v>-1.430372511850635</v>
      </c>
      <c r="J87" t="e">
        <v>#NUM!</v>
      </c>
      <c r="K87" t="e">
        <v>#NUM!</v>
      </c>
      <c r="M87" t="e">
        <v>#NUM!</v>
      </c>
      <c r="O87" t="s">
        <v>1531</v>
      </c>
    </row>
    <row r="88" spans="1:15">
      <c r="A88" t="s">
        <v>535</v>
      </c>
      <c r="B88" t="s">
        <v>1098</v>
      </c>
      <c r="C88" t="s">
        <v>1653</v>
      </c>
      <c r="D88">
        <v>607</v>
      </c>
      <c r="E88">
        <v>2</v>
      </c>
      <c r="F88">
        <v>0</v>
      </c>
      <c r="G88">
        <v>0</v>
      </c>
      <c r="H88">
        <f t="shared" si="2"/>
        <v>1.1547005383792517</v>
      </c>
      <c r="I88">
        <v>-1.4901055308907067</v>
      </c>
      <c r="J88" t="e">
        <v>#NUM!</v>
      </c>
      <c r="K88" t="e">
        <v>#NUM!</v>
      </c>
      <c r="M88" t="e">
        <v>#NUM!</v>
      </c>
      <c r="O88" t="s">
        <v>1653</v>
      </c>
    </row>
    <row r="89" spans="1:15">
      <c r="A89" t="s">
        <v>271</v>
      </c>
      <c r="B89" t="s">
        <v>834</v>
      </c>
      <c r="C89" t="s">
        <v>1389</v>
      </c>
      <c r="D89">
        <v>79</v>
      </c>
      <c r="E89">
        <v>1</v>
      </c>
      <c r="F89">
        <v>0</v>
      </c>
      <c r="G89">
        <v>0</v>
      </c>
      <c r="H89">
        <f t="shared" si="2"/>
        <v>0.57735026918962584</v>
      </c>
      <c r="I89">
        <v>-0.90557392676987192</v>
      </c>
      <c r="J89" t="e">
        <v>#NUM!</v>
      </c>
      <c r="K89" t="e">
        <v>#NUM!</v>
      </c>
      <c r="M89" t="e">
        <v>#NUM!</v>
      </c>
      <c r="O89" t="s">
        <v>1389</v>
      </c>
    </row>
    <row r="90" spans="1:15">
      <c r="A90" t="s">
        <v>263</v>
      </c>
      <c r="B90" t="s">
        <v>826</v>
      </c>
      <c r="C90" t="s">
        <v>1381</v>
      </c>
      <c r="D90">
        <v>144</v>
      </c>
      <c r="E90">
        <v>1</v>
      </c>
      <c r="F90">
        <v>0</v>
      </c>
      <c r="G90">
        <v>0</v>
      </c>
      <c r="H90">
        <f t="shared" si="2"/>
        <v>0.57735026918962584</v>
      </c>
      <c r="I90">
        <v>-1.1663093275746803</v>
      </c>
      <c r="J90" t="e">
        <v>#NUM!</v>
      </c>
      <c r="K90" t="e">
        <v>#NUM!</v>
      </c>
      <c r="M90" t="e">
        <v>#NUM!</v>
      </c>
      <c r="O90" t="s">
        <v>1381</v>
      </c>
    </row>
    <row r="91" spans="1:15">
      <c r="A91" t="s">
        <v>337</v>
      </c>
      <c r="B91" t="s">
        <v>900</v>
      </c>
      <c r="C91" t="s">
        <v>1455</v>
      </c>
      <c r="D91">
        <v>165</v>
      </c>
      <c r="E91">
        <v>1</v>
      </c>
      <c r="F91">
        <v>0</v>
      </c>
      <c r="G91">
        <v>0</v>
      </c>
      <c r="H91">
        <f t="shared" si="2"/>
        <v>0.57735026918962584</v>
      </c>
      <c r="I91">
        <v>-1.2254307796933368</v>
      </c>
      <c r="J91" t="e">
        <v>#NUM!</v>
      </c>
      <c r="K91" t="e">
        <v>#NUM!</v>
      </c>
      <c r="M91" t="e">
        <v>#NUM!</v>
      </c>
      <c r="O91" t="s">
        <v>1455</v>
      </c>
    </row>
    <row r="92" spans="1:15">
      <c r="A92" t="s">
        <v>258</v>
      </c>
      <c r="B92" t="s">
        <v>821</v>
      </c>
      <c r="C92" t="s">
        <v>1376</v>
      </c>
      <c r="D92">
        <v>244</v>
      </c>
      <c r="E92">
        <v>1</v>
      </c>
      <c r="F92">
        <v>0</v>
      </c>
      <c r="G92">
        <v>0</v>
      </c>
      <c r="H92">
        <f t="shared" si="2"/>
        <v>0.57735026918962584</v>
      </c>
      <c r="I92">
        <v>-1.3953366618181597</v>
      </c>
      <c r="J92" t="e">
        <v>#NUM!</v>
      </c>
      <c r="K92" t="e">
        <v>#NUM!</v>
      </c>
      <c r="M92" t="e">
        <v>#NUM!</v>
      </c>
      <c r="O92" t="s">
        <v>1376</v>
      </c>
    </row>
    <row r="93" spans="1:15">
      <c r="A93" t="s">
        <v>527</v>
      </c>
      <c r="B93" t="s">
        <v>1090</v>
      </c>
      <c r="C93" t="s">
        <v>1645</v>
      </c>
      <c r="D93">
        <v>311</v>
      </c>
      <c r="E93">
        <v>1</v>
      </c>
      <c r="F93">
        <v>0</v>
      </c>
      <c r="G93">
        <v>0</v>
      </c>
      <c r="H93">
        <f t="shared" si="2"/>
        <v>0.57735026918962584</v>
      </c>
      <c r="I93">
        <v>-1.500707224506268</v>
      </c>
      <c r="J93" t="e">
        <v>#NUM!</v>
      </c>
      <c r="K93" t="e">
        <v>#NUM!</v>
      </c>
      <c r="M93" t="e">
        <v>#NUM!</v>
      </c>
      <c r="O93" t="s">
        <v>1645</v>
      </c>
    </row>
    <row r="94" spans="1:15">
      <c r="A94" t="s">
        <v>285</v>
      </c>
      <c r="B94" t="s">
        <v>848</v>
      </c>
      <c r="C94" t="s">
        <v>1403</v>
      </c>
      <c r="D94">
        <v>650</v>
      </c>
      <c r="E94">
        <v>1</v>
      </c>
      <c r="F94">
        <v>0</v>
      </c>
      <c r="G94">
        <v>0</v>
      </c>
      <c r="H94">
        <f t="shared" si="2"/>
        <v>0.57735026918962584</v>
      </c>
      <c r="I94">
        <v>-1.8208601921222862</v>
      </c>
      <c r="J94" t="e">
        <v>#NUM!</v>
      </c>
      <c r="K94" t="e">
        <v>#NUM!</v>
      </c>
      <c r="M94" t="e">
        <v>#NUM!</v>
      </c>
      <c r="O94" t="s">
        <v>1403</v>
      </c>
    </row>
    <row r="95" spans="1:15">
      <c r="A95" t="s">
        <v>252</v>
      </c>
      <c r="B95" t="s">
        <v>815</v>
      </c>
      <c r="C95" t="s">
        <v>1370</v>
      </c>
      <c r="D95">
        <v>26</v>
      </c>
      <c r="E95">
        <v>0</v>
      </c>
      <c r="F95">
        <v>0</v>
      </c>
      <c r="G95">
        <v>0</v>
      </c>
      <c r="H95">
        <f t="shared" si="2"/>
        <v>0</v>
      </c>
      <c r="I95" t="e">
        <v>#NUM!</v>
      </c>
      <c r="J95" t="e">
        <v>#NUM!</v>
      </c>
      <c r="K95" t="e">
        <v>#NUM!</v>
      </c>
      <c r="M95" t="e">
        <v>#NUM!</v>
      </c>
      <c r="O95" t="s">
        <v>1370</v>
      </c>
    </row>
    <row r="96" spans="1:15">
      <c r="A96" t="s">
        <v>253</v>
      </c>
      <c r="B96" t="s">
        <v>816</v>
      </c>
      <c r="C96" t="s">
        <v>1371</v>
      </c>
      <c r="D96">
        <v>92</v>
      </c>
      <c r="E96">
        <v>0</v>
      </c>
      <c r="F96">
        <v>0</v>
      </c>
      <c r="G96">
        <v>0</v>
      </c>
      <c r="H96">
        <f t="shared" si="2"/>
        <v>0</v>
      </c>
      <c r="I96" t="e">
        <v>#NUM!</v>
      </c>
      <c r="J96" t="e">
        <v>#NUM!</v>
      </c>
      <c r="K96" t="e">
        <v>#NUM!</v>
      </c>
      <c r="M96" t="e">
        <v>#NUM!</v>
      </c>
      <c r="O96" t="s">
        <v>1371</v>
      </c>
    </row>
    <row r="97" spans="1:15">
      <c r="A97" t="s">
        <v>256</v>
      </c>
      <c r="B97" t="s">
        <v>819</v>
      </c>
      <c r="C97" t="s">
        <v>1374</v>
      </c>
      <c r="D97">
        <v>178</v>
      </c>
      <c r="E97">
        <v>0</v>
      </c>
      <c r="F97">
        <v>0</v>
      </c>
      <c r="G97">
        <v>0</v>
      </c>
      <c r="H97">
        <f t="shared" ref="H97:H112" si="3">STDEV(E97:G97)</f>
        <v>0</v>
      </c>
      <c r="I97" t="e">
        <v>#NUM!</v>
      </c>
      <c r="J97" t="e">
        <v>#NUM!</v>
      </c>
      <c r="K97" t="e">
        <v>#NUM!</v>
      </c>
      <c r="M97" t="e">
        <v>#NUM!</v>
      </c>
      <c r="O97" t="s">
        <v>1374</v>
      </c>
    </row>
    <row r="98" spans="1:15">
      <c r="A98" t="s">
        <v>283</v>
      </c>
      <c r="B98" t="s">
        <v>846</v>
      </c>
      <c r="C98" t="s">
        <v>1401</v>
      </c>
      <c r="D98">
        <v>410</v>
      </c>
      <c r="E98">
        <v>0</v>
      </c>
      <c r="F98">
        <v>0</v>
      </c>
      <c r="G98">
        <v>0</v>
      </c>
      <c r="H98">
        <f t="shared" si="3"/>
        <v>0</v>
      </c>
      <c r="I98" t="e">
        <v>#NUM!</v>
      </c>
      <c r="J98" t="e">
        <v>#NUM!</v>
      </c>
      <c r="K98" t="e">
        <v>#NUM!</v>
      </c>
      <c r="M98" t="e">
        <v>#NUM!</v>
      </c>
      <c r="O98" t="s">
        <v>1401</v>
      </c>
    </row>
    <row r="99" spans="1:15">
      <c r="A99" t="s">
        <v>286</v>
      </c>
      <c r="B99" t="s">
        <v>849</v>
      </c>
      <c r="C99" t="s">
        <v>1404</v>
      </c>
      <c r="D99">
        <v>34</v>
      </c>
      <c r="E99">
        <v>0</v>
      </c>
      <c r="F99">
        <v>0</v>
      </c>
      <c r="G99">
        <v>0</v>
      </c>
      <c r="H99">
        <f t="shared" si="3"/>
        <v>0</v>
      </c>
      <c r="I99" t="e">
        <v>#NUM!</v>
      </c>
      <c r="J99" t="e">
        <v>#NUM!</v>
      </c>
      <c r="K99" t="e">
        <v>#NUM!</v>
      </c>
      <c r="M99" t="e">
        <v>#NUM!</v>
      </c>
      <c r="O99" t="s">
        <v>1404</v>
      </c>
    </row>
    <row r="100" spans="1:15">
      <c r="A100" t="s">
        <v>291</v>
      </c>
      <c r="B100" t="s">
        <v>854</v>
      </c>
      <c r="C100" t="s">
        <v>1409</v>
      </c>
      <c r="D100">
        <v>98</v>
      </c>
      <c r="E100">
        <v>0</v>
      </c>
      <c r="F100">
        <v>0</v>
      </c>
      <c r="G100">
        <v>0</v>
      </c>
      <c r="H100">
        <f t="shared" si="3"/>
        <v>0</v>
      </c>
      <c r="I100" t="e">
        <v>#NUM!</v>
      </c>
      <c r="J100" t="e">
        <v>#NUM!</v>
      </c>
      <c r="K100" t="e">
        <v>#NUM!</v>
      </c>
      <c r="M100" t="e">
        <v>#NUM!</v>
      </c>
      <c r="O100" t="s">
        <v>1409</v>
      </c>
    </row>
    <row r="101" spans="1:15">
      <c r="A101" t="s">
        <v>292</v>
      </c>
      <c r="B101" t="s">
        <v>855</v>
      </c>
      <c r="C101" t="s">
        <v>1410</v>
      </c>
      <c r="D101">
        <v>155</v>
      </c>
      <c r="E101">
        <v>0</v>
      </c>
      <c r="F101">
        <v>0</v>
      </c>
      <c r="G101">
        <v>0</v>
      </c>
      <c r="H101">
        <f t="shared" si="3"/>
        <v>0</v>
      </c>
      <c r="I101" t="e">
        <v>#NUM!</v>
      </c>
      <c r="J101" t="e">
        <v>#NUM!</v>
      </c>
      <c r="K101" t="e">
        <v>#NUM!</v>
      </c>
      <c r="M101" t="e">
        <v>#NUM!</v>
      </c>
      <c r="O101" t="s">
        <v>1410</v>
      </c>
    </row>
    <row r="102" spans="1:15">
      <c r="A102" t="s">
        <v>299</v>
      </c>
      <c r="B102" t="s">
        <v>862</v>
      </c>
      <c r="C102" t="s">
        <v>1417</v>
      </c>
      <c r="D102">
        <v>129</v>
      </c>
      <c r="E102">
        <v>0</v>
      </c>
      <c r="F102">
        <v>0</v>
      </c>
      <c r="G102">
        <v>0</v>
      </c>
      <c r="H102">
        <f t="shared" si="3"/>
        <v>0</v>
      </c>
      <c r="I102" t="e">
        <v>#NUM!</v>
      </c>
      <c r="J102" t="e">
        <v>#NUM!</v>
      </c>
      <c r="K102" t="e">
        <v>#NUM!</v>
      </c>
      <c r="M102" t="e">
        <v>#NUM!</v>
      </c>
      <c r="O102" t="s">
        <v>1417</v>
      </c>
    </row>
    <row r="103" spans="1:15">
      <c r="A103" t="s">
        <v>303</v>
      </c>
      <c r="B103" t="s">
        <v>866</v>
      </c>
      <c r="C103" t="s">
        <v>1421</v>
      </c>
      <c r="D103">
        <v>251</v>
      </c>
      <c r="E103">
        <v>0</v>
      </c>
      <c r="F103">
        <v>0</v>
      </c>
      <c r="G103">
        <v>0</v>
      </c>
      <c r="H103">
        <f t="shared" si="3"/>
        <v>0</v>
      </c>
      <c r="I103" t="e">
        <v>#NUM!</v>
      </c>
      <c r="J103" t="e">
        <v>#NUM!</v>
      </c>
      <c r="K103" t="e">
        <v>#NUM!</v>
      </c>
      <c r="M103" t="e">
        <v>#NUM!</v>
      </c>
      <c r="O103" t="s">
        <v>1421</v>
      </c>
    </row>
    <row r="104" spans="1:15">
      <c r="A104" t="s">
        <v>305</v>
      </c>
      <c r="B104" t="s">
        <v>868</v>
      </c>
      <c r="C104" t="s">
        <v>1423</v>
      </c>
      <c r="D104">
        <v>266</v>
      </c>
      <c r="E104">
        <v>0</v>
      </c>
      <c r="F104">
        <v>0</v>
      </c>
      <c r="G104">
        <v>0</v>
      </c>
      <c r="H104">
        <f t="shared" si="3"/>
        <v>0</v>
      </c>
      <c r="I104" t="e">
        <v>#NUM!</v>
      </c>
      <c r="J104" t="e">
        <v>#NUM!</v>
      </c>
      <c r="K104" t="e">
        <v>#NUM!</v>
      </c>
      <c r="M104" t="e">
        <v>#NUM!</v>
      </c>
      <c r="O104" t="s">
        <v>1423</v>
      </c>
    </row>
    <row r="105" spans="1:15">
      <c r="A105" t="s">
        <v>307</v>
      </c>
      <c r="B105" t="s">
        <v>870</v>
      </c>
      <c r="C105" t="s">
        <v>1425</v>
      </c>
      <c r="D105">
        <v>159</v>
      </c>
      <c r="E105">
        <v>0</v>
      </c>
      <c r="F105">
        <v>0</v>
      </c>
      <c r="G105">
        <v>0</v>
      </c>
      <c r="H105">
        <f t="shared" si="3"/>
        <v>0</v>
      </c>
      <c r="I105" t="e">
        <v>#NUM!</v>
      </c>
      <c r="J105" t="e">
        <v>#NUM!</v>
      </c>
      <c r="K105" t="e">
        <v>#NUM!</v>
      </c>
      <c r="M105" t="e">
        <v>#NUM!</v>
      </c>
      <c r="O105" t="s">
        <v>1425</v>
      </c>
    </row>
    <row r="106" spans="1:15">
      <c r="A106" t="s">
        <v>326</v>
      </c>
      <c r="B106" t="s">
        <v>889</v>
      </c>
      <c r="C106" t="s">
        <v>1444</v>
      </c>
      <c r="D106">
        <v>125</v>
      </c>
      <c r="E106">
        <v>0</v>
      </c>
      <c r="F106">
        <v>0</v>
      </c>
      <c r="G106">
        <v>0</v>
      </c>
      <c r="H106">
        <f t="shared" si="3"/>
        <v>0</v>
      </c>
      <c r="I106" t="e">
        <v>#NUM!</v>
      </c>
      <c r="J106" t="e">
        <v>#NUM!</v>
      </c>
      <c r="K106" t="e">
        <v>#NUM!</v>
      </c>
      <c r="M106" t="e">
        <v>#NUM!</v>
      </c>
      <c r="O106" t="s">
        <v>1444</v>
      </c>
    </row>
    <row r="107" spans="1:15">
      <c r="A107" t="s">
        <v>339</v>
      </c>
      <c r="B107" t="s">
        <v>902</v>
      </c>
      <c r="C107" t="s">
        <v>1457</v>
      </c>
      <c r="D107">
        <v>208</v>
      </c>
      <c r="E107">
        <v>0</v>
      </c>
      <c r="F107">
        <v>0</v>
      </c>
      <c r="G107">
        <v>0</v>
      </c>
      <c r="H107">
        <f t="shared" si="3"/>
        <v>0</v>
      </c>
      <c r="I107" t="e">
        <v>#NUM!</v>
      </c>
      <c r="J107" t="e">
        <v>#NUM!</v>
      </c>
      <c r="K107" t="e">
        <v>#NUM!</v>
      </c>
      <c r="M107" t="e">
        <v>#NUM!</v>
      </c>
      <c r="O107" t="s">
        <v>1457</v>
      </c>
    </row>
    <row r="108" spans="1:15">
      <c r="A108" t="s">
        <v>340</v>
      </c>
      <c r="B108" t="s">
        <v>903</v>
      </c>
      <c r="C108" t="s">
        <v>1458</v>
      </c>
      <c r="D108">
        <v>305</v>
      </c>
      <c r="E108">
        <v>0</v>
      </c>
      <c r="F108">
        <v>0</v>
      </c>
      <c r="G108">
        <v>0</v>
      </c>
      <c r="H108">
        <f t="shared" si="3"/>
        <v>0</v>
      </c>
      <c r="I108" t="e">
        <v>#NUM!</v>
      </c>
      <c r="J108" t="e">
        <v>#NUM!</v>
      </c>
      <c r="K108" t="e">
        <v>#NUM!</v>
      </c>
      <c r="M108" t="e">
        <v>#NUM!</v>
      </c>
      <c r="O108" t="s">
        <v>1458</v>
      </c>
    </row>
    <row r="109" spans="1:15">
      <c r="A109" t="s">
        <v>425</v>
      </c>
      <c r="B109" t="s">
        <v>988</v>
      </c>
      <c r="C109" t="s">
        <v>1543</v>
      </c>
      <c r="D109">
        <v>259</v>
      </c>
      <c r="E109">
        <v>0</v>
      </c>
      <c r="F109">
        <v>0</v>
      </c>
      <c r="G109">
        <v>0</v>
      </c>
      <c r="H109">
        <f t="shared" si="3"/>
        <v>0</v>
      </c>
      <c r="I109" t="e">
        <v>#NUM!</v>
      </c>
      <c r="J109" t="e">
        <v>#NUM!</v>
      </c>
      <c r="K109" t="e">
        <v>#NUM!</v>
      </c>
      <c r="M109" t="e">
        <v>#NUM!</v>
      </c>
      <c r="O109" t="s">
        <v>1543</v>
      </c>
    </row>
    <row r="110" spans="1:15">
      <c r="A110" t="s">
        <v>447</v>
      </c>
      <c r="B110" t="s">
        <v>1010</v>
      </c>
      <c r="C110" t="s">
        <v>1565</v>
      </c>
      <c r="D110">
        <v>178</v>
      </c>
      <c r="E110">
        <v>0</v>
      </c>
      <c r="F110">
        <v>0</v>
      </c>
      <c r="G110">
        <v>0</v>
      </c>
      <c r="H110">
        <f t="shared" si="3"/>
        <v>0</v>
      </c>
      <c r="I110" t="e">
        <v>#NUM!</v>
      </c>
      <c r="J110" t="e">
        <v>#NUM!</v>
      </c>
      <c r="K110" t="e">
        <v>#NUM!</v>
      </c>
      <c r="M110" t="e">
        <v>#NUM!</v>
      </c>
      <c r="O110" t="s">
        <v>1565</v>
      </c>
    </row>
    <row r="111" spans="1:15">
      <c r="A111" t="s">
        <v>530</v>
      </c>
      <c r="B111" t="s">
        <v>1093</v>
      </c>
      <c r="C111" t="s">
        <v>1648</v>
      </c>
      <c r="D111">
        <v>68</v>
      </c>
      <c r="E111">
        <v>0</v>
      </c>
      <c r="F111">
        <v>0</v>
      </c>
      <c r="G111">
        <v>0</v>
      </c>
      <c r="H111">
        <f t="shared" si="3"/>
        <v>0</v>
      </c>
      <c r="I111" t="e">
        <v>#NUM!</v>
      </c>
      <c r="J111" t="e">
        <v>#NUM!</v>
      </c>
      <c r="K111" t="e">
        <v>#NUM!</v>
      </c>
      <c r="M111" t="e">
        <v>#NUM!</v>
      </c>
      <c r="O111" t="s">
        <v>1648</v>
      </c>
    </row>
    <row r="112" spans="1:15">
      <c r="A112" t="s">
        <v>533</v>
      </c>
      <c r="B112" t="s">
        <v>1096</v>
      </c>
      <c r="C112" t="s">
        <v>1651</v>
      </c>
      <c r="D112">
        <v>456</v>
      </c>
      <c r="E112">
        <v>0</v>
      </c>
      <c r="F112">
        <v>0</v>
      </c>
      <c r="G112">
        <v>0</v>
      </c>
      <c r="H112">
        <f t="shared" si="3"/>
        <v>0</v>
      </c>
      <c r="I112" t="e">
        <v>#NUM!</v>
      </c>
      <c r="J112" t="e">
        <v>#NUM!</v>
      </c>
      <c r="K112" t="e">
        <v>#NUM!</v>
      </c>
      <c r="M112" t="e">
        <v>#NUM!</v>
      </c>
      <c r="O112" t="s">
        <v>1651</v>
      </c>
    </row>
    <row r="113" spans="1:15">
      <c r="A113" t="s">
        <v>1116</v>
      </c>
      <c r="B113" t="s">
        <v>1117</v>
      </c>
      <c r="D113" t="s">
        <v>553</v>
      </c>
      <c r="E113" t="s">
        <v>554</v>
      </c>
      <c r="F113" t="s">
        <v>555</v>
      </c>
      <c r="G113" t="s">
        <v>556</v>
      </c>
      <c r="H113" t="s">
        <v>1684</v>
      </c>
      <c r="I113" t="s">
        <v>558</v>
      </c>
      <c r="J113" t="s">
        <v>559</v>
      </c>
      <c r="K113" t="s">
        <v>560</v>
      </c>
      <c r="M113" t="s">
        <v>561</v>
      </c>
    </row>
    <row r="114" spans="1:15">
      <c r="A114" t="s">
        <v>120</v>
      </c>
      <c r="B114" t="s">
        <v>683</v>
      </c>
      <c r="C114" t="s">
        <v>1238</v>
      </c>
      <c r="D114">
        <v>467</v>
      </c>
      <c r="E114">
        <v>954</v>
      </c>
      <c r="F114">
        <v>2927</v>
      </c>
      <c r="G114">
        <v>899</v>
      </c>
      <c r="H114">
        <f t="shared" ref="H114:H177" si="4">STDEV(E114:G114)</f>
        <v>1155.31655113797</v>
      </c>
      <c r="I114" s="8">
        <v>1.3022846586585524</v>
      </c>
      <c r="J114" s="8">
        <v>1.3365806927461126</v>
      </c>
      <c r="K114" s="8">
        <v>1.233371306252272</v>
      </c>
      <c r="M114">
        <v>1.2907455525523124</v>
      </c>
      <c r="O114" t="s">
        <v>1238</v>
      </c>
    </row>
    <row r="115" spans="1:15">
      <c r="A115" t="s">
        <v>18</v>
      </c>
      <c r="B115" t="s">
        <v>581</v>
      </c>
      <c r="C115" t="s">
        <v>1136</v>
      </c>
      <c r="D115">
        <v>565</v>
      </c>
      <c r="E115">
        <v>5362</v>
      </c>
      <c r="F115">
        <v>6639</v>
      </c>
      <c r="G115">
        <v>35</v>
      </c>
      <c r="H115">
        <f t="shared" si="4"/>
        <v>3502.8672541219717</v>
      </c>
      <c r="I115">
        <v>1.9693315263479918</v>
      </c>
      <c r="J115">
        <v>1.6095290717059147</v>
      </c>
      <c r="K115">
        <v>-0.25905190838400749</v>
      </c>
      <c r="M115">
        <v>1.106602896556633</v>
      </c>
      <c r="O115" t="s">
        <v>1136</v>
      </c>
    </row>
    <row r="116" spans="1:15">
      <c r="A116" t="s">
        <v>249</v>
      </c>
      <c r="B116" t="s">
        <v>812</v>
      </c>
      <c r="C116" t="s">
        <v>1367</v>
      </c>
      <c r="D116">
        <v>328</v>
      </c>
      <c r="E116">
        <v>4879</v>
      </c>
      <c r="F116">
        <v>24</v>
      </c>
      <c r="G116">
        <v>1436</v>
      </c>
      <c r="H116">
        <f t="shared" si="4"/>
        <v>2497.2991410722107</v>
      </c>
      <c r="I116">
        <v>2.1645101389211567</v>
      </c>
      <c r="J116">
        <v>-0.59618775112164013</v>
      </c>
      <c r="K116">
        <v>1.5902090912797577</v>
      </c>
      <c r="M116">
        <v>1.0528438263597582</v>
      </c>
      <c r="O116" t="s">
        <v>1367</v>
      </c>
    </row>
    <row r="117" spans="1:15">
      <c r="A117" t="s">
        <v>113</v>
      </c>
      <c r="B117" t="s">
        <v>676</v>
      </c>
      <c r="C117" t="s">
        <v>1231</v>
      </c>
      <c r="D117">
        <v>297</v>
      </c>
      <c r="E117">
        <v>933</v>
      </c>
      <c r="F117">
        <v>4117</v>
      </c>
      <c r="G117">
        <v>29</v>
      </c>
      <c r="H117">
        <f t="shared" si="4"/>
        <v>2147.3555830369596</v>
      </c>
      <c r="I117">
        <v>1.4891783589498571</v>
      </c>
      <c r="J117">
        <v>1.6812992685587065</v>
      </c>
      <c r="K117">
        <v>-6.1429956333100888E-2</v>
      </c>
      <c r="M117">
        <v>1.0363492237251541</v>
      </c>
      <c r="O117" t="s">
        <v>1231</v>
      </c>
    </row>
    <row r="118" spans="1:15">
      <c r="A118" t="s">
        <v>209</v>
      </c>
      <c r="B118" t="s">
        <v>772</v>
      </c>
      <c r="C118" t="s">
        <v>1327</v>
      </c>
      <c r="D118">
        <v>746</v>
      </c>
      <c r="E118">
        <v>779</v>
      </c>
      <c r="F118">
        <v>5501</v>
      </c>
      <c r="G118">
        <v>340</v>
      </c>
      <c r="H118">
        <f t="shared" si="4"/>
        <v>2861.4077537696953</v>
      </c>
      <c r="I118" s="8">
        <v>1.0108517947204652</v>
      </c>
      <c r="J118" s="8">
        <v>1.4071776683555302</v>
      </c>
      <c r="K118" s="8">
        <v>0.60766858465474161</v>
      </c>
      <c r="M118">
        <v>1.0085660159102456</v>
      </c>
      <c r="O118" t="s">
        <v>1327</v>
      </c>
    </row>
    <row r="119" spans="1:15">
      <c r="A119" t="s">
        <v>76</v>
      </c>
      <c r="B119" t="s">
        <v>639</v>
      </c>
      <c r="C119" t="s">
        <v>1194</v>
      </c>
      <c r="D119">
        <v>1017</v>
      </c>
      <c r="E119">
        <v>81</v>
      </c>
      <c r="F119">
        <v>287311</v>
      </c>
      <c r="G119">
        <v>99</v>
      </c>
      <c r="H119">
        <f t="shared" si="4"/>
        <v>165827.12191114377</v>
      </c>
      <c r="I119">
        <v>-0.1067827695235255</v>
      </c>
      <c r="J119">
        <v>2.9905061516811857</v>
      </c>
      <c r="K119">
        <v>-6.2757263240039274E-2</v>
      </c>
      <c r="M119">
        <v>0.94032203963920702</v>
      </c>
      <c r="O119" t="s">
        <v>1194</v>
      </c>
    </row>
    <row r="120" spans="1:15">
      <c r="A120" t="s">
        <v>181</v>
      </c>
      <c r="B120" t="s">
        <v>744</v>
      </c>
      <c r="C120" t="s">
        <v>1299</v>
      </c>
      <c r="D120">
        <v>310</v>
      </c>
      <c r="E120">
        <v>1460</v>
      </c>
      <c r="F120">
        <v>1569</v>
      </c>
      <c r="G120">
        <v>26</v>
      </c>
      <c r="H120">
        <f t="shared" si="4"/>
        <v>861.11226523220148</v>
      </c>
      <c r="I120">
        <v>1.665044326470734</v>
      </c>
      <c r="J120">
        <v>1.243736100631097</v>
      </c>
      <c r="K120">
        <v>-0.12745985077829936</v>
      </c>
      <c r="M120">
        <v>0.92710685877451049</v>
      </c>
      <c r="O120" t="s">
        <v>1299</v>
      </c>
    </row>
    <row r="121" spans="1:15">
      <c r="A121" t="s">
        <v>78</v>
      </c>
      <c r="B121" t="s">
        <v>641</v>
      </c>
      <c r="C121" t="s">
        <v>1196</v>
      </c>
      <c r="D121">
        <v>938</v>
      </c>
      <c r="E121">
        <v>7151</v>
      </c>
      <c r="F121">
        <v>6505</v>
      </c>
      <c r="G121">
        <v>33</v>
      </c>
      <c r="H121">
        <f t="shared" si="4"/>
        <v>3936.3693932353453</v>
      </c>
      <c r="I121">
        <v>1.8742171041823745</v>
      </c>
      <c r="J121">
        <v>1.3805193133969735</v>
      </c>
      <c r="K121">
        <v>-0.5047604034160218</v>
      </c>
      <c r="M121">
        <v>0.91665867138777557</v>
      </c>
      <c r="O121" t="s">
        <v>1196</v>
      </c>
    </row>
    <row r="122" spans="1:15">
      <c r="A122" t="s">
        <v>241</v>
      </c>
      <c r="B122" t="s">
        <v>804</v>
      </c>
      <c r="C122" t="s">
        <v>1359</v>
      </c>
      <c r="D122">
        <v>1297</v>
      </c>
      <c r="E122">
        <v>51</v>
      </c>
      <c r="F122">
        <v>197</v>
      </c>
      <c r="G122">
        <v>373523</v>
      </c>
      <c r="H122">
        <f t="shared" si="4"/>
        <v>215582.02552470216</v>
      </c>
      <c r="I122">
        <v>-0.41331663546557418</v>
      </c>
      <c r="J122">
        <v>-0.27899889904405417</v>
      </c>
      <c r="K122">
        <v>3.4083058680321283</v>
      </c>
      <c r="M122">
        <v>0.90533011117416662</v>
      </c>
      <c r="O122" t="s">
        <v>1359</v>
      </c>
    </row>
    <row r="123" spans="1:15">
      <c r="A123" t="s">
        <v>468</v>
      </c>
      <c r="B123" t="s">
        <v>1031</v>
      </c>
      <c r="C123" t="s">
        <v>1586</v>
      </c>
      <c r="D123">
        <v>910</v>
      </c>
      <c r="E123">
        <v>6144</v>
      </c>
      <c r="F123">
        <v>28</v>
      </c>
      <c r="G123">
        <v>7087</v>
      </c>
      <c r="H123">
        <f t="shared" si="4"/>
        <v>3832.4097293130508</v>
      </c>
      <c r="I123">
        <v>1.8214629792229315</v>
      </c>
      <c r="J123">
        <v>-0.97240851010044149</v>
      </c>
      <c r="K123">
        <v>1.8403495355255783</v>
      </c>
      <c r="M123">
        <v>0.89646800154935613</v>
      </c>
      <c r="O123" t="s">
        <v>1586</v>
      </c>
    </row>
    <row r="124" spans="1:15">
      <c r="A124" t="s">
        <v>144</v>
      </c>
      <c r="B124" t="s">
        <v>707</v>
      </c>
      <c r="C124" t="s">
        <v>1262</v>
      </c>
      <c r="D124">
        <v>1437</v>
      </c>
      <c r="E124">
        <v>1014</v>
      </c>
      <c r="F124">
        <v>9416</v>
      </c>
      <c r="G124">
        <v>502</v>
      </c>
      <c r="H124">
        <f t="shared" si="4"/>
        <v>5005.2496441236572</v>
      </c>
      <c r="I124" s="8">
        <v>0.84063435138366094</v>
      </c>
      <c r="J124" s="8">
        <v>1.3558845325795854</v>
      </c>
      <c r="K124" s="8">
        <v>0.49217544409594899</v>
      </c>
      <c r="M124">
        <v>0.89623144268639843</v>
      </c>
      <c r="O124" t="s">
        <v>1262</v>
      </c>
    </row>
    <row r="125" spans="1:15">
      <c r="A125" t="s">
        <v>477</v>
      </c>
      <c r="B125" t="s">
        <v>1040</v>
      </c>
      <c r="C125" t="s">
        <v>1595</v>
      </c>
      <c r="D125">
        <v>294</v>
      </c>
      <c r="E125">
        <v>558</v>
      </c>
      <c r="F125">
        <v>918</v>
      </c>
      <c r="G125">
        <v>63</v>
      </c>
      <c r="H125">
        <f t="shared" si="4"/>
        <v>429.27264063762556</v>
      </c>
      <c r="I125">
        <v>1.2703400330459909</v>
      </c>
      <c r="J125">
        <v>1.0339702016675181</v>
      </c>
      <c r="K125">
        <v>0.27992171412657973</v>
      </c>
      <c r="M125">
        <v>0.861410649613363</v>
      </c>
      <c r="O125" t="s">
        <v>1595</v>
      </c>
    </row>
    <row r="126" spans="1:15">
      <c r="A126" t="s">
        <v>77</v>
      </c>
      <c r="B126" t="s">
        <v>640</v>
      </c>
      <c r="C126" t="s">
        <v>1195</v>
      </c>
      <c r="D126">
        <v>460</v>
      </c>
      <c r="E126">
        <v>71437</v>
      </c>
      <c r="F126">
        <v>51</v>
      </c>
      <c r="G126">
        <v>32</v>
      </c>
      <c r="H126">
        <f t="shared" si="4"/>
        <v>41220.21223865787</v>
      </c>
      <c r="I126">
        <v>3.1832185408863016</v>
      </c>
      <c r="J126">
        <v>-0.41571280470520477</v>
      </c>
      <c r="K126">
        <v>-0.20867935827651274</v>
      </c>
      <c r="M126">
        <v>0.85294212596819463</v>
      </c>
      <c r="O126" t="s">
        <v>1195</v>
      </c>
    </row>
    <row r="127" spans="1:15">
      <c r="A127" t="s">
        <v>502</v>
      </c>
      <c r="B127" t="s">
        <v>1065</v>
      </c>
      <c r="C127" t="s">
        <v>1620</v>
      </c>
      <c r="D127">
        <v>450</v>
      </c>
      <c r="E127">
        <v>12326</v>
      </c>
      <c r="F127">
        <v>19</v>
      </c>
      <c r="G127">
        <v>408</v>
      </c>
      <c r="H127">
        <f t="shared" si="4"/>
        <v>6995.8594182559154</v>
      </c>
      <c r="I127">
        <v>2.4296628141398822</v>
      </c>
      <c r="J127">
        <v>-0.8349840619440817</v>
      </c>
      <c r="K127">
        <v>0.90637614439969161</v>
      </c>
      <c r="M127">
        <v>0.83368496553183069</v>
      </c>
      <c r="O127" t="s">
        <v>1620</v>
      </c>
    </row>
    <row r="128" spans="1:15">
      <c r="A128" t="s">
        <v>150</v>
      </c>
      <c r="B128" t="s">
        <v>713</v>
      </c>
      <c r="C128" t="s">
        <v>1268</v>
      </c>
      <c r="D128">
        <v>1085</v>
      </c>
      <c r="E128">
        <v>3464</v>
      </c>
      <c r="F128">
        <v>3344</v>
      </c>
      <c r="G128">
        <v>100</v>
      </c>
      <c r="H128">
        <f t="shared" si="4"/>
        <v>1908.5086673456144</v>
      </c>
      <c r="I128">
        <v>1.49620130968133</v>
      </c>
      <c r="J128">
        <v>1.0283113814608633</v>
      </c>
      <c r="K128">
        <v>-8.6501243099392999E-2</v>
      </c>
      <c r="M128">
        <v>0.81267048268093356</v>
      </c>
      <c r="O128" t="s">
        <v>1268</v>
      </c>
    </row>
    <row r="129" spans="1:15">
      <c r="A129" t="s">
        <v>312</v>
      </c>
      <c r="B129" t="s">
        <v>875</v>
      </c>
      <c r="C129" t="s">
        <v>1430</v>
      </c>
      <c r="D129">
        <v>368</v>
      </c>
      <c r="E129">
        <v>153</v>
      </c>
      <c r="F129">
        <v>642</v>
      </c>
      <c r="G129">
        <v>434</v>
      </c>
      <c r="H129">
        <f t="shared" si="4"/>
        <v>245.40646554916466</v>
      </c>
      <c r="I129" s="8">
        <v>0.6108967766646507</v>
      </c>
      <c r="J129" s="8">
        <v>0.78116206027376855</v>
      </c>
      <c r="K129" s="8">
        <v>1.0205704059241483</v>
      </c>
      <c r="M129">
        <v>0.80420974762085573</v>
      </c>
      <c r="O129" t="s">
        <v>1430</v>
      </c>
    </row>
    <row r="130" spans="1:15">
      <c r="A130" t="s">
        <v>467</v>
      </c>
      <c r="B130" t="s">
        <v>1030</v>
      </c>
      <c r="C130" t="s">
        <v>1585</v>
      </c>
      <c r="D130">
        <v>788</v>
      </c>
      <c r="E130">
        <v>290</v>
      </c>
      <c r="F130">
        <v>7193</v>
      </c>
      <c r="G130">
        <v>124</v>
      </c>
      <c r="H130">
        <f t="shared" si="4"/>
        <v>4034.2228908841084</v>
      </c>
      <c r="I130" s="8">
        <v>0.55792494492997025</v>
      </c>
      <c r="J130" s="8">
        <v>1.4998586936896638</v>
      </c>
      <c r="K130" s="8">
        <v>0.14582396275783505</v>
      </c>
      <c r="M130">
        <v>0.73453586712582319</v>
      </c>
      <c r="O130" t="s">
        <v>1585</v>
      </c>
    </row>
    <row r="131" spans="1:15">
      <c r="A131" t="s">
        <v>183</v>
      </c>
      <c r="B131" t="s">
        <v>746</v>
      </c>
      <c r="C131" t="s">
        <v>1301</v>
      </c>
      <c r="D131">
        <v>581</v>
      </c>
      <c r="E131">
        <v>212</v>
      </c>
      <c r="F131">
        <v>236</v>
      </c>
      <c r="G131">
        <v>1653</v>
      </c>
      <c r="H131">
        <f t="shared" si="4"/>
        <v>825.12079923689555</v>
      </c>
      <c r="I131" s="8">
        <v>0.55421289305899024</v>
      </c>
      <c r="J131" s="8">
        <v>0.14821072145820879</v>
      </c>
      <c r="K131" s="8">
        <v>1.403025216266272</v>
      </c>
      <c r="M131">
        <v>0.70181627692782367</v>
      </c>
      <c r="O131" t="s">
        <v>1301</v>
      </c>
    </row>
    <row r="132" spans="1:15">
      <c r="A132" t="s">
        <v>509</v>
      </c>
      <c r="B132" t="s">
        <v>1072</v>
      </c>
      <c r="C132" t="s">
        <v>1627</v>
      </c>
      <c r="D132">
        <v>868</v>
      </c>
      <c r="E132">
        <v>2769</v>
      </c>
      <c r="F132">
        <v>82</v>
      </c>
      <c r="G132">
        <v>1202</v>
      </c>
      <c r="H132">
        <f t="shared" si="4"/>
        <v>1349.682555269942</v>
      </c>
      <c r="I132">
        <v>1.495856395089652</v>
      </c>
      <c r="J132">
        <v>-0.4852310219143422</v>
      </c>
      <c r="K132">
        <v>1.0903132375753841</v>
      </c>
      <c r="M132">
        <v>0.70031287025023126</v>
      </c>
      <c r="O132" t="s">
        <v>1627</v>
      </c>
    </row>
    <row r="133" spans="1:15">
      <c r="A133" t="s">
        <v>345</v>
      </c>
      <c r="B133" t="s">
        <v>908</v>
      </c>
      <c r="C133" t="s">
        <v>1463</v>
      </c>
      <c r="D133">
        <v>1360</v>
      </c>
      <c r="E133">
        <v>319</v>
      </c>
      <c r="F133">
        <v>6899</v>
      </c>
      <c r="G133">
        <v>462</v>
      </c>
      <c r="H133">
        <f t="shared" si="4"/>
        <v>3758.3644048974284</v>
      </c>
      <c r="I133" s="8">
        <v>0.36230493920753304</v>
      </c>
      <c r="J133" s="8">
        <v>1.2447220874548099</v>
      </c>
      <c r="K133" s="8">
        <v>0.48003156227106331</v>
      </c>
      <c r="M133">
        <v>0.69568619631113549</v>
      </c>
      <c r="O133" t="s">
        <v>1463</v>
      </c>
    </row>
    <row r="134" spans="1:15">
      <c r="A134" t="s">
        <v>137</v>
      </c>
      <c r="B134" t="s">
        <v>700</v>
      </c>
      <c r="C134" t="s">
        <v>1255</v>
      </c>
      <c r="D134">
        <v>673</v>
      </c>
      <c r="E134">
        <v>3423</v>
      </c>
      <c r="F134">
        <v>139</v>
      </c>
      <c r="G134">
        <v>236</v>
      </c>
      <c r="H134">
        <f t="shared" si="4"/>
        <v>1868.6463014706662</v>
      </c>
      <c r="I134">
        <v>1.6984449994344697</v>
      </c>
      <c r="J134">
        <v>-0.14552541309144884</v>
      </c>
      <c r="K134">
        <v>0.49382543383128502</v>
      </c>
      <c r="M134">
        <v>0.68224834005810198</v>
      </c>
      <c r="O134" t="s">
        <v>1255</v>
      </c>
    </row>
    <row r="135" spans="1:15">
      <c r="A135" t="s">
        <v>132</v>
      </c>
      <c r="B135" t="s">
        <v>695</v>
      </c>
      <c r="C135" t="s">
        <v>1250</v>
      </c>
      <c r="D135">
        <v>649</v>
      </c>
      <c r="E135">
        <v>60498</v>
      </c>
      <c r="F135">
        <v>28</v>
      </c>
      <c r="G135">
        <v>59</v>
      </c>
      <c r="H135">
        <f t="shared" si="4"/>
        <v>34903.425290363695</v>
      </c>
      <c r="I135">
        <v>2.9615494852929838</v>
      </c>
      <c r="J135">
        <v>-0.825611814579717</v>
      </c>
      <c r="K135">
        <v>-9.2464190073069608E-2</v>
      </c>
      <c r="M135">
        <v>0.68115782688006588</v>
      </c>
      <c r="O135" t="s">
        <v>1250</v>
      </c>
    </row>
    <row r="136" spans="1:15">
      <c r="A136" t="s">
        <v>431</v>
      </c>
      <c r="B136" t="s">
        <v>994</v>
      </c>
      <c r="C136" t="s">
        <v>1549</v>
      </c>
      <c r="D136">
        <v>809</v>
      </c>
      <c r="E136">
        <v>1523</v>
      </c>
      <c r="F136">
        <v>21</v>
      </c>
      <c r="G136">
        <v>5691</v>
      </c>
      <c r="H136">
        <f t="shared" si="4"/>
        <v>2937.604693169817</v>
      </c>
      <c r="I136">
        <v>1.2668045462443398</v>
      </c>
      <c r="J136">
        <v>-1.0462543759999203</v>
      </c>
      <c r="K136">
        <v>1.796168559081208</v>
      </c>
      <c r="M136">
        <v>0.67223957644187582</v>
      </c>
      <c r="O136" t="s">
        <v>1549</v>
      </c>
    </row>
    <row r="137" spans="1:15">
      <c r="A137" t="s">
        <v>343</v>
      </c>
      <c r="B137" t="s">
        <v>906</v>
      </c>
      <c r="C137" t="s">
        <v>1461</v>
      </c>
      <c r="D137">
        <v>894</v>
      </c>
      <c r="E137">
        <v>6468</v>
      </c>
      <c r="F137">
        <v>455</v>
      </c>
      <c r="G137">
        <v>81</v>
      </c>
      <c r="H137">
        <f t="shared" si="4"/>
        <v>3584.4528638738343</v>
      </c>
      <c r="I137">
        <v>1.8514856569590155</v>
      </c>
      <c r="J137">
        <v>0.24614872873962768</v>
      </c>
      <c r="K137">
        <v>-9.3924004832112606E-2</v>
      </c>
      <c r="M137">
        <v>0.6679034602888434</v>
      </c>
      <c r="O137" t="s">
        <v>1461</v>
      </c>
    </row>
    <row r="138" spans="1:15">
      <c r="A138" t="s">
        <v>127</v>
      </c>
      <c r="B138" t="s">
        <v>690</v>
      </c>
      <c r="C138" t="s">
        <v>1245</v>
      </c>
      <c r="D138">
        <v>833</v>
      </c>
      <c r="E138">
        <v>32</v>
      </c>
      <c r="F138">
        <v>4827</v>
      </c>
      <c r="G138">
        <v>1131</v>
      </c>
      <c r="H138">
        <f t="shared" si="4"/>
        <v>2511.9793656265037</v>
      </c>
      <c r="I138">
        <v>-0.42344185856631222</v>
      </c>
      <c r="J138">
        <v>1.3025071482903372</v>
      </c>
      <c r="K138">
        <v>1.081746098603823</v>
      </c>
      <c r="M138">
        <v>0.65360379610928265</v>
      </c>
      <c r="O138" t="s">
        <v>1245</v>
      </c>
    </row>
    <row r="139" spans="1:15">
      <c r="A139" t="s">
        <v>20</v>
      </c>
      <c r="B139" t="s">
        <v>583</v>
      </c>
      <c r="C139" t="s">
        <v>1138</v>
      </c>
      <c r="D139">
        <v>238</v>
      </c>
      <c r="E139">
        <v>10</v>
      </c>
      <c r="F139">
        <v>15184</v>
      </c>
      <c r="G139">
        <v>26</v>
      </c>
      <c r="H139">
        <f t="shared" si="4"/>
        <v>8756.0978371266119</v>
      </c>
      <c r="I139">
        <v>-0.38452379253594238</v>
      </c>
      <c r="J139">
        <v>2.3442840889051384</v>
      </c>
      <c r="K139">
        <v>-1.2675114000538668E-2</v>
      </c>
      <c r="M139">
        <v>0.64902839412288582</v>
      </c>
      <c r="O139" t="s">
        <v>1138</v>
      </c>
    </row>
    <row r="140" spans="1:15">
      <c r="A140" t="s">
        <v>483</v>
      </c>
      <c r="B140" t="s">
        <v>1046</v>
      </c>
      <c r="C140" t="s">
        <v>1601</v>
      </c>
      <c r="D140">
        <v>798</v>
      </c>
      <c r="E140">
        <v>368</v>
      </c>
      <c r="F140">
        <v>2171</v>
      </c>
      <c r="G140">
        <v>175</v>
      </c>
      <c r="H140">
        <f t="shared" si="4"/>
        <v>1100.9143169808144</v>
      </c>
      <c r="I140" s="8">
        <v>0.65589809184335768</v>
      </c>
      <c r="J140" s="8">
        <v>0.97413178298212355</v>
      </c>
      <c r="K140" s="8">
        <v>0.28996365242072031</v>
      </c>
      <c r="M140">
        <v>0.63999784241540059</v>
      </c>
      <c r="O140" t="s">
        <v>1601</v>
      </c>
    </row>
    <row r="141" spans="1:15">
      <c r="A141" t="s">
        <v>153</v>
      </c>
      <c r="B141" t="s">
        <v>716</v>
      </c>
      <c r="C141" t="s">
        <v>1271</v>
      </c>
      <c r="D141">
        <v>394</v>
      </c>
      <c r="E141">
        <v>280</v>
      </c>
      <c r="F141">
        <v>279</v>
      </c>
      <c r="G141">
        <v>196</v>
      </c>
      <c r="H141">
        <f t="shared" si="4"/>
        <v>48.211340298039097</v>
      </c>
      <c r="I141" s="8">
        <v>0.84371497403721452</v>
      </c>
      <c r="J141" s="8">
        <v>0.38958283232645635</v>
      </c>
      <c r="K141" s="8">
        <v>0.64568834461605729</v>
      </c>
      <c r="M141">
        <v>0.62632871699324266</v>
      </c>
      <c r="O141" t="s">
        <v>1271</v>
      </c>
    </row>
    <row r="142" spans="1:15">
      <c r="A142" t="s">
        <v>365</v>
      </c>
      <c r="B142" t="s">
        <v>928</v>
      </c>
      <c r="C142" t="s">
        <v>1483</v>
      </c>
      <c r="D142">
        <v>1533</v>
      </c>
      <c r="E142">
        <v>4764</v>
      </c>
      <c r="F142">
        <v>2576</v>
      </c>
      <c r="G142">
        <v>64</v>
      </c>
      <c r="H142">
        <f t="shared" si="4"/>
        <v>2351.8605400831061</v>
      </c>
      <c r="I142" s="8">
        <v>1.4844827624769341</v>
      </c>
      <c r="J142" s="8">
        <v>0.76487855471183219</v>
      </c>
      <c r="K142" s="8">
        <v>-0.43043368578533281</v>
      </c>
      <c r="M142">
        <v>0.60630921046781117</v>
      </c>
      <c r="O142" t="s">
        <v>1483</v>
      </c>
    </row>
    <row r="143" spans="1:15">
      <c r="A143" t="s">
        <v>359</v>
      </c>
      <c r="B143" t="s">
        <v>922</v>
      </c>
      <c r="C143" t="s">
        <v>1477</v>
      </c>
      <c r="D143">
        <v>1242</v>
      </c>
      <c r="E143">
        <v>600</v>
      </c>
      <c r="F143">
        <v>665</v>
      </c>
      <c r="G143">
        <v>981</v>
      </c>
      <c r="H143">
        <f t="shared" si="4"/>
        <v>203.81445810671374</v>
      </c>
      <c r="I143" s="8">
        <v>0.67608281906365164</v>
      </c>
      <c r="J143" s="8">
        <v>0.26817490034097619</v>
      </c>
      <c r="K143" s="8">
        <v>0.84647590662454242</v>
      </c>
      <c r="M143">
        <v>0.59691120867639003</v>
      </c>
      <c r="O143" t="s">
        <v>1477</v>
      </c>
    </row>
    <row r="144" spans="1:15">
      <c r="A144" t="s">
        <v>466</v>
      </c>
      <c r="B144" t="s">
        <v>1029</v>
      </c>
      <c r="C144" t="s">
        <v>1584</v>
      </c>
      <c r="D144">
        <v>1036</v>
      </c>
      <c r="E144">
        <v>624</v>
      </c>
      <c r="F144">
        <v>650</v>
      </c>
      <c r="G144">
        <v>497</v>
      </c>
      <c r="H144">
        <f t="shared" si="4"/>
        <v>81.867779579840288</v>
      </c>
      <c r="I144" s="8">
        <v>0.77187799879377927</v>
      </c>
      <c r="J144" s="8">
        <v>0.33702845211207427</v>
      </c>
      <c r="K144" s="8">
        <v>0.62992512840927317</v>
      </c>
      <c r="M144">
        <v>0.57961052643837563</v>
      </c>
      <c r="O144" t="s">
        <v>1584</v>
      </c>
    </row>
    <row r="145" spans="1:15">
      <c r="A145" t="s">
        <v>159</v>
      </c>
      <c r="B145" t="s">
        <v>722</v>
      </c>
      <c r="C145" t="s">
        <v>1277</v>
      </c>
      <c r="D145">
        <v>1157</v>
      </c>
      <c r="E145">
        <v>454</v>
      </c>
      <c r="F145">
        <v>6269</v>
      </c>
      <c r="G145">
        <v>94</v>
      </c>
      <c r="H145">
        <f t="shared" si="4"/>
        <v>3465.8921410415142</v>
      </c>
      <c r="I145">
        <v>0.58577565842592383</v>
      </c>
      <c r="J145">
        <v>1.2733397617656423</v>
      </c>
      <c r="K145">
        <v>-0.14127701026689565</v>
      </c>
      <c r="M145">
        <v>0.57261280330822351</v>
      </c>
      <c r="O145" t="s">
        <v>1277</v>
      </c>
    </row>
    <row r="146" spans="1:15">
      <c r="A146" t="s">
        <v>75</v>
      </c>
      <c r="B146" t="s">
        <v>638</v>
      </c>
      <c r="C146" t="s">
        <v>1193</v>
      </c>
      <c r="D146">
        <v>883</v>
      </c>
      <c r="E146">
        <v>387</v>
      </c>
      <c r="F146">
        <v>4361</v>
      </c>
      <c r="G146">
        <v>66</v>
      </c>
      <c r="H146">
        <f t="shared" si="4"/>
        <v>2392.4444263834707</v>
      </c>
      <c r="I146">
        <v>0.6338034259619123</v>
      </c>
      <c r="J146">
        <v>1.2331002339742909</v>
      </c>
      <c r="K146">
        <v>-0.17748827295054448</v>
      </c>
      <c r="M146">
        <v>0.56313846232855291</v>
      </c>
      <c r="O146" t="s">
        <v>1193</v>
      </c>
    </row>
    <row r="147" spans="1:15">
      <c r="A147" t="s">
        <v>165</v>
      </c>
      <c r="B147" t="s">
        <v>728</v>
      </c>
      <c r="C147" t="s">
        <v>1283</v>
      </c>
      <c r="D147">
        <v>381</v>
      </c>
      <c r="E147">
        <v>1902</v>
      </c>
      <c r="F147">
        <v>18</v>
      </c>
      <c r="G147">
        <v>253</v>
      </c>
      <c r="H147">
        <f t="shared" si="4"/>
        <v>1026.6354432481539</v>
      </c>
      <c r="I147">
        <v>1.6903387014463451</v>
      </c>
      <c r="J147">
        <v>-0.78617761969388023</v>
      </c>
      <c r="K147">
        <v>0.77112404058535389</v>
      </c>
      <c r="M147">
        <v>0.55842837411260626</v>
      </c>
      <c r="O147" t="s">
        <v>1283</v>
      </c>
    </row>
    <row r="148" spans="1:15">
      <c r="A148" t="s">
        <v>465</v>
      </c>
      <c r="B148" t="s">
        <v>1028</v>
      </c>
      <c r="C148" t="s">
        <v>1583</v>
      </c>
      <c r="D148">
        <v>642</v>
      </c>
      <c r="E148">
        <v>123</v>
      </c>
      <c r="F148">
        <v>6876</v>
      </c>
      <c r="G148">
        <v>43</v>
      </c>
      <c r="H148">
        <f t="shared" si="4"/>
        <v>3922.14435396421</v>
      </c>
      <c r="I148">
        <v>0.27442324789111405</v>
      </c>
      <c r="J148">
        <v>1.5692756908245946</v>
      </c>
      <c r="K148">
        <v>-0.2251380774041114</v>
      </c>
      <c r="M148">
        <v>0.53952028710386568</v>
      </c>
      <c r="O148" t="s">
        <v>1583</v>
      </c>
    </row>
    <row r="149" spans="1:15">
      <c r="A149" t="s">
        <v>540</v>
      </c>
      <c r="B149" t="s">
        <v>1103</v>
      </c>
      <c r="C149" t="s">
        <v>1658</v>
      </c>
      <c r="D149">
        <v>1689</v>
      </c>
      <c r="E149">
        <v>97872</v>
      </c>
      <c r="F149">
        <v>49</v>
      </c>
      <c r="G149">
        <v>138</v>
      </c>
      <c r="H149">
        <f t="shared" si="4"/>
        <v>56452.46083505424</v>
      </c>
      <c r="I149">
        <v>2.7550819781032878</v>
      </c>
      <c r="J149">
        <v>-0.99795871866406205</v>
      </c>
      <c r="K149">
        <v>-0.13882206808461683</v>
      </c>
      <c r="M149">
        <v>0.53943373045153631</v>
      </c>
      <c r="O149" t="s">
        <v>1658</v>
      </c>
    </row>
    <row r="150" spans="1:15">
      <c r="A150" t="s">
        <v>222</v>
      </c>
      <c r="B150" t="s">
        <v>785</v>
      </c>
      <c r="C150" t="s">
        <v>1340</v>
      </c>
      <c r="D150">
        <v>725</v>
      </c>
      <c r="E150">
        <v>30467</v>
      </c>
      <c r="F150">
        <v>63</v>
      </c>
      <c r="G150">
        <v>24</v>
      </c>
      <c r="H150">
        <f t="shared" si="4"/>
        <v>17565.026738759421</v>
      </c>
      <c r="I150">
        <v>2.6155448505185164</v>
      </c>
      <c r="J150">
        <v>-0.52152260623897895</v>
      </c>
      <c r="K150">
        <v>-0.53119826977423235</v>
      </c>
      <c r="M150">
        <v>0.52094132483510169</v>
      </c>
      <c r="O150" t="s">
        <v>1340</v>
      </c>
    </row>
    <row r="151" spans="1:15">
      <c r="A151" t="s">
        <v>342</v>
      </c>
      <c r="B151" t="s">
        <v>905</v>
      </c>
      <c r="C151" t="s">
        <v>1460</v>
      </c>
      <c r="D151">
        <v>458</v>
      </c>
      <c r="E151">
        <v>10562</v>
      </c>
      <c r="F151">
        <v>21</v>
      </c>
      <c r="G151">
        <v>48</v>
      </c>
      <c r="H151">
        <f t="shared" si="4"/>
        <v>6078.0699513359768</v>
      </c>
      <c r="I151">
        <v>2.3549338496691763</v>
      </c>
      <c r="J151">
        <v>-0.79917133239151694</v>
      </c>
      <c r="K151">
        <v>-3.0695745543126707E-2</v>
      </c>
      <c r="M151">
        <v>0.50835559057817759</v>
      </c>
      <c r="O151" t="s">
        <v>1460</v>
      </c>
    </row>
    <row r="152" spans="1:15">
      <c r="A152" t="s">
        <v>114</v>
      </c>
      <c r="B152" t="s">
        <v>677</v>
      </c>
      <c r="C152" t="s">
        <v>1232</v>
      </c>
      <c r="D152">
        <v>622</v>
      </c>
      <c r="E152">
        <v>188</v>
      </c>
      <c r="F152">
        <v>3433</v>
      </c>
      <c r="G152">
        <v>39</v>
      </c>
      <c r="H152">
        <f t="shared" si="4"/>
        <v>1917.9616784492855</v>
      </c>
      <c r="I152">
        <v>0.47242062909343063</v>
      </c>
      <c r="J152">
        <v>1.2813582696133645</v>
      </c>
      <c r="K152">
        <v>-0.25379728257916412</v>
      </c>
      <c r="M152">
        <v>0.4999938720425437</v>
      </c>
      <c r="O152" t="s">
        <v>1232</v>
      </c>
    </row>
    <row r="153" spans="1:15">
      <c r="A153" t="s">
        <v>302</v>
      </c>
      <c r="B153" t="s">
        <v>865</v>
      </c>
      <c r="C153" t="s">
        <v>1420</v>
      </c>
      <c r="D153">
        <v>189</v>
      </c>
      <c r="E153">
        <v>5</v>
      </c>
      <c r="F153">
        <v>12</v>
      </c>
      <c r="G153">
        <v>11766</v>
      </c>
      <c r="H153">
        <f t="shared" si="4"/>
        <v>6788.1966922985757</v>
      </c>
      <c r="I153">
        <v>-0.58543863531665585</v>
      </c>
      <c r="J153">
        <v>-0.65780570724718646</v>
      </c>
      <c r="K153">
        <v>2.7430955349633388</v>
      </c>
      <c r="M153">
        <v>0.49995039746649877</v>
      </c>
      <c r="O153" t="s">
        <v>1420</v>
      </c>
    </row>
    <row r="154" spans="1:15">
      <c r="A154" t="s">
        <v>130</v>
      </c>
      <c r="B154" t="s">
        <v>693</v>
      </c>
      <c r="C154" t="s">
        <v>1248</v>
      </c>
      <c r="D154">
        <v>248</v>
      </c>
      <c r="E154">
        <v>482</v>
      </c>
      <c r="F154">
        <v>270</v>
      </c>
      <c r="G154">
        <v>10</v>
      </c>
      <c r="H154">
        <f t="shared" si="4"/>
        <v>236.40642969259528</v>
      </c>
      <c r="I154">
        <v>1.2806485219332027</v>
      </c>
      <c r="J154">
        <v>0.57638693421120402</v>
      </c>
      <c r="K154">
        <v>-0.44552318574106087</v>
      </c>
      <c r="M154">
        <v>0.4705040901344486</v>
      </c>
      <c r="O154" t="s">
        <v>1248</v>
      </c>
    </row>
    <row r="155" spans="1:15">
      <c r="A155" t="s">
        <v>504</v>
      </c>
      <c r="B155" t="s">
        <v>1067</v>
      </c>
      <c r="C155" t="s">
        <v>1622</v>
      </c>
      <c r="D155">
        <v>649</v>
      </c>
      <c r="E155">
        <v>2477</v>
      </c>
      <c r="F155">
        <v>191</v>
      </c>
      <c r="G155">
        <v>47</v>
      </c>
      <c r="H155">
        <f t="shared" si="4"/>
        <v>1363.2945389753456</v>
      </c>
      <c r="I155">
        <v>1.5737344743060371</v>
      </c>
      <c r="J155">
        <v>8.2635213257912232E-3</v>
      </c>
      <c r="K155">
        <v>-0.19121834377949654</v>
      </c>
      <c r="M155">
        <v>0.46359321728411063</v>
      </c>
      <c r="O155" t="s">
        <v>1622</v>
      </c>
    </row>
    <row r="156" spans="1:15">
      <c r="A156" t="s">
        <v>211</v>
      </c>
      <c r="B156" t="s">
        <v>774</v>
      </c>
      <c r="C156" t="s">
        <v>1329</v>
      </c>
      <c r="D156">
        <v>1067</v>
      </c>
      <c r="E156">
        <v>11893</v>
      </c>
      <c r="F156">
        <v>204</v>
      </c>
      <c r="G156">
        <v>40</v>
      </c>
      <c r="H156">
        <f t="shared" si="4"/>
        <v>6796.4847041197208</v>
      </c>
      <c r="I156">
        <v>2.039180163979402</v>
      </c>
      <c r="J156">
        <v>-0.17905940112013818</v>
      </c>
      <c r="K156">
        <v>-0.4771759330113523</v>
      </c>
      <c r="M156">
        <v>0.46098160994930387</v>
      </c>
      <c r="O156" t="s">
        <v>1329</v>
      </c>
    </row>
    <row r="157" spans="1:15">
      <c r="A157" t="s">
        <v>37</v>
      </c>
      <c r="B157" t="s">
        <v>600</v>
      </c>
      <c r="C157" t="s">
        <v>1155</v>
      </c>
      <c r="D157">
        <v>404</v>
      </c>
      <c r="E157">
        <v>14</v>
      </c>
      <c r="F157">
        <v>34</v>
      </c>
      <c r="G157">
        <v>9988</v>
      </c>
      <c r="H157">
        <f t="shared" si="4"/>
        <v>5752.72677374246</v>
      </c>
      <c r="I157">
        <v>-0.4682001649117975</v>
      </c>
      <c r="J157">
        <v>-0.53542759718991684</v>
      </c>
      <c r="K157">
        <v>2.3420256636538603</v>
      </c>
      <c r="M157">
        <v>0.44613263385071528</v>
      </c>
      <c r="O157" t="s">
        <v>1155</v>
      </c>
    </row>
    <row r="158" spans="1:15">
      <c r="A158" t="s">
        <v>449</v>
      </c>
      <c r="B158" t="s">
        <v>1012</v>
      </c>
      <c r="C158" t="s">
        <v>1567</v>
      </c>
      <c r="D158">
        <v>166</v>
      </c>
      <c r="E158">
        <v>16</v>
      </c>
      <c r="F158">
        <v>23</v>
      </c>
      <c r="G158">
        <v>887</v>
      </c>
      <c r="H158">
        <f t="shared" si="4"/>
        <v>500.86358754987702</v>
      </c>
      <c r="I158">
        <v>-2.3934940863560739E-2</v>
      </c>
      <c r="J158">
        <v>-0.31890540114402932</v>
      </c>
      <c r="K158">
        <v>1.6767440268768266</v>
      </c>
      <c r="M158">
        <v>0.44463456162307885</v>
      </c>
      <c r="O158" t="s">
        <v>1567</v>
      </c>
    </row>
    <row r="159" spans="1:15">
      <c r="A159" t="s">
        <v>215</v>
      </c>
      <c r="B159" t="s">
        <v>778</v>
      </c>
      <c r="C159" t="s">
        <v>1333</v>
      </c>
      <c r="D159">
        <v>435</v>
      </c>
      <c r="E159">
        <v>292</v>
      </c>
      <c r="F159">
        <v>4022</v>
      </c>
      <c r="G159">
        <v>5</v>
      </c>
      <c r="H159">
        <f t="shared" si="4"/>
        <v>2240.9654913303179</v>
      </c>
      <c r="I159">
        <v>0.81894675901435043</v>
      </c>
      <c r="J159">
        <v>1.5054276601845187</v>
      </c>
      <c r="K159">
        <v>-0.99059075753346315</v>
      </c>
      <c r="M159">
        <v>0.44459455388846864</v>
      </c>
      <c r="O159" t="s">
        <v>1333</v>
      </c>
    </row>
    <row r="160" spans="1:15">
      <c r="A160" t="s">
        <v>155</v>
      </c>
      <c r="B160" t="s">
        <v>718</v>
      </c>
      <c r="C160" t="s">
        <v>1273</v>
      </c>
      <c r="D160">
        <v>450</v>
      </c>
      <c r="E160">
        <v>675</v>
      </c>
      <c r="F160">
        <v>98</v>
      </c>
      <c r="G160">
        <v>96</v>
      </c>
      <c r="H160">
        <f t="shared" si="4"/>
        <v>333.70995390208742</v>
      </c>
      <c r="I160">
        <v>1.1681444235762508</v>
      </c>
      <c r="J160">
        <v>-0.12251158720441591</v>
      </c>
      <c r="K160">
        <v>0.27798721434938012</v>
      </c>
      <c r="M160">
        <v>0.44120668357373827</v>
      </c>
      <c r="O160" t="s">
        <v>1273</v>
      </c>
    </row>
    <row r="161" spans="1:16">
      <c r="A161" t="s">
        <v>364</v>
      </c>
      <c r="B161" t="s">
        <v>927</v>
      </c>
      <c r="C161" t="s">
        <v>1482</v>
      </c>
      <c r="D161">
        <v>1129</v>
      </c>
      <c r="E161">
        <v>467</v>
      </c>
      <c r="F161">
        <v>2618</v>
      </c>
      <c r="G161">
        <v>81</v>
      </c>
      <c r="H161">
        <f t="shared" si="4"/>
        <v>1367.0019507423292</v>
      </c>
      <c r="I161">
        <v>0.60867610316171383</v>
      </c>
      <c r="J161">
        <v>0.90475055116820213</v>
      </c>
      <c r="K161">
        <v>-0.19528042796116285</v>
      </c>
      <c r="M161">
        <v>0.43938207545625102</v>
      </c>
      <c r="O161" t="s">
        <v>1482</v>
      </c>
    </row>
    <row r="162" spans="1:16">
      <c r="A162" t="s">
        <v>139</v>
      </c>
      <c r="B162" t="s">
        <v>702</v>
      </c>
      <c r="C162" t="s">
        <v>1257</v>
      </c>
      <c r="D162">
        <v>733</v>
      </c>
      <c r="E162">
        <v>74</v>
      </c>
      <c r="F162">
        <v>4273</v>
      </c>
      <c r="G162">
        <v>78</v>
      </c>
      <c r="H162">
        <f t="shared" si="4"/>
        <v>2423.1399051643716</v>
      </c>
      <c r="I162">
        <v>-3.8190903895822803E-3</v>
      </c>
      <c r="J162">
        <v>1.3051037690545015</v>
      </c>
      <c r="K162">
        <v>-2.4080876865492207E-2</v>
      </c>
      <c r="M162">
        <v>0.425734600599809</v>
      </c>
      <c r="O162" t="s">
        <v>1257</v>
      </c>
    </row>
    <row r="163" spans="1:16">
      <c r="A163" t="s">
        <v>358</v>
      </c>
      <c r="B163" t="s">
        <v>921</v>
      </c>
      <c r="C163" t="s">
        <v>1476</v>
      </c>
      <c r="D163">
        <v>1666</v>
      </c>
      <c r="E163">
        <v>6280</v>
      </c>
      <c r="F163">
        <v>591</v>
      </c>
      <c r="G163">
        <v>72</v>
      </c>
      <c r="H163">
        <f t="shared" si="4"/>
        <v>3444.1580006343106</v>
      </c>
      <c r="I163">
        <v>1.5683378111869968</v>
      </c>
      <c r="J163">
        <v>8.9387334688919518E-2</v>
      </c>
      <c r="K163">
        <v>-0.41541400555434493</v>
      </c>
      <c r="M163">
        <v>0.41410371344052382</v>
      </c>
      <c r="O163" t="s">
        <v>1476</v>
      </c>
    </row>
    <row r="164" spans="1:16">
      <c r="A164" t="s">
        <v>505</v>
      </c>
      <c r="B164" t="s">
        <v>1068</v>
      </c>
      <c r="C164" t="s">
        <v>1623</v>
      </c>
      <c r="D164">
        <v>1335</v>
      </c>
      <c r="E164">
        <v>602</v>
      </c>
      <c r="F164">
        <v>4219</v>
      </c>
      <c r="G164">
        <v>54</v>
      </c>
      <c r="H164">
        <f t="shared" si="4"/>
        <v>2263.1179819001927</v>
      </c>
      <c r="I164">
        <v>0.64616839007780003</v>
      </c>
      <c r="J164">
        <v>1.0392031105597199</v>
      </c>
      <c r="K164">
        <v>-0.44415901079247022</v>
      </c>
      <c r="M164">
        <v>0.41373749661501652</v>
      </c>
      <c r="O164" t="s">
        <v>1623</v>
      </c>
    </row>
    <row r="165" spans="1:16">
      <c r="A165" t="s">
        <v>80</v>
      </c>
      <c r="B165" t="s">
        <v>643</v>
      </c>
      <c r="C165" t="s">
        <v>1198</v>
      </c>
      <c r="D165">
        <v>317</v>
      </c>
      <c r="E165">
        <v>774</v>
      </c>
      <c r="F165">
        <v>154</v>
      </c>
      <c r="G165">
        <v>13</v>
      </c>
      <c r="H165">
        <f t="shared" si="4"/>
        <v>404.84606127926372</v>
      </c>
      <c r="I165">
        <v>1.3797348629857105</v>
      </c>
      <c r="J165">
        <v>0.22593630949714449</v>
      </c>
      <c r="K165">
        <v>-0.4381874148257594</v>
      </c>
      <c r="M165">
        <v>0.38916125255236517</v>
      </c>
      <c r="O165" t="s">
        <v>1198</v>
      </c>
    </row>
    <row r="166" spans="1:16">
      <c r="A166" t="s">
        <v>148</v>
      </c>
      <c r="B166" t="s">
        <v>711</v>
      </c>
      <c r="C166" t="s">
        <v>1266</v>
      </c>
      <c r="D166">
        <v>801</v>
      </c>
      <c r="E166">
        <v>1091</v>
      </c>
      <c r="F166">
        <v>76</v>
      </c>
      <c r="G166">
        <v>299</v>
      </c>
      <c r="H166">
        <f t="shared" si="4"/>
        <v>533.41947221050464</v>
      </c>
      <c r="I166">
        <v>1.1262453990246737</v>
      </c>
      <c r="J166">
        <v>-0.48334407292501347</v>
      </c>
      <c r="K166">
        <v>0.52096716732534731</v>
      </c>
      <c r="M166">
        <v>0.38795616447500247</v>
      </c>
      <c r="O166" t="s">
        <v>1266</v>
      </c>
    </row>
    <row r="167" spans="1:16">
      <c r="A167" t="s">
        <v>0</v>
      </c>
      <c r="B167" t="s">
        <v>563</v>
      </c>
      <c r="C167" t="s">
        <v>1118</v>
      </c>
      <c r="D167">
        <v>210</v>
      </c>
      <c r="E167">
        <v>13</v>
      </c>
      <c r="F167">
        <v>1472</v>
      </c>
      <c r="G167">
        <v>22</v>
      </c>
      <c r="H167">
        <f t="shared" si="4"/>
        <v>839.76802352395703</v>
      </c>
      <c r="I167">
        <v>-0.21622277790651312</v>
      </c>
      <c r="J167">
        <v>1.3851633661459937</v>
      </c>
      <c r="K167">
        <v>-3.0868118826557711E-2</v>
      </c>
      <c r="M167">
        <v>0.37935748980430767</v>
      </c>
      <c r="O167" t="s">
        <v>1118</v>
      </c>
      <c r="P167" t="s">
        <v>1672</v>
      </c>
    </row>
    <row r="168" spans="1:16">
      <c r="A168" t="s">
        <v>435</v>
      </c>
      <c r="B168" t="s">
        <v>998</v>
      </c>
      <c r="C168" t="s">
        <v>1553</v>
      </c>
      <c r="D168">
        <v>535</v>
      </c>
      <c r="E168">
        <v>31</v>
      </c>
      <c r="F168">
        <v>54</v>
      </c>
      <c r="G168">
        <v>4108</v>
      </c>
      <c r="H168">
        <f t="shared" si="4"/>
        <v>2347.2456908754425</v>
      </c>
      <c r="I168">
        <v>-0.24493892366638637</v>
      </c>
      <c r="J168">
        <v>-0.45648517131982702</v>
      </c>
      <c r="K168">
        <v>1.8342051479891675</v>
      </c>
      <c r="M168">
        <v>0.377593684334318</v>
      </c>
      <c r="O168" t="s">
        <v>1553</v>
      </c>
    </row>
    <row r="169" spans="1:16">
      <c r="A169" t="s">
        <v>135</v>
      </c>
      <c r="B169" t="s">
        <v>698</v>
      </c>
      <c r="C169" t="s">
        <v>1253</v>
      </c>
      <c r="D169">
        <v>551</v>
      </c>
      <c r="E169">
        <v>30</v>
      </c>
      <c r="F169">
        <v>2581</v>
      </c>
      <c r="G169">
        <v>94</v>
      </c>
      <c r="H169">
        <f t="shared" si="4"/>
        <v>1454.6973339266601</v>
      </c>
      <c r="I169">
        <v>-0.2719771796115531</v>
      </c>
      <c r="J169">
        <v>1.2101112565705168</v>
      </c>
      <c r="K169">
        <v>0.18090474983306892</v>
      </c>
      <c r="M169">
        <v>0.37301294226401088</v>
      </c>
      <c r="O169" t="s">
        <v>1253</v>
      </c>
    </row>
    <row r="170" spans="1:16">
      <c r="A170" t="s">
        <v>366</v>
      </c>
      <c r="B170" t="s">
        <v>929</v>
      </c>
      <c r="C170" t="s">
        <v>1484</v>
      </c>
      <c r="D170">
        <v>523</v>
      </c>
      <c r="E170">
        <v>121</v>
      </c>
      <c r="F170">
        <v>540</v>
      </c>
      <c r="G170">
        <v>90</v>
      </c>
      <c r="H170">
        <f t="shared" si="4"/>
        <v>251.33709104175875</v>
      </c>
      <c r="I170" s="8">
        <v>0.35633684596974535</v>
      </c>
      <c r="J170" s="8">
        <v>0.55336692183412717</v>
      </c>
      <c r="K170" s="8">
        <v>0.1846693156572059</v>
      </c>
      <c r="M170">
        <v>0.36479102782035949</v>
      </c>
      <c r="O170" t="s">
        <v>1484</v>
      </c>
    </row>
    <row r="171" spans="1:16">
      <c r="A171" t="s">
        <v>44</v>
      </c>
      <c r="B171" t="s">
        <v>607</v>
      </c>
      <c r="C171" t="s">
        <v>1162</v>
      </c>
      <c r="D171">
        <v>380</v>
      </c>
      <c r="E171">
        <v>19</v>
      </c>
      <c r="F171">
        <v>4173</v>
      </c>
      <c r="G171">
        <v>28</v>
      </c>
      <c r="H171">
        <f t="shared" si="4"/>
        <v>2395.7191682944253</v>
      </c>
      <c r="I171">
        <v>-0.30897683114341179</v>
      </c>
      <c r="J171">
        <v>1.5801396389733315</v>
      </c>
      <c r="K171">
        <v>-0.1836970701894356</v>
      </c>
      <c r="M171">
        <v>0.3624885792134947</v>
      </c>
      <c r="O171" t="s">
        <v>1162</v>
      </c>
    </row>
    <row r="172" spans="1:16">
      <c r="A172" t="s">
        <v>516</v>
      </c>
      <c r="B172" t="s">
        <v>1079</v>
      </c>
      <c r="C172" t="s">
        <v>1634</v>
      </c>
      <c r="D172">
        <v>605</v>
      </c>
      <c r="E172">
        <v>41</v>
      </c>
      <c r="F172">
        <v>889</v>
      </c>
      <c r="G172">
        <v>242</v>
      </c>
      <c r="H172">
        <f t="shared" si="4"/>
        <v>443.11661369591337</v>
      </c>
      <c r="I172">
        <v>-0.17691835341216389</v>
      </c>
      <c r="J172">
        <v>0.70662123719617775</v>
      </c>
      <c r="K172">
        <v>0.55098848641311771</v>
      </c>
      <c r="M172">
        <v>0.36023045673237714</v>
      </c>
      <c r="O172" t="s">
        <v>1634</v>
      </c>
    </row>
    <row r="173" spans="1:16">
      <c r="A173" t="s">
        <v>87</v>
      </c>
      <c r="B173" t="s">
        <v>650</v>
      </c>
      <c r="C173" t="s">
        <v>1205</v>
      </c>
      <c r="D173">
        <v>461</v>
      </c>
      <c r="E173">
        <v>44</v>
      </c>
      <c r="F173">
        <v>23</v>
      </c>
      <c r="G173">
        <v>3811</v>
      </c>
      <c r="H173">
        <f t="shared" si="4"/>
        <v>2180.9659175084175</v>
      </c>
      <c r="I173">
        <v>-2.8195084382891311E-2</v>
      </c>
      <c r="J173">
        <v>-0.76249823849362242</v>
      </c>
      <c r="K173">
        <v>1.8662665184676746</v>
      </c>
      <c r="M173">
        <v>0.35852439853038698</v>
      </c>
      <c r="O173" t="s">
        <v>1205</v>
      </c>
    </row>
    <row r="174" spans="1:16">
      <c r="A174" t="s">
        <v>171</v>
      </c>
      <c r="B174" t="s">
        <v>734</v>
      </c>
      <c r="C174" t="s">
        <v>1289</v>
      </c>
      <c r="D174">
        <v>1007</v>
      </c>
      <c r="E174">
        <v>3891</v>
      </c>
      <c r="F174">
        <v>442</v>
      </c>
      <c r="G174">
        <v>22</v>
      </c>
      <c r="H174">
        <f t="shared" si="4"/>
        <v>2122.9367238175832</v>
      </c>
      <c r="I174">
        <v>1.579084924770694</v>
      </c>
      <c r="J174">
        <v>0.18186764967390684</v>
      </c>
      <c r="K174">
        <v>-0.71167829464625654</v>
      </c>
      <c r="M174">
        <v>0.34975809326611479</v>
      </c>
      <c r="O174" t="s">
        <v>1289</v>
      </c>
    </row>
    <row r="175" spans="1:16">
      <c r="A175" t="s">
        <v>176</v>
      </c>
      <c r="B175" t="s">
        <v>739</v>
      </c>
      <c r="C175" t="s">
        <v>1294</v>
      </c>
      <c r="D175">
        <v>1223</v>
      </c>
      <c r="E175">
        <v>16940</v>
      </c>
      <c r="F175">
        <v>58</v>
      </c>
      <c r="G175">
        <v>67</v>
      </c>
      <c r="H175">
        <f t="shared" si="4"/>
        <v>9744.2302073244009</v>
      </c>
      <c r="I175">
        <v>2.133540113478972</v>
      </c>
      <c r="J175">
        <v>-0.78452361259491521</v>
      </c>
      <c r="K175">
        <v>-0.31242315925030373</v>
      </c>
      <c r="M175">
        <v>0.34553111387791763</v>
      </c>
      <c r="O175" t="s">
        <v>1294</v>
      </c>
    </row>
    <row r="176" spans="1:16">
      <c r="A176" t="s">
        <v>93</v>
      </c>
      <c r="B176" t="s">
        <v>656</v>
      </c>
      <c r="C176" t="s">
        <v>1211</v>
      </c>
      <c r="D176">
        <v>935</v>
      </c>
      <c r="E176">
        <v>4274</v>
      </c>
      <c r="F176">
        <v>86</v>
      </c>
      <c r="G176">
        <v>79</v>
      </c>
      <c r="H176">
        <f t="shared" si="4"/>
        <v>2419.9661843367426</v>
      </c>
      <c r="I176">
        <v>1.6520760714761025</v>
      </c>
      <c r="J176">
        <v>-0.49683830875051715</v>
      </c>
      <c r="K176">
        <v>-0.12425602449692108</v>
      </c>
      <c r="M176">
        <v>0.3436605794095548</v>
      </c>
      <c r="O176" t="s">
        <v>1211</v>
      </c>
    </row>
    <row r="177" spans="1:15">
      <c r="A177" t="s">
        <v>174</v>
      </c>
      <c r="B177" t="s">
        <v>737</v>
      </c>
      <c r="C177" t="s">
        <v>1292</v>
      </c>
      <c r="D177">
        <v>1019</v>
      </c>
      <c r="E177">
        <v>5943</v>
      </c>
      <c r="F177">
        <v>58</v>
      </c>
      <c r="G177">
        <v>107</v>
      </c>
      <c r="H177">
        <f t="shared" si="4"/>
        <v>3383.6499523443617</v>
      </c>
      <c r="I177">
        <v>1.7578847107723528</v>
      </c>
      <c r="J177">
        <v>-0.70527133956505617</v>
      </c>
      <c r="K177">
        <v>-2.9861911236061411E-2</v>
      </c>
      <c r="M177">
        <v>0.340917153323745</v>
      </c>
      <c r="O177" t="s">
        <v>1292</v>
      </c>
    </row>
    <row r="178" spans="1:15">
      <c r="A178" t="s">
        <v>88</v>
      </c>
      <c r="B178" t="s">
        <v>651</v>
      </c>
      <c r="C178" t="s">
        <v>1206</v>
      </c>
      <c r="D178">
        <v>594</v>
      </c>
      <c r="E178">
        <v>618</v>
      </c>
      <c r="F178">
        <v>281</v>
      </c>
      <c r="G178">
        <v>42</v>
      </c>
      <c r="H178">
        <f t="shared" ref="H178:H241" si="5">STDEV(E178:G178)</f>
        <v>289.38613189531623</v>
      </c>
      <c r="I178">
        <v>1.0092551946281918</v>
      </c>
      <c r="J178">
        <v>0.21439472580231927</v>
      </c>
      <c r="K178">
        <v>-0.20160865949813789</v>
      </c>
      <c r="M178">
        <v>0.3406804203107911</v>
      </c>
      <c r="O178" t="s">
        <v>1206</v>
      </c>
    </row>
    <row r="179" spans="1:15">
      <c r="A179" t="s">
        <v>164</v>
      </c>
      <c r="B179" t="s">
        <v>727</v>
      </c>
      <c r="C179" t="s">
        <v>1282</v>
      </c>
      <c r="D179">
        <v>427</v>
      </c>
      <c r="E179">
        <v>68</v>
      </c>
      <c r="F179">
        <v>1069</v>
      </c>
      <c r="G179">
        <v>33</v>
      </c>
      <c r="H179">
        <f t="shared" si="5"/>
        <v>588.29159436456337</v>
      </c>
      <c r="I179">
        <v>0.1941342022017819</v>
      </c>
      <c r="J179">
        <v>0.93802468106218706</v>
      </c>
      <c r="K179">
        <v>-0.16298544006198101</v>
      </c>
      <c r="M179">
        <v>0.32305781440066267</v>
      </c>
      <c r="O179" t="s">
        <v>1282</v>
      </c>
    </row>
    <row r="180" spans="1:15">
      <c r="A180" t="s">
        <v>70</v>
      </c>
      <c r="B180" t="s">
        <v>633</v>
      </c>
      <c r="C180" t="s">
        <v>1188</v>
      </c>
      <c r="D180">
        <v>594</v>
      </c>
      <c r="E180">
        <v>98</v>
      </c>
      <c r="F180">
        <v>34</v>
      </c>
      <c r="G180">
        <v>1887</v>
      </c>
      <c r="H180">
        <f t="shared" si="5"/>
        <v>1051.841718130632</v>
      </c>
      <c r="I180">
        <v>0.20949279523187081</v>
      </c>
      <c r="J180">
        <v>-0.70283267706050545</v>
      </c>
      <c r="K180">
        <v>1.4509139502688932</v>
      </c>
      <c r="M180">
        <v>0.31919135614675287</v>
      </c>
      <c r="O180" t="s">
        <v>1188</v>
      </c>
    </row>
    <row r="181" spans="1:15">
      <c r="A181" t="s">
        <v>149</v>
      </c>
      <c r="B181" t="s">
        <v>712</v>
      </c>
      <c r="C181" t="s">
        <v>1267</v>
      </c>
      <c r="D181">
        <v>541</v>
      </c>
      <c r="E181">
        <v>212</v>
      </c>
      <c r="F181">
        <v>78</v>
      </c>
      <c r="G181">
        <v>279</v>
      </c>
      <c r="H181">
        <f t="shared" si="5"/>
        <v>102.34419052068044</v>
      </c>
      <c r="I181">
        <v>0.58519176034275144</v>
      </c>
      <c r="J181">
        <v>-0.30162781153765617</v>
      </c>
      <c r="K181">
        <v>0.66133543325218347</v>
      </c>
      <c r="M181">
        <v>0.31496646068575956</v>
      </c>
      <c r="O181" t="s">
        <v>1267</v>
      </c>
    </row>
    <row r="182" spans="1:15">
      <c r="A182" t="s">
        <v>156</v>
      </c>
      <c r="B182" t="s">
        <v>719</v>
      </c>
      <c r="C182" t="s">
        <v>1274</v>
      </c>
      <c r="D182">
        <v>927</v>
      </c>
      <c r="E182">
        <v>782</v>
      </c>
      <c r="F182">
        <v>289</v>
      </c>
      <c r="G182">
        <v>95</v>
      </c>
      <c r="H182">
        <f t="shared" si="5"/>
        <v>354.17839196276969</v>
      </c>
      <c r="I182">
        <v>0.91818018343592045</v>
      </c>
      <c r="J182">
        <v>3.329295949048372E-2</v>
      </c>
      <c r="K182">
        <v>-4.0427633770494076E-2</v>
      </c>
      <c r="M182">
        <v>0.30368183638530338</v>
      </c>
      <c r="O182" t="s">
        <v>1274</v>
      </c>
    </row>
    <row r="183" spans="1:15">
      <c r="A183" t="s">
        <v>481</v>
      </c>
      <c r="B183" t="s">
        <v>1044</v>
      </c>
      <c r="C183" t="s">
        <v>1599</v>
      </c>
      <c r="D183">
        <v>1109</v>
      </c>
      <c r="E183">
        <v>199</v>
      </c>
      <c r="F183">
        <v>47</v>
      </c>
      <c r="G183">
        <v>3887</v>
      </c>
      <c r="H183">
        <f t="shared" si="5"/>
        <v>2174.4749557843461</v>
      </c>
      <c r="I183">
        <v>0.245974694781116</v>
      </c>
      <c r="J183">
        <v>-0.83335883733500971</v>
      </c>
      <c r="K183">
        <v>1.4936114895672616</v>
      </c>
      <c r="M183">
        <v>0.30207578233778931</v>
      </c>
      <c r="O183" t="s">
        <v>1599</v>
      </c>
    </row>
    <row r="184" spans="1:15">
      <c r="A184" t="s">
        <v>536</v>
      </c>
      <c r="B184" t="s">
        <v>1099</v>
      </c>
      <c r="C184" t="s">
        <v>1654</v>
      </c>
      <c r="D184">
        <v>867</v>
      </c>
      <c r="E184">
        <v>3399</v>
      </c>
      <c r="F184">
        <v>46</v>
      </c>
      <c r="G184">
        <v>109</v>
      </c>
      <c r="H184">
        <f t="shared" si="5"/>
        <v>1917.9276142058472</v>
      </c>
      <c r="I184">
        <v>1.5853852316274188</v>
      </c>
      <c r="J184">
        <v>-0.73578641491620334</v>
      </c>
      <c r="K184">
        <v>4.833589554956863E-2</v>
      </c>
      <c r="M184">
        <v>0.29931157075359471</v>
      </c>
      <c r="O184" t="s">
        <v>1654</v>
      </c>
    </row>
    <row r="185" spans="1:15">
      <c r="A185" t="s">
        <v>517</v>
      </c>
      <c r="B185" t="s">
        <v>1080</v>
      </c>
      <c r="C185" t="s">
        <v>1635</v>
      </c>
      <c r="D185">
        <v>1022</v>
      </c>
      <c r="E185">
        <v>39</v>
      </c>
      <c r="F185">
        <v>7248</v>
      </c>
      <c r="G185">
        <v>94</v>
      </c>
      <c r="H185">
        <f t="shared" si="5"/>
        <v>4146.3321542458871</v>
      </c>
      <c r="I185">
        <v>-0.42633312425162528</v>
      </c>
      <c r="J185">
        <v>1.3902421397484956</v>
      </c>
      <c r="K185">
        <v>-8.7394547113839982E-2</v>
      </c>
      <c r="M185">
        <v>0.29217148946101013</v>
      </c>
      <c r="O185" t="s">
        <v>1635</v>
      </c>
    </row>
    <row r="186" spans="1:15">
      <c r="A186" t="s">
        <v>507</v>
      </c>
      <c r="B186" t="s">
        <v>1070</v>
      </c>
      <c r="C186" t="s">
        <v>1625</v>
      </c>
      <c r="D186">
        <v>425</v>
      </c>
      <c r="E186">
        <v>1105</v>
      </c>
      <c r="F186">
        <v>19</v>
      </c>
      <c r="G186">
        <v>85</v>
      </c>
      <c r="H186">
        <f t="shared" si="5"/>
        <v>608.84480781230286</v>
      </c>
      <c r="I186">
        <v>1.4070265124913874</v>
      </c>
      <c r="J186">
        <v>-0.81016047821904957</v>
      </c>
      <c r="K186">
        <v>0.24995849074913656</v>
      </c>
      <c r="M186">
        <v>0.28227484167382483</v>
      </c>
      <c r="O186" t="s">
        <v>1625</v>
      </c>
    </row>
    <row r="187" spans="1:15">
      <c r="A187" t="s">
        <v>439</v>
      </c>
      <c r="B187" t="s">
        <v>1002</v>
      </c>
      <c r="C187" t="s">
        <v>1557</v>
      </c>
      <c r="D187">
        <v>1253</v>
      </c>
      <c r="E187">
        <v>71</v>
      </c>
      <c r="F187">
        <v>9141</v>
      </c>
      <c r="G187">
        <v>70</v>
      </c>
      <c r="H187">
        <f t="shared" si="5"/>
        <v>5236.8556405537856</v>
      </c>
      <c r="I187">
        <v>-0.25463955775450531</v>
      </c>
      <c r="J187">
        <v>1.402517488826619</v>
      </c>
      <c r="K187">
        <v>-0.30392453589473778</v>
      </c>
      <c r="M187">
        <v>0.28131779839245863</v>
      </c>
      <c r="O187" t="s">
        <v>1557</v>
      </c>
    </row>
    <row r="188" spans="1:15">
      <c r="A188" t="s">
        <v>28</v>
      </c>
      <c r="B188" t="s">
        <v>591</v>
      </c>
      <c r="C188" t="s">
        <v>1146</v>
      </c>
      <c r="D188">
        <v>308</v>
      </c>
      <c r="E188">
        <v>496</v>
      </c>
      <c r="F188">
        <v>15</v>
      </c>
      <c r="G188">
        <v>90</v>
      </c>
      <c r="H188">
        <f t="shared" si="5"/>
        <v>258.78626959970916</v>
      </c>
      <c r="I188">
        <v>1.1989841245103228</v>
      </c>
      <c r="J188">
        <v>-0.77298460656633006</v>
      </c>
      <c r="K188">
        <v>0.41462028802403594</v>
      </c>
      <c r="M188">
        <v>0.28020660198934288</v>
      </c>
      <c r="O188" t="s">
        <v>1146</v>
      </c>
    </row>
    <row r="189" spans="1:15">
      <c r="A189" t="s">
        <v>172</v>
      </c>
      <c r="B189" t="s">
        <v>735</v>
      </c>
      <c r="C189" t="s">
        <v>1290</v>
      </c>
      <c r="D189">
        <v>485</v>
      </c>
      <c r="E189">
        <v>40</v>
      </c>
      <c r="F189">
        <v>1134</v>
      </c>
      <c r="G189">
        <v>54</v>
      </c>
      <c r="H189">
        <f t="shared" si="5"/>
        <v>627.61878025863234</v>
      </c>
      <c r="I189">
        <v>-9.1628582753731758E-2</v>
      </c>
      <c r="J189">
        <v>0.90834616683305702</v>
      </c>
      <c r="K189">
        <v>-4.419483694139803E-3</v>
      </c>
      <c r="M189">
        <v>0.27076603346172851</v>
      </c>
      <c r="O189" t="s">
        <v>1290</v>
      </c>
    </row>
    <row r="190" spans="1:15">
      <c r="A190" t="s">
        <v>486</v>
      </c>
      <c r="B190" t="s">
        <v>1049</v>
      </c>
      <c r="C190" t="s">
        <v>1604</v>
      </c>
      <c r="D190">
        <v>697</v>
      </c>
      <c r="E190">
        <v>14823</v>
      </c>
      <c r="F190">
        <v>22</v>
      </c>
      <c r="G190">
        <v>21</v>
      </c>
      <c r="H190">
        <f t="shared" si="5"/>
        <v>8545.6500240375717</v>
      </c>
      <c r="I190">
        <v>2.3197564950316392</v>
      </c>
      <c r="J190">
        <v>-0.96133524639737022</v>
      </c>
      <c r="K190">
        <v>-0.57208498827893495</v>
      </c>
      <c r="M190">
        <v>0.26211208678511139</v>
      </c>
      <c r="O190" t="s">
        <v>1604</v>
      </c>
    </row>
    <row r="191" spans="1:15">
      <c r="A191" t="s">
        <v>494</v>
      </c>
      <c r="B191" t="s">
        <v>1057</v>
      </c>
      <c r="C191" t="s">
        <v>1612</v>
      </c>
      <c r="D191">
        <v>1305</v>
      </c>
      <c r="E191">
        <v>57</v>
      </c>
      <c r="F191">
        <v>106</v>
      </c>
      <c r="G191">
        <v>7247</v>
      </c>
      <c r="H191">
        <f t="shared" si="5"/>
        <v>4137.0758997146768</v>
      </c>
      <c r="I191">
        <v>-0.36768249148123888</v>
      </c>
      <c r="J191">
        <v>-0.55082979553109668</v>
      </c>
      <c r="K191">
        <v>1.6934762447291338</v>
      </c>
      <c r="M191">
        <v>0.25832131923893276</v>
      </c>
      <c r="O191" t="s">
        <v>1612</v>
      </c>
    </row>
    <row r="192" spans="1:15">
      <c r="A192" t="s">
        <v>184</v>
      </c>
      <c r="B192" t="s">
        <v>747</v>
      </c>
      <c r="C192" t="s">
        <v>1302</v>
      </c>
      <c r="D192">
        <v>337</v>
      </c>
      <c r="E192">
        <v>1934</v>
      </c>
      <c r="F192">
        <v>7</v>
      </c>
      <c r="G192">
        <v>54</v>
      </c>
      <c r="H192">
        <f t="shared" si="5"/>
        <v>1099.2374629714909</v>
      </c>
      <c r="I192">
        <v>1.7508797333962138</v>
      </c>
      <c r="J192">
        <v>-1.1430570099786488</v>
      </c>
      <c r="K192">
        <v>0.15369235403678516</v>
      </c>
      <c r="M192">
        <v>0.25383835915145009</v>
      </c>
      <c r="O192" t="s">
        <v>1302</v>
      </c>
    </row>
    <row r="193" spans="1:15">
      <c r="A193" t="s">
        <v>387</v>
      </c>
      <c r="B193" t="s">
        <v>950</v>
      </c>
      <c r="C193" t="s">
        <v>1505</v>
      </c>
      <c r="D193">
        <v>793</v>
      </c>
      <c r="E193">
        <v>30</v>
      </c>
      <c r="F193">
        <v>3761</v>
      </c>
      <c r="G193">
        <v>77</v>
      </c>
      <c r="H193">
        <f t="shared" si="5"/>
        <v>2140.6551177929932</v>
      </c>
      <c r="I193">
        <v>-0.43009876807737202</v>
      </c>
      <c r="J193">
        <v>1.2155049969832281</v>
      </c>
      <c r="K193">
        <v>-6.385396705996671E-2</v>
      </c>
      <c r="M193">
        <v>0.24051742061529646</v>
      </c>
      <c r="O193" t="s">
        <v>1505</v>
      </c>
    </row>
    <row r="194" spans="1:15">
      <c r="A194" t="s">
        <v>166</v>
      </c>
      <c r="B194" t="s">
        <v>729</v>
      </c>
      <c r="C194" t="s">
        <v>1284</v>
      </c>
      <c r="D194">
        <v>635</v>
      </c>
      <c r="E194">
        <v>359</v>
      </c>
      <c r="F194">
        <v>123</v>
      </c>
      <c r="G194">
        <v>98</v>
      </c>
      <c r="H194">
        <f t="shared" si="5"/>
        <v>144.01504551029845</v>
      </c>
      <c r="I194">
        <v>0.74437388780691294</v>
      </c>
      <c r="J194">
        <v>-0.17339376297414477</v>
      </c>
      <c r="K194">
        <v>0.13738084548567453</v>
      </c>
      <c r="M194">
        <v>0.23612032343948089</v>
      </c>
      <c r="O194" t="s">
        <v>1284</v>
      </c>
    </row>
    <row r="195" spans="1:15">
      <c r="A195" t="s">
        <v>230</v>
      </c>
      <c r="B195" t="s">
        <v>793</v>
      </c>
      <c r="C195" t="s">
        <v>1348</v>
      </c>
      <c r="D195">
        <v>924</v>
      </c>
      <c r="E195">
        <v>23</v>
      </c>
      <c r="F195">
        <v>33</v>
      </c>
      <c r="G195">
        <v>17288</v>
      </c>
      <c r="H195">
        <f t="shared" si="5"/>
        <v>9965.0669005949658</v>
      </c>
      <c r="I195">
        <v>-0.61189097068194442</v>
      </c>
      <c r="J195">
        <v>-0.90768318046378627</v>
      </c>
      <c r="K195">
        <v>2.2210012777402337</v>
      </c>
      <c r="M195">
        <v>0.2338090421981677</v>
      </c>
      <c r="O195" t="s">
        <v>1348</v>
      </c>
    </row>
    <row r="196" spans="1:15">
      <c r="A196" t="s">
        <v>14</v>
      </c>
      <c r="B196" t="s">
        <v>577</v>
      </c>
      <c r="C196" t="s">
        <v>1132</v>
      </c>
      <c r="D196">
        <v>415</v>
      </c>
      <c r="E196">
        <v>131</v>
      </c>
      <c r="F196">
        <v>643</v>
      </c>
      <c r="G196">
        <v>14</v>
      </c>
      <c r="H196">
        <f t="shared" si="5"/>
        <v>334.5330078382899</v>
      </c>
      <c r="I196">
        <v>0.49127636346424097</v>
      </c>
      <c r="J196">
        <v>0.72963772709056229</v>
      </c>
      <c r="K196">
        <v>-0.52299156594869944</v>
      </c>
      <c r="M196">
        <v>0.23264084153536793</v>
      </c>
      <c r="O196" t="s">
        <v>1132</v>
      </c>
    </row>
    <row r="197" spans="1:15">
      <c r="A197" t="s">
        <v>369</v>
      </c>
      <c r="B197" t="s">
        <v>932</v>
      </c>
      <c r="C197" t="s">
        <v>1487</v>
      </c>
      <c r="D197">
        <v>706</v>
      </c>
      <c r="E197">
        <v>19</v>
      </c>
      <c r="F197">
        <v>33</v>
      </c>
      <c r="G197">
        <v>8874</v>
      </c>
      <c r="H197">
        <f t="shared" si="5"/>
        <v>5108.3999778143188</v>
      </c>
      <c r="I197">
        <v>-0.57799793557840529</v>
      </c>
      <c r="J197">
        <v>-0.79081591029548337</v>
      </c>
      <c r="K197">
        <v>2.0482432184138877</v>
      </c>
      <c r="M197">
        <v>0.22647645751333303</v>
      </c>
      <c r="O197" t="s">
        <v>1487</v>
      </c>
    </row>
    <row r="198" spans="1:15">
      <c r="A198" t="s">
        <v>224</v>
      </c>
      <c r="B198" t="s">
        <v>787</v>
      </c>
      <c r="C198" t="s">
        <v>1342</v>
      </c>
      <c r="D198">
        <v>667</v>
      </c>
      <c r="E198">
        <v>1014</v>
      </c>
      <c r="F198">
        <v>27</v>
      </c>
      <c r="G198">
        <v>156</v>
      </c>
      <c r="H198">
        <f t="shared" si="5"/>
        <v>536.49697110048999</v>
      </c>
      <c r="I198">
        <v>1.1739652856013376</v>
      </c>
      <c r="J198">
        <v>-0.85328721887912884</v>
      </c>
      <c r="K198">
        <v>0.317927259523068</v>
      </c>
      <c r="M198">
        <v>0.21286844208175892</v>
      </c>
      <c r="O198" t="s">
        <v>1342</v>
      </c>
    </row>
    <row r="199" spans="1:15">
      <c r="A199" t="s">
        <v>377</v>
      </c>
      <c r="B199" t="s">
        <v>940</v>
      </c>
      <c r="C199" t="s">
        <v>1495</v>
      </c>
      <c r="D199">
        <v>1206</v>
      </c>
      <c r="E199">
        <v>73</v>
      </c>
      <c r="F199">
        <v>3708</v>
      </c>
      <c r="G199">
        <v>93</v>
      </c>
      <c r="H199">
        <f t="shared" si="5"/>
        <v>2092.9186160320078</v>
      </c>
      <c r="I199">
        <v>-0.22597128316310711</v>
      </c>
      <c r="J199">
        <v>1.0272672685467599</v>
      </c>
      <c r="K199">
        <v>-0.16393586416504213</v>
      </c>
      <c r="M199">
        <v>0.21245337373953688</v>
      </c>
      <c r="O199" t="s">
        <v>1495</v>
      </c>
    </row>
    <row r="200" spans="1:15">
      <c r="A200" t="s">
        <v>168</v>
      </c>
      <c r="B200" t="s">
        <v>731</v>
      </c>
      <c r="C200" t="s">
        <v>1286</v>
      </c>
      <c r="D200">
        <v>372</v>
      </c>
      <c r="E200">
        <v>350</v>
      </c>
      <c r="F200">
        <v>55</v>
      </c>
      <c r="G200">
        <v>37</v>
      </c>
      <c r="H200">
        <f t="shared" si="5"/>
        <v>175.74508053807176</v>
      </c>
      <c r="I200">
        <v>0.96557826898894761</v>
      </c>
      <c r="J200">
        <v>-0.2907053995092207</v>
      </c>
      <c r="K200">
        <v>-5.3412720729747232E-2</v>
      </c>
      <c r="M200">
        <v>0.20715338291665988</v>
      </c>
      <c r="O200" t="s">
        <v>1286</v>
      </c>
    </row>
    <row r="201" spans="1:15">
      <c r="A201" t="s">
        <v>89</v>
      </c>
      <c r="B201" t="s">
        <v>652</v>
      </c>
      <c r="C201" t="s">
        <v>1207</v>
      </c>
      <c r="D201">
        <v>907</v>
      </c>
      <c r="E201">
        <v>203</v>
      </c>
      <c r="F201">
        <v>160</v>
      </c>
      <c r="G201">
        <v>306</v>
      </c>
      <c r="H201">
        <f t="shared" si="5"/>
        <v>75.026661927610775</v>
      </c>
      <c r="I201">
        <v>0.34194191537368712</v>
      </c>
      <c r="J201">
        <v>-0.21401245352573761</v>
      </c>
      <c r="K201">
        <v>0.47704263450664003</v>
      </c>
      <c r="M201">
        <v>0.20165736545152982</v>
      </c>
      <c r="O201" t="s">
        <v>1207</v>
      </c>
    </row>
    <row r="202" spans="1:15">
      <c r="A202" t="s">
        <v>436</v>
      </c>
      <c r="B202" t="s">
        <v>999</v>
      </c>
      <c r="C202" t="s">
        <v>1554</v>
      </c>
      <c r="D202">
        <v>295</v>
      </c>
      <c r="E202">
        <v>52</v>
      </c>
      <c r="F202">
        <v>430</v>
      </c>
      <c r="G202">
        <v>15</v>
      </c>
      <c r="H202">
        <f t="shared" si="5"/>
        <v>229.66569907875521</v>
      </c>
      <c r="I202">
        <v>0.2382344921772056</v>
      </c>
      <c r="J202">
        <v>0.7031212904798565</v>
      </c>
      <c r="K202">
        <v>-0.34480226183732632</v>
      </c>
      <c r="M202">
        <v>0.19885117360657859</v>
      </c>
      <c r="O202" t="s">
        <v>1554</v>
      </c>
    </row>
    <row r="203" spans="1:15">
      <c r="A203" t="s">
        <v>547</v>
      </c>
      <c r="B203" t="s">
        <v>1110</v>
      </c>
      <c r="C203" t="s">
        <v>1665</v>
      </c>
      <c r="D203">
        <v>543</v>
      </c>
      <c r="E203">
        <v>831</v>
      </c>
      <c r="F203">
        <v>59</v>
      </c>
      <c r="G203">
        <v>39</v>
      </c>
      <c r="H203">
        <f t="shared" si="5"/>
        <v>451.59864186391587</v>
      </c>
      <c r="I203">
        <v>1.1768543587158335</v>
      </c>
      <c r="J203">
        <v>-0.42447296706826987</v>
      </c>
      <c r="K203">
        <v>-0.19480672747719252</v>
      </c>
      <c r="M203">
        <v>0.18585822139012373</v>
      </c>
      <c r="O203" t="s">
        <v>1665</v>
      </c>
    </row>
    <row r="204" spans="1:15">
      <c r="A204" t="s">
        <v>344</v>
      </c>
      <c r="B204" t="s">
        <v>907</v>
      </c>
      <c r="C204" t="s">
        <v>1462</v>
      </c>
      <c r="D204">
        <v>823</v>
      </c>
      <c r="E204">
        <v>79</v>
      </c>
      <c r="F204">
        <v>1418</v>
      </c>
      <c r="G204">
        <v>59</v>
      </c>
      <c r="H204">
        <f t="shared" si="5"/>
        <v>778.90970807490464</v>
      </c>
      <c r="I204">
        <v>-2.5719579401259018E-2</v>
      </c>
      <c r="J204">
        <v>0.77575124651321081</v>
      </c>
      <c r="K204">
        <v>-0.19561932848497032</v>
      </c>
      <c r="M204">
        <v>0.18480411287566048</v>
      </c>
      <c r="O204" t="s">
        <v>1462</v>
      </c>
    </row>
    <row r="205" spans="1:15">
      <c r="A205" t="s">
        <v>383</v>
      </c>
      <c r="B205" t="s">
        <v>946</v>
      </c>
      <c r="C205" t="s">
        <v>1501</v>
      </c>
      <c r="D205">
        <v>880</v>
      </c>
      <c r="E205">
        <v>402</v>
      </c>
      <c r="F205">
        <v>166</v>
      </c>
      <c r="G205">
        <v>110</v>
      </c>
      <c r="H205">
        <f t="shared" si="5"/>
        <v>154.97096502248414</v>
      </c>
      <c r="I205">
        <v>0.65179654545487087</v>
      </c>
      <c r="J205">
        <v>-0.18489973323168063</v>
      </c>
      <c r="K205">
        <v>4.5838508093211772E-2</v>
      </c>
      <c r="M205">
        <v>0.17091177343880068</v>
      </c>
      <c r="O205" t="s">
        <v>1501</v>
      </c>
    </row>
    <row r="206" spans="1:15">
      <c r="A206" t="s">
        <v>512</v>
      </c>
      <c r="B206" t="s">
        <v>1075</v>
      </c>
      <c r="C206" t="s">
        <v>1630</v>
      </c>
      <c r="D206">
        <v>1207</v>
      </c>
      <c r="E206">
        <v>41</v>
      </c>
      <c r="F206">
        <v>37</v>
      </c>
      <c r="G206">
        <v>12324</v>
      </c>
      <c r="H206">
        <f t="shared" si="5"/>
        <v>7092.7483389727004</v>
      </c>
      <c r="I206">
        <v>-0.47687024885704421</v>
      </c>
      <c r="J206">
        <v>-0.9740306951519212</v>
      </c>
      <c r="K206">
        <v>1.9579729146327092</v>
      </c>
      <c r="M206">
        <v>0.16902399020791456</v>
      </c>
      <c r="O206" t="s">
        <v>1630</v>
      </c>
    </row>
    <row r="207" spans="1:15">
      <c r="A207" t="s">
        <v>543</v>
      </c>
      <c r="B207" t="s">
        <v>1106</v>
      </c>
      <c r="C207" t="s">
        <v>1661</v>
      </c>
      <c r="D207">
        <v>2819</v>
      </c>
      <c r="E207">
        <v>1746</v>
      </c>
      <c r="F207">
        <v>143</v>
      </c>
      <c r="G207">
        <v>951</v>
      </c>
      <c r="H207">
        <f t="shared" si="5"/>
        <v>801.50878556216287</v>
      </c>
      <c r="I207">
        <v>0.78400232801851799</v>
      </c>
      <c r="J207">
        <v>-0.75528418752810766</v>
      </c>
      <c r="K207">
        <v>0.47701393615096688</v>
      </c>
      <c r="M207">
        <v>0.16857735888045908</v>
      </c>
      <c r="O207" t="s">
        <v>1661</v>
      </c>
    </row>
    <row r="208" spans="1:15">
      <c r="A208" t="s">
        <v>205</v>
      </c>
      <c r="B208" t="s">
        <v>768</v>
      </c>
      <c r="C208" t="s">
        <v>1323</v>
      </c>
      <c r="D208">
        <v>1115</v>
      </c>
      <c r="E208">
        <v>1417</v>
      </c>
      <c r="F208">
        <v>129</v>
      </c>
      <c r="G208">
        <v>79</v>
      </c>
      <c r="H208">
        <f t="shared" si="5"/>
        <v>758.4730274263768</v>
      </c>
      <c r="I208">
        <v>1.0961481473838504</v>
      </c>
      <c r="J208">
        <v>-0.39721030620649755</v>
      </c>
      <c r="K208">
        <v>-0.20071928100858272</v>
      </c>
      <c r="M208">
        <v>0.16607285338959002</v>
      </c>
      <c r="O208" t="s">
        <v>1323</v>
      </c>
    </row>
    <row r="209" spans="1:15">
      <c r="A209" t="s">
        <v>177</v>
      </c>
      <c r="B209" t="s">
        <v>740</v>
      </c>
      <c r="C209" t="s">
        <v>1295</v>
      </c>
      <c r="D209">
        <v>864</v>
      </c>
      <c r="E209">
        <v>1104</v>
      </c>
      <c r="F209">
        <v>27</v>
      </c>
      <c r="G209">
        <v>225</v>
      </c>
      <c r="H209">
        <f t="shared" si="5"/>
        <v>573.26172033374075</v>
      </c>
      <c r="I209">
        <v>1.0985084954348563</v>
      </c>
      <c r="J209">
        <v>-0.9656751274414731</v>
      </c>
      <c r="K209">
        <v>0.36459727071762449</v>
      </c>
      <c r="M209">
        <v>0.16581021290366924</v>
      </c>
      <c r="O209" t="s">
        <v>1295</v>
      </c>
    </row>
    <row r="210" spans="1:15">
      <c r="A210" t="s">
        <v>84</v>
      </c>
      <c r="B210" t="s">
        <v>647</v>
      </c>
      <c r="C210" t="s">
        <v>1202</v>
      </c>
      <c r="D210">
        <v>1006</v>
      </c>
      <c r="E210">
        <v>4003</v>
      </c>
      <c r="F210">
        <v>40</v>
      </c>
      <c r="G210">
        <v>64</v>
      </c>
      <c r="H210">
        <f t="shared" si="5"/>
        <v>2281.1424769180903</v>
      </c>
      <c r="I210">
        <v>1.5918407739057661</v>
      </c>
      <c r="J210">
        <v>-0.86106313851351335</v>
      </c>
      <c r="K210">
        <v>-0.24748951165086619</v>
      </c>
      <c r="M210">
        <v>0.16109604124712884</v>
      </c>
      <c r="O210" t="s">
        <v>1202</v>
      </c>
    </row>
    <row r="211" spans="1:15">
      <c r="A211" t="s">
        <v>250</v>
      </c>
      <c r="B211" t="s">
        <v>813</v>
      </c>
      <c r="C211" t="s">
        <v>1368</v>
      </c>
      <c r="D211">
        <v>533</v>
      </c>
      <c r="E211">
        <v>121</v>
      </c>
      <c r="F211">
        <v>186</v>
      </c>
      <c r="G211">
        <v>64</v>
      </c>
      <c r="H211">
        <f t="shared" si="5"/>
        <v>61.04370019365907</v>
      </c>
      <c r="I211">
        <v>0.34811132581044724</v>
      </c>
      <c r="J211">
        <v>8.2260586069776986E-2</v>
      </c>
      <c r="K211">
        <v>2.8381260042470213E-2</v>
      </c>
      <c r="M211">
        <v>0.15291772397423148</v>
      </c>
      <c r="O211" t="s">
        <v>1368</v>
      </c>
    </row>
    <row r="212" spans="1:15">
      <c r="A212" t="s">
        <v>15</v>
      </c>
      <c r="B212" t="s">
        <v>578</v>
      </c>
      <c r="C212" t="s">
        <v>1133</v>
      </c>
      <c r="D212">
        <v>720</v>
      </c>
      <c r="E212">
        <v>262</v>
      </c>
      <c r="F212">
        <v>305</v>
      </c>
      <c r="G212">
        <v>43</v>
      </c>
      <c r="H212">
        <f t="shared" si="5"/>
        <v>140.50741380202447</v>
      </c>
      <c r="I212">
        <v>0.55302195940904642</v>
      </c>
      <c r="J212">
        <v>0.16644219379395031</v>
      </c>
      <c r="K212">
        <v>-0.27493554576652657</v>
      </c>
      <c r="M212">
        <v>0.14817620247882338</v>
      </c>
      <c r="O212" t="s">
        <v>1133</v>
      </c>
    </row>
    <row r="213" spans="1:15">
      <c r="A213" t="s">
        <v>398</v>
      </c>
      <c r="B213" t="s">
        <v>961</v>
      </c>
      <c r="C213" t="s">
        <v>1516</v>
      </c>
      <c r="D213">
        <v>1549</v>
      </c>
      <c r="E213">
        <v>235</v>
      </c>
      <c r="F213">
        <v>4101</v>
      </c>
      <c r="G213">
        <v>35</v>
      </c>
      <c r="H213">
        <f t="shared" si="5"/>
        <v>2291.9537517148988</v>
      </c>
      <c r="I213">
        <v>0.17306960903309976</v>
      </c>
      <c r="J213">
        <v>0.9623132024067117</v>
      </c>
      <c r="K213">
        <v>-0.69705487832377511</v>
      </c>
      <c r="M213">
        <v>0.14610931103867877</v>
      </c>
      <c r="O213" t="s">
        <v>1516</v>
      </c>
    </row>
    <row r="214" spans="1:15">
      <c r="A214" t="s">
        <v>123</v>
      </c>
      <c r="B214" t="s">
        <v>686</v>
      </c>
      <c r="C214" t="s">
        <v>1241</v>
      </c>
      <c r="D214">
        <v>564</v>
      </c>
      <c r="E214">
        <v>4357</v>
      </c>
      <c r="F214">
        <v>16</v>
      </c>
      <c r="G214">
        <v>23</v>
      </c>
      <c r="H214">
        <f t="shared" si="5"/>
        <v>2504.2592384442419</v>
      </c>
      <c r="I214">
        <v>1.8799616204729812</v>
      </c>
      <c r="J214">
        <v>-1.0076842704489848</v>
      </c>
      <c r="K214">
        <v>-0.44062277288059404</v>
      </c>
      <c r="M214">
        <v>0.14388485904780079</v>
      </c>
      <c r="O214" t="s">
        <v>1241</v>
      </c>
    </row>
    <row r="215" spans="1:15">
      <c r="A215" t="s">
        <v>117</v>
      </c>
      <c r="B215" t="s">
        <v>680</v>
      </c>
      <c r="C215" t="s">
        <v>1235</v>
      </c>
      <c r="D215">
        <v>196</v>
      </c>
      <c r="E215">
        <v>269</v>
      </c>
      <c r="F215">
        <v>18</v>
      </c>
      <c r="G215">
        <v>13</v>
      </c>
      <c r="H215">
        <f t="shared" si="5"/>
        <v>146.37964339347189</v>
      </c>
      <c r="I215">
        <v>1.1295493731665014</v>
      </c>
      <c r="J215">
        <v>-0.49750871537473695</v>
      </c>
      <c r="K215">
        <v>-0.22938422396448388</v>
      </c>
      <c r="M215">
        <v>0.13421881127576019</v>
      </c>
      <c r="O215" t="s">
        <v>1235</v>
      </c>
    </row>
    <row r="216" spans="1:15">
      <c r="A216" t="s">
        <v>347</v>
      </c>
      <c r="B216" t="s">
        <v>910</v>
      </c>
      <c r="C216" t="s">
        <v>1465</v>
      </c>
      <c r="D216">
        <v>864</v>
      </c>
      <c r="E216">
        <v>1107</v>
      </c>
      <c r="F216">
        <v>71</v>
      </c>
      <c r="G216">
        <v>67</v>
      </c>
      <c r="H216">
        <f t="shared" si="5"/>
        <v>599.29291669433235</v>
      </c>
      <c r="I216">
        <v>1.0996870429203991</v>
      </c>
      <c r="J216">
        <v>-0.545780542881385</v>
      </c>
      <c r="K216">
        <v>-0.16151044469291165</v>
      </c>
      <c r="M216">
        <v>0.13079868511536749</v>
      </c>
      <c r="O216" t="s">
        <v>1465</v>
      </c>
    </row>
    <row r="217" spans="1:15">
      <c r="A217" t="s">
        <v>251</v>
      </c>
      <c r="B217" t="s">
        <v>814</v>
      </c>
      <c r="C217" t="s">
        <v>1369</v>
      </c>
      <c r="D217">
        <v>792</v>
      </c>
      <c r="E217">
        <v>33</v>
      </c>
      <c r="F217">
        <v>2993</v>
      </c>
      <c r="G217">
        <v>41</v>
      </c>
      <c r="H217">
        <f t="shared" si="5"/>
        <v>1706.652083271026</v>
      </c>
      <c r="I217">
        <v>-0.38815807719103668</v>
      </c>
      <c r="J217">
        <v>1.1168563861291307</v>
      </c>
      <c r="K217">
        <v>-0.33701282978460267</v>
      </c>
      <c r="M217">
        <v>0.13056182638449712</v>
      </c>
      <c r="O217" t="s">
        <v>1369</v>
      </c>
    </row>
    <row r="218" spans="1:15">
      <c r="A218" t="s">
        <v>200</v>
      </c>
      <c r="B218" t="s">
        <v>763</v>
      </c>
      <c r="C218" t="s">
        <v>1318</v>
      </c>
      <c r="D218">
        <v>383</v>
      </c>
      <c r="E218">
        <v>1237</v>
      </c>
      <c r="F218">
        <v>24</v>
      </c>
      <c r="G218">
        <v>15</v>
      </c>
      <c r="H218">
        <f t="shared" si="5"/>
        <v>702.93835670941542</v>
      </c>
      <c r="I218">
        <v>1.5012240901810674</v>
      </c>
      <c r="J218">
        <v>-0.66351268137858377</v>
      </c>
      <c r="K218">
        <v>-0.45817901982778619</v>
      </c>
      <c r="M218">
        <v>0.12651079632489914</v>
      </c>
      <c r="O218" t="s">
        <v>1318</v>
      </c>
    </row>
    <row r="219" spans="1:15">
      <c r="A219" t="s">
        <v>180</v>
      </c>
      <c r="B219" t="s">
        <v>743</v>
      </c>
      <c r="C219" t="s">
        <v>1298</v>
      </c>
      <c r="D219">
        <v>694</v>
      </c>
      <c r="E219">
        <v>57</v>
      </c>
      <c r="F219">
        <v>1277</v>
      </c>
      <c r="G219">
        <v>34</v>
      </c>
      <c r="H219">
        <f t="shared" si="5"/>
        <v>711.09985234142755</v>
      </c>
      <c r="I219">
        <v>-9.3431450261794113E-2</v>
      </c>
      <c r="J219">
        <v>0.80430627768699336</v>
      </c>
      <c r="K219">
        <v>-0.36095205832744459</v>
      </c>
      <c r="M219">
        <v>0.11664092303258489</v>
      </c>
      <c r="O219" t="s">
        <v>1298</v>
      </c>
    </row>
    <row r="220" spans="1:15">
      <c r="A220" t="s">
        <v>370</v>
      </c>
      <c r="B220" t="s">
        <v>933</v>
      </c>
      <c r="C220" t="s">
        <v>1488</v>
      </c>
      <c r="D220">
        <v>710</v>
      </c>
      <c r="E220">
        <v>1190</v>
      </c>
      <c r="F220">
        <v>26</v>
      </c>
      <c r="G220">
        <v>85</v>
      </c>
      <c r="H220">
        <f t="shared" si="5"/>
        <v>655.66785290521398</v>
      </c>
      <c r="I220">
        <v>1.216341777194025</v>
      </c>
      <c r="J220">
        <v>-0.89681014986982432</v>
      </c>
      <c r="K220">
        <v>2.70890720803727E-2</v>
      </c>
      <c r="M220">
        <v>0.1155402331348578</v>
      </c>
      <c r="O220" t="s">
        <v>1488</v>
      </c>
    </row>
    <row r="221" spans="1:15">
      <c r="A221" t="s">
        <v>336</v>
      </c>
      <c r="B221" t="s">
        <v>899</v>
      </c>
      <c r="C221" t="s">
        <v>1454</v>
      </c>
      <c r="D221">
        <v>839</v>
      </c>
      <c r="E221">
        <v>119</v>
      </c>
      <c r="F221">
        <v>428</v>
      </c>
      <c r="G221">
        <v>84</v>
      </c>
      <c r="H221">
        <f t="shared" si="5"/>
        <v>189.31543342615606</v>
      </c>
      <c r="I221">
        <v>0.14383816508439995</v>
      </c>
      <c r="J221">
        <v>0.24715665906290474</v>
      </c>
      <c r="K221">
        <v>-5.0554179681663314E-2</v>
      </c>
      <c r="M221">
        <v>0.11348021482188046</v>
      </c>
      <c r="O221" t="s">
        <v>1454</v>
      </c>
    </row>
    <row r="222" spans="1:15">
      <c r="A222" t="s">
        <v>74</v>
      </c>
      <c r="B222" t="s">
        <v>637</v>
      </c>
      <c r="C222" t="s">
        <v>1192</v>
      </c>
      <c r="D222">
        <v>1159</v>
      </c>
      <c r="E222">
        <v>1184</v>
      </c>
      <c r="F222">
        <v>256</v>
      </c>
      <c r="G222">
        <v>36</v>
      </c>
      <c r="H222">
        <f t="shared" si="5"/>
        <v>609.30123912560691</v>
      </c>
      <c r="I222">
        <v>1.0013214309438745</v>
      </c>
      <c r="J222">
        <v>-0.11636861977331348</v>
      </c>
      <c r="K222">
        <v>-0.55885244011115343</v>
      </c>
      <c r="M222">
        <v>0.1087001236864692</v>
      </c>
      <c r="O222" t="s">
        <v>1192</v>
      </c>
    </row>
    <row r="223" spans="1:15">
      <c r="A223" t="s">
        <v>514</v>
      </c>
      <c r="B223" t="s">
        <v>1077</v>
      </c>
      <c r="C223" t="s">
        <v>1632</v>
      </c>
      <c r="D223">
        <v>974</v>
      </c>
      <c r="E223">
        <v>384</v>
      </c>
      <c r="F223">
        <v>41</v>
      </c>
      <c r="G223">
        <v>396</v>
      </c>
      <c r="H223">
        <f t="shared" si="5"/>
        <v>201.58455628676847</v>
      </c>
      <c r="I223">
        <v>0.58782543200948478</v>
      </c>
      <c r="J223">
        <v>-0.83630024928044711</v>
      </c>
      <c r="K223">
        <v>0.55806472413205199</v>
      </c>
      <c r="M223">
        <v>0.10319663562036323</v>
      </c>
      <c r="O223" t="s">
        <v>1632</v>
      </c>
    </row>
    <row r="224" spans="1:15">
      <c r="A224" t="s">
        <v>394</v>
      </c>
      <c r="B224" t="s">
        <v>957</v>
      </c>
      <c r="C224" t="s">
        <v>1512</v>
      </c>
      <c r="D224">
        <v>520</v>
      </c>
      <c r="E224">
        <v>18</v>
      </c>
      <c r="F224">
        <v>1926</v>
      </c>
      <c r="G224">
        <v>27</v>
      </c>
      <c r="H224">
        <f t="shared" si="5"/>
        <v>1098.9954504000459</v>
      </c>
      <c r="I224">
        <v>-0.46867767401092353</v>
      </c>
      <c r="J224">
        <v>1.1081277900321496</v>
      </c>
      <c r="K224">
        <v>-0.33571108439065656</v>
      </c>
      <c r="M224">
        <v>0.10124634387685649</v>
      </c>
      <c r="O224" t="s">
        <v>1512</v>
      </c>
    </row>
    <row r="225" spans="1:15">
      <c r="A225" t="s">
        <v>140</v>
      </c>
      <c r="B225" t="s">
        <v>703</v>
      </c>
      <c r="C225" t="s">
        <v>1258</v>
      </c>
      <c r="D225">
        <v>800</v>
      </c>
      <c r="E225">
        <v>40</v>
      </c>
      <c r="F225">
        <v>286</v>
      </c>
      <c r="G225">
        <v>297</v>
      </c>
      <c r="H225">
        <f t="shared" si="5"/>
        <v>145.30771945541412</v>
      </c>
      <c r="I225">
        <v>-0.30897683114341179</v>
      </c>
      <c r="J225">
        <v>9.2750897015532352E-2</v>
      </c>
      <c r="K225">
        <v>0.51859495741042405</v>
      </c>
      <c r="M225">
        <v>0.10078967442751487</v>
      </c>
      <c r="O225" t="s">
        <v>1258</v>
      </c>
    </row>
    <row r="226" spans="1:15">
      <c r="A226" t="s">
        <v>160</v>
      </c>
      <c r="B226" t="s">
        <v>723</v>
      </c>
      <c r="C226" t="s">
        <v>1278</v>
      </c>
      <c r="D226">
        <v>718</v>
      </c>
      <c r="E226">
        <v>858</v>
      </c>
      <c r="F226">
        <v>62</v>
      </c>
      <c r="G226">
        <v>46</v>
      </c>
      <c r="H226">
        <f t="shared" si="5"/>
        <v>464.25854865581096</v>
      </c>
      <c r="I226">
        <v>1.0694160081269746</v>
      </c>
      <c r="J226">
        <v>-0.52425790386561355</v>
      </c>
      <c r="K226">
        <v>-0.24443811747557098</v>
      </c>
      <c r="M226">
        <v>0.10023999559526335</v>
      </c>
      <c r="O226" t="s">
        <v>1278</v>
      </c>
    </row>
    <row r="227" spans="1:15">
      <c r="A227" t="s">
        <v>462</v>
      </c>
      <c r="B227" t="s">
        <v>1025</v>
      </c>
      <c r="C227" t="s">
        <v>1580</v>
      </c>
      <c r="D227">
        <v>1932</v>
      </c>
      <c r="E227">
        <v>130</v>
      </c>
      <c r="F227">
        <v>3997</v>
      </c>
      <c r="G227">
        <v>89</v>
      </c>
      <c r="H227">
        <f t="shared" si="5"/>
        <v>2244.5427893745609</v>
      </c>
      <c r="I227">
        <v>-0.18001060525206825</v>
      </c>
      <c r="J227">
        <v>0.85520187705906325</v>
      </c>
      <c r="K227">
        <v>-0.38768862034940632</v>
      </c>
      <c r="M227">
        <v>9.5834217152529558E-2</v>
      </c>
      <c r="O227" t="s">
        <v>1580</v>
      </c>
    </row>
    <row r="228" spans="1:15">
      <c r="A228" t="s">
        <v>541</v>
      </c>
      <c r="B228" t="s">
        <v>1104</v>
      </c>
      <c r="C228" t="s">
        <v>1659</v>
      </c>
      <c r="D228">
        <v>1597</v>
      </c>
      <c r="E228">
        <v>530</v>
      </c>
      <c r="F228">
        <v>1081</v>
      </c>
      <c r="G228">
        <v>45</v>
      </c>
      <c r="H228">
        <f t="shared" si="5"/>
        <v>518.35026767621139</v>
      </c>
      <c r="I228">
        <v>0.51302411798287562</v>
      </c>
      <c r="J228">
        <v>0.3699956286932603</v>
      </c>
      <c r="K228">
        <v>-0.60116390727798397</v>
      </c>
      <c r="M228">
        <v>9.3951946466050651E-2</v>
      </c>
      <c r="O228" t="s">
        <v>1659</v>
      </c>
    </row>
    <row r="229" spans="1:15">
      <c r="A229" t="s">
        <v>231</v>
      </c>
      <c r="B229" t="s">
        <v>794</v>
      </c>
      <c r="C229" t="s">
        <v>1349</v>
      </c>
      <c r="D229">
        <v>1192</v>
      </c>
      <c r="E229">
        <v>50</v>
      </c>
      <c r="F229">
        <v>355</v>
      </c>
      <c r="G229">
        <v>603</v>
      </c>
      <c r="H229">
        <f t="shared" si="5"/>
        <v>276.98916946335646</v>
      </c>
      <c r="I229">
        <v>-0.38525308654762935</v>
      </c>
      <c r="J229">
        <v>1.3426948529309368E-2</v>
      </c>
      <c r="K229">
        <v>0.65296955182108896</v>
      </c>
      <c r="M229">
        <v>9.3714471267589652E-2</v>
      </c>
      <c r="O229" t="s">
        <v>1349</v>
      </c>
    </row>
    <row r="230" spans="1:15">
      <c r="A230" t="s">
        <v>34</v>
      </c>
      <c r="B230" t="s">
        <v>597</v>
      </c>
      <c r="C230" t="s">
        <v>1152</v>
      </c>
      <c r="D230">
        <v>582</v>
      </c>
      <c r="E230">
        <v>61</v>
      </c>
      <c r="F230">
        <v>174</v>
      </c>
      <c r="G230">
        <v>115</v>
      </c>
      <c r="H230">
        <f t="shared" si="5"/>
        <v>56.518433571122017</v>
      </c>
      <c r="I230">
        <v>1.2460014881447989E-2</v>
      </c>
      <c r="J230">
        <v>1.5101114511144154E-2</v>
      </c>
      <c r="K230">
        <v>0.2447033507888785</v>
      </c>
      <c r="M230">
        <v>9.0754826727156887E-2</v>
      </c>
      <c r="O230" t="s">
        <v>1152</v>
      </c>
    </row>
    <row r="231" spans="1:15">
      <c r="A231" t="s">
        <v>145</v>
      </c>
      <c r="B231" t="s">
        <v>708</v>
      </c>
      <c r="C231" t="s">
        <v>1263</v>
      </c>
      <c r="D231">
        <v>1119</v>
      </c>
      <c r="E231">
        <v>4254</v>
      </c>
      <c r="F231">
        <v>26</v>
      </c>
      <c r="G231">
        <v>73</v>
      </c>
      <c r="H231">
        <f t="shared" si="5"/>
        <v>2427.5829542983697</v>
      </c>
      <c r="I231">
        <v>1.5720205635589295</v>
      </c>
      <c r="J231">
        <v>-1.0943818876790989</v>
      </c>
      <c r="K231">
        <v>-0.23657873132273877</v>
      </c>
      <c r="M231">
        <v>8.0353314852363925E-2</v>
      </c>
      <c r="O231" t="s">
        <v>1263</v>
      </c>
    </row>
    <row r="232" spans="1:15">
      <c r="A232" t="s">
        <v>279</v>
      </c>
      <c r="B232" t="s">
        <v>842</v>
      </c>
      <c r="C232" t="s">
        <v>1397</v>
      </c>
      <c r="D232">
        <v>309</v>
      </c>
      <c r="E232">
        <v>14</v>
      </c>
      <c r="F232">
        <v>452</v>
      </c>
      <c r="G232">
        <v>26</v>
      </c>
      <c r="H232">
        <f t="shared" si="5"/>
        <v>249.48747463550148</v>
      </c>
      <c r="I232">
        <v>-0.3517772792260272</v>
      </c>
      <c r="J232">
        <v>0.70465480626498045</v>
      </c>
      <c r="K232">
        <v>-0.12605663636886133</v>
      </c>
      <c r="M232">
        <v>7.5606963556697313E-2</v>
      </c>
      <c r="O232" t="s">
        <v>1397</v>
      </c>
    </row>
    <row r="233" spans="1:15">
      <c r="A233" t="s">
        <v>82</v>
      </c>
      <c r="B233" t="s">
        <v>645</v>
      </c>
      <c r="C233" t="s">
        <v>1200</v>
      </c>
      <c r="D233">
        <v>1003</v>
      </c>
      <c r="E233">
        <v>1626</v>
      </c>
      <c r="F233">
        <v>90</v>
      </c>
      <c r="G233">
        <v>37</v>
      </c>
      <c r="H233">
        <f t="shared" si="5"/>
        <v>902.49893813418601</v>
      </c>
      <c r="I233">
        <v>1.2018727727582008</v>
      </c>
      <c r="J233">
        <v>-0.50758357270266019</v>
      </c>
      <c r="K233">
        <v>-0.48417071386826782</v>
      </c>
      <c r="M233">
        <v>7.0039495395757601E-2</v>
      </c>
      <c r="O233" t="s">
        <v>1200</v>
      </c>
    </row>
    <row r="234" spans="1:15">
      <c r="A234" t="s">
        <v>476</v>
      </c>
      <c r="B234" t="s">
        <v>1039</v>
      </c>
      <c r="C234" t="s">
        <v>1594</v>
      </c>
      <c r="D234">
        <v>574</v>
      </c>
      <c r="E234">
        <v>1210</v>
      </c>
      <c r="F234">
        <v>42</v>
      </c>
      <c r="G234">
        <v>19</v>
      </c>
      <c r="H234">
        <f t="shared" si="5"/>
        <v>681.08173763017112</v>
      </c>
      <c r="I234">
        <v>1.3159266424390461</v>
      </c>
      <c r="J234">
        <v>-0.59618775112164013</v>
      </c>
      <c r="K234">
        <v>-0.53122979635998924</v>
      </c>
      <c r="M234">
        <v>6.2836364985805582E-2</v>
      </c>
      <c r="O234" t="s">
        <v>1594</v>
      </c>
    </row>
    <row r="235" spans="1:15">
      <c r="A235" t="s">
        <v>265</v>
      </c>
      <c r="B235" t="s">
        <v>828</v>
      </c>
      <c r="C235" t="s">
        <v>1383</v>
      </c>
      <c r="D235">
        <v>194</v>
      </c>
      <c r="E235">
        <v>73</v>
      </c>
      <c r="F235">
        <v>56</v>
      </c>
      <c r="G235">
        <v>9</v>
      </c>
      <c r="H235">
        <f t="shared" si="5"/>
        <v>33.151168908501553</v>
      </c>
      <c r="I235">
        <v>0.56757429471079934</v>
      </c>
      <c r="J235">
        <v>-1.3885204559271891E-4</v>
      </c>
      <c r="K235">
        <v>-0.38463072540574594</v>
      </c>
      <c r="M235">
        <v>6.0934905753153558E-2</v>
      </c>
      <c r="O235" t="s">
        <v>1383</v>
      </c>
    </row>
    <row r="236" spans="1:15">
      <c r="A236" t="s">
        <v>482</v>
      </c>
      <c r="B236" t="s">
        <v>1045</v>
      </c>
      <c r="C236" t="s">
        <v>1600</v>
      </c>
      <c r="D236">
        <v>497</v>
      </c>
      <c r="E236">
        <v>14</v>
      </c>
      <c r="F236">
        <v>1453</v>
      </c>
      <c r="G236">
        <v>30</v>
      </c>
      <c r="H236">
        <f t="shared" si="5"/>
        <v>826.22696639603816</v>
      </c>
      <c r="I236">
        <v>-0.55817518853452452</v>
      </c>
      <c r="J236">
        <v>1.0053840764431223</v>
      </c>
      <c r="K236">
        <v>-0.27030663892851448</v>
      </c>
      <c r="M236">
        <v>5.8967416326694444E-2</v>
      </c>
      <c r="O236" t="s">
        <v>1600</v>
      </c>
    </row>
    <row r="237" spans="1:15">
      <c r="A237" t="s">
        <v>385</v>
      </c>
      <c r="B237" t="s">
        <v>948</v>
      </c>
      <c r="C237" t="s">
        <v>1503</v>
      </c>
      <c r="D237">
        <v>1255</v>
      </c>
      <c r="E237">
        <v>641</v>
      </c>
      <c r="F237">
        <v>198</v>
      </c>
      <c r="G237">
        <v>77</v>
      </c>
      <c r="H237">
        <f t="shared" si="5"/>
        <v>296.92479406969932</v>
      </c>
      <c r="I237">
        <v>0.70026746822232999</v>
      </c>
      <c r="J237">
        <v>-0.26250368467709284</v>
      </c>
      <c r="K237">
        <v>-0.26322450555941979</v>
      </c>
      <c r="M237">
        <v>5.8179759328605786E-2</v>
      </c>
      <c r="O237" t="s">
        <v>1503</v>
      </c>
    </row>
    <row r="238" spans="1:15">
      <c r="A238" t="s">
        <v>138</v>
      </c>
      <c r="B238" t="s">
        <v>701</v>
      </c>
      <c r="C238" t="s">
        <v>1256</v>
      </c>
      <c r="D238">
        <v>539</v>
      </c>
      <c r="E238">
        <v>290</v>
      </c>
      <c r="F238">
        <v>160</v>
      </c>
      <c r="G238">
        <v>16</v>
      </c>
      <c r="H238">
        <f t="shared" si="5"/>
        <v>137.05959774249061</v>
      </c>
      <c r="I238">
        <v>0.72286239723278689</v>
      </c>
      <c r="J238">
        <v>1.2006068347619081E-2</v>
      </c>
      <c r="K238">
        <v>-0.57854028744565866</v>
      </c>
      <c r="M238">
        <v>5.2109392711582436E-2</v>
      </c>
      <c r="O238" t="s">
        <v>1256</v>
      </c>
    </row>
    <row r="239" spans="1:15">
      <c r="A239" t="s">
        <v>495</v>
      </c>
      <c r="B239" t="s">
        <v>1058</v>
      </c>
      <c r="C239" t="s">
        <v>1613</v>
      </c>
      <c r="D239">
        <v>3058</v>
      </c>
      <c r="E239">
        <v>2645</v>
      </c>
      <c r="F239">
        <v>322</v>
      </c>
      <c r="G239">
        <v>159</v>
      </c>
      <c r="H239">
        <f t="shared" si="5"/>
        <v>1390.6289943762858</v>
      </c>
      <c r="I239">
        <v>0.92904135981547276</v>
      </c>
      <c r="J239">
        <v>-0.43810675850203751</v>
      </c>
      <c r="K239">
        <v>-0.33511186167069451</v>
      </c>
      <c r="M239">
        <v>5.194091321424691E-2</v>
      </c>
      <c r="O239" t="s">
        <v>1613</v>
      </c>
    </row>
    <row r="240" spans="1:15">
      <c r="A240" t="s">
        <v>110</v>
      </c>
      <c r="B240" t="s">
        <v>673</v>
      </c>
      <c r="C240" t="s">
        <v>1228</v>
      </c>
      <c r="D240">
        <v>349</v>
      </c>
      <c r="E240">
        <v>19</v>
      </c>
      <c r="F240">
        <v>495</v>
      </c>
      <c r="G240">
        <v>21</v>
      </c>
      <c r="H240">
        <f t="shared" si="5"/>
        <v>274.24320107038812</v>
      </c>
      <c r="I240">
        <v>-0.27201866148578135</v>
      </c>
      <c r="J240">
        <v>0.6912546228528218</v>
      </c>
      <c r="K240">
        <v>-0.27167763714010529</v>
      </c>
      <c r="M240">
        <v>4.9186108075645052E-2</v>
      </c>
      <c r="O240" t="s">
        <v>1228</v>
      </c>
    </row>
    <row r="241" spans="1:15">
      <c r="A241" t="s">
        <v>189</v>
      </c>
      <c r="B241" t="s">
        <v>752</v>
      </c>
      <c r="C241" t="s">
        <v>1307</v>
      </c>
      <c r="D241">
        <v>349</v>
      </c>
      <c r="E241">
        <v>136</v>
      </c>
      <c r="F241">
        <v>76</v>
      </c>
      <c r="G241">
        <v>19</v>
      </c>
      <c r="H241">
        <f t="shared" si="5"/>
        <v>58.506409905240297</v>
      </c>
      <c r="I241">
        <v>0.5827666459316071</v>
      </c>
      <c r="J241">
        <v>-0.12253698379995559</v>
      </c>
      <c r="K241">
        <v>-0.31514333092119551</v>
      </c>
      <c r="M241">
        <v>4.8362110403485335E-2</v>
      </c>
      <c r="O241" t="s">
        <v>1307</v>
      </c>
    </row>
    <row r="242" spans="1:15">
      <c r="A242" t="s">
        <v>175</v>
      </c>
      <c r="B242" t="s">
        <v>738</v>
      </c>
      <c r="C242" t="s">
        <v>1293</v>
      </c>
      <c r="D242">
        <v>797</v>
      </c>
      <c r="E242">
        <v>1844</v>
      </c>
      <c r="F242">
        <v>11</v>
      </c>
      <c r="G242">
        <v>112</v>
      </c>
      <c r="H242">
        <f t="shared" ref="H242:H305" si="6">STDEV(E242:G242)</f>
        <v>1030.3651456320392</v>
      </c>
      <c r="I242">
        <v>1.3563557598420677</v>
      </c>
      <c r="J242">
        <v>-1.3205907853594545</v>
      </c>
      <c r="K242">
        <v>9.6688196359224543E-2</v>
      </c>
      <c r="M242">
        <v>4.4151056947279242E-2</v>
      </c>
      <c r="O242" t="s">
        <v>1293</v>
      </c>
    </row>
    <row r="243" spans="1:15">
      <c r="A243" t="s">
        <v>147</v>
      </c>
      <c r="B243" t="s">
        <v>710</v>
      </c>
      <c r="C243" t="s">
        <v>1265</v>
      </c>
      <c r="D243">
        <v>836</v>
      </c>
      <c r="E243">
        <v>78</v>
      </c>
      <c r="F243">
        <v>640</v>
      </c>
      <c r="G243">
        <v>51</v>
      </c>
      <c r="H243">
        <f t="shared" si="6"/>
        <v>332.53922074446098</v>
      </c>
      <c r="I243">
        <v>-3.8058510227966469E-2</v>
      </c>
      <c r="J243">
        <v>0.42344854742330373</v>
      </c>
      <c r="K243">
        <v>-0.26570760625592471</v>
      </c>
      <c r="M243">
        <v>3.9894143646470849E-2</v>
      </c>
      <c r="O243" t="s">
        <v>1265</v>
      </c>
    </row>
    <row r="244" spans="1:15">
      <c r="A244" t="s">
        <v>24</v>
      </c>
      <c r="B244" t="s">
        <v>587</v>
      </c>
      <c r="C244" t="s">
        <v>1142</v>
      </c>
      <c r="D244">
        <v>346</v>
      </c>
      <c r="E244">
        <v>184</v>
      </c>
      <c r="F244">
        <v>39</v>
      </c>
      <c r="G244">
        <v>24</v>
      </c>
      <c r="H244">
        <f t="shared" si="6"/>
        <v>88.364774278743752</v>
      </c>
      <c r="I244">
        <v>0.71779488873732933</v>
      </c>
      <c r="J244">
        <v>-0.40853664088784447</v>
      </c>
      <c r="K244">
        <v>-0.20993636199601529</v>
      </c>
      <c r="M244">
        <v>3.3107295284489857E-2</v>
      </c>
      <c r="O244" t="s">
        <v>1142</v>
      </c>
    </row>
    <row r="245" spans="1:15">
      <c r="A245" t="s">
        <v>107</v>
      </c>
      <c r="B245" t="s">
        <v>670</v>
      </c>
      <c r="C245" t="s">
        <v>1225</v>
      </c>
      <c r="D245">
        <v>215</v>
      </c>
      <c r="E245">
        <v>8</v>
      </c>
      <c r="F245">
        <v>285</v>
      </c>
      <c r="G245">
        <v>18</v>
      </c>
      <c r="H245">
        <f t="shared" si="6"/>
        <v>157.11885098018422</v>
      </c>
      <c r="I245">
        <v>-0.43729530840309239</v>
      </c>
      <c r="J245">
        <v>0.66188125097133776</v>
      </c>
      <c r="K245">
        <v>-0.12823745972714407</v>
      </c>
      <c r="M245">
        <v>3.2116160947033769E-2</v>
      </c>
      <c r="O245" t="s">
        <v>1225</v>
      </c>
    </row>
    <row r="246" spans="1:15">
      <c r="A246" t="s">
        <v>375</v>
      </c>
      <c r="B246" t="s">
        <v>938</v>
      </c>
      <c r="C246" t="s">
        <v>1493</v>
      </c>
      <c r="D246">
        <v>2321</v>
      </c>
      <c r="E246">
        <v>24518</v>
      </c>
      <c r="F246">
        <v>25</v>
      </c>
      <c r="G246">
        <v>84</v>
      </c>
      <c r="H246">
        <f t="shared" si="6"/>
        <v>14124.039117759481</v>
      </c>
      <c r="I246">
        <v>2.0158630647727982</v>
      </c>
      <c r="J246">
        <v>-1.4282602809054472</v>
      </c>
      <c r="K246">
        <v>-0.49246735930888086</v>
      </c>
      <c r="M246">
        <v>3.1711808186156709E-2</v>
      </c>
      <c r="O246" t="s">
        <v>1493</v>
      </c>
    </row>
    <row r="247" spans="1:15">
      <c r="A247" t="s">
        <v>129</v>
      </c>
      <c r="B247" t="s">
        <v>692</v>
      </c>
      <c r="C247" t="s">
        <v>1247</v>
      </c>
      <c r="D247">
        <v>392</v>
      </c>
      <c r="E247">
        <v>29</v>
      </c>
      <c r="F247">
        <v>1016</v>
      </c>
      <c r="G247">
        <v>8</v>
      </c>
      <c r="H247">
        <f t="shared" si="6"/>
        <v>576.00260416077981</v>
      </c>
      <c r="I247">
        <v>-0.13883490460093162</v>
      </c>
      <c r="J247">
        <v>0.95308249180587612</v>
      </c>
      <c r="K247">
        <v>-0.74126758494335832</v>
      </c>
      <c r="M247">
        <v>2.432666742052873E-2</v>
      </c>
      <c r="O247" t="s">
        <v>1247</v>
      </c>
    </row>
    <row r="248" spans="1:15">
      <c r="A248" t="s">
        <v>497</v>
      </c>
      <c r="B248" t="s">
        <v>1060</v>
      </c>
      <c r="C248" t="s">
        <v>1615</v>
      </c>
      <c r="D248">
        <v>1317</v>
      </c>
      <c r="E248">
        <v>91</v>
      </c>
      <c r="F248">
        <v>81</v>
      </c>
      <c r="G248">
        <v>1201</v>
      </c>
      <c r="H248">
        <f t="shared" si="6"/>
        <v>643.76496746354042</v>
      </c>
      <c r="I248">
        <v>-0.1684912181201208</v>
      </c>
      <c r="J248">
        <v>-0.671625905204701</v>
      </c>
      <c r="K248">
        <v>0.90888572752627761</v>
      </c>
      <c r="M248">
        <v>2.2922868067151936E-2</v>
      </c>
      <c r="O248" t="s">
        <v>1615</v>
      </c>
    </row>
    <row r="249" spans="1:15">
      <c r="A249" t="s">
        <v>125</v>
      </c>
      <c r="B249" t="s">
        <v>688</v>
      </c>
      <c r="C249" t="s">
        <v>1243</v>
      </c>
      <c r="D249">
        <v>974</v>
      </c>
      <c r="E249">
        <v>1004</v>
      </c>
      <c r="F249">
        <v>33</v>
      </c>
      <c r="G249">
        <v>103</v>
      </c>
      <c r="H249">
        <f t="shared" si="6"/>
        <v>541.5320858453357</v>
      </c>
      <c r="I249">
        <v>1.0052279204509544</v>
      </c>
      <c r="J249">
        <v>-0.93057016612229504</v>
      </c>
      <c r="K249">
        <v>-2.6793237088288069E-2</v>
      </c>
      <c r="M249">
        <v>1.5954839080123778E-2</v>
      </c>
      <c r="O249" t="s">
        <v>1243</v>
      </c>
    </row>
    <row r="250" spans="1:15">
      <c r="A250" t="s">
        <v>218</v>
      </c>
      <c r="B250" t="s">
        <v>781</v>
      </c>
      <c r="C250" t="s">
        <v>1336</v>
      </c>
      <c r="D250">
        <v>610</v>
      </c>
      <c r="E250">
        <v>532</v>
      </c>
      <c r="F250">
        <v>83</v>
      </c>
      <c r="G250">
        <v>18</v>
      </c>
      <c r="H250">
        <f t="shared" si="6"/>
        <v>279.88747739046846</v>
      </c>
      <c r="I250">
        <v>0.93263496180485062</v>
      </c>
      <c r="J250">
        <v>-0.32677689175626023</v>
      </c>
      <c r="K250">
        <v>-0.5811288348223056</v>
      </c>
      <c r="M250">
        <v>8.2430784087615949E-3</v>
      </c>
      <c r="O250" t="s">
        <v>1336</v>
      </c>
    </row>
    <row r="251" spans="1:15">
      <c r="A251" t="s">
        <v>115</v>
      </c>
      <c r="B251" t="s">
        <v>678</v>
      </c>
      <c r="C251" t="s">
        <v>1233</v>
      </c>
      <c r="D251">
        <v>490</v>
      </c>
      <c r="E251">
        <v>348</v>
      </c>
      <c r="F251">
        <v>47</v>
      </c>
      <c r="G251">
        <v>25</v>
      </c>
      <c r="H251">
        <f t="shared" si="6"/>
        <v>180.46883387443938</v>
      </c>
      <c r="I251">
        <v>0.8434363284386367</v>
      </c>
      <c r="J251">
        <v>-0.47862337121436316</v>
      </c>
      <c r="K251">
        <v>-0.34332757627132082</v>
      </c>
      <c r="M251">
        <v>7.1617936509842384E-3</v>
      </c>
      <c r="O251" t="s">
        <v>1233</v>
      </c>
    </row>
    <row r="252" spans="1:15">
      <c r="A252" t="s">
        <v>397</v>
      </c>
      <c r="B252" t="s">
        <v>960</v>
      </c>
      <c r="C252" t="s">
        <v>1515</v>
      </c>
      <c r="D252">
        <v>1557</v>
      </c>
      <c r="E252">
        <v>93</v>
      </c>
      <c r="F252">
        <v>1245</v>
      </c>
      <c r="G252">
        <v>113</v>
      </c>
      <c r="H252">
        <f t="shared" si="6"/>
        <v>659.40983715238383</v>
      </c>
      <c r="I252">
        <v>-0.23175249949361576</v>
      </c>
      <c r="J252">
        <v>0.44235558974206779</v>
      </c>
      <c r="K252">
        <v>-0.19028167399954521</v>
      </c>
      <c r="M252">
        <v>6.7738054163022738E-3</v>
      </c>
      <c r="O252" t="s">
        <v>1515</v>
      </c>
    </row>
    <row r="253" spans="1:15" s="12" customFormat="1">
      <c r="A253" s="12" t="s">
        <v>557</v>
      </c>
      <c r="B253" s="12" t="s">
        <v>562</v>
      </c>
      <c r="C253" s="12" t="s">
        <v>1671</v>
      </c>
      <c r="D253" s="12">
        <v>1787</v>
      </c>
      <c r="E253" s="12">
        <v>182</v>
      </c>
      <c r="F253" s="12">
        <v>516</v>
      </c>
      <c r="G253" s="12">
        <v>201</v>
      </c>
      <c r="H253" s="12">
        <f t="shared" si="6"/>
        <v>187.59086687078704</v>
      </c>
      <c r="I253" s="12">
        <v>0</v>
      </c>
      <c r="J253" s="12">
        <v>0</v>
      </c>
      <c r="K253" s="12">
        <v>0</v>
      </c>
      <c r="M253" s="12">
        <v>0</v>
      </c>
      <c r="O253" s="12" t="s">
        <v>1671</v>
      </c>
    </row>
    <row r="254" spans="1:15">
      <c r="A254" t="s">
        <v>228</v>
      </c>
      <c r="B254" t="s">
        <v>791</v>
      </c>
      <c r="C254" t="s">
        <v>1346</v>
      </c>
      <c r="D254">
        <v>1111</v>
      </c>
      <c r="E254">
        <v>19</v>
      </c>
      <c r="F254">
        <v>4812</v>
      </c>
      <c r="G254">
        <v>49</v>
      </c>
      <c r="H254">
        <f t="shared" si="6"/>
        <v>2758.620367744234</v>
      </c>
      <c r="I254">
        <v>-0.77490729346746923</v>
      </c>
      <c r="J254">
        <v>1.1760864106053726</v>
      </c>
      <c r="K254">
        <v>-0.40658948382719862</v>
      </c>
      <c r="M254">
        <v>-1.803455563098429E-3</v>
      </c>
      <c r="O254" t="s">
        <v>1346</v>
      </c>
    </row>
    <row r="255" spans="1:15">
      <c r="A255" t="s">
        <v>378</v>
      </c>
      <c r="B255" t="s">
        <v>941</v>
      </c>
      <c r="C255" t="s">
        <v>1496</v>
      </c>
      <c r="D255">
        <v>1707</v>
      </c>
      <c r="E255">
        <v>812</v>
      </c>
      <c r="F255">
        <v>128</v>
      </c>
      <c r="G255">
        <v>150</v>
      </c>
      <c r="H255">
        <f t="shared" si="6"/>
        <v>388.71240439859048</v>
      </c>
      <c r="I255">
        <v>0.66937567264701114</v>
      </c>
      <c r="J255">
        <v>-0.58554870058843222</v>
      </c>
      <c r="K255">
        <v>-0.10721376697389706</v>
      </c>
      <c r="M255">
        <v>-7.795598305106048E-3</v>
      </c>
      <c r="O255" t="s">
        <v>1496</v>
      </c>
    </row>
    <row r="256" spans="1:15">
      <c r="A256" t="s">
        <v>407</v>
      </c>
      <c r="B256" t="s">
        <v>970</v>
      </c>
      <c r="C256" t="s">
        <v>1525</v>
      </c>
      <c r="D256">
        <v>653</v>
      </c>
      <c r="E256">
        <v>2023</v>
      </c>
      <c r="F256">
        <v>8</v>
      </c>
      <c r="G256">
        <v>52</v>
      </c>
      <c r="H256">
        <f t="shared" si="6"/>
        <v>1150.8693815256941</v>
      </c>
      <c r="I256">
        <v>1.4831358660163003</v>
      </c>
      <c r="J256">
        <v>-1.3723483434046972</v>
      </c>
      <c r="K256">
        <v>-0.14998134255511952</v>
      </c>
      <c r="M256">
        <v>-1.3064606647838817E-2</v>
      </c>
      <c r="O256" t="s">
        <v>1525</v>
      </c>
    </row>
    <row r="257" spans="1:15">
      <c r="A257" t="s">
        <v>201</v>
      </c>
      <c r="B257" t="s">
        <v>764</v>
      </c>
      <c r="C257" t="s">
        <v>1319</v>
      </c>
      <c r="D257">
        <v>508</v>
      </c>
      <c r="E257">
        <v>872</v>
      </c>
      <c r="F257">
        <v>15</v>
      </c>
      <c r="G257">
        <v>29</v>
      </c>
      <c r="H257">
        <f t="shared" si="6"/>
        <v>490.79765008945725</v>
      </c>
      <c r="I257">
        <v>1.2267059371692175</v>
      </c>
      <c r="J257">
        <v>-0.99029760234980502</v>
      </c>
      <c r="K257">
        <v>-0.29453721929980792</v>
      </c>
      <c r="M257">
        <v>-1.9376294826798479E-2</v>
      </c>
      <c r="O257" t="s">
        <v>1319</v>
      </c>
    </row>
    <row r="258" spans="1:15">
      <c r="A258" t="s">
        <v>108</v>
      </c>
      <c r="B258" t="s">
        <v>671</v>
      </c>
      <c r="C258" t="s">
        <v>1226</v>
      </c>
      <c r="D258">
        <v>381</v>
      </c>
      <c r="E258">
        <v>157</v>
      </c>
      <c r="F258">
        <v>35</v>
      </c>
      <c r="G258">
        <v>29</v>
      </c>
      <c r="H258">
        <f t="shared" si="6"/>
        <v>72.231110564169882</v>
      </c>
      <c r="I258">
        <v>0.60702784125418385</v>
      </c>
      <c r="J258">
        <v>-0.49738208044691079</v>
      </c>
      <c r="K258">
        <v>-0.16959848269150801</v>
      </c>
      <c r="M258">
        <v>-1.9984240628078315E-2</v>
      </c>
      <c r="O258" t="s">
        <v>1226</v>
      </c>
    </row>
    <row r="259" spans="1:15">
      <c r="A259" t="s">
        <v>220</v>
      </c>
      <c r="B259" t="s">
        <v>783</v>
      </c>
      <c r="C259" t="s">
        <v>1338</v>
      </c>
      <c r="D259">
        <v>1107</v>
      </c>
      <c r="E259">
        <v>101</v>
      </c>
      <c r="F259">
        <v>450</v>
      </c>
      <c r="G259">
        <v>85</v>
      </c>
      <c r="H259">
        <f t="shared" si="6"/>
        <v>206.26924152669974</v>
      </c>
      <c r="I259">
        <v>-4.7773082575510717E-2</v>
      </c>
      <c r="J259">
        <v>0.1485397437750538</v>
      </c>
      <c r="K259">
        <v>-0.16580020007927487</v>
      </c>
      <c r="M259">
        <v>-2.167784629324393E-2</v>
      </c>
      <c r="O259" t="s">
        <v>1338</v>
      </c>
    </row>
    <row r="260" spans="1:15">
      <c r="A260" t="s">
        <v>356</v>
      </c>
      <c r="B260" t="s">
        <v>919</v>
      </c>
      <c r="C260" t="s">
        <v>1474</v>
      </c>
      <c r="D260">
        <v>690</v>
      </c>
      <c r="E260">
        <v>426</v>
      </c>
      <c r="F260">
        <v>46</v>
      </c>
      <c r="G260">
        <v>47</v>
      </c>
      <c r="H260">
        <f t="shared" si="6"/>
        <v>219.10499766093881</v>
      </c>
      <c r="I260">
        <v>0.78261367288603312</v>
      </c>
      <c r="J260">
        <v>-0.63661640817724841</v>
      </c>
      <c r="K260">
        <v>-0.21782273771638261</v>
      </c>
      <c r="M260">
        <v>-2.3941824335865964E-2</v>
      </c>
      <c r="O260" t="s">
        <v>1474</v>
      </c>
    </row>
    <row r="261" spans="1:15">
      <c r="A261" t="s">
        <v>459</v>
      </c>
      <c r="B261" t="s">
        <v>1022</v>
      </c>
      <c r="C261" t="s">
        <v>1577</v>
      </c>
      <c r="D261">
        <v>407</v>
      </c>
      <c r="E261">
        <v>277</v>
      </c>
      <c r="F261">
        <v>21</v>
      </c>
      <c r="G261">
        <v>32</v>
      </c>
      <c r="H261">
        <f t="shared" si="6"/>
        <v>144.73078456223473</v>
      </c>
      <c r="I261">
        <v>0.82493852435979798</v>
      </c>
      <c r="J261">
        <v>-0.74790026361286788</v>
      </c>
      <c r="K261">
        <v>-0.15551593582015877</v>
      </c>
      <c r="M261">
        <v>-2.6159225024409555E-2</v>
      </c>
      <c r="O261" t="s">
        <v>1577</v>
      </c>
    </row>
    <row r="262" spans="1:15">
      <c r="A262" t="s">
        <v>208</v>
      </c>
      <c r="B262" t="s">
        <v>771</v>
      </c>
      <c r="C262" t="s">
        <v>1326</v>
      </c>
      <c r="D262">
        <v>617</v>
      </c>
      <c r="E262">
        <v>38</v>
      </c>
      <c r="F262">
        <v>589</v>
      </c>
      <c r="G262">
        <v>28</v>
      </c>
      <c r="H262">
        <f t="shared" si="6"/>
        <v>321.04568729907169</v>
      </c>
      <c r="I262">
        <v>-0.21844840289586198</v>
      </c>
      <c r="J262">
        <v>0.51930498163229288</v>
      </c>
      <c r="K262">
        <v>-0.39419863760586704</v>
      </c>
      <c r="M262">
        <v>-3.1114019623145379E-2</v>
      </c>
      <c r="O262" t="s">
        <v>1326</v>
      </c>
    </row>
    <row r="263" spans="1:15">
      <c r="A263" t="s">
        <v>226</v>
      </c>
      <c r="B263" t="s">
        <v>789</v>
      </c>
      <c r="C263" t="s">
        <v>1344</v>
      </c>
      <c r="D263">
        <v>673</v>
      </c>
      <c r="E263">
        <v>481</v>
      </c>
      <c r="F263">
        <v>43</v>
      </c>
      <c r="G263">
        <v>39</v>
      </c>
      <c r="H263">
        <f t="shared" si="6"/>
        <v>254.04199127965703</v>
      </c>
      <c r="I263">
        <v>0.84618317667042442</v>
      </c>
      <c r="J263">
        <v>-0.65507175776595739</v>
      </c>
      <c r="K263">
        <v>-0.28802196211232234</v>
      </c>
      <c r="M263">
        <v>-3.2303514402618437E-2</v>
      </c>
      <c r="O263" t="s">
        <v>1344</v>
      </c>
    </row>
    <row r="264" spans="1:15">
      <c r="A264" t="s">
        <v>371</v>
      </c>
      <c r="B264" t="s">
        <v>934</v>
      </c>
      <c r="C264" t="s">
        <v>1489</v>
      </c>
      <c r="D264">
        <v>1419</v>
      </c>
      <c r="E264">
        <v>300</v>
      </c>
      <c r="F264">
        <v>38</v>
      </c>
      <c r="G264">
        <v>657</v>
      </c>
      <c r="H264">
        <f t="shared" si="6"/>
        <v>310.71262177989058</v>
      </c>
      <c r="I264">
        <v>0.3171920237827579</v>
      </c>
      <c r="J264">
        <v>-1.0327239479622308</v>
      </c>
      <c r="K264">
        <v>0.61451146918746202</v>
      </c>
      <c r="M264">
        <v>-3.3673484997336946E-2</v>
      </c>
      <c r="O264" t="s">
        <v>1489</v>
      </c>
    </row>
    <row r="265" spans="1:15">
      <c r="A265" t="s">
        <v>198</v>
      </c>
      <c r="B265" t="s">
        <v>761</v>
      </c>
      <c r="C265" t="s">
        <v>1316</v>
      </c>
      <c r="D265">
        <v>458</v>
      </c>
      <c r="E265">
        <v>51</v>
      </c>
      <c r="F265">
        <v>159</v>
      </c>
      <c r="G265">
        <v>31</v>
      </c>
      <c r="H265">
        <f t="shared" si="6"/>
        <v>68.85734044626858</v>
      </c>
      <c r="I265">
        <v>3.8757862614636651E-2</v>
      </c>
      <c r="J265">
        <v>8.000649719501518E-2</v>
      </c>
      <c r="K265">
        <v>-0.22057528908444124</v>
      </c>
      <c r="M265">
        <v>-3.39369764249298E-2</v>
      </c>
      <c r="O265" t="s">
        <v>1316</v>
      </c>
    </row>
    <row r="266" spans="1:15">
      <c r="A266" t="s">
        <v>71</v>
      </c>
      <c r="B266" t="s">
        <v>634</v>
      </c>
      <c r="C266" t="s">
        <v>1189</v>
      </c>
      <c r="D266">
        <v>432</v>
      </c>
      <c r="E266">
        <v>22</v>
      </c>
      <c r="F266">
        <v>12</v>
      </c>
      <c r="G266">
        <v>798</v>
      </c>
      <c r="H266">
        <f t="shared" si="6"/>
        <v>450.93828106885462</v>
      </c>
      <c r="I266">
        <v>-0.30100790147213652</v>
      </c>
      <c r="J266">
        <v>-1.0168276498888544</v>
      </c>
      <c r="K266">
        <v>1.2154476396209728</v>
      </c>
      <c r="M266">
        <v>-3.4129303913339383E-2</v>
      </c>
      <c r="O266" t="s">
        <v>1189</v>
      </c>
    </row>
    <row r="267" spans="1:15">
      <c r="A267" t="s">
        <v>550</v>
      </c>
      <c r="B267" t="s">
        <v>1113</v>
      </c>
      <c r="C267" t="s">
        <v>1668</v>
      </c>
      <c r="D267">
        <v>815</v>
      </c>
      <c r="E267">
        <v>31</v>
      </c>
      <c r="F267">
        <v>42</v>
      </c>
      <c r="G267">
        <v>1073</v>
      </c>
      <c r="H267">
        <f t="shared" si="6"/>
        <v>598.44882822176203</v>
      </c>
      <c r="I267">
        <v>-0.42774275038513454</v>
      </c>
      <c r="J267">
        <v>-0.74843346746364314</v>
      </c>
      <c r="K267">
        <v>1.0683706083111297</v>
      </c>
      <c r="M267">
        <v>-3.5935203179215947E-2</v>
      </c>
      <c r="O267" t="s">
        <v>1668</v>
      </c>
    </row>
    <row r="268" spans="1:15">
      <c r="A268" t="s">
        <v>212</v>
      </c>
      <c r="B268" t="s">
        <v>775</v>
      </c>
      <c r="C268" t="s">
        <v>1330</v>
      </c>
      <c r="D268">
        <v>874</v>
      </c>
      <c r="E268">
        <v>354</v>
      </c>
      <c r="F268">
        <v>142</v>
      </c>
      <c r="G268">
        <v>34</v>
      </c>
      <c r="H268">
        <f t="shared" si="6"/>
        <v>162.79230121026404</v>
      </c>
      <c r="I268">
        <v>0.59954499391195415</v>
      </c>
      <c r="J268">
        <v>-0.24974823737291363</v>
      </c>
      <c r="K268">
        <v>-0.46110402050699251</v>
      </c>
      <c r="M268">
        <v>-3.710242132265066E-2</v>
      </c>
      <c r="O268" t="s">
        <v>1330</v>
      </c>
    </row>
    <row r="269" spans="1:15">
      <c r="A269" t="s">
        <v>151</v>
      </c>
      <c r="B269" t="s">
        <v>714</v>
      </c>
      <c r="C269" t="s">
        <v>1269</v>
      </c>
      <c r="D269">
        <v>1499</v>
      </c>
      <c r="E269">
        <v>1645</v>
      </c>
      <c r="F269">
        <v>48</v>
      </c>
      <c r="G269">
        <v>106</v>
      </c>
      <c r="H269">
        <f t="shared" si="6"/>
        <v>905.74959747897947</v>
      </c>
      <c r="I269">
        <v>1.032417433958283</v>
      </c>
      <c r="J269">
        <v>-0.95508554459425932</v>
      </c>
      <c r="K269">
        <v>-0.20156727249835393</v>
      </c>
      <c r="M269">
        <v>-4.141179437811008E-2</v>
      </c>
      <c r="O269" t="s">
        <v>1269</v>
      </c>
    </row>
    <row r="270" spans="1:15">
      <c r="A270" t="s">
        <v>2</v>
      </c>
      <c r="B270" t="s">
        <v>565</v>
      </c>
      <c r="C270" t="s">
        <v>1120</v>
      </c>
      <c r="D270">
        <v>369</v>
      </c>
      <c r="E270">
        <v>15</v>
      </c>
      <c r="F270">
        <v>370</v>
      </c>
      <c r="G270">
        <v>22</v>
      </c>
      <c r="H270">
        <f t="shared" si="6"/>
        <v>202.9687989158268</v>
      </c>
      <c r="I270">
        <v>-0.39888194258280962</v>
      </c>
      <c r="J270">
        <v>0.54065020878636749</v>
      </c>
      <c r="K270">
        <v>-0.27567519025169873</v>
      </c>
      <c r="M270">
        <v>-4.4635641349380285E-2</v>
      </c>
      <c r="O270" t="s">
        <v>1120</v>
      </c>
    </row>
    <row r="271" spans="1:15">
      <c r="A271" t="s">
        <v>334</v>
      </c>
      <c r="B271" t="s">
        <v>897</v>
      </c>
      <c r="C271" t="s">
        <v>1452</v>
      </c>
      <c r="D271">
        <v>191</v>
      </c>
      <c r="E271">
        <v>45</v>
      </c>
      <c r="F271">
        <v>31</v>
      </c>
      <c r="G271">
        <v>12</v>
      </c>
      <c r="H271">
        <f t="shared" si="6"/>
        <v>16.563010998406458</v>
      </c>
      <c r="I271">
        <v>0.36423231104818565</v>
      </c>
      <c r="J271">
        <v>-0.25019682253502196</v>
      </c>
      <c r="K271">
        <v>-0.25292362611494745</v>
      </c>
      <c r="M271">
        <v>-4.629604586726125E-2</v>
      </c>
      <c r="O271" t="s">
        <v>1452</v>
      </c>
    </row>
    <row r="272" spans="1:15">
      <c r="A272" t="s">
        <v>391</v>
      </c>
      <c r="B272" t="s">
        <v>954</v>
      </c>
      <c r="C272" t="s">
        <v>1509</v>
      </c>
      <c r="D272">
        <v>928</v>
      </c>
      <c r="E272">
        <v>251</v>
      </c>
      <c r="F272">
        <v>113</v>
      </c>
      <c r="G272">
        <v>66</v>
      </c>
      <c r="H272">
        <f t="shared" si="6"/>
        <v>96.157856326632682</v>
      </c>
      <c r="I272">
        <v>0.42417890978274553</v>
      </c>
      <c r="J272">
        <v>-0.37499468185700935</v>
      </c>
      <c r="K272">
        <v>-0.19907554559183804</v>
      </c>
      <c r="M272">
        <v>-4.996377255536729E-2</v>
      </c>
      <c r="O272" t="s">
        <v>1509</v>
      </c>
    </row>
    <row r="273" spans="1:15">
      <c r="A273" t="s">
        <v>214</v>
      </c>
      <c r="B273" t="s">
        <v>777</v>
      </c>
      <c r="C273" t="s">
        <v>1332</v>
      </c>
      <c r="D273">
        <v>425</v>
      </c>
      <c r="E273">
        <v>28</v>
      </c>
      <c r="F273">
        <v>347</v>
      </c>
      <c r="G273">
        <v>18</v>
      </c>
      <c r="H273">
        <f t="shared" si="6"/>
        <v>187.12829823412599</v>
      </c>
      <c r="I273">
        <v>-0.18917773418752293</v>
      </c>
      <c r="J273">
        <v>0.45141539561899513</v>
      </c>
      <c r="K273">
        <v>-0.42418792986185028</v>
      </c>
      <c r="M273">
        <v>-5.3983422810126025E-2</v>
      </c>
      <c r="O273" t="s">
        <v>1332</v>
      </c>
    </row>
    <row r="274" spans="1:15">
      <c r="A274" t="s">
        <v>321</v>
      </c>
      <c r="B274" t="s">
        <v>884</v>
      </c>
      <c r="C274" t="s">
        <v>1439</v>
      </c>
      <c r="D274">
        <v>292</v>
      </c>
      <c r="E274">
        <v>25</v>
      </c>
      <c r="F274">
        <v>18</v>
      </c>
      <c r="G274">
        <v>125</v>
      </c>
      <c r="H274">
        <f t="shared" si="6"/>
        <v>59.858165691908738</v>
      </c>
      <c r="I274">
        <v>-7.5389678255811221E-2</v>
      </c>
      <c r="J274">
        <v>-0.67063549546667922</v>
      </c>
      <c r="K274">
        <v>0.58045565664479337</v>
      </c>
      <c r="M274">
        <v>-5.5189839025899023E-2</v>
      </c>
      <c r="O274" t="s">
        <v>1439</v>
      </c>
    </row>
    <row r="275" spans="1:15">
      <c r="A275" t="s">
        <v>109</v>
      </c>
      <c r="B275" t="s">
        <v>672</v>
      </c>
      <c r="C275" t="s">
        <v>1227</v>
      </c>
      <c r="D275">
        <v>307</v>
      </c>
      <c r="E275">
        <v>109</v>
      </c>
      <c r="F275">
        <v>26</v>
      </c>
      <c r="G275">
        <v>23</v>
      </c>
      <c r="H275">
        <f t="shared" si="6"/>
        <v>48.809152147249321</v>
      </c>
      <c r="I275">
        <v>0.54234128698400652</v>
      </c>
      <c r="J275">
        <v>-0.53269017662793561</v>
      </c>
      <c r="K275">
        <v>-0.17648204437443837</v>
      </c>
      <c r="M275">
        <v>-5.561031133945582E-2</v>
      </c>
      <c r="O275" t="s">
        <v>1227</v>
      </c>
    </row>
    <row r="276" spans="1:15">
      <c r="A276" t="s">
        <v>478</v>
      </c>
      <c r="B276" t="s">
        <v>1041</v>
      </c>
      <c r="C276" t="s">
        <v>1596</v>
      </c>
      <c r="D276">
        <v>581</v>
      </c>
      <c r="E276">
        <v>97</v>
      </c>
      <c r="F276">
        <v>155</v>
      </c>
      <c r="G276">
        <v>28</v>
      </c>
      <c r="H276">
        <f t="shared" si="6"/>
        <v>63.579346751388805</v>
      </c>
      <c r="I276">
        <v>0.21464876639648356</v>
      </c>
      <c r="J276">
        <v>-3.4369583341606336E-2</v>
      </c>
      <c r="K276">
        <v>-0.36808960596295615</v>
      </c>
      <c r="M276">
        <v>-6.2603474302692974E-2</v>
      </c>
      <c r="O276" t="s">
        <v>1596</v>
      </c>
    </row>
    <row r="277" spans="1:15">
      <c r="A277" t="s">
        <v>213</v>
      </c>
      <c r="B277" t="s">
        <v>776</v>
      </c>
      <c r="C277" t="s">
        <v>1331</v>
      </c>
      <c r="D277">
        <v>243</v>
      </c>
      <c r="E277">
        <v>140</v>
      </c>
      <c r="F277">
        <v>7</v>
      </c>
      <c r="G277">
        <v>31</v>
      </c>
      <c r="H277">
        <f t="shared" si="6"/>
        <v>70.882531933709402</v>
      </c>
      <c r="I277">
        <v>0.7525749266004953</v>
      </c>
      <c r="J277">
        <v>-1.0010333827056224</v>
      </c>
      <c r="K277">
        <v>5.4683915321115828E-2</v>
      </c>
      <c r="M277">
        <v>-6.4591513594670413E-2</v>
      </c>
      <c r="O277" t="s">
        <v>1331</v>
      </c>
    </row>
    <row r="278" spans="1:15">
      <c r="A278" t="s">
        <v>111</v>
      </c>
      <c r="B278" t="s">
        <v>674</v>
      </c>
      <c r="C278" t="s">
        <v>1229</v>
      </c>
      <c r="D278">
        <v>628</v>
      </c>
      <c r="E278">
        <v>41</v>
      </c>
      <c r="F278">
        <v>207</v>
      </c>
      <c r="G278">
        <v>60</v>
      </c>
      <c r="H278">
        <f t="shared" si="6"/>
        <v>90.853361706286549</v>
      </c>
      <c r="I278">
        <v>-0.19312262249689116</v>
      </c>
      <c r="J278">
        <v>5.7485552598154521E-2</v>
      </c>
      <c r="K278">
        <v>-7.0879898268397135E-2</v>
      </c>
      <c r="M278">
        <v>-6.8838989389044591E-2</v>
      </c>
      <c r="O278" t="s">
        <v>1229</v>
      </c>
    </row>
    <row r="279" spans="1:15">
      <c r="A279" t="s">
        <v>12</v>
      </c>
      <c r="B279" t="s">
        <v>575</v>
      </c>
      <c r="C279" t="s">
        <v>1130</v>
      </c>
      <c r="D279">
        <v>164</v>
      </c>
      <c r="E279">
        <v>11</v>
      </c>
      <c r="F279">
        <v>164</v>
      </c>
      <c r="G279">
        <v>5</v>
      </c>
      <c r="H279">
        <f t="shared" si="6"/>
        <v>90.116591147246581</v>
      </c>
      <c r="I279">
        <v>-0.18139799836890336</v>
      </c>
      <c r="J279">
        <v>0.53947485087843294</v>
      </c>
      <c r="K279">
        <v>-0.56694534862652368</v>
      </c>
      <c r="M279">
        <v>-6.9622832038998037E-2</v>
      </c>
      <c r="O279" t="s">
        <v>1130</v>
      </c>
    </row>
    <row r="280" spans="1:15">
      <c r="A280" t="s">
        <v>154</v>
      </c>
      <c r="B280" t="s">
        <v>717</v>
      </c>
      <c r="C280" t="s">
        <v>1272</v>
      </c>
      <c r="D280">
        <v>553</v>
      </c>
      <c r="E280">
        <v>59</v>
      </c>
      <c r="F280">
        <v>73</v>
      </c>
      <c r="G280">
        <v>79</v>
      </c>
      <c r="H280">
        <f t="shared" si="6"/>
        <v>10.263202878893754</v>
      </c>
      <c r="I280">
        <v>2.0180044858015389E-2</v>
      </c>
      <c r="J280">
        <v>-0.33992742030580947</v>
      </c>
      <c r="K280">
        <v>0.1038304550708985</v>
      </c>
      <c r="M280">
        <v>-7.1972306792298532E-2</v>
      </c>
      <c r="O280" t="s">
        <v>1272</v>
      </c>
    </row>
    <row r="281" spans="1:15">
      <c r="A281" t="s">
        <v>368</v>
      </c>
      <c r="B281" t="s">
        <v>931</v>
      </c>
      <c r="C281" t="s">
        <v>1486</v>
      </c>
      <c r="D281">
        <v>597</v>
      </c>
      <c r="E281">
        <v>183</v>
      </c>
      <c r="F281">
        <v>22</v>
      </c>
      <c r="G281">
        <v>106</v>
      </c>
      <c r="H281">
        <f t="shared" si="6"/>
        <v>80.52535832477453</v>
      </c>
      <c r="I281">
        <v>0.47852992312162979</v>
      </c>
      <c r="J281">
        <v>-0.89407679942872986</v>
      </c>
      <c r="K281">
        <v>0.19826002922055641</v>
      </c>
      <c r="M281">
        <v>-7.2428949028847889E-2</v>
      </c>
      <c r="O281" t="s">
        <v>1486</v>
      </c>
    </row>
    <row r="282" spans="1:15">
      <c r="A282" t="s">
        <v>121</v>
      </c>
      <c r="B282" t="s">
        <v>684</v>
      </c>
      <c r="C282" t="s">
        <v>1239</v>
      </c>
      <c r="D282">
        <v>237</v>
      </c>
      <c r="E282">
        <v>11</v>
      </c>
      <c r="F282">
        <v>2</v>
      </c>
      <c r="G282">
        <v>1193</v>
      </c>
      <c r="H282">
        <f t="shared" si="6"/>
        <v>685.04087469289016</v>
      </c>
      <c r="I282">
        <v>-0.34130249633130938</v>
      </c>
      <c r="J282">
        <v>-1.5342434994676899</v>
      </c>
      <c r="K282">
        <v>1.6508205927453932</v>
      </c>
      <c r="M282">
        <v>-7.4908467684535365E-2</v>
      </c>
      <c r="O282" t="s">
        <v>1239</v>
      </c>
    </row>
    <row r="283" spans="1:15">
      <c r="A283" t="s">
        <v>167</v>
      </c>
      <c r="B283" t="s">
        <v>730</v>
      </c>
      <c r="C283" t="s">
        <v>1285</v>
      </c>
      <c r="D283">
        <v>432</v>
      </c>
      <c r="E283">
        <v>27</v>
      </c>
      <c r="F283">
        <v>346</v>
      </c>
      <c r="G283">
        <v>16</v>
      </c>
      <c r="H283">
        <f t="shared" si="6"/>
        <v>187.43087614727017</v>
      </c>
      <c r="I283">
        <v>-0.21206681813535533</v>
      </c>
      <c r="J283">
        <v>0.44306720285629747</v>
      </c>
      <c r="K283">
        <v>-0.48243526907383205</v>
      </c>
      <c r="M283">
        <v>-8.3811628117629974E-2</v>
      </c>
      <c r="O283" t="s">
        <v>1285</v>
      </c>
    </row>
    <row r="284" spans="1:15">
      <c r="A284" t="s">
        <v>162</v>
      </c>
      <c r="B284" t="s">
        <v>725</v>
      </c>
      <c r="C284" t="s">
        <v>1280</v>
      </c>
      <c r="D284">
        <v>335</v>
      </c>
      <c r="E284">
        <v>237</v>
      </c>
      <c r="F284">
        <v>20</v>
      </c>
      <c r="G284">
        <v>13</v>
      </c>
      <c r="H284">
        <f t="shared" si="6"/>
        <v>127.35383779062177</v>
      </c>
      <c r="I284">
        <v>0.84175670349382803</v>
      </c>
      <c r="J284">
        <v>-0.684539960494431</v>
      </c>
      <c r="K284">
        <v>-0.46217295964485317</v>
      </c>
      <c r="M284">
        <v>-0.10165207221515205</v>
      </c>
      <c r="O284" t="s">
        <v>1280</v>
      </c>
    </row>
    <row r="285" spans="1:15">
      <c r="A285" t="s">
        <v>395</v>
      </c>
      <c r="B285" t="s">
        <v>958</v>
      </c>
      <c r="C285" t="s">
        <v>1513</v>
      </c>
      <c r="D285">
        <v>690</v>
      </c>
      <c r="E285">
        <v>270</v>
      </c>
      <c r="F285">
        <v>31</v>
      </c>
      <c r="G285">
        <v>63</v>
      </c>
      <c r="H285">
        <f t="shared" si="6"/>
        <v>129.73948255382143</v>
      </c>
      <c r="I285">
        <v>0.58456783794230149</v>
      </c>
      <c r="J285">
        <v>-0.80801254602454964</v>
      </c>
      <c r="K285">
        <v>-9.0580046198518227E-2</v>
      </c>
      <c r="M285">
        <v>-0.1046749180935888</v>
      </c>
      <c r="O285" t="s">
        <v>1513</v>
      </c>
    </row>
    <row r="286" spans="1:15">
      <c r="A286" t="s">
        <v>25</v>
      </c>
      <c r="B286" t="s">
        <v>588</v>
      </c>
      <c r="C286" t="s">
        <v>1143</v>
      </c>
      <c r="D286">
        <v>628</v>
      </c>
      <c r="E286">
        <v>205</v>
      </c>
      <c r="F286">
        <v>168</v>
      </c>
      <c r="G286">
        <v>11</v>
      </c>
      <c r="H286">
        <f t="shared" si="6"/>
        <v>103</v>
      </c>
      <c r="I286">
        <v>0.50584738183912759</v>
      </c>
      <c r="J286">
        <v>-3.3175511132900293E-2</v>
      </c>
      <c r="K286">
        <v>-0.80763846349381585</v>
      </c>
      <c r="M286">
        <v>-0.11165553092919618</v>
      </c>
      <c r="O286" t="s">
        <v>1143</v>
      </c>
    </row>
    <row r="287" spans="1:15">
      <c r="A287" t="s">
        <v>532</v>
      </c>
      <c r="B287" t="s">
        <v>1095</v>
      </c>
      <c r="C287" t="s">
        <v>1650</v>
      </c>
      <c r="D287">
        <v>189</v>
      </c>
      <c r="E287">
        <v>12</v>
      </c>
      <c r="F287">
        <v>3</v>
      </c>
      <c r="G287">
        <v>274</v>
      </c>
      <c r="H287">
        <f t="shared" si="6"/>
        <v>153.92963760541156</v>
      </c>
      <c r="I287">
        <v>-0.20522739360504993</v>
      </c>
      <c r="J287">
        <v>-1.2598656985751489</v>
      </c>
      <c r="K287">
        <v>1.1102172537322992</v>
      </c>
      <c r="M287">
        <v>-0.11829194614929987</v>
      </c>
      <c r="O287" t="s">
        <v>1650</v>
      </c>
    </row>
    <row r="288" spans="1:15">
      <c r="A288" t="s">
        <v>119</v>
      </c>
      <c r="B288" t="s">
        <v>682</v>
      </c>
      <c r="C288" t="s">
        <v>1237</v>
      </c>
      <c r="D288">
        <v>310</v>
      </c>
      <c r="E288">
        <v>14</v>
      </c>
      <c r="F288">
        <v>102</v>
      </c>
      <c r="G288">
        <v>30</v>
      </c>
      <c r="H288">
        <f t="shared" si="6"/>
        <v>46.875722216658524</v>
      </c>
      <c r="I288">
        <v>-0.35318049363546522</v>
      </c>
      <c r="J288">
        <v>5.6713328806077823E-2</v>
      </c>
      <c r="K288">
        <v>-6.5311944029454949E-2</v>
      </c>
      <c r="M288">
        <v>-0.12059303628628078</v>
      </c>
      <c r="O288" t="s">
        <v>1237</v>
      </c>
    </row>
    <row r="289" spans="1:15">
      <c r="A289" t="s">
        <v>141</v>
      </c>
      <c r="B289" t="s">
        <v>704</v>
      </c>
      <c r="C289" t="s">
        <v>1259</v>
      </c>
      <c r="D289">
        <v>1364</v>
      </c>
      <c r="E289">
        <v>190</v>
      </c>
      <c r="F289">
        <v>439</v>
      </c>
      <c r="G289">
        <v>43</v>
      </c>
      <c r="H289">
        <f t="shared" si="6"/>
        <v>200.17742130420203</v>
      </c>
      <c r="I289">
        <v>0.13599239515293826</v>
      </c>
      <c r="J289">
        <v>4.7125000800094186E-2</v>
      </c>
      <c r="K289">
        <v>-0.55241741965571833</v>
      </c>
      <c r="M289">
        <v>-0.1231000079008953</v>
      </c>
      <c r="O289" t="s">
        <v>1259</v>
      </c>
    </row>
    <row r="290" spans="1:15">
      <c r="A290" t="s">
        <v>460</v>
      </c>
      <c r="B290" t="s">
        <v>1023</v>
      </c>
      <c r="C290" t="s">
        <v>1578</v>
      </c>
      <c r="D290">
        <v>1185</v>
      </c>
      <c r="E290">
        <v>6879</v>
      </c>
      <c r="F290">
        <v>7</v>
      </c>
      <c r="G290">
        <v>47</v>
      </c>
      <c r="H290">
        <f t="shared" si="6"/>
        <v>3956.0546002298806</v>
      </c>
      <c r="I290">
        <v>1.7558601236240481</v>
      </c>
      <c r="J290">
        <v>-1.689145459453433</v>
      </c>
      <c r="K290">
        <v>-0.4526919973252499</v>
      </c>
      <c r="M290">
        <v>-0.12865911105154493</v>
      </c>
      <c r="O290" t="s">
        <v>1578</v>
      </c>
    </row>
    <row r="291" spans="1:15">
      <c r="A291" t="s">
        <v>458</v>
      </c>
      <c r="B291" t="s">
        <v>1021</v>
      </c>
      <c r="C291" t="s">
        <v>1576</v>
      </c>
      <c r="D291">
        <v>666</v>
      </c>
      <c r="E291">
        <v>1110</v>
      </c>
      <c r="F291">
        <v>10</v>
      </c>
      <c r="G291">
        <v>36</v>
      </c>
      <c r="H291">
        <f t="shared" si="6"/>
        <v>627.71437241259127</v>
      </c>
      <c r="I291">
        <v>1.2139019141369258</v>
      </c>
      <c r="J291">
        <v>-1.2839993782918682</v>
      </c>
      <c r="K291">
        <v>-0.31824323331785842</v>
      </c>
      <c r="M291">
        <v>-0.12944689915760024</v>
      </c>
      <c r="O291" t="s">
        <v>1576</v>
      </c>
    </row>
    <row r="292" spans="1:15">
      <c r="A292" t="s">
        <v>38</v>
      </c>
      <c r="B292" t="s">
        <v>601</v>
      </c>
      <c r="C292" t="s">
        <v>1156</v>
      </c>
      <c r="D292">
        <v>446</v>
      </c>
      <c r="E292">
        <v>16</v>
      </c>
      <c r="F292">
        <v>18</v>
      </c>
      <c r="G292">
        <v>413</v>
      </c>
      <c r="H292">
        <f t="shared" si="6"/>
        <v>228.63289352147035</v>
      </c>
      <c r="I292">
        <v>-0.45316171153564766</v>
      </c>
      <c r="J292">
        <v>-0.85458750273040296</v>
      </c>
      <c r="K292">
        <v>0.91554368802941444</v>
      </c>
      <c r="M292">
        <v>-0.13073517541221202</v>
      </c>
      <c r="O292" t="s">
        <v>1156</v>
      </c>
    </row>
    <row r="293" spans="1:15">
      <c r="A293" t="s">
        <v>199</v>
      </c>
      <c r="B293" t="s">
        <v>762</v>
      </c>
      <c r="C293" t="s">
        <v>1317</v>
      </c>
      <c r="D293">
        <v>1027</v>
      </c>
      <c r="E293">
        <v>379</v>
      </c>
      <c r="F293">
        <v>94</v>
      </c>
      <c r="G293">
        <v>39</v>
      </c>
      <c r="H293">
        <f t="shared" si="6"/>
        <v>182.50570767330356</v>
      </c>
      <c r="I293">
        <v>0.55912193089136353</v>
      </c>
      <c r="J293">
        <v>-0.4989677391191466</v>
      </c>
      <c r="K293">
        <v>-0.47157734148562369</v>
      </c>
      <c r="M293">
        <v>-0.13714104990446893</v>
      </c>
      <c r="O293" t="s">
        <v>1317</v>
      </c>
    </row>
    <row r="294" spans="1:15">
      <c r="A294" t="s">
        <v>158</v>
      </c>
      <c r="B294" t="s">
        <v>721</v>
      </c>
      <c r="C294" t="s">
        <v>1276</v>
      </c>
      <c r="D294">
        <v>650</v>
      </c>
      <c r="E294">
        <v>198</v>
      </c>
      <c r="F294">
        <v>28</v>
      </c>
      <c r="G294">
        <v>63</v>
      </c>
      <c r="H294">
        <f t="shared" si="6"/>
        <v>89.768220063301541</v>
      </c>
      <c r="I294">
        <v>0.47580499813924504</v>
      </c>
      <c r="J294">
        <v>-0.82628047442220354</v>
      </c>
      <c r="K294">
        <v>-6.4644312104118473E-2</v>
      </c>
      <c r="M294">
        <v>-0.13837326279569231</v>
      </c>
      <c r="O294" t="s">
        <v>1276</v>
      </c>
    </row>
    <row r="295" spans="1:15">
      <c r="A295" t="s">
        <v>470</v>
      </c>
      <c r="B295" t="s">
        <v>1033</v>
      </c>
      <c r="C295" t="s">
        <v>1588</v>
      </c>
      <c r="D295">
        <v>1023</v>
      </c>
      <c r="E295">
        <v>33</v>
      </c>
      <c r="F295">
        <v>21</v>
      </c>
      <c r="G295">
        <v>1946</v>
      </c>
      <c r="H295">
        <f t="shared" si="6"/>
        <v>1107.9514128937847</v>
      </c>
      <c r="I295">
        <v>-0.49930852931370318</v>
      </c>
      <c r="J295">
        <v>-1.1481814880998078</v>
      </c>
      <c r="K295">
        <v>1.2281956973053283</v>
      </c>
      <c r="M295">
        <v>-0.13976477336939422</v>
      </c>
      <c r="O295" t="s">
        <v>1588</v>
      </c>
    </row>
    <row r="296" spans="1:15">
      <c r="A296" t="s">
        <v>203</v>
      </c>
      <c r="B296" t="s">
        <v>766</v>
      </c>
      <c r="C296" t="s">
        <v>1321</v>
      </c>
      <c r="D296">
        <v>639</v>
      </c>
      <c r="E296">
        <v>168</v>
      </c>
      <c r="F296">
        <v>59</v>
      </c>
      <c r="G296">
        <v>33</v>
      </c>
      <c r="H296">
        <f t="shared" si="6"/>
        <v>71.626345246238373</v>
      </c>
      <c r="I296">
        <v>0.41186158808803219</v>
      </c>
      <c r="J296">
        <v>-0.49517399563782305</v>
      </c>
      <c r="K296">
        <v>-0.33805842319535739</v>
      </c>
      <c r="M296">
        <v>-0.14045694358171609</v>
      </c>
      <c r="O296" t="s">
        <v>1321</v>
      </c>
    </row>
    <row r="297" spans="1:15">
      <c r="A297" t="s">
        <v>542</v>
      </c>
      <c r="B297" t="s">
        <v>1105</v>
      </c>
      <c r="C297" t="s">
        <v>1660</v>
      </c>
      <c r="D297">
        <v>1748</v>
      </c>
      <c r="E297">
        <v>446</v>
      </c>
      <c r="F297">
        <v>158</v>
      </c>
      <c r="G297">
        <v>94</v>
      </c>
      <c r="H297">
        <f t="shared" si="6"/>
        <v>187.50288886663407</v>
      </c>
      <c r="I297">
        <v>0.39884659493432717</v>
      </c>
      <c r="J297">
        <v>-0.50440949046552863</v>
      </c>
      <c r="K297">
        <v>-0.32048507961353034</v>
      </c>
      <c r="M297">
        <v>-0.14201599171491061</v>
      </c>
      <c r="O297" t="s">
        <v>1660</v>
      </c>
    </row>
    <row r="298" spans="1:15">
      <c r="A298" t="s">
        <v>270</v>
      </c>
      <c r="B298" t="s">
        <v>833</v>
      </c>
      <c r="C298" t="s">
        <v>1388</v>
      </c>
      <c r="D298">
        <v>257</v>
      </c>
      <c r="E298">
        <v>61</v>
      </c>
      <c r="F298">
        <v>17</v>
      </c>
      <c r="G298">
        <v>20</v>
      </c>
      <c r="H298">
        <f t="shared" si="6"/>
        <v>24.583192089989723</v>
      </c>
      <c r="I298">
        <v>0.36744987620004199</v>
      </c>
      <c r="J298">
        <v>-0.64000935107458756</v>
      </c>
      <c r="K298">
        <v>-0.15997463258215805</v>
      </c>
      <c r="M298">
        <v>-0.14417803581890121</v>
      </c>
      <c r="O298" t="s">
        <v>1388</v>
      </c>
    </row>
    <row r="299" spans="1:15">
      <c r="A299" t="s">
        <v>169</v>
      </c>
      <c r="B299" t="s">
        <v>732</v>
      </c>
      <c r="C299" t="s">
        <v>1287</v>
      </c>
      <c r="D299">
        <v>715</v>
      </c>
      <c r="E299">
        <v>149</v>
      </c>
      <c r="F299">
        <v>46</v>
      </c>
      <c r="G299">
        <v>64</v>
      </c>
      <c r="H299">
        <f t="shared" si="6"/>
        <v>55.012119876744741</v>
      </c>
      <c r="I299">
        <v>0.31093339113176288</v>
      </c>
      <c r="J299">
        <v>-0.65207335924107357</v>
      </c>
      <c r="K299">
        <v>-9.9197572732038219E-2</v>
      </c>
      <c r="M299">
        <v>-0.14677918028044964</v>
      </c>
      <c r="O299" t="s">
        <v>1287</v>
      </c>
    </row>
    <row r="300" spans="1:15">
      <c r="A300" t="s">
        <v>424</v>
      </c>
      <c r="B300" t="s">
        <v>987</v>
      </c>
      <c r="C300" t="s">
        <v>1542</v>
      </c>
      <c r="D300">
        <v>404</v>
      </c>
      <c r="E300">
        <v>134</v>
      </c>
      <c r="F300">
        <v>5</v>
      </c>
      <c r="G300">
        <v>114</v>
      </c>
      <c r="H300">
        <f t="shared" si="6"/>
        <v>69.428620419343886</v>
      </c>
      <c r="I300">
        <v>0.51277659777477214</v>
      </c>
      <c r="J300">
        <v>-1.3679365098961531</v>
      </c>
      <c r="K300">
        <v>0.39945198131102289</v>
      </c>
      <c r="M300">
        <v>-0.15190264360345271</v>
      </c>
      <c r="O300" t="s">
        <v>1542</v>
      </c>
    </row>
    <row r="301" spans="1:15">
      <c r="A301" t="s">
        <v>91</v>
      </c>
      <c r="B301" t="s">
        <v>654</v>
      </c>
      <c r="C301" t="s">
        <v>1209</v>
      </c>
      <c r="D301">
        <v>556</v>
      </c>
      <c r="E301">
        <v>28</v>
      </c>
      <c r="F301">
        <v>18</v>
      </c>
      <c r="G301">
        <v>394</v>
      </c>
      <c r="H301">
        <f t="shared" si="6"/>
        <v>214.25529942882002</v>
      </c>
      <c r="I301">
        <v>-0.3058635957192688</v>
      </c>
      <c r="J301">
        <v>-0.95032743560031852</v>
      </c>
      <c r="K301">
        <v>0.799349925328672</v>
      </c>
      <c r="M301">
        <v>-0.15228036866363839</v>
      </c>
      <c r="O301" t="s">
        <v>1209</v>
      </c>
    </row>
    <row r="302" spans="1:15">
      <c r="A302" t="s">
        <v>118</v>
      </c>
      <c r="B302" t="s">
        <v>681</v>
      </c>
      <c r="C302" t="s">
        <v>1236</v>
      </c>
      <c r="D302">
        <v>266</v>
      </c>
      <c r="E302">
        <v>24</v>
      </c>
      <c r="F302">
        <v>18</v>
      </c>
      <c r="G302">
        <v>50</v>
      </c>
      <c r="H302">
        <f t="shared" si="6"/>
        <v>17.009801096230763</v>
      </c>
      <c r="I302">
        <v>-5.2617230398891435E-2</v>
      </c>
      <c r="J302">
        <v>-0.63013428064932808</v>
      </c>
      <c r="K302">
        <v>0.22301686279010713</v>
      </c>
      <c r="M302">
        <v>-0.15324488275270412</v>
      </c>
      <c r="O302" t="s">
        <v>1236</v>
      </c>
    </row>
    <row r="303" spans="1:15">
      <c r="A303" t="s">
        <v>260</v>
      </c>
      <c r="B303" t="s">
        <v>823</v>
      </c>
      <c r="C303" t="s">
        <v>1378</v>
      </c>
      <c r="D303">
        <v>131</v>
      </c>
      <c r="E303">
        <v>9</v>
      </c>
      <c r="F303">
        <v>71</v>
      </c>
      <c r="G303">
        <v>4</v>
      </c>
      <c r="H303">
        <f t="shared" si="6"/>
        <v>37.322915213043046</v>
      </c>
      <c r="I303">
        <v>-0.17097562169586999</v>
      </c>
      <c r="J303">
        <v>0.27346190394174397</v>
      </c>
      <c r="K303">
        <v>-0.56628280924264662</v>
      </c>
      <c r="M303">
        <v>-0.15459884233225754</v>
      </c>
      <c r="O303" t="s">
        <v>1378</v>
      </c>
    </row>
    <row r="304" spans="1:15">
      <c r="A304" t="s">
        <v>444</v>
      </c>
      <c r="B304" t="s">
        <v>1007</v>
      </c>
      <c r="C304" t="s">
        <v>1562</v>
      </c>
      <c r="D304">
        <v>204</v>
      </c>
      <c r="E304">
        <v>10</v>
      </c>
      <c r="F304">
        <v>6</v>
      </c>
      <c r="G304">
        <v>149</v>
      </c>
      <c r="H304">
        <f t="shared" si="6"/>
        <v>81.430952346144153</v>
      </c>
      <c r="I304">
        <v>-0.31757700290532931</v>
      </c>
      <c r="J304">
        <v>-0.9920040661638222</v>
      </c>
      <c r="K304">
        <v>0.81248459607153056</v>
      </c>
      <c r="M304">
        <v>-0.16569882433254027</v>
      </c>
      <c r="O304" t="s">
        <v>1562</v>
      </c>
    </row>
    <row r="305" spans="1:15">
      <c r="A305" t="s">
        <v>380</v>
      </c>
      <c r="B305" t="s">
        <v>943</v>
      </c>
      <c r="C305" t="s">
        <v>1498</v>
      </c>
      <c r="D305">
        <v>1275</v>
      </c>
      <c r="E305">
        <v>113</v>
      </c>
      <c r="F305">
        <v>83</v>
      </c>
      <c r="G305">
        <v>232</v>
      </c>
      <c r="H305">
        <f t="shared" si="6"/>
        <v>78.805668154856292</v>
      </c>
      <c r="I305">
        <v>-6.0378576765984793E-2</v>
      </c>
      <c r="J305">
        <v>-0.64695724151546707</v>
      </c>
      <c r="K305">
        <v>0.20890629520608095</v>
      </c>
      <c r="M305">
        <v>-0.16614317435845696</v>
      </c>
      <c r="O305" t="s">
        <v>1498</v>
      </c>
    </row>
    <row r="306" spans="1:15">
      <c r="A306" t="s">
        <v>128</v>
      </c>
      <c r="B306" t="s">
        <v>691</v>
      </c>
      <c r="C306" t="s">
        <v>1246</v>
      </c>
      <c r="D306">
        <v>545</v>
      </c>
      <c r="E306">
        <v>90</v>
      </c>
      <c r="F306">
        <v>33</v>
      </c>
      <c r="G306">
        <v>56</v>
      </c>
      <c r="H306">
        <f t="shared" ref="H306:H369" si="7">STDEV(E306:G306)</f>
        <v>28.67635495200415</v>
      </c>
      <c r="I306">
        <v>0.2098991716832519</v>
      </c>
      <c r="J306">
        <v>-0.67840771152032209</v>
      </c>
      <c r="K306">
        <v>-3.9279980185286667E-2</v>
      </c>
      <c r="M306">
        <v>-0.16926284000745229</v>
      </c>
      <c r="O306" t="s">
        <v>1246</v>
      </c>
    </row>
    <row r="307" spans="1:15">
      <c r="A307" t="s">
        <v>379</v>
      </c>
      <c r="B307" t="s">
        <v>942</v>
      </c>
      <c r="C307" t="s">
        <v>1497</v>
      </c>
      <c r="D307">
        <v>749</v>
      </c>
      <c r="E307">
        <v>264</v>
      </c>
      <c r="F307">
        <v>25</v>
      </c>
      <c r="G307">
        <v>63</v>
      </c>
      <c r="H307">
        <f t="shared" si="7"/>
        <v>128.43026642241824</v>
      </c>
      <c r="I307">
        <v>0.5391752736909341</v>
      </c>
      <c r="J307">
        <v>-0.93706695814899599</v>
      </c>
      <c r="K307">
        <v>-0.12621277316072943</v>
      </c>
      <c r="M307">
        <v>-0.17470148587293044</v>
      </c>
      <c r="O307" t="s">
        <v>1497</v>
      </c>
    </row>
    <row r="308" spans="1:15">
      <c r="A308" t="s">
        <v>306</v>
      </c>
      <c r="B308" t="s">
        <v>869</v>
      </c>
      <c r="C308" t="s">
        <v>1424</v>
      </c>
      <c r="D308">
        <v>170</v>
      </c>
      <c r="E308">
        <v>10</v>
      </c>
      <c r="F308">
        <v>42</v>
      </c>
      <c r="G308">
        <v>11</v>
      </c>
      <c r="H308">
        <f t="shared" si="7"/>
        <v>18.193405398660254</v>
      </c>
      <c r="I308">
        <v>-0.23839575685770442</v>
      </c>
      <c r="J308">
        <v>-6.7724780101940496E-2</v>
      </c>
      <c r="K308">
        <v>-0.24012774113489344</v>
      </c>
      <c r="M308">
        <v>-0.18208275936484611</v>
      </c>
      <c r="O308" t="s">
        <v>1424</v>
      </c>
    </row>
    <row r="309" spans="1:15">
      <c r="A309" t="s">
        <v>352</v>
      </c>
      <c r="B309" t="s">
        <v>915</v>
      </c>
      <c r="C309" t="s">
        <v>1470</v>
      </c>
      <c r="D309">
        <v>1030</v>
      </c>
      <c r="E309">
        <v>431</v>
      </c>
      <c r="F309">
        <v>54</v>
      </c>
      <c r="G309">
        <v>44</v>
      </c>
      <c r="H309">
        <f t="shared" si="7"/>
        <v>220.60447260500712</v>
      </c>
      <c r="I309">
        <v>0.61369320997612886</v>
      </c>
      <c r="J309">
        <v>-0.74096861400377068</v>
      </c>
      <c r="K309">
        <v>-0.4204560531338295</v>
      </c>
      <c r="M309">
        <v>-0.1825771523871571</v>
      </c>
      <c r="O309" t="s">
        <v>1470</v>
      </c>
    </row>
    <row r="310" spans="1:15">
      <c r="A310" t="s">
        <v>348</v>
      </c>
      <c r="B310" t="s">
        <v>911</v>
      </c>
      <c r="C310" t="s">
        <v>1466</v>
      </c>
      <c r="D310">
        <v>474</v>
      </c>
      <c r="E310">
        <v>15</v>
      </c>
      <c r="F310">
        <v>14</v>
      </c>
      <c r="G310">
        <v>470</v>
      </c>
      <c r="H310">
        <f t="shared" si="7"/>
        <v>262.9835229312539</v>
      </c>
      <c r="I310">
        <v>-0.50763391809783442</v>
      </c>
      <c r="J310">
        <v>-0.99017545511741412</v>
      </c>
      <c r="K310">
        <v>0.94524801134678771</v>
      </c>
      <c r="M310">
        <v>-0.18418712062282031</v>
      </c>
      <c r="O310" t="s">
        <v>1466</v>
      </c>
    </row>
    <row r="311" spans="1:15">
      <c r="A311" t="s">
        <v>21</v>
      </c>
      <c r="B311" t="s">
        <v>584</v>
      </c>
      <c r="C311" t="s">
        <v>1139</v>
      </c>
      <c r="D311">
        <v>288</v>
      </c>
      <c r="E311">
        <v>70</v>
      </c>
      <c r="F311">
        <v>39</v>
      </c>
      <c r="G311">
        <v>8</v>
      </c>
      <c r="H311">
        <f t="shared" si="7"/>
        <v>31</v>
      </c>
      <c r="I311">
        <v>0.37775871677559547</v>
      </c>
      <c r="J311">
        <v>-0.32885302985429876</v>
      </c>
      <c r="K311">
        <v>-0.60737400568213196</v>
      </c>
      <c r="M311">
        <v>-0.18615610625361176</v>
      </c>
      <c r="O311" t="s">
        <v>1139</v>
      </c>
    </row>
    <row r="312" spans="1:15">
      <c r="A312" t="s">
        <v>386</v>
      </c>
      <c r="B312" t="s">
        <v>949</v>
      </c>
      <c r="C312" t="s">
        <v>1504</v>
      </c>
      <c r="D312">
        <v>899</v>
      </c>
      <c r="E312">
        <v>1667</v>
      </c>
      <c r="F312">
        <v>7</v>
      </c>
      <c r="G312">
        <v>53</v>
      </c>
      <c r="H312">
        <f t="shared" si="7"/>
        <v>945.40220717604279</v>
      </c>
      <c r="I312">
        <v>1.260229072615346</v>
      </c>
      <c r="J312">
        <v>-1.569186800840539</v>
      </c>
      <c r="K312">
        <v>-0.28055532704728448</v>
      </c>
      <c r="M312">
        <v>-0.19650435175749248</v>
      </c>
      <c r="O312" t="s">
        <v>1504</v>
      </c>
    </row>
    <row r="313" spans="1:15">
      <c r="A313" t="s">
        <v>227</v>
      </c>
      <c r="B313" t="s">
        <v>790</v>
      </c>
      <c r="C313" t="s">
        <v>1345</v>
      </c>
      <c r="D313">
        <v>1199</v>
      </c>
      <c r="E313">
        <v>121</v>
      </c>
      <c r="F313">
        <v>244</v>
      </c>
      <c r="G313">
        <v>49</v>
      </c>
      <c r="H313">
        <f t="shared" si="7"/>
        <v>98.605273692637752</v>
      </c>
      <c r="I313">
        <v>-3.9806482618290895E-3</v>
      </c>
      <c r="J313">
        <v>-0.15195450588168635</v>
      </c>
      <c r="K313">
        <v>-0.43969460798517979</v>
      </c>
      <c r="M313">
        <v>-0.19854325404289841</v>
      </c>
      <c r="O313" t="s">
        <v>1345</v>
      </c>
    </row>
    <row r="314" spans="1:15">
      <c r="A314" t="s">
        <v>92</v>
      </c>
      <c r="B314" t="s">
        <v>655</v>
      </c>
      <c r="C314" t="s">
        <v>1210</v>
      </c>
      <c r="D314">
        <v>888</v>
      </c>
      <c r="E314">
        <v>194</v>
      </c>
      <c r="F314">
        <v>43</v>
      </c>
      <c r="G314">
        <v>69</v>
      </c>
      <c r="H314">
        <f t="shared" si="7"/>
        <v>80.727938162695565</v>
      </c>
      <c r="I314">
        <v>0.33144192867219446</v>
      </c>
      <c r="J314">
        <v>-0.77546965932058154</v>
      </c>
      <c r="K314">
        <v>-0.16063537995619037</v>
      </c>
      <c r="M314">
        <v>-0.20155437020152581</v>
      </c>
      <c r="O314" t="s">
        <v>1210</v>
      </c>
    </row>
    <row r="315" spans="1:15">
      <c r="A315" t="s">
        <v>29</v>
      </c>
      <c r="B315" t="s">
        <v>592</v>
      </c>
      <c r="C315" t="s">
        <v>1147</v>
      </c>
      <c r="D315">
        <v>471</v>
      </c>
      <c r="E315">
        <v>80</v>
      </c>
      <c r="F315">
        <v>27</v>
      </c>
      <c r="G315">
        <v>39</v>
      </c>
      <c r="H315">
        <f t="shared" si="7"/>
        <v>27.790885796126283</v>
      </c>
      <c r="I315">
        <v>0.22212224438361683</v>
      </c>
      <c r="J315">
        <v>-0.70218229209147587</v>
      </c>
      <c r="K315">
        <v>-0.13302780501724176</v>
      </c>
      <c r="M315">
        <v>-0.2043626175750336</v>
      </c>
      <c r="O315" t="s">
        <v>1147</v>
      </c>
    </row>
    <row r="316" spans="1:15">
      <c r="A316" t="s">
        <v>290</v>
      </c>
      <c r="B316" t="s">
        <v>853</v>
      </c>
      <c r="C316" t="s">
        <v>1408</v>
      </c>
      <c r="D316">
        <v>86</v>
      </c>
      <c r="E316">
        <v>18</v>
      </c>
      <c r="F316">
        <v>2</v>
      </c>
      <c r="G316">
        <v>14</v>
      </c>
      <c r="H316">
        <f t="shared" si="7"/>
        <v>8.3266639978645323</v>
      </c>
      <c r="I316">
        <v>0.3128272183803078</v>
      </c>
      <c r="J316">
        <v>-1.0939936047011538</v>
      </c>
      <c r="K316">
        <v>0.16055807951982559</v>
      </c>
      <c r="M316">
        <v>-0.20686943560034013</v>
      </c>
      <c r="O316" t="s">
        <v>1408</v>
      </c>
    </row>
    <row r="317" spans="1:15">
      <c r="A317" t="s">
        <v>522</v>
      </c>
      <c r="B317" t="s">
        <v>1085</v>
      </c>
      <c r="C317" t="s">
        <v>1640</v>
      </c>
      <c r="D317">
        <v>663</v>
      </c>
      <c r="E317">
        <v>248</v>
      </c>
      <c r="F317">
        <v>13</v>
      </c>
      <c r="G317">
        <v>71</v>
      </c>
      <c r="H317">
        <f t="shared" si="7"/>
        <v>122.41868049171798</v>
      </c>
      <c r="I317">
        <v>0.56499131694201266</v>
      </c>
      <c r="J317">
        <v>-1.1680953252195034</v>
      </c>
      <c r="K317">
        <v>-2.1326684600542545E-2</v>
      </c>
      <c r="M317">
        <v>-0.20814356429267777</v>
      </c>
      <c r="O317" t="s">
        <v>1640</v>
      </c>
    </row>
    <row r="318" spans="1:15">
      <c r="A318" t="s">
        <v>367</v>
      </c>
      <c r="B318" t="s">
        <v>930</v>
      </c>
      <c r="C318" t="s">
        <v>1485</v>
      </c>
      <c r="D318">
        <v>817</v>
      </c>
      <c r="E318">
        <v>55</v>
      </c>
      <c r="F318">
        <v>90</v>
      </c>
      <c r="G318">
        <v>86</v>
      </c>
      <c r="H318">
        <f t="shared" si="7"/>
        <v>19.157244060668017</v>
      </c>
      <c r="I318">
        <v>-0.17980620251760215</v>
      </c>
      <c r="J318">
        <v>-0.41850469621465769</v>
      </c>
      <c r="K318">
        <v>-2.879511020369252E-2</v>
      </c>
      <c r="M318">
        <v>-0.20903533631198412</v>
      </c>
      <c r="O318" t="s">
        <v>1485</v>
      </c>
    </row>
    <row r="319" spans="1:15">
      <c r="A319" t="s">
        <v>360</v>
      </c>
      <c r="B319" t="s">
        <v>923</v>
      </c>
      <c r="C319" t="s">
        <v>1478</v>
      </c>
      <c r="D319">
        <v>1250</v>
      </c>
      <c r="E319">
        <v>75</v>
      </c>
      <c r="F319">
        <v>334</v>
      </c>
      <c r="G319">
        <v>60</v>
      </c>
      <c r="H319">
        <f t="shared" si="7"/>
        <v>154.04652976725356</v>
      </c>
      <c r="I319">
        <v>-0.2297955850957869</v>
      </c>
      <c r="J319">
        <v>-3.3688695318058959E-2</v>
      </c>
      <c r="K319">
        <v>-0.36983026753925752</v>
      </c>
      <c r="M319">
        <v>-0.21110484931770113</v>
      </c>
      <c r="O319" t="s">
        <v>1478</v>
      </c>
    </row>
    <row r="320" spans="1:15">
      <c r="A320" t="s">
        <v>105</v>
      </c>
      <c r="B320" t="s">
        <v>668</v>
      </c>
      <c r="C320" t="s">
        <v>1223</v>
      </c>
      <c r="D320">
        <v>488</v>
      </c>
      <c r="E320">
        <v>1147</v>
      </c>
      <c r="F320">
        <v>19</v>
      </c>
      <c r="G320">
        <v>4</v>
      </c>
      <c r="H320">
        <f t="shared" si="7"/>
        <v>655.62413012335048</v>
      </c>
      <c r="I320">
        <v>1.3631967604191266</v>
      </c>
      <c r="J320">
        <v>-0.87019137017144865</v>
      </c>
      <c r="K320">
        <v>-1.1374313355895931</v>
      </c>
      <c r="M320">
        <v>-0.21480864844730505</v>
      </c>
      <c r="O320" t="s">
        <v>1223</v>
      </c>
    </row>
    <row r="321" spans="1:15">
      <c r="A321" t="s">
        <v>191</v>
      </c>
      <c r="B321" t="s">
        <v>754</v>
      </c>
      <c r="C321" t="s">
        <v>1309</v>
      </c>
      <c r="D321">
        <v>692</v>
      </c>
      <c r="E321">
        <v>57</v>
      </c>
      <c r="F321">
        <v>87</v>
      </c>
      <c r="G321">
        <v>50</v>
      </c>
      <c r="H321">
        <f t="shared" si="7"/>
        <v>19.655363983740749</v>
      </c>
      <c r="I321">
        <v>-9.2178074263696841E-2</v>
      </c>
      <c r="J321">
        <v>-0.36111199095970636</v>
      </c>
      <c r="K321">
        <v>-0.19220759503558371</v>
      </c>
      <c r="M321">
        <v>-0.21516588675299564</v>
      </c>
      <c r="O321" t="s">
        <v>1309</v>
      </c>
    </row>
    <row r="322" spans="1:15">
      <c r="A322" t="s">
        <v>195</v>
      </c>
      <c r="B322" t="s">
        <v>758</v>
      </c>
      <c r="C322" t="s">
        <v>1313</v>
      </c>
      <c r="D322">
        <v>1325</v>
      </c>
      <c r="E322">
        <v>293</v>
      </c>
      <c r="F322">
        <v>76</v>
      </c>
      <c r="G322">
        <v>75</v>
      </c>
      <c r="H322">
        <f t="shared" si="7"/>
        <v>125.57467897629681</v>
      </c>
      <c r="I322">
        <v>0.33670490660185226</v>
      </c>
      <c r="J322">
        <v>-0.70192743511360234</v>
      </c>
      <c r="K322">
        <v>-0.29822611979597125</v>
      </c>
      <c r="M322">
        <v>-0.22114954943590712</v>
      </c>
      <c r="O322" t="s">
        <v>1313</v>
      </c>
    </row>
    <row r="323" spans="1:15">
      <c r="A323" t="s">
        <v>90</v>
      </c>
      <c r="B323" t="s">
        <v>653</v>
      </c>
      <c r="C323" t="s">
        <v>1208</v>
      </c>
      <c r="D323">
        <v>461</v>
      </c>
      <c r="E323">
        <v>33</v>
      </c>
      <c r="F323">
        <v>95</v>
      </c>
      <c r="G323">
        <v>22</v>
      </c>
      <c r="H323">
        <f t="shared" si="7"/>
        <v>39.357337308308857</v>
      </c>
      <c r="I323">
        <v>-0.15313382099119122</v>
      </c>
      <c r="J323">
        <v>-0.14650246922236743</v>
      </c>
      <c r="K323">
        <v>-0.37234974948228672</v>
      </c>
      <c r="M323">
        <v>-0.22399534656528178</v>
      </c>
      <c r="O323" t="s">
        <v>1208</v>
      </c>
    </row>
    <row r="324" spans="1:15">
      <c r="A324" t="s">
        <v>551</v>
      </c>
      <c r="B324" t="s">
        <v>1114</v>
      </c>
      <c r="C324" t="s">
        <v>1669</v>
      </c>
      <c r="D324">
        <v>453</v>
      </c>
      <c r="E324">
        <v>207</v>
      </c>
      <c r="F324">
        <v>4</v>
      </c>
      <c r="G324">
        <v>79</v>
      </c>
      <c r="H324">
        <f t="shared" si="7"/>
        <v>102.64664306899341</v>
      </c>
      <c r="I324">
        <v>0.65192530796465542</v>
      </c>
      <c r="J324">
        <v>-1.5145633598064365</v>
      </c>
      <c r="K324">
        <v>0.19045738436276483</v>
      </c>
      <c r="M324">
        <v>-0.22406022249300542</v>
      </c>
      <c r="O324" t="s">
        <v>1669</v>
      </c>
    </row>
    <row r="325" spans="1:15">
      <c r="A325" t="s">
        <v>384</v>
      </c>
      <c r="B325" t="s">
        <v>947</v>
      </c>
      <c r="C325" t="s">
        <v>1502</v>
      </c>
      <c r="D325">
        <v>788</v>
      </c>
      <c r="E325">
        <v>359</v>
      </c>
      <c r="F325">
        <v>19</v>
      </c>
      <c r="G325">
        <v>49</v>
      </c>
      <c r="H325">
        <f t="shared" si="7"/>
        <v>188.23743871327332</v>
      </c>
      <c r="I325">
        <v>0.6506213956093333</v>
      </c>
      <c r="J325">
        <v>-1.0782977656582933</v>
      </c>
      <c r="K325">
        <v>-0.25740164237588625</v>
      </c>
      <c r="M325">
        <v>-0.22835933747494874</v>
      </c>
      <c r="O325" t="s">
        <v>1502</v>
      </c>
    </row>
    <row r="326" spans="1:15">
      <c r="A326" t="s">
        <v>539</v>
      </c>
      <c r="B326" t="s">
        <v>1102</v>
      </c>
      <c r="C326" t="s">
        <v>1657</v>
      </c>
      <c r="D326">
        <v>1134</v>
      </c>
      <c r="E326">
        <v>57</v>
      </c>
      <c r="F326">
        <v>50</v>
      </c>
      <c r="G326">
        <v>346</v>
      </c>
      <c r="H326">
        <f t="shared" si="7"/>
        <v>168.91121928397769</v>
      </c>
      <c r="I326">
        <v>-0.30668503436382699</v>
      </c>
      <c r="J326">
        <v>-0.81616819934243601</v>
      </c>
      <c r="K326">
        <v>0.43339153932104413</v>
      </c>
      <c r="M326">
        <v>-0.22982056479507293</v>
      </c>
      <c r="O326" t="s">
        <v>1657</v>
      </c>
    </row>
    <row r="327" spans="1:15">
      <c r="A327" t="s">
        <v>453</v>
      </c>
      <c r="B327" t="s">
        <v>1016</v>
      </c>
      <c r="C327" t="s">
        <v>1571</v>
      </c>
      <c r="D327">
        <v>881</v>
      </c>
      <c r="E327">
        <v>23</v>
      </c>
      <c r="F327">
        <v>41</v>
      </c>
      <c r="G327">
        <v>475</v>
      </c>
      <c r="H327">
        <f t="shared" si="7"/>
        <v>255.92446802393346</v>
      </c>
      <c r="I327">
        <v>-0.59119490787388562</v>
      </c>
      <c r="J327">
        <v>-0.79271720081387953</v>
      </c>
      <c r="K327">
        <v>0.68064619629797396</v>
      </c>
      <c r="M327">
        <v>-0.23442197079659702</v>
      </c>
      <c r="O327" t="s">
        <v>1571</v>
      </c>
    </row>
    <row r="328" spans="1:15">
      <c r="A328" t="s">
        <v>204</v>
      </c>
      <c r="B328" t="s">
        <v>767</v>
      </c>
      <c r="C328" t="s">
        <v>1322</v>
      </c>
      <c r="D328">
        <v>482</v>
      </c>
      <c r="E328">
        <v>31</v>
      </c>
      <c r="F328">
        <v>112</v>
      </c>
      <c r="G328">
        <v>21</v>
      </c>
      <c r="H328">
        <f t="shared" si="7"/>
        <v>49.903239707791847</v>
      </c>
      <c r="I328">
        <v>-0.1996321798840075</v>
      </c>
      <c r="J328">
        <v>-9.4354164690235054E-2</v>
      </c>
      <c r="K328">
        <v>-0.41189924841977499</v>
      </c>
      <c r="M328">
        <v>-0.23529519766467252</v>
      </c>
      <c r="O328" t="s">
        <v>1322</v>
      </c>
    </row>
    <row r="329" spans="1:15">
      <c r="A329" t="s">
        <v>544</v>
      </c>
      <c r="B329" t="s">
        <v>1107</v>
      </c>
      <c r="C329" t="s">
        <v>1662</v>
      </c>
      <c r="D329">
        <v>920</v>
      </c>
      <c r="E329">
        <v>710</v>
      </c>
      <c r="F329">
        <v>31</v>
      </c>
      <c r="G329">
        <v>23</v>
      </c>
      <c r="H329">
        <f t="shared" si="7"/>
        <v>394.35052089902621</v>
      </c>
      <c r="I329">
        <v>0.87952368589408947</v>
      </c>
      <c r="J329">
        <v>-0.93295128263284954</v>
      </c>
      <c r="K329">
        <v>-0.65313149624280697</v>
      </c>
      <c r="M329">
        <v>-0.23551969766052236</v>
      </c>
      <c r="O329" t="s">
        <v>1662</v>
      </c>
    </row>
    <row r="330" spans="1:15">
      <c r="A330" t="s">
        <v>406</v>
      </c>
      <c r="B330" t="s">
        <v>969</v>
      </c>
      <c r="C330" t="s">
        <v>1524</v>
      </c>
      <c r="D330">
        <v>1884</v>
      </c>
      <c r="E330">
        <v>115</v>
      </c>
      <c r="F330">
        <v>140</v>
      </c>
      <c r="G330">
        <v>264</v>
      </c>
      <c r="H330">
        <f t="shared" si="7"/>
        <v>79.793483443198539</v>
      </c>
      <c r="I330">
        <v>-0.22232989358267741</v>
      </c>
      <c r="J330">
        <v>-0.58947801190018756</v>
      </c>
      <c r="K330">
        <v>9.5451523498127799E-2</v>
      </c>
      <c r="M330">
        <v>-0.23878546066157905</v>
      </c>
      <c r="O330" t="s">
        <v>1524</v>
      </c>
    </row>
    <row r="331" spans="1:15">
      <c r="A331" t="s">
        <v>23</v>
      </c>
      <c r="B331" t="s">
        <v>586</v>
      </c>
      <c r="C331" t="s">
        <v>1141</v>
      </c>
      <c r="D331">
        <v>323</v>
      </c>
      <c r="E331">
        <v>688</v>
      </c>
      <c r="F331">
        <v>30</v>
      </c>
      <c r="G331">
        <v>1</v>
      </c>
      <c r="H331">
        <f t="shared" si="7"/>
        <v>388.53871535965794</v>
      </c>
      <c r="I331">
        <v>1.3204390804249779</v>
      </c>
      <c r="J331">
        <v>-0.49260641673300742</v>
      </c>
      <c r="K331">
        <v>-1.5602740272459477</v>
      </c>
      <c r="M331">
        <v>-0.24414712118465906</v>
      </c>
      <c r="O331" t="s">
        <v>1141</v>
      </c>
    </row>
    <row r="332" spans="1:15">
      <c r="A332" t="s">
        <v>22</v>
      </c>
      <c r="B332" t="s">
        <v>585</v>
      </c>
      <c r="C332" t="s">
        <v>1140</v>
      </c>
      <c r="D332">
        <v>297</v>
      </c>
      <c r="E332">
        <v>2</v>
      </c>
      <c r="F332">
        <v>276</v>
      </c>
      <c r="G332">
        <v>29</v>
      </c>
      <c r="H332">
        <f t="shared" si="7"/>
        <v>151.0044149464953</v>
      </c>
      <c r="I332">
        <v>-1.1796732891326616</v>
      </c>
      <c r="J332">
        <v>0.50762748362643828</v>
      </c>
      <c r="K332">
        <v>-6.1429956333100888E-2</v>
      </c>
      <c r="M332">
        <v>-0.24449192061310807</v>
      </c>
      <c r="O332" t="s">
        <v>1140</v>
      </c>
    </row>
    <row r="333" spans="1:15">
      <c r="A333" t="s">
        <v>182</v>
      </c>
      <c r="B333" t="s">
        <v>745</v>
      </c>
      <c r="C333" t="s">
        <v>1300</v>
      </c>
      <c r="D333">
        <v>403</v>
      </c>
      <c r="E333">
        <v>285</v>
      </c>
      <c r="F333">
        <v>6</v>
      </c>
      <c r="G333">
        <v>22</v>
      </c>
      <c r="H333">
        <f t="shared" si="7"/>
        <v>156.66631205633627</v>
      </c>
      <c r="I333">
        <v>0.8415929783879702</v>
      </c>
      <c r="J333">
        <v>-1.2876789448790329</v>
      </c>
      <c r="K333">
        <v>-0.31395387023374788</v>
      </c>
      <c r="M333">
        <v>-0.25334661224160354</v>
      </c>
      <c r="O333" t="s">
        <v>1300</v>
      </c>
    </row>
    <row r="334" spans="1:15">
      <c r="A334" t="s">
        <v>401</v>
      </c>
      <c r="B334" t="s">
        <v>964</v>
      </c>
      <c r="C334" t="s">
        <v>1519</v>
      </c>
      <c r="D334">
        <v>507</v>
      </c>
      <c r="E334">
        <v>44</v>
      </c>
      <c r="F334">
        <v>31</v>
      </c>
      <c r="G334">
        <v>54</v>
      </c>
      <c r="H334">
        <f t="shared" si="7"/>
        <v>11.532562594670797</v>
      </c>
      <c r="I334">
        <v>-6.9502118326579154E-2</v>
      </c>
      <c r="J334">
        <v>-0.67417141462063046</v>
      </c>
      <c r="K334">
        <v>-2.3685704425212117E-2</v>
      </c>
      <c r="M334">
        <v>-0.25578641245747391</v>
      </c>
      <c r="O334" t="s">
        <v>1519</v>
      </c>
    </row>
    <row r="335" spans="1:15">
      <c r="A335" t="s">
        <v>63</v>
      </c>
      <c r="B335" t="s">
        <v>626</v>
      </c>
      <c r="C335" t="s">
        <v>1181</v>
      </c>
      <c r="D335">
        <v>119</v>
      </c>
      <c r="E335">
        <v>5</v>
      </c>
      <c r="F335">
        <v>11</v>
      </c>
      <c r="G335">
        <v>17</v>
      </c>
      <c r="H335">
        <f t="shared" si="7"/>
        <v>6</v>
      </c>
      <c r="I335">
        <v>-0.38452379253594238</v>
      </c>
      <c r="J335">
        <v>-0.49467942535587273</v>
      </c>
      <c r="K335">
        <v>0.1038304550708985</v>
      </c>
      <c r="M335">
        <v>-0.25845758760697218</v>
      </c>
      <c r="O335" t="s">
        <v>1181</v>
      </c>
    </row>
    <row r="336" spans="1:15">
      <c r="A336" t="s">
        <v>363</v>
      </c>
      <c r="B336" t="s">
        <v>926</v>
      </c>
      <c r="C336" t="s">
        <v>1481</v>
      </c>
      <c r="D336">
        <v>1295</v>
      </c>
      <c r="E336">
        <v>81</v>
      </c>
      <c r="F336">
        <v>69</v>
      </c>
      <c r="G336">
        <v>214</v>
      </c>
      <c r="H336">
        <f t="shared" si="7"/>
        <v>80.475669200904022</v>
      </c>
      <c r="I336">
        <v>-0.21173158501805145</v>
      </c>
      <c r="J336">
        <v>-0.73394582680158249</v>
      </c>
      <c r="K336">
        <v>0.16707250001707552</v>
      </c>
      <c r="M336">
        <v>-0.25953497060085279</v>
      </c>
      <c r="O336" t="s">
        <v>1481</v>
      </c>
    </row>
    <row r="337" spans="1:15">
      <c r="A337" t="s">
        <v>3</v>
      </c>
      <c r="B337" t="s">
        <v>566</v>
      </c>
      <c r="C337" t="s">
        <v>1121</v>
      </c>
      <c r="D337">
        <v>370</v>
      </c>
      <c r="E337">
        <v>31</v>
      </c>
      <c r="F337">
        <v>39</v>
      </c>
      <c r="G337">
        <v>23</v>
      </c>
      <c r="H337">
        <f t="shared" si="7"/>
        <v>8</v>
      </c>
      <c r="I337">
        <v>-8.4786865712152881E-2</v>
      </c>
      <c r="J337">
        <v>-0.43766226616206283</v>
      </c>
      <c r="K337">
        <v>-0.25754539296424683</v>
      </c>
      <c r="M337">
        <v>-0.25999817494615418</v>
      </c>
      <c r="O337" t="s">
        <v>1121</v>
      </c>
    </row>
    <row r="338" spans="1:15">
      <c r="A338" t="s">
        <v>1</v>
      </c>
      <c r="B338" t="s">
        <v>564</v>
      </c>
      <c r="C338" t="s">
        <v>1119</v>
      </c>
      <c r="D338">
        <v>159</v>
      </c>
      <c r="E338">
        <v>4</v>
      </c>
      <c r="F338">
        <v>45</v>
      </c>
      <c r="G338">
        <v>12</v>
      </c>
      <c r="H338">
        <f t="shared" si="7"/>
        <v>21.733231083604053</v>
      </c>
      <c r="I338">
        <v>-0.60728396847191957</v>
      </c>
      <c r="J338">
        <v>-8.7097596666748656E-3</v>
      </c>
      <c r="K338">
        <v>-0.17328738318767134</v>
      </c>
      <c r="M338">
        <v>-0.26309370377542191</v>
      </c>
      <c r="O338" t="s">
        <v>1119</v>
      </c>
    </row>
    <row r="339" spans="1:15">
      <c r="A339" t="s">
        <v>484</v>
      </c>
      <c r="B339" t="s">
        <v>1047</v>
      </c>
      <c r="C339" t="s">
        <v>1602</v>
      </c>
      <c r="D339">
        <v>1145</v>
      </c>
      <c r="E339">
        <v>56</v>
      </c>
      <c r="F339">
        <v>319</v>
      </c>
      <c r="G339">
        <v>45</v>
      </c>
      <c r="H339">
        <f t="shared" si="7"/>
        <v>155.11608556174951</v>
      </c>
      <c r="I339">
        <v>-0.31856429514913698</v>
      </c>
      <c r="J339">
        <v>-1.553995274029274E-2</v>
      </c>
      <c r="K339">
        <v>-0.45666447781540787</v>
      </c>
      <c r="M339">
        <v>-0.26358957523494586</v>
      </c>
      <c r="O339" t="s">
        <v>1602</v>
      </c>
    </row>
    <row r="340" spans="1:15">
      <c r="A340" t="s">
        <v>185</v>
      </c>
      <c r="B340" t="s">
        <v>748</v>
      </c>
      <c r="C340" t="s">
        <v>1303</v>
      </c>
      <c r="D340">
        <v>467</v>
      </c>
      <c r="E340">
        <v>361</v>
      </c>
      <c r="F340">
        <v>10</v>
      </c>
      <c r="G340">
        <v>15</v>
      </c>
      <c r="H340">
        <f t="shared" si="7"/>
        <v>201.22209951527026</v>
      </c>
      <c r="I340">
        <v>0.88024348586011514</v>
      </c>
      <c r="J340">
        <v>-1.1298420296876794</v>
      </c>
      <c r="K340">
        <v>-0.54429712642527561</v>
      </c>
      <c r="M340">
        <v>-0.26463189008427995</v>
      </c>
      <c r="O340" t="s">
        <v>1303</v>
      </c>
    </row>
    <row r="341" spans="1:15">
      <c r="A341" t="s">
        <v>202</v>
      </c>
      <c r="B341" t="s">
        <v>765</v>
      </c>
      <c r="C341" t="s">
        <v>1320</v>
      </c>
      <c r="D341">
        <v>661</v>
      </c>
      <c r="E341">
        <v>14</v>
      </c>
      <c r="F341">
        <v>64</v>
      </c>
      <c r="G341">
        <v>171</v>
      </c>
      <c r="H341">
        <f t="shared" si="7"/>
        <v>80.205984814102251</v>
      </c>
      <c r="I341">
        <v>-0.68202025928683274</v>
      </c>
      <c r="J341">
        <v>-0.47454663462332014</v>
      </c>
      <c r="K341">
        <v>0.36172314599166888</v>
      </c>
      <c r="M341">
        <v>-0.26494791597282796</v>
      </c>
      <c r="O341" t="s">
        <v>1320</v>
      </c>
    </row>
    <row r="342" spans="1:15">
      <c r="A342" t="s">
        <v>173</v>
      </c>
      <c r="B342" t="s">
        <v>736</v>
      </c>
      <c r="C342" t="s">
        <v>1291</v>
      </c>
      <c r="D342">
        <v>938</v>
      </c>
      <c r="E342">
        <v>95</v>
      </c>
      <c r="F342">
        <v>254</v>
      </c>
      <c r="G342">
        <v>18</v>
      </c>
      <c r="H342">
        <f t="shared" si="7"/>
        <v>120.35087591427548</v>
      </c>
      <c r="I342">
        <v>-2.4260685696472217E-3</v>
      </c>
      <c r="J342">
        <v>-2.7894270880693517E-2</v>
      </c>
      <c r="K342">
        <v>-0.76800183819060308</v>
      </c>
      <c r="M342">
        <v>-0.26610739254698129</v>
      </c>
      <c r="O342" t="s">
        <v>1291</v>
      </c>
    </row>
    <row r="343" spans="1:15">
      <c r="A343" t="s">
        <v>42</v>
      </c>
      <c r="B343" t="s">
        <v>605</v>
      </c>
      <c r="C343" t="s">
        <v>1160</v>
      </c>
      <c r="D343">
        <v>353</v>
      </c>
      <c r="E343">
        <v>14</v>
      </c>
      <c r="F343">
        <v>69</v>
      </c>
      <c r="G343">
        <v>23</v>
      </c>
      <c r="H343">
        <f t="shared" si="7"/>
        <v>29.501412395567321</v>
      </c>
      <c r="I343">
        <v>-0.40959350518901516</v>
      </c>
      <c r="J343">
        <v>-0.16945076377213431</v>
      </c>
      <c r="K343">
        <v>-0.23711837428507443</v>
      </c>
      <c r="M343">
        <v>-0.27205421441540795</v>
      </c>
      <c r="O343" t="s">
        <v>1160</v>
      </c>
    </row>
    <row r="344" spans="1:15">
      <c r="A344" t="s">
        <v>31</v>
      </c>
      <c r="B344" t="s">
        <v>594</v>
      </c>
      <c r="C344" t="s">
        <v>1149</v>
      </c>
      <c r="D344">
        <v>233</v>
      </c>
      <c r="E344">
        <v>19</v>
      </c>
      <c r="F344">
        <v>7</v>
      </c>
      <c r="G344">
        <v>48</v>
      </c>
      <c r="H344">
        <f t="shared" si="7"/>
        <v>21.079215671683169</v>
      </c>
      <c r="I344">
        <v>-9.6549155552620558E-2</v>
      </c>
      <c r="J344">
        <v>-0.98278303013332924</v>
      </c>
      <c r="K344">
        <v>0.2628138114347236</v>
      </c>
      <c r="M344">
        <v>-0.27217279141707534</v>
      </c>
      <c r="O344" t="s">
        <v>1149</v>
      </c>
    </row>
    <row r="345" spans="1:15">
      <c r="A345" t="s">
        <v>361</v>
      </c>
      <c r="B345" t="s">
        <v>924</v>
      </c>
      <c r="C345" t="s">
        <v>1479</v>
      </c>
      <c r="D345">
        <v>1817</v>
      </c>
      <c r="E345">
        <v>960</v>
      </c>
      <c r="F345">
        <v>76</v>
      </c>
      <c r="G345">
        <v>41</v>
      </c>
      <c r="H345">
        <f t="shared" si="7"/>
        <v>520.77538344280447</v>
      </c>
      <c r="I345">
        <v>0.71496947025210356</v>
      </c>
      <c r="J345">
        <v>-0.83906648414880991</v>
      </c>
      <c r="K345">
        <v>-0.69764257550314346</v>
      </c>
      <c r="M345">
        <v>-0.2739131964666166</v>
      </c>
      <c r="O345" t="s">
        <v>1479</v>
      </c>
    </row>
    <row r="346" spans="1:15">
      <c r="A346" t="s">
        <v>81</v>
      </c>
      <c r="B346" t="s">
        <v>644</v>
      </c>
      <c r="C346" t="s">
        <v>1199</v>
      </c>
      <c r="D346">
        <v>514</v>
      </c>
      <c r="E346">
        <v>32</v>
      </c>
      <c r="F346">
        <v>192</v>
      </c>
      <c r="G346">
        <v>11</v>
      </c>
      <c r="H346">
        <f t="shared" si="7"/>
        <v>98.996632939374933</v>
      </c>
      <c r="I346">
        <v>-0.21375997615480036</v>
      </c>
      <c r="J346">
        <v>0.11181296058670681</v>
      </c>
      <c r="K346">
        <v>-0.72064193875189542</v>
      </c>
      <c r="M346">
        <v>-0.27419631810666295</v>
      </c>
      <c r="O346" t="s">
        <v>1199</v>
      </c>
    </row>
    <row r="347" spans="1:15">
      <c r="A347" t="s">
        <v>545</v>
      </c>
      <c r="B347" t="s">
        <v>1108</v>
      </c>
      <c r="C347" t="s">
        <v>1663</v>
      </c>
      <c r="D347">
        <v>1404</v>
      </c>
      <c r="E347">
        <v>38</v>
      </c>
      <c r="F347">
        <v>119</v>
      </c>
      <c r="G347">
        <v>296</v>
      </c>
      <c r="H347">
        <f t="shared" si="7"/>
        <v>131.94316958448437</v>
      </c>
      <c r="I347">
        <v>-0.57553034665640679</v>
      </c>
      <c r="J347">
        <v>-0.53234529552282284</v>
      </c>
      <c r="K347">
        <v>0.27285309835030747</v>
      </c>
      <c r="M347">
        <v>-0.27834084794297409</v>
      </c>
      <c r="O347" t="s">
        <v>1663</v>
      </c>
    </row>
    <row r="348" spans="1:15">
      <c r="A348" t="s">
        <v>163</v>
      </c>
      <c r="B348" t="s">
        <v>726</v>
      </c>
      <c r="C348" t="s">
        <v>1281</v>
      </c>
      <c r="D348">
        <v>321</v>
      </c>
      <c r="E348">
        <v>187</v>
      </c>
      <c r="F348">
        <v>6</v>
      </c>
      <c r="G348">
        <v>14</v>
      </c>
      <c r="H348">
        <f t="shared" si="7"/>
        <v>102.26925246622271</v>
      </c>
      <c r="I348">
        <v>0.75738973865219639</v>
      </c>
      <c r="J348">
        <v>-1.1888789311427956</v>
      </c>
      <c r="K348">
        <v>-0.41144850164147884</v>
      </c>
      <c r="M348">
        <v>-0.28097923137735936</v>
      </c>
      <c r="O348" t="s">
        <v>1281</v>
      </c>
    </row>
    <row r="349" spans="1:15">
      <c r="A349" t="s">
        <v>373</v>
      </c>
      <c r="B349" t="s">
        <v>936</v>
      </c>
      <c r="C349" t="s">
        <v>1491</v>
      </c>
      <c r="D349">
        <v>1073</v>
      </c>
      <c r="E349">
        <v>2225</v>
      </c>
      <c r="F349">
        <v>5</v>
      </c>
      <c r="G349">
        <v>52</v>
      </c>
      <c r="H349">
        <f t="shared" si="7"/>
        <v>1268.3675860464637</v>
      </c>
      <c r="I349">
        <v>1.3087834578715687</v>
      </c>
      <c r="J349">
        <v>-1.7921548667514995</v>
      </c>
      <c r="K349">
        <v>-0.36566788324599653</v>
      </c>
      <c r="M349">
        <v>-0.28301309737530911</v>
      </c>
      <c r="O349" t="s">
        <v>1491</v>
      </c>
    </row>
    <row r="350" spans="1:15">
      <c r="A350" t="s">
        <v>239</v>
      </c>
      <c r="B350" t="s">
        <v>802</v>
      </c>
      <c r="C350" t="s">
        <v>1357</v>
      </c>
      <c r="D350">
        <v>372</v>
      </c>
      <c r="E350">
        <v>6</v>
      </c>
      <c r="F350">
        <v>276</v>
      </c>
      <c r="G350">
        <v>13</v>
      </c>
      <c r="H350">
        <f t="shared" si="7"/>
        <v>153.90364951271732</v>
      </c>
      <c r="I350">
        <v>-0.80033852497768443</v>
      </c>
      <c r="J350">
        <v>0.40984099306175314</v>
      </c>
      <c r="K350">
        <v>-0.5076710924899055</v>
      </c>
      <c r="M350">
        <v>-0.29938954146861224</v>
      </c>
      <c r="O350" t="s">
        <v>1357</v>
      </c>
    </row>
    <row r="351" spans="1:15">
      <c r="A351" t="s">
        <v>152</v>
      </c>
      <c r="B351" t="s">
        <v>715</v>
      </c>
      <c r="C351" t="s">
        <v>1270</v>
      </c>
      <c r="D351">
        <v>306</v>
      </c>
      <c r="E351">
        <v>23</v>
      </c>
      <c r="F351">
        <v>14</v>
      </c>
      <c r="G351">
        <v>37</v>
      </c>
      <c r="H351">
        <f t="shared" si="7"/>
        <v>11.590225767142474</v>
      </c>
      <c r="I351">
        <v>-0.13194042594341759</v>
      </c>
      <c r="J351">
        <v>-0.800118539924909</v>
      </c>
      <c r="K351">
        <v>3.1408792670570285E-2</v>
      </c>
      <c r="M351">
        <v>-0.30021672439925212</v>
      </c>
      <c r="O351" t="s">
        <v>1270</v>
      </c>
    </row>
    <row r="352" spans="1:15">
      <c r="A352" t="s">
        <v>187</v>
      </c>
      <c r="B352" t="s">
        <v>750</v>
      </c>
      <c r="C352" t="s">
        <v>1305</v>
      </c>
      <c r="D352">
        <v>214</v>
      </c>
      <c r="E352">
        <v>10</v>
      </c>
      <c r="F352">
        <v>13</v>
      </c>
      <c r="G352">
        <v>31</v>
      </c>
      <c r="H352">
        <f t="shared" si="7"/>
        <v>11.357816691600547</v>
      </c>
      <c r="I352">
        <v>-0.33836060882862129</v>
      </c>
      <c r="J352">
        <v>-0.67699557016392109</v>
      </c>
      <c r="K352">
        <v>0.10987641557023708</v>
      </c>
      <c r="M352">
        <v>-0.30182658780743504</v>
      </c>
      <c r="O352" t="s">
        <v>1305</v>
      </c>
    </row>
    <row r="353" spans="1:15">
      <c r="A353" t="s">
        <v>475</v>
      </c>
      <c r="B353" t="s">
        <v>1038</v>
      </c>
      <c r="C353" t="s">
        <v>1593</v>
      </c>
      <c r="D353">
        <v>554</v>
      </c>
      <c r="E353">
        <v>31</v>
      </c>
      <c r="F353">
        <v>40</v>
      </c>
      <c r="G353">
        <v>55</v>
      </c>
      <c r="H353">
        <f t="shared" si="7"/>
        <v>12.124355652982141</v>
      </c>
      <c r="I353">
        <v>-0.26009490637358756</v>
      </c>
      <c r="J353">
        <v>-0.60197492252203444</v>
      </c>
      <c r="K353">
        <v>-5.4218580149030693E-2</v>
      </c>
      <c r="M353">
        <v>-0.30542946968155088</v>
      </c>
      <c r="O353" t="s">
        <v>1593</v>
      </c>
    </row>
    <row r="354" spans="1:15">
      <c r="A354" t="s">
        <v>531</v>
      </c>
      <c r="B354" t="s">
        <v>1094</v>
      </c>
      <c r="C354" t="s">
        <v>1649</v>
      </c>
      <c r="D354">
        <v>108</v>
      </c>
      <c r="E354">
        <v>84</v>
      </c>
      <c r="F354">
        <v>1</v>
      </c>
      <c r="G354">
        <v>6</v>
      </c>
      <c r="H354">
        <f t="shared" si="7"/>
        <v>46.543886100467944</v>
      </c>
      <c r="I354">
        <v>0.88290869509550141</v>
      </c>
      <c r="J354">
        <v>-1.493948904608517</v>
      </c>
      <c r="K354">
        <v>-0.3063440100181507</v>
      </c>
      <c r="M354">
        <v>-0.30579473984372213</v>
      </c>
      <c r="O354" t="s">
        <v>1649</v>
      </c>
    </row>
    <row r="355" spans="1:15">
      <c r="A355" t="s">
        <v>327</v>
      </c>
      <c r="B355" t="s">
        <v>890</v>
      </c>
      <c r="C355" t="s">
        <v>1445</v>
      </c>
      <c r="D355">
        <v>205</v>
      </c>
      <c r="E355">
        <v>3</v>
      </c>
      <c r="F355">
        <v>42</v>
      </c>
      <c r="G355">
        <v>27</v>
      </c>
      <c r="H355">
        <f t="shared" si="7"/>
        <v>19.672315572906001</v>
      </c>
      <c r="I355">
        <v>-0.84257944181552236</v>
      </c>
      <c r="J355">
        <v>-0.14902971977942092</v>
      </c>
      <c r="K355">
        <v>6.8538398188388361E-2</v>
      </c>
      <c r="M355">
        <v>-0.30769025446885162</v>
      </c>
      <c r="O355" t="s">
        <v>1445</v>
      </c>
    </row>
    <row r="356" spans="1:15">
      <c r="A356" t="s">
        <v>372</v>
      </c>
      <c r="B356" t="s">
        <v>935</v>
      </c>
      <c r="C356" t="s">
        <v>1490</v>
      </c>
      <c r="D356">
        <v>1045</v>
      </c>
      <c r="E356">
        <v>71</v>
      </c>
      <c r="F356">
        <v>20</v>
      </c>
      <c r="G356">
        <v>312</v>
      </c>
      <c r="H356">
        <f t="shared" si="7"/>
        <v>155.96260235496626</v>
      </c>
      <c r="I356">
        <v>-0.17580477720742804</v>
      </c>
      <c r="J356">
        <v>-1.1786114439046589</v>
      </c>
      <c r="K356">
        <v>0.42396679865652531</v>
      </c>
      <c r="M356">
        <v>-0.31014980748518722</v>
      </c>
      <c r="O356" t="s">
        <v>1490</v>
      </c>
    </row>
    <row r="357" spans="1:15">
      <c r="A357" t="s">
        <v>197</v>
      </c>
      <c r="B357" t="s">
        <v>760</v>
      </c>
      <c r="C357" t="s">
        <v>1315</v>
      </c>
      <c r="D357">
        <v>512</v>
      </c>
      <c r="E357">
        <v>165</v>
      </c>
      <c r="F357">
        <v>21</v>
      </c>
      <c r="G357">
        <v>15</v>
      </c>
      <c r="H357">
        <f t="shared" si="7"/>
        <v>84.923494982248585</v>
      </c>
      <c r="I357">
        <v>0.500267147758645</v>
      </c>
      <c r="J357">
        <v>-0.84757581536347859</v>
      </c>
      <c r="K357">
        <v>-0.58425020683499418</v>
      </c>
      <c r="M357">
        <v>-0.31051962481327594</v>
      </c>
      <c r="O357" t="s">
        <v>1315</v>
      </c>
    </row>
    <row r="358" spans="1:15">
      <c r="A358" t="s">
        <v>402</v>
      </c>
      <c r="B358" t="s">
        <v>965</v>
      </c>
      <c r="C358" t="s">
        <v>1520</v>
      </c>
      <c r="D358">
        <v>1487</v>
      </c>
      <c r="E358">
        <v>29</v>
      </c>
      <c r="F358">
        <v>40</v>
      </c>
      <c r="G358">
        <v>1094</v>
      </c>
      <c r="H358">
        <f t="shared" si="7"/>
        <v>611.72733577414488</v>
      </c>
      <c r="I358">
        <v>-0.71785980610242861</v>
      </c>
      <c r="J358">
        <v>-1.0307761263155588</v>
      </c>
      <c r="K358">
        <v>0.81563484856061308</v>
      </c>
      <c r="M358">
        <v>-0.31100036128579145</v>
      </c>
      <c r="O358" t="s">
        <v>1520</v>
      </c>
    </row>
    <row r="359" spans="1:15">
      <c r="A359" t="s">
        <v>193</v>
      </c>
      <c r="B359" t="s">
        <v>756</v>
      </c>
      <c r="C359" t="s">
        <v>1311</v>
      </c>
      <c r="D359">
        <v>917</v>
      </c>
      <c r="E359">
        <v>66</v>
      </c>
      <c r="F359">
        <v>36</v>
      </c>
      <c r="G359">
        <v>124</v>
      </c>
      <c r="H359">
        <f t="shared" si="7"/>
        <v>44.736264186153655</v>
      </c>
      <c r="I359">
        <v>-0.15077223560758291</v>
      </c>
      <c r="J359">
        <v>-0.86659198402430093</v>
      </c>
      <c r="K359">
        <v>7.9980844577369314E-2</v>
      </c>
      <c r="M359">
        <v>-0.31246112501817153</v>
      </c>
      <c r="O359" t="s">
        <v>1311</v>
      </c>
    </row>
    <row r="360" spans="1:15">
      <c r="A360" t="s">
        <v>515</v>
      </c>
      <c r="B360" t="s">
        <v>1078</v>
      </c>
      <c r="C360" t="s">
        <v>1633</v>
      </c>
      <c r="D360">
        <v>686</v>
      </c>
      <c r="E360">
        <v>36</v>
      </c>
      <c r="F360">
        <v>48</v>
      </c>
      <c r="G360">
        <v>71</v>
      </c>
      <c r="H360">
        <f t="shared" si="7"/>
        <v>17.785762095938804</v>
      </c>
      <c r="I360">
        <v>-0.28796845041889485</v>
      </c>
      <c r="J360">
        <v>-0.61560802745273147</v>
      </c>
      <c r="K360">
        <v>-3.613727190252114E-2</v>
      </c>
      <c r="M360">
        <v>-0.3132379165913825</v>
      </c>
      <c r="O360" t="s">
        <v>1633</v>
      </c>
    </row>
    <row r="361" spans="1:15">
      <c r="A361" t="s">
        <v>346</v>
      </c>
      <c r="B361" t="s">
        <v>909</v>
      </c>
      <c r="C361" t="s">
        <v>1464</v>
      </c>
      <c r="D361">
        <v>507</v>
      </c>
      <c r="E361">
        <v>110</v>
      </c>
      <c r="F361">
        <v>25</v>
      </c>
      <c r="G361">
        <v>18</v>
      </c>
      <c r="H361">
        <f t="shared" si="7"/>
        <v>51.215232109207513</v>
      </c>
      <c r="I361">
        <v>0.32843789034545856</v>
      </c>
      <c r="J361">
        <v>-0.76759309978286538</v>
      </c>
      <c r="K361">
        <v>-0.5008069591448745</v>
      </c>
      <c r="M361">
        <v>-0.31332072286076046</v>
      </c>
      <c r="O361" t="s">
        <v>1464</v>
      </c>
    </row>
    <row r="362" spans="1:15">
      <c r="A362" t="s">
        <v>496</v>
      </c>
      <c r="B362" t="s">
        <v>1059</v>
      </c>
      <c r="C362" t="s">
        <v>1614</v>
      </c>
      <c r="D362">
        <v>1448</v>
      </c>
      <c r="E362">
        <v>147</v>
      </c>
      <c r="F362">
        <v>73</v>
      </c>
      <c r="G362">
        <v>106</v>
      </c>
      <c r="H362">
        <f t="shared" si="7"/>
        <v>37.072002014098622</v>
      </c>
      <c r="I362">
        <v>-1.3980625923825096E-3</v>
      </c>
      <c r="J362">
        <v>-0.75797085086223925</v>
      </c>
      <c r="K362">
        <v>-0.18653420151120259</v>
      </c>
      <c r="M362">
        <v>-0.31530103832194145</v>
      </c>
      <c r="O362" t="s">
        <v>1614</v>
      </c>
    </row>
    <row r="363" spans="1:15">
      <c r="A363" t="s">
        <v>32</v>
      </c>
      <c r="B363" t="s">
        <v>595</v>
      </c>
      <c r="C363" t="s">
        <v>1150</v>
      </c>
      <c r="D363">
        <v>395</v>
      </c>
      <c r="E363">
        <v>6</v>
      </c>
      <c r="F363">
        <v>546</v>
      </c>
      <c r="G363">
        <v>7</v>
      </c>
      <c r="H363">
        <f t="shared" si="7"/>
        <v>311.48087153681416</v>
      </c>
      <c r="I363">
        <v>-0.82639268072224725</v>
      </c>
      <c r="J363">
        <v>0.68007039795670998</v>
      </c>
      <c r="K363">
        <v>-0.80257056052704812</v>
      </c>
      <c r="M363">
        <v>-0.3162976144308618</v>
      </c>
      <c r="O363" t="s">
        <v>1150</v>
      </c>
    </row>
    <row r="364" spans="1:15">
      <c r="A364" t="s">
        <v>546</v>
      </c>
      <c r="B364" t="s">
        <v>1109</v>
      </c>
      <c r="C364" t="s">
        <v>1664</v>
      </c>
      <c r="D364">
        <v>647</v>
      </c>
      <c r="E364">
        <v>28</v>
      </c>
      <c r="F364">
        <v>99</v>
      </c>
      <c r="G364">
        <v>32</v>
      </c>
      <c r="H364">
        <f t="shared" si="7"/>
        <v>39.887341350358263</v>
      </c>
      <c r="I364">
        <v>-0.37169308480591168</v>
      </c>
      <c r="J364">
        <v>-0.27579423519271751</v>
      </c>
      <c r="K364">
        <v>-0.35682580726363922</v>
      </c>
      <c r="M364">
        <v>-0.33477104242075617</v>
      </c>
      <c r="O364" t="s">
        <v>1664</v>
      </c>
    </row>
    <row r="365" spans="1:15">
      <c r="A365" t="s">
        <v>36</v>
      </c>
      <c r="B365" t="s">
        <v>599</v>
      </c>
      <c r="C365" t="s">
        <v>1154</v>
      </c>
      <c r="D365">
        <v>329</v>
      </c>
      <c r="E365">
        <v>19</v>
      </c>
      <c r="F365">
        <v>25</v>
      </c>
      <c r="G365">
        <v>24</v>
      </c>
      <c r="H365">
        <f t="shared" si="7"/>
        <v>3.2145502536643242</v>
      </c>
      <c r="I365">
        <v>-0.2463891324765759</v>
      </c>
      <c r="J365">
        <v>-0.57978103839950379</v>
      </c>
      <c r="K365">
        <v>-0.188056161153213</v>
      </c>
      <c r="M365">
        <v>-0.33807544400976425</v>
      </c>
      <c r="O365" t="s">
        <v>1154</v>
      </c>
    </row>
    <row r="366" spans="1:15">
      <c r="A366" t="s">
        <v>421</v>
      </c>
      <c r="B366" t="s">
        <v>984</v>
      </c>
      <c r="C366" t="s">
        <v>1539</v>
      </c>
      <c r="D366">
        <v>254</v>
      </c>
      <c r="E366">
        <v>13</v>
      </c>
      <c r="F366">
        <v>25</v>
      </c>
      <c r="G366">
        <v>16</v>
      </c>
      <c r="H366">
        <f t="shared" si="7"/>
        <v>6.2449979983983983</v>
      </c>
      <c r="I366">
        <v>-0.29883719979253187</v>
      </c>
      <c r="J366">
        <v>-0.4674188570694674</v>
      </c>
      <c r="K366">
        <v>-0.25178523887885795</v>
      </c>
      <c r="M366">
        <v>-0.33934709858028578</v>
      </c>
      <c r="O366" t="s">
        <v>1539</v>
      </c>
    </row>
    <row r="367" spans="1:15">
      <c r="A367" t="s">
        <v>196</v>
      </c>
      <c r="B367" t="s">
        <v>759</v>
      </c>
      <c r="C367" t="s">
        <v>1314</v>
      </c>
      <c r="D367">
        <v>1337</v>
      </c>
      <c r="E367">
        <v>72</v>
      </c>
      <c r="F367">
        <v>94</v>
      </c>
      <c r="G367">
        <v>108</v>
      </c>
      <c r="H367">
        <f t="shared" si="7"/>
        <v>18.147543451754949</v>
      </c>
      <c r="I367">
        <v>-0.27674574631014637</v>
      </c>
      <c r="J367">
        <v>-0.61352870278385285</v>
      </c>
      <c r="K367">
        <v>-0.14377915668987939</v>
      </c>
      <c r="M367">
        <v>-0.34468453526129289</v>
      </c>
      <c r="O367" t="s">
        <v>1314</v>
      </c>
    </row>
    <row r="368" spans="1:15">
      <c r="A368" t="s">
        <v>499</v>
      </c>
      <c r="B368" t="s">
        <v>1062</v>
      </c>
      <c r="C368" t="s">
        <v>1617</v>
      </c>
      <c r="D368">
        <v>549</v>
      </c>
      <c r="E368">
        <v>18</v>
      </c>
      <c r="F368">
        <v>72</v>
      </c>
      <c r="G368">
        <v>39</v>
      </c>
      <c r="H368">
        <f t="shared" si="7"/>
        <v>27.221315177632398</v>
      </c>
      <c r="I368">
        <v>-0.49224667482621642</v>
      </c>
      <c r="J368">
        <v>-0.34276499714039044</v>
      </c>
      <c r="K368">
        <v>-0.19957924233843749</v>
      </c>
      <c r="M368">
        <v>-0.34486363810168141</v>
      </c>
      <c r="O368" t="s">
        <v>1617</v>
      </c>
    </row>
    <row r="369" spans="1:15">
      <c r="A369" t="s">
        <v>4</v>
      </c>
      <c r="B369" t="s">
        <v>567</v>
      </c>
      <c r="C369" t="s">
        <v>1122</v>
      </c>
      <c r="D369">
        <v>290</v>
      </c>
      <c r="E369">
        <v>17</v>
      </c>
      <c r="F369">
        <v>14</v>
      </c>
      <c r="G369">
        <v>31</v>
      </c>
      <c r="H369">
        <f t="shared" si="7"/>
        <v>9.0737717258774691</v>
      </c>
      <c r="I369">
        <v>-0.23989591200011273</v>
      </c>
      <c r="J369">
        <v>-0.77679511134228518</v>
      </c>
      <c r="K369">
        <v>-2.2107808979528021E-2</v>
      </c>
      <c r="M369">
        <v>-0.34626627744064198</v>
      </c>
      <c r="O369" t="s">
        <v>1122</v>
      </c>
    </row>
    <row r="370" spans="1:15">
      <c r="A370" t="s">
        <v>223</v>
      </c>
      <c r="B370" t="s">
        <v>786</v>
      </c>
      <c r="C370" t="s">
        <v>1341</v>
      </c>
      <c r="D370">
        <v>991</v>
      </c>
      <c r="E370">
        <v>66</v>
      </c>
      <c r="F370">
        <v>73</v>
      </c>
      <c r="G370">
        <v>61</v>
      </c>
      <c r="H370">
        <f t="shared" ref="H370:H433" si="8">STDEV(E370:G370)</f>
        <v>6.0277137733417074</v>
      </c>
      <c r="I370">
        <v>-0.18447655442283706</v>
      </c>
      <c r="J370">
        <v>-0.59327594348638646</v>
      </c>
      <c r="K370">
        <v>-0.26181532438935307</v>
      </c>
      <c r="M370">
        <v>-0.3465226074328589</v>
      </c>
      <c r="O370" t="s">
        <v>1341</v>
      </c>
    </row>
    <row r="371" spans="1:15">
      <c r="A371" t="s">
        <v>416</v>
      </c>
      <c r="B371" t="s">
        <v>979</v>
      </c>
      <c r="C371" t="s">
        <v>1534</v>
      </c>
      <c r="D371">
        <v>671</v>
      </c>
      <c r="E371">
        <v>144</v>
      </c>
      <c r="F371">
        <v>28</v>
      </c>
      <c r="G371">
        <v>22</v>
      </c>
      <c r="H371">
        <f t="shared" si="8"/>
        <v>68.770148562681854</v>
      </c>
      <c r="I371">
        <v>0.32369313644682707</v>
      </c>
      <c r="J371">
        <v>-0.84008963794833991</v>
      </c>
      <c r="K371">
        <v>-0.53537134426163058</v>
      </c>
      <c r="M371">
        <v>-0.35058928192104782</v>
      </c>
      <c r="O371" t="s">
        <v>1534</v>
      </c>
    </row>
    <row r="372" spans="1:15">
      <c r="A372" t="s">
        <v>122</v>
      </c>
      <c r="B372" t="s">
        <v>685</v>
      </c>
      <c r="C372" t="s">
        <v>1240</v>
      </c>
      <c r="D372">
        <v>338</v>
      </c>
      <c r="E372">
        <v>29</v>
      </c>
      <c r="F372">
        <v>26</v>
      </c>
      <c r="G372">
        <v>15</v>
      </c>
      <c r="H372">
        <f t="shared" si="8"/>
        <v>7.3711147958319962</v>
      </c>
      <c r="I372">
        <v>-7.4465537858129149E-2</v>
      </c>
      <c r="J372">
        <v>-0.57446850142840378</v>
      </c>
      <c r="K372">
        <v>-0.40389694613681826</v>
      </c>
      <c r="M372">
        <v>-0.35094366180778369</v>
      </c>
      <c r="O372" t="s">
        <v>1240</v>
      </c>
    </row>
    <row r="373" spans="1:15">
      <c r="A373" t="s">
        <v>126</v>
      </c>
      <c r="B373" t="s">
        <v>689</v>
      </c>
      <c r="C373" t="s">
        <v>1244</v>
      </c>
      <c r="D373">
        <v>359</v>
      </c>
      <c r="E373">
        <v>33</v>
      </c>
      <c r="F373">
        <v>12</v>
      </c>
      <c r="G373">
        <v>34</v>
      </c>
      <c r="H373">
        <f t="shared" si="8"/>
        <v>12.423096769056146</v>
      </c>
      <c r="I373">
        <v>-4.4527344179862149E-2</v>
      </c>
      <c r="J373">
        <v>-0.9364383516522613</v>
      </c>
      <c r="K373">
        <v>-7.4687036450908684E-2</v>
      </c>
      <c r="M373">
        <v>-0.3518842440943441</v>
      </c>
      <c r="O373" t="s">
        <v>1244</v>
      </c>
    </row>
    <row r="374" spans="1:15">
      <c r="A374" t="s">
        <v>41</v>
      </c>
      <c r="B374" t="s">
        <v>604</v>
      </c>
      <c r="C374" t="s">
        <v>1159</v>
      </c>
      <c r="D374">
        <v>383</v>
      </c>
      <c r="E374">
        <v>22</v>
      </c>
      <c r="F374">
        <v>18</v>
      </c>
      <c r="G374">
        <v>41</v>
      </c>
      <c r="H374">
        <f t="shared" si="8"/>
        <v>12.288205727444508</v>
      </c>
      <c r="I374">
        <v>-0.248722928625847</v>
      </c>
      <c r="J374">
        <v>-0.78845141798688367</v>
      </c>
      <c r="K374">
        <v>-2.1486422163731977E-2</v>
      </c>
      <c r="M374">
        <v>-0.35288692292548757</v>
      </c>
      <c r="O374" t="s">
        <v>1159</v>
      </c>
    </row>
    <row r="375" spans="1:15">
      <c r="A375" t="s">
        <v>382</v>
      </c>
      <c r="B375" t="s">
        <v>945</v>
      </c>
      <c r="C375" t="s">
        <v>1500</v>
      </c>
      <c r="D375">
        <v>603</v>
      </c>
      <c r="E375">
        <v>27</v>
      </c>
      <c r="F375">
        <v>36</v>
      </c>
      <c r="G375">
        <v>65</v>
      </c>
      <c r="H375">
        <f t="shared" si="8"/>
        <v>19.857828011475309</v>
      </c>
      <c r="I375">
        <v>-0.35690038346059461</v>
      </c>
      <c r="J375">
        <v>-0.684539960494431</v>
      </c>
      <c r="K375">
        <v>-1.8475460412140432E-2</v>
      </c>
      <c r="M375">
        <v>-0.35330526812238866</v>
      </c>
      <c r="O375" t="s">
        <v>1500</v>
      </c>
    </row>
    <row r="376" spans="1:15">
      <c r="A376" t="s">
        <v>79</v>
      </c>
      <c r="B376" t="s">
        <v>642</v>
      </c>
      <c r="C376" t="s">
        <v>1197</v>
      </c>
      <c r="D376">
        <v>1551</v>
      </c>
      <c r="E376">
        <v>89</v>
      </c>
      <c r="F376">
        <v>213</v>
      </c>
      <c r="G376">
        <v>56</v>
      </c>
      <c r="H376">
        <f t="shared" si="8"/>
        <v>82.778821768211543</v>
      </c>
      <c r="I376">
        <v>-0.24916862664812278</v>
      </c>
      <c r="J376">
        <v>-0.32275734349643426</v>
      </c>
      <c r="K376">
        <v>-0.49349527572224927</v>
      </c>
      <c r="M376">
        <v>-0.35514041528893542</v>
      </c>
      <c r="O376" t="s">
        <v>1197</v>
      </c>
    </row>
    <row r="377" spans="1:15">
      <c r="A377" t="s">
        <v>409</v>
      </c>
      <c r="B377" t="s">
        <v>972</v>
      </c>
      <c r="C377" t="s">
        <v>1527</v>
      </c>
      <c r="D377">
        <v>950</v>
      </c>
      <c r="E377">
        <v>373</v>
      </c>
      <c r="F377">
        <v>46</v>
      </c>
      <c r="G377">
        <v>14</v>
      </c>
      <c r="H377">
        <f t="shared" si="8"/>
        <v>198.67645389762052</v>
      </c>
      <c r="I377">
        <v>0.58603839104040933</v>
      </c>
      <c r="J377">
        <v>-0.77549092272884079</v>
      </c>
      <c r="K377">
        <v>-0.88266707452545434</v>
      </c>
      <c r="M377">
        <v>-0.35737320207129525</v>
      </c>
      <c r="O377" t="s">
        <v>1527</v>
      </c>
    </row>
    <row r="378" spans="1:15">
      <c r="A378" t="s">
        <v>13</v>
      </c>
      <c r="B378" t="s">
        <v>576</v>
      </c>
      <c r="C378" t="s">
        <v>1131</v>
      </c>
      <c r="D378">
        <v>257</v>
      </c>
      <c r="E378">
        <v>21</v>
      </c>
      <c r="F378">
        <v>10</v>
      </c>
      <c r="G378">
        <v>22</v>
      </c>
      <c r="H378">
        <f t="shared" si="8"/>
        <v>6.6583281184793917</v>
      </c>
      <c r="I378">
        <v>-9.5660664076805846E-2</v>
      </c>
      <c r="J378">
        <v>-0.87045827245286167</v>
      </c>
      <c r="K378">
        <v>-0.11858194742393291</v>
      </c>
      <c r="M378">
        <v>-0.36156696131786675</v>
      </c>
      <c r="O378" t="s">
        <v>1131</v>
      </c>
    </row>
    <row r="379" spans="1:15">
      <c r="A379" t="s">
        <v>188</v>
      </c>
      <c r="B379" t="s">
        <v>751</v>
      </c>
      <c r="C379" t="s">
        <v>1306</v>
      </c>
      <c r="D379">
        <v>289</v>
      </c>
      <c r="E379">
        <v>32</v>
      </c>
      <c r="F379">
        <v>12</v>
      </c>
      <c r="G379">
        <v>17</v>
      </c>
      <c r="H379">
        <f t="shared" si="8"/>
        <v>10.408329997330666</v>
      </c>
      <c r="I379">
        <v>3.6305300083927627E-2</v>
      </c>
      <c r="J379">
        <v>-0.84224174583049016</v>
      </c>
      <c r="K379">
        <v>-0.28152042629311858</v>
      </c>
      <c r="M379">
        <v>-0.36248562401322704</v>
      </c>
      <c r="O379" t="s">
        <v>1306</v>
      </c>
    </row>
    <row r="380" spans="1:15">
      <c r="A380" t="s">
        <v>104</v>
      </c>
      <c r="B380" t="s">
        <v>667</v>
      </c>
      <c r="C380" t="s">
        <v>1222</v>
      </c>
      <c r="D380">
        <v>284</v>
      </c>
      <c r="E380">
        <v>21</v>
      </c>
      <c r="F380">
        <v>7</v>
      </c>
      <c r="G380">
        <v>42</v>
      </c>
      <c r="H380">
        <f t="shared" si="8"/>
        <v>17.616280348965084</v>
      </c>
      <c r="I380">
        <v>-0.13904588079254898</v>
      </c>
      <c r="J380">
        <v>-1.0687454491543478</v>
      </c>
      <c r="K380">
        <v>0.11885944543601812</v>
      </c>
      <c r="M380">
        <v>-0.36297729483695956</v>
      </c>
      <c r="O380" t="s">
        <v>1222</v>
      </c>
    </row>
    <row r="381" spans="1:15">
      <c r="A381" t="s">
        <v>19</v>
      </c>
      <c r="B381" t="s">
        <v>582</v>
      </c>
      <c r="C381" t="s">
        <v>1137</v>
      </c>
      <c r="D381">
        <v>768</v>
      </c>
      <c r="E381">
        <v>48</v>
      </c>
      <c r="F381">
        <v>44</v>
      </c>
      <c r="G381">
        <v>55</v>
      </c>
      <c r="H381">
        <f t="shared" si="8"/>
        <v>5.5677643628300215</v>
      </c>
      <c r="I381">
        <v>-0.21206681813535533</v>
      </c>
      <c r="J381">
        <v>-0.7024336926668916</v>
      </c>
      <c r="K381">
        <v>-0.19607003545211277</v>
      </c>
      <c r="M381">
        <v>-0.37019018208478655</v>
      </c>
      <c r="O381" t="s">
        <v>1137</v>
      </c>
    </row>
    <row r="382" spans="1:15">
      <c r="A382" t="s">
        <v>405</v>
      </c>
      <c r="B382" t="s">
        <v>968</v>
      </c>
      <c r="C382" t="s">
        <v>1523</v>
      </c>
      <c r="D382">
        <v>860</v>
      </c>
      <c r="E382">
        <v>46</v>
      </c>
      <c r="F382">
        <v>65</v>
      </c>
      <c r="G382">
        <v>54</v>
      </c>
      <c r="H382">
        <f t="shared" si="8"/>
        <v>9.5393920141694561</v>
      </c>
      <c r="I382">
        <v>-0.27968745504142412</v>
      </c>
      <c r="J382">
        <v>-0.58211024372227926</v>
      </c>
      <c r="K382">
        <v>-0.25317619633544397</v>
      </c>
      <c r="M382">
        <v>-0.3716579650330491</v>
      </c>
      <c r="O382" t="s">
        <v>1523</v>
      </c>
    </row>
    <row r="383" spans="1:15">
      <c r="A383" t="s">
        <v>186</v>
      </c>
      <c r="B383" t="s">
        <v>749</v>
      </c>
      <c r="C383" t="s">
        <v>1304</v>
      </c>
      <c r="D383">
        <v>135</v>
      </c>
      <c r="E383">
        <v>9</v>
      </c>
      <c r="F383">
        <v>17</v>
      </c>
      <c r="G383">
        <v>4</v>
      </c>
      <c r="H383">
        <f t="shared" si="8"/>
        <v>6.5574385243020004</v>
      </c>
      <c r="I383">
        <v>-0.18403809453511188</v>
      </c>
      <c r="J383">
        <v>-0.36040999623829928</v>
      </c>
      <c r="K383">
        <v>-0.57934528208188829</v>
      </c>
      <c r="M383">
        <v>-0.37459779095176654</v>
      </c>
      <c r="O383" t="s">
        <v>1304</v>
      </c>
    </row>
    <row r="384" spans="1:15">
      <c r="A384" t="s">
        <v>178</v>
      </c>
      <c r="B384" t="s">
        <v>741</v>
      </c>
      <c r="C384" t="s">
        <v>1296</v>
      </c>
      <c r="D384">
        <v>985</v>
      </c>
      <c r="E384">
        <v>69</v>
      </c>
      <c r="F384">
        <v>28</v>
      </c>
      <c r="G384">
        <v>122</v>
      </c>
      <c r="H384">
        <f t="shared" si="8"/>
        <v>47.127486671792717</v>
      </c>
      <c r="I384">
        <v>-0.16253397523978697</v>
      </c>
      <c r="J384">
        <v>-1.0068033482769594</v>
      </c>
      <c r="K384">
        <v>4.1852095262291833E-2</v>
      </c>
      <c r="M384">
        <v>-0.37582840941815149</v>
      </c>
      <c r="O384" t="s">
        <v>1296</v>
      </c>
    </row>
    <row r="385" spans="1:15">
      <c r="A385" t="s">
        <v>69</v>
      </c>
      <c r="B385" t="s">
        <v>632</v>
      </c>
      <c r="C385" t="s">
        <v>1187</v>
      </c>
      <c r="D385">
        <v>193</v>
      </c>
      <c r="E385">
        <v>17</v>
      </c>
      <c r="F385">
        <v>8</v>
      </c>
      <c r="G385">
        <v>13</v>
      </c>
      <c r="H385">
        <f t="shared" si="8"/>
        <v>4.5092497528228952</v>
      </c>
      <c r="I385">
        <v>-6.3055223108930303E-2</v>
      </c>
      <c r="J385">
        <v>-0.84299247113739717</v>
      </c>
      <c r="K385">
        <v>-0.22268546161578162</v>
      </c>
      <c r="M385">
        <v>-0.37624438528736964</v>
      </c>
      <c r="O385" t="s">
        <v>1187</v>
      </c>
    </row>
    <row r="386" spans="1:15">
      <c r="A386" t="s">
        <v>333</v>
      </c>
      <c r="B386" t="s">
        <v>896</v>
      </c>
      <c r="C386" t="s">
        <v>1451</v>
      </c>
      <c r="D386">
        <v>435</v>
      </c>
      <c r="E386">
        <v>27</v>
      </c>
      <c r="F386">
        <v>15</v>
      </c>
      <c r="G386">
        <v>48</v>
      </c>
      <c r="H386">
        <f t="shared" si="8"/>
        <v>16.703293088490067</v>
      </c>
      <c r="I386">
        <v>-0.2150723282750806</v>
      </c>
      <c r="J386">
        <v>-0.92292314702052314</v>
      </c>
      <c r="K386">
        <v>-8.3195244938948365E-3</v>
      </c>
      <c r="M386">
        <v>-0.38210499992983288</v>
      </c>
      <c r="O386" t="s">
        <v>1451</v>
      </c>
    </row>
    <row r="387" spans="1:15">
      <c r="A387" t="s">
        <v>26</v>
      </c>
      <c r="B387" t="s">
        <v>589</v>
      </c>
      <c r="C387" t="s">
        <v>1144</v>
      </c>
      <c r="D387">
        <v>344</v>
      </c>
      <c r="E387">
        <v>51</v>
      </c>
      <c r="F387">
        <v>11</v>
      </c>
      <c r="G387">
        <v>17</v>
      </c>
      <c r="H387">
        <f t="shared" si="8"/>
        <v>21.571586249817912</v>
      </c>
      <c r="I387">
        <v>0.16306489804697577</v>
      </c>
      <c r="J387">
        <v>-0.9556909065348721</v>
      </c>
      <c r="K387">
        <v>-0.35718102610810099</v>
      </c>
      <c r="M387">
        <v>-0.38326901153199905</v>
      </c>
      <c r="O387" t="s">
        <v>1144</v>
      </c>
    </row>
    <row r="388" spans="1:15">
      <c r="A388" t="s">
        <v>194</v>
      </c>
      <c r="B388" t="s">
        <v>757</v>
      </c>
      <c r="C388" t="s">
        <v>1312</v>
      </c>
      <c r="D388">
        <v>737</v>
      </c>
      <c r="E388">
        <v>46</v>
      </c>
      <c r="F388">
        <v>52</v>
      </c>
      <c r="G388">
        <v>39</v>
      </c>
      <c r="H388">
        <f t="shared" si="8"/>
        <v>6.5064070986477232</v>
      </c>
      <c r="I388">
        <v>-0.21265649165690803</v>
      </c>
      <c r="J388">
        <v>-0.61198929334581942</v>
      </c>
      <c r="K388">
        <v>-0.32747438574739696</v>
      </c>
      <c r="M388">
        <v>-0.38404005691670812</v>
      </c>
      <c r="O388" t="s">
        <v>1312</v>
      </c>
    </row>
    <row r="389" spans="1:15">
      <c r="A389" t="s">
        <v>310</v>
      </c>
      <c r="B389" t="s">
        <v>873</v>
      </c>
      <c r="C389" t="s">
        <v>1428</v>
      </c>
      <c r="D389">
        <v>274</v>
      </c>
      <c r="E389">
        <v>11</v>
      </c>
      <c r="F389">
        <v>12</v>
      </c>
      <c r="G389">
        <v>36</v>
      </c>
      <c r="H389">
        <f t="shared" si="8"/>
        <v>14.153915830374764</v>
      </c>
      <c r="I389">
        <v>-0.40430471314159355</v>
      </c>
      <c r="J389">
        <v>-0.8190944658943301</v>
      </c>
      <c r="K389">
        <v>6.7480433032054643E-2</v>
      </c>
      <c r="M389">
        <v>-0.38530624866795632</v>
      </c>
      <c r="O389" t="s">
        <v>1428</v>
      </c>
    </row>
    <row r="390" spans="1:15">
      <c r="A390" t="s">
        <v>30</v>
      </c>
      <c r="B390" t="s">
        <v>593</v>
      </c>
      <c r="C390" t="s">
        <v>1148</v>
      </c>
      <c r="D390">
        <v>240</v>
      </c>
      <c r="E390">
        <v>19</v>
      </c>
      <c r="F390">
        <v>12</v>
      </c>
      <c r="G390">
        <v>14</v>
      </c>
      <c r="H390">
        <f t="shared" si="8"/>
        <v>3.6055512754639891</v>
      </c>
      <c r="I390">
        <v>-0.10940447623820759</v>
      </c>
      <c r="J390">
        <v>-0.76155514478554831</v>
      </c>
      <c r="K390">
        <v>-0.28515471094821265</v>
      </c>
      <c r="M390">
        <v>-0.3853714439906562</v>
      </c>
      <c r="O390" t="s">
        <v>1148</v>
      </c>
    </row>
    <row r="391" spans="1:15">
      <c r="A391" t="s">
        <v>210</v>
      </c>
      <c r="B391" t="s">
        <v>773</v>
      </c>
      <c r="C391" t="s">
        <v>1328</v>
      </c>
      <c r="D391">
        <v>1009</v>
      </c>
      <c r="E391">
        <v>47</v>
      </c>
      <c r="F391">
        <v>123</v>
      </c>
      <c r="G391">
        <v>41</v>
      </c>
      <c r="H391">
        <f t="shared" si="8"/>
        <v>45.709225910458528</v>
      </c>
      <c r="I391">
        <v>-0.33974014378062356</v>
      </c>
      <c r="J391">
        <v>-0.37451120391907966</v>
      </c>
      <c r="K391">
        <v>-0.44217881443201978</v>
      </c>
      <c r="M391">
        <v>-0.38547672071057432</v>
      </c>
      <c r="O391" t="s">
        <v>1328</v>
      </c>
    </row>
    <row r="392" spans="1:15">
      <c r="A392" t="s">
        <v>246</v>
      </c>
      <c r="B392" t="s">
        <v>809</v>
      </c>
      <c r="C392" t="s">
        <v>1364</v>
      </c>
      <c r="D392">
        <v>286</v>
      </c>
      <c r="E392">
        <v>20</v>
      </c>
      <c r="F392">
        <v>3</v>
      </c>
      <c r="G392">
        <v>86</v>
      </c>
      <c r="H392">
        <f t="shared" si="8"/>
        <v>43.84442191811101</v>
      </c>
      <c r="I392">
        <v>-0.1632828729444924</v>
      </c>
      <c r="J392">
        <v>-1.4397699275309477</v>
      </c>
      <c r="K392">
        <v>0.42706091319967998</v>
      </c>
      <c r="M392">
        <v>-0.39199729575858672</v>
      </c>
      <c r="O392" t="s">
        <v>1364</v>
      </c>
    </row>
    <row r="393" spans="1:15">
      <c r="A393" t="s">
        <v>232</v>
      </c>
      <c r="B393" t="s">
        <v>795</v>
      </c>
      <c r="C393" t="s">
        <v>1350</v>
      </c>
      <c r="D393">
        <v>409</v>
      </c>
      <c r="E393">
        <v>25</v>
      </c>
      <c r="F393">
        <v>1</v>
      </c>
      <c r="G393">
        <v>598</v>
      </c>
      <c r="H393">
        <f t="shared" si="8"/>
        <v>337.96301572805271</v>
      </c>
      <c r="I393">
        <v>-0.22173013481473469</v>
      </c>
      <c r="J393">
        <v>-2.072248457128909</v>
      </c>
      <c r="K393">
        <v>1.1139063710662243</v>
      </c>
      <c r="M393">
        <v>-0.39335740695913973</v>
      </c>
      <c r="O393" t="s">
        <v>1350</v>
      </c>
    </row>
    <row r="394" spans="1:15">
      <c r="A394" t="s">
        <v>513</v>
      </c>
      <c r="B394" t="s">
        <v>1076</v>
      </c>
      <c r="C394" t="s">
        <v>1631</v>
      </c>
      <c r="D394">
        <v>175</v>
      </c>
      <c r="E394">
        <v>12</v>
      </c>
      <c r="F394">
        <v>8</v>
      </c>
      <c r="G394">
        <v>12</v>
      </c>
      <c r="H394">
        <f t="shared" si="8"/>
        <v>2.3094010767585051</v>
      </c>
      <c r="I394">
        <v>-0.17180363811810007</v>
      </c>
      <c r="J394">
        <v>-0.80047321081591793</v>
      </c>
      <c r="K394">
        <v>-0.21492830755351422</v>
      </c>
      <c r="M394">
        <v>-0.39573505216251076</v>
      </c>
      <c r="O394" t="s">
        <v>1631</v>
      </c>
    </row>
    <row r="395" spans="1:15">
      <c r="A395" t="s">
        <v>503</v>
      </c>
      <c r="B395" t="s">
        <v>1066</v>
      </c>
      <c r="C395" t="s">
        <v>1621</v>
      </c>
      <c r="D395">
        <v>440</v>
      </c>
      <c r="E395">
        <v>101</v>
      </c>
      <c r="F395">
        <v>18</v>
      </c>
      <c r="G395">
        <v>10</v>
      </c>
      <c r="H395">
        <f t="shared" si="8"/>
        <v>50.388490749376487</v>
      </c>
      <c r="I395">
        <v>0.35292186181702467</v>
      </c>
      <c r="J395">
        <v>-0.84870532050444847</v>
      </c>
      <c r="K395">
        <v>-0.69452418140103211</v>
      </c>
      <c r="M395">
        <v>-0.39676921336281862</v>
      </c>
      <c r="O395" t="s">
        <v>1621</v>
      </c>
    </row>
    <row r="396" spans="1:15">
      <c r="A396" t="s">
        <v>353</v>
      </c>
      <c r="B396" t="s">
        <v>916</v>
      </c>
      <c r="C396" t="s">
        <v>1471</v>
      </c>
      <c r="D396">
        <v>790</v>
      </c>
      <c r="E396">
        <v>17</v>
      </c>
      <c r="F396">
        <v>100</v>
      </c>
      <c r="G396">
        <v>61</v>
      </c>
      <c r="H396">
        <f t="shared" si="8"/>
        <v>41.525092815469215</v>
      </c>
      <c r="I396">
        <v>-0.67512500539159803</v>
      </c>
      <c r="J396">
        <v>-0.35815224041200844</v>
      </c>
      <c r="K396">
        <v>-0.16336876119451915</v>
      </c>
      <c r="M396">
        <v>-0.39888200233270849</v>
      </c>
      <c r="O396" t="s">
        <v>1471</v>
      </c>
    </row>
    <row r="397" spans="1:15">
      <c r="A397" t="s">
        <v>17</v>
      </c>
      <c r="B397" t="s">
        <v>580</v>
      </c>
      <c r="C397" t="s">
        <v>1135</v>
      </c>
      <c r="D397">
        <v>506</v>
      </c>
      <c r="E397">
        <v>45</v>
      </c>
      <c r="F397">
        <v>42</v>
      </c>
      <c r="G397">
        <v>14</v>
      </c>
      <c r="H397">
        <f t="shared" si="8"/>
        <v>17.097758137642877</v>
      </c>
      <c r="I397">
        <v>-5.8884838543886042E-2</v>
      </c>
      <c r="J397">
        <v>-0.54142637556346573</v>
      </c>
      <c r="K397">
        <v>-0.60909398607640575</v>
      </c>
      <c r="M397">
        <v>-0.40313506672791916</v>
      </c>
      <c r="O397" t="s">
        <v>1135</v>
      </c>
    </row>
    <row r="398" spans="1:15">
      <c r="A398" t="s">
        <v>68</v>
      </c>
      <c r="B398" t="s">
        <v>631</v>
      </c>
      <c r="C398" t="s">
        <v>1186</v>
      </c>
      <c r="D398">
        <v>1008</v>
      </c>
      <c r="E398">
        <v>60</v>
      </c>
      <c r="F398">
        <v>40</v>
      </c>
      <c r="G398">
        <v>82</v>
      </c>
      <c r="H398">
        <f t="shared" si="8"/>
        <v>21.007935008784965</v>
      </c>
      <c r="I398">
        <v>-0.23325611720529338</v>
      </c>
      <c r="J398">
        <v>-0.86192568990311125</v>
      </c>
      <c r="K398">
        <v>-0.14071818464063446</v>
      </c>
      <c r="M398">
        <v>-0.4119666639163464</v>
      </c>
      <c r="O398" t="s">
        <v>1186</v>
      </c>
    </row>
    <row r="399" spans="1:15">
      <c r="A399" t="s">
        <v>489</v>
      </c>
      <c r="B399" t="s">
        <v>1052</v>
      </c>
      <c r="C399" t="s">
        <v>1607</v>
      </c>
      <c r="D399">
        <v>184</v>
      </c>
      <c r="E399">
        <v>9</v>
      </c>
      <c r="F399">
        <v>7</v>
      </c>
      <c r="G399">
        <v>19</v>
      </c>
      <c r="H399">
        <f t="shared" si="8"/>
        <v>6.4291005073286378</v>
      </c>
      <c r="I399">
        <v>-0.31852214904964216</v>
      </c>
      <c r="J399">
        <v>-0.88024493211684673</v>
      </c>
      <c r="K399">
        <v>-3.7135726971552208E-2</v>
      </c>
      <c r="M399">
        <v>-0.41196760271268035</v>
      </c>
      <c r="O399" t="s">
        <v>1607</v>
      </c>
    </row>
    <row r="400" spans="1:15">
      <c r="A400" t="s">
        <v>40</v>
      </c>
      <c r="B400" t="s">
        <v>603</v>
      </c>
      <c r="C400" t="s">
        <v>1158</v>
      </c>
      <c r="D400">
        <v>258</v>
      </c>
      <c r="E400">
        <v>19</v>
      </c>
      <c r="F400">
        <v>10</v>
      </c>
      <c r="G400">
        <v>17</v>
      </c>
      <c r="H400">
        <f t="shared" si="8"/>
        <v>4.7258156262526061</v>
      </c>
      <c r="I400">
        <v>-0.14081294048983173</v>
      </c>
      <c r="J400">
        <v>-0.87214485508479733</v>
      </c>
      <c r="K400">
        <v>-0.23224228949980086</v>
      </c>
      <c r="M400">
        <v>-0.41506669502480992</v>
      </c>
      <c r="O400" t="s">
        <v>1158</v>
      </c>
    </row>
    <row r="401" spans="1:15">
      <c r="A401" t="s">
        <v>510</v>
      </c>
      <c r="B401" t="s">
        <v>1073</v>
      </c>
      <c r="C401" t="s">
        <v>1628</v>
      </c>
      <c r="D401">
        <v>476</v>
      </c>
      <c r="E401">
        <v>28</v>
      </c>
      <c r="F401">
        <v>18</v>
      </c>
      <c r="G401">
        <v>40</v>
      </c>
      <c r="H401">
        <f t="shared" si="8"/>
        <v>11.015141094572201</v>
      </c>
      <c r="I401">
        <v>-0.23839575685770442</v>
      </c>
      <c r="J401">
        <v>-0.88285959673875414</v>
      </c>
      <c r="K401">
        <v>-0.1266184663073755</v>
      </c>
      <c r="M401">
        <v>-0.41595793996794467</v>
      </c>
      <c r="O401" t="s">
        <v>1628</v>
      </c>
    </row>
    <row r="402" spans="1:15">
      <c r="A402" t="s">
        <v>501</v>
      </c>
      <c r="B402" t="s">
        <v>1064</v>
      </c>
      <c r="C402" t="s">
        <v>1619</v>
      </c>
      <c r="D402">
        <v>362</v>
      </c>
      <c r="E402">
        <v>13</v>
      </c>
      <c r="F402">
        <v>10</v>
      </c>
      <c r="G402">
        <v>67</v>
      </c>
      <c r="H402">
        <f t="shared" si="8"/>
        <v>32.078029864690883</v>
      </c>
      <c r="I402">
        <v>-0.4527120537057594</v>
      </c>
      <c r="J402">
        <v>-1.019233719654733</v>
      </c>
      <c r="K402">
        <v>0.21629472725281607</v>
      </c>
      <c r="M402">
        <v>-0.41855034870255875</v>
      </c>
      <c r="O402" t="s">
        <v>1619</v>
      </c>
    </row>
    <row r="403" spans="1:15">
      <c r="A403" t="s">
        <v>207</v>
      </c>
      <c r="B403" t="s">
        <v>770</v>
      </c>
      <c r="C403" t="s">
        <v>1325</v>
      </c>
      <c r="D403">
        <v>658</v>
      </c>
      <c r="E403">
        <v>51</v>
      </c>
      <c r="F403">
        <v>21</v>
      </c>
      <c r="G403">
        <v>47</v>
      </c>
      <c r="H403">
        <f t="shared" si="8"/>
        <v>16.289055630494161</v>
      </c>
      <c r="I403">
        <v>-0.11860255299544975</v>
      </c>
      <c r="J403">
        <v>-0.95653174800160323</v>
      </c>
      <c r="K403">
        <v>-0.19719954059308265</v>
      </c>
      <c r="M403">
        <v>-0.42411128053004515</v>
      </c>
      <c r="O403" t="s">
        <v>1325</v>
      </c>
    </row>
    <row r="404" spans="1:15">
      <c r="A404" t="s">
        <v>86</v>
      </c>
      <c r="B404" t="s">
        <v>649</v>
      </c>
      <c r="C404" t="s">
        <v>1204</v>
      </c>
      <c r="D404">
        <v>486</v>
      </c>
      <c r="E404">
        <v>46</v>
      </c>
      <c r="F404">
        <v>15</v>
      </c>
      <c r="G404">
        <v>29</v>
      </c>
      <c r="H404">
        <f t="shared" si="8"/>
        <v>15.524174696260024</v>
      </c>
      <c r="I404">
        <v>-3.1825273060149817E-2</v>
      </c>
      <c r="J404">
        <v>-0.97107015932817931</v>
      </c>
      <c r="K404">
        <v>-0.27530977627818198</v>
      </c>
      <c r="M404">
        <v>-0.42606840288883707</v>
      </c>
      <c r="O404" t="s">
        <v>1204</v>
      </c>
    </row>
    <row r="405" spans="1:15">
      <c r="A405" t="s">
        <v>389</v>
      </c>
      <c r="B405" t="s">
        <v>952</v>
      </c>
      <c r="C405" t="s">
        <v>1507</v>
      </c>
      <c r="D405">
        <v>854</v>
      </c>
      <c r="E405">
        <v>174</v>
      </c>
      <c r="F405">
        <v>23</v>
      </c>
      <c r="G405">
        <v>27</v>
      </c>
      <c r="H405">
        <f t="shared" si="8"/>
        <v>86.04843597261565</v>
      </c>
      <c r="I405">
        <v>0.30114454211416408</v>
      </c>
      <c r="J405">
        <v>-1.0302551837929794</v>
      </c>
      <c r="K405">
        <v>-0.55116561144486242</v>
      </c>
      <c r="M405">
        <v>-0.4267587510412259</v>
      </c>
      <c r="O405" t="s">
        <v>1507</v>
      </c>
    </row>
    <row r="406" spans="1:15">
      <c r="A406" t="s">
        <v>143</v>
      </c>
      <c r="B406" t="s">
        <v>706</v>
      </c>
      <c r="C406" t="s">
        <v>1261</v>
      </c>
      <c r="D406">
        <v>1534</v>
      </c>
      <c r="E406">
        <v>150</v>
      </c>
      <c r="F406">
        <v>48</v>
      </c>
      <c r="G406">
        <v>84</v>
      </c>
      <c r="H406">
        <f t="shared" si="8"/>
        <v>51.730068625510249</v>
      </c>
      <c r="I406">
        <v>-1.7680936036711392E-2</v>
      </c>
      <c r="J406">
        <v>-0.96510927135894187</v>
      </c>
      <c r="K406">
        <v>-0.31261757846592508</v>
      </c>
      <c r="M406">
        <v>-0.43180259528719284</v>
      </c>
      <c r="O406" t="s">
        <v>1261</v>
      </c>
    </row>
    <row r="407" spans="1:15">
      <c r="A407" t="s">
        <v>124</v>
      </c>
      <c r="B407" t="s">
        <v>687</v>
      </c>
      <c r="C407" t="s">
        <v>1242</v>
      </c>
      <c r="D407">
        <v>654</v>
      </c>
      <c r="E407">
        <v>40</v>
      </c>
      <c r="F407">
        <v>22</v>
      </c>
      <c r="G407">
        <v>53</v>
      </c>
      <c r="H407">
        <f t="shared" si="8"/>
        <v>15.567059238447495</v>
      </c>
      <c r="I407">
        <v>-0.22146459247573547</v>
      </c>
      <c r="J407">
        <v>-0.9336802166236281</v>
      </c>
      <c r="K407">
        <v>-0.14237338363832297</v>
      </c>
      <c r="M407">
        <v>-0.43250606424589549</v>
      </c>
      <c r="O407" t="s">
        <v>1242</v>
      </c>
    </row>
    <row r="408" spans="1:15">
      <c r="A408" t="s">
        <v>374</v>
      </c>
      <c r="B408" t="s">
        <v>937</v>
      </c>
      <c r="C408" t="s">
        <v>1492</v>
      </c>
      <c r="D408">
        <v>1629</v>
      </c>
      <c r="E408">
        <v>215</v>
      </c>
      <c r="F408">
        <v>32</v>
      </c>
      <c r="G408">
        <v>103</v>
      </c>
      <c r="H408">
        <f t="shared" si="8"/>
        <v>92.262307218784272</v>
      </c>
      <c r="I408">
        <v>0.11257054012766543</v>
      </c>
      <c r="J408">
        <v>-1.1672962551101707</v>
      </c>
      <c r="K408">
        <v>-0.25015536451818177</v>
      </c>
      <c r="M408">
        <v>-0.43496035983356229</v>
      </c>
      <c r="O408" t="s">
        <v>1492</v>
      </c>
    </row>
    <row r="409" spans="1:15">
      <c r="A409" t="s">
        <v>376</v>
      </c>
      <c r="B409" t="s">
        <v>939</v>
      </c>
      <c r="C409" t="s">
        <v>1494</v>
      </c>
      <c r="D409">
        <v>1185</v>
      </c>
      <c r="E409">
        <v>144</v>
      </c>
      <c r="F409">
        <v>26</v>
      </c>
      <c r="G409">
        <v>71</v>
      </c>
      <c r="H409">
        <f t="shared" si="8"/>
        <v>59.551098506520717</v>
      </c>
      <c r="I409">
        <v>7.6697306269696397E-2</v>
      </c>
      <c r="J409">
        <v>-1.1192701514968717</v>
      </c>
      <c r="K409">
        <v>-0.27353150654189196</v>
      </c>
      <c r="M409">
        <v>-0.43870145058968907</v>
      </c>
      <c r="O409" t="s">
        <v>1494</v>
      </c>
    </row>
    <row r="410" spans="1:15">
      <c r="A410" t="s">
        <v>297</v>
      </c>
      <c r="B410" t="s">
        <v>860</v>
      </c>
      <c r="C410" t="s">
        <v>1415</v>
      </c>
      <c r="D410">
        <v>269</v>
      </c>
      <c r="E410">
        <v>7</v>
      </c>
      <c r="F410">
        <v>29</v>
      </c>
      <c r="G410">
        <v>15</v>
      </c>
      <c r="H410">
        <f t="shared" si="8"/>
        <v>11.135528725660043</v>
      </c>
      <c r="I410">
        <v>-0.59260107546758167</v>
      </c>
      <c r="J410">
        <v>-0.42787943122501892</v>
      </c>
      <c r="K410">
        <v>-0.3047325258615714</v>
      </c>
      <c r="M410">
        <v>-0.44173767751805731</v>
      </c>
      <c r="O410" t="s">
        <v>1415</v>
      </c>
    </row>
    <row r="411" spans="1:15">
      <c r="A411" t="s">
        <v>316</v>
      </c>
      <c r="B411" t="s">
        <v>879</v>
      </c>
      <c r="C411" t="s">
        <v>1434</v>
      </c>
      <c r="D411">
        <v>154</v>
      </c>
      <c r="E411">
        <v>5</v>
      </c>
      <c r="F411">
        <v>14</v>
      </c>
      <c r="G411">
        <v>8</v>
      </c>
      <c r="H411">
        <f t="shared" si="8"/>
        <v>4.5825756949558398</v>
      </c>
      <c r="I411">
        <v>-0.49649755197987488</v>
      </c>
      <c r="J411">
        <v>-0.50191783427979197</v>
      </c>
      <c r="K411">
        <v>-0.33550223875936425</v>
      </c>
      <c r="M411">
        <v>-0.44463920833967707</v>
      </c>
      <c r="O411" t="s">
        <v>1434</v>
      </c>
    </row>
    <row r="412" spans="1:15">
      <c r="A412" t="s">
        <v>269</v>
      </c>
      <c r="B412" t="s">
        <v>832</v>
      </c>
      <c r="C412" t="s">
        <v>1387</v>
      </c>
      <c r="D412">
        <v>375</v>
      </c>
      <c r="E412">
        <v>19</v>
      </c>
      <c r="F412">
        <v>17</v>
      </c>
      <c r="G412">
        <v>25</v>
      </c>
      <c r="H412">
        <f t="shared" si="8"/>
        <v>4.1633319989322697</v>
      </c>
      <c r="I412">
        <v>-0.30322450225432052</v>
      </c>
      <c r="J412">
        <v>-0.80410749547101201</v>
      </c>
      <c r="K412">
        <v>-0.22716276397052604</v>
      </c>
      <c r="M412">
        <v>-0.44483158723195282</v>
      </c>
      <c r="O412" t="s">
        <v>1387</v>
      </c>
    </row>
    <row r="413" spans="1:15">
      <c r="A413" t="s">
        <v>508</v>
      </c>
      <c r="B413" t="s">
        <v>1071</v>
      </c>
      <c r="C413" t="s">
        <v>1626</v>
      </c>
      <c r="D413">
        <v>1178</v>
      </c>
      <c r="E413">
        <v>55</v>
      </c>
      <c r="F413">
        <v>63</v>
      </c>
      <c r="G413">
        <v>72</v>
      </c>
      <c r="H413">
        <f t="shared" si="8"/>
        <v>8.5049005481153639</v>
      </c>
      <c r="I413">
        <v>-0.3387294364362694</v>
      </c>
      <c r="J413">
        <v>-0.73232989011906813</v>
      </c>
      <c r="K413">
        <v>-0.26488429893465915</v>
      </c>
      <c r="M413">
        <v>-0.44531454182999886</v>
      </c>
      <c r="O413" t="s">
        <v>1626</v>
      </c>
    </row>
    <row r="414" spans="1:15">
      <c r="A414" t="s">
        <v>338</v>
      </c>
      <c r="B414" t="s">
        <v>901</v>
      </c>
      <c r="C414" t="s">
        <v>1456</v>
      </c>
      <c r="D414">
        <v>91</v>
      </c>
      <c r="E414">
        <v>1</v>
      </c>
      <c r="F414">
        <v>37</v>
      </c>
      <c r="G414">
        <v>3</v>
      </c>
      <c r="H414">
        <f t="shared" si="8"/>
        <v>20.231987873991358</v>
      </c>
      <c r="I414">
        <v>-0.96698822780052418</v>
      </c>
      <c r="J414">
        <v>0.14863518262433434</v>
      </c>
      <c r="K414">
        <v>-0.53299164251627573</v>
      </c>
      <c r="M414">
        <v>-0.45044822923082184</v>
      </c>
      <c r="O414" t="s">
        <v>1456</v>
      </c>
    </row>
    <row r="415" spans="1:15">
      <c r="A415" t="s">
        <v>472</v>
      </c>
      <c r="B415" t="s">
        <v>1035</v>
      </c>
      <c r="C415" t="s">
        <v>1590</v>
      </c>
      <c r="D415">
        <v>1255</v>
      </c>
      <c r="E415">
        <v>6</v>
      </c>
      <c r="F415">
        <v>17</v>
      </c>
      <c r="G415">
        <v>2815</v>
      </c>
      <c r="H415">
        <f t="shared" si="8"/>
        <v>1618.6108241328427</v>
      </c>
      <c r="I415">
        <v>-1.3284393109128438</v>
      </c>
      <c r="J415">
        <v>-1.3287199535603502</v>
      </c>
      <c r="K415">
        <v>1.2997631684554634</v>
      </c>
      <c r="M415">
        <v>-0.45246536533924359</v>
      </c>
      <c r="O415" t="s">
        <v>1590</v>
      </c>
    </row>
    <row r="416" spans="1:15">
      <c r="A416" t="s">
        <v>225</v>
      </c>
      <c r="B416" t="s">
        <v>788</v>
      </c>
      <c r="C416" t="s">
        <v>1343</v>
      </c>
      <c r="D416">
        <v>1718</v>
      </c>
      <c r="E416">
        <v>72</v>
      </c>
      <c r="F416">
        <v>142</v>
      </c>
      <c r="G416">
        <v>72</v>
      </c>
      <c r="H416">
        <f t="shared" si="8"/>
        <v>40.414518843273811</v>
      </c>
      <c r="I416">
        <v>-0.38563749854338547</v>
      </c>
      <c r="J416">
        <v>-0.54325996423373402</v>
      </c>
      <c r="K416">
        <v>-0.42876216797879962</v>
      </c>
      <c r="M416">
        <v>-0.45255321025197298</v>
      </c>
      <c r="O416" t="s">
        <v>1343</v>
      </c>
    </row>
    <row r="417" spans="1:15">
      <c r="A417" t="s">
        <v>461</v>
      </c>
      <c r="B417" t="s">
        <v>1024</v>
      </c>
      <c r="C417" t="s">
        <v>1579</v>
      </c>
      <c r="D417">
        <v>606</v>
      </c>
      <c r="E417">
        <v>26</v>
      </c>
      <c r="F417">
        <v>31</v>
      </c>
      <c r="G417">
        <v>40</v>
      </c>
      <c r="H417">
        <f t="shared" si="8"/>
        <v>7.0945988845975823</v>
      </c>
      <c r="I417">
        <v>-0.37544611167489883</v>
      </c>
      <c r="J417">
        <v>-0.75163607945358046</v>
      </c>
      <c r="K417">
        <v>-0.23148413775316845</v>
      </c>
      <c r="M417">
        <v>-0.4528554429605493</v>
      </c>
      <c r="O417" t="s">
        <v>1579</v>
      </c>
    </row>
    <row r="418" spans="1:15">
      <c r="A418" t="s">
        <v>216</v>
      </c>
      <c r="B418" t="s">
        <v>779</v>
      </c>
      <c r="C418" t="s">
        <v>1334</v>
      </c>
      <c r="D418">
        <v>457</v>
      </c>
      <c r="E418">
        <v>15</v>
      </c>
      <c r="F418">
        <v>92</v>
      </c>
      <c r="G418">
        <v>10</v>
      </c>
      <c r="H418">
        <f t="shared" si="8"/>
        <v>45.967379738244816</v>
      </c>
      <c r="I418">
        <v>-0.4917717764935996</v>
      </c>
      <c r="J418">
        <v>-0.15665352184586201</v>
      </c>
      <c r="K418">
        <v>-0.71098770498469488</v>
      </c>
      <c r="M418">
        <v>-0.45313766777471881</v>
      </c>
      <c r="O418" t="s">
        <v>1334</v>
      </c>
    </row>
    <row r="419" spans="1:15">
      <c r="A419" t="s">
        <v>170</v>
      </c>
      <c r="B419" t="s">
        <v>733</v>
      </c>
      <c r="C419" t="s">
        <v>1288</v>
      </c>
      <c r="D419">
        <v>755</v>
      </c>
      <c r="E419">
        <v>29</v>
      </c>
      <c r="F419">
        <v>39</v>
      </c>
      <c r="G419">
        <v>55</v>
      </c>
      <c r="H419">
        <f t="shared" si="8"/>
        <v>13.114877048604001</v>
      </c>
      <c r="I419">
        <v>-0.42349578920966269</v>
      </c>
      <c r="J419">
        <v>-0.74740749372425619</v>
      </c>
      <c r="K419">
        <v>-0.18865576704978904</v>
      </c>
      <c r="M419">
        <v>-0.45318634999456936</v>
      </c>
      <c r="O419" t="s">
        <v>1288</v>
      </c>
    </row>
    <row r="420" spans="1:15">
      <c r="A420" t="s">
        <v>399</v>
      </c>
      <c r="B420" t="s">
        <v>962</v>
      </c>
      <c r="C420" t="s">
        <v>1517</v>
      </c>
      <c r="D420">
        <v>382</v>
      </c>
      <c r="E420">
        <v>16</v>
      </c>
      <c r="F420">
        <v>50</v>
      </c>
      <c r="G420">
        <v>10</v>
      </c>
      <c r="H420">
        <f t="shared" si="8"/>
        <v>21.571586249817916</v>
      </c>
      <c r="I420">
        <v>-0.38589021573521443</v>
      </c>
      <c r="J420">
        <v>-0.34361850769725699</v>
      </c>
      <c r="K420">
        <v>-0.63313486782655337</v>
      </c>
      <c r="M420">
        <v>-0.45421453041967491</v>
      </c>
      <c r="O420" t="s">
        <v>1517</v>
      </c>
    </row>
    <row r="421" spans="1:15">
      <c r="A421" t="s">
        <v>112</v>
      </c>
      <c r="B421" t="s">
        <v>675</v>
      </c>
      <c r="C421" t="s">
        <v>1230</v>
      </c>
      <c r="D421">
        <v>730</v>
      </c>
      <c r="E421">
        <v>47</v>
      </c>
      <c r="F421">
        <v>45</v>
      </c>
      <c r="G421">
        <v>26</v>
      </c>
      <c r="H421">
        <f t="shared" si="8"/>
        <v>11.59022576714248</v>
      </c>
      <c r="I421">
        <v>-0.1991718376641689</v>
      </c>
      <c r="J421">
        <v>-0.67063549546667922</v>
      </c>
      <c r="K421">
        <v>-0.49942101706448261</v>
      </c>
      <c r="M421">
        <v>-0.45640945006511019</v>
      </c>
      <c r="O421" t="s">
        <v>1230</v>
      </c>
    </row>
    <row r="422" spans="1:15">
      <c r="A422" t="s">
        <v>410</v>
      </c>
      <c r="B422" t="s">
        <v>973</v>
      </c>
      <c r="C422" t="s">
        <v>1528</v>
      </c>
      <c r="D422">
        <v>820</v>
      </c>
      <c r="E422">
        <v>221</v>
      </c>
      <c r="F422">
        <v>14</v>
      </c>
      <c r="G422">
        <v>25</v>
      </c>
      <c r="H422">
        <f t="shared" si="8"/>
        <v>116.46601793370174</v>
      </c>
      <c r="I422">
        <v>0.42263158582196347</v>
      </c>
      <c r="J422">
        <v>-1.2282109658270457</v>
      </c>
      <c r="K422">
        <v>-0.56694534862652368</v>
      </c>
      <c r="M422">
        <v>-0.45750824287720199</v>
      </c>
      <c r="O422" t="s">
        <v>1528</v>
      </c>
    </row>
    <row r="423" spans="1:15">
      <c r="A423" t="s">
        <v>390</v>
      </c>
      <c r="B423" t="s">
        <v>953</v>
      </c>
      <c r="C423" t="s">
        <v>1508</v>
      </c>
      <c r="D423">
        <v>785</v>
      </c>
      <c r="E423">
        <v>41</v>
      </c>
      <c r="F423">
        <v>38</v>
      </c>
      <c r="G423">
        <v>43</v>
      </c>
      <c r="H423">
        <f t="shared" si="8"/>
        <v>2.5166114784235831</v>
      </c>
      <c r="I423">
        <v>-0.29003263550494762</v>
      </c>
      <c r="J423">
        <v>-0.77561120925000948</v>
      </c>
      <c r="K423">
        <v>-0.31247270608051059</v>
      </c>
      <c r="M423">
        <v>-0.45937218361182258</v>
      </c>
      <c r="O423" t="s">
        <v>1508</v>
      </c>
    </row>
    <row r="424" spans="1:15">
      <c r="A424" t="s">
        <v>72</v>
      </c>
      <c r="B424" t="s">
        <v>635</v>
      </c>
      <c r="C424" t="s">
        <v>1190</v>
      </c>
      <c r="D424">
        <v>775</v>
      </c>
      <c r="E424">
        <v>15</v>
      </c>
      <c r="F424">
        <v>358</v>
      </c>
      <c r="G424">
        <v>12</v>
      </c>
      <c r="H424">
        <f t="shared" si="8"/>
        <v>198.90282384454306</v>
      </c>
      <c r="I424">
        <v>-0.72115727893005954</v>
      </c>
      <c r="J424">
        <v>0.20405617501599699</v>
      </c>
      <c r="K424">
        <v>-0.86119196137353016</v>
      </c>
      <c r="M424">
        <v>-0.45943102176253087</v>
      </c>
      <c r="O424" t="s">
        <v>1190</v>
      </c>
    </row>
    <row r="425" spans="1:15">
      <c r="A425" t="s">
        <v>418</v>
      </c>
      <c r="B425" t="s">
        <v>981</v>
      </c>
      <c r="C425" t="s">
        <v>1536</v>
      </c>
      <c r="D425">
        <v>513</v>
      </c>
      <c r="E425">
        <v>26</v>
      </c>
      <c r="F425">
        <v>16</v>
      </c>
      <c r="G425">
        <v>44</v>
      </c>
      <c r="H425">
        <f t="shared" si="8"/>
        <v>14.189197769195172</v>
      </c>
      <c r="I425">
        <v>-0.30309085262042879</v>
      </c>
      <c r="J425">
        <v>-0.96652253157745849</v>
      </c>
      <c r="K425">
        <v>-0.11773619354047349</v>
      </c>
      <c r="M425">
        <v>-0.46244985924612031</v>
      </c>
      <c r="O425" t="s">
        <v>1536</v>
      </c>
    </row>
    <row r="426" spans="1:15">
      <c r="A426" t="s">
        <v>528</v>
      </c>
      <c r="B426" t="s">
        <v>1091</v>
      </c>
      <c r="C426" t="s">
        <v>1646</v>
      </c>
      <c r="D426">
        <v>343</v>
      </c>
      <c r="E426">
        <v>20</v>
      </c>
      <c r="F426">
        <v>13</v>
      </c>
      <c r="G426">
        <v>21</v>
      </c>
      <c r="H426">
        <f t="shared" si="8"/>
        <v>4.358898943540674</v>
      </c>
      <c r="I426">
        <v>-0.24221095985821983</v>
      </c>
      <c r="J426">
        <v>-0.88187591685750066</v>
      </c>
      <c r="K426">
        <v>-0.26414633022369594</v>
      </c>
      <c r="M426">
        <v>-0.46274440231313885</v>
      </c>
      <c r="O426" t="s">
        <v>1646</v>
      </c>
    </row>
    <row r="427" spans="1:15">
      <c r="A427" t="s">
        <v>99</v>
      </c>
      <c r="B427" t="s">
        <v>662</v>
      </c>
      <c r="C427" t="s">
        <v>1217</v>
      </c>
      <c r="D427">
        <v>180</v>
      </c>
      <c r="E427">
        <v>13</v>
      </c>
      <c r="F427">
        <v>15</v>
      </c>
      <c r="G427">
        <v>4</v>
      </c>
      <c r="H427">
        <f t="shared" si="8"/>
        <v>5.8594652770823163</v>
      </c>
      <c r="I427">
        <v>-0.14927598827589983</v>
      </c>
      <c r="J427">
        <v>-0.53970639516919194</v>
      </c>
      <c r="K427">
        <v>-0.70428401869018842</v>
      </c>
      <c r="M427">
        <v>-0.46442213404509342</v>
      </c>
      <c r="O427" t="s">
        <v>1217</v>
      </c>
    </row>
    <row r="428" spans="1:15">
      <c r="A428" t="s">
        <v>331</v>
      </c>
      <c r="B428" t="s">
        <v>894</v>
      </c>
      <c r="C428" t="s">
        <v>1449</v>
      </c>
      <c r="D428">
        <v>494</v>
      </c>
      <c r="E428">
        <v>23</v>
      </c>
      <c r="F428">
        <v>35</v>
      </c>
      <c r="G428">
        <v>20</v>
      </c>
      <c r="H428">
        <f t="shared" si="8"/>
        <v>7.9372539331937721</v>
      </c>
      <c r="I428">
        <v>-0.33994594838548453</v>
      </c>
      <c r="J428">
        <v>-0.61018405369493822</v>
      </c>
      <c r="K428">
        <v>-0.44376845817451049</v>
      </c>
      <c r="M428">
        <v>-0.4646328200849778</v>
      </c>
      <c r="O428" t="s">
        <v>1449</v>
      </c>
    </row>
    <row r="429" spans="1:15">
      <c r="A429" t="s">
        <v>134</v>
      </c>
      <c r="B429" t="s">
        <v>697</v>
      </c>
      <c r="C429" t="s">
        <v>1252</v>
      </c>
      <c r="D429">
        <v>356</v>
      </c>
      <c r="E429">
        <v>20</v>
      </c>
      <c r="F429">
        <v>20</v>
      </c>
      <c r="G429">
        <v>15</v>
      </c>
      <c r="H429">
        <f t="shared" si="8"/>
        <v>2.8867513459481255</v>
      </c>
      <c r="I429">
        <v>-0.25836683778832459</v>
      </c>
      <c r="J429">
        <v>-0.71094515143046111</v>
      </c>
      <c r="K429">
        <v>-0.42643024383203865</v>
      </c>
      <c r="M429">
        <v>-0.46524741101694139</v>
      </c>
      <c r="O429" t="s">
        <v>1252</v>
      </c>
    </row>
    <row r="430" spans="1:15">
      <c r="A430" t="s">
        <v>381</v>
      </c>
      <c r="B430" t="s">
        <v>944</v>
      </c>
      <c r="C430" t="s">
        <v>1499</v>
      </c>
      <c r="D430">
        <v>487</v>
      </c>
      <c r="E430">
        <v>38</v>
      </c>
      <c r="F430">
        <v>8</v>
      </c>
      <c r="G430">
        <v>50</v>
      </c>
      <c r="H430">
        <f t="shared" si="8"/>
        <v>21.633307652783937</v>
      </c>
      <c r="I430">
        <v>-0.11569220007725467</v>
      </c>
      <c r="J430">
        <v>-1.2449641233442579</v>
      </c>
      <c r="K430">
        <v>-3.9630461793460192E-2</v>
      </c>
      <c r="M430">
        <v>-0.46676226173832425</v>
      </c>
      <c r="O430" t="s">
        <v>1499</v>
      </c>
    </row>
    <row r="431" spans="1:15">
      <c r="A431" t="s">
        <v>448</v>
      </c>
      <c r="B431" t="s">
        <v>1011</v>
      </c>
      <c r="C431" t="s">
        <v>1566</v>
      </c>
      <c r="D431">
        <v>210</v>
      </c>
      <c r="E431">
        <v>8</v>
      </c>
      <c r="F431">
        <v>2</v>
      </c>
      <c r="G431">
        <v>76</v>
      </c>
      <c r="H431">
        <f t="shared" si="8"/>
        <v>41.101500378128939</v>
      </c>
      <c r="I431">
        <v>-0.42707614322140608</v>
      </c>
      <c r="J431">
        <v>-1.481714448191505</v>
      </c>
      <c r="K431">
        <v>0.50752279263202738</v>
      </c>
      <c r="M431">
        <v>-0.46708926626029457</v>
      </c>
      <c r="O431" t="s">
        <v>1566</v>
      </c>
    </row>
    <row r="432" spans="1:15">
      <c r="A432" t="s">
        <v>355</v>
      </c>
      <c r="B432" t="s">
        <v>918</v>
      </c>
      <c r="C432" t="s">
        <v>1473</v>
      </c>
      <c r="D432">
        <v>659</v>
      </c>
      <c r="E432">
        <v>36</v>
      </c>
      <c r="F432">
        <v>25</v>
      </c>
      <c r="G432">
        <v>41</v>
      </c>
      <c r="H432">
        <f t="shared" si="8"/>
        <v>8.1853527718724504</v>
      </c>
      <c r="I432">
        <v>-0.27052974930615314</v>
      </c>
      <c r="J432">
        <v>-0.88147055504353922</v>
      </c>
      <c r="K432">
        <v>-0.25717306278911911</v>
      </c>
      <c r="M432">
        <v>-0.46972445571293714</v>
      </c>
      <c r="O432" t="s">
        <v>1473</v>
      </c>
    </row>
    <row r="433" spans="1:15">
      <c r="A433" t="s">
        <v>50</v>
      </c>
      <c r="B433" t="s">
        <v>613</v>
      </c>
      <c r="C433" t="s">
        <v>1168</v>
      </c>
      <c r="D433">
        <v>272</v>
      </c>
      <c r="E433">
        <v>12</v>
      </c>
      <c r="F433">
        <v>18</v>
      </c>
      <c r="G433">
        <v>12</v>
      </c>
      <c r="H433">
        <f t="shared" si="8"/>
        <v>3.4641016151377544</v>
      </c>
      <c r="I433">
        <v>-0.36333449346600433</v>
      </c>
      <c r="J433">
        <v>-0.63982154805245972</v>
      </c>
      <c r="K433">
        <v>-0.40645916290141848</v>
      </c>
      <c r="M433">
        <v>-0.46987173480662747</v>
      </c>
      <c r="O433" t="s">
        <v>1168</v>
      </c>
    </row>
    <row r="434" spans="1:15">
      <c r="A434" t="s">
        <v>192</v>
      </c>
      <c r="B434" t="s">
        <v>755</v>
      </c>
      <c r="C434" t="s">
        <v>1310</v>
      </c>
      <c r="D434">
        <v>951</v>
      </c>
      <c r="E434">
        <v>53</v>
      </c>
      <c r="F434">
        <v>35</v>
      </c>
      <c r="G434">
        <v>58</v>
      </c>
      <c r="H434">
        <f t="shared" ref="H434:H497" si="9">STDEV(E434:G434)</f>
        <v>12.096831541082709</v>
      </c>
      <c r="I434">
        <v>-0.26185148281605541</v>
      </c>
      <c r="J434">
        <v>-0.89463762170870542</v>
      </c>
      <c r="K434">
        <v>-0.26582402828932139</v>
      </c>
      <c r="M434">
        <v>-0.47410437760469409</v>
      </c>
      <c r="O434" t="s">
        <v>1310</v>
      </c>
    </row>
    <row r="435" spans="1:15">
      <c r="A435" t="s">
        <v>388</v>
      </c>
      <c r="B435" t="s">
        <v>951</v>
      </c>
      <c r="C435" t="s">
        <v>1506</v>
      </c>
      <c r="D435">
        <v>411</v>
      </c>
      <c r="E435">
        <v>37</v>
      </c>
      <c r="F435">
        <v>29</v>
      </c>
      <c r="G435">
        <v>8</v>
      </c>
      <c r="H435">
        <f t="shared" si="9"/>
        <v>14.977761292440649</v>
      </c>
      <c r="I435">
        <v>-5.3586933288504834E-2</v>
      </c>
      <c r="J435">
        <v>-0.61196897309868026</v>
      </c>
      <c r="K435">
        <v>-0.76182333979897021</v>
      </c>
      <c r="M435">
        <v>-0.47579308206205173</v>
      </c>
      <c r="O435" t="s">
        <v>1506</v>
      </c>
    </row>
    <row r="436" spans="1:15">
      <c r="A436" t="s">
        <v>157</v>
      </c>
      <c r="B436" t="s">
        <v>720</v>
      </c>
      <c r="C436" t="s">
        <v>1275</v>
      </c>
      <c r="D436">
        <v>760</v>
      </c>
      <c r="E436">
        <v>59</v>
      </c>
      <c r="F436">
        <v>11</v>
      </c>
      <c r="G436">
        <v>83</v>
      </c>
      <c r="H436">
        <f t="shared" si="9"/>
        <v>36.660605559646719</v>
      </c>
      <c r="I436">
        <v>-0.11790841611807767</v>
      </c>
      <c r="J436">
        <v>-1.2999460562441332</v>
      </c>
      <c r="K436">
        <v>-1.2807004819562096E-2</v>
      </c>
      <c r="M436">
        <v>-0.47688715906059098</v>
      </c>
      <c r="O436" t="s">
        <v>1275</v>
      </c>
    </row>
    <row r="437" spans="1:15">
      <c r="A437" t="s">
        <v>537</v>
      </c>
      <c r="B437" t="s">
        <v>1100</v>
      </c>
      <c r="C437" t="s">
        <v>1655</v>
      </c>
      <c r="D437">
        <v>954</v>
      </c>
      <c r="E437">
        <v>36</v>
      </c>
      <c r="F437">
        <v>92</v>
      </c>
      <c r="G437">
        <v>31</v>
      </c>
      <c r="H437">
        <f t="shared" si="9"/>
        <v>33.867388443752198</v>
      </c>
      <c r="I437">
        <v>-0.43119270941623844</v>
      </c>
      <c r="J437">
        <v>-0.47628569648010688</v>
      </c>
      <c r="K437">
        <v>-0.53925818578466722</v>
      </c>
      <c r="M437">
        <v>-0.48224553056033753</v>
      </c>
      <c r="O437" t="s">
        <v>1655</v>
      </c>
    </row>
    <row r="438" spans="1:15">
      <c r="A438" t="s">
        <v>552</v>
      </c>
      <c r="B438" t="s">
        <v>1115</v>
      </c>
      <c r="C438" t="s">
        <v>1670</v>
      </c>
      <c r="D438">
        <v>367</v>
      </c>
      <c r="E438">
        <v>17</v>
      </c>
      <c r="F438">
        <v>12</v>
      </c>
      <c r="G438">
        <v>28</v>
      </c>
      <c r="H438">
        <f t="shared" si="9"/>
        <v>8.1853527718724504</v>
      </c>
      <c r="I438">
        <v>-0.34216397835324597</v>
      </c>
      <c r="J438">
        <v>-0.94600996732603171</v>
      </c>
      <c r="K438">
        <v>-0.1685795378247148</v>
      </c>
      <c r="M438">
        <v>-0.48558449450133079</v>
      </c>
      <c r="O438" t="s">
        <v>1670</v>
      </c>
    </row>
    <row r="439" spans="1:15">
      <c r="A439" t="s">
        <v>320</v>
      </c>
      <c r="B439" t="s">
        <v>883</v>
      </c>
      <c r="C439" t="s">
        <v>1438</v>
      </c>
      <c r="D439">
        <v>241</v>
      </c>
      <c r="E439">
        <v>7</v>
      </c>
      <c r="F439">
        <v>11</v>
      </c>
      <c r="G439">
        <v>21</v>
      </c>
      <c r="H439">
        <f t="shared" si="9"/>
        <v>7.2111025509279782</v>
      </c>
      <c r="I439">
        <v>-0.54486583804004218</v>
      </c>
      <c r="J439">
        <v>-0.80114950653821049</v>
      </c>
      <c r="K439">
        <v>-0.11086925275579373</v>
      </c>
      <c r="M439">
        <v>-0.48562819911134875</v>
      </c>
      <c r="O439" t="s">
        <v>1438</v>
      </c>
    </row>
    <row r="440" spans="1:15">
      <c r="A440" t="s">
        <v>221</v>
      </c>
      <c r="B440" t="s">
        <v>784</v>
      </c>
      <c r="C440" t="s">
        <v>1339</v>
      </c>
      <c r="D440">
        <v>355</v>
      </c>
      <c r="E440">
        <v>14</v>
      </c>
      <c r="F440">
        <v>11</v>
      </c>
      <c r="G440">
        <v>33</v>
      </c>
      <c r="H440">
        <f t="shared" si="9"/>
        <v>11.930353445448855</v>
      </c>
      <c r="I440">
        <v>-0.41204715285628657</v>
      </c>
      <c r="J440">
        <v>-0.96936081701843613</v>
      </c>
      <c r="K440">
        <v>-8.278591809205138E-2</v>
      </c>
      <c r="M440">
        <v>-0.48806462932225797</v>
      </c>
      <c r="O440" t="s">
        <v>1339</v>
      </c>
    </row>
    <row r="441" spans="1:15">
      <c r="A441" t="s">
        <v>161</v>
      </c>
      <c r="B441" t="s">
        <v>724</v>
      </c>
      <c r="C441" t="s">
        <v>1279</v>
      </c>
      <c r="D441">
        <v>574</v>
      </c>
      <c r="E441">
        <v>27</v>
      </c>
      <c r="F441">
        <v>13</v>
      </c>
      <c r="G441">
        <v>59</v>
      </c>
      <c r="H441">
        <f t="shared" si="9"/>
        <v>23.57965224510319</v>
      </c>
      <c r="I441">
        <v>-0.33549496371841681</v>
      </c>
      <c r="J441">
        <v>-1.1054936892127039</v>
      </c>
      <c r="K441">
        <v>-3.9131385670673979E-2</v>
      </c>
      <c r="M441">
        <v>-0.4933733462005982</v>
      </c>
      <c r="O441" t="s">
        <v>1279</v>
      </c>
    </row>
    <row r="442" spans="1:15">
      <c r="A442" t="s">
        <v>357</v>
      </c>
      <c r="B442" t="s">
        <v>920</v>
      </c>
      <c r="C442" t="s">
        <v>1475</v>
      </c>
      <c r="D442">
        <v>766</v>
      </c>
      <c r="E442">
        <v>40</v>
      </c>
      <c r="F442">
        <v>9</v>
      </c>
      <c r="G442">
        <v>135</v>
      </c>
      <c r="H442">
        <f t="shared" si="9"/>
        <v>65.653128892181016</v>
      </c>
      <c r="I442">
        <v>-0.29011561378407213</v>
      </c>
      <c r="J442">
        <v>-1.3905114093148461</v>
      </c>
      <c r="K442">
        <v>0.19503349394755742</v>
      </c>
      <c r="M442">
        <v>-0.49519784305045356</v>
      </c>
      <c r="O442" t="s">
        <v>1475</v>
      </c>
    </row>
    <row r="443" spans="1:15">
      <c r="A443" t="s">
        <v>463</v>
      </c>
      <c r="B443" t="s">
        <v>1026</v>
      </c>
      <c r="C443" t="s">
        <v>1581</v>
      </c>
      <c r="D443">
        <v>2215</v>
      </c>
      <c r="E443">
        <v>178</v>
      </c>
      <c r="F443">
        <v>29</v>
      </c>
      <c r="G443">
        <v>215</v>
      </c>
      <c r="H443">
        <f t="shared" si="9"/>
        <v>98.459805673855215</v>
      </c>
      <c r="I443">
        <v>-0.10290056372962497</v>
      </c>
      <c r="J443">
        <v>-1.3435008817816994</v>
      </c>
      <c r="K443">
        <v>-6.4006775558327789E-2</v>
      </c>
      <c r="M443">
        <v>-0.50346940702321741</v>
      </c>
      <c r="O443" t="s">
        <v>1581</v>
      </c>
    </row>
    <row r="444" spans="1:15">
      <c r="A444" t="s">
        <v>83</v>
      </c>
      <c r="B444" t="s">
        <v>646</v>
      </c>
      <c r="C444" t="s">
        <v>1201</v>
      </c>
      <c r="D444">
        <v>746</v>
      </c>
      <c r="E444">
        <v>29</v>
      </c>
      <c r="F444">
        <v>30</v>
      </c>
      <c r="G444">
        <v>45</v>
      </c>
      <c r="H444">
        <f t="shared" si="9"/>
        <v>8.9628864398324968</v>
      </c>
      <c r="I444">
        <v>-0.4182876650531433</v>
      </c>
      <c r="J444">
        <v>-0.85614272187457352</v>
      </c>
      <c r="K444">
        <v>-0.2705978186121698</v>
      </c>
      <c r="M444">
        <v>-0.5150094018466288</v>
      </c>
      <c r="O444" t="s">
        <v>1201</v>
      </c>
    </row>
    <row r="445" spans="1:15">
      <c r="A445" t="s">
        <v>5</v>
      </c>
      <c r="B445" t="s">
        <v>568</v>
      </c>
      <c r="C445" t="s">
        <v>1123</v>
      </c>
      <c r="D445">
        <v>215</v>
      </c>
      <c r="E445">
        <v>10</v>
      </c>
      <c r="F445">
        <v>10</v>
      </c>
      <c r="G445">
        <v>9</v>
      </c>
      <c r="H445">
        <f t="shared" si="9"/>
        <v>0.57735026918962573</v>
      </c>
      <c r="I445">
        <v>-0.34038529539503593</v>
      </c>
      <c r="J445">
        <v>-0.79296360903717245</v>
      </c>
      <c r="K445">
        <v>-0.4292674553911251</v>
      </c>
      <c r="M445">
        <v>-0.52087211994111116</v>
      </c>
      <c r="O445" t="s">
        <v>1123</v>
      </c>
    </row>
    <row r="446" spans="1:15">
      <c r="A446" t="s">
        <v>233</v>
      </c>
      <c r="B446" t="s">
        <v>796</v>
      </c>
      <c r="C446" t="s">
        <v>1351</v>
      </c>
      <c r="D446">
        <v>1022</v>
      </c>
      <c r="E446">
        <v>52</v>
      </c>
      <c r="F446">
        <v>53</v>
      </c>
      <c r="G446">
        <v>35</v>
      </c>
      <c r="H446">
        <f t="shared" si="9"/>
        <v>10.115993936995686</v>
      </c>
      <c r="I446">
        <v>-0.30139438764332538</v>
      </c>
      <c r="J446">
        <v>-0.74570017531947197</v>
      </c>
      <c r="K446">
        <v>-0.51645435636326309</v>
      </c>
      <c r="M446">
        <v>-0.52118297310868678</v>
      </c>
      <c r="O446" t="s">
        <v>1351</v>
      </c>
    </row>
    <row r="447" spans="1:15">
      <c r="A447" t="s">
        <v>242</v>
      </c>
      <c r="B447" t="s">
        <v>805</v>
      </c>
      <c r="C447" t="s">
        <v>1360</v>
      </c>
      <c r="D447">
        <v>708</v>
      </c>
      <c r="E447">
        <v>53</v>
      </c>
      <c r="F447">
        <v>16</v>
      </c>
      <c r="G447">
        <v>35</v>
      </c>
      <c r="H447">
        <f t="shared" si="9"/>
        <v>18.502252115170556</v>
      </c>
      <c r="I447">
        <v>-0.1337042235684105</v>
      </c>
      <c r="J447">
        <v>-1.1064384241554115</v>
      </c>
      <c r="K447">
        <v>-0.35703671825433814</v>
      </c>
      <c r="M447">
        <v>-0.53239312199272004</v>
      </c>
      <c r="O447" t="s">
        <v>1360</v>
      </c>
    </row>
    <row r="448" spans="1:15">
      <c r="A448" t="s">
        <v>351</v>
      </c>
      <c r="B448" t="s">
        <v>914</v>
      </c>
      <c r="C448" t="s">
        <v>1469</v>
      </c>
      <c r="D448">
        <v>712</v>
      </c>
      <c r="E448">
        <v>20</v>
      </c>
      <c r="F448">
        <v>87</v>
      </c>
      <c r="G448">
        <v>17</v>
      </c>
      <c r="H448">
        <f t="shared" si="9"/>
        <v>39.576929306520654</v>
      </c>
      <c r="I448">
        <v>-0.55939683345230562</v>
      </c>
      <c r="J448">
        <v>-0.37348589013980493</v>
      </c>
      <c r="K448">
        <v>-0.67310257717342714</v>
      </c>
      <c r="M448">
        <v>-0.53532843358851256</v>
      </c>
      <c r="O448" t="s">
        <v>1469</v>
      </c>
    </row>
    <row r="449" spans="1:15">
      <c r="A449" t="s">
        <v>464</v>
      </c>
      <c r="B449" t="s">
        <v>1027</v>
      </c>
      <c r="C449" t="s">
        <v>1582</v>
      </c>
      <c r="D449">
        <v>1442</v>
      </c>
      <c r="E449">
        <v>30</v>
      </c>
      <c r="F449">
        <v>67</v>
      </c>
      <c r="G449">
        <v>114</v>
      </c>
      <c r="H449">
        <f t="shared" si="9"/>
        <v>42.099089459670417</v>
      </c>
      <c r="I449">
        <v>-0.68979084114317835</v>
      </c>
      <c r="J449">
        <v>-0.7934156068041508</v>
      </c>
      <c r="K449">
        <v>-0.15313191396178238</v>
      </c>
      <c r="M449">
        <v>-0.54544612063637044</v>
      </c>
      <c r="O449" t="s">
        <v>1582</v>
      </c>
    </row>
    <row r="450" spans="1:15">
      <c r="A450" t="s">
        <v>217</v>
      </c>
      <c r="B450" t="s">
        <v>780</v>
      </c>
      <c r="C450" t="s">
        <v>1335</v>
      </c>
      <c r="D450">
        <v>577</v>
      </c>
      <c r="E450">
        <v>22</v>
      </c>
      <c r="F450">
        <v>17</v>
      </c>
      <c r="G450">
        <v>38</v>
      </c>
      <c r="H450">
        <f t="shared" si="9"/>
        <v>10.969655114602892</v>
      </c>
      <c r="I450">
        <v>-0.42669996781295572</v>
      </c>
      <c r="J450">
        <v>-0.99125204089902452</v>
      </c>
      <c r="K450">
        <v>-0.23246372145376593</v>
      </c>
      <c r="M450">
        <v>-0.55013857672191535</v>
      </c>
      <c r="O450" t="s">
        <v>1335</v>
      </c>
    </row>
    <row r="451" spans="1:15">
      <c r="A451" t="s">
        <v>9</v>
      </c>
      <c r="B451" t="s">
        <v>572</v>
      </c>
      <c r="C451" t="s">
        <v>1127</v>
      </c>
      <c r="D451">
        <v>466</v>
      </c>
      <c r="E451">
        <v>21</v>
      </c>
      <c r="F451">
        <v>22</v>
      </c>
      <c r="G451">
        <v>16</v>
      </c>
      <c r="H451">
        <f t="shared" si="9"/>
        <v>3.2145502536643242</v>
      </c>
      <c r="I451">
        <v>-0.35411345743551137</v>
      </c>
      <c r="J451">
        <v>-0.78648838498936102</v>
      </c>
      <c r="K451">
        <v>-0.51533743894892003</v>
      </c>
      <c r="M451">
        <v>-0.55197976045793073</v>
      </c>
      <c r="O451" t="s">
        <v>1127</v>
      </c>
    </row>
    <row r="452" spans="1:15">
      <c r="A452" t="s">
        <v>257</v>
      </c>
      <c r="B452" t="s">
        <v>820</v>
      </c>
      <c r="C452" t="s">
        <v>1375</v>
      </c>
      <c r="D452">
        <v>111</v>
      </c>
      <c r="E452">
        <v>4</v>
      </c>
      <c r="F452">
        <v>3</v>
      </c>
      <c r="G452">
        <v>8</v>
      </c>
      <c r="H452">
        <f t="shared" si="9"/>
        <v>2.6457513110645907</v>
      </c>
      <c r="I452">
        <v>-0.45120982293812562</v>
      </c>
      <c r="J452">
        <v>-1.0287268731885622</v>
      </c>
      <c r="K452">
        <v>-0.19330449670955852</v>
      </c>
      <c r="M452">
        <v>-0.55774706427874876</v>
      </c>
      <c r="O452" t="s">
        <v>1375</v>
      </c>
    </row>
    <row r="453" spans="1:15">
      <c r="A453" t="s">
        <v>59</v>
      </c>
      <c r="B453" t="s">
        <v>622</v>
      </c>
      <c r="C453" t="s">
        <v>1177</v>
      </c>
      <c r="D453">
        <v>70</v>
      </c>
      <c r="E453">
        <v>1</v>
      </c>
      <c r="F453">
        <v>4</v>
      </c>
      <c r="G453">
        <v>6</v>
      </c>
      <c r="H453">
        <f t="shared" si="9"/>
        <v>2.5166114784235831</v>
      </c>
      <c r="I453">
        <v>-0.85304487549368746</v>
      </c>
      <c r="J453">
        <v>-0.70356319780786147</v>
      </c>
      <c r="K453">
        <v>-0.11801829454545798</v>
      </c>
      <c r="M453">
        <v>-0.55820878928233564</v>
      </c>
      <c r="O453" t="s">
        <v>1177</v>
      </c>
    </row>
    <row r="454" spans="1:15">
      <c r="A454" t="s">
        <v>179</v>
      </c>
      <c r="B454" t="s">
        <v>742</v>
      </c>
      <c r="C454" t="s">
        <v>1297</v>
      </c>
      <c r="D454">
        <v>283</v>
      </c>
      <c r="E454">
        <v>4</v>
      </c>
      <c r="F454">
        <v>13</v>
      </c>
      <c r="G454">
        <v>30</v>
      </c>
      <c r="H454">
        <f t="shared" si="9"/>
        <v>13.203534880225572</v>
      </c>
      <c r="I454">
        <v>-0.85767327967575846</v>
      </c>
      <c r="J454">
        <v>-0.79836823233902054</v>
      </c>
      <c r="K454">
        <v>-2.5736685719472518E-2</v>
      </c>
      <c r="M454">
        <v>-0.56059273257808384</v>
      </c>
      <c r="O454" t="s">
        <v>1297</v>
      </c>
    </row>
    <row r="455" spans="1:15">
      <c r="A455" t="s">
        <v>131</v>
      </c>
      <c r="B455" t="s">
        <v>694</v>
      </c>
      <c r="C455" t="s">
        <v>1249</v>
      </c>
      <c r="D455">
        <v>303</v>
      </c>
      <c r="E455">
        <v>26</v>
      </c>
      <c r="F455">
        <v>6</v>
      </c>
      <c r="G455">
        <v>12</v>
      </c>
      <c r="H455">
        <f t="shared" si="9"/>
        <v>10.263202878893768</v>
      </c>
      <c r="I455">
        <v>-7.4416116010917577E-2</v>
      </c>
      <c r="J455">
        <v>-1.1638165272402285</v>
      </c>
      <c r="K455">
        <v>-0.45333288736952482</v>
      </c>
      <c r="M455">
        <v>-0.56385517687355702</v>
      </c>
      <c r="O455" t="s">
        <v>1249</v>
      </c>
    </row>
    <row r="456" spans="1:15">
      <c r="A456" t="s">
        <v>243</v>
      </c>
      <c r="B456" t="s">
        <v>806</v>
      </c>
      <c r="C456" t="s">
        <v>1361</v>
      </c>
      <c r="D456">
        <v>359</v>
      </c>
      <c r="E456">
        <v>11</v>
      </c>
      <c r="F456">
        <v>10</v>
      </c>
      <c r="G456">
        <v>28</v>
      </c>
      <c r="H456">
        <f t="shared" si="9"/>
        <v>10.115993936995677</v>
      </c>
      <c r="I456">
        <v>-0.52164859889952475</v>
      </c>
      <c r="J456">
        <v>-1.0156195976998861</v>
      </c>
      <c r="K456">
        <v>-0.15900792215094461</v>
      </c>
      <c r="M456">
        <v>-0.56542537291678518</v>
      </c>
      <c r="O456" t="s">
        <v>1361</v>
      </c>
    </row>
    <row r="457" spans="1:15">
      <c r="A457" t="s">
        <v>7</v>
      </c>
      <c r="B457" t="s">
        <v>570</v>
      </c>
      <c r="C457" t="s">
        <v>1125</v>
      </c>
      <c r="D457">
        <v>379</v>
      </c>
      <c r="E457">
        <v>25</v>
      </c>
      <c r="F457">
        <v>12</v>
      </c>
      <c r="G457">
        <v>12</v>
      </c>
      <c r="H457">
        <f t="shared" si="9"/>
        <v>7.5055534994651341</v>
      </c>
      <c r="I457">
        <v>-0.18864603677546521</v>
      </c>
      <c r="J457">
        <v>-0.95998311304201456</v>
      </c>
      <c r="K457">
        <v>-0.55052946883529219</v>
      </c>
      <c r="M457">
        <v>-0.56638620621759073</v>
      </c>
      <c r="O457" t="s">
        <v>1125</v>
      </c>
    </row>
    <row r="458" spans="1:15">
      <c r="A458" t="s">
        <v>11</v>
      </c>
      <c r="B458" t="s">
        <v>574</v>
      </c>
      <c r="C458" t="s">
        <v>1129</v>
      </c>
      <c r="D458">
        <v>481</v>
      </c>
      <c r="E458">
        <v>163</v>
      </c>
      <c r="F458">
        <v>5</v>
      </c>
      <c r="G458">
        <v>9</v>
      </c>
      <c r="H458">
        <f t="shared" si="9"/>
        <v>90.088845036441668</v>
      </c>
      <c r="I458">
        <v>0.52209569255069554</v>
      </c>
      <c r="J458">
        <v>-1.4437002211593799</v>
      </c>
      <c r="K458">
        <v>-0.77897407184935163</v>
      </c>
      <c r="M458">
        <v>-0.56685953348601192</v>
      </c>
      <c r="O458" t="s">
        <v>1129</v>
      </c>
    </row>
    <row r="459" spans="1:15">
      <c r="A459" t="s">
        <v>45</v>
      </c>
      <c r="B459" t="s">
        <v>608</v>
      </c>
      <c r="C459" t="s">
        <v>1163</v>
      </c>
      <c r="D459">
        <v>539</v>
      </c>
      <c r="E459">
        <v>67</v>
      </c>
      <c r="F459">
        <v>11</v>
      </c>
      <c r="G459">
        <v>14</v>
      </c>
      <c r="H459">
        <f t="shared" si="9"/>
        <v>31.501322723551361</v>
      </c>
      <c r="I459">
        <v>8.6539202034657148E-2</v>
      </c>
      <c r="J459">
        <v>-1.1507212291500806</v>
      </c>
      <c r="K459">
        <v>-0.63653223442334528</v>
      </c>
      <c r="M459">
        <v>-0.56690475384625627</v>
      </c>
      <c r="O459" t="s">
        <v>1163</v>
      </c>
    </row>
    <row r="460" spans="1:15">
      <c r="A460" t="s">
        <v>480</v>
      </c>
      <c r="B460" t="s">
        <v>1043</v>
      </c>
      <c r="C460" t="s">
        <v>1598</v>
      </c>
      <c r="D460">
        <v>1115</v>
      </c>
      <c r="E460">
        <v>99</v>
      </c>
      <c r="F460">
        <v>18</v>
      </c>
      <c r="G460">
        <v>51</v>
      </c>
      <c r="H460">
        <f t="shared" si="9"/>
        <v>40.730823708832602</v>
      </c>
      <c r="I460">
        <v>-5.9586508266060045E-2</v>
      </c>
      <c r="J460">
        <v>-1.2525275114024406</v>
      </c>
      <c r="K460">
        <v>-0.39077619620108783</v>
      </c>
      <c r="M460">
        <v>-0.56763007195652948</v>
      </c>
      <c r="O460" t="s">
        <v>1598</v>
      </c>
    </row>
    <row r="461" spans="1:15">
      <c r="A461" t="s">
        <v>219</v>
      </c>
      <c r="B461" t="s">
        <v>782</v>
      </c>
      <c r="C461" t="s">
        <v>1337</v>
      </c>
      <c r="D461">
        <v>760</v>
      </c>
      <c r="E461">
        <v>18</v>
      </c>
      <c r="F461">
        <v>33</v>
      </c>
      <c r="G461">
        <v>48</v>
      </c>
      <c r="H461">
        <f t="shared" si="9"/>
        <v>15</v>
      </c>
      <c r="I461">
        <v>-0.63348792265691589</v>
      </c>
      <c r="J461">
        <v>-0.82282480152447091</v>
      </c>
      <c r="K461">
        <v>-0.25064385982004889</v>
      </c>
      <c r="M461">
        <v>-0.56898552800047864</v>
      </c>
      <c r="O461" t="s">
        <v>1337</v>
      </c>
    </row>
    <row r="462" spans="1:15">
      <c r="A462" t="s">
        <v>101</v>
      </c>
      <c r="B462" t="s">
        <v>664</v>
      </c>
      <c r="C462" t="s">
        <v>1219</v>
      </c>
      <c r="D462">
        <v>247</v>
      </c>
      <c r="E462">
        <v>12</v>
      </c>
      <c r="F462">
        <v>4</v>
      </c>
      <c r="G462">
        <v>20</v>
      </c>
      <c r="H462">
        <f t="shared" si="9"/>
        <v>8</v>
      </c>
      <c r="I462">
        <v>-0.32146254269147145</v>
      </c>
      <c r="J462">
        <v>-1.2511621110532705</v>
      </c>
      <c r="K462">
        <v>-0.14273846251052924</v>
      </c>
      <c r="M462">
        <v>-0.57178770541842372</v>
      </c>
      <c r="O462" t="s">
        <v>1219</v>
      </c>
    </row>
    <row r="463" spans="1:15">
      <c r="A463" t="s">
        <v>289</v>
      </c>
      <c r="B463" t="s">
        <v>852</v>
      </c>
      <c r="C463" t="s">
        <v>1407</v>
      </c>
      <c r="D463">
        <v>66</v>
      </c>
      <c r="E463">
        <v>3</v>
      </c>
      <c r="F463">
        <v>3</v>
      </c>
      <c r="G463">
        <v>2</v>
      </c>
      <c r="H463">
        <f t="shared" si="9"/>
        <v>0.57735026918962629</v>
      </c>
      <c r="I463">
        <v>-0.35036951630163671</v>
      </c>
      <c r="J463">
        <v>-0.80294782994377323</v>
      </c>
      <c r="K463">
        <v>-0.56958544479273221</v>
      </c>
      <c r="M463">
        <v>-0.57430093034604746</v>
      </c>
      <c r="O463" t="s">
        <v>1407</v>
      </c>
    </row>
    <row r="464" spans="1:15">
      <c r="A464" t="s">
        <v>35</v>
      </c>
      <c r="B464" t="s">
        <v>598</v>
      </c>
      <c r="C464" t="s">
        <v>1153</v>
      </c>
      <c r="D464">
        <v>269</v>
      </c>
      <c r="E464">
        <v>10</v>
      </c>
      <c r="F464">
        <v>8</v>
      </c>
      <c r="G464">
        <v>15</v>
      </c>
      <c r="H464">
        <f t="shared" si="9"/>
        <v>3.6055512754639891</v>
      </c>
      <c r="I464">
        <v>-0.4376991154818386</v>
      </c>
      <c r="J464">
        <v>-0.98718744213203158</v>
      </c>
      <c r="K464">
        <v>-0.3047325258615714</v>
      </c>
      <c r="M464">
        <v>-0.57653969449181386</v>
      </c>
      <c r="O464" t="s">
        <v>1153</v>
      </c>
    </row>
    <row r="465" spans="1:15">
      <c r="A465" t="s">
        <v>237</v>
      </c>
      <c r="B465" t="s">
        <v>800</v>
      </c>
      <c r="C465" t="s">
        <v>1355</v>
      </c>
      <c r="D465">
        <v>454</v>
      </c>
      <c r="E465">
        <v>82</v>
      </c>
      <c r="F465">
        <v>5</v>
      </c>
      <c r="G465">
        <v>14</v>
      </c>
      <c r="H465">
        <f t="shared" si="9"/>
        <v>42.099089459670424</v>
      </c>
      <c r="I465">
        <v>0.24881116404718218</v>
      </c>
      <c r="J465">
        <v>-1.4186109976426522</v>
      </c>
      <c r="K465">
        <v>-0.56199932209371051</v>
      </c>
      <c r="M465">
        <v>-0.57726638522972684</v>
      </c>
      <c r="O465" t="s">
        <v>1355</v>
      </c>
    </row>
    <row r="466" spans="1:15">
      <c r="A466" t="s">
        <v>206</v>
      </c>
      <c r="B466" t="s">
        <v>769</v>
      </c>
      <c r="C466" t="s">
        <v>1324</v>
      </c>
      <c r="D466">
        <v>349</v>
      </c>
      <c r="E466">
        <v>11</v>
      </c>
      <c r="F466">
        <v>18</v>
      </c>
      <c r="G466">
        <v>13</v>
      </c>
      <c r="H466">
        <f t="shared" si="9"/>
        <v>3.6055512754639891</v>
      </c>
      <c r="I466">
        <v>-0.5093795772803853</v>
      </c>
      <c r="J466">
        <v>-0.74807807097744095</v>
      </c>
      <c r="K466">
        <v>-0.47995357956718787</v>
      </c>
      <c r="M466">
        <v>-0.5791370759416713</v>
      </c>
      <c r="O466" t="s">
        <v>1324</v>
      </c>
    </row>
    <row r="467" spans="1:15">
      <c r="A467" t="s">
        <v>46</v>
      </c>
      <c r="B467" t="s">
        <v>609</v>
      </c>
      <c r="C467" t="s">
        <v>1164</v>
      </c>
      <c r="D467">
        <v>501</v>
      </c>
      <c r="E467">
        <v>29</v>
      </c>
      <c r="F467">
        <v>10</v>
      </c>
      <c r="G467">
        <v>26</v>
      </c>
      <c r="H467">
        <f t="shared" si="9"/>
        <v>10.21436896402971</v>
      </c>
      <c r="I467">
        <v>-0.24538656344772014</v>
      </c>
      <c r="J467">
        <v>-1.1603628749888126</v>
      </c>
      <c r="K467">
        <v>-0.3359358828112724</v>
      </c>
      <c r="M467">
        <v>-0.58056177374926843</v>
      </c>
      <c r="O467" t="s">
        <v>1164</v>
      </c>
    </row>
    <row r="468" spans="1:15">
      <c r="A468" t="s">
        <v>43</v>
      </c>
      <c r="B468" t="s">
        <v>606</v>
      </c>
      <c r="C468" t="s">
        <v>1161</v>
      </c>
      <c r="D468">
        <v>513</v>
      </c>
      <c r="E468">
        <v>16</v>
      </c>
      <c r="F468">
        <v>12</v>
      </c>
      <c r="G468">
        <v>42</v>
      </c>
      <c r="H468">
        <f t="shared" si="9"/>
        <v>16.289055630494158</v>
      </c>
      <c r="I468">
        <v>-0.51394421793532197</v>
      </c>
      <c r="J468">
        <v>-1.0914612681857587</v>
      </c>
      <c r="K468">
        <v>-0.13793957962876058</v>
      </c>
      <c r="M468">
        <v>-0.58111502191661379</v>
      </c>
      <c r="O468" t="s">
        <v>1161</v>
      </c>
    </row>
    <row r="469" spans="1:15">
      <c r="A469" t="s">
        <v>318</v>
      </c>
      <c r="B469" t="s">
        <v>881</v>
      </c>
      <c r="C469" t="s">
        <v>1436</v>
      </c>
      <c r="D469">
        <v>216</v>
      </c>
      <c r="E469">
        <v>5</v>
      </c>
      <c r="F469">
        <v>17</v>
      </c>
      <c r="G469">
        <v>7</v>
      </c>
      <c r="H469">
        <f t="shared" si="9"/>
        <v>6.4291005073286378</v>
      </c>
      <c r="I469">
        <v>-0.64343058229434269</v>
      </c>
      <c r="J469">
        <v>-0.56452997889422407</v>
      </c>
      <c r="K469">
        <v>-0.54042721605151889</v>
      </c>
      <c r="M469">
        <v>-0.58279592574669514</v>
      </c>
      <c r="O469" t="s">
        <v>1436</v>
      </c>
    </row>
    <row r="470" spans="1:15">
      <c r="A470" t="s">
        <v>16</v>
      </c>
      <c r="B470" t="s">
        <v>579</v>
      </c>
      <c r="C470" t="s">
        <v>1134</v>
      </c>
      <c r="D470">
        <v>1063</v>
      </c>
      <c r="E470">
        <v>32</v>
      </c>
      <c r="F470">
        <v>34</v>
      </c>
      <c r="G470">
        <v>65</v>
      </c>
      <c r="H470">
        <f t="shared" si="9"/>
        <v>18.50225211517056</v>
      </c>
      <c r="I470">
        <v>-0.52933012168282123</v>
      </c>
      <c r="J470">
        <v>-0.95557949660260866</v>
      </c>
      <c r="K470">
        <v>-0.26469141279528596</v>
      </c>
      <c r="M470">
        <v>-0.58320034369357199</v>
      </c>
      <c r="O470" t="s">
        <v>1134</v>
      </c>
    </row>
    <row r="471" spans="1:15">
      <c r="A471" t="s">
        <v>281</v>
      </c>
      <c r="B471" t="s">
        <v>844</v>
      </c>
      <c r="C471" t="s">
        <v>1399</v>
      </c>
      <c r="D471">
        <v>249</v>
      </c>
      <c r="E471">
        <v>7</v>
      </c>
      <c r="F471">
        <v>18</v>
      </c>
      <c r="G471">
        <v>7</v>
      </c>
      <c r="H471">
        <f t="shared" si="9"/>
        <v>6.3508529610858844</v>
      </c>
      <c r="I471">
        <v>-0.55904814256090996</v>
      </c>
      <c r="J471">
        <v>-0.60145199111399739</v>
      </c>
      <c r="K471">
        <v>-0.60217281199632411</v>
      </c>
      <c r="M471">
        <v>-0.58755764855707715</v>
      </c>
      <c r="O471" t="s">
        <v>1399</v>
      </c>
    </row>
    <row r="472" spans="1:15">
      <c r="A472" t="s">
        <v>8</v>
      </c>
      <c r="B472" t="s">
        <v>571</v>
      </c>
      <c r="C472" t="s">
        <v>1126</v>
      </c>
      <c r="D472">
        <v>301</v>
      </c>
      <c r="E472">
        <v>8</v>
      </c>
      <c r="F472">
        <v>3</v>
      </c>
      <c r="G472">
        <v>59</v>
      </c>
      <c r="H472">
        <f t="shared" si="9"/>
        <v>30.98924544633724</v>
      </c>
      <c r="I472">
        <v>-0.58342334408133034</v>
      </c>
      <c r="J472">
        <v>-1.4619703899957481</v>
      </c>
      <c r="K472">
        <v>0.2412140111334562</v>
      </c>
      <c r="M472">
        <v>-0.60139324098120739</v>
      </c>
      <c r="O472" t="s">
        <v>1126</v>
      </c>
    </row>
    <row r="473" spans="1:15">
      <c r="A473" t="s">
        <v>238</v>
      </c>
      <c r="B473" t="s">
        <v>801</v>
      </c>
      <c r="C473" t="s">
        <v>1356</v>
      </c>
      <c r="D473">
        <v>504</v>
      </c>
      <c r="E473">
        <v>9</v>
      </c>
      <c r="F473">
        <v>11</v>
      </c>
      <c r="G473">
        <v>67</v>
      </c>
      <c r="H473">
        <f t="shared" si="9"/>
        <v>32.924155266308659</v>
      </c>
      <c r="I473">
        <v>-0.756134862485631</v>
      </c>
      <c r="J473">
        <v>-1.1215630004088673</v>
      </c>
      <c r="K473">
        <v>7.2572761340456426E-2</v>
      </c>
      <c r="M473">
        <v>-0.60170836718468068</v>
      </c>
      <c r="O473" t="s">
        <v>1356</v>
      </c>
    </row>
    <row r="474" spans="1:15">
      <c r="A474" t="s">
        <v>354</v>
      </c>
      <c r="B474" t="s">
        <v>917</v>
      </c>
      <c r="C474" t="s">
        <v>1472</v>
      </c>
      <c r="D474">
        <v>666</v>
      </c>
      <c r="E474">
        <v>26</v>
      </c>
      <c r="F474">
        <v>11</v>
      </c>
      <c r="G474">
        <v>53</v>
      </c>
      <c r="H474">
        <f t="shared" si="9"/>
        <v>21.283796653792763</v>
      </c>
      <c r="I474">
        <v>-0.41644771667891356</v>
      </c>
      <c r="J474">
        <v>-1.2426066931336432</v>
      </c>
      <c r="K474">
        <v>-0.15026986448435675</v>
      </c>
      <c r="M474">
        <v>-0.60310809143230448</v>
      </c>
      <c r="O474" t="s">
        <v>1472</v>
      </c>
    </row>
    <row r="475" spans="1:15">
      <c r="A475" t="s">
        <v>317</v>
      </c>
      <c r="B475" t="s">
        <v>880</v>
      </c>
      <c r="C475" t="s">
        <v>1435</v>
      </c>
      <c r="D475">
        <v>181</v>
      </c>
      <c r="E475">
        <v>6</v>
      </c>
      <c r="F475">
        <v>5</v>
      </c>
      <c r="G475">
        <v>10</v>
      </c>
      <c r="H475">
        <f t="shared" si="9"/>
        <v>2.6457513110645907</v>
      </c>
      <c r="I475">
        <v>-0.48747415996497145</v>
      </c>
      <c r="J475">
        <v>-1.019233719654733</v>
      </c>
      <c r="K475">
        <v>-0.30875007978402924</v>
      </c>
      <c r="M475">
        <v>-0.60515265313457789</v>
      </c>
      <c r="O475" t="s">
        <v>1435</v>
      </c>
    </row>
    <row r="476" spans="1:15">
      <c r="A476" t="s">
        <v>39</v>
      </c>
      <c r="B476" t="s">
        <v>602</v>
      </c>
      <c r="C476" t="s">
        <v>1157</v>
      </c>
      <c r="D476">
        <v>461</v>
      </c>
      <c r="E476">
        <v>26</v>
      </c>
      <c r="F476">
        <v>9</v>
      </c>
      <c r="G476">
        <v>20</v>
      </c>
      <c r="H476">
        <f t="shared" si="9"/>
        <v>8.621678104251707</v>
      </c>
      <c r="I476">
        <v>-0.25667441289826076</v>
      </c>
      <c r="J476">
        <v>-1.1699835650718904</v>
      </c>
      <c r="K476">
        <v>-0.41374243464051164</v>
      </c>
      <c r="M476">
        <v>-0.61346680420355426</v>
      </c>
      <c r="O476" t="s">
        <v>1157</v>
      </c>
    </row>
    <row r="477" spans="1:15">
      <c r="A477" t="s">
        <v>450</v>
      </c>
      <c r="B477" t="s">
        <v>1013</v>
      </c>
      <c r="C477" t="s">
        <v>1568</v>
      </c>
      <c r="D477">
        <v>274</v>
      </c>
      <c r="E477">
        <v>7</v>
      </c>
      <c r="F477">
        <v>10</v>
      </c>
      <c r="G477">
        <v>14</v>
      </c>
      <c r="H477">
        <f t="shared" si="9"/>
        <v>3.5118845842842474</v>
      </c>
      <c r="I477">
        <v>-0.60059935828556177</v>
      </c>
      <c r="J477">
        <v>-0.89827571194195499</v>
      </c>
      <c r="K477">
        <v>-0.34269403205699467</v>
      </c>
      <c r="M477">
        <v>-0.6138563674281704</v>
      </c>
      <c r="O477" t="s">
        <v>1568</v>
      </c>
    </row>
    <row r="478" spans="1:15">
      <c r="A478" t="s">
        <v>349</v>
      </c>
      <c r="B478" t="s">
        <v>912</v>
      </c>
      <c r="C478" t="s">
        <v>1467</v>
      </c>
      <c r="D478">
        <v>1019</v>
      </c>
      <c r="E478">
        <v>37</v>
      </c>
      <c r="F478">
        <v>33</v>
      </c>
      <c r="G478">
        <v>41</v>
      </c>
      <c r="H478">
        <f t="shared" si="9"/>
        <v>4</v>
      </c>
      <c r="I478">
        <v>-0.447919295418862</v>
      </c>
      <c r="J478">
        <v>-0.95018539325010598</v>
      </c>
      <c r="K478">
        <v>-0.44646183220153568</v>
      </c>
      <c r="M478">
        <v>-0.61485550695683455</v>
      </c>
      <c r="O478" t="s">
        <v>1467</v>
      </c>
    </row>
    <row r="479" spans="1:15">
      <c r="A479" t="s">
        <v>451</v>
      </c>
      <c r="B479" t="s">
        <v>1014</v>
      </c>
      <c r="C479" t="s">
        <v>1569</v>
      </c>
      <c r="D479">
        <v>246</v>
      </c>
      <c r="E479">
        <v>13</v>
      </c>
      <c r="F479">
        <v>9</v>
      </c>
      <c r="G479">
        <v>6</v>
      </c>
      <c r="H479">
        <f t="shared" si="9"/>
        <v>3.5118845842842474</v>
      </c>
      <c r="I479">
        <v>-0.2849385902759729</v>
      </c>
      <c r="J479">
        <v>-0.89721774678562138</v>
      </c>
      <c r="K479">
        <v>-0.66385536163458014</v>
      </c>
      <c r="M479">
        <v>-0.61533723289872477</v>
      </c>
      <c r="O479" t="s">
        <v>1569</v>
      </c>
    </row>
    <row r="480" spans="1:15">
      <c r="A480" t="s">
        <v>247</v>
      </c>
      <c r="B480" t="s">
        <v>810</v>
      </c>
      <c r="C480" t="s">
        <v>1365</v>
      </c>
      <c r="D480">
        <v>597</v>
      </c>
      <c r="E480">
        <v>25</v>
      </c>
      <c r="F480">
        <v>5</v>
      </c>
      <c r="G480">
        <v>80</v>
      </c>
      <c r="H480">
        <f t="shared" si="9"/>
        <v>38.837267325770142</v>
      </c>
      <c r="I480">
        <v>-0.38598115793676202</v>
      </c>
      <c r="J480">
        <v>-1.5375294759149174</v>
      </c>
      <c r="K480">
        <v>7.6044150947729761E-2</v>
      </c>
      <c r="M480">
        <v>-0.61582216096798315</v>
      </c>
      <c r="O480" t="s">
        <v>1365</v>
      </c>
    </row>
    <row r="481" spans="1:15">
      <c r="A481" t="s">
        <v>408</v>
      </c>
      <c r="B481" t="s">
        <v>971</v>
      </c>
      <c r="C481" t="s">
        <v>1526</v>
      </c>
      <c r="D481">
        <v>1582</v>
      </c>
      <c r="E481">
        <v>67</v>
      </c>
      <c r="F481">
        <v>44</v>
      </c>
      <c r="G481">
        <v>63</v>
      </c>
      <c r="H481">
        <f t="shared" si="9"/>
        <v>12.288205727444508</v>
      </c>
      <c r="I481">
        <v>-0.38107851194026177</v>
      </c>
      <c r="J481">
        <v>-1.0162789517970374</v>
      </c>
      <c r="K481">
        <v>-0.45093743462292069</v>
      </c>
      <c r="M481">
        <v>-0.61609829945340666</v>
      </c>
      <c r="O481" t="s">
        <v>1526</v>
      </c>
    </row>
    <row r="482" spans="1:15">
      <c r="A482" t="s">
        <v>362</v>
      </c>
      <c r="B482" t="s">
        <v>925</v>
      </c>
      <c r="C482" t="s">
        <v>1480</v>
      </c>
      <c r="D482">
        <v>1282</v>
      </c>
      <c r="E482">
        <v>58</v>
      </c>
      <c r="F482">
        <v>44</v>
      </c>
      <c r="G482">
        <v>36</v>
      </c>
      <c r="H482">
        <f t="shared" si="9"/>
        <v>11.135528725660043</v>
      </c>
      <c r="I482">
        <v>-0.35240686709929192</v>
      </c>
      <c r="J482">
        <v>-0.92496049781817813</v>
      </c>
      <c r="K482">
        <v>-0.60265702933035592</v>
      </c>
      <c r="M482">
        <v>-0.62667479808260862</v>
      </c>
      <c r="O482" t="s">
        <v>1480</v>
      </c>
    </row>
    <row r="483" spans="1:15">
      <c r="A483" t="s">
        <v>142</v>
      </c>
      <c r="B483" t="s">
        <v>705</v>
      </c>
      <c r="C483" t="s">
        <v>1260</v>
      </c>
      <c r="D483">
        <v>991</v>
      </c>
      <c r="E483">
        <v>41</v>
      </c>
      <c r="F483">
        <v>37</v>
      </c>
      <c r="G483">
        <v>22</v>
      </c>
      <c r="H483">
        <f t="shared" si="9"/>
        <v>10.016652800877809</v>
      </c>
      <c r="I483">
        <v>-0.39123663324497038</v>
      </c>
      <c r="J483">
        <v>-0.88839707953984737</v>
      </c>
      <c r="K483">
        <v>-0.70472247857791381</v>
      </c>
      <c r="M483">
        <v>-0.66145206378757726</v>
      </c>
      <c r="O483" t="s">
        <v>1260</v>
      </c>
    </row>
    <row r="484" spans="1:15">
      <c r="A484" t="s">
        <v>393</v>
      </c>
      <c r="B484" t="s">
        <v>956</v>
      </c>
      <c r="C484" t="s">
        <v>1511</v>
      </c>
      <c r="D484">
        <v>489</v>
      </c>
      <c r="E484">
        <v>11</v>
      </c>
      <c r="F484">
        <v>14</v>
      </c>
      <c r="G484">
        <v>24</v>
      </c>
      <c r="H484">
        <f t="shared" si="9"/>
        <v>6.8068592855540446</v>
      </c>
      <c r="I484">
        <v>-0.65586300944482567</v>
      </c>
      <c r="J484">
        <v>-1.0037059725669493</v>
      </c>
      <c r="K484">
        <v>-0.36016912232685883</v>
      </c>
      <c r="M484">
        <v>-0.6732460347795447</v>
      </c>
      <c r="O484" t="s">
        <v>1511</v>
      </c>
    </row>
    <row r="485" spans="1:15">
      <c r="A485" t="s">
        <v>27</v>
      </c>
      <c r="B485" t="s">
        <v>590</v>
      </c>
      <c r="C485" t="s">
        <v>1145</v>
      </c>
      <c r="D485">
        <v>678</v>
      </c>
      <c r="E485">
        <v>20</v>
      </c>
      <c r="F485">
        <v>2</v>
      </c>
      <c r="G485">
        <v>235</v>
      </c>
      <c r="H485">
        <f t="shared" si="9"/>
        <v>129.63924302977605</v>
      </c>
      <c r="I485">
        <v>-0.53814653368251264</v>
      </c>
      <c r="J485">
        <v>-1.9907248473246493</v>
      </c>
      <c r="K485">
        <v>0.48876666348982822</v>
      </c>
      <c r="M485">
        <v>-0.6800349058391113</v>
      </c>
      <c r="O485" t="s">
        <v>1145</v>
      </c>
    </row>
    <row r="486" spans="1:15">
      <c r="A486" t="s">
        <v>33</v>
      </c>
      <c r="B486" t="s">
        <v>596</v>
      </c>
      <c r="C486" t="s">
        <v>1151</v>
      </c>
      <c r="D486">
        <v>404</v>
      </c>
      <c r="E486">
        <v>15</v>
      </c>
      <c r="F486">
        <v>22</v>
      </c>
      <c r="G486">
        <v>6</v>
      </c>
      <c r="H486">
        <f t="shared" si="9"/>
        <v>8.0208062770106423</v>
      </c>
      <c r="I486">
        <v>-0.43823694153435433</v>
      </c>
      <c r="J486">
        <v>-0.72448383340996581</v>
      </c>
      <c r="K486">
        <v>-0.87930161964180598</v>
      </c>
      <c r="M486">
        <v>-0.68067413152870859</v>
      </c>
      <c r="O486" t="s">
        <v>1151</v>
      </c>
    </row>
    <row r="487" spans="1:15">
      <c r="A487" t="s">
        <v>244</v>
      </c>
      <c r="B487" t="s">
        <v>807</v>
      </c>
      <c r="C487" t="s">
        <v>1362</v>
      </c>
      <c r="D487">
        <v>543</v>
      </c>
      <c r="E487">
        <v>15</v>
      </c>
      <c r="F487">
        <v>9</v>
      </c>
      <c r="G487">
        <v>34</v>
      </c>
      <c r="H487">
        <f t="shared" si="9"/>
        <v>13.051181300301263</v>
      </c>
      <c r="I487">
        <v>-0.56665540601259634</v>
      </c>
      <c r="J487">
        <v>-1.2410824692710891</v>
      </c>
      <c r="K487">
        <v>-0.25439241746143648</v>
      </c>
      <c r="M487">
        <v>-0.68737676424837402</v>
      </c>
      <c r="O487" t="s">
        <v>1362</v>
      </c>
    </row>
    <row r="488" spans="1:15">
      <c r="A488" t="s">
        <v>116</v>
      </c>
      <c r="B488" t="s">
        <v>679</v>
      </c>
      <c r="C488" t="s">
        <v>1234</v>
      </c>
      <c r="D488">
        <v>408</v>
      </c>
      <c r="E488">
        <v>9</v>
      </c>
      <c r="F488">
        <v>21</v>
      </c>
      <c r="G488">
        <v>10</v>
      </c>
      <c r="H488">
        <f t="shared" si="9"/>
        <v>6.6583281184793917</v>
      </c>
      <c r="I488">
        <v>-0.66436448912998558</v>
      </c>
      <c r="J488">
        <v>-0.74896601747752778</v>
      </c>
      <c r="K488">
        <v>-0.66173166800472472</v>
      </c>
      <c r="M488">
        <v>-0.69168739153741277</v>
      </c>
      <c r="O488" t="s">
        <v>1234</v>
      </c>
    </row>
    <row r="489" spans="1:15">
      <c r="A489" t="s">
        <v>254</v>
      </c>
      <c r="B489" t="s">
        <v>817</v>
      </c>
      <c r="C489" t="s">
        <v>1372</v>
      </c>
      <c r="D489">
        <v>82</v>
      </c>
      <c r="E489">
        <v>5</v>
      </c>
      <c r="F489">
        <v>1</v>
      </c>
      <c r="G489">
        <v>3</v>
      </c>
      <c r="H489">
        <f t="shared" si="9"/>
        <v>2</v>
      </c>
      <c r="I489">
        <v>-0.2227906835271285</v>
      </c>
      <c r="J489">
        <v>-1.3743390015052839</v>
      </c>
      <c r="K489">
        <v>-0.48776410257889902</v>
      </c>
      <c r="M489">
        <v>-0.69496459587043713</v>
      </c>
      <c r="O489" t="s">
        <v>1372</v>
      </c>
    </row>
    <row r="490" spans="1:15">
      <c r="A490" t="s">
        <v>498</v>
      </c>
      <c r="B490" t="s">
        <v>1061</v>
      </c>
      <c r="C490" t="s">
        <v>1616</v>
      </c>
      <c r="D490">
        <v>964</v>
      </c>
      <c r="E490">
        <v>65</v>
      </c>
      <c r="F490">
        <v>11</v>
      </c>
      <c r="G490">
        <v>33</v>
      </c>
      <c r="H490">
        <f t="shared" si="9"/>
        <v>27.153882472555068</v>
      </c>
      <c r="I490">
        <v>-0.1791105127394057</v>
      </c>
      <c r="J490">
        <v>-1.4032094978661727</v>
      </c>
      <c r="K490">
        <v>-0.51663459893978803</v>
      </c>
      <c r="M490">
        <v>-0.69965153651512202</v>
      </c>
      <c r="O490" t="s">
        <v>1616</v>
      </c>
    </row>
    <row r="491" spans="1:15">
      <c r="A491" t="s">
        <v>234</v>
      </c>
      <c r="B491" t="s">
        <v>797</v>
      </c>
      <c r="C491" t="s">
        <v>1352</v>
      </c>
      <c r="D491">
        <v>249</v>
      </c>
      <c r="E491">
        <v>2</v>
      </c>
      <c r="F491">
        <v>3</v>
      </c>
      <c r="G491">
        <v>67</v>
      </c>
      <c r="H491">
        <f t="shared" si="9"/>
        <v>37.242448899072144</v>
      </c>
      <c r="I491">
        <v>-1.1031161869111856</v>
      </c>
      <c r="J491">
        <v>-1.3796032414976409</v>
      </c>
      <c r="K491">
        <v>0.37880395069024542</v>
      </c>
      <c r="M491">
        <v>-0.70130515923952697</v>
      </c>
      <c r="O491" t="s">
        <v>1352</v>
      </c>
    </row>
    <row r="492" spans="1:15">
      <c r="A492" t="s">
        <v>133</v>
      </c>
      <c r="B492" t="s">
        <v>696</v>
      </c>
      <c r="C492" t="s">
        <v>1251</v>
      </c>
      <c r="D492">
        <v>214</v>
      </c>
      <c r="E492">
        <v>3</v>
      </c>
      <c r="F492">
        <v>8</v>
      </c>
      <c r="G492">
        <v>10</v>
      </c>
      <c r="H492">
        <f t="shared" si="9"/>
        <v>3.6055512754639891</v>
      </c>
      <c r="I492">
        <v>-0.86123935410895891</v>
      </c>
      <c r="J492">
        <v>-0.88784893547881427</v>
      </c>
      <c r="K492">
        <v>-0.38148527826403544</v>
      </c>
      <c r="M492">
        <v>-0.71019118928393621</v>
      </c>
      <c r="O492" t="s">
        <v>1251</v>
      </c>
    </row>
    <row r="493" spans="1:15">
      <c r="A493" t="s">
        <v>443</v>
      </c>
      <c r="B493" t="s">
        <v>1006</v>
      </c>
      <c r="C493" t="s">
        <v>1561</v>
      </c>
      <c r="D493">
        <v>552</v>
      </c>
      <c r="E493">
        <v>14</v>
      </c>
      <c r="F493">
        <v>16</v>
      </c>
      <c r="G493">
        <v>18</v>
      </c>
      <c r="H493">
        <f t="shared" si="9"/>
        <v>2</v>
      </c>
      <c r="I493">
        <v>-0.60375787753039134</v>
      </c>
      <c r="J493">
        <v>-0.99834424419484125</v>
      </c>
      <c r="K493">
        <v>-0.53773807754073744</v>
      </c>
      <c r="M493">
        <v>-0.71328006642198993</v>
      </c>
      <c r="O493" t="s">
        <v>1561</v>
      </c>
    </row>
    <row r="494" spans="1:15">
      <c r="A494" t="s">
        <v>396</v>
      </c>
      <c r="B494" t="s">
        <v>959</v>
      </c>
      <c r="C494" t="s">
        <v>1514</v>
      </c>
      <c r="D494">
        <v>1111</v>
      </c>
      <c r="E494">
        <v>35</v>
      </c>
      <c r="F494">
        <v>13</v>
      </c>
      <c r="G494">
        <v>69</v>
      </c>
      <c r="H494">
        <f t="shared" si="9"/>
        <v>28.21347195933177</v>
      </c>
      <c r="I494">
        <v>-0.50959285007002264</v>
      </c>
      <c r="J494">
        <v>-1.3922958557555978</v>
      </c>
      <c r="K494">
        <v>-0.25793647311845702</v>
      </c>
      <c r="M494">
        <v>-0.71994172631469244</v>
      </c>
      <c r="O494" t="s">
        <v>1514</v>
      </c>
    </row>
    <row r="495" spans="1:15">
      <c r="A495" t="s">
        <v>245</v>
      </c>
      <c r="B495" t="s">
        <v>808</v>
      </c>
      <c r="C495" t="s">
        <v>1363</v>
      </c>
      <c r="D495">
        <v>287</v>
      </c>
      <c r="E495">
        <v>6</v>
      </c>
      <c r="F495">
        <v>8</v>
      </c>
      <c r="G495">
        <v>11</v>
      </c>
      <c r="H495">
        <f t="shared" si="9"/>
        <v>2.5166114784235822</v>
      </c>
      <c r="I495">
        <v>-0.68767748182977928</v>
      </c>
      <c r="J495">
        <v>-1.0153170588636158</v>
      </c>
      <c r="K495">
        <v>-0.46756071649061193</v>
      </c>
      <c r="M495">
        <v>-0.72351841906133563</v>
      </c>
      <c r="O495" t="s">
        <v>1363</v>
      </c>
    </row>
    <row r="496" spans="1:15">
      <c r="A496" t="s">
        <v>325</v>
      </c>
      <c r="B496" t="s">
        <v>888</v>
      </c>
      <c r="C496" t="s">
        <v>1443</v>
      </c>
      <c r="D496">
        <v>191</v>
      </c>
      <c r="E496">
        <v>10</v>
      </c>
      <c r="F496">
        <v>1</v>
      </c>
      <c r="G496">
        <v>15</v>
      </c>
      <c r="H496">
        <f t="shared" si="9"/>
        <v>7.0945988845975876</v>
      </c>
      <c r="I496">
        <v>-0.28898020272715819</v>
      </c>
      <c r="J496">
        <v>-1.7415585163692948</v>
      </c>
      <c r="K496">
        <v>-0.15601361310689099</v>
      </c>
      <c r="M496">
        <v>-0.72885077740111459</v>
      </c>
      <c r="O496" t="s">
        <v>1443</v>
      </c>
    </row>
    <row r="497" spans="1:15">
      <c r="A497" t="s">
        <v>85</v>
      </c>
      <c r="B497" t="s">
        <v>648</v>
      </c>
      <c r="C497" t="s">
        <v>1203</v>
      </c>
      <c r="D497">
        <v>924</v>
      </c>
      <c r="E497">
        <v>67</v>
      </c>
      <c r="F497">
        <v>21</v>
      </c>
      <c r="G497">
        <v>12</v>
      </c>
      <c r="H497">
        <f t="shared" si="9"/>
        <v>29.501412395567321</v>
      </c>
      <c r="I497">
        <v>-0.14754400399871082</v>
      </c>
      <c r="J497">
        <v>-1.1039778256077546</v>
      </c>
      <c r="K497">
        <v>-0.93756223008732653</v>
      </c>
      <c r="M497">
        <v>-0.72969468656459735</v>
      </c>
      <c r="O497" t="s">
        <v>1203</v>
      </c>
    </row>
    <row r="498" spans="1:15">
      <c r="A498" t="s">
        <v>146</v>
      </c>
      <c r="B498" t="s">
        <v>709</v>
      </c>
      <c r="C498" t="s">
        <v>1264</v>
      </c>
      <c r="D498">
        <v>1814</v>
      </c>
      <c r="E498">
        <v>103</v>
      </c>
      <c r="F498">
        <v>50</v>
      </c>
      <c r="G498">
        <v>24</v>
      </c>
      <c r="H498">
        <f t="shared" ref="H498:H555" si="10">STDEV(E498:G498)</f>
        <v>40.26164427839479</v>
      </c>
      <c r="I498">
        <v>-0.25374689349833468</v>
      </c>
      <c r="J498">
        <v>-1.0201924275096248</v>
      </c>
      <c r="K498">
        <v>-0.92949754592731515</v>
      </c>
      <c r="M498">
        <v>-0.73447895564509158</v>
      </c>
      <c r="O498" t="s">
        <v>1264</v>
      </c>
    </row>
    <row r="499" spans="1:15">
      <c r="A499" t="s">
        <v>229</v>
      </c>
      <c r="B499" t="s">
        <v>792</v>
      </c>
      <c r="C499" t="s">
        <v>1347</v>
      </c>
      <c r="D499">
        <v>707</v>
      </c>
      <c r="E499">
        <v>23</v>
      </c>
      <c r="F499">
        <v>22</v>
      </c>
      <c r="G499">
        <v>14</v>
      </c>
      <c r="H499">
        <f t="shared" si="10"/>
        <v>4.9328828623162515</v>
      </c>
      <c r="I499">
        <v>-0.49563841325873703</v>
      </c>
      <c r="J499">
        <v>-0.96752188209626022</v>
      </c>
      <c r="K499">
        <v>-0.75436288303350607</v>
      </c>
      <c r="M499">
        <v>-0.7391743927961677</v>
      </c>
      <c r="O499" t="s">
        <v>1347</v>
      </c>
    </row>
    <row r="500" spans="1:15">
      <c r="A500" t="s">
        <v>493</v>
      </c>
      <c r="B500" t="s">
        <v>1056</v>
      </c>
      <c r="C500" t="s">
        <v>1611</v>
      </c>
      <c r="D500">
        <v>752</v>
      </c>
      <c r="E500">
        <v>16</v>
      </c>
      <c r="F500">
        <v>26</v>
      </c>
      <c r="G500">
        <v>20</v>
      </c>
      <c r="H500">
        <f t="shared" si="10"/>
        <v>5.0332229568471698</v>
      </c>
      <c r="I500">
        <v>-0.68004469341514806</v>
      </c>
      <c r="J500">
        <v>-0.9217696417423914</v>
      </c>
      <c r="K500">
        <v>-0.62625934984250575</v>
      </c>
      <c r="M500">
        <v>-0.74269122833334844</v>
      </c>
      <c r="O500" t="s">
        <v>1611</v>
      </c>
    </row>
    <row r="501" spans="1:15">
      <c r="A501" t="s">
        <v>538</v>
      </c>
      <c r="B501" t="s">
        <v>1101</v>
      </c>
      <c r="C501" t="s">
        <v>1656</v>
      </c>
      <c r="D501">
        <v>1102</v>
      </c>
      <c r="E501">
        <v>24</v>
      </c>
      <c r="F501">
        <v>23</v>
      </c>
      <c r="G501">
        <v>47</v>
      </c>
      <c r="H501">
        <f t="shared" si="10"/>
        <v>13.576941236277531</v>
      </c>
      <c r="I501">
        <v>-0.66991718828359081</v>
      </c>
      <c r="J501">
        <v>-1.1409789076197403</v>
      </c>
      <c r="K501">
        <v>-0.42115524149489336</v>
      </c>
      <c r="M501">
        <v>-0.74401711246607471</v>
      </c>
      <c r="O501" t="s">
        <v>1656</v>
      </c>
    </row>
    <row r="502" spans="1:15">
      <c r="A502" t="s">
        <v>136</v>
      </c>
      <c r="B502" t="s">
        <v>699</v>
      </c>
      <c r="C502" t="s">
        <v>1254</v>
      </c>
      <c r="D502">
        <v>698</v>
      </c>
      <c r="E502">
        <v>27</v>
      </c>
      <c r="F502">
        <v>79</v>
      </c>
      <c r="G502">
        <v>3</v>
      </c>
      <c r="H502">
        <f t="shared" si="10"/>
        <v>38.850139424889242</v>
      </c>
      <c r="I502">
        <v>-0.42043849394360433</v>
      </c>
      <c r="J502">
        <v>-0.40675348045428672</v>
      </c>
      <c r="K502">
        <v>-1.4178056728183435</v>
      </c>
      <c r="M502">
        <v>-0.74833254907207813</v>
      </c>
      <c r="O502" t="s">
        <v>1254</v>
      </c>
    </row>
    <row r="503" spans="1:15">
      <c r="A503" t="s">
        <v>106</v>
      </c>
      <c r="B503" t="s">
        <v>669</v>
      </c>
      <c r="C503" t="s">
        <v>1224</v>
      </c>
      <c r="D503">
        <v>796</v>
      </c>
      <c r="E503">
        <v>45</v>
      </c>
      <c r="F503">
        <v>12</v>
      </c>
      <c r="G503">
        <v>17</v>
      </c>
      <c r="H503">
        <f t="shared" si="10"/>
        <v>17.7857620959388</v>
      </c>
      <c r="I503">
        <v>-0.25564738944175591</v>
      </c>
      <c r="J503">
        <v>-1.2822569708116114</v>
      </c>
      <c r="K503">
        <v>-0.72153565127423991</v>
      </c>
      <c r="M503">
        <v>-0.75314667050920237</v>
      </c>
      <c r="O503" t="s">
        <v>1224</v>
      </c>
    </row>
    <row r="504" spans="1:15">
      <c r="A504" t="s">
        <v>65</v>
      </c>
      <c r="B504" t="s">
        <v>628</v>
      </c>
      <c r="C504" t="s">
        <v>1183</v>
      </c>
      <c r="D504">
        <v>200</v>
      </c>
      <c r="E504">
        <v>9</v>
      </c>
      <c r="F504">
        <v>5</v>
      </c>
      <c r="G504">
        <v>3</v>
      </c>
      <c r="H504">
        <f t="shared" si="10"/>
        <v>3.0550504633038935</v>
      </c>
      <c r="I504">
        <v>-0.35473432170408681</v>
      </c>
      <c r="J504">
        <v>-1.0625851404495292</v>
      </c>
      <c r="K504">
        <v>-0.87498024585916356</v>
      </c>
      <c r="M504">
        <v>-0.76409990267092665</v>
      </c>
      <c r="O504" t="s">
        <v>1183</v>
      </c>
    </row>
    <row r="505" spans="1:15">
      <c r="A505" t="s">
        <v>294</v>
      </c>
      <c r="B505" t="s">
        <v>857</v>
      </c>
      <c r="C505" t="s">
        <v>1412</v>
      </c>
      <c r="D505">
        <v>78</v>
      </c>
      <c r="E505">
        <v>4</v>
      </c>
      <c r="F505">
        <v>2</v>
      </c>
      <c r="G505">
        <v>1</v>
      </c>
      <c r="H505">
        <f t="shared" si="10"/>
        <v>1.5275252316519468</v>
      </c>
      <c r="I505">
        <v>-0.29798144684194861</v>
      </c>
      <c r="J505">
        <v>-1.0515897561480663</v>
      </c>
      <c r="K505">
        <v>-0.94316610760532504</v>
      </c>
      <c r="M505">
        <v>-0.76424577019844664</v>
      </c>
      <c r="O505" t="s">
        <v>1412</v>
      </c>
    </row>
    <row r="506" spans="1:15">
      <c r="A506" t="s">
        <v>438</v>
      </c>
      <c r="B506" t="s">
        <v>1001</v>
      </c>
      <c r="C506" t="s">
        <v>1556</v>
      </c>
      <c r="D506">
        <v>696</v>
      </c>
      <c r="E506">
        <v>16</v>
      </c>
      <c r="F506">
        <v>34</v>
      </c>
      <c r="G506">
        <v>10</v>
      </c>
      <c r="H506">
        <f t="shared" si="10"/>
        <v>12.489995996796797</v>
      </c>
      <c r="I506">
        <v>-0.64643609243406797</v>
      </c>
      <c r="J506">
        <v>-0.77165547168987392</v>
      </c>
      <c r="K506">
        <v>-0.89368074452540691</v>
      </c>
      <c r="M506">
        <v>-0.77059076954978289</v>
      </c>
      <c r="O506" t="s">
        <v>1556</v>
      </c>
    </row>
    <row r="507" spans="1:15">
      <c r="A507" t="s">
        <v>293</v>
      </c>
      <c r="B507" t="s">
        <v>856</v>
      </c>
      <c r="C507" t="s">
        <v>1411</v>
      </c>
      <c r="D507">
        <v>123</v>
      </c>
      <c r="E507">
        <v>5</v>
      </c>
      <c r="F507">
        <v>6</v>
      </c>
      <c r="G507">
        <v>1</v>
      </c>
      <c r="H507">
        <f t="shared" si="10"/>
        <v>2.6457513110645907</v>
      </c>
      <c r="I507">
        <v>-0.39888194258280962</v>
      </c>
      <c r="J507">
        <v>-0.77227901017732126</v>
      </c>
      <c r="K507">
        <v>-1.1409766163542427</v>
      </c>
      <c r="M507">
        <v>-0.77071252303812443</v>
      </c>
      <c r="O507" t="s">
        <v>1411</v>
      </c>
    </row>
    <row r="508" spans="1:15">
      <c r="A508" t="s">
        <v>240</v>
      </c>
      <c r="B508" t="s">
        <v>803</v>
      </c>
      <c r="C508" t="s">
        <v>1358</v>
      </c>
      <c r="D508">
        <v>271</v>
      </c>
      <c r="E508">
        <v>6</v>
      </c>
      <c r="F508">
        <v>4</v>
      </c>
      <c r="G508">
        <v>13</v>
      </c>
      <c r="H508">
        <f t="shared" si="10"/>
        <v>4.7258156262526079</v>
      </c>
      <c r="I508">
        <v>-0.66276487597019274</v>
      </c>
      <c r="J508">
        <v>-1.2914344486680105</v>
      </c>
      <c r="K508">
        <v>-0.37009744348241358</v>
      </c>
      <c r="M508">
        <v>-0.7747655893735389</v>
      </c>
      <c r="O508" t="s">
        <v>1358</v>
      </c>
    </row>
    <row r="509" spans="1:15">
      <c r="A509" t="s">
        <v>273</v>
      </c>
      <c r="B509" t="s">
        <v>836</v>
      </c>
      <c r="C509" t="s">
        <v>1391</v>
      </c>
      <c r="D509">
        <v>142</v>
      </c>
      <c r="E509">
        <v>2</v>
      </c>
      <c r="F509">
        <v>2</v>
      </c>
      <c r="G509">
        <v>11</v>
      </c>
      <c r="H509">
        <f t="shared" si="10"/>
        <v>5.196152422706632</v>
      </c>
      <c r="I509">
        <v>-0.85920518419850578</v>
      </c>
      <c r="J509">
        <v>-1.3117834978406422</v>
      </c>
      <c r="K509">
        <v>-0.16196716413967627</v>
      </c>
      <c r="M509">
        <v>-0.77765194872627486</v>
      </c>
      <c r="O509" t="s">
        <v>1391</v>
      </c>
    </row>
    <row r="510" spans="1:15">
      <c r="A510" t="s">
        <v>491</v>
      </c>
      <c r="B510" t="s">
        <v>1054</v>
      </c>
      <c r="C510" t="s">
        <v>1609</v>
      </c>
      <c r="D510">
        <v>616</v>
      </c>
      <c r="E510">
        <v>7</v>
      </c>
      <c r="F510">
        <v>12</v>
      </c>
      <c r="G510">
        <v>41</v>
      </c>
      <c r="H510">
        <f t="shared" si="10"/>
        <v>18.357559750685819</v>
      </c>
      <c r="I510">
        <v>-0.95242950762959921</v>
      </c>
      <c r="J510">
        <v>-1.1709246152383677</v>
      </c>
      <c r="K510">
        <v>-0.22786836035953462</v>
      </c>
      <c r="M510">
        <v>-0.78374082774250053</v>
      </c>
      <c r="O510" t="s">
        <v>1609</v>
      </c>
    </row>
    <row r="511" spans="1:15">
      <c r="A511" t="s">
        <v>485</v>
      </c>
      <c r="B511" t="s">
        <v>1048</v>
      </c>
      <c r="C511" t="s">
        <v>1603</v>
      </c>
      <c r="D511">
        <v>1697</v>
      </c>
      <c r="E511">
        <v>92</v>
      </c>
      <c r="F511">
        <v>35</v>
      </c>
      <c r="G511">
        <v>22</v>
      </c>
      <c r="H511">
        <f t="shared" si="10"/>
        <v>37.233497463081996</v>
      </c>
      <c r="I511">
        <v>-0.27384085045155104</v>
      </c>
      <c r="J511">
        <v>-1.1461389470889674</v>
      </c>
      <c r="K511">
        <v>-0.93833066641031415</v>
      </c>
      <c r="M511">
        <v>-0.78610348798361096</v>
      </c>
      <c r="O511" t="s">
        <v>1603</v>
      </c>
    </row>
    <row r="512" spans="1:15">
      <c r="A512" t="s">
        <v>392</v>
      </c>
      <c r="B512" t="s">
        <v>955</v>
      </c>
      <c r="C512" t="s">
        <v>1510</v>
      </c>
      <c r="D512">
        <v>1374</v>
      </c>
      <c r="E512">
        <v>59</v>
      </c>
      <c r="F512">
        <v>18</v>
      </c>
      <c r="G512">
        <v>34</v>
      </c>
      <c r="H512">
        <f t="shared" si="10"/>
        <v>20.663978319771825</v>
      </c>
      <c r="I512">
        <v>-0.3750815565608181</v>
      </c>
      <c r="J512">
        <v>-1.3432393767417925</v>
      </c>
      <c r="K512">
        <v>-0.65757932059612112</v>
      </c>
      <c r="M512">
        <v>-0.79196675129957728</v>
      </c>
      <c r="O512" t="s">
        <v>1510</v>
      </c>
    </row>
    <row r="513" spans="1:15">
      <c r="A513" t="s">
        <v>520</v>
      </c>
      <c r="B513" t="s">
        <v>1083</v>
      </c>
      <c r="C513" t="s">
        <v>1638</v>
      </c>
      <c r="D513">
        <v>633</v>
      </c>
      <c r="E513">
        <v>8</v>
      </c>
      <c r="F513">
        <v>18</v>
      </c>
      <c r="G513">
        <v>23</v>
      </c>
      <c r="H513">
        <f t="shared" si="10"/>
        <v>7.6376261582597325</v>
      </c>
      <c r="I513">
        <v>-0.906260558504842</v>
      </c>
      <c r="J513">
        <v>-1.0066563540356159</v>
      </c>
      <c r="K513">
        <v>-0.49074737891460685</v>
      </c>
      <c r="M513">
        <v>-0.80122143048502148</v>
      </c>
      <c r="O513" t="s">
        <v>1638</v>
      </c>
    </row>
    <row r="514" spans="1:15">
      <c r="A514" t="s">
        <v>300</v>
      </c>
      <c r="B514" t="s">
        <v>863</v>
      </c>
      <c r="C514" t="s">
        <v>1418</v>
      </c>
      <c r="D514">
        <v>153</v>
      </c>
      <c r="E514">
        <v>5</v>
      </c>
      <c r="F514">
        <v>1</v>
      </c>
      <c r="G514">
        <v>9</v>
      </c>
      <c r="H514">
        <f t="shared" si="10"/>
        <v>4</v>
      </c>
      <c r="I514">
        <v>-0.49366826196101044</v>
      </c>
      <c r="J514">
        <v>-1.645216579939166</v>
      </c>
      <c r="K514">
        <v>-0.28152042629311858</v>
      </c>
      <c r="M514">
        <v>-0.80680175606443161</v>
      </c>
      <c r="O514" t="s">
        <v>1418</v>
      </c>
    </row>
    <row r="515" spans="1:15">
      <c r="A515" t="s">
        <v>511</v>
      </c>
      <c r="B515" t="s">
        <v>1074</v>
      </c>
      <c r="C515" t="s">
        <v>1629</v>
      </c>
      <c r="D515">
        <v>936</v>
      </c>
      <c r="E515">
        <v>44</v>
      </c>
      <c r="F515">
        <v>18</v>
      </c>
      <c r="G515">
        <v>13</v>
      </c>
      <c r="H515">
        <f t="shared" si="10"/>
        <v>16.643316977093239</v>
      </c>
      <c r="I515">
        <v>-0.33577000773134835</v>
      </c>
      <c r="J515">
        <v>-1.1765284927563662</v>
      </c>
      <c r="K515">
        <v>-0.90840400134611321</v>
      </c>
      <c r="M515">
        <v>-0.80690083394460921</v>
      </c>
      <c r="O515" t="s">
        <v>1629</v>
      </c>
    </row>
    <row r="516" spans="1:15">
      <c r="A516" t="s">
        <v>10</v>
      </c>
      <c r="B516" t="s">
        <v>573</v>
      </c>
      <c r="C516" t="s">
        <v>1128</v>
      </c>
      <c r="D516">
        <v>616</v>
      </c>
      <c r="E516">
        <v>7</v>
      </c>
      <c r="F516">
        <v>20</v>
      </c>
      <c r="G516">
        <v>19</v>
      </c>
      <c r="H516">
        <f t="shared" si="10"/>
        <v>7.2341781380702335</v>
      </c>
      <c r="I516">
        <v>-0.95242950762959921</v>
      </c>
      <c r="J516">
        <v>-0.94907586562201141</v>
      </c>
      <c r="K516">
        <v>-0.56189861612644121</v>
      </c>
      <c r="M516">
        <v>-0.82113466312601735</v>
      </c>
      <c r="O516" t="s">
        <v>1128</v>
      </c>
    </row>
    <row r="517" spans="1:15">
      <c r="A517" t="s">
        <v>456</v>
      </c>
      <c r="B517" t="s">
        <v>1019</v>
      </c>
      <c r="C517" t="s">
        <v>1574</v>
      </c>
      <c r="D517">
        <v>716</v>
      </c>
      <c r="E517">
        <v>6</v>
      </c>
      <c r="F517">
        <v>30</v>
      </c>
      <c r="G517">
        <v>23</v>
      </c>
      <c r="H517">
        <f t="shared" si="10"/>
        <v>12.342339054382414</v>
      </c>
      <c r="I517">
        <v>-1.0847086074036425</v>
      </c>
      <c r="J517">
        <v>-0.83831691670976027</v>
      </c>
      <c r="K517">
        <v>-0.54425669120510745</v>
      </c>
      <c r="M517">
        <v>-0.82242740510617018</v>
      </c>
      <c r="O517" t="s">
        <v>1574</v>
      </c>
    </row>
    <row r="518" spans="1:15">
      <c r="A518" t="s">
        <v>6</v>
      </c>
      <c r="B518" t="s">
        <v>569</v>
      </c>
      <c r="C518" t="s">
        <v>1124</v>
      </c>
      <c r="D518">
        <v>269</v>
      </c>
      <c r="E518">
        <v>12</v>
      </c>
      <c r="F518">
        <v>3</v>
      </c>
      <c r="G518">
        <v>6</v>
      </c>
      <c r="H518">
        <f t="shared" si="10"/>
        <v>4.5825756949558398</v>
      </c>
      <c r="I518">
        <v>-0.35851786943421371</v>
      </c>
      <c r="J518">
        <v>-1.4131561744043126</v>
      </c>
      <c r="K518">
        <v>-0.70267253453360912</v>
      </c>
      <c r="M518">
        <v>-0.82478219279071185</v>
      </c>
      <c r="O518" t="s">
        <v>1124</v>
      </c>
    </row>
    <row r="519" spans="1:15">
      <c r="A519" t="s">
        <v>328</v>
      </c>
      <c r="B519" t="s">
        <v>891</v>
      </c>
      <c r="C519" t="s">
        <v>1446</v>
      </c>
      <c r="D519">
        <v>270</v>
      </c>
      <c r="E519">
        <v>3</v>
      </c>
      <c r="F519">
        <v>6</v>
      </c>
      <c r="G519">
        <v>12</v>
      </c>
      <c r="H519">
        <f t="shared" si="10"/>
        <v>4.5825756949558398</v>
      </c>
      <c r="I519">
        <v>-0.9621893449187553</v>
      </c>
      <c r="J519">
        <v>-1.1137376628969107</v>
      </c>
      <c r="K519">
        <v>-0.40325402302620716</v>
      </c>
      <c r="M519">
        <v>-0.82639367694729104</v>
      </c>
      <c r="O519" t="s">
        <v>1446</v>
      </c>
    </row>
    <row r="520" spans="1:15">
      <c r="A520" t="s">
        <v>521</v>
      </c>
      <c r="B520" t="s">
        <v>1084</v>
      </c>
      <c r="C520" t="s">
        <v>1639</v>
      </c>
      <c r="D520">
        <v>777</v>
      </c>
      <c r="E520">
        <v>7</v>
      </c>
      <c r="F520">
        <v>6</v>
      </c>
      <c r="G520">
        <v>121</v>
      </c>
      <c r="H520">
        <f t="shared" si="10"/>
        <v>66.108496680330987</v>
      </c>
      <c r="I520">
        <v>-1.0532698142660881</v>
      </c>
      <c r="J520">
        <v>-1.5727949175388378</v>
      </c>
      <c r="K520">
        <v>0.14129284660069119</v>
      </c>
      <c r="M520">
        <v>-0.82825729506807821</v>
      </c>
      <c r="O520" t="s">
        <v>1639</v>
      </c>
    </row>
    <row r="521" spans="1:15">
      <c r="A521" t="s">
        <v>445</v>
      </c>
      <c r="B521" t="s">
        <v>1008</v>
      </c>
      <c r="C521" t="s">
        <v>1563</v>
      </c>
      <c r="D521">
        <v>356</v>
      </c>
      <c r="E521">
        <v>8</v>
      </c>
      <c r="F521">
        <v>2</v>
      </c>
      <c r="G521">
        <v>27</v>
      </c>
      <c r="H521">
        <f t="shared" si="10"/>
        <v>13.051181300301263</v>
      </c>
      <c r="I521">
        <v>-0.65630684646036208</v>
      </c>
      <c r="J521">
        <v>-1.7109451514304612</v>
      </c>
      <c r="K521">
        <v>-0.17115773872873263</v>
      </c>
      <c r="M521">
        <v>-0.84613657887318539</v>
      </c>
      <c r="O521" t="s">
        <v>1563</v>
      </c>
    </row>
    <row r="522" spans="1:15">
      <c r="A522" t="s">
        <v>190</v>
      </c>
      <c r="B522" t="s">
        <v>753</v>
      </c>
      <c r="C522" t="s">
        <v>1308</v>
      </c>
      <c r="D522">
        <v>569</v>
      </c>
      <c r="E522">
        <v>22</v>
      </c>
      <c r="F522">
        <v>5</v>
      </c>
      <c r="G522">
        <v>16</v>
      </c>
      <c r="H522">
        <f t="shared" si="10"/>
        <v>8.621678104251707</v>
      </c>
      <c r="I522">
        <v>-0.42063642105229548</v>
      </c>
      <c r="J522">
        <v>-1.5166674111806193</v>
      </c>
      <c r="K522">
        <v>-0.60206378865399102</v>
      </c>
      <c r="M522">
        <v>-0.84645587362896857</v>
      </c>
      <c r="O522" t="s">
        <v>1308</v>
      </c>
    </row>
    <row r="523" spans="1:15">
      <c r="A523" t="s">
        <v>457</v>
      </c>
      <c r="B523" t="s">
        <v>1020</v>
      </c>
      <c r="C523" t="s">
        <v>1575</v>
      </c>
      <c r="D523">
        <v>761</v>
      </c>
      <c r="E523">
        <v>27</v>
      </c>
      <c r="F523">
        <v>10</v>
      </c>
      <c r="G523">
        <v>15</v>
      </c>
      <c r="H523">
        <f t="shared" si="10"/>
        <v>8.736894948054104</v>
      </c>
      <c r="I523">
        <v>-0.45796772809101594</v>
      </c>
      <c r="J523">
        <v>-1.3419098058921399</v>
      </c>
      <c r="K523">
        <v>-0.75636490262973632</v>
      </c>
      <c r="M523">
        <v>-0.85208081220429743</v>
      </c>
      <c r="O523" t="s">
        <v>1575</v>
      </c>
    </row>
    <row r="524" spans="1:15">
      <c r="A524" t="s">
        <v>400</v>
      </c>
      <c r="B524" t="s">
        <v>963</v>
      </c>
      <c r="C524" t="s">
        <v>1518</v>
      </c>
      <c r="D524">
        <v>636</v>
      </c>
      <c r="E524">
        <v>25</v>
      </c>
      <c r="F524">
        <v>4</v>
      </c>
      <c r="G524">
        <v>21</v>
      </c>
      <c r="H524">
        <f t="shared" si="10"/>
        <v>11.150485789118486</v>
      </c>
      <c r="I524">
        <v>-0.41346394245580687</v>
      </c>
      <c r="J524">
        <v>-1.6619222734420185</v>
      </c>
      <c r="K524">
        <v>-0.53230932582933921</v>
      </c>
      <c r="M524">
        <v>-0.86923184724238822</v>
      </c>
      <c r="O524" t="s">
        <v>1518</v>
      </c>
    </row>
    <row r="525" spans="1:15">
      <c r="A525" t="s">
        <v>519</v>
      </c>
      <c r="B525" t="s">
        <v>1082</v>
      </c>
      <c r="C525" t="s">
        <v>1637</v>
      </c>
      <c r="D525">
        <v>423</v>
      </c>
      <c r="E525">
        <v>4</v>
      </c>
      <c r="F525">
        <v>8</v>
      </c>
      <c r="G525">
        <v>19</v>
      </c>
      <c r="H525">
        <f t="shared" si="10"/>
        <v>7.7674534651540297</v>
      </c>
      <c r="I525">
        <v>-1.0322272115265103</v>
      </c>
      <c r="J525">
        <v>-1.1837755295046657</v>
      </c>
      <c r="K525">
        <v>-0.39865827133705811</v>
      </c>
      <c r="M525">
        <v>-0.87155367078941148</v>
      </c>
      <c r="O525" t="s">
        <v>1637</v>
      </c>
    </row>
    <row r="526" spans="1:15">
      <c r="A526" t="s">
        <v>423</v>
      </c>
      <c r="B526" t="s">
        <v>986</v>
      </c>
      <c r="C526" t="s">
        <v>1541</v>
      </c>
      <c r="D526">
        <v>419</v>
      </c>
      <c r="E526">
        <v>24</v>
      </c>
      <c r="F526">
        <v>8</v>
      </c>
      <c r="G526">
        <v>3</v>
      </c>
      <c r="H526">
        <f t="shared" si="10"/>
        <v>10.96965511460289</v>
      </c>
      <c r="I526">
        <v>-0.24994961673411975</v>
      </c>
      <c r="J526">
        <v>-1.1796491850959185</v>
      </c>
      <c r="K526">
        <v>-1.1961642731614777</v>
      </c>
      <c r="M526">
        <v>-0.87525435833050536</v>
      </c>
      <c r="O526" t="s">
        <v>1541</v>
      </c>
    </row>
    <row r="527" spans="1:15">
      <c r="A527" t="s">
        <v>455</v>
      </c>
      <c r="B527" t="s">
        <v>1018</v>
      </c>
      <c r="C527" t="s">
        <v>1573</v>
      </c>
      <c r="D527">
        <v>713</v>
      </c>
      <c r="E527">
        <v>11</v>
      </c>
      <c r="F527">
        <v>17</v>
      </c>
      <c r="G527">
        <v>14</v>
      </c>
      <c r="H527">
        <f t="shared" si="10"/>
        <v>3</v>
      </c>
      <c r="I527">
        <v>-0.8196436801730711</v>
      </c>
      <c r="J527">
        <v>-1.0831657575951588</v>
      </c>
      <c r="K527">
        <v>-0.75803299908847221</v>
      </c>
      <c r="M527">
        <v>-0.88694747895223403</v>
      </c>
      <c r="O527" t="s">
        <v>1573</v>
      </c>
    </row>
    <row r="528" spans="1:15">
      <c r="A528" t="s">
        <v>298</v>
      </c>
      <c r="B528" t="s">
        <v>861</v>
      </c>
      <c r="C528" t="s">
        <v>1416</v>
      </c>
      <c r="D528">
        <v>117</v>
      </c>
      <c r="E528">
        <v>2</v>
      </c>
      <c r="F528">
        <v>1</v>
      </c>
      <c r="G528">
        <v>4</v>
      </c>
      <c r="H528">
        <f t="shared" si="10"/>
        <v>1.5275252316519468</v>
      </c>
      <c r="I528">
        <v>-0.77510270156161098</v>
      </c>
      <c r="J528">
        <v>-1.5287110108677289</v>
      </c>
      <c r="K528">
        <v>-0.51719737533304388</v>
      </c>
      <c r="M528">
        <v>-0.94033702925412788</v>
      </c>
      <c r="O528" t="s">
        <v>1416</v>
      </c>
    </row>
    <row r="529" spans="1:15">
      <c r="A529" t="s">
        <v>236</v>
      </c>
      <c r="B529" t="s">
        <v>799</v>
      </c>
      <c r="C529" t="s">
        <v>1354</v>
      </c>
      <c r="D529">
        <v>280</v>
      </c>
      <c r="E529">
        <v>5</v>
      </c>
      <c r="F529">
        <v>7</v>
      </c>
      <c r="G529">
        <v>3</v>
      </c>
      <c r="H529">
        <f t="shared" si="10"/>
        <v>2</v>
      </c>
      <c r="I529">
        <v>-0.756134862485631</v>
      </c>
      <c r="J529">
        <v>-1.0625851404495292</v>
      </c>
      <c r="K529">
        <v>-1.0211082815374015</v>
      </c>
      <c r="M529">
        <v>-0.94660942815752058</v>
      </c>
      <c r="O529" t="s">
        <v>1354</v>
      </c>
    </row>
    <row r="530" spans="1:15">
      <c r="A530" t="s">
        <v>452</v>
      </c>
      <c r="B530" t="s">
        <v>1015</v>
      </c>
      <c r="C530" t="s">
        <v>1570</v>
      </c>
      <c r="D530">
        <v>770</v>
      </c>
      <c r="E530">
        <v>38</v>
      </c>
      <c r="F530">
        <v>3</v>
      </c>
      <c r="G530">
        <v>19</v>
      </c>
      <c r="H530">
        <f t="shared" si="10"/>
        <v>17.521415467935231</v>
      </c>
      <c r="I530">
        <v>-0.31465396403510226</v>
      </c>
      <c r="J530">
        <v>-1.8698946195743864</v>
      </c>
      <c r="K530">
        <v>-0.65880862913449767</v>
      </c>
      <c r="M530">
        <v>-0.94778573758132867</v>
      </c>
      <c r="O530" t="s">
        <v>1570</v>
      </c>
    </row>
    <row r="531" spans="1:15">
      <c r="A531" t="s">
        <v>97</v>
      </c>
      <c r="B531" t="s">
        <v>660</v>
      </c>
      <c r="C531" t="s">
        <v>1215</v>
      </c>
      <c r="D531">
        <v>168</v>
      </c>
      <c r="E531">
        <v>1</v>
      </c>
      <c r="F531">
        <v>3</v>
      </c>
      <c r="G531">
        <v>7</v>
      </c>
      <c r="H531">
        <f t="shared" si="10"/>
        <v>3.0550504633038931</v>
      </c>
      <c r="I531">
        <v>-1.2332561172052934</v>
      </c>
      <c r="J531">
        <v>-1.2087131761277674</v>
      </c>
      <c r="K531">
        <v>-0.43128274662645083</v>
      </c>
      <c r="M531">
        <v>-0.95775067998650387</v>
      </c>
      <c r="O531" t="s">
        <v>1215</v>
      </c>
    </row>
    <row r="532" spans="1:15">
      <c r="A532" t="s">
        <v>248</v>
      </c>
      <c r="B532" t="s">
        <v>811</v>
      </c>
      <c r="C532" t="s">
        <v>1366</v>
      </c>
      <c r="D532">
        <v>435</v>
      </c>
      <c r="E532">
        <v>9</v>
      </c>
      <c r="F532">
        <v>20</v>
      </c>
      <c r="G532">
        <v>2</v>
      </c>
      <c r="H532">
        <f t="shared" si="10"/>
        <v>9.0737717258774673</v>
      </c>
      <c r="I532">
        <v>-0.69219358299474298</v>
      </c>
      <c r="J532">
        <v>-0.79798441041222323</v>
      </c>
      <c r="K532">
        <v>-1.3885307662055009</v>
      </c>
      <c r="M532">
        <v>-0.95956958653748892</v>
      </c>
      <c r="O532" t="s">
        <v>1366</v>
      </c>
    </row>
    <row r="533" spans="1:15">
      <c r="A533" t="s">
        <v>454</v>
      </c>
      <c r="B533" t="s">
        <v>1017</v>
      </c>
      <c r="C533" t="s">
        <v>1572</v>
      </c>
      <c r="D533">
        <v>636</v>
      </c>
      <c r="E533">
        <v>31</v>
      </c>
      <c r="F533">
        <v>3</v>
      </c>
      <c r="G533">
        <v>9</v>
      </c>
      <c r="H533">
        <f t="shared" si="10"/>
        <v>14.742229591663987</v>
      </c>
      <c r="I533">
        <v>-0.32004225729357172</v>
      </c>
      <c r="J533">
        <v>-1.7868610100503188</v>
      </c>
      <c r="K533">
        <v>-0.90028611112393375</v>
      </c>
      <c r="M533">
        <v>-1.0023964594892749</v>
      </c>
      <c r="O533" t="s">
        <v>1572</v>
      </c>
    </row>
    <row r="534" spans="1:15">
      <c r="A534" t="s">
        <v>64</v>
      </c>
      <c r="B534" t="s">
        <v>627</v>
      </c>
      <c r="C534" t="s">
        <v>1182</v>
      </c>
      <c r="D534">
        <v>127</v>
      </c>
      <c r="E534">
        <v>1</v>
      </c>
      <c r="F534">
        <v>1</v>
      </c>
      <c r="G534">
        <v>6</v>
      </c>
      <c r="H534">
        <f t="shared" si="10"/>
        <v>2.8867513459481291</v>
      </c>
      <c r="I534">
        <v>-1.1117505564353873</v>
      </c>
      <c r="J534">
        <v>-1.564328870077524</v>
      </c>
      <c r="K534">
        <v>-0.37672397548715786</v>
      </c>
      <c r="M534">
        <v>-1.0176011340000231</v>
      </c>
      <c r="O534" t="s">
        <v>1182</v>
      </c>
    </row>
    <row r="535" spans="1:15">
      <c r="A535" t="s">
        <v>433</v>
      </c>
      <c r="B535" t="s">
        <v>996</v>
      </c>
      <c r="C535" t="s">
        <v>1551</v>
      </c>
      <c r="D535">
        <v>318</v>
      </c>
      <c r="E535">
        <v>2</v>
      </c>
      <c r="F535">
        <v>2</v>
      </c>
      <c r="G535">
        <v>22</v>
      </c>
      <c r="H535">
        <f t="shared" si="10"/>
        <v>11.547005383792515</v>
      </c>
      <c r="I535">
        <v>-1.2093439597998819</v>
      </c>
      <c r="J535">
        <v>-1.6619222734420185</v>
      </c>
      <c r="K535">
        <v>-0.21107594407707109</v>
      </c>
      <c r="M535">
        <v>-1.0274473924396572</v>
      </c>
      <c r="O535" t="s">
        <v>1551</v>
      </c>
    </row>
    <row r="536" spans="1:15">
      <c r="A536" t="s">
        <v>102</v>
      </c>
      <c r="B536" t="s">
        <v>665</v>
      </c>
      <c r="C536" t="s">
        <v>1220</v>
      </c>
      <c r="D536">
        <v>214</v>
      </c>
      <c r="E536">
        <v>3</v>
      </c>
      <c r="F536">
        <v>4</v>
      </c>
      <c r="G536">
        <v>2</v>
      </c>
      <c r="H536">
        <f t="shared" si="10"/>
        <v>1</v>
      </c>
      <c r="I536">
        <v>-0.86123935410895891</v>
      </c>
      <c r="J536">
        <v>-1.1888789311427956</v>
      </c>
      <c r="K536">
        <v>-1.0804552826000544</v>
      </c>
      <c r="M536">
        <v>-1.0435245226172698</v>
      </c>
      <c r="O536" t="s">
        <v>1220</v>
      </c>
    </row>
    <row r="537" spans="1:15">
      <c r="A537" t="s">
        <v>506</v>
      </c>
      <c r="B537" t="s">
        <v>1069</v>
      </c>
      <c r="C537" t="s">
        <v>1624</v>
      </c>
      <c r="D537">
        <v>827</v>
      </c>
      <c r="E537">
        <v>14</v>
      </c>
      <c r="F537">
        <v>14</v>
      </c>
      <c r="G537">
        <v>7</v>
      </c>
      <c r="H537">
        <f t="shared" si="10"/>
        <v>4.0414518843273814</v>
      </c>
      <c r="I537">
        <v>-0.7793243093537392</v>
      </c>
      <c r="J537">
        <v>-1.2319026229958756</v>
      </c>
      <c r="K537">
        <v>-1.1234789744531344</v>
      </c>
      <c r="M537">
        <v>-1.0449019689342498</v>
      </c>
      <c r="O537" t="s">
        <v>1624</v>
      </c>
    </row>
    <row r="538" spans="1:15">
      <c r="A538" t="s">
        <v>479</v>
      </c>
      <c r="B538" t="s">
        <v>1042</v>
      </c>
      <c r="C538" t="s">
        <v>1597</v>
      </c>
      <c r="D538">
        <v>432</v>
      </c>
      <c r="E538">
        <v>3</v>
      </c>
      <c r="F538">
        <v>6</v>
      </c>
      <c r="G538">
        <v>10</v>
      </c>
      <c r="H538">
        <f t="shared" si="10"/>
        <v>3.5118845842842465</v>
      </c>
      <c r="I538">
        <v>-1.1663093275746803</v>
      </c>
      <c r="J538">
        <v>-1.3178576455528357</v>
      </c>
      <c r="K538">
        <v>-0.68655525172975684</v>
      </c>
      <c r="M538">
        <v>-1.0569074082857577</v>
      </c>
      <c r="O538" t="s">
        <v>1597</v>
      </c>
    </row>
    <row r="539" spans="1:15">
      <c r="A539" t="s">
        <v>490</v>
      </c>
      <c r="B539" t="s">
        <v>1053</v>
      </c>
      <c r="C539" t="s">
        <v>1608</v>
      </c>
      <c r="D539">
        <v>327</v>
      </c>
      <c r="E539">
        <v>13</v>
      </c>
      <c r="F539">
        <v>1</v>
      </c>
      <c r="G539">
        <v>6</v>
      </c>
      <c r="H539">
        <f t="shared" si="10"/>
        <v>6.0277137733417074</v>
      </c>
      <c r="I539">
        <v>-0.40855123583287978</v>
      </c>
      <c r="J539">
        <v>-1.9750729017818531</v>
      </c>
      <c r="K539">
        <v>-0.78746800719148702</v>
      </c>
      <c r="M539">
        <v>-1.0570307149354068</v>
      </c>
      <c r="O539" t="s">
        <v>1608</v>
      </c>
    </row>
    <row r="540" spans="1:15">
      <c r="A540" t="s">
        <v>100</v>
      </c>
      <c r="B540" t="s">
        <v>663</v>
      </c>
      <c r="C540" t="s">
        <v>1218</v>
      </c>
      <c r="D540">
        <v>157</v>
      </c>
      <c r="E540">
        <v>2</v>
      </c>
      <c r="F540">
        <v>3</v>
      </c>
      <c r="G540">
        <v>1</v>
      </c>
      <c r="H540">
        <f t="shared" si="10"/>
        <v>1</v>
      </c>
      <c r="I540">
        <v>-0.90281649222468308</v>
      </c>
      <c r="J540">
        <v>-1.1793035468111386</v>
      </c>
      <c r="K540">
        <v>-1.2469711573240783</v>
      </c>
      <c r="M540">
        <v>-1.1096970654533</v>
      </c>
      <c r="O540" t="s">
        <v>1218</v>
      </c>
    </row>
    <row r="541" spans="1:15">
      <c r="A541" t="s">
        <v>474</v>
      </c>
      <c r="B541" t="s">
        <v>1037</v>
      </c>
      <c r="C541" t="s">
        <v>1592</v>
      </c>
      <c r="D541">
        <v>1480</v>
      </c>
      <c r="E541">
        <v>11</v>
      </c>
      <c r="F541">
        <v>10</v>
      </c>
      <c r="G541">
        <v>38</v>
      </c>
      <c r="H541">
        <f t="shared" si="10"/>
        <v>15.885003409925142</v>
      </c>
      <c r="I541">
        <v>-1.1368158657161627</v>
      </c>
      <c r="J541">
        <v>-1.6307868645165247</v>
      </c>
      <c r="K541">
        <v>-0.64154962369299184</v>
      </c>
      <c r="M541">
        <v>-1.1363841179752263</v>
      </c>
      <c r="O541" t="s">
        <v>1592</v>
      </c>
    </row>
    <row r="542" spans="1:15">
      <c r="A542" t="s">
        <v>432</v>
      </c>
      <c r="B542" t="s">
        <v>995</v>
      </c>
      <c r="C542" t="s">
        <v>1550</v>
      </c>
      <c r="D542">
        <v>224</v>
      </c>
      <c r="E542">
        <v>1</v>
      </c>
      <c r="F542">
        <v>2</v>
      </c>
      <c r="G542">
        <v>6</v>
      </c>
      <c r="H542">
        <f t="shared" si="10"/>
        <v>2.6457513110645907</v>
      </c>
      <c r="I542">
        <v>-1.3581948538135933</v>
      </c>
      <c r="J542">
        <v>-1.5097431717917487</v>
      </c>
      <c r="K542">
        <v>-0.6231682728653638</v>
      </c>
      <c r="M542">
        <v>-1.1637020994902352</v>
      </c>
      <c r="O542" t="s">
        <v>1550</v>
      </c>
    </row>
    <row r="543" spans="1:15">
      <c r="A543" t="s">
        <v>73</v>
      </c>
      <c r="B543" t="s">
        <v>636</v>
      </c>
      <c r="C543" t="s">
        <v>1191</v>
      </c>
      <c r="D543">
        <v>1216</v>
      </c>
      <c r="E543">
        <v>12</v>
      </c>
      <c r="F543">
        <v>6</v>
      </c>
      <c r="G543">
        <v>25</v>
      </c>
      <c r="H543">
        <f t="shared" si="10"/>
        <v>9.7125348562223088</v>
      </c>
      <c r="I543">
        <v>-1.0136991643685218</v>
      </c>
      <c r="J543">
        <v>-1.7673074736746397</v>
      </c>
      <c r="K543">
        <v>-0.73806507117952314</v>
      </c>
      <c r="M543">
        <v>-1.1730239030742282</v>
      </c>
      <c r="O543" t="s">
        <v>1191</v>
      </c>
    </row>
    <row r="544" spans="1:15">
      <c r="A544" t="s">
        <v>430</v>
      </c>
      <c r="B544" t="s">
        <v>993</v>
      </c>
      <c r="C544" t="s">
        <v>1548</v>
      </c>
      <c r="D544">
        <v>724</v>
      </c>
      <c r="E544">
        <v>2</v>
      </c>
      <c r="F544">
        <v>7</v>
      </c>
      <c r="G544">
        <v>25</v>
      </c>
      <c r="H544">
        <f t="shared" si="10"/>
        <v>12.096831541082704</v>
      </c>
      <c r="I544">
        <v>-1.5666554060125963</v>
      </c>
      <c r="J544">
        <v>-1.4751656753044573</v>
      </c>
      <c r="K544">
        <v>-0.51287006243995403</v>
      </c>
      <c r="M544">
        <v>-1.1848970479190026</v>
      </c>
      <c r="O544" t="s">
        <v>1548</v>
      </c>
    </row>
    <row r="545" spans="1:15">
      <c r="A545" t="s">
        <v>471</v>
      </c>
      <c r="B545" t="s">
        <v>1034</v>
      </c>
      <c r="C545" t="s">
        <v>1589</v>
      </c>
      <c r="D545">
        <v>631</v>
      </c>
      <c r="E545">
        <v>9</v>
      </c>
      <c r="F545">
        <v>1</v>
      </c>
      <c r="G545">
        <v>21</v>
      </c>
      <c r="H545">
        <f t="shared" si="10"/>
        <v>10.066445913694334</v>
      </c>
      <c r="I545">
        <v>-0.85373368528423987</v>
      </c>
      <c r="J545">
        <v>-2.2605545083657015</v>
      </c>
      <c r="K545">
        <v>-0.52888156942505971</v>
      </c>
      <c r="M545">
        <v>-1.2143899210250004</v>
      </c>
      <c r="O545" t="s">
        <v>1589</v>
      </c>
    </row>
    <row r="546" spans="1:15">
      <c r="A546" t="s">
        <v>548</v>
      </c>
      <c r="B546" t="s">
        <v>1111</v>
      </c>
      <c r="C546" t="s">
        <v>1666</v>
      </c>
      <c r="D546">
        <v>811</v>
      </c>
      <c r="E546">
        <v>18</v>
      </c>
      <c r="F546">
        <v>3</v>
      </c>
      <c r="G546">
        <v>7</v>
      </c>
      <c r="H546">
        <f t="shared" si="10"/>
        <v>7.7674534651540297</v>
      </c>
      <c r="I546">
        <v>-0.66169518458728049</v>
      </c>
      <c r="J546">
        <v>-1.8924247486130605</v>
      </c>
      <c r="K546">
        <v>-1.1149943191117437</v>
      </c>
      <c r="M546">
        <v>-1.2230380841040283</v>
      </c>
      <c r="O546" t="s">
        <v>1666</v>
      </c>
    </row>
    <row r="547" spans="1:15">
      <c r="A547" t="s">
        <v>488</v>
      </c>
      <c r="B547" t="s">
        <v>1051</v>
      </c>
      <c r="C547" t="s">
        <v>1606</v>
      </c>
      <c r="D547">
        <v>646</v>
      </c>
      <c r="E547">
        <v>5</v>
      </c>
      <c r="F547">
        <v>4</v>
      </c>
      <c r="G547">
        <v>9</v>
      </c>
      <c r="H547">
        <f t="shared" si="10"/>
        <v>2.6457513110645907</v>
      </c>
      <c r="I547">
        <v>-1.119209349138496</v>
      </c>
      <c r="J547">
        <v>-1.6686976757886889</v>
      </c>
      <c r="K547">
        <v>-0.90706151347060393</v>
      </c>
      <c r="M547">
        <v>-1.2316561794659295</v>
      </c>
      <c r="O547" t="s">
        <v>1606</v>
      </c>
    </row>
    <row r="548" spans="1:15">
      <c r="A548" t="s">
        <v>414</v>
      </c>
      <c r="B548" t="s">
        <v>977</v>
      </c>
      <c r="C548" t="s">
        <v>1532</v>
      </c>
      <c r="D548">
        <v>472</v>
      </c>
      <c r="E548">
        <v>1</v>
      </c>
      <c r="F548">
        <v>2</v>
      </c>
      <c r="G548">
        <v>33</v>
      </c>
      <c r="H548">
        <f t="shared" si="10"/>
        <v>18.193405398660254</v>
      </c>
      <c r="I548">
        <v>-1.6818888341135185</v>
      </c>
      <c r="J548">
        <v>-1.8334371520916739</v>
      </c>
      <c r="K548">
        <v>-0.20649956367104494</v>
      </c>
      <c r="M548">
        <v>-1.2406085166254124</v>
      </c>
      <c r="O548" t="s">
        <v>1532</v>
      </c>
    </row>
    <row r="549" spans="1:15">
      <c r="A549" t="s">
        <v>500</v>
      </c>
      <c r="B549" t="s">
        <v>1063</v>
      </c>
      <c r="C549" t="s">
        <v>1618</v>
      </c>
      <c r="D549">
        <v>1144</v>
      </c>
      <c r="E549">
        <v>17</v>
      </c>
      <c r="F549">
        <v>9</v>
      </c>
      <c r="G549">
        <v>5</v>
      </c>
      <c r="H549">
        <f t="shared" si="10"/>
        <v>6.110100926607787</v>
      </c>
      <c r="I549">
        <v>-0.83592393855816205</v>
      </c>
      <c r="J549">
        <v>-1.5647086641392476</v>
      </c>
      <c r="K549">
        <v>-1.4105275250358311</v>
      </c>
      <c r="M549">
        <v>-1.2703867092444137</v>
      </c>
      <c r="O549" t="s">
        <v>1618</v>
      </c>
    </row>
    <row r="550" spans="1:15">
      <c r="A550" t="s">
        <v>469</v>
      </c>
      <c r="B550" t="s">
        <v>1032</v>
      </c>
      <c r="C550" t="s">
        <v>1587</v>
      </c>
      <c r="D550">
        <v>686</v>
      </c>
      <c r="E550">
        <v>8</v>
      </c>
      <c r="F550">
        <v>17</v>
      </c>
      <c r="G550">
        <v>1</v>
      </c>
      <c r="H550">
        <f t="shared" si="10"/>
        <v>8.0208062770106423</v>
      </c>
      <c r="I550">
        <v>-0.94118096419423858</v>
      </c>
      <c r="J550">
        <v>-1.0664003434500446</v>
      </c>
      <c r="K550">
        <v>-1.8873956206215963</v>
      </c>
      <c r="M550">
        <v>-1.2983256427552934</v>
      </c>
      <c r="O550" t="s">
        <v>1587</v>
      </c>
    </row>
    <row r="551" spans="1:15">
      <c r="A551" t="s">
        <v>422</v>
      </c>
      <c r="B551" t="s">
        <v>985</v>
      </c>
      <c r="C551" t="s">
        <v>1540</v>
      </c>
      <c r="D551">
        <v>444</v>
      </c>
      <c r="E551">
        <v>2</v>
      </c>
      <c r="F551">
        <v>2</v>
      </c>
      <c r="G551">
        <v>9</v>
      </c>
      <c r="H551">
        <f t="shared" si="10"/>
        <v>4.0414518843273806</v>
      </c>
      <c r="I551">
        <v>-1.3542998099300694</v>
      </c>
      <c r="J551">
        <v>-1.806878123572206</v>
      </c>
      <c r="K551">
        <v>-0.74421196559013958</v>
      </c>
      <c r="M551">
        <v>-1.3017966330308051</v>
      </c>
      <c r="O551" t="s">
        <v>1540</v>
      </c>
    </row>
    <row r="552" spans="1:15">
      <c r="A552" t="s">
        <v>261</v>
      </c>
      <c r="B552" t="s">
        <v>824</v>
      </c>
      <c r="C552" t="s">
        <v>1379</v>
      </c>
      <c r="D552">
        <v>208</v>
      </c>
      <c r="E552">
        <v>2</v>
      </c>
      <c r="F552">
        <v>1</v>
      </c>
      <c r="G552">
        <v>1</v>
      </c>
      <c r="H552">
        <f t="shared" si="10"/>
        <v>0.57735026918962584</v>
      </c>
      <c r="I552">
        <v>-1.0249801747782108</v>
      </c>
      <c r="J552">
        <v>-1.7785884840843287</v>
      </c>
      <c r="K552">
        <v>-1.3691348398776062</v>
      </c>
      <c r="M552">
        <v>-1.3909011662467152</v>
      </c>
      <c r="O552" t="s">
        <v>1379</v>
      </c>
    </row>
    <row r="553" spans="1:15">
      <c r="A553" t="s">
        <v>473</v>
      </c>
      <c r="B553" t="s">
        <v>1036</v>
      </c>
      <c r="C553" t="s">
        <v>1591</v>
      </c>
      <c r="D553">
        <v>2351</v>
      </c>
      <c r="E553">
        <v>16</v>
      </c>
      <c r="F553">
        <v>17</v>
      </c>
      <c r="G553">
        <v>6</v>
      </c>
      <c r="H553">
        <f t="shared" si="10"/>
        <v>6.0827625302982193</v>
      </c>
      <c r="I553">
        <v>-1.1750794819484449</v>
      </c>
      <c r="J553">
        <v>-1.6013288568682325</v>
      </c>
      <c r="K553">
        <v>-1.6441728836561402</v>
      </c>
      <c r="M553">
        <v>-1.4735270741576059</v>
      </c>
      <c r="O553" t="s">
        <v>1591</v>
      </c>
    </row>
    <row r="554" spans="1:15">
      <c r="A554" t="s">
        <v>518</v>
      </c>
      <c r="B554" t="s">
        <v>1081</v>
      </c>
      <c r="C554" t="s">
        <v>1636</v>
      </c>
      <c r="D554">
        <v>262</v>
      </c>
      <c r="E554">
        <v>2</v>
      </c>
      <c r="F554">
        <v>1</v>
      </c>
      <c r="G554">
        <v>1</v>
      </c>
      <c r="H554">
        <f t="shared" si="10"/>
        <v>0.57735026918962584</v>
      </c>
      <c r="I554">
        <v>-1.125218131135195</v>
      </c>
      <c r="J554">
        <v>-1.8788264404413129</v>
      </c>
      <c r="K554">
        <v>-1.4693727962345904</v>
      </c>
      <c r="M554">
        <v>-1.4911391226036994</v>
      </c>
      <c r="O554" t="s">
        <v>1636</v>
      </c>
    </row>
    <row r="555" spans="1:15">
      <c r="A555" t="s">
        <v>332</v>
      </c>
      <c r="B555" t="s">
        <v>895</v>
      </c>
      <c r="C555" t="s">
        <v>1450</v>
      </c>
      <c r="D555">
        <v>557</v>
      </c>
      <c r="E555">
        <v>1</v>
      </c>
      <c r="F555">
        <v>3</v>
      </c>
      <c r="G555">
        <v>1</v>
      </c>
      <c r="H555">
        <f t="shared" si="10"/>
        <v>1.1547005383792515</v>
      </c>
      <c r="I555">
        <v>-1.7538020306531594</v>
      </c>
      <c r="J555">
        <v>-1.7292590895756335</v>
      </c>
      <c r="K555">
        <v>-1.7969267000885736</v>
      </c>
      <c r="M555">
        <v>-1.7599959401057887</v>
      </c>
      <c r="O555" t="s">
        <v>1450</v>
      </c>
    </row>
    <row r="556" spans="1:15">
      <c r="G556" s="9" t="s">
        <v>483</v>
      </c>
      <c r="H556" s="10" t="s">
        <v>1601</v>
      </c>
      <c r="I556" s="10">
        <v>0.65500000000000003</v>
      </c>
      <c r="J556" s="10">
        <v>0.97399999999999998</v>
      </c>
      <c r="K556" s="10">
        <v>0.28899999999999998</v>
      </c>
    </row>
    <row r="557" spans="1:15">
      <c r="G557" s="9" t="s">
        <v>477</v>
      </c>
      <c r="H557" s="10" t="s">
        <v>1595</v>
      </c>
      <c r="I557" s="10">
        <v>1.27</v>
      </c>
      <c r="J557" s="10">
        <v>1.034</v>
      </c>
      <c r="K557" s="10">
        <v>0.28000000000000003</v>
      </c>
    </row>
    <row r="558" spans="1:15">
      <c r="G558" s="9" t="s">
        <v>467</v>
      </c>
      <c r="H558" s="10" t="s">
        <v>1585</v>
      </c>
      <c r="I558" s="10">
        <v>0.55700000000000005</v>
      </c>
      <c r="J558" s="10">
        <v>1.4990000000000001</v>
      </c>
      <c r="K558" s="10">
        <v>0.14499999999999999</v>
      </c>
    </row>
    <row r="559" spans="1:15">
      <c r="G559" s="9" t="s">
        <v>466</v>
      </c>
      <c r="H559" s="10" t="s">
        <v>1584</v>
      </c>
      <c r="I559" s="10">
        <v>0.77100000000000002</v>
      </c>
      <c r="J559" s="10">
        <v>0.33700000000000002</v>
      </c>
      <c r="K559" s="10">
        <v>0.629</v>
      </c>
    </row>
    <row r="560" spans="1:15">
      <c r="G560" s="9" t="s">
        <v>366</v>
      </c>
      <c r="H560" s="10" t="s">
        <v>1484</v>
      </c>
      <c r="I560" s="10">
        <v>0.35599999999999998</v>
      </c>
      <c r="J560" s="10">
        <v>0.55300000000000005</v>
      </c>
      <c r="K560" s="10">
        <v>0.184</v>
      </c>
    </row>
    <row r="561" spans="2:11">
      <c r="G561" s="9" t="s">
        <v>359</v>
      </c>
      <c r="H561" s="10" t="s">
        <v>1477</v>
      </c>
      <c r="I561" s="10">
        <v>0.67600000000000005</v>
      </c>
      <c r="J561" s="10">
        <v>0.26800000000000002</v>
      </c>
      <c r="K561" s="10">
        <v>0.84599999999999997</v>
      </c>
    </row>
    <row r="562" spans="2:11">
      <c r="G562" s="9" t="s">
        <v>345</v>
      </c>
      <c r="H562" s="10" t="s">
        <v>1463</v>
      </c>
      <c r="I562" s="10">
        <v>0.36199999999999999</v>
      </c>
      <c r="J562" s="10">
        <v>1.244</v>
      </c>
      <c r="K562" s="10">
        <v>0.48</v>
      </c>
    </row>
    <row r="563" spans="2:11">
      <c r="G563" s="9" t="s">
        <v>312</v>
      </c>
      <c r="H563" s="10" t="s">
        <v>1430</v>
      </c>
      <c r="I563" s="10">
        <v>0.61</v>
      </c>
      <c r="J563" s="10">
        <v>0.78100000000000003</v>
      </c>
      <c r="K563" s="10">
        <v>1.02</v>
      </c>
    </row>
    <row r="564" spans="2:11">
      <c r="B564" t="s">
        <v>1682</v>
      </c>
      <c r="G564" s="9" t="s">
        <v>209</v>
      </c>
      <c r="H564" s="10" t="s">
        <v>1327</v>
      </c>
      <c r="I564" s="10">
        <v>1.01</v>
      </c>
      <c r="J564" s="10">
        <v>1.407</v>
      </c>
      <c r="K564" s="10">
        <v>0.60699999999999998</v>
      </c>
    </row>
    <row r="565" spans="2:11">
      <c r="G565" s="9" t="s">
        <v>183</v>
      </c>
      <c r="H565" s="10" t="s">
        <v>1301</v>
      </c>
      <c r="I565" s="10">
        <v>0.55400000000000005</v>
      </c>
      <c r="J565" s="10">
        <v>0.14799999999999999</v>
      </c>
      <c r="K565" s="10">
        <v>1.403</v>
      </c>
    </row>
    <row r="566" spans="2:11">
      <c r="B566" t="s">
        <v>1681</v>
      </c>
      <c r="G566" s="9" t="s">
        <v>153</v>
      </c>
      <c r="H566" s="10" t="s">
        <v>1271</v>
      </c>
      <c r="I566" s="10">
        <v>0.84299999999999997</v>
      </c>
      <c r="J566" s="10">
        <v>0.38900000000000001</v>
      </c>
      <c r="K566" s="10">
        <v>0.64500000000000002</v>
      </c>
    </row>
    <row r="567" spans="2:11">
      <c r="G567" s="9" t="s">
        <v>144</v>
      </c>
      <c r="H567" s="10" t="s">
        <v>1262</v>
      </c>
      <c r="I567" s="10">
        <v>0.84</v>
      </c>
      <c r="J567" s="10">
        <v>1.355</v>
      </c>
      <c r="K567" s="10">
        <v>0.49199999999999999</v>
      </c>
    </row>
    <row r="568" spans="2:11">
      <c r="B568" t="s">
        <v>1680</v>
      </c>
      <c r="G568" s="9" t="s">
        <v>120</v>
      </c>
      <c r="H568" s="10" t="s">
        <v>1238</v>
      </c>
      <c r="I568" s="10">
        <v>1.302</v>
      </c>
      <c r="J568" s="10">
        <v>1.3360000000000001</v>
      </c>
      <c r="K568" s="10">
        <v>1.2330000000000001</v>
      </c>
    </row>
    <row r="569" spans="2:11">
      <c r="G569" s="9" t="s">
        <v>1675</v>
      </c>
      <c r="H569" s="9" t="s">
        <v>1676</v>
      </c>
      <c r="I569" s="9" t="s">
        <v>1677</v>
      </c>
      <c r="J569" s="9" t="s">
        <v>1678</v>
      </c>
      <c r="K569" s="9" t="s">
        <v>1679</v>
      </c>
    </row>
    <row r="570" spans="2:11">
      <c r="C570" t="s">
        <v>1674</v>
      </c>
      <c r="D570" s="11">
        <v>110747</v>
      </c>
      <c r="E570">
        <v>514615</v>
      </c>
      <c r="F570">
        <v>476182</v>
      </c>
      <c r="G570">
        <v>500798</v>
      </c>
    </row>
    <row r="571" spans="2:11">
      <c r="C571" t="s">
        <v>1673</v>
      </c>
      <c r="D571">
        <f>SUM(D570:D570)</f>
        <v>110747</v>
      </c>
      <c r="E571">
        <f>SUM(E570:E570)</f>
        <v>514615</v>
      </c>
      <c r="F571">
        <f>SUM(F570:F570)</f>
        <v>476182</v>
      </c>
      <c r="G571">
        <f>SUM(G570:G570)</f>
        <v>500798</v>
      </c>
    </row>
    <row r="572" spans="2:11">
      <c r="C572" t="s">
        <v>1683</v>
      </c>
      <c r="D572">
        <f>_xlfn.PERCENTOF(D571,D570)</f>
        <v>1</v>
      </c>
      <c r="E572">
        <f>_xlfn.PERCENTOF(E571,E570)</f>
        <v>1</v>
      </c>
      <c r="F572">
        <f>_xlfn.PERCENTOF(F571,F570)</f>
        <v>1</v>
      </c>
      <c r="G572">
        <f>_xlfn.PERCENTOF(G571,G570)</f>
        <v>1</v>
      </c>
    </row>
    <row r="1048576" spans="4:4">
      <c r="D1048576">
        <f>SUM(D1:D1048575)</f>
        <v>555551</v>
      </c>
    </row>
  </sheetData>
  <sortState xmlns:xlrd2="http://schemas.microsoft.com/office/spreadsheetml/2017/richdata2" ref="A1:P1048576">
    <sortCondition descending="1" ref="M1:M104857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62FE5-54EF-E540-B027-D331EA4DBE1F}">
  <dimension ref="A1:F22"/>
  <sheetViews>
    <sheetView workbookViewId="0">
      <selection activeCell="G36" sqref="G36"/>
    </sheetView>
  </sheetViews>
  <sheetFormatPr baseColWidth="10" defaultRowHeight="18"/>
  <sheetData>
    <row r="1" spans="1:6" ht="23">
      <c r="A1" s="13">
        <v>14868</v>
      </c>
      <c r="B1" s="13">
        <v>10371</v>
      </c>
      <c r="C1" s="13">
        <v>19737</v>
      </c>
      <c r="D1" s="13"/>
      <c r="E1">
        <f>LOG10(B1/A1)-LOG10(10371/14868)</f>
        <v>0</v>
      </c>
      <c r="F1">
        <f>LOG10(C1/A1)-LOG10(19737/14868)</f>
        <v>0</v>
      </c>
    </row>
    <row r="2" spans="1:6">
      <c r="A2">
        <v>2094</v>
      </c>
      <c r="B2">
        <v>2155</v>
      </c>
      <c r="C2">
        <v>1755</v>
      </c>
      <c r="E2">
        <f t="shared" ref="E2:E22" si="0">LOG10(B2/A2)-LOG10(10371/14868)</f>
        <v>0.16890251531554587</v>
      </c>
      <c r="F2">
        <f t="shared" ref="F2:F22" si="1">LOG10(C2/A2)-LOG10(19737/14868)</f>
        <v>-0.19972814523414012</v>
      </c>
    </row>
    <row r="3" spans="1:6">
      <c r="A3">
        <v>1699</v>
      </c>
      <c r="B3">
        <v>1137</v>
      </c>
      <c r="C3">
        <v>1410</v>
      </c>
      <c r="E3">
        <f t="shared" si="0"/>
        <v>-1.8000996019691823E-2</v>
      </c>
      <c r="F3">
        <f t="shared" si="1"/>
        <v>-0.20400285490682513</v>
      </c>
    </row>
    <row r="4" spans="1:6">
      <c r="A4">
        <v>3223</v>
      </c>
      <c r="B4">
        <v>40548</v>
      </c>
      <c r="C4">
        <v>3264</v>
      </c>
      <c r="E4">
        <f t="shared" si="0"/>
        <v>1.2561410504718056</v>
      </c>
      <c r="F4">
        <f t="shared" si="1"/>
        <v>-0.11753874412367044</v>
      </c>
    </row>
    <row r="5" spans="1:6">
      <c r="A5">
        <v>3578</v>
      </c>
      <c r="B5">
        <v>3586</v>
      </c>
      <c r="C5">
        <v>4273</v>
      </c>
      <c r="E5">
        <f t="shared" si="0"/>
        <v>0.15740186715642887</v>
      </c>
      <c r="F5">
        <f t="shared" si="1"/>
        <v>-4.5936032107317129E-2</v>
      </c>
    </row>
    <row r="6" spans="1:6">
      <c r="A6">
        <v>2643</v>
      </c>
      <c r="B6">
        <v>4243</v>
      </c>
      <c r="C6">
        <v>5100</v>
      </c>
      <c r="E6">
        <f t="shared" si="0"/>
        <v>0.36200778679652457</v>
      </c>
      <c r="F6">
        <f t="shared" si="1"/>
        <v>0.16244442427306655</v>
      </c>
    </row>
    <row r="7" spans="1:6">
      <c r="A7">
        <v>1984</v>
      </c>
      <c r="B7">
        <v>1888</v>
      </c>
      <c r="C7">
        <v>2179</v>
      </c>
      <c r="E7">
        <f t="shared" si="0"/>
        <v>0.13489224030550936</v>
      </c>
      <c r="F7">
        <f t="shared" si="1"/>
        <v>-8.2313026265063649E-2</v>
      </c>
    </row>
    <row r="8" spans="1:6">
      <c r="A8">
        <v>2373</v>
      </c>
      <c r="B8">
        <v>438</v>
      </c>
      <c r="C8">
        <v>845</v>
      </c>
      <c r="E8">
        <f t="shared" si="0"/>
        <v>-0.57739170955162045</v>
      </c>
      <c r="F8">
        <f t="shared" si="1"/>
        <v>-0.57146961796080609</v>
      </c>
    </row>
    <row r="9" spans="1:6">
      <c r="A9">
        <v>3199</v>
      </c>
      <c r="B9">
        <v>748</v>
      </c>
      <c r="C9">
        <v>1020</v>
      </c>
      <c r="E9">
        <f t="shared" si="0"/>
        <v>-0.47468072405802664</v>
      </c>
      <c r="F9">
        <f t="shared" si="1"/>
        <v>-0.61944265701534895</v>
      </c>
    </row>
    <row r="10" spans="1:6">
      <c r="A10">
        <v>2749</v>
      </c>
      <c r="B10">
        <v>580</v>
      </c>
      <c r="C10">
        <v>954</v>
      </c>
      <c r="E10">
        <f t="shared" si="0"/>
        <v>-0.51931482811891216</v>
      </c>
      <c r="F10">
        <f t="shared" si="1"/>
        <v>-0.58265495383253274</v>
      </c>
    </row>
    <row r="11" spans="1:6">
      <c r="A11">
        <v>3816</v>
      </c>
      <c r="B11">
        <v>1090</v>
      </c>
      <c r="C11">
        <v>1311</v>
      </c>
      <c r="E11">
        <f t="shared" si="0"/>
        <v>-0.38774994992981482</v>
      </c>
      <c r="F11">
        <f t="shared" si="1"/>
        <v>-0.58703426303513262</v>
      </c>
    </row>
    <row r="12" spans="1:6">
      <c r="A12">
        <v>5767</v>
      </c>
      <c r="B12">
        <v>11471</v>
      </c>
      <c r="C12">
        <v>6178</v>
      </c>
      <c r="E12">
        <f t="shared" si="0"/>
        <v>0.45508324651347565</v>
      </c>
      <c r="F12">
        <f t="shared" si="1"/>
        <v>-9.3130636138624948E-2</v>
      </c>
    </row>
    <row r="13" spans="1:6">
      <c r="A13">
        <v>4213</v>
      </c>
      <c r="B13">
        <v>1346</v>
      </c>
      <c r="C13">
        <v>1959</v>
      </c>
      <c r="E13">
        <f t="shared" si="0"/>
        <v>-0.33911448107727071</v>
      </c>
      <c r="F13">
        <f t="shared" si="1"/>
        <v>-0.45558561182527091</v>
      </c>
    </row>
    <row r="14" spans="1:6">
      <c r="A14">
        <v>1705</v>
      </c>
      <c r="B14">
        <v>600</v>
      </c>
      <c r="C14">
        <v>2661</v>
      </c>
      <c r="E14">
        <f t="shared" si="0"/>
        <v>-0.29714121478325384</v>
      </c>
      <c r="F14">
        <f t="shared" si="1"/>
        <v>7.029190252971286E-2</v>
      </c>
    </row>
    <row r="15" spans="1:6">
      <c r="A15">
        <v>2173</v>
      </c>
      <c r="B15">
        <v>685</v>
      </c>
      <c r="C15">
        <v>632</v>
      </c>
      <c r="E15">
        <f t="shared" si="0"/>
        <v>-0.34493723666647991</v>
      </c>
      <c r="F15">
        <f t="shared" si="1"/>
        <v>-0.65937123673129905</v>
      </c>
    </row>
    <row r="16" spans="1:6">
      <c r="A16">
        <v>3773</v>
      </c>
      <c r="B16">
        <v>3319</v>
      </c>
      <c r="C16">
        <v>2925</v>
      </c>
      <c r="E16">
        <f t="shared" si="0"/>
        <v>0.10075236536922744</v>
      </c>
      <c r="F16">
        <f t="shared" si="1"/>
        <v>-0.23358952347595574</v>
      </c>
    </row>
    <row r="17" spans="1:6">
      <c r="A17">
        <v>5183</v>
      </c>
      <c r="B17">
        <v>44311</v>
      </c>
      <c r="C17">
        <v>5276</v>
      </c>
      <c r="E17">
        <f t="shared" si="0"/>
        <v>1.0883622605178014</v>
      </c>
      <c r="F17">
        <f t="shared" si="1"/>
        <v>-0.11530501065836299</v>
      </c>
    </row>
    <row r="18" spans="1:6">
      <c r="A18">
        <v>7370</v>
      </c>
      <c r="B18">
        <v>4551</v>
      </c>
      <c r="C18">
        <v>7625</v>
      </c>
      <c r="E18">
        <f t="shared" si="0"/>
        <v>-5.2928734191039495E-2</v>
      </c>
      <c r="F18">
        <f t="shared" si="1"/>
        <v>-0.10825622853338748</v>
      </c>
    </row>
    <row r="19" spans="1:6">
      <c r="A19">
        <v>3555</v>
      </c>
      <c r="B19">
        <v>2727</v>
      </c>
      <c r="C19">
        <v>3824</v>
      </c>
      <c r="E19">
        <f t="shared" si="0"/>
        <v>4.1277451037463789E-2</v>
      </c>
      <c r="F19">
        <f t="shared" si="1"/>
        <v>-9.135031015488207E-2</v>
      </c>
    </row>
    <row r="20" spans="1:6">
      <c r="A20">
        <v>5063</v>
      </c>
      <c r="B20">
        <v>10934</v>
      </c>
      <c r="C20">
        <v>8601</v>
      </c>
      <c r="E20">
        <f t="shared" si="0"/>
        <v>0.49080306033031651</v>
      </c>
      <c r="F20">
        <f t="shared" si="1"/>
        <v>0.10711243158614654</v>
      </c>
    </row>
    <row r="21" spans="1:6">
      <c r="A21">
        <v>6720</v>
      </c>
      <c r="B21">
        <v>8780</v>
      </c>
      <c r="C21">
        <v>11992</v>
      </c>
      <c r="E21">
        <f t="shared" si="0"/>
        <v>0.27255716101389638</v>
      </c>
      <c r="F21">
        <f t="shared" si="1"/>
        <v>0.12849375809323837</v>
      </c>
    </row>
    <row r="22" spans="1:6">
      <c r="A22">
        <v>2208</v>
      </c>
      <c r="B22">
        <v>2324</v>
      </c>
      <c r="C22">
        <v>1981</v>
      </c>
      <c r="E22">
        <f t="shared" si="0"/>
        <v>0.17866897282275082</v>
      </c>
      <c r="F22">
        <f t="shared" si="1"/>
        <v>-0.17014318221177371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BB1EB-A519-BB45-A150-3BA443FC7724}">
  <dimension ref="A1:P555"/>
  <sheetViews>
    <sheetView topLeftCell="A110" workbookViewId="0">
      <selection activeCell="O20" sqref="O20"/>
    </sheetView>
  </sheetViews>
  <sheetFormatPr baseColWidth="10" defaultRowHeight="27"/>
  <cols>
    <col min="1" max="1" width="12.625" style="2" bestFit="1" customWidth="1"/>
    <col min="2" max="2" width="13.75" style="6" customWidth="1"/>
    <col min="3" max="3" width="7.75" customWidth="1"/>
    <col min="4" max="4" width="7.125" style="4" customWidth="1"/>
    <col min="5" max="5" width="6.75" style="1" bestFit="1" customWidth="1"/>
    <col min="6" max="6" width="7.75" style="1" customWidth="1"/>
    <col min="7" max="7" width="7.875" style="1" bestFit="1" customWidth="1"/>
    <col min="8" max="8" width="7" customWidth="1"/>
    <col min="15" max="15" width="23.625" bestFit="1" customWidth="1"/>
  </cols>
  <sheetData>
    <row r="1" spans="1:16">
      <c r="A1" s="2" t="s">
        <v>47</v>
      </c>
      <c r="B1" s="6" t="s">
        <v>610</v>
      </c>
      <c r="C1" s="7" t="str" cm="1">
        <f t="array" ref="C1">_xlfn.LET(
  _xlpm.s, UPPER(B1),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KKEMKKIAESGKIPHIILHSP</v>
      </c>
      <c r="D1" s="4">
        <v>204</v>
      </c>
      <c r="E1" s="1">
        <v>3</v>
      </c>
      <c r="F1" s="1">
        <v>0</v>
      </c>
      <c r="G1" s="1">
        <v>2</v>
      </c>
      <c r="I1">
        <f t="shared" ref="I1:I32" si="0">LOG(E1/D1)-LOG(182/1787)</f>
        <v>-0.84045574818566693</v>
      </c>
      <c r="J1" t="e">
        <f t="shared" ref="J1:J32" si="1">LOG(F1/D1)-LOG(516/1787)</f>
        <v>#NUM!</v>
      </c>
      <c r="K1">
        <f t="shared" ref="K1:K32" si="2">LOG(G1/D1)-LOG(201/1787)</f>
        <v>-1.0596716766767622</v>
      </c>
      <c r="M1" t="e">
        <f t="shared" ref="M1:M32" si="3">AVERAGE(I1:K1)</f>
        <v>#NUM!</v>
      </c>
      <c r="P1" s="14" t="s">
        <v>1685</v>
      </c>
    </row>
    <row r="2" spans="1:16">
      <c r="A2" s="2" t="s">
        <v>48</v>
      </c>
      <c r="B2" s="6" t="s">
        <v>611</v>
      </c>
      <c r="C2" s="7" t="str" cm="1">
        <f t="array" ref="C2">_xlfn.LET(
  _xlpm.s, UPPER(B2),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KKEMKEIAASGKIPHIILHSP</v>
      </c>
      <c r="D2" s="4">
        <v>455</v>
      </c>
      <c r="E2" s="1">
        <v>0</v>
      </c>
      <c r="F2" s="1">
        <v>4</v>
      </c>
      <c r="G2" s="1">
        <v>3</v>
      </c>
      <c r="I2" t="e">
        <f t="shared" si="0"/>
        <v>#NUM!</v>
      </c>
      <c r="J2">
        <f t="shared" si="1"/>
        <v>-1.5164765544507173</v>
      </c>
      <c r="K2">
        <f t="shared" si="2"/>
        <v>-1.2319616468522947</v>
      </c>
      <c r="M2" t="e">
        <f t="shared" si="3"/>
        <v>#NUM!</v>
      </c>
      <c r="P2" s="14" t="s">
        <v>1685</v>
      </c>
    </row>
    <row r="3" spans="1:16">
      <c r="A3" s="2" t="s">
        <v>49</v>
      </c>
      <c r="B3" s="6" t="s">
        <v>612</v>
      </c>
      <c r="C3" s="7" t="str" cm="1">
        <f t="array" ref="C3">_xlfn.LET(
  _xlpm.s, UPPER(B3),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KKEFKSIVASGKIPHIILHSP</v>
      </c>
      <c r="D3" s="4">
        <v>298</v>
      </c>
      <c r="E3" s="1">
        <v>25</v>
      </c>
      <c r="F3" s="1">
        <v>0</v>
      </c>
      <c r="G3" s="1">
        <v>3</v>
      </c>
      <c r="I3">
        <f t="shared" si="0"/>
        <v>-8.42230908836481E-2</v>
      </c>
      <c r="J3" t="e">
        <f t="shared" si="1"/>
        <v>#NUM!</v>
      </c>
      <c r="K3">
        <f t="shared" si="2"/>
        <v>-1.0481665142714376</v>
      </c>
      <c r="M3" t="e">
        <f t="shared" si="3"/>
        <v>#NUM!</v>
      </c>
      <c r="P3" s="14" t="s">
        <v>1685</v>
      </c>
    </row>
    <row r="4" spans="1:16">
      <c r="A4" s="2" t="s">
        <v>51</v>
      </c>
      <c r="B4" s="6" t="s">
        <v>614</v>
      </c>
      <c r="C4" s="7" t="str" cm="1">
        <f t="array" ref="C4">_xlfn.LET(
  _xlpm.s, UPPER(B4),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KKVMKEIAASGKIPHIILHSP</v>
      </c>
      <c r="D4" s="4">
        <v>462</v>
      </c>
      <c r="E4" s="1">
        <v>7</v>
      </c>
      <c r="F4" s="1">
        <v>11</v>
      </c>
      <c r="G4" s="1">
        <v>0</v>
      </c>
      <c r="I4">
        <f t="shared" si="0"/>
        <v>-0.82749077102129909</v>
      </c>
      <c r="J4">
        <f t="shared" si="1"/>
        <v>-1.0837744395194675</v>
      </c>
      <c r="K4" t="e">
        <f t="shared" si="2"/>
        <v>#NUM!</v>
      </c>
      <c r="M4" t="e">
        <f t="shared" si="3"/>
        <v>#NUM!</v>
      </c>
      <c r="P4" s="14" t="s">
        <v>1685</v>
      </c>
    </row>
    <row r="5" spans="1:16">
      <c r="A5" s="2" t="s">
        <v>52</v>
      </c>
      <c r="B5" s="6" t="s">
        <v>615</v>
      </c>
      <c r="C5" s="7" t="str" cm="1">
        <f t="array" ref="C5">_xlfn.LET(
  _xlpm.s, UPPER(B5),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KKYFKDIVAKGKIPHIILHSP</v>
      </c>
      <c r="D5" s="4">
        <v>105</v>
      </c>
      <c r="E5" s="1">
        <v>0</v>
      </c>
      <c r="F5" s="1">
        <v>0</v>
      </c>
      <c r="G5" s="1">
        <v>5</v>
      </c>
      <c r="I5" t="e">
        <f t="shared" si="0"/>
        <v>#NUM!</v>
      </c>
      <c r="J5" t="e">
        <f t="shared" si="1"/>
        <v>#NUM!</v>
      </c>
      <c r="K5">
        <f t="shared" si="2"/>
        <v>-0.37329079964876399</v>
      </c>
      <c r="M5" t="e">
        <f t="shared" si="3"/>
        <v>#NUM!</v>
      </c>
      <c r="P5" s="15" t="s">
        <v>1686</v>
      </c>
    </row>
    <row r="6" spans="1:16">
      <c r="A6" s="2" t="s">
        <v>53</v>
      </c>
      <c r="B6" s="6" t="s">
        <v>616</v>
      </c>
      <c r="C6" s="7" t="str" cm="1">
        <f t="array" ref="C6">_xlfn.LET(
  _xlpm.s, UPPER(B6),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KKFFKNIVKSGKIPHIILHSP</v>
      </c>
      <c r="D6" s="4">
        <v>29</v>
      </c>
      <c r="E6" s="1">
        <v>0</v>
      </c>
      <c r="F6" s="1">
        <v>1</v>
      </c>
      <c r="G6" s="1">
        <v>4</v>
      </c>
      <c r="I6" t="e">
        <f t="shared" si="0"/>
        <v>#NUM!</v>
      </c>
      <c r="J6">
        <f t="shared" si="1"/>
        <v>-0.92292314702052314</v>
      </c>
      <c r="K6">
        <f t="shared" si="2"/>
        <v>8.8590488514161625E-2</v>
      </c>
      <c r="M6" t="e">
        <f t="shared" si="3"/>
        <v>#NUM!</v>
      </c>
      <c r="P6" s="15" t="s">
        <v>1686</v>
      </c>
    </row>
    <row r="7" spans="1:16">
      <c r="A7" s="2" t="s">
        <v>54</v>
      </c>
      <c r="B7" s="6" t="s">
        <v>617</v>
      </c>
      <c r="C7" s="7" t="str" cm="1">
        <f t="array" ref="C7">_xlfn.LET(
  _xlpm.s, UPPER(B7),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KKFFKEIVKKGKIPHIILHSP</v>
      </c>
      <c r="D7" s="4">
        <v>44</v>
      </c>
      <c r="E7" s="1">
        <v>1</v>
      </c>
      <c r="F7" s="1">
        <v>0</v>
      </c>
      <c r="G7" s="1">
        <v>4</v>
      </c>
      <c r="I7">
        <f t="shared" si="0"/>
        <v>-0.65139951196561796</v>
      </c>
      <c r="J7" t="e">
        <f t="shared" si="1"/>
        <v>#NUM!</v>
      </c>
      <c r="K7">
        <f t="shared" si="2"/>
        <v>-9.2464190073069608E-2</v>
      </c>
      <c r="M7" t="e">
        <f t="shared" si="3"/>
        <v>#NUM!</v>
      </c>
      <c r="P7" s="15" t="s">
        <v>1686</v>
      </c>
    </row>
    <row r="8" spans="1:16">
      <c r="A8" s="2" t="s">
        <v>55</v>
      </c>
      <c r="B8" s="6" t="s">
        <v>618</v>
      </c>
      <c r="C8" s="7" t="str" cm="1">
        <f t="array" ref="C8">_xlfn.LET(
  _xlpm.s, UPPER(B8),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KKFFKEIVKSGKIPHIILHSP</v>
      </c>
      <c r="D8" s="4">
        <v>60</v>
      </c>
      <c r="E8" s="1">
        <v>2</v>
      </c>
      <c r="F8" s="1">
        <v>1</v>
      </c>
      <c r="G8" s="1">
        <v>0</v>
      </c>
      <c r="I8">
        <f t="shared" si="0"/>
        <v>-0.48506809019909292</v>
      </c>
      <c r="J8">
        <f t="shared" si="1"/>
        <v>-1.2386763995052106</v>
      </c>
      <c r="K8" t="e">
        <f t="shared" si="2"/>
        <v>#NUM!</v>
      </c>
      <c r="M8" t="e">
        <f t="shared" si="3"/>
        <v>#NUM!</v>
      </c>
      <c r="P8" s="15" t="s">
        <v>1686</v>
      </c>
    </row>
    <row r="9" spans="1:16">
      <c r="A9" s="2" t="s">
        <v>56</v>
      </c>
      <c r="B9" s="6" t="s">
        <v>619</v>
      </c>
      <c r="C9" s="7" t="str" cm="1">
        <f t="array" ref="C9">_xlfn.LET(
  _xlpm.s, UPPER(B9),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KKFFKEIVAKGKIPHIILHSP</v>
      </c>
      <c r="D9" s="4">
        <v>72</v>
      </c>
      <c r="E9" s="1">
        <v>3</v>
      </c>
      <c r="F9" s="1">
        <v>0</v>
      </c>
      <c r="G9" s="1">
        <v>0</v>
      </c>
      <c r="I9">
        <f t="shared" si="0"/>
        <v>-0.38815807719103668</v>
      </c>
      <c r="J9" t="e">
        <f t="shared" si="1"/>
        <v>#NUM!</v>
      </c>
      <c r="K9" t="e">
        <f t="shared" si="2"/>
        <v>#NUM!</v>
      </c>
      <c r="M9" t="e">
        <f t="shared" si="3"/>
        <v>#NUM!</v>
      </c>
      <c r="P9" s="15" t="s">
        <v>1686</v>
      </c>
    </row>
    <row r="10" spans="1:16">
      <c r="A10" s="2" t="s">
        <v>57</v>
      </c>
      <c r="B10" s="6" t="s">
        <v>620</v>
      </c>
      <c r="C10" s="7" t="str" cm="1">
        <f t="array" ref="C10">_xlfn.LET(
  _xlpm.s, UPPER(B10),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KKFFKDIVKKGKIPHIILHSP</v>
      </c>
      <c r="D10" s="4">
        <v>44</v>
      </c>
      <c r="E10" s="1">
        <v>3</v>
      </c>
      <c r="F10" s="1">
        <v>0</v>
      </c>
      <c r="G10" s="1">
        <v>3</v>
      </c>
      <c r="I10">
        <f t="shared" si="0"/>
        <v>-0.17427825724595558</v>
      </c>
      <c r="J10" t="e">
        <f t="shared" si="1"/>
        <v>#NUM!</v>
      </c>
      <c r="K10">
        <f t="shared" si="2"/>
        <v>-0.21740292668136973</v>
      </c>
      <c r="M10" t="e">
        <f t="shared" si="3"/>
        <v>#NUM!</v>
      </c>
      <c r="P10" s="15" t="s">
        <v>1686</v>
      </c>
    </row>
    <row r="11" spans="1:16">
      <c r="A11" s="2" t="s">
        <v>58</v>
      </c>
      <c r="B11" s="6" t="s">
        <v>621</v>
      </c>
      <c r="C11" s="7" t="str" cm="1">
        <f t="array" ref="C11">_xlfn.LET(
  _xlpm.s, UPPER(B11),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KKFFKDIVKRGKIPHIILHSP</v>
      </c>
      <c r="D11" s="4">
        <v>76</v>
      </c>
      <c r="E11" s="1">
        <v>43</v>
      </c>
      <c r="F11" s="1">
        <v>0</v>
      </c>
      <c r="G11" s="1">
        <v>1</v>
      </c>
      <c r="I11">
        <f t="shared" si="0"/>
        <v>0.74470802781936463</v>
      </c>
      <c r="J11" t="e">
        <f t="shared" si="1"/>
        <v>#NUM!</v>
      </c>
      <c r="K11">
        <f t="shared" si="2"/>
        <v>-0.93188509719563606</v>
      </c>
      <c r="M11" t="e">
        <f t="shared" si="3"/>
        <v>#NUM!</v>
      </c>
      <c r="P11" s="15" t="s">
        <v>1686</v>
      </c>
    </row>
    <row r="12" spans="1:16">
      <c r="A12" s="2" t="s">
        <v>60</v>
      </c>
      <c r="B12" s="6" t="s">
        <v>623</v>
      </c>
      <c r="C12" s="7" t="str" cm="1">
        <f t="array" ref="C12">_xlfn.LET(
  _xlpm.s, UPPER(B12),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KKFFKDIVAKGKIPHIILHSP</v>
      </c>
      <c r="D12" s="4">
        <v>82</v>
      </c>
      <c r="E12" s="1">
        <v>0</v>
      </c>
      <c r="F12" s="1">
        <v>6</v>
      </c>
      <c r="G12" s="1">
        <v>0</v>
      </c>
      <c r="I12" t="e">
        <f t="shared" si="0"/>
        <v>#NUM!</v>
      </c>
      <c r="J12">
        <f t="shared" si="1"/>
        <v>-0.59618775112164013</v>
      </c>
      <c r="K12" t="e">
        <f t="shared" si="2"/>
        <v>#NUM!</v>
      </c>
      <c r="M12" t="e">
        <f t="shared" si="3"/>
        <v>#NUM!</v>
      </c>
      <c r="P12" s="15" t="s">
        <v>1686</v>
      </c>
    </row>
    <row r="13" spans="1:16">
      <c r="A13" s="2" t="s">
        <v>61</v>
      </c>
      <c r="B13" s="6" t="s">
        <v>624</v>
      </c>
      <c r="C13" s="7" t="str" cm="1">
        <f t="array" ref="C13">_xlfn.LET(
  _xlpm.s, UPPER(B13),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KKFFKDIVARGKIPHIILHSP</v>
      </c>
      <c r="D13" s="4">
        <v>114</v>
      </c>
      <c r="E13" s="1">
        <v>2</v>
      </c>
      <c r="F13" s="1">
        <v>0</v>
      </c>
      <c r="G13" s="1">
        <v>3</v>
      </c>
      <c r="I13">
        <f t="shared" si="0"/>
        <v>-0.763821691151922</v>
      </c>
      <c r="J13" t="e">
        <f t="shared" si="1"/>
        <v>#NUM!</v>
      </c>
      <c r="K13">
        <f t="shared" si="2"/>
        <v>-0.6308551015316548</v>
      </c>
      <c r="M13" t="e">
        <f t="shared" si="3"/>
        <v>#NUM!</v>
      </c>
      <c r="P13" s="15" t="s">
        <v>1686</v>
      </c>
    </row>
    <row r="14" spans="1:16">
      <c r="A14" s="2" t="s">
        <v>62</v>
      </c>
      <c r="B14" s="6" t="s">
        <v>625</v>
      </c>
      <c r="C14" s="7" t="str" cm="1">
        <f t="array" ref="C14">_xlfn.LET(
  _xlpm.s, UPPER(B14),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KKFFKSIVEKGKIPHIILHSP</v>
      </c>
      <c r="D14" s="4">
        <v>91</v>
      </c>
      <c r="E14" s="1">
        <v>0</v>
      </c>
      <c r="F14" s="1">
        <v>1</v>
      </c>
      <c r="G14" s="1">
        <v>5</v>
      </c>
      <c r="I14" t="e">
        <f t="shared" si="0"/>
        <v>#NUM!</v>
      </c>
      <c r="J14">
        <f t="shared" si="1"/>
        <v>-1.4195665414426606</v>
      </c>
      <c r="K14">
        <f t="shared" si="2"/>
        <v>-0.31114289289991959</v>
      </c>
      <c r="M14" t="e">
        <f t="shared" si="3"/>
        <v>#NUM!</v>
      </c>
      <c r="P14" s="15" t="s">
        <v>1686</v>
      </c>
    </row>
    <row r="15" spans="1:16">
      <c r="A15" s="2" t="s">
        <v>66</v>
      </c>
      <c r="B15" s="6" t="s">
        <v>629</v>
      </c>
      <c r="C15" s="7" t="str" cm="1">
        <f t="array" ref="C15">_xlfn.LET(
  _xlpm.s, UPPER(B15),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KKFFEEIVAKGKIPHIILHSP</v>
      </c>
      <c r="D15" s="4">
        <v>119</v>
      </c>
      <c r="E15" s="1">
        <v>1</v>
      </c>
      <c r="F15" s="1">
        <v>0</v>
      </c>
      <c r="G15" s="1">
        <v>4</v>
      </c>
      <c r="I15">
        <f t="shared" si="0"/>
        <v>-1.0834937968719611</v>
      </c>
      <c r="J15" t="e">
        <f t="shared" si="1"/>
        <v>#NUM!</v>
      </c>
      <c r="K15">
        <f t="shared" si="2"/>
        <v>-0.52455847497941299</v>
      </c>
      <c r="M15" t="e">
        <f t="shared" si="3"/>
        <v>#NUM!</v>
      </c>
      <c r="P15" s="15" t="s">
        <v>1686</v>
      </c>
    </row>
    <row r="16" spans="1:16">
      <c r="A16" s="2" t="s">
        <v>67</v>
      </c>
      <c r="B16" s="6" t="s">
        <v>630</v>
      </c>
      <c r="C16" s="7" t="str" cm="1">
        <f t="array" ref="C16">_xlfn.LET(
  _xlpm.s, UPPER(B16),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KKFFEDIVAKGKIPHIILHSP</v>
      </c>
      <c r="D16" s="4">
        <v>150</v>
      </c>
      <c r="E16" s="1">
        <v>0</v>
      </c>
      <c r="F16" s="1">
        <v>1</v>
      </c>
      <c r="G16" s="1">
        <v>0</v>
      </c>
      <c r="I16" t="e">
        <f t="shared" si="0"/>
        <v>#NUM!</v>
      </c>
      <c r="J16">
        <f t="shared" si="1"/>
        <v>-1.6366164081772485</v>
      </c>
      <c r="K16" t="e">
        <f t="shared" si="2"/>
        <v>#NUM!</v>
      </c>
      <c r="M16" t="e">
        <f t="shared" si="3"/>
        <v>#NUM!</v>
      </c>
      <c r="P16" s="15" t="s">
        <v>1686</v>
      </c>
    </row>
    <row r="17" spans="1:16">
      <c r="A17" s="2" t="s">
        <v>94</v>
      </c>
      <c r="B17" s="6" t="s">
        <v>657</v>
      </c>
      <c r="C17" s="7" t="str" cm="1">
        <f t="array" ref="C17">_xlfn.LET(
  _xlpm.s, UPPER(B17),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KQYFKDIVAKGKIPHIILHSP</v>
      </c>
      <c r="D17" s="4">
        <v>209</v>
      </c>
      <c r="E17" s="1">
        <v>0</v>
      </c>
      <c r="F17" s="1">
        <v>2</v>
      </c>
      <c r="G17" s="1">
        <v>0</v>
      </c>
      <c r="I17" t="e">
        <f t="shared" si="0"/>
        <v>#NUM!</v>
      </c>
      <c r="J17">
        <f t="shared" si="1"/>
        <v>-1.4796414395686401</v>
      </c>
      <c r="K17" t="e">
        <f t="shared" si="2"/>
        <v>#NUM!</v>
      </c>
      <c r="M17" t="e">
        <f t="shared" si="3"/>
        <v>#NUM!</v>
      </c>
      <c r="P17" s="15" t="s">
        <v>1686</v>
      </c>
    </row>
    <row r="18" spans="1:16">
      <c r="A18" s="2" t="s">
        <v>95</v>
      </c>
      <c r="B18" s="6" t="s">
        <v>658</v>
      </c>
      <c r="C18" s="7" t="str" cm="1">
        <f t="array" ref="C18">_xlfn.LET(
  _xlpm.s, UPPER(B18),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KQYFKAIVDKGKIPHIILHSP</v>
      </c>
      <c r="D18" s="4">
        <v>276</v>
      </c>
      <c r="E18" s="1">
        <v>0</v>
      </c>
      <c r="F18" s="1">
        <v>0</v>
      </c>
      <c r="G18" s="1">
        <v>1</v>
      </c>
      <c r="I18" t="e">
        <f t="shared" si="0"/>
        <v>#NUM!</v>
      </c>
      <c r="J18" t="e">
        <f t="shared" si="1"/>
        <v>#NUM!</v>
      </c>
      <c r="K18">
        <f t="shared" si="2"/>
        <v>-1.4919805869800624</v>
      </c>
      <c r="M18" t="e">
        <f t="shared" si="3"/>
        <v>#NUM!</v>
      </c>
      <c r="P18" s="15" t="s">
        <v>1686</v>
      </c>
    </row>
    <row r="19" spans="1:16">
      <c r="A19" s="2" t="s">
        <v>96</v>
      </c>
      <c r="B19" s="6" t="s">
        <v>659</v>
      </c>
      <c r="C19" s="7" t="str" cm="1">
        <f t="array" ref="C19">_xlfn.LET(
  _xlpm.s, UPPER(B19),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KQYFLDIVKKGKIPHIILHSP</v>
      </c>
      <c r="D19" s="4">
        <v>153</v>
      </c>
      <c r="E19" s="1">
        <v>9</v>
      </c>
      <c r="F19" s="1">
        <v>0</v>
      </c>
      <c r="G19" s="1">
        <v>4</v>
      </c>
      <c r="I19">
        <f t="shared" si="0"/>
        <v>-0.23839575685770442</v>
      </c>
      <c r="J19" t="e">
        <f t="shared" si="1"/>
        <v>#NUM!</v>
      </c>
      <c r="K19">
        <f t="shared" si="2"/>
        <v>-0.63370294440448105</v>
      </c>
      <c r="M19" t="e">
        <f t="shared" si="3"/>
        <v>#NUM!</v>
      </c>
      <c r="P19" s="15" t="s">
        <v>1686</v>
      </c>
    </row>
    <row r="20" spans="1:16">
      <c r="A20" s="2" t="s">
        <v>98</v>
      </c>
      <c r="B20" s="6" t="s">
        <v>661</v>
      </c>
      <c r="C20" s="7" t="str" cm="1">
        <f t="array" ref="C20">_xlfn.LET(
  _xlpm.s, UPPER(B20),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KQFFKDIVKRGKIPHIILHSP</v>
      </c>
      <c r="D20" s="4">
        <v>238</v>
      </c>
      <c r="E20" s="1">
        <v>0</v>
      </c>
      <c r="F20" s="1">
        <v>3</v>
      </c>
      <c r="G20" s="1">
        <v>0</v>
      </c>
      <c r="I20" t="e">
        <f t="shared" si="0"/>
        <v>#NUM!</v>
      </c>
      <c r="J20">
        <f t="shared" si="1"/>
        <v>-1.3599808514584164</v>
      </c>
      <c r="K20" t="e">
        <f t="shared" si="2"/>
        <v>#NUM!</v>
      </c>
      <c r="M20" t="e">
        <f t="shared" si="3"/>
        <v>#NUM!</v>
      </c>
      <c r="P20" s="15" t="s">
        <v>1686</v>
      </c>
    </row>
    <row r="21" spans="1:16">
      <c r="A21" s="2" t="s">
        <v>103</v>
      </c>
      <c r="B21" s="6" t="s">
        <v>666</v>
      </c>
      <c r="C21" s="7" t="str" cm="1">
        <f t="array" ref="C21">_xlfn.LET(
  _xlpm.s, UPPER(B21),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KQFFKDIVARGKIPHIILHSP</v>
      </c>
      <c r="D21" s="4">
        <v>277</v>
      </c>
      <c r="E21" s="1">
        <v>0</v>
      </c>
      <c r="F21" s="1">
        <v>3</v>
      </c>
      <c r="G21" s="1">
        <v>1</v>
      </c>
      <c r="I21" t="e">
        <f t="shared" si="0"/>
        <v>#NUM!</v>
      </c>
      <c r="J21">
        <f t="shared" si="1"/>
        <v>-1.4258836634663532</v>
      </c>
      <c r="K21">
        <f t="shared" si="2"/>
        <v>-1.4935512739792933</v>
      </c>
      <c r="M21" t="e">
        <f t="shared" si="3"/>
        <v>#NUM!</v>
      </c>
      <c r="P21" s="15" t="s">
        <v>1686</v>
      </c>
    </row>
    <row r="22" spans="1:16">
      <c r="A22" s="2" t="s">
        <v>235</v>
      </c>
      <c r="B22" s="6" t="s">
        <v>798</v>
      </c>
      <c r="C22" s="7" t="str" cm="1">
        <f t="array" ref="C22">_xlfn.LET(
  _xlpm.s, UPPER(B22),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KEEMKKIANSGKIPHIILHSP</v>
      </c>
      <c r="D22" s="4">
        <v>268</v>
      </c>
      <c r="E22" s="1">
        <v>11</v>
      </c>
      <c r="F22" s="1">
        <v>0</v>
      </c>
      <c r="G22" s="1">
        <v>11</v>
      </c>
      <c r="I22">
        <f t="shared" si="0"/>
        <v>-0.39468894434999435</v>
      </c>
      <c r="J22" t="e">
        <f t="shared" si="1"/>
        <v>#NUM!</v>
      </c>
      <c r="K22">
        <f t="shared" si="2"/>
        <v>-0.43781361378540851</v>
      </c>
      <c r="M22" t="e">
        <f t="shared" si="3"/>
        <v>#NUM!</v>
      </c>
      <c r="P22" s="16" t="s">
        <v>1685</v>
      </c>
    </row>
    <row r="23" spans="1:16">
      <c r="A23" s="2" t="s">
        <v>252</v>
      </c>
      <c r="B23" s="6" t="s">
        <v>815</v>
      </c>
      <c r="C23" s="7" t="str" cm="1">
        <f t="array" ref="C23">_xlfn.LET(
  _xlpm.s, UPPER(B23),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KEYFKNIVKKGKIPHIILHSP</v>
      </c>
      <c r="D23" s="4">
        <v>26</v>
      </c>
      <c r="E23" s="1">
        <v>0</v>
      </c>
      <c r="F23" s="1">
        <v>0</v>
      </c>
      <c r="G23" s="1">
        <v>0</v>
      </c>
      <c r="I23" t="e">
        <f t="shared" si="0"/>
        <v>#NUM!</v>
      </c>
      <c r="J23" t="e">
        <f t="shared" si="1"/>
        <v>#NUM!</v>
      </c>
      <c r="K23" t="e">
        <f t="shared" si="2"/>
        <v>#NUM!</v>
      </c>
      <c r="M23" t="e">
        <f t="shared" si="3"/>
        <v>#NUM!</v>
      </c>
      <c r="P23" s="15" t="s">
        <v>1686</v>
      </c>
    </row>
    <row r="24" spans="1:16">
      <c r="A24" s="2" t="s">
        <v>253</v>
      </c>
      <c r="B24" s="6" t="s">
        <v>816</v>
      </c>
      <c r="C24" s="7" t="str" cm="1">
        <f t="array" ref="C24">_xlfn.LET(
  _xlpm.s, UPPER(B24),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KEYFKNIVKRGKIPHIILHSP</v>
      </c>
      <c r="D24" s="4">
        <v>92</v>
      </c>
      <c r="E24" s="1">
        <v>0</v>
      </c>
      <c r="F24" s="1">
        <v>0</v>
      </c>
      <c r="G24" s="1">
        <v>0</v>
      </c>
      <c r="I24" t="e">
        <f t="shared" si="0"/>
        <v>#NUM!</v>
      </c>
      <c r="J24" t="e">
        <f t="shared" si="1"/>
        <v>#NUM!</v>
      </c>
      <c r="K24" t="e">
        <f t="shared" si="2"/>
        <v>#NUM!</v>
      </c>
      <c r="M24" t="e">
        <f t="shared" si="3"/>
        <v>#NUM!</v>
      </c>
      <c r="P24" s="15" t="s">
        <v>1686</v>
      </c>
    </row>
    <row r="25" spans="1:16">
      <c r="A25" s="2" t="s">
        <v>255</v>
      </c>
      <c r="B25" s="6" t="s">
        <v>818</v>
      </c>
      <c r="C25" s="7" t="str" cm="1">
        <f t="array" ref="C25">_xlfn.LET(
  _xlpm.s, UPPER(B25),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KEYFKNIVAKGKIPHIILHSP</v>
      </c>
      <c r="D25" s="4">
        <v>115</v>
      </c>
      <c r="E25" s="1">
        <v>0</v>
      </c>
      <c r="F25" s="1">
        <v>0</v>
      </c>
      <c r="G25" s="1">
        <v>1</v>
      </c>
      <c r="I25" t="e">
        <f t="shared" si="0"/>
        <v>#NUM!</v>
      </c>
      <c r="J25" t="e">
        <f t="shared" si="1"/>
        <v>#NUM!</v>
      </c>
      <c r="K25">
        <f t="shared" si="2"/>
        <v>-1.1117693452684565</v>
      </c>
      <c r="M25" t="e">
        <f t="shared" si="3"/>
        <v>#NUM!</v>
      </c>
      <c r="P25" s="15" t="s">
        <v>1686</v>
      </c>
    </row>
    <row r="26" spans="1:16">
      <c r="A26" s="2" t="s">
        <v>256</v>
      </c>
      <c r="B26" s="6" t="s">
        <v>819</v>
      </c>
      <c r="C26" s="7" t="str" cm="1">
        <f t="array" ref="C26">_xlfn.LET(
  _xlpm.s, UPPER(B26),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KEYFKNIVARGKIPHIILHSP</v>
      </c>
      <c r="D26" s="4">
        <v>178</v>
      </c>
      <c r="E26" s="1">
        <v>0</v>
      </c>
      <c r="F26" s="1">
        <v>0</v>
      </c>
      <c r="G26" s="1">
        <v>0</v>
      </c>
      <c r="I26" t="e">
        <f t="shared" si="0"/>
        <v>#NUM!</v>
      </c>
      <c r="J26" t="e">
        <f t="shared" si="1"/>
        <v>#NUM!</v>
      </c>
      <c r="K26" t="e">
        <f t="shared" si="2"/>
        <v>#NUM!</v>
      </c>
      <c r="M26" t="e">
        <f t="shared" si="3"/>
        <v>#NUM!</v>
      </c>
      <c r="P26" s="15" t="s">
        <v>1686</v>
      </c>
    </row>
    <row r="27" spans="1:16">
      <c r="A27" s="2" t="s">
        <v>258</v>
      </c>
      <c r="B27" s="6" t="s">
        <v>821</v>
      </c>
      <c r="C27" s="7" t="str" cm="1">
        <f t="array" ref="C27">_xlfn.LET(
  _xlpm.s, UPPER(B27),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KEYFKQIVAKGKIPHIILHSP</v>
      </c>
      <c r="D27" s="4">
        <v>244</v>
      </c>
      <c r="E27" s="1">
        <v>1</v>
      </c>
      <c r="F27" s="1">
        <v>0</v>
      </c>
      <c r="G27" s="1">
        <v>0</v>
      </c>
      <c r="I27">
        <f t="shared" si="0"/>
        <v>-1.3953366618181597</v>
      </c>
      <c r="J27" t="e">
        <f t="shared" si="1"/>
        <v>#NUM!</v>
      </c>
      <c r="K27" t="e">
        <f t="shared" si="2"/>
        <v>#NUM!</v>
      </c>
      <c r="M27" t="e">
        <f t="shared" si="3"/>
        <v>#NUM!</v>
      </c>
      <c r="P27" s="15" t="s">
        <v>1686</v>
      </c>
    </row>
    <row r="28" spans="1:16">
      <c r="A28" s="2" t="s">
        <v>259</v>
      </c>
      <c r="B28" s="6" t="s">
        <v>822</v>
      </c>
      <c r="C28" s="7" t="str" cm="1">
        <f t="array" ref="C28">_xlfn.LET(
  _xlpm.s, UPPER(B28),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KEYFKEIVKRGKIPHIILHSP</v>
      </c>
      <c r="D28" s="4">
        <v>133</v>
      </c>
      <c r="E28" s="1">
        <v>0</v>
      </c>
      <c r="F28" s="1">
        <v>2</v>
      </c>
      <c r="G28" s="1">
        <v>8</v>
      </c>
      <c r="I28" t="e">
        <f t="shared" si="0"/>
        <v>#NUM!</v>
      </c>
      <c r="J28">
        <f t="shared" si="1"/>
        <v>-1.2833467944246717</v>
      </c>
      <c r="K28">
        <f t="shared" si="2"/>
        <v>-0.27183315888998694</v>
      </c>
      <c r="M28" t="e">
        <f t="shared" si="3"/>
        <v>#NUM!</v>
      </c>
      <c r="P28" s="15" t="s">
        <v>1686</v>
      </c>
    </row>
    <row r="29" spans="1:16">
      <c r="A29" s="2" t="s">
        <v>262</v>
      </c>
      <c r="B29" s="6" t="s">
        <v>825</v>
      </c>
      <c r="C29" s="7" t="str" cm="1">
        <f t="array" ref="C29">_xlfn.LET(
  _xlpm.s, UPPER(B29),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KEYFKDIVARGKIPHIILHSP</v>
      </c>
      <c r="D29" s="4">
        <v>214</v>
      </c>
      <c r="E29" s="1">
        <v>0</v>
      </c>
      <c r="F29" s="1">
        <v>0</v>
      </c>
      <c r="G29" s="1">
        <v>12</v>
      </c>
      <c r="I29" t="e">
        <f t="shared" si="0"/>
        <v>#NUM!</v>
      </c>
      <c r="J29" t="e">
        <f t="shared" si="1"/>
        <v>#NUM!</v>
      </c>
      <c r="K29">
        <f t="shared" si="2"/>
        <v>-0.30230403221641078</v>
      </c>
      <c r="M29" t="e">
        <f t="shared" si="3"/>
        <v>#NUM!</v>
      </c>
      <c r="P29" s="15" t="s">
        <v>1686</v>
      </c>
    </row>
    <row r="30" spans="1:16">
      <c r="A30" s="2" t="s">
        <v>263</v>
      </c>
      <c r="B30" s="6" t="s">
        <v>826</v>
      </c>
      <c r="C30" s="7" t="str" cm="1">
        <f t="array" ref="C30">_xlfn.LET(
  _xlpm.s, UPPER(B30),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KEYFKAIVKKGKIPHIILHSP</v>
      </c>
      <c r="D30" s="4">
        <v>144</v>
      </c>
      <c r="E30" s="1">
        <v>1</v>
      </c>
      <c r="F30" s="1">
        <v>0</v>
      </c>
      <c r="G30" s="1">
        <v>0</v>
      </c>
      <c r="I30">
        <f t="shared" si="0"/>
        <v>-1.1663093275746803</v>
      </c>
      <c r="J30" t="e">
        <f t="shared" si="1"/>
        <v>#NUM!</v>
      </c>
      <c r="K30" t="e">
        <f t="shared" si="2"/>
        <v>#NUM!</v>
      </c>
      <c r="M30" t="e">
        <f t="shared" si="3"/>
        <v>#NUM!</v>
      </c>
      <c r="P30" s="15" t="s">
        <v>1686</v>
      </c>
    </row>
    <row r="31" spans="1:16">
      <c r="A31" s="2" t="s">
        <v>264</v>
      </c>
      <c r="B31" s="6" t="s">
        <v>827</v>
      </c>
      <c r="C31" s="7" t="str" cm="1">
        <f t="array" ref="C31">_xlfn.LET(
  _xlpm.s, UPPER(B31),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KEYFKAIVKRGKIPHIILHSP</v>
      </c>
      <c r="D31" s="4">
        <v>269</v>
      </c>
      <c r="E31" s="1">
        <v>0</v>
      </c>
      <c r="F31" s="1">
        <v>4</v>
      </c>
      <c r="G31" s="1">
        <v>2</v>
      </c>
      <c r="I31" t="e">
        <f t="shared" si="0"/>
        <v>#NUM!</v>
      </c>
      <c r="J31">
        <f t="shared" si="1"/>
        <v>-1.2882174377960127</v>
      </c>
      <c r="K31">
        <f t="shared" si="2"/>
        <v>-1.1797937892532715</v>
      </c>
      <c r="M31" t="e">
        <f t="shared" si="3"/>
        <v>#NUM!</v>
      </c>
      <c r="P31" s="15" t="s">
        <v>1686</v>
      </c>
    </row>
    <row r="32" spans="1:16">
      <c r="A32" s="2" t="s">
        <v>266</v>
      </c>
      <c r="B32" s="6" t="s">
        <v>829</v>
      </c>
      <c r="C32" s="7" t="str" cm="1">
        <f t="array" ref="C32">_xlfn.LET(
  _xlpm.s, UPPER(B32),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KEYFKAIVRKGKIPHIILHSP</v>
      </c>
      <c r="D32" s="4">
        <v>254</v>
      </c>
      <c r="E32" s="1">
        <v>2</v>
      </c>
      <c r="F32" s="1">
        <v>7</v>
      </c>
      <c r="G32" s="1">
        <v>0</v>
      </c>
      <c r="I32">
        <f t="shared" si="0"/>
        <v>-1.1117505564353873</v>
      </c>
      <c r="J32">
        <f t="shared" si="1"/>
        <v>-1.0202608257272483</v>
      </c>
      <c r="K32" t="e">
        <f t="shared" si="2"/>
        <v>#NUM!</v>
      </c>
      <c r="M32" t="e">
        <f t="shared" si="3"/>
        <v>#NUM!</v>
      </c>
      <c r="P32" s="15" t="s">
        <v>1686</v>
      </c>
    </row>
    <row r="33" spans="1:16">
      <c r="A33" s="2" t="s">
        <v>267</v>
      </c>
      <c r="B33" s="6" t="s">
        <v>830</v>
      </c>
      <c r="C33" s="7" t="str" cm="1">
        <f t="array" ref="C33">_xlfn.LET(
  _xlpm.s, UPPER(B33),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KEYFKAIVERGKIPHIILHSP</v>
      </c>
      <c r="D33" s="4">
        <v>359</v>
      </c>
      <c r="E33" s="1">
        <v>1</v>
      </c>
      <c r="F33" s="1">
        <v>0</v>
      </c>
      <c r="G33" s="1">
        <v>1</v>
      </c>
      <c r="I33">
        <f t="shared" ref="I33:I64" si="4">LOG(E33/D33)-LOG(182/1787)</f>
        <v>-1.5630412840577499</v>
      </c>
      <c r="J33" t="e">
        <f t="shared" ref="J33:J64" si="5">LOG(F33/D33)-LOG(516/1787)</f>
        <v>#NUM!</v>
      </c>
      <c r="K33">
        <f t="shared" ref="K33:K64" si="6">LOG(G33/D33)-LOG(201/1787)</f>
        <v>-1.606165953493164</v>
      </c>
      <c r="M33" t="e">
        <f t="shared" ref="M33:M64" si="7">AVERAGE(I33:K33)</f>
        <v>#NUM!</v>
      </c>
      <c r="P33" s="15" t="s">
        <v>1686</v>
      </c>
    </row>
    <row r="34" spans="1:16">
      <c r="A34" s="2" t="s">
        <v>268</v>
      </c>
      <c r="B34" s="6" t="s">
        <v>831</v>
      </c>
      <c r="C34" s="7" t="str" cm="1">
        <f t="array" ref="C34">_xlfn.LET(
  _xlpm.s, UPPER(B34),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KEYFKAIVAKGKIPHIILHSP</v>
      </c>
      <c r="D34" s="4">
        <v>285</v>
      </c>
      <c r="E34" s="1">
        <v>3</v>
      </c>
      <c r="F34" s="1">
        <v>0</v>
      </c>
      <c r="G34" s="1">
        <v>1</v>
      </c>
      <c r="I34">
        <f t="shared" si="4"/>
        <v>-0.98567044076827837</v>
      </c>
      <c r="J34" t="e">
        <f t="shared" si="5"/>
        <v>#NUM!</v>
      </c>
      <c r="K34">
        <f t="shared" si="6"/>
        <v>-1.5059163649233549</v>
      </c>
      <c r="M34" t="e">
        <f t="shared" si="7"/>
        <v>#NUM!</v>
      </c>
      <c r="P34" s="15" t="s">
        <v>1686</v>
      </c>
    </row>
    <row r="35" spans="1:16">
      <c r="A35" s="2" t="s">
        <v>271</v>
      </c>
      <c r="B35" s="6" t="s">
        <v>834</v>
      </c>
      <c r="C35" s="7" t="str" cm="1">
        <f t="array" ref="C35">_xlfn.LET(
  _xlpm.s, UPPER(B35),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KEYFKSIVKKGKIPHIILHSP</v>
      </c>
      <c r="D35" s="4">
        <v>79</v>
      </c>
      <c r="E35" s="1">
        <v>1</v>
      </c>
      <c r="F35" s="1">
        <v>0</v>
      </c>
      <c r="G35" s="1">
        <v>0</v>
      </c>
      <c r="I35">
        <f t="shared" si="4"/>
        <v>-0.90557392676987192</v>
      </c>
      <c r="J35" t="e">
        <f t="shared" si="5"/>
        <v>#NUM!</v>
      </c>
      <c r="K35" t="e">
        <f t="shared" si="6"/>
        <v>#NUM!</v>
      </c>
      <c r="M35" t="e">
        <f t="shared" si="7"/>
        <v>#NUM!</v>
      </c>
      <c r="P35" s="15" t="s">
        <v>1686</v>
      </c>
    </row>
    <row r="36" spans="1:16">
      <c r="A36" s="2" t="s">
        <v>272</v>
      </c>
      <c r="B36" s="6" t="s">
        <v>835</v>
      </c>
      <c r="C36" s="7" t="str" cm="1">
        <f t="array" ref="C36">_xlfn.LET(
  _xlpm.s, UPPER(B36),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KEYFKSIVKRGKIPHIILHSP</v>
      </c>
      <c r="D36" s="4">
        <v>202</v>
      </c>
      <c r="E36" s="1">
        <v>17</v>
      </c>
      <c r="F36" s="1">
        <v>31</v>
      </c>
      <c r="G36" s="1">
        <v>0</v>
      </c>
      <c r="I36">
        <f t="shared" si="4"/>
        <v>-8.2849283547780317E-2</v>
      </c>
      <c r="J36">
        <f t="shared" si="5"/>
        <v>-0.27451482473391819</v>
      </c>
      <c r="K36" t="e">
        <f t="shared" si="6"/>
        <v>#NUM!</v>
      </c>
      <c r="M36" t="e">
        <f t="shared" si="7"/>
        <v>#NUM!</v>
      </c>
      <c r="P36" s="15" t="s">
        <v>1686</v>
      </c>
    </row>
    <row r="37" spans="1:16">
      <c r="A37" s="2" t="s">
        <v>274</v>
      </c>
      <c r="B37" s="6" t="s">
        <v>837</v>
      </c>
      <c r="C37" s="7" t="str" cm="1">
        <f t="array" ref="C37">_xlfn.LET(
  _xlpm.s, UPPER(B37),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KEYFKSIVQRGKIPHIILHSP</v>
      </c>
      <c r="D37" s="4">
        <v>248</v>
      </c>
      <c r="E37" s="1">
        <v>0</v>
      </c>
      <c r="F37" s="1">
        <v>0</v>
      </c>
      <c r="G37" s="1">
        <v>5</v>
      </c>
      <c r="I37" t="e">
        <f t="shared" si="4"/>
        <v>#NUM!</v>
      </c>
      <c r="J37" t="e">
        <f t="shared" si="5"/>
        <v>#NUM!</v>
      </c>
      <c r="K37">
        <f t="shared" si="6"/>
        <v>-0.74655318140504212</v>
      </c>
      <c r="M37" t="e">
        <f t="shared" si="7"/>
        <v>#NUM!</v>
      </c>
      <c r="P37" s="15" t="s">
        <v>1686</v>
      </c>
    </row>
    <row r="38" spans="1:16">
      <c r="A38" s="2" t="s">
        <v>275</v>
      </c>
      <c r="B38" s="6" t="s">
        <v>838</v>
      </c>
      <c r="C38" s="7" t="str" cm="1">
        <f t="array" ref="C38">_xlfn.LET(
  _xlpm.s, UPPER(B38),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KEYFKSIVRKGKIPHIILHSP</v>
      </c>
      <c r="D38" s="4">
        <v>197</v>
      </c>
      <c r="E38" s="1">
        <v>0</v>
      </c>
      <c r="F38" s="1">
        <v>1</v>
      </c>
      <c r="G38" s="1">
        <v>0</v>
      </c>
      <c r="I38" t="e">
        <f t="shared" si="4"/>
        <v>#NUM!</v>
      </c>
      <c r="J38">
        <f t="shared" si="5"/>
        <v>-1.7549913752831601</v>
      </c>
      <c r="K38" t="e">
        <f t="shared" si="6"/>
        <v>#NUM!</v>
      </c>
      <c r="M38" t="e">
        <f t="shared" si="7"/>
        <v>#NUM!</v>
      </c>
      <c r="P38" s="15" t="s">
        <v>1686</v>
      </c>
    </row>
    <row r="39" spans="1:16">
      <c r="A39" s="2" t="s">
        <v>276</v>
      </c>
      <c r="B39" s="6" t="s">
        <v>839</v>
      </c>
      <c r="C39" s="7" t="str" cm="1">
        <f t="array" ref="C39">_xlfn.LET(
  _xlpm.s, UPPER(B39),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KEYFKSIVEKGKIPHIILHSP</v>
      </c>
      <c r="D39" s="4">
        <v>165</v>
      </c>
      <c r="E39" s="1">
        <v>0</v>
      </c>
      <c r="F39" s="1">
        <v>1</v>
      </c>
      <c r="G39" s="1">
        <v>3</v>
      </c>
      <c r="I39" t="e">
        <f t="shared" si="4"/>
        <v>#NUM!</v>
      </c>
      <c r="J39">
        <f t="shared" si="5"/>
        <v>-1.6780090933354734</v>
      </c>
      <c r="K39">
        <f t="shared" si="6"/>
        <v>-0.79143419440908858</v>
      </c>
      <c r="M39" t="e">
        <f t="shared" si="7"/>
        <v>#NUM!</v>
      </c>
      <c r="P39" s="15" t="s">
        <v>1686</v>
      </c>
    </row>
    <row r="40" spans="1:16">
      <c r="A40" s="2" t="s">
        <v>277</v>
      </c>
      <c r="B40" s="6" t="s">
        <v>840</v>
      </c>
      <c r="C40" s="7" t="str" cm="1">
        <f t="array" ref="C40">_xlfn.LET(
  _xlpm.s, UPPER(B40),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KEYFKSIVAKGKIPHIILHSP</v>
      </c>
      <c r="D40" s="4">
        <v>216</v>
      </c>
      <c r="E40" s="1">
        <v>0</v>
      </c>
      <c r="F40" s="1">
        <v>3</v>
      </c>
      <c r="G40" s="1">
        <v>0</v>
      </c>
      <c r="I40" t="e">
        <f t="shared" si="4"/>
        <v>#NUM!</v>
      </c>
      <c r="J40">
        <f t="shared" si="5"/>
        <v>-1.3178576455528357</v>
      </c>
      <c r="K40" t="e">
        <f t="shared" si="6"/>
        <v>#NUM!</v>
      </c>
      <c r="M40" t="e">
        <f t="shared" si="7"/>
        <v>#NUM!</v>
      </c>
      <c r="P40" s="15" t="s">
        <v>1686</v>
      </c>
    </row>
    <row r="41" spans="1:16">
      <c r="A41" s="2" t="s">
        <v>278</v>
      </c>
      <c r="B41" s="6" t="s">
        <v>841</v>
      </c>
      <c r="C41" s="7" t="str" cm="1">
        <f t="array" ref="C41">_xlfn.LET(
  _xlpm.s, UPPER(B41),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KEYFKSIVARGKIPHIILHSP</v>
      </c>
      <c r="D41" s="4">
        <v>301</v>
      </c>
      <c r="E41" s="1">
        <v>3</v>
      </c>
      <c r="F41" s="1">
        <v>0</v>
      </c>
      <c r="G41" s="1">
        <v>0</v>
      </c>
      <c r="I41">
        <f t="shared" si="4"/>
        <v>-1.0093920763536115</v>
      </c>
      <c r="J41" t="e">
        <f t="shared" si="5"/>
        <v>#NUM!</v>
      </c>
      <c r="K41" t="e">
        <f t="shared" si="6"/>
        <v>#NUM!</v>
      </c>
      <c r="M41" t="e">
        <f t="shared" si="7"/>
        <v>#NUM!</v>
      </c>
      <c r="P41" s="15" t="s">
        <v>1686</v>
      </c>
    </row>
    <row r="42" spans="1:16">
      <c r="A42" s="2" t="s">
        <v>280</v>
      </c>
      <c r="B42" s="6" t="s">
        <v>843</v>
      </c>
      <c r="C42" s="7" t="str" cm="1">
        <f t="array" ref="C42">_xlfn.LET(
  _xlpm.s, UPPER(B42),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KEYFQAIVKRGKIPHIILHSP</v>
      </c>
      <c r="D42" s="4">
        <v>389</v>
      </c>
      <c r="E42" s="1">
        <v>0</v>
      </c>
      <c r="F42" s="1">
        <v>6</v>
      </c>
      <c r="G42" s="1">
        <v>0</v>
      </c>
      <c r="I42" t="e">
        <f t="shared" si="4"/>
        <v>#NUM!</v>
      </c>
      <c r="J42">
        <f t="shared" si="5"/>
        <v>-1.272323500063631</v>
      </c>
      <c r="K42" t="e">
        <f t="shared" si="6"/>
        <v>#NUM!</v>
      </c>
      <c r="M42" t="e">
        <f t="shared" si="7"/>
        <v>#NUM!</v>
      </c>
      <c r="P42" s="15" t="s">
        <v>1686</v>
      </c>
    </row>
    <row r="43" spans="1:16">
      <c r="A43" s="2" t="s">
        <v>282</v>
      </c>
      <c r="B43" s="6" t="s">
        <v>845</v>
      </c>
      <c r="C43" s="7" t="str" cm="1">
        <f t="array" ref="C43">_xlfn.LET(
  _xlpm.s, UPPER(B43),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KEYFRNIVARGKIPHIILHSP</v>
      </c>
      <c r="D43" s="4">
        <v>577</v>
      </c>
      <c r="E43" s="1">
        <v>0</v>
      </c>
      <c r="F43" s="1">
        <v>37</v>
      </c>
      <c r="G43" s="1">
        <v>0</v>
      </c>
      <c r="I43" t="e">
        <f t="shared" si="4"/>
        <v>#NUM!</v>
      </c>
      <c r="J43">
        <f t="shared" si="5"/>
        <v>-0.65349923821030342</v>
      </c>
      <c r="K43" t="e">
        <f t="shared" si="6"/>
        <v>#NUM!</v>
      </c>
      <c r="M43" t="e">
        <f t="shared" si="7"/>
        <v>#NUM!</v>
      </c>
      <c r="P43" s="15" t="s">
        <v>1686</v>
      </c>
    </row>
    <row r="44" spans="1:16">
      <c r="A44" s="2" t="s">
        <v>283</v>
      </c>
      <c r="B44" s="6" t="s">
        <v>846</v>
      </c>
      <c r="C44" s="7" t="str" cm="1">
        <f t="array" ref="C44">_xlfn.LET(
  _xlpm.s, UPPER(B44),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KEYFRAIVKRGKIPHIILHSP</v>
      </c>
      <c r="D44" s="4">
        <v>410</v>
      </c>
      <c r="E44" s="1">
        <v>0</v>
      </c>
      <c r="F44" s="1">
        <v>0</v>
      </c>
      <c r="G44" s="1">
        <v>0</v>
      </c>
      <c r="I44" t="e">
        <f t="shared" si="4"/>
        <v>#NUM!</v>
      </c>
      <c r="J44" t="e">
        <f t="shared" si="5"/>
        <v>#NUM!</v>
      </c>
      <c r="K44" t="e">
        <f t="shared" si="6"/>
        <v>#NUM!</v>
      </c>
      <c r="M44" t="e">
        <f t="shared" si="7"/>
        <v>#NUM!</v>
      </c>
      <c r="P44" s="15" t="s">
        <v>1686</v>
      </c>
    </row>
    <row r="45" spans="1:16">
      <c r="A45" s="2" t="s">
        <v>284</v>
      </c>
      <c r="B45" s="6" t="s">
        <v>847</v>
      </c>
      <c r="C45" s="7" t="str" cm="1">
        <f t="array" ref="C45">_xlfn.LET(
  _xlpm.s, UPPER(B45),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KEYFRAIVAKGKIPHIILHSP</v>
      </c>
      <c r="D45" s="4">
        <v>382</v>
      </c>
      <c r="E45" s="1">
        <v>4</v>
      </c>
      <c r="F45" s="1">
        <v>0</v>
      </c>
      <c r="G45" s="1">
        <v>0</v>
      </c>
      <c r="I45">
        <f t="shared" si="4"/>
        <v>-0.98795020706317693</v>
      </c>
      <c r="J45" t="e">
        <f t="shared" si="5"/>
        <v>#NUM!</v>
      </c>
      <c r="K45" t="e">
        <f t="shared" si="6"/>
        <v>#NUM!</v>
      </c>
      <c r="M45" t="e">
        <f t="shared" si="7"/>
        <v>#NUM!</v>
      </c>
      <c r="P45" s="15" t="s">
        <v>1686</v>
      </c>
    </row>
    <row r="46" spans="1:16">
      <c r="A46" s="2" t="s">
        <v>285</v>
      </c>
      <c r="B46" s="6" t="s">
        <v>848</v>
      </c>
      <c r="C46" s="7" t="str" cm="1">
        <f t="array" ref="C46">_xlfn.LET(
  _xlpm.s, UPPER(B46),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KEYFRSIVARGKIPHIILHSP</v>
      </c>
      <c r="D46" s="4">
        <v>650</v>
      </c>
      <c r="E46" s="1">
        <v>1</v>
      </c>
      <c r="F46" s="1">
        <v>0</v>
      </c>
      <c r="G46" s="1">
        <v>0</v>
      </c>
      <c r="I46">
        <f t="shared" si="4"/>
        <v>-1.8208601921222862</v>
      </c>
      <c r="J46" t="e">
        <f t="shared" si="5"/>
        <v>#NUM!</v>
      </c>
      <c r="K46" t="e">
        <f t="shared" si="6"/>
        <v>#NUM!</v>
      </c>
      <c r="M46" t="e">
        <f t="shared" si="7"/>
        <v>#NUM!</v>
      </c>
      <c r="P46" s="15" t="s">
        <v>1686</v>
      </c>
    </row>
    <row r="47" spans="1:16">
      <c r="A47" s="2" t="s">
        <v>286</v>
      </c>
      <c r="B47" s="6" t="s">
        <v>849</v>
      </c>
      <c r="C47" s="7" t="str" cm="1">
        <f t="array" ref="C47">_xlfn.LET(
  _xlpm.s, UPPER(B47),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KEFFKNIVKKGKIPHIILHSP</v>
      </c>
      <c r="D47" s="4">
        <v>34</v>
      </c>
      <c r="E47" s="1">
        <v>0</v>
      </c>
      <c r="F47" s="1">
        <v>0</v>
      </c>
      <c r="G47" s="1">
        <v>0</v>
      </c>
      <c r="I47" t="e">
        <f t="shared" si="4"/>
        <v>#NUM!</v>
      </c>
      <c r="J47" t="e">
        <f t="shared" si="5"/>
        <v>#NUM!</v>
      </c>
      <c r="K47" t="e">
        <f t="shared" si="6"/>
        <v>#NUM!</v>
      </c>
      <c r="M47" t="e">
        <f t="shared" si="7"/>
        <v>#NUM!</v>
      </c>
      <c r="P47" s="15" t="s">
        <v>1686</v>
      </c>
    </row>
    <row r="48" spans="1:16">
      <c r="A48" s="2" t="s">
        <v>287</v>
      </c>
      <c r="B48" s="6" t="s">
        <v>850</v>
      </c>
      <c r="C48" s="7" t="str" cm="1">
        <f t="array" ref="C48">_xlfn.LET(
  _xlpm.s, UPPER(B48),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KEFFKNIVKRGKIPHIILHSP</v>
      </c>
      <c r="D48" s="4">
        <v>88</v>
      </c>
      <c r="E48" s="1">
        <v>0</v>
      </c>
      <c r="F48" s="1">
        <v>0</v>
      </c>
      <c r="G48" s="1">
        <v>2</v>
      </c>
      <c r="I48" t="e">
        <f t="shared" si="4"/>
        <v>#NUM!</v>
      </c>
      <c r="J48" t="e">
        <f t="shared" si="5"/>
        <v>#NUM!</v>
      </c>
      <c r="K48">
        <f t="shared" si="6"/>
        <v>-0.69452418140103211</v>
      </c>
      <c r="M48" t="e">
        <f t="shared" si="7"/>
        <v>#NUM!</v>
      </c>
      <c r="P48" s="15" t="s">
        <v>1686</v>
      </c>
    </row>
    <row r="49" spans="1:16">
      <c r="A49" s="2" t="s">
        <v>288</v>
      </c>
      <c r="B49" s="6" t="s">
        <v>851</v>
      </c>
      <c r="C49" s="7" t="str" cm="1">
        <f t="array" ref="C49">_xlfn.LET(
  _xlpm.s, UPPER(B49),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KEFFKNIVKAGKIPHIILHSP</v>
      </c>
      <c r="D49" s="4">
        <v>77</v>
      </c>
      <c r="E49" s="1">
        <v>3</v>
      </c>
      <c r="F49" s="1">
        <v>0</v>
      </c>
      <c r="G49" s="1">
        <v>21</v>
      </c>
      <c r="I49">
        <f t="shared" si="4"/>
        <v>-0.41731630593225</v>
      </c>
      <c r="J49" t="e">
        <f t="shared" si="5"/>
        <v>#NUM!</v>
      </c>
      <c r="K49">
        <f t="shared" si="6"/>
        <v>0.38465706464659266</v>
      </c>
      <c r="M49" t="e">
        <f t="shared" si="7"/>
        <v>#NUM!</v>
      </c>
      <c r="P49" s="15" t="s">
        <v>1686</v>
      </c>
    </row>
    <row r="50" spans="1:16">
      <c r="A50" s="2" t="s">
        <v>291</v>
      </c>
      <c r="B50" s="6" t="s">
        <v>854</v>
      </c>
      <c r="C50" s="7" t="str" cm="1">
        <f t="array" ref="C50">_xlfn.LET(
  _xlpm.s, UPPER(B50),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KEFFKNIVAKGKIPHIILHSP</v>
      </c>
      <c r="D50" s="4">
        <v>98</v>
      </c>
      <c r="E50" s="1">
        <v>0</v>
      </c>
      <c r="F50" s="1">
        <v>0</v>
      </c>
      <c r="G50" s="1">
        <v>0</v>
      </c>
      <c r="I50" t="e">
        <f t="shared" si="4"/>
        <v>#NUM!</v>
      </c>
      <c r="J50" t="e">
        <f t="shared" si="5"/>
        <v>#NUM!</v>
      </c>
      <c r="K50" t="e">
        <f t="shared" si="6"/>
        <v>#NUM!</v>
      </c>
      <c r="M50" t="e">
        <f t="shared" si="7"/>
        <v>#NUM!</v>
      </c>
      <c r="P50" s="15" t="s">
        <v>1686</v>
      </c>
    </row>
    <row r="51" spans="1:16">
      <c r="A51" s="2" t="s">
        <v>292</v>
      </c>
      <c r="B51" s="6" t="s">
        <v>855</v>
      </c>
      <c r="C51" s="7" t="str" cm="1">
        <f t="array" ref="C51">_xlfn.LET(
  _xlpm.s, UPPER(B51),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KEFFKNIVARGKIPHIILHSP</v>
      </c>
      <c r="D51" s="4">
        <v>155</v>
      </c>
      <c r="E51" s="1">
        <v>0</v>
      </c>
      <c r="F51" s="1">
        <v>0</v>
      </c>
      <c r="G51" s="1">
        <v>0</v>
      </c>
      <c r="I51" t="e">
        <f t="shared" si="4"/>
        <v>#NUM!</v>
      </c>
      <c r="J51" t="e">
        <f t="shared" si="5"/>
        <v>#NUM!</v>
      </c>
      <c r="K51" t="e">
        <f t="shared" si="6"/>
        <v>#NUM!</v>
      </c>
      <c r="M51" t="e">
        <f t="shared" si="7"/>
        <v>#NUM!</v>
      </c>
      <c r="P51" s="15" t="s">
        <v>1686</v>
      </c>
    </row>
    <row r="52" spans="1:16">
      <c r="A52" s="2" t="s">
        <v>295</v>
      </c>
      <c r="B52" s="6" t="s">
        <v>858</v>
      </c>
      <c r="C52" s="7" t="str" cm="1">
        <f t="array" ref="C52">_xlfn.LET(
  _xlpm.s, UPPER(B52),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KEFFKQIVKKGKIPHIILHSP</v>
      </c>
      <c r="D52" s="4">
        <v>95</v>
      </c>
      <c r="E52" s="1">
        <v>4</v>
      </c>
      <c r="F52" s="1">
        <v>0</v>
      </c>
      <c r="G52" s="1">
        <v>2</v>
      </c>
      <c r="I52">
        <f t="shared" si="4"/>
        <v>-0.38361044944031586</v>
      </c>
      <c r="J52" t="e">
        <f t="shared" si="5"/>
        <v>#NUM!</v>
      </c>
      <c r="K52">
        <f t="shared" si="6"/>
        <v>-0.72776511453971127</v>
      </c>
      <c r="M52" t="e">
        <f t="shared" si="7"/>
        <v>#NUM!</v>
      </c>
      <c r="P52" s="15" t="s">
        <v>1686</v>
      </c>
    </row>
    <row r="53" spans="1:16">
      <c r="A53" s="2" t="s">
        <v>296</v>
      </c>
      <c r="B53" s="6" t="s">
        <v>859</v>
      </c>
      <c r="C53" s="7" t="str" cm="1">
        <f t="array" ref="C53">_xlfn.LET(
  _xlpm.s, UPPER(B53),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KEFFKQIVARGKIPHIILHSP</v>
      </c>
      <c r="D53" s="4">
        <v>274</v>
      </c>
      <c r="E53" s="1">
        <v>1</v>
      </c>
      <c r="F53" s="1">
        <v>0</v>
      </c>
      <c r="G53" s="1">
        <v>19</v>
      </c>
      <c r="I53">
        <f t="shared" si="4"/>
        <v>-1.4456973982998185</v>
      </c>
      <c r="J53" t="e">
        <f t="shared" si="5"/>
        <v>#NUM!</v>
      </c>
      <c r="K53">
        <f t="shared" si="6"/>
        <v>-0.21006846678240376</v>
      </c>
      <c r="M53" t="e">
        <f t="shared" si="7"/>
        <v>#NUM!</v>
      </c>
      <c r="P53" s="15" t="s">
        <v>1686</v>
      </c>
    </row>
    <row r="54" spans="1:16">
      <c r="A54" s="2" t="s">
        <v>299</v>
      </c>
      <c r="B54" s="6" t="s">
        <v>862</v>
      </c>
      <c r="C54" s="7" t="str" cm="1">
        <f t="array" ref="C54">_xlfn.LET(
  _xlpm.s, UPPER(B54),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KEFFKEIVRRGKIPHIILHSP</v>
      </c>
      <c r="D54" s="4">
        <v>129</v>
      </c>
      <c r="E54" s="1">
        <v>0</v>
      </c>
      <c r="F54" s="1">
        <v>0</v>
      </c>
      <c r="G54" s="1">
        <v>0</v>
      </c>
      <c r="I54" t="e">
        <f t="shared" si="4"/>
        <v>#NUM!</v>
      </c>
      <c r="J54" t="e">
        <f t="shared" si="5"/>
        <v>#NUM!</v>
      </c>
      <c r="K54" t="e">
        <f t="shared" si="6"/>
        <v>#NUM!</v>
      </c>
      <c r="M54" t="e">
        <f t="shared" si="7"/>
        <v>#NUM!</v>
      </c>
      <c r="P54" s="15" t="s">
        <v>1686</v>
      </c>
    </row>
    <row r="55" spans="1:16">
      <c r="A55" s="2" t="s">
        <v>301</v>
      </c>
      <c r="B55" s="6" t="s">
        <v>864</v>
      </c>
      <c r="C55" s="7" t="str" cm="1">
        <f t="array" ref="C55">_xlfn.LET(
  _xlpm.s, UPPER(B55),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KEFFKEIVARGKIPHIILHSP</v>
      </c>
      <c r="D55" s="4">
        <v>187</v>
      </c>
      <c r="E55" s="1">
        <v>6</v>
      </c>
      <c r="F55" s="1">
        <v>0</v>
      </c>
      <c r="G55" s="1">
        <v>232</v>
      </c>
      <c r="I55">
        <f t="shared" si="4"/>
        <v>-0.50163719163228593</v>
      </c>
      <c r="J55" t="e">
        <f t="shared" si="5"/>
        <v>#NUM!</v>
      </c>
      <c r="K55">
        <f t="shared" si="6"/>
        <v>1.0425748734395561</v>
      </c>
      <c r="M55" t="e">
        <f t="shared" si="7"/>
        <v>#NUM!</v>
      </c>
      <c r="P55" s="15" t="s">
        <v>1686</v>
      </c>
    </row>
    <row r="56" spans="1:16">
      <c r="A56" s="2" t="s">
        <v>303</v>
      </c>
      <c r="B56" s="6" t="s">
        <v>866</v>
      </c>
      <c r="C56" s="7" t="str" cm="1">
        <f t="array" ref="C56">_xlfn.LET(
  _xlpm.s, UPPER(B56),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KEFFKDIVARGKIPHIILHSP</v>
      </c>
      <c r="D56" s="4">
        <v>251</v>
      </c>
      <c r="E56" s="1">
        <v>0</v>
      </c>
      <c r="F56" s="1">
        <v>0</v>
      </c>
      <c r="G56" s="1">
        <v>0</v>
      </c>
      <c r="I56" t="e">
        <f t="shared" si="4"/>
        <v>#NUM!</v>
      </c>
      <c r="J56" t="e">
        <f t="shared" si="5"/>
        <v>#NUM!</v>
      </c>
      <c r="K56" t="e">
        <f t="shared" si="6"/>
        <v>#NUM!</v>
      </c>
      <c r="M56" t="e">
        <f t="shared" si="7"/>
        <v>#NUM!</v>
      </c>
      <c r="P56" s="15" t="s">
        <v>1686</v>
      </c>
    </row>
    <row r="57" spans="1:16">
      <c r="A57" s="2" t="s">
        <v>304</v>
      </c>
      <c r="B57" s="6" t="s">
        <v>867</v>
      </c>
      <c r="C57" s="7" t="str" cm="1">
        <f t="array" ref="C57">_xlfn.LET(
  _xlpm.s, UPPER(B57),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KEFFKAIVKKGKIPHIILHSP</v>
      </c>
      <c r="D57" s="4">
        <v>136</v>
      </c>
      <c r="E57" s="1">
        <v>0</v>
      </c>
      <c r="F57" s="1">
        <v>8</v>
      </c>
      <c r="G57" s="1">
        <v>1</v>
      </c>
      <c r="I57" t="e">
        <f t="shared" si="4"/>
        <v>#NUM!</v>
      </c>
      <c r="J57">
        <f t="shared" si="5"/>
        <v>-0.69097407049984094</v>
      </c>
      <c r="K57">
        <f t="shared" si="6"/>
        <v>-1.1846104132850621</v>
      </c>
      <c r="M57" t="e">
        <f t="shared" si="7"/>
        <v>#NUM!</v>
      </c>
      <c r="P57" s="15" t="s">
        <v>1686</v>
      </c>
    </row>
    <row r="58" spans="1:16">
      <c r="A58" s="2" t="s">
        <v>305</v>
      </c>
      <c r="B58" s="6" t="s">
        <v>868</v>
      </c>
      <c r="C58" s="7" t="str" cm="1">
        <f t="array" ref="C58">_xlfn.LET(
  _xlpm.s, UPPER(B58),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KEFFKAIVKRGKIPHIILHSP</v>
      </c>
      <c r="D58" s="4">
        <v>266</v>
      </c>
      <c r="E58" s="1">
        <v>0</v>
      </c>
      <c r="F58" s="1">
        <v>0</v>
      </c>
      <c r="G58" s="1">
        <v>0</v>
      </c>
      <c r="I58" t="e">
        <f t="shared" si="4"/>
        <v>#NUM!</v>
      </c>
      <c r="J58" t="e">
        <f t="shared" si="5"/>
        <v>#NUM!</v>
      </c>
      <c r="K58" t="e">
        <f t="shared" si="6"/>
        <v>#NUM!</v>
      </c>
      <c r="M58" t="e">
        <f t="shared" si="7"/>
        <v>#NUM!</v>
      </c>
      <c r="P58" s="15" t="s">
        <v>1686</v>
      </c>
    </row>
    <row r="59" spans="1:16">
      <c r="A59" s="2" t="s">
        <v>307</v>
      </c>
      <c r="B59" s="6" t="s">
        <v>870</v>
      </c>
      <c r="C59" s="7" t="str" cm="1">
        <f t="array" ref="C59">_xlfn.LET(
  _xlpm.s, UPPER(B59),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KEFFKAIVQKGKIPHIILHSP</v>
      </c>
      <c r="D59" s="4">
        <v>159</v>
      </c>
      <c r="E59" s="1">
        <v>0</v>
      </c>
      <c r="F59" s="1">
        <v>0</v>
      </c>
      <c r="G59" s="1">
        <v>0</v>
      </c>
      <c r="I59" t="e">
        <f t="shared" si="4"/>
        <v>#NUM!</v>
      </c>
      <c r="J59" t="e">
        <f t="shared" si="5"/>
        <v>#NUM!</v>
      </c>
      <c r="K59" t="e">
        <f t="shared" si="6"/>
        <v>#NUM!</v>
      </c>
      <c r="M59" t="e">
        <f t="shared" si="7"/>
        <v>#NUM!</v>
      </c>
      <c r="P59" s="15" t="s">
        <v>1686</v>
      </c>
    </row>
    <row r="60" spans="1:16">
      <c r="A60" s="2" t="s">
        <v>308</v>
      </c>
      <c r="B60" s="6" t="s">
        <v>871</v>
      </c>
      <c r="C60" s="7" t="str" cm="1">
        <f t="array" ref="C60">_xlfn.LET(
  _xlpm.s, UPPER(B60),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KEFFKAIVQRGKIPHIILHSP</v>
      </c>
      <c r="D60" s="4">
        <v>226</v>
      </c>
      <c r="E60" s="1">
        <v>0</v>
      </c>
      <c r="F60" s="1">
        <v>2</v>
      </c>
      <c r="G60" s="1">
        <v>0</v>
      </c>
      <c r="I60" t="e">
        <f t="shared" si="4"/>
        <v>#NUM!</v>
      </c>
      <c r="J60">
        <f t="shared" si="5"/>
        <v>-1.5136035926049871</v>
      </c>
      <c r="K60" t="e">
        <f t="shared" si="6"/>
        <v>#NUM!</v>
      </c>
      <c r="M60" t="e">
        <f t="shared" si="7"/>
        <v>#NUM!</v>
      </c>
      <c r="P60" s="15" t="s">
        <v>1686</v>
      </c>
    </row>
    <row r="61" spans="1:16">
      <c r="A61" s="2" t="s">
        <v>309</v>
      </c>
      <c r="B61" s="6" t="s">
        <v>872</v>
      </c>
      <c r="C61" s="7" t="str" cm="1">
        <f t="array" ref="C61">_xlfn.LET(
  _xlpm.s, UPPER(B61),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KEFFKAIVERGKIPHIILHSP</v>
      </c>
      <c r="D61" s="4">
        <v>309</v>
      </c>
      <c r="E61" s="1">
        <v>134</v>
      </c>
      <c r="F61" s="1">
        <v>0</v>
      </c>
      <c r="G61" s="1">
        <v>11</v>
      </c>
      <c r="I61">
        <f t="shared" si="4"/>
        <v>0.62919948346054244</v>
      </c>
      <c r="J61" t="e">
        <f t="shared" si="5"/>
        <v>#NUM!</v>
      </c>
      <c r="K61">
        <f t="shared" si="6"/>
        <v>-0.49963729918145439</v>
      </c>
      <c r="M61" t="e">
        <f t="shared" si="7"/>
        <v>#NUM!</v>
      </c>
      <c r="P61" s="15" t="s">
        <v>1686</v>
      </c>
    </row>
    <row r="62" spans="1:16">
      <c r="A62" s="2" t="s">
        <v>311</v>
      </c>
      <c r="B62" s="6" t="s">
        <v>874</v>
      </c>
      <c r="C62" s="7" t="str" cm="1">
        <f t="array" ref="C62">_xlfn.LET(
  _xlpm.s, UPPER(B62),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KEFFKAIVARGKIPHIILHSP</v>
      </c>
      <c r="D62" s="4">
        <v>412</v>
      </c>
      <c r="E62" s="1">
        <v>0</v>
      </c>
      <c r="F62" s="1">
        <v>9</v>
      </c>
      <c r="G62" s="1">
        <v>4</v>
      </c>
      <c r="I62" t="e">
        <f t="shared" si="4"/>
        <v>#NUM!</v>
      </c>
      <c r="J62">
        <f t="shared" si="5"/>
        <v>-1.1211798557153769</v>
      </c>
      <c r="K62">
        <f t="shared" si="6"/>
        <v>-1.0639087296200171</v>
      </c>
      <c r="M62" t="e">
        <f t="shared" si="7"/>
        <v>#NUM!</v>
      </c>
      <c r="P62" s="15" t="s">
        <v>1686</v>
      </c>
    </row>
    <row r="63" spans="1:16">
      <c r="A63" s="2" t="s">
        <v>313</v>
      </c>
      <c r="B63" s="6" t="s">
        <v>876</v>
      </c>
      <c r="C63" s="7" t="str" cm="1">
        <f t="array" ref="C63">_xlfn.LET(
  _xlpm.s, UPPER(B63),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KEFFKSIVKKGKIPHIILHSP</v>
      </c>
      <c r="D63" s="4">
        <v>99</v>
      </c>
      <c r="E63" s="1">
        <v>0</v>
      </c>
      <c r="F63" s="1">
        <v>0</v>
      </c>
      <c r="G63" s="1">
        <v>2</v>
      </c>
      <c r="I63" t="e">
        <f t="shared" si="4"/>
        <v>#NUM!</v>
      </c>
      <c r="J63" t="e">
        <f t="shared" si="5"/>
        <v>#NUM!</v>
      </c>
      <c r="K63">
        <f t="shared" si="6"/>
        <v>-0.74567670384841334</v>
      </c>
      <c r="M63" t="e">
        <f t="shared" si="7"/>
        <v>#NUM!</v>
      </c>
      <c r="P63" s="15" t="s">
        <v>1686</v>
      </c>
    </row>
    <row r="64" spans="1:16">
      <c r="A64" s="2" t="s">
        <v>314</v>
      </c>
      <c r="B64" s="6" t="s">
        <v>877</v>
      </c>
      <c r="C64" s="7" t="str" cm="1">
        <f t="array" ref="C64">_xlfn.LET(
  _xlpm.s, UPPER(B64),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KEFFKSIVKRGKIPHIILHSP</v>
      </c>
      <c r="D64" s="4">
        <v>189</v>
      </c>
      <c r="E64" s="1">
        <v>0</v>
      </c>
      <c r="F64" s="1">
        <v>1</v>
      </c>
      <c r="G64" s="1">
        <v>0</v>
      </c>
      <c r="I64" t="e">
        <f t="shared" si="4"/>
        <v>#NUM!</v>
      </c>
      <c r="J64">
        <f t="shared" si="5"/>
        <v>-1.7369869532948115</v>
      </c>
      <c r="K64" t="e">
        <f t="shared" si="6"/>
        <v>#NUM!</v>
      </c>
      <c r="M64" t="e">
        <f t="shared" si="7"/>
        <v>#NUM!</v>
      </c>
      <c r="P64" s="15" t="s">
        <v>1686</v>
      </c>
    </row>
    <row r="65" spans="1:16">
      <c r="A65" s="2" t="s">
        <v>315</v>
      </c>
      <c r="B65" s="6" t="s">
        <v>878</v>
      </c>
      <c r="C65" s="7" t="str" cm="1">
        <f t="array" ref="C65">_xlfn.LET(
  _xlpm.s, UPPER(B65),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KEFFKSIVKAGKIPHIILHSP</v>
      </c>
      <c r="D65" s="4">
        <v>171</v>
      </c>
      <c r="E65" s="1">
        <v>0</v>
      </c>
      <c r="F65" s="1">
        <v>205</v>
      </c>
      <c r="G65" s="1">
        <v>37</v>
      </c>
      <c r="I65" t="e">
        <f t="shared" ref="I65:I96" si="8">LOG(E65/D65)-LOG(182/1787)</f>
        <v>#NUM!</v>
      </c>
      <c r="J65">
        <f t="shared" ref="J65:J96" si="9">LOG(F65/D65)-LOG(516/1787)</f>
        <v>0.61823260154203341</v>
      </c>
      <c r="K65">
        <f t="shared" ref="K65:K96" si="10">LOG(G65/D65)-LOG(201/1787)</f>
        <v>0.28413410875999645</v>
      </c>
      <c r="M65" t="e">
        <f t="shared" ref="M65:M96" si="11">AVERAGE(I65:K65)</f>
        <v>#NUM!</v>
      </c>
      <c r="P65" s="15" t="s">
        <v>1686</v>
      </c>
    </row>
    <row r="66" spans="1:16">
      <c r="A66" s="2" t="s">
        <v>319</v>
      </c>
      <c r="B66" s="6" t="s">
        <v>882</v>
      </c>
      <c r="C66" s="7" t="str" cm="1">
        <f t="array" ref="C66">_xlfn.LET(
  _xlpm.s, UPPER(B66),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KEFFKSIVARGKIPHIILHSP</v>
      </c>
      <c r="D66" s="4">
        <v>346</v>
      </c>
      <c r="E66" s="1">
        <v>0</v>
      </c>
      <c r="F66" s="1">
        <v>1</v>
      </c>
      <c r="G66" s="1">
        <v>0</v>
      </c>
      <c r="I66" t="e">
        <f t="shared" si="8"/>
        <v>#NUM!</v>
      </c>
      <c r="J66">
        <f t="shared" si="9"/>
        <v>-1.9996012479143439</v>
      </c>
      <c r="K66" t="e">
        <f t="shared" si="10"/>
        <v>#NUM!</v>
      </c>
      <c r="M66" t="e">
        <f t="shared" si="11"/>
        <v>#NUM!</v>
      </c>
      <c r="P66" s="15" t="s">
        <v>1686</v>
      </c>
    </row>
    <row r="67" spans="1:16">
      <c r="A67" s="2" t="s">
        <v>322</v>
      </c>
      <c r="B67" s="6" t="s">
        <v>885</v>
      </c>
      <c r="C67" s="7" t="str" cm="1">
        <f t="array" ref="C67">_xlfn.LET(
  _xlpm.s, UPPER(B67),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KEFFQNIVAKGKIPHIILHSP</v>
      </c>
      <c r="D67" s="4">
        <v>176</v>
      </c>
      <c r="E67" s="1">
        <v>1</v>
      </c>
      <c r="F67" s="1">
        <v>4</v>
      </c>
      <c r="G67" s="1">
        <v>0</v>
      </c>
      <c r="I67">
        <f t="shared" si="8"/>
        <v>-1.2534595032935805</v>
      </c>
      <c r="J67">
        <f t="shared" si="9"/>
        <v>-1.1039778256077546</v>
      </c>
      <c r="K67" t="e">
        <f t="shared" si="10"/>
        <v>#NUM!</v>
      </c>
      <c r="M67" t="e">
        <f t="shared" si="11"/>
        <v>#NUM!</v>
      </c>
      <c r="P67" s="15" t="s">
        <v>1686</v>
      </c>
    </row>
    <row r="68" spans="1:16">
      <c r="A68" s="2" t="s">
        <v>323</v>
      </c>
      <c r="B68" s="6" t="s">
        <v>886</v>
      </c>
      <c r="C68" s="7" t="str" cm="1">
        <f t="array" ref="C68">_xlfn.LET(
  _xlpm.s, UPPER(B68),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KEFFQAIVKRGKIPHIILHSP</v>
      </c>
      <c r="D68" s="4">
        <v>338</v>
      </c>
      <c r="E68" s="1">
        <v>0</v>
      </c>
      <c r="F68" s="1">
        <v>0</v>
      </c>
      <c r="G68" s="1">
        <v>4</v>
      </c>
      <c r="I68" t="e">
        <f t="shared" si="8"/>
        <v>#NUM!</v>
      </c>
      <c r="J68" t="e">
        <f t="shared" si="9"/>
        <v>#NUM!</v>
      </c>
      <c r="K68">
        <f t="shared" si="10"/>
        <v>-0.9779282138645371</v>
      </c>
      <c r="M68" t="e">
        <f t="shared" si="11"/>
        <v>#NUM!</v>
      </c>
      <c r="P68" s="15" t="s">
        <v>1686</v>
      </c>
    </row>
    <row r="69" spans="1:16">
      <c r="A69" s="2" t="s">
        <v>324</v>
      </c>
      <c r="B69" s="6" t="s">
        <v>887</v>
      </c>
      <c r="C69" s="7" t="str" cm="1">
        <f t="array" ref="C69">_xlfn.LET(
  _xlpm.s, UPPER(B69),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KEFFHSIVKKGKIPHIILHSP</v>
      </c>
      <c r="D69" s="4">
        <v>125</v>
      </c>
      <c r="E69" s="1">
        <v>1</v>
      </c>
      <c r="F69" s="1">
        <v>1</v>
      </c>
      <c r="G69" s="1">
        <v>0</v>
      </c>
      <c r="I69">
        <f t="shared" si="8"/>
        <v>-1.1048568484874868</v>
      </c>
      <c r="J69">
        <f t="shared" si="9"/>
        <v>-1.5574351621296234</v>
      </c>
      <c r="K69" t="e">
        <f t="shared" si="10"/>
        <v>#NUM!</v>
      </c>
      <c r="M69" t="e">
        <f t="shared" si="11"/>
        <v>#NUM!</v>
      </c>
      <c r="P69" s="15" t="s">
        <v>1686</v>
      </c>
    </row>
    <row r="70" spans="1:16">
      <c r="A70" s="2" t="s">
        <v>326</v>
      </c>
      <c r="B70" s="6" t="s">
        <v>889</v>
      </c>
      <c r="C70" s="7" t="str" cm="1">
        <f t="array" ref="C70">_xlfn.LET(
  _xlpm.s, UPPER(B70),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KEFFRNIVKKGKIPHIILHSP</v>
      </c>
      <c r="D70" s="4">
        <v>125</v>
      </c>
      <c r="E70" s="1">
        <v>0</v>
      </c>
      <c r="F70" s="1">
        <v>0</v>
      </c>
      <c r="G70" s="1">
        <v>0</v>
      </c>
      <c r="I70" t="e">
        <f t="shared" si="8"/>
        <v>#NUM!</v>
      </c>
      <c r="J70" t="e">
        <f t="shared" si="9"/>
        <v>#NUM!</v>
      </c>
      <c r="K70" t="e">
        <f t="shared" si="10"/>
        <v>#NUM!</v>
      </c>
      <c r="M70" t="e">
        <f t="shared" si="11"/>
        <v>#NUM!</v>
      </c>
      <c r="P70" s="15" t="s">
        <v>1686</v>
      </c>
    </row>
    <row r="71" spans="1:16">
      <c r="A71" s="2" t="s">
        <v>329</v>
      </c>
      <c r="B71" s="6" t="s">
        <v>892</v>
      </c>
      <c r="C71" s="7" t="str" cm="1">
        <f t="array" ref="C71">_xlfn.LET(
  _xlpm.s, UPPER(B71),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KEFFREIVKKGKIPHIILHSP</v>
      </c>
      <c r="D71" s="4">
        <v>141</v>
      </c>
      <c r="E71" s="1">
        <v>0</v>
      </c>
      <c r="F71" s="1">
        <v>0</v>
      </c>
      <c r="G71" s="1">
        <v>1</v>
      </c>
      <c r="I71" t="e">
        <f t="shared" si="8"/>
        <v>#NUM!</v>
      </c>
      <c r="J71" t="e">
        <f t="shared" si="9"/>
        <v>#NUM!</v>
      </c>
      <c r="K71">
        <f t="shared" si="10"/>
        <v>-1.2002906175702248</v>
      </c>
      <c r="M71" t="e">
        <f t="shared" si="11"/>
        <v>#NUM!</v>
      </c>
      <c r="P71" s="15" t="s">
        <v>1686</v>
      </c>
    </row>
    <row r="72" spans="1:16">
      <c r="A72" s="2" t="s">
        <v>330</v>
      </c>
      <c r="B72" s="6" t="s">
        <v>893</v>
      </c>
      <c r="C72" s="7" t="str" cm="1">
        <f t="array" ref="C72">_xlfn.LET(
  _xlpm.s, UPPER(B72),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KEFFRAIVARGKIPHIILHSP</v>
      </c>
      <c r="D72" s="4">
        <v>559</v>
      </c>
      <c r="E72" s="1">
        <v>0</v>
      </c>
      <c r="F72" s="1">
        <v>1</v>
      </c>
      <c r="G72" s="1">
        <v>8</v>
      </c>
      <c r="I72" t="e">
        <f t="shared" si="8"/>
        <v>#NUM!</v>
      </c>
      <c r="J72">
        <f t="shared" si="9"/>
        <v>-2.2079369570079903</v>
      </c>
      <c r="K72">
        <f t="shared" si="10"/>
        <v>-0.89539332580932429</v>
      </c>
      <c r="M72" t="e">
        <f t="shared" si="11"/>
        <v>#NUM!</v>
      </c>
      <c r="P72" s="15" t="s">
        <v>1686</v>
      </c>
    </row>
    <row r="73" spans="1:16">
      <c r="A73" s="2" t="s">
        <v>335</v>
      </c>
      <c r="B73" s="6" t="s">
        <v>898</v>
      </c>
      <c r="C73" s="7" t="str" cm="1">
        <f t="array" ref="C73">_xlfn.LET(
  _xlpm.s, UPPER(B73),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KEFFDSIVAKGKIPHIILHSP</v>
      </c>
      <c r="D73" s="4">
        <v>305</v>
      </c>
      <c r="E73" s="1">
        <v>0</v>
      </c>
      <c r="F73" s="1">
        <v>0</v>
      </c>
      <c r="G73" s="1">
        <v>3</v>
      </c>
      <c r="I73" t="e">
        <f t="shared" si="8"/>
        <v>#NUM!</v>
      </c>
      <c r="J73" t="e">
        <f t="shared" si="9"/>
        <v>#NUM!</v>
      </c>
      <c r="K73">
        <f t="shared" si="10"/>
        <v>-1.058250089541968</v>
      </c>
      <c r="M73" t="e">
        <f t="shared" si="11"/>
        <v>#NUM!</v>
      </c>
      <c r="P73" s="15" t="s">
        <v>1686</v>
      </c>
    </row>
    <row r="74" spans="1:16">
      <c r="A74" s="2" t="s">
        <v>337</v>
      </c>
      <c r="B74" s="6" t="s">
        <v>900</v>
      </c>
      <c r="C74" s="7" t="str" cm="1">
        <f t="array" ref="C74">_xlfn.LET(
  _xlpm.s, UPPER(B74),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KDFFKEIVARGKIPHIILHSP</v>
      </c>
      <c r="D74" s="4">
        <v>165</v>
      </c>
      <c r="E74" s="1">
        <v>1</v>
      </c>
      <c r="F74" s="1">
        <v>0</v>
      </c>
      <c r="G74" s="1">
        <v>0</v>
      </c>
      <c r="I74">
        <f t="shared" si="8"/>
        <v>-1.2254307796933368</v>
      </c>
      <c r="J74" t="e">
        <f t="shared" si="9"/>
        <v>#NUM!</v>
      </c>
      <c r="K74" t="e">
        <f t="shared" si="10"/>
        <v>#NUM!</v>
      </c>
      <c r="M74" t="e">
        <f t="shared" si="11"/>
        <v>#NUM!</v>
      </c>
      <c r="P74" s="15" t="s">
        <v>1686</v>
      </c>
    </row>
    <row r="75" spans="1:16">
      <c r="A75" s="2" t="s">
        <v>339</v>
      </c>
      <c r="B75" s="6" t="s">
        <v>902</v>
      </c>
      <c r="C75" s="7" t="str" cm="1">
        <f t="array" ref="C75">_xlfn.LET(
  _xlpm.s, UPPER(B75),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KDFFKSIVAKGKIPHIILHSP</v>
      </c>
      <c r="D75" s="4">
        <v>208</v>
      </c>
      <c r="E75" s="1">
        <v>0</v>
      </c>
      <c r="F75" s="1">
        <v>0</v>
      </c>
      <c r="G75" s="1">
        <v>0</v>
      </c>
      <c r="I75" t="e">
        <f t="shared" si="8"/>
        <v>#NUM!</v>
      </c>
      <c r="J75" t="e">
        <f t="shared" si="9"/>
        <v>#NUM!</v>
      </c>
      <c r="K75" t="e">
        <f t="shared" si="10"/>
        <v>#NUM!</v>
      </c>
      <c r="M75" t="e">
        <f t="shared" si="11"/>
        <v>#NUM!</v>
      </c>
      <c r="P75" s="15" t="s">
        <v>1686</v>
      </c>
    </row>
    <row r="76" spans="1:16">
      <c r="A76" s="2" t="s">
        <v>340</v>
      </c>
      <c r="B76" s="6" t="s">
        <v>903</v>
      </c>
      <c r="C76" s="7" t="str" cm="1">
        <f t="array" ref="C76">_xlfn.LET(
  _xlpm.s, UPPER(B76),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KDFFKSIVARGKIPHIILHSP</v>
      </c>
      <c r="D76" s="4">
        <v>305</v>
      </c>
      <c r="E76" s="1">
        <v>0</v>
      </c>
      <c r="F76" s="1">
        <v>0</v>
      </c>
      <c r="G76" s="1">
        <v>0</v>
      </c>
      <c r="I76" t="e">
        <f t="shared" si="8"/>
        <v>#NUM!</v>
      </c>
      <c r="J76" t="e">
        <f t="shared" si="9"/>
        <v>#NUM!</v>
      </c>
      <c r="K76" t="e">
        <f t="shared" si="10"/>
        <v>#NUM!</v>
      </c>
      <c r="M76" t="e">
        <f t="shared" si="11"/>
        <v>#NUM!</v>
      </c>
      <c r="P76" s="15" t="s">
        <v>1686</v>
      </c>
    </row>
    <row r="77" spans="1:16">
      <c r="A77" s="2" t="s">
        <v>341</v>
      </c>
      <c r="B77" s="6" t="s">
        <v>904</v>
      </c>
      <c r="C77" s="7" t="str" cm="1">
        <f t="array" ref="C77">_xlfn.LET(
  _xlpm.s, UPPER(B77),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KDFFRQIVAKGKIPHIILHSP</v>
      </c>
      <c r="D77" s="4">
        <v>278</v>
      </c>
      <c r="E77" s="1">
        <v>0</v>
      </c>
      <c r="F77" s="1">
        <v>2</v>
      </c>
      <c r="G77" s="1">
        <v>6</v>
      </c>
      <c r="I77" t="e">
        <f t="shared" si="8"/>
        <v>#NUM!</v>
      </c>
      <c r="J77">
        <f t="shared" si="9"/>
        <v>-1.6035399493756621</v>
      </c>
      <c r="K77">
        <f t="shared" si="10"/>
        <v>-0.71696505044927727</v>
      </c>
      <c r="M77" t="e">
        <f t="shared" si="11"/>
        <v>#NUM!</v>
      </c>
      <c r="P77" s="15" t="s">
        <v>1686</v>
      </c>
    </row>
    <row r="78" spans="1:16">
      <c r="A78" s="2" t="s">
        <v>350</v>
      </c>
      <c r="B78" s="6" t="s">
        <v>913</v>
      </c>
      <c r="C78" s="7" t="str" cm="1">
        <f t="array" ref="C78">_xlfn.LET(
  _xlpm.s, UPPER(B78),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KATMKEIASSGKIPHIILHSP</v>
      </c>
      <c r="D78" s="4">
        <v>616</v>
      </c>
      <c r="E78" s="1">
        <v>12</v>
      </c>
      <c r="F78" s="1">
        <v>0</v>
      </c>
      <c r="G78" s="1">
        <v>39</v>
      </c>
      <c r="I78">
        <f t="shared" si="8"/>
        <v>-0.71834630159623125</v>
      </c>
      <c r="J78" t="e">
        <f t="shared" si="9"/>
        <v>#NUM!</v>
      </c>
      <c r="K78">
        <f t="shared" si="10"/>
        <v>-0.24958761005277097</v>
      </c>
      <c r="M78" t="e">
        <f t="shared" si="11"/>
        <v>#NUM!</v>
      </c>
      <c r="P78" s="16" t="s">
        <v>1685</v>
      </c>
    </row>
    <row r="79" spans="1:16">
      <c r="A79" s="2" t="s">
        <v>403</v>
      </c>
      <c r="B79" s="6" t="s">
        <v>966</v>
      </c>
      <c r="C79" s="7" t="str" cm="1">
        <f t="array" ref="C79">_xlfn.LET(
  _xlpm.s, UPPER(B79),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KAEMKEIAASGKIPHIILHSP</v>
      </c>
      <c r="D79" s="4">
        <v>993</v>
      </c>
      <c r="E79" s="1">
        <v>13</v>
      </c>
      <c r="F79" s="1">
        <v>0</v>
      </c>
      <c r="G79" s="1">
        <v>15</v>
      </c>
      <c r="I79">
        <f t="shared" si="8"/>
        <v>-0.89095273166797484</v>
      </c>
      <c r="J79" t="e">
        <f t="shared" si="9"/>
        <v>#NUM!</v>
      </c>
      <c r="K79">
        <f t="shared" si="10"/>
        <v>-0.87192949435454459</v>
      </c>
      <c r="M79" t="e">
        <f t="shared" si="11"/>
        <v>#NUM!</v>
      </c>
      <c r="P79" s="16" t="s">
        <v>1685</v>
      </c>
    </row>
    <row r="80" spans="1:16">
      <c r="A80" s="2" t="s">
        <v>404</v>
      </c>
      <c r="B80" s="6" t="s">
        <v>967</v>
      </c>
      <c r="C80" s="7" t="str" cm="1">
        <f t="array" ref="C80">_xlfn.LET(
  _xlpm.s, UPPER(B80),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KAEMKAIAKSGKIPHIILHSP</v>
      </c>
      <c r="D80" s="4">
        <v>536</v>
      </c>
      <c r="E80" s="1">
        <v>12</v>
      </c>
      <c r="F80" s="1">
        <v>0</v>
      </c>
      <c r="G80" s="1">
        <v>35</v>
      </c>
      <c r="I80">
        <f t="shared" si="8"/>
        <v>-0.65793037912457586</v>
      </c>
      <c r="J80" t="e">
        <f t="shared" si="9"/>
        <v>#NUM!</v>
      </c>
      <c r="K80">
        <f t="shared" si="10"/>
        <v>-0.23616825025733901</v>
      </c>
      <c r="M80" t="e">
        <f t="shared" si="11"/>
        <v>#NUM!</v>
      </c>
      <c r="P80" s="16" t="s">
        <v>1685</v>
      </c>
    </row>
    <row r="81" spans="1:16">
      <c r="A81" s="2" t="s">
        <v>411</v>
      </c>
      <c r="B81" s="6" t="s">
        <v>974</v>
      </c>
      <c r="C81" s="7" t="str" cm="1">
        <f t="array" ref="C81">_xlfn.LET(
  _xlpm.s, UPPER(B81),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KAYFKEIAKSGKIPHIILHSP</v>
      </c>
      <c r="D81" s="4">
        <v>242</v>
      </c>
      <c r="E81" s="1">
        <v>60</v>
      </c>
      <c r="F81" s="1">
        <v>3</v>
      </c>
      <c r="G81" s="1">
        <v>0</v>
      </c>
      <c r="I81">
        <f t="shared" si="8"/>
        <v>0.38638904892378179</v>
      </c>
      <c r="J81">
        <f t="shared" si="9"/>
        <v>-1.3672192603823361</v>
      </c>
      <c r="K81" t="e">
        <f t="shared" si="10"/>
        <v>#NUM!</v>
      </c>
      <c r="M81" t="e">
        <f t="shared" si="11"/>
        <v>#NUM!</v>
      </c>
      <c r="P81" s="16" t="s">
        <v>1685</v>
      </c>
    </row>
    <row r="82" spans="1:16">
      <c r="A82" s="2" t="s">
        <v>412</v>
      </c>
      <c r="B82" s="6" t="s">
        <v>975</v>
      </c>
      <c r="C82" s="7" t="str" cm="1">
        <f t="array" ref="C82">_xlfn.LET(
  _xlpm.s, UPPER(B82),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KAYFKEIVKRGKIPHIILHSP</v>
      </c>
      <c r="D82" s="4">
        <v>252</v>
      </c>
      <c r="E82" s="1">
        <v>0</v>
      </c>
      <c r="F82" s="1">
        <v>0</v>
      </c>
      <c r="G82" s="1">
        <v>3</v>
      </c>
      <c r="I82" t="e">
        <f t="shared" si="8"/>
        <v>#NUM!</v>
      </c>
      <c r="J82" t="e">
        <f t="shared" si="9"/>
        <v>#NUM!</v>
      </c>
      <c r="K82">
        <f t="shared" si="10"/>
        <v>-0.97535079097672628</v>
      </c>
      <c r="M82" t="e">
        <f t="shared" si="11"/>
        <v>#NUM!</v>
      </c>
      <c r="P82" s="15" t="s">
        <v>1686</v>
      </c>
    </row>
    <row r="83" spans="1:16">
      <c r="A83" s="2" t="s">
        <v>413</v>
      </c>
      <c r="B83" s="6" t="s">
        <v>976</v>
      </c>
      <c r="C83" s="7" t="str" cm="1">
        <f t="array" ref="C83">_xlfn.LET(
  _xlpm.s, UPPER(B83),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KAYFKAIVQRGKIPHIILHSP</v>
      </c>
      <c r="D83" s="4">
        <v>529</v>
      </c>
      <c r="E83" s="1">
        <v>2</v>
      </c>
      <c r="F83" s="1">
        <v>0</v>
      </c>
      <c r="G83" s="1">
        <v>0</v>
      </c>
      <c r="I83">
        <f t="shared" si="8"/>
        <v>-1.430372511850635</v>
      </c>
      <c r="J83" t="e">
        <f t="shared" si="9"/>
        <v>#NUM!</v>
      </c>
      <c r="K83" t="e">
        <f t="shared" si="10"/>
        <v>#NUM!</v>
      </c>
      <c r="M83" t="e">
        <f t="shared" si="11"/>
        <v>#NUM!</v>
      </c>
      <c r="P83" s="15" t="s">
        <v>1686</v>
      </c>
    </row>
    <row r="84" spans="1:16">
      <c r="A84" s="2" t="s">
        <v>415</v>
      </c>
      <c r="B84" s="6" t="s">
        <v>978</v>
      </c>
      <c r="C84" s="7" t="str" cm="1">
        <f t="array" ref="C84">_xlfn.LET(
  _xlpm.s, UPPER(B84),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KAYFKAIVARGKIPHIILHSP</v>
      </c>
      <c r="D84" s="4">
        <v>731</v>
      </c>
      <c r="E84" s="1">
        <v>0</v>
      </c>
      <c r="F84" s="1">
        <v>26</v>
      </c>
      <c r="G84" s="1">
        <v>2</v>
      </c>
      <c r="I84" t="e">
        <f t="shared" si="8"/>
        <v>#NUM!</v>
      </c>
      <c r="J84">
        <f t="shared" si="9"/>
        <v>-0.90946917810860961</v>
      </c>
      <c r="K84">
        <f t="shared" si="10"/>
        <v>-1.6139588862087237</v>
      </c>
      <c r="M84" t="e">
        <f t="shared" si="11"/>
        <v>#NUM!</v>
      </c>
      <c r="P84" s="15" t="s">
        <v>1686</v>
      </c>
    </row>
    <row r="85" spans="1:16">
      <c r="A85" s="2" t="s">
        <v>417</v>
      </c>
      <c r="B85" s="6" t="s">
        <v>980</v>
      </c>
      <c r="C85" s="7" t="str" cm="1">
        <f t="array" ref="C85">_xlfn.LET(
  _xlpm.s, UPPER(B85),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KAYFKSIVARGKIPHIILHSP</v>
      </c>
      <c r="D85" s="4">
        <v>521</v>
      </c>
      <c r="E85" s="1">
        <v>0</v>
      </c>
      <c r="F85" s="1">
        <v>0</v>
      </c>
      <c r="G85" s="1">
        <v>6</v>
      </c>
      <c r="I85" t="e">
        <f t="shared" si="8"/>
        <v>#NUM!</v>
      </c>
      <c r="J85" t="e">
        <f t="shared" si="9"/>
        <v>#NUM!</v>
      </c>
      <c r="K85">
        <f t="shared" si="10"/>
        <v>-0.9897579778307255</v>
      </c>
      <c r="M85" t="e">
        <f t="shared" si="11"/>
        <v>#NUM!</v>
      </c>
      <c r="P85" s="15" t="s">
        <v>1686</v>
      </c>
    </row>
    <row r="86" spans="1:16">
      <c r="A86" s="2" t="s">
        <v>419</v>
      </c>
      <c r="B86" s="6" t="s">
        <v>982</v>
      </c>
      <c r="C86" s="7" t="str" cm="1">
        <f t="array" ref="C86">_xlfn.LET(
  _xlpm.s, UPPER(B86),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KAYFRAIVARGKIPHIILHSP</v>
      </c>
      <c r="D86" s="4">
        <v>1000</v>
      </c>
      <c r="E86" s="1">
        <v>6</v>
      </c>
      <c r="F86" s="1">
        <v>5</v>
      </c>
      <c r="G86" s="1">
        <v>0</v>
      </c>
      <c r="I86">
        <f t="shared" si="8"/>
        <v>-1.2297955850957867</v>
      </c>
      <c r="J86">
        <f t="shared" si="9"/>
        <v>-1.7615551447855484</v>
      </c>
      <c r="K86" t="e">
        <f t="shared" si="10"/>
        <v>#NUM!</v>
      </c>
      <c r="M86" t="e">
        <f t="shared" si="11"/>
        <v>#NUM!</v>
      </c>
      <c r="P86" s="15" t="s">
        <v>1686</v>
      </c>
    </row>
    <row r="87" spans="1:16">
      <c r="A87" s="2" t="s">
        <v>420</v>
      </c>
      <c r="B87" s="6" t="s">
        <v>983</v>
      </c>
      <c r="C87" s="7" t="str" cm="1">
        <f t="array" ref="C87">_xlfn.LET(
  _xlpm.s, UPPER(B87),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KAFFKDIVKKGKIPHIILHSP</v>
      </c>
      <c r="D87" s="4">
        <v>160</v>
      </c>
      <c r="E87" s="1">
        <v>2</v>
      </c>
      <c r="F87" s="1">
        <v>0</v>
      </c>
      <c r="G87" s="1">
        <v>2</v>
      </c>
      <c r="I87">
        <f t="shared" si="8"/>
        <v>-0.91103682247137407</v>
      </c>
      <c r="J87" t="e">
        <f t="shared" si="9"/>
        <v>#NUM!</v>
      </c>
      <c r="K87">
        <f t="shared" si="10"/>
        <v>-0.95416149190678823</v>
      </c>
      <c r="M87" t="e">
        <f t="shared" si="11"/>
        <v>#NUM!</v>
      </c>
      <c r="P87" s="15" t="s">
        <v>1686</v>
      </c>
    </row>
    <row r="88" spans="1:16">
      <c r="A88" s="2" t="s">
        <v>425</v>
      </c>
      <c r="B88" s="6" t="s">
        <v>988</v>
      </c>
      <c r="C88" s="7" t="str" cm="1">
        <f t="array" ref="C88">_xlfn.LET(
  _xlpm.s, UPPER(B88),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KAFFKAIVKKGKIPHIILHSP</v>
      </c>
      <c r="D88" s="4">
        <v>259</v>
      </c>
      <c r="E88" s="1">
        <v>0</v>
      </c>
      <c r="F88" s="1">
        <v>0</v>
      </c>
      <c r="G88" s="1">
        <v>0</v>
      </c>
      <c r="I88" t="e">
        <f t="shared" si="8"/>
        <v>#NUM!</v>
      </c>
      <c r="J88" t="e">
        <f t="shared" si="9"/>
        <v>#NUM!</v>
      </c>
      <c r="K88" t="e">
        <f t="shared" si="10"/>
        <v>#NUM!</v>
      </c>
      <c r="M88" t="e">
        <f t="shared" si="11"/>
        <v>#NUM!</v>
      </c>
      <c r="P88" s="15" t="s">
        <v>1686</v>
      </c>
    </row>
    <row r="89" spans="1:16">
      <c r="A89" s="2" t="s">
        <v>426</v>
      </c>
      <c r="B89" s="6" t="s">
        <v>989</v>
      </c>
      <c r="C89" s="7" t="str" cm="1">
        <f t="array" ref="C89">_xlfn.LET(
  _xlpm.s, UPPER(B89),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KAFFKAIVKRGKIPHIILHSP</v>
      </c>
      <c r="D89" s="4">
        <v>506</v>
      </c>
      <c r="E89" s="1">
        <v>0</v>
      </c>
      <c r="F89" s="1">
        <v>5</v>
      </c>
      <c r="G89" s="1">
        <v>6</v>
      </c>
      <c r="I89" t="e">
        <f t="shared" si="8"/>
        <v>#NUM!</v>
      </c>
      <c r="J89">
        <f t="shared" si="9"/>
        <v>-1.4657056616253477</v>
      </c>
      <c r="K89">
        <f t="shared" si="10"/>
        <v>-0.97707077137100029</v>
      </c>
      <c r="M89" t="e">
        <f t="shared" si="11"/>
        <v>#NUM!</v>
      </c>
      <c r="P89" s="15" t="s">
        <v>1686</v>
      </c>
    </row>
    <row r="90" spans="1:16">
      <c r="A90" s="2" t="s">
        <v>427</v>
      </c>
      <c r="B90" s="6" t="s">
        <v>990</v>
      </c>
      <c r="C90" s="7" t="str" cm="1">
        <f t="array" ref="C90">_xlfn.LET(
  _xlpm.s, UPPER(B90),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KAFFKAIVEKGKIPHIILHSP</v>
      </c>
      <c r="D90" s="4">
        <v>298</v>
      </c>
      <c r="E90" s="1">
        <v>4</v>
      </c>
      <c r="F90" s="1">
        <v>0</v>
      </c>
      <c r="G90" s="1">
        <v>0</v>
      </c>
      <c r="I90">
        <f t="shared" si="8"/>
        <v>-0.88010310822772331</v>
      </c>
      <c r="J90" t="e">
        <f t="shared" si="9"/>
        <v>#NUM!</v>
      </c>
      <c r="K90" t="e">
        <f t="shared" si="10"/>
        <v>#NUM!</v>
      </c>
      <c r="M90" t="e">
        <f t="shared" si="11"/>
        <v>#NUM!</v>
      </c>
      <c r="P90" s="15" t="s">
        <v>1686</v>
      </c>
    </row>
    <row r="91" spans="1:16">
      <c r="A91" s="2" t="s">
        <v>428</v>
      </c>
      <c r="B91" s="6" t="s">
        <v>991</v>
      </c>
      <c r="C91" s="7" t="str" cm="1">
        <f t="array" ref="C91">_xlfn.LET(
  _xlpm.s, UPPER(B91),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KAFFKAIVERGKIPHIILHSP</v>
      </c>
      <c r="D91" s="4">
        <v>568</v>
      </c>
      <c r="E91" s="1">
        <v>5</v>
      </c>
      <c r="F91" s="1">
        <v>0</v>
      </c>
      <c r="G91" s="1">
        <v>0</v>
      </c>
      <c r="I91">
        <f t="shared" si="8"/>
        <v>-1.0633251668544306</v>
      </c>
      <c r="J91" t="e">
        <f t="shared" si="9"/>
        <v>#NUM!</v>
      </c>
      <c r="K91" t="e">
        <f t="shared" si="10"/>
        <v>#NUM!</v>
      </c>
      <c r="M91" t="e">
        <f t="shared" si="11"/>
        <v>#NUM!</v>
      </c>
      <c r="P91" s="15" t="s">
        <v>1686</v>
      </c>
    </row>
    <row r="92" spans="1:16">
      <c r="A92" s="2" t="s">
        <v>429</v>
      </c>
      <c r="B92" s="6" t="s">
        <v>992</v>
      </c>
      <c r="C92" s="7" t="str" cm="1">
        <f t="array" ref="C92">_xlfn.LET(
  _xlpm.s, UPPER(B92),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KAFFKAIVAKGKIPHIILHSP</v>
      </c>
      <c r="D92" s="4">
        <v>507</v>
      </c>
      <c r="E92" s="1">
        <v>39</v>
      </c>
      <c r="F92" s="1">
        <v>0</v>
      </c>
      <c r="G92" s="1">
        <v>47</v>
      </c>
      <c r="I92">
        <f t="shared" si="8"/>
        <v>-0.12189018778626726</v>
      </c>
      <c r="J92" t="e">
        <f t="shared" si="9"/>
        <v>#NUM!</v>
      </c>
      <c r="K92">
        <f t="shared" si="10"/>
        <v>-8.3981606312463208E-2</v>
      </c>
      <c r="M92" t="e">
        <f t="shared" si="11"/>
        <v>#NUM!</v>
      </c>
      <c r="P92" s="15" t="s">
        <v>1686</v>
      </c>
    </row>
    <row r="93" spans="1:16">
      <c r="A93" s="2" t="s">
        <v>434</v>
      </c>
      <c r="B93" s="6" t="s">
        <v>997</v>
      </c>
      <c r="C93" s="7" t="str" cm="1">
        <f t="array" ref="C93">_xlfn.LET(
  _xlpm.s, UPPER(B93),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KAFFKSIVARGKIPHIILHSP</v>
      </c>
      <c r="D93" s="4">
        <v>551</v>
      </c>
      <c r="E93" s="1">
        <v>4</v>
      </c>
      <c r="F93" s="1">
        <v>0</v>
      </c>
      <c r="G93" s="1">
        <v>25</v>
      </c>
      <c r="I93">
        <f t="shared" si="8"/>
        <v>-1.1470384430032534</v>
      </c>
      <c r="J93" t="e">
        <f t="shared" si="9"/>
        <v>#NUM!</v>
      </c>
      <c r="K93">
        <f t="shared" si="10"/>
        <v>-0.39428309509459214</v>
      </c>
      <c r="M93" t="e">
        <f t="shared" si="11"/>
        <v>#NUM!</v>
      </c>
      <c r="P93" s="15" t="s">
        <v>1686</v>
      </c>
    </row>
    <row r="94" spans="1:16">
      <c r="A94" s="2" t="s">
        <v>437</v>
      </c>
      <c r="B94" s="6" t="s">
        <v>1000</v>
      </c>
      <c r="C94" s="7" t="str" cm="1">
        <f t="array" ref="C94">_xlfn.LET(
  _xlpm.s, UPPER(B94),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KAFFRAIVKRGKIPHIILHSP</v>
      </c>
      <c r="D94" s="4">
        <v>761</v>
      </c>
      <c r="E94" s="1">
        <v>0</v>
      </c>
      <c r="F94" s="1">
        <v>2</v>
      </c>
      <c r="G94" s="1">
        <v>28</v>
      </c>
      <c r="I94" t="e">
        <f t="shared" si="8"/>
        <v>#NUM!</v>
      </c>
      <c r="J94">
        <f t="shared" si="9"/>
        <v>-2.0408798102281587</v>
      </c>
      <c r="K94">
        <f t="shared" si="10"/>
        <v>-0.48529813034319824</v>
      </c>
      <c r="M94" t="e">
        <f t="shared" si="11"/>
        <v>#NUM!</v>
      </c>
      <c r="P94" s="15" t="s">
        <v>1686</v>
      </c>
    </row>
    <row r="95" spans="1:16">
      <c r="A95" s="2" t="s">
        <v>440</v>
      </c>
      <c r="B95" s="6" t="s">
        <v>1003</v>
      </c>
      <c r="C95" s="7" t="str" cm="1">
        <f t="array" ref="C95">_xlfn.LET(
  _xlpm.s, UPPER(B95),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KAFFRSIVARGKIPHIILHSP</v>
      </c>
      <c r="D95" s="4">
        <v>892</v>
      </c>
      <c r="E95" s="1">
        <v>1</v>
      </c>
      <c r="F95" s="1">
        <v>1</v>
      </c>
      <c r="G95" s="1">
        <v>0</v>
      </c>
      <c r="I95">
        <f t="shared" si="8"/>
        <v>-1.9583116898555537</v>
      </c>
      <c r="J95">
        <f t="shared" si="9"/>
        <v>-2.4108900034976903</v>
      </c>
      <c r="K95" t="e">
        <f t="shared" si="10"/>
        <v>#NUM!</v>
      </c>
      <c r="M95" t="e">
        <f t="shared" si="11"/>
        <v>#NUM!</v>
      </c>
      <c r="P95" s="15" t="s">
        <v>1686</v>
      </c>
    </row>
    <row r="96" spans="1:16">
      <c r="A96" s="2" t="s">
        <v>441</v>
      </c>
      <c r="B96" s="6" t="s">
        <v>1004</v>
      </c>
      <c r="C96" s="7" t="str" cm="1">
        <f t="array" ref="C96">_xlfn.LET(
  _xlpm.s, UPPER(B96),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KAFFEAIVKRGKIPHIILHSP</v>
      </c>
      <c r="D96" s="4">
        <v>591</v>
      </c>
      <c r="E96" s="1">
        <v>5</v>
      </c>
      <c r="F96" s="1">
        <v>0</v>
      </c>
      <c r="G96" s="1">
        <v>0</v>
      </c>
      <c r="I96">
        <f t="shared" si="8"/>
        <v>-1.0805643120246673</v>
      </c>
      <c r="J96" t="e">
        <f t="shared" si="9"/>
        <v>#NUM!</v>
      </c>
      <c r="K96" t="e">
        <f t="shared" si="10"/>
        <v>#NUM!</v>
      </c>
      <c r="M96" t="e">
        <f t="shared" si="11"/>
        <v>#NUM!</v>
      </c>
      <c r="P96" s="15" t="s">
        <v>1686</v>
      </c>
    </row>
    <row r="97" spans="1:16">
      <c r="A97" s="2" t="s">
        <v>442</v>
      </c>
      <c r="B97" s="6" t="s">
        <v>1005</v>
      </c>
      <c r="C97" s="7" t="str" cm="1">
        <f t="array" ref="C97">_xlfn.LET(
  _xlpm.s, UPPER(B97),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KGFFKAIVAKGKIPHIILHSP</v>
      </c>
      <c r="D97" s="4">
        <v>307</v>
      </c>
      <c r="E97" s="1">
        <v>17</v>
      </c>
      <c r="F97" s="1">
        <v>0</v>
      </c>
      <c r="G97" s="1">
        <v>0</v>
      </c>
      <c r="I97">
        <f t="shared" ref="I97:I112" si="12">LOG(E97/D97)-LOG(182/1787)</f>
        <v>-0.26463628957834318</v>
      </c>
      <c r="J97" t="e">
        <f t="shared" ref="J97:J112" si="13">LOG(F97/D97)-LOG(516/1787)</f>
        <v>#NUM!</v>
      </c>
      <c r="K97" t="e">
        <f t="shared" ref="K97:K112" si="14">LOG(G97/D97)-LOG(201/1787)</f>
        <v>#NUM!</v>
      </c>
      <c r="M97" t="e">
        <f t="shared" ref="M97:M112" si="15">AVERAGE(I97:K97)</f>
        <v>#NUM!</v>
      </c>
      <c r="P97" s="15" t="s">
        <v>1686</v>
      </c>
    </row>
    <row r="98" spans="1:16">
      <c r="A98" s="2" t="s">
        <v>446</v>
      </c>
      <c r="B98" s="6" t="s">
        <v>1009</v>
      </c>
      <c r="C98" s="7" t="str" cm="1">
        <f t="array" ref="C98">_xlfn.LET(
  _xlpm.s, UPPER(B98),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KSYFKDIVKKGKIPHIILHSP</v>
      </c>
      <c r="D98" s="4">
        <v>127</v>
      </c>
      <c r="E98" s="1">
        <v>0</v>
      </c>
      <c r="F98" s="1">
        <v>2</v>
      </c>
      <c r="G98" s="1">
        <v>2</v>
      </c>
      <c r="I98" t="e">
        <f t="shared" si="12"/>
        <v>#NUM!</v>
      </c>
      <c r="J98">
        <f t="shared" si="13"/>
        <v>-1.2632988744135427</v>
      </c>
      <c r="K98">
        <f t="shared" si="14"/>
        <v>-0.85384523020682046</v>
      </c>
      <c r="M98" t="e">
        <f t="shared" si="15"/>
        <v>#NUM!</v>
      </c>
      <c r="P98" s="15" t="s">
        <v>1686</v>
      </c>
    </row>
    <row r="99" spans="1:16">
      <c r="A99" s="2" t="s">
        <v>447</v>
      </c>
      <c r="B99" s="6" t="s">
        <v>1010</v>
      </c>
      <c r="C99" s="7" t="str" cm="1">
        <f t="array" ref="C99">_xlfn.LET(
  _xlpm.s, UPPER(B99),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KSYFKAIVKKGKIPHIILHSP</v>
      </c>
      <c r="D99" s="4">
        <v>178</v>
      </c>
      <c r="E99" s="1">
        <v>0</v>
      </c>
      <c r="F99" s="1">
        <v>0</v>
      </c>
      <c r="G99" s="1">
        <v>0</v>
      </c>
      <c r="I99" t="e">
        <f t="shared" si="12"/>
        <v>#NUM!</v>
      </c>
      <c r="J99" t="e">
        <f t="shared" si="13"/>
        <v>#NUM!</v>
      </c>
      <c r="K99" t="e">
        <f t="shared" si="14"/>
        <v>#NUM!</v>
      </c>
      <c r="M99" t="e">
        <f t="shared" si="15"/>
        <v>#NUM!</v>
      </c>
      <c r="P99" s="15" t="s">
        <v>1686</v>
      </c>
    </row>
    <row r="100" spans="1:16">
      <c r="A100" s="2" t="s">
        <v>487</v>
      </c>
      <c r="B100" s="6" t="s">
        <v>1050</v>
      </c>
      <c r="C100" s="7" t="str" cm="1">
        <f t="array" ref="C100">_xlfn.LET(
  _xlpm.s, UPPER(B100),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LKEMKEIVESGKIPHIILHSP</v>
      </c>
      <c r="D100" s="4">
        <v>449</v>
      </c>
      <c r="E100" s="1">
        <v>0</v>
      </c>
      <c r="F100" s="1">
        <v>46</v>
      </c>
      <c r="G100" s="1">
        <v>19</v>
      </c>
      <c r="I100" t="e">
        <f t="shared" si="12"/>
        <v>#NUM!</v>
      </c>
      <c r="J100">
        <f t="shared" si="13"/>
        <v>-0.4500136584433162</v>
      </c>
      <c r="K100">
        <f t="shared" si="14"/>
        <v>-0.42456424496533884</v>
      </c>
      <c r="M100" t="e">
        <f t="shared" si="15"/>
        <v>#NUM!</v>
      </c>
      <c r="P100" s="16" t="s">
        <v>1685</v>
      </c>
    </row>
    <row r="101" spans="1:16">
      <c r="A101" s="2" t="s">
        <v>492</v>
      </c>
      <c r="B101" s="6" t="s">
        <v>1055</v>
      </c>
      <c r="C101" s="7" t="str" cm="1">
        <f t="array" ref="C101">_xlfn.LET(
  _xlpm.s, UPPER(B101),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LNYFKEIVAKGKIPHIILHSP</v>
      </c>
      <c r="D101" s="4">
        <v>238</v>
      </c>
      <c r="E101" s="1">
        <v>4</v>
      </c>
      <c r="F101" s="1">
        <v>0</v>
      </c>
      <c r="G101" s="1">
        <v>0</v>
      </c>
      <c r="I101">
        <f t="shared" si="12"/>
        <v>-0.78246380120798009</v>
      </c>
      <c r="J101" t="e">
        <f t="shared" si="13"/>
        <v>#NUM!</v>
      </c>
      <c r="K101" t="e">
        <f t="shared" si="14"/>
        <v>#NUM!</v>
      </c>
      <c r="M101" t="e">
        <f t="shared" si="15"/>
        <v>#NUM!</v>
      </c>
      <c r="P101" s="15" t="s">
        <v>1686</v>
      </c>
    </row>
    <row r="102" spans="1:16">
      <c r="A102" s="2" t="s">
        <v>523</v>
      </c>
      <c r="B102" s="6" t="s">
        <v>1086</v>
      </c>
      <c r="C102" s="7" t="str" cm="1">
        <f t="array" ref="C102">_xlfn.LET(
  _xlpm.s, UPPER(B102),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LEYFKNIVKKGKIPHIILHSP</v>
      </c>
      <c r="D102" s="4">
        <v>88</v>
      </c>
      <c r="E102" s="1">
        <v>2</v>
      </c>
      <c r="F102" s="1">
        <v>0</v>
      </c>
      <c r="G102" s="1">
        <v>0</v>
      </c>
      <c r="I102">
        <f t="shared" si="12"/>
        <v>-0.65139951196561796</v>
      </c>
      <c r="J102" t="e">
        <f t="shared" si="13"/>
        <v>#NUM!</v>
      </c>
      <c r="K102" t="e">
        <f t="shared" si="14"/>
        <v>#NUM!</v>
      </c>
      <c r="M102" t="e">
        <f t="shared" si="15"/>
        <v>#NUM!</v>
      </c>
      <c r="P102" s="15" t="s">
        <v>1686</v>
      </c>
    </row>
    <row r="103" spans="1:16">
      <c r="A103" s="2" t="s">
        <v>524</v>
      </c>
      <c r="B103" s="6" t="s">
        <v>1087</v>
      </c>
      <c r="C103" s="7" t="str" cm="1">
        <f t="array" ref="C103">_xlfn.LET(
  _xlpm.s, UPPER(B103),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LEYFKNIVARGKIPHIILHSP</v>
      </c>
      <c r="D103" s="4">
        <v>242</v>
      </c>
      <c r="E103" s="1">
        <v>0</v>
      </c>
      <c r="F103" s="1">
        <v>0</v>
      </c>
      <c r="G103" s="1">
        <v>5</v>
      </c>
      <c r="I103" t="e">
        <f t="shared" si="12"/>
        <v>#NUM!</v>
      </c>
      <c r="J103" t="e">
        <f t="shared" si="13"/>
        <v>#NUM!</v>
      </c>
      <c r="K103">
        <f t="shared" si="14"/>
        <v>-0.73591686655925725</v>
      </c>
      <c r="M103" t="e">
        <f t="shared" si="15"/>
        <v>#NUM!</v>
      </c>
      <c r="P103" s="15" t="s">
        <v>1686</v>
      </c>
    </row>
    <row r="104" spans="1:16">
      <c r="A104" s="2" t="s">
        <v>525</v>
      </c>
      <c r="B104" s="6" t="s">
        <v>1088</v>
      </c>
      <c r="C104" s="7" t="str" cm="1">
        <f t="array" ref="C104">_xlfn.LET(
  _xlpm.s, UPPER(B104),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LEYFKEIVARGKIPHIILHSP</v>
      </c>
      <c r="D104" s="4">
        <v>302</v>
      </c>
      <c r="E104" s="1">
        <v>0</v>
      </c>
      <c r="F104" s="1">
        <v>0</v>
      </c>
      <c r="G104" s="1">
        <v>5</v>
      </c>
      <c r="I104" t="e">
        <f t="shared" si="12"/>
        <v>#NUM!</v>
      </c>
      <c r="J104" t="e">
        <f t="shared" si="13"/>
        <v>#NUM!</v>
      </c>
      <c r="K104">
        <f t="shared" si="14"/>
        <v>-0.83210844353597646</v>
      </c>
      <c r="M104" t="e">
        <f t="shared" si="15"/>
        <v>#NUM!</v>
      </c>
      <c r="P104" s="15" t="s">
        <v>1686</v>
      </c>
    </row>
    <row r="105" spans="1:16">
      <c r="A105" s="2" t="s">
        <v>526</v>
      </c>
      <c r="B105" s="6" t="s">
        <v>1089</v>
      </c>
      <c r="C105" s="7" t="str" cm="1">
        <f t="array" ref="C105">_xlfn.LET(
  _xlpm.s, UPPER(B105),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LEYFKAIVKRGKIPHIILHSP</v>
      </c>
      <c r="D105" s="4">
        <v>351</v>
      </c>
      <c r="E105" s="1">
        <v>3</v>
      </c>
      <c r="F105" s="1">
        <v>5</v>
      </c>
      <c r="G105" s="1">
        <v>0</v>
      </c>
      <c r="I105">
        <f t="shared" si="12"/>
        <v>-1.0761326972255922</v>
      </c>
      <c r="J105">
        <f t="shared" si="13"/>
        <v>-1.3068622612513723</v>
      </c>
      <c r="K105" t="e">
        <f t="shared" si="14"/>
        <v>#NUM!</v>
      </c>
      <c r="M105" t="e">
        <f t="shared" si="15"/>
        <v>#NUM!</v>
      </c>
      <c r="P105" s="15" t="s">
        <v>1686</v>
      </c>
    </row>
    <row r="106" spans="1:16">
      <c r="A106" s="2" t="s">
        <v>527</v>
      </c>
      <c r="B106" s="6" t="s">
        <v>1090</v>
      </c>
      <c r="C106" s="7" t="str" cm="1">
        <f t="array" ref="C106">_xlfn.LET(
  _xlpm.s, UPPER(B106),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LEYFKSIVAKGKIPHIILHSP</v>
      </c>
      <c r="D106" s="4">
        <v>311</v>
      </c>
      <c r="E106" s="1">
        <v>1</v>
      </c>
      <c r="F106" s="1">
        <v>0</v>
      </c>
      <c r="G106" s="1">
        <v>0</v>
      </c>
      <c r="I106">
        <f t="shared" si="12"/>
        <v>-1.500707224506268</v>
      </c>
      <c r="J106" t="e">
        <f t="shared" si="13"/>
        <v>#NUM!</v>
      </c>
      <c r="K106" t="e">
        <f t="shared" si="14"/>
        <v>#NUM!</v>
      </c>
      <c r="M106" t="e">
        <f t="shared" si="15"/>
        <v>#NUM!</v>
      </c>
      <c r="P106" s="15" t="s">
        <v>1686</v>
      </c>
    </row>
    <row r="107" spans="1:16">
      <c r="A107" s="2" t="s">
        <v>529</v>
      </c>
      <c r="B107" s="6" t="s">
        <v>1092</v>
      </c>
      <c r="C107" s="7" t="str" cm="1">
        <f t="array" ref="C107">_xlfn.LET(
  _xlpm.s, UPPER(B107),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LEYFRAIVARGKIPHIILHSP</v>
      </c>
      <c r="D107" s="4">
        <v>821</v>
      </c>
      <c r="E107" s="1">
        <v>3</v>
      </c>
      <c r="F107" s="1">
        <v>8</v>
      </c>
      <c r="G107" s="1">
        <v>0</v>
      </c>
      <c r="I107">
        <f t="shared" si="12"/>
        <v>-1.4451687378792091</v>
      </c>
      <c r="J107">
        <f t="shared" si="13"/>
        <v>-1.4717783192490645</v>
      </c>
      <c r="K107" t="e">
        <f t="shared" si="14"/>
        <v>#NUM!</v>
      </c>
      <c r="M107" t="e">
        <f t="shared" si="15"/>
        <v>#NUM!</v>
      </c>
      <c r="P107" s="15" t="s">
        <v>1686</v>
      </c>
    </row>
    <row r="108" spans="1:16">
      <c r="A108" s="2" t="s">
        <v>530</v>
      </c>
      <c r="B108" s="6" t="s">
        <v>1093</v>
      </c>
      <c r="C108" s="7" t="str" cm="1">
        <f t="array" ref="C108">_xlfn.LET(
  _xlpm.s, UPPER(B108),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LEFFKNIVKKGKIPHIILHSP</v>
      </c>
      <c r="D108" s="4">
        <v>68</v>
      </c>
      <c r="E108" s="1">
        <v>0</v>
      </c>
      <c r="F108" s="1">
        <v>0</v>
      </c>
      <c r="G108" s="1">
        <v>0</v>
      </c>
      <c r="I108" t="e">
        <f t="shared" si="12"/>
        <v>#NUM!</v>
      </c>
      <c r="J108" t="e">
        <f t="shared" si="13"/>
        <v>#NUM!</v>
      </c>
      <c r="K108" t="e">
        <f t="shared" si="14"/>
        <v>#NUM!</v>
      </c>
      <c r="M108" t="e">
        <f t="shared" si="15"/>
        <v>#NUM!</v>
      </c>
      <c r="P108" s="15" t="s">
        <v>1686</v>
      </c>
    </row>
    <row r="109" spans="1:16">
      <c r="A109" s="2" t="s">
        <v>533</v>
      </c>
      <c r="B109" s="6" t="s">
        <v>1096</v>
      </c>
      <c r="C109" s="7" t="str" cm="1">
        <f t="array" ref="C109">_xlfn.LET(
  _xlpm.s, UPPER(B109),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LEFFKAIVARGKIPHIILHSP</v>
      </c>
      <c r="D109" s="4">
        <v>456</v>
      </c>
      <c r="E109" s="1">
        <v>0</v>
      </c>
      <c r="F109" s="1">
        <v>0</v>
      </c>
      <c r="G109" s="1">
        <v>0</v>
      </c>
      <c r="I109" t="e">
        <f t="shared" si="12"/>
        <v>#NUM!</v>
      </c>
      <c r="J109" t="e">
        <f t="shared" si="13"/>
        <v>#NUM!</v>
      </c>
      <c r="K109" t="e">
        <f t="shared" si="14"/>
        <v>#NUM!</v>
      </c>
      <c r="M109" t="e">
        <f t="shared" si="15"/>
        <v>#NUM!</v>
      </c>
      <c r="P109" s="15" t="s">
        <v>1686</v>
      </c>
    </row>
    <row r="110" spans="1:16">
      <c r="A110" s="2" t="s">
        <v>534</v>
      </c>
      <c r="B110" s="6" t="s">
        <v>1097</v>
      </c>
      <c r="C110" s="7" t="str" cm="1">
        <f t="array" ref="C110">_xlfn.LET(
  _xlpm.s, UPPER(B110),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LEFFKSIVAKGKIPHIILHSP</v>
      </c>
      <c r="D110" s="4">
        <v>214</v>
      </c>
      <c r="E110" s="1">
        <v>0</v>
      </c>
      <c r="F110" s="1">
        <v>0</v>
      </c>
      <c r="G110" s="1">
        <v>2</v>
      </c>
      <c r="I110" t="e">
        <f t="shared" si="12"/>
        <v>#NUM!</v>
      </c>
      <c r="J110" t="e">
        <f t="shared" si="13"/>
        <v>#NUM!</v>
      </c>
      <c r="K110">
        <f t="shared" si="14"/>
        <v>-1.0804552826000544</v>
      </c>
      <c r="M110" t="e">
        <f t="shared" si="15"/>
        <v>#NUM!</v>
      </c>
      <c r="P110" s="15" t="s">
        <v>1686</v>
      </c>
    </row>
    <row r="111" spans="1:16">
      <c r="A111" s="2" t="s">
        <v>535</v>
      </c>
      <c r="B111" s="6" t="s">
        <v>1098</v>
      </c>
      <c r="C111" s="7" t="str" cm="1">
        <f t="array" ref="C111">_xlfn.LET(
  _xlpm.s, UPPER(B111),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LEFFRNIVARGKIPHIILHSP</v>
      </c>
      <c r="D111" s="4">
        <v>607</v>
      </c>
      <c r="E111" s="1">
        <v>2</v>
      </c>
      <c r="F111" s="1">
        <v>0</v>
      </c>
      <c r="G111" s="1">
        <v>0</v>
      </c>
      <c r="I111">
        <f t="shared" si="12"/>
        <v>-1.4901055308907067</v>
      </c>
      <c r="J111" t="e">
        <f t="shared" si="13"/>
        <v>#NUM!</v>
      </c>
      <c r="K111" t="e">
        <f t="shared" si="14"/>
        <v>#NUM!</v>
      </c>
      <c r="M111" t="e">
        <f t="shared" si="15"/>
        <v>#NUM!</v>
      </c>
      <c r="P111" s="15" t="s">
        <v>1686</v>
      </c>
    </row>
    <row r="112" spans="1:16">
      <c r="A112" s="2" t="s">
        <v>549</v>
      </c>
      <c r="B112" s="6" t="s">
        <v>1112</v>
      </c>
      <c r="C112" s="7" t="str" cm="1">
        <f t="array" ref="C112">_xlfn.LET(
  _xlpm.s, UPPER(B112),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LAYFKAIVARGKIPHIILHSP</v>
      </c>
      <c r="D112" s="4">
        <v>865</v>
      </c>
      <c r="E112" s="1">
        <v>1</v>
      </c>
      <c r="F112" s="1">
        <v>0</v>
      </c>
      <c r="G112" s="1">
        <v>2</v>
      </c>
      <c r="I112">
        <f t="shared" si="12"/>
        <v>-1.9449629429442448</v>
      </c>
      <c r="J112" t="e">
        <f t="shared" si="13"/>
        <v>#NUM!</v>
      </c>
      <c r="K112">
        <f t="shared" si="14"/>
        <v>-1.6870576167156777</v>
      </c>
      <c r="M112" t="e">
        <f t="shared" si="15"/>
        <v>#NUM!</v>
      </c>
      <c r="P112" s="15" t="s">
        <v>1686</v>
      </c>
    </row>
    <row r="113" spans="1:16">
      <c r="A113" s="2" t="s">
        <v>1116</v>
      </c>
      <c r="B113" s="6" t="s">
        <v>1117</v>
      </c>
      <c r="D113" s="4" t="s">
        <v>553</v>
      </c>
      <c r="E113" s="1" t="s">
        <v>554</v>
      </c>
      <c r="F113" s="1" t="s">
        <v>555</v>
      </c>
      <c r="G113" s="1" t="s">
        <v>556</v>
      </c>
      <c r="I113" s="1" t="s">
        <v>558</v>
      </c>
      <c r="J113" s="1" t="s">
        <v>559</v>
      </c>
      <c r="K113" s="1" t="s">
        <v>560</v>
      </c>
      <c r="M113" s="1" t="s">
        <v>561</v>
      </c>
    </row>
    <row r="114" spans="1:16">
      <c r="A114" s="2" t="s">
        <v>120</v>
      </c>
      <c r="B114" s="6" t="s">
        <v>683</v>
      </c>
      <c r="C114" s="7" t="str" cm="1">
        <f t="array" ref="C114">_xlfn.LET(
  _xlpm.s, UPPER(B114),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KETMKKIAASGKIPHIILHSP</v>
      </c>
      <c r="D114" s="4">
        <v>467</v>
      </c>
      <c r="E114" s="1">
        <v>954</v>
      </c>
      <c r="F114" s="1">
        <v>2927</v>
      </c>
      <c r="G114" s="1">
        <v>899</v>
      </c>
      <c r="I114">
        <f t="shared" ref="I114:I177" si="16">LOG(E114/D114)-LOG(182/1787)</f>
        <v>1.3022846586585524</v>
      </c>
      <c r="J114">
        <f t="shared" ref="J114:J177" si="17">LOG(F114/D114)-LOG(516/1787)</f>
        <v>1.3365806927461126</v>
      </c>
      <c r="K114">
        <f t="shared" ref="K114:K177" si="18">LOG(G114/D114)-LOG(201/1787)</f>
        <v>1.233371306252272</v>
      </c>
      <c r="M114">
        <f t="shared" ref="M114:M177" si="19">AVERAGE(I114:K114)</f>
        <v>1.2907455525523124</v>
      </c>
      <c r="P114" s="16" t="s">
        <v>1685</v>
      </c>
    </row>
    <row r="115" spans="1:16">
      <c r="A115" s="2" t="s">
        <v>18</v>
      </c>
      <c r="B115" s="6" t="s">
        <v>581</v>
      </c>
      <c r="C115" s="7" t="str" cm="1">
        <f t="array" ref="C115">_xlfn.LET(
  _xlpm.s, UPPER(B115),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KKRFKEIAASGKIPHIILHSP</v>
      </c>
      <c r="D115" s="4">
        <v>565</v>
      </c>
      <c r="E115" s="1">
        <v>5362</v>
      </c>
      <c r="F115" s="1">
        <v>6639</v>
      </c>
      <c r="G115" s="1">
        <v>35</v>
      </c>
      <c r="I115">
        <f t="shared" si="16"/>
        <v>1.9693315263479918</v>
      </c>
      <c r="J115">
        <f t="shared" si="17"/>
        <v>1.6095290717059147</v>
      </c>
      <c r="K115">
        <f t="shared" si="18"/>
        <v>-0.25905190838400749</v>
      </c>
      <c r="M115">
        <f t="shared" si="19"/>
        <v>1.106602896556633</v>
      </c>
      <c r="P115" s="16" t="s">
        <v>1685</v>
      </c>
    </row>
    <row r="116" spans="1:16">
      <c r="A116" s="2" t="s">
        <v>249</v>
      </c>
      <c r="B116" s="6" t="s">
        <v>812</v>
      </c>
      <c r="C116" s="7" t="str" cm="1">
        <f t="array" ref="C116">_xlfn.LET(
  _xlpm.s, UPPER(B116),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KEVMKKIANSGKIPHIILHSP</v>
      </c>
      <c r="D116" s="4">
        <v>328</v>
      </c>
      <c r="E116" s="1">
        <v>4879</v>
      </c>
      <c r="F116" s="1">
        <v>24</v>
      </c>
      <c r="G116" s="1">
        <v>1436</v>
      </c>
      <c r="I116">
        <f t="shared" si="16"/>
        <v>2.1645101389211567</v>
      </c>
      <c r="J116">
        <f t="shared" si="17"/>
        <v>-0.59618775112164013</v>
      </c>
      <c r="K116">
        <f t="shared" si="18"/>
        <v>1.5902090912797577</v>
      </c>
      <c r="M116">
        <f t="shared" si="19"/>
        <v>1.0528438263597582</v>
      </c>
      <c r="P116" s="16" t="s">
        <v>1685</v>
      </c>
    </row>
    <row r="117" spans="1:16">
      <c r="A117" s="2" t="s">
        <v>113</v>
      </c>
      <c r="B117" s="6" t="s">
        <v>676</v>
      </c>
      <c r="C117" s="7" t="str" cm="1">
        <f t="array" ref="C117">_xlfn.LET(
  _xlpm.s, UPPER(B117),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KEKMLEIAKSGKIPHIILHSP</v>
      </c>
      <c r="D117" s="4">
        <v>297</v>
      </c>
      <c r="E117" s="1">
        <v>933</v>
      </c>
      <c r="F117" s="1">
        <v>4117</v>
      </c>
      <c r="G117" s="1">
        <v>29</v>
      </c>
      <c r="I117">
        <f t="shared" si="16"/>
        <v>1.4891783589498571</v>
      </c>
      <c r="J117">
        <f t="shared" si="17"/>
        <v>1.6812992685587065</v>
      </c>
      <c r="K117">
        <f t="shared" si="18"/>
        <v>-6.1429956333100888E-2</v>
      </c>
      <c r="M117">
        <f t="shared" si="19"/>
        <v>1.0363492237251541</v>
      </c>
      <c r="P117" s="16" t="s">
        <v>1685</v>
      </c>
    </row>
    <row r="118" spans="1:16">
      <c r="A118" s="2" t="s">
        <v>209</v>
      </c>
      <c r="B118" s="6" t="s">
        <v>772</v>
      </c>
      <c r="C118" s="7" t="str" cm="1">
        <f t="array" ref="C118">_xlfn.LET(
  _xlpm.s, UPPER(B118),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KELFKAIVAKGKIPHIILHSP</v>
      </c>
      <c r="D118" s="4">
        <v>746</v>
      </c>
      <c r="E118" s="1">
        <v>779</v>
      </c>
      <c r="F118" s="1">
        <v>5501</v>
      </c>
      <c r="G118" s="1">
        <v>340</v>
      </c>
      <c r="I118">
        <f t="shared" si="16"/>
        <v>1.0108517947204652</v>
      </c>
      <c r="J118">
        <f t="shared" si="17"/>
        <v>1.4071776683555302</v>
      </c>
      <c r="K118">
        <f t="shared" si="18"/>
        <v>0.60766858465474161</v>
      </c>
      <c r="M118">
        <f t="shared" si="19"/>
        <v>1.0085660159102456</v>
      </c>
      <c r="P118" s="15" t="s">
        <v>1686</v>
      </c>
    </row>
    <row r="119" spans="1:16">
      <c r="A119" s="2" t="s">
        <v>76</v>
      </c>
      <c r="B119" s="6" t="s">
        <v>639</v>
      </c>
      <c r="C119" s="7" t="str" cm="1">
        <f t="array" ref="C119">_xlfn.LET(
  _xlpm.s, UPPER(B119),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KQRLKEIAASGKIPHIILHSP</v>
      </c>
      <c r="D119" s="4">
        <v>1017</v>
      </c>
      <c r="E119" s="1">
        <v>81</v>
      </c>
      <c r="F119" s="1">
        <v>287311</v>
      </c>
      <c r="G119" s="1">
        <v>99</v>
      </c>
      <c r="I119">
        <f t="shared" si="16"/>
        <v>-0.1067827695235255</v>
      </c>
      <c r="J119">
        <f t="shared" si="17"/>
        <v>2.9905061516811857</v>
      </c>
      <c r="K119">
        <f t="shared" si="18"/>
        <v>-6.2757263240039274E-2</v>
      </c>
      <c r="M119">
        <f t="shared" si="19"/>
        <v>0.94032203963920702</v>
      </c>
      <c r="P119" s="16" t="s">
        <v>1685</v>
      </c>
    </row>
    <row r="120" spans="1:16">
      <c r="A120" s="2" t="s">
        <v>181</v>
      </c>
      <c r="B120" s="6" t="s">
        <v>744</v>
      </c>
      <c r="C120" s="7" t="str" cm="1">
        <f t="array" ref="C120">_xlfn.LET(
  _xlpm.s, UPPER(B120),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KELFKKIAESGKIPHIILHSP</v>
      </c>
      <c r="D120" s="4">
        <v>310</v>
      </c>
      <c r="E120" s="1">
        <v>1460</v>
      </c>
      <c r="F120" s="1">
        <v>1569</v>
      </c>
      <c r="G120" s="1">
        <v>26</v>
      </c>
      <c r="I120">
        <f t="shared" si="16"/>
        <v>1.665044326470734</v>
      </c>
      <c r="J120">
        <f t="shared" si="17"/>
        <v>1.243736100631097</v>
      </c>
      <c r="K120">
        <f t="shared" si="18"/>
        <v>-0.12745985077829936</v>
      </c>
      <c r="M120">
        <f t="shared" si="19"/>
        <v>0.92710685877451049</v>
      </c>
      <c r="P120" s="16" t="s">
        <v>1685</v>
      </c>
    </row>
    <row r="121" spans="1:16">
      <c r="A121" s="2" t="s">
        <v>78</v>
      </c>
      <c r="B121" s="6" t="s">
        <v>641</v>
      </c>
      <c r="C121" s="7" t="str" cm="1">
        <f t="array" ref="C121">_xlfn.LET(
  _xlpm.s, UPPER(B121),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KQRFKEIAASGKIPHIILHSP</v>
      </c>
      <c r="D121" s="4">
        <v>938</v>
      </c>
      <c r="E121" s="1">
        <v>7151</v>
      </c>
      <c r="F121" s="1">
        <v>6505</v>
      </c>
      <c r="G121" s="1">
        <v>33</v>
      </c>
      <c r="I121">
        <f t="shared" si="16"/>
        <v>1.8742171041823745</v>
      </c>
      <c r="J121">
        <f t="shared" si="17"/>
        <v>1.3805193133969735</v>
      </c>
      <c r="K121">
        <f t="shared" si="18"/>
        <v>-0.5047604034160218</v>
      </c>
      <c r="M121">
        <f t="shared" si="19"/>
        <v>0.91665867138777557</v>
      </c>
      <c r="P121" s="16" t="s">
        <v>1685</v>
      </c>
    </row>
    <row r="122" spans="1:16">
      <c r="A122" s="2" t="s">
        <v>241</v>
      </c>
      <c r="B122" s="6" t="s">
        <v>804</v>
      </c>
      <c r="C122" s="7" t="str" cm="1">
        <f t="array" ref="C122">_xlfn.LET(
  _xlpm.s, UPPER(B122),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KEEMKRIAASGKIPHIILHSP</v>
      </c>
      <c r="D122" s="4">
        <v>1297</v>
      </c>
      <c r="E122" s="1">
        <v>51</v>
      </c>
      <c r="F122" s="1">
        <v>197</v>
      </c>
      <c r="G122" s="1">
        <v>373523</v>
      </c>
      <c r="I122">
        <f t="shared" si="16"/>
        <v>-0.41331663546557418</v>
      </c>
      <c r="J122">
        <f t="shared" si="17"/>
        <v>-0.27899889904405417</v>
      </c>
      <c r="K122">
        <f t="shared" si="18"/>
        <v>3.4083058680321283</v>
      </c>
      <c r="M122">
        <f t="shared" si="19"/>
        <v>0.90533011117416662</v>
      </c>
      <c r="P122" s="16" t="s">
        <v>1685</v>
      </c>
    </row>
    <row r="123" spans="1:16">
      <c r="A123" s="2" t="s">
        <v>468</v>
      </c>
      <c r="B123" s="6" t="s">
        <v>1031</v>
      </c>
      <c r="C123" s="7" t="str" cm="1">
        <f t="array" ref="C123">_xlfn.LET(
  _xlpm.s, UPPER(B123),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RELFKSIVNAGKIPHIILHSP</v>
      </c>
      <c r="D123" s="4">
        <v>910</v>
      </c>
      <c r="E123" s="1">
        <v>6144</v>
      </c>
      <c r="F123" s="1">
        <v>28</v>
      </c>
      <c r="G123" s="1">
        <v>7087</v>
      </c>
      <c r="I123">
        <f t="shared" si="16"/>
        <v>1.8214629792229315</v>
      </c>
      <c r="J123">
        <f t="shared" si="17"/>
        <v>-0.97240851010044149</v>
      </c>
      <c r="K123">
        <f t="shared" si="18"/>
        <v>1.8403495355255783</v>
      </c>
      <c r="M123">
        <f t="shared" si="19"/>
        <v>0.89646800154935613</v>
      </c>
      <c r="P123" s="15" t="s">
        <v>1686</v>
      </c>
    </row>
    <row r="124" spans="1:16">
      <c r="A124" s="2" t="s">
        <v>144</v>
      </c>
      <c r="B124" s="6" t="s">
        <v>707</v>
      </c>
      <c r="C124" s="7" t="str" cm="1">
        <f t="array" ref="C124">_xlfn.LET(
  _xlpm.s, UPPER(B124),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KERMRKIASSGKIPHIILHSP</v>
      </c>
      <c r="D124" s="4">
        <v>1437</v>
      </c>
      <c r="E124" s="1">
        <v>1014</v>
      </c>
      <c r="F124" s="1">
        <v>9416</v>
      </c>
      <c r="G124" s="1">
        <v>502</v>
      </c>
      <c r="I124">
        <f t="shared" si="16"/>
        <v>0.84063435138366094</v>
      </c>
      <c r="J124">
        <f t="shared" si="17"/>
        <v>1.3558845325795854</v>
      </c>
      <c r="K124">
        <f t="shared" si="18"/>
        <v>0.49217544409594899</v>
      </c>
      <c r="M124">
        <f t="shared" si="19"/>
        <v>0.89623144268639843</v>
      </c>
      <c r="P124" s="16" t="s">
        <v>1685</v>
      </c>
    </row>
    <row r="125" spans="1:16">
      <c r="A125" s="2" t="s">
        <v>477</v>
      </c>
      <c r="B125" s="6" t="s">
        <v>1040</v>
      </c>
      <c r="C125" s="7" t="str" cm="1">
        <f t="array" ref="C125">_xlfn.LET(
  _xlpm.s, UPPER(B125),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LKKMKEIAKSGKIPHIILHSP</v>
      </c>
      <c r="D125" s="4">
        <v>294</v>
      </c>
      <c r="E125" s="1">
        <v>558</v>
      </c>
      <c r="F125" s="1">
        <v>918</v>
      </c>
      <c r="G125" s="1">
        <v>63</v>
      </c>
      <c r="I125">
        <f t="shared" si="16"/>
        <v>1.2703400330459909</v>
      </c>
      <c r="J125">
        <f t="shared" si="17"/>
        <v>1.0339702016675181</v>
      </c>
      <c r="K125">
        <f t="shared" si="18"/>
        <v>0.27992171412657973</v>
      </c>
      <c r="M125">
        <f t="shared" si="19"/>
        <v>0.861410649613363</v>
      </c>
      <c r="P125" s="16" t="s">
        <v>1685</v>
      </c>
    </row>
    <row r="126" spans="1:16">
      <c r="A126" s="2" t="s">
        <v>77</v>
      </c>
      <c r="B126" s="6" t="s">
        <v>640</v>
      </c>
      <c r="C126" s="7" t="str" cm="1">
        <f t="array" ref="C126">_xlfn.LET(
  _xlpm.s, UPPER(B126),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KQRFKEIAKSGKIPHIILHSP</v>
      </c>
      <c r="D126" s="4">
        <v>460</v>
      </c>
      <c r="E126" s="1">
        <v>71437</v>
      </c>
      <c r="F126" s="1">
        <v>51</v>
      </c>
      <c r="G126" s="1">
        <v>32</v>
      </c>
      <c r="I126">
        <f t="shared" si="16"/>
        <v>3.1832185408863016</v>
      </c>
      <c r="J126">
        <f t="shared" si="17"/>
        <v>-0.41571280470520477</v>
      </c>
      <c r="K126">
        <f t="shared" si="18"/>
        <v>-0.20867935827651274</v>
      </c>
      <c r="M126">
        <f t="shared" si="19"/>
        <v>0.85294212596819463</v>
      </c>
      <c r="P126" s="16" t="s">
        <v>1685</v>
      </c>
    </row>
    <row r="127" spans="1:16">
      <c r="A127" s="2" t="s">
        <v>502</v>
      </c>
      <c r="B127" s="6" t="s">
        <v>1065</v>
      </c>
      <c r="C127" s="7" t="str" cm="1">
        <f t="array" ref="C127">_xlfn.LET(
  _xlpm.s, UPPER(B127),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LEKFKEIAASGKIPHIILHSP</v>
      </c>
      <c r="D127" s="4">
        <v>450</v>
      </c>
      <c r="E127" s="1">
        <v>12326</v>
      </c>
      <c r="F127" s="1">
        <v>19</v>
      </c>
      <c r="G127" s="1">
        <v>408</v>
      </c>
      <c r="I127">
        <f t="shared" si="16"/>
        <v>2.4296628141398822</v>
      </c>
      <c r="J127">
        <f t="shared" si="17"/>
        <v>-0.8349840619440817</v>
      </c>
      <c r="K127">
        <f t="shared" si="18"/>
        <v>0.90637614439969161</v>
      </c>
      <c r="M127">
        <f t="shared" si="19"/>
        <v>0.83368496553183069</v>
      </c>
      <c r="P127" s="16" t="s">
        <v>1685</v>
      </c>
    </row>
    <row r="128" spans="1:16">
      <c r="A128" s="2" t="s">
        <v>150</v>
      </c>
      <c r="B128" s="6" t="s">
        <v>713</v>
      </c>
      <c r="C128" s="7" t="str" cm="1">
        <f t="array" ref="C128">_xlfn.LET(
  _xlpm.s, UPPER(B128),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KERLKEIAASGKIPHIILHSP</v>
      </c>
      <c r="D128" s="4">
        <v>1085</v>
      </c>
      <c r="E128" s="1">
        <v>3464</v>
      </c>
      <c r="F128" s="1">
        <v>3344</v>
      </c>
      <c r="G128" s="1">
        <v>100</v>
      </c>
      <c r="I128">
        <f t="shared" si="16"/>
        <v>1.49620130968133</v>
      </c>
      <c r="J128">
        <f t="shared" si="17"/>
        <v>1.0283113814608633</v>
      </c>
      <c r="K128">
        <f t="shared" si="18"/>
        <v>-8.6501243099392999E-2</v>
      </c>
      <c r="M128">
        <f t="shared" si="19"/>
        <v>0.81267048268093356</v>
      </c>
      <c r="P128" s="16" t="s">
        <v>1685</v>
      </c>
    </row>
    <row r="129" spans="1:16">
      <c r="A129" s="2" t="s">
        <v>312</v>
      </c>
      <c r="B129" s="6" t="s">
        <v>875</v>
      </c>
      <c r="C129" s="7" t="str" cm="1">
        <f t="array" ref="C129">_xlfn.LET(
  _xlpm.s, UPPER(B129),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KEFFKAIVASGKIPHIILHSP</v>
      </c>
      <c r="D129" s="4">
        <v>368</v>
      </c>
      <c r="E129" s="1">
        <v>153</v>
      </c>
      <c r="F129" s="1">
        <v>642</v>
      </c>
      <c r="G129" s="1">
        <v>434</v>
      </c>
      <c r="I129">
        <f t="shared" si="16"/>
        <v>0.6108967766646507</v>
      </c>
      <c r="J129">
        <f t="shared" si="17"/>
        <v>0.78116206027376855</v>
      </c>
      <c r="K129">
        <f t="shared" si="18"/>
        <v>1.0205704059241483</v>
      </c>
      <c r="M129">
        <f t="shared" si="19"/>
        <v>0.80420974762085573</v>
      </c>
      <c r="P129" s="15" t="s">
        <v>1686</v>
      </c>
    </row>
    <row r="130" spans="1:16">
      <c r="A130" s="2" t="s">
        <v>467</v>
      </c>
      <c r="B130" s="6" t="s">
        <v>1030</v>
      </c>
      <c r="C130" s="7" t="str" cm="1">
        <f t="array" ref="C130">_xlfn.LET(
  _xlpm.s, UPPER(B130),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RELFKKIAASGKIPHIILHSP</v>
      </c>
      <c r="D130" s="4">
        <v>788</v>
      </c>
      <c r="E130" s="1">
        <v>290</v>
      </c>
      <c r="F130" s="1">
        <v>7193</v>
      </c>
      <c r="G130" s="1">
        <v>124</v>
      </c>
      <c r="I130">
        <f t="shared" si="16"/>
        <v>0.55792494492997025</v>
      </c>
      <c r="J130">
        <f t="shared" si="17"/>
        <v>1.4998586936896638</v>
      </c>
      <c r="K130">
        <f t="shared" si="18"/>
        <v>0.14582396275783505</v>
      </c>
      <c r="M130">
        <f t="shared" si="19"/>
        <v>0.73453586712582319</v>
      </c>
      <c r="P130" s="16" t="s">
        <v>1685</v>
      </c>
    </row>
    <row r="131" spans="1:16">
      <c r="A131" s="2" t="s">
        <v>183</v>
      </c>
      <c r="B131" s="6" t="s">
        <v>746</v>
      </c>
      <c r="C131" s="7" t="str" cm="1">
        <f t="array" ref="C131">_xlfn.LET(
  _xlpm.s, UPPER(B131),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KELFKKIAASGKIPHIILHSP</v>
      </c>
      <c r="D131" s="4">
        <v>581</v>
      </c>
      <c r="E131" s="1">
        <v>212</v>
      </c>
      <c r="F131" s="1">
        <v>236</v>
      </c>
      <c r="G131" s="1">
        <v>1653</v>
      </c>
      <c r="I131">
        <f t="shared" si="16"/>
        <v>0.55421289305899024</v>
      </c>
      <c r="J131">
        <f t="shared" si="17"/>
        <v>0.14821072145820879</v>
      </c>
      <c r="K131">
        <f t="shared" si="18"/>
        <v>1.403025216266272</v>
      </c>
      <c r="M131">
        <f t="shared" si="19"/>
        <v>0.70181627692782367</v>
      </c>
      <c r="P131" s="16" t="s">
        <v>1685</v>
      </c>
    </row>
    <row r="132" spans="1:16">
      <c r="A132" s="2" t="s">
        <v>509</v>
      </c>
      <c r="B132" s="6" t="s">
        <v>1072</v>
      </c>
      <c r="C132" s="7" t="str" cm="1">
        <f t="array" ref="C132">_xlfn.LET(
  _xlpm.s, UPPER(B132),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LERFKEIAASGKIPHIILHSP</v>
      </c>
      <c r="D132" s="4">
        <v>868</v>
      </c>
      <c r="E132" s="1">
        <v>2769</v>
      </c>
      <c r="F132" s="1">
        <v>82</v>
      </c>
      <c r="G132" s="1">
        <v>1202</v>
      </c>
      <c r="I132">
        <f t="shared" si="16"/>
        <v>1.495856395089652</v>
      </c>
      <c r="J132">
        <f t="shared" si="17"/>
        <v>-0.4852310219143422</v>
      </c>
      <c r="K132">
        <f t="shared" si="18"/>
        <v>1.0903132375753841</v>
      </c>
      <c r="M132">
        <f t="shared" si="19"/>
        <v>0.70031287025023126</v>
      </c>
      <c r="P132" s="16" t="s">
        <v>1685</v>
      </c>
    </row>
    <row r="133" spans="1:16">
      <c r="A133" s="2" t="s">
        <v>345</v>
      </c>
      <c r="B133" s="6" t="s">
        <v>908</v>
      </c>
      <c r="C133" s="7" t="str" cm="1">
        <f t="array" ref="C133">_xlfn.LET(
  _xlpm.s, UPPER(B133),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KAKMREIAASGKIPHIILHSP</v>
      </c>
      <c r="D133" s="4">
        <v>1360</v>
      </c>
      <c r="E133" s="1">
        <v>319</v>
      </c>
      <c r="F133" s="1">
        <v>6899</v>
      </c>
      <c r="G133" s="1">
        <v>462</v>
      </c>
      <c r="I133">
        <f t="shared" si="16"/>
        <v>0.36230493920753304</v>
      </c>
      <c r="J133">
        <f t="shared" si="17"/>
        <v>1.2447220874548099</v>
      </c>
      <c r="K133">
        <f t="shared" si="18"/>
        <v>0.48003156227106331</v>
      </c>
      <c r="M133">
        <f t="shared" si="19"/>
        <v>0.69568619631113549</v>
      </c>
      <c r="P133" s="16" t="s">
        <v>1685</v>
      </c>
    </row>
    <row r="134" spans="1:16">
      <c r="A134" s="2" t="s">
        <v>137</v>
      </c>
      <c r="B134" s="6" t="s">
        <v>700</v>
      </c>
      <c r="C134" s="7" t="str" cm="1">
        <f t="array" ref="C134">_xlfn.LET(
  _xlpm.s, UPPER(B134),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KEQLKAIAKSGKIPHIILHSP</v>
      </c>
      <c r="D134" s="4">
        <v>673</v>
      </c>
      <c r="E134" s="1">
        <v>3423</v>
      </c>
      <c r="F134" s="1">
        <v>139</v>
      </c>
      <c r="G134" s="1">
        <v>236</v>
      </c>
      <c r="I134">
        <f t="shared" si="16"/>
        <v>1.6984449994344697</v>
      </c>
      <c r="J134">
        <f t="shared" si="17"/>
        <v>-0.14552541309144884</v>
      </c>
      <c r="K134">
        <f t="shared" si="18"/>
        <v>0.49382543383128502</v>
      </c>
      <c r="M134">
        <f t="shared" si="19"/>
        <v>0.68224834005810198</v>
      </c>
      <c r="P134" s="16" t="s">
        <v>1685</v>
      </c>
    </row>
    <row r="135" spans="1:16">
      <c r="A135" s="2" t="s">
        <v>132</v>
      </c>
      <c r="B135" s="6" t="s">
        <v>695</v>
      </c>
      <c r="C135" s="7" t="str" cm="1">
        <f t="array" ref="C135">_xlfn.LET(
  _xlpm.s, UPPER(B135),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KETFKAIAASGKIPHIILHSP</v>
      </c>
      <c r="D135" s="4">
        <v>649</v>
      </c>
      <c r="E135" s="1">
        <v>60498</v>
      </c>
      <c r="F135" s="1">
        <v>28</v>
      </c>
      <c r="G135" s="1">
        <v>59</v>
      </c>
      <c r="I135">
        <f t="shared" si="16"/>
        <v>2.9615494852929838</v>
      </c>
      <c r="J135">
        <f t="shared" si="17"/>
        <v>-0.825611814579717</v>
      </c>
      <c r="K135">
        <f t="shared" si="18"/>
        <v>-9.2464190073069608E-2</v>
      </c>
      <c r="M135">
        <f t="shared" si="19"/>
        <v>0.68115782688006588</v>
      </c>
      <c r="P135" s="16" t="s">
        <v>1685</v>
      </c>
    </row>
    <row r="136" spans="1:16">
      <c r="A136" s="2" t="s">
        <v>431</v>
      </c>
      <c r="B136" s="6" t="s">
        <v>994</v>
      </c>
      <c r="C136" s="7" t="str" cm="1">
        <f t="array" ref="C136">_xlfn.LET(
  _xlpm.s, UPPER(B136),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KAFFKAIVASGKIPHIILHSP</v>
      </c>
      <c r="D136" s="4">
        <v>809</v>
      </c>
      <c r="E136" s="1">
        <v>1523</v>
      </c>
      <c r="F136" s="1">
        <v>21</v>
      </c>
      <c r="G136" s="1">
        <v>5691</v>
      </c>
      <c r="I136">
        <f t="shared" si="16"/>
        <v>1.2668045462443398</v>
      </c>
      <c r="J136">
        <f t="shared" si="17"/>
        <v>-1.0462543759999203</v>
      </c>
      <c r="K136">
        <f t="shared" si="18"/>
        <v>1.796168559081208</v>
      </c>
      <c r="M136">
        <f t="shared" si="19"/>
        <v>0.67223957644187582</v>
      </c>
      <c r="P136" s="15" t="s">
        <v>1686</v>
      </c>
    </row>
    <row r="137" spans="1:16">
      <c r="A137" s="2" t="s">
        <v>343</v>
      </c>
      <c r="B137" s="6" t="s">
        <v>906</v>
      </c>
      <c r="C137" s="7" t="str" cm="1">
        <f t="array" ref="C137">_xlfn.LET(
  _xlpm.s, UPPER(B137),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KAKMKEIAASGKIPHIILHSP</v>
      </c>
      <c r="D137" s="4">
        <v>894</v>
      </c>
      <c r="E137" s="1">
        <v>6468</v>
      </c>
      <c r="F137" s="1">
        <v>455</v>
      </c>
      <c r="G137" s="1">
        <v>81</v>
      </c>
      <c r="I137">
        <f t="shared" si="16"/>
        <v>1.8514856569590155</v>
      </c>
      <c r="J137">
        <f t="shared" si="17"/>
        <v>0.24614872873962768</v>
      </c>
      <c r="K137">
        <f t="shared" si="18"/>
        <v>-9.3924004832112606E-2</v>
      </c>
      <c r="M137">
        <f t="shared" si="19"/>
        <v>0.6679034602888434</v>
      </c>
      <c r="P137" s="16" t="s">
        <v>1685</v>
      </c>
    </row>
    <row r="138" spans="1:16">
      <c r="A138" s="2" t="s">
        <v>127</v>
      </c>
      <c r="B138" s="6" t="s">
        <v>690</v>
      </c>
      <c r="C138" s="7" t="str" cm="1">
        <f t="array" ref="C138">_xlfn.LET(
  _xlpm.s, UPPER(B138),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KETMKSIASSGKIPHIILHSP</v>
      </c>
      <c r="D138" s="4">
        <v>833</v>
      </c>
      <c r="E138" s="1">
        <v>32</v>
      </c>
      <c r="F138" s="1">
        <v>4827</v>
      </c>
      <c r="G138" s="1">
        <v>1131</v>
      </c>
      <c r="I138">
        <f t="shared" si="16"/>
        <v>-0.42344185856631222</v>
      </c>
      <c r="J138">
        <f t="shared" si="17"/>
        <v>1.3025071482903372</v>
      </c>
      <c r="K138">
        <f t="shared" si="18"/>
        <v>1.081746098603823</v>
      </c>
      <c r="M138">
        <f t="shared" si="19"/>
        <v>0.65360379610928265</v>
      </c>
      <c r="P138" s="16" t="s">
        <v>1685</v>
      </c>
    </row>
    <row r="139" spans="1:16">
      <c r="A139" s="2" t="s">
        <v>20</v>
      </c>
      <c r="B139" s="6" t="s">
        <v>583</v>
      </c>
      <c r="C139" s="7" t="str" cm="1">
        <f t="array" ref="C139">_xlfn.LET(
  _xlpm.s, UPPER(B139),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KKLMKKIAESGKIPHIILHSP</v>
      </c>
      <c r="D139" s="4">
        <v>238</v>
      </c>
      <c r="E139" s="1">
        <v>10</v>
      </c>
      <c r="F139" s="1">
        <v>15184</v>
      </c>
      <c r="G139" s="1">
        <v>26</v>
      </c>
      <c r="I139">
        <f t="shared" si="16"/>
        <v>-0.38452379253594238</v>
      </c>
      <c r="J139">
        <f t="shared" si="17"/>
        <v>2.3442840889051384</v>
      </c>
      <c r="K139">
        <f t="shared" si="18"/>
        <v>-1.2675114000538668E-2</v>
      </c>
      <c r="M139">
        <f t="shared" si="19"/>
        <v>0.64902839412288582</v>
      </c>
      <c r="P139" s="16" t="s">
        <v>1685</v>
      </c>
    </row>
    <row r="140" spans="1:16">
      <c r="A140" s="2" t="s">
        <v>483</v>
      </c>
      <c r="B140" s="6" t="s">
        <v>1046</v>
      </c>
      <c r="C140" s="7" t="str" cm="1">
        <f t="array" ref="C140">_xlfn.LET(
  _xlpm.s, UPPER(B140),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LKRFKEIAASGKIPHIILHSP</v>
      </c>
      <c r="D140" s="4">
        <v>798</v>
      </c>
      <c r="E140" s="1">
        <v>368</v>
      </c>
      <c r="F140" s="1">
        <v>2171</v>
      </c>
      <c r="G140" s="1">
        <v>175</v>
      </c>
      <c r="I140">
        <f t="shared" si="16"/>
        <v>0.65589809184335768</v>
      </c>
      <c r="J140">
        <f t="shared" si="17"/>
        <v>0.97413178298212355</v>
      </c>
      <c r="K140">
        <f t="shared" si="18"/>
        <v>0.28996365242072031</v>
      </c>
      <c r="M140">
        <f t="shared" si="19"/>
        <v>0.63999784241540059</v>
      </c>
      <c r="P140" s="16" t="s">
        <v>1685</v>
      </c>
    </row>
    <row r="141" spans="1:16">
      <c r="A141" s="2" t="s">
        <v>153</v>
      </c>
      <c r="B141" s="6" t="s">
        <v>716</v>
      </c>
      <c r="C141" s="7" t="str" cm="1">
        <f t="array" ref="C141">_xlfn.LET(
  _xlpm.s, UPPER(B141),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KERFKKIAAAGKIPHIILHSP</v>
      </c>
      <c r="D141" s="4">
        <v>394</v>
      </c>
      <c r="E141" s="1">
        <v>280</v>
      </c>
      <c r="F141" s="1">
        <v>279</v>
      </c>
      <c r="G141" s="1">
        <v>196</v>
      </c>
      <c r="I141">
        <f t="shared" si="16"/>
        <v>0.84371497403721452</v>
      </c>
      <c r="J141">
        <f t="shared" si="17"/>
        <v>0.38958283232645635</v>
      </c>
      <c r="K141">
        <f t="shared" si="18"/>
        <v>0.64568834461605729</v>
      </c>
      <c r="M141">
        <f t="shared" si="19"/>
        <v>0.62632871699324266</v>
      </c>
      <c r="P141" s="16" t="s">
        <v>1685</v>
      </c>
    </row>
    <row r="142" spans="1:16">
      <c r="A142" s="2" t="s">
        <v>365</v>
      </c>
      <c r="B142" s="6" t="s">
        <v>928</v>
      </c>
      <c r="C142" s="7" t="str" cm="1">
        <f t="array" ref="C142">_xlfn.LET(
  _xlpm.s, UPPER(B142),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KARFKAIAASGKIPHIILHSP</v>
      </c>
      <c r="D142" s="4">
        <v>1533</v>
      </c>
      <c r="E142" s="1">
        <v>4764</v>
      </c>
      <c r="F142" s="1">
        <v>2576</v>
      </c>
      <c r="G142" s="1">
        <v>64</v>
      </c>
      <c r="I142">
        <f t="shared" si="16"/>
        <v>1.4844827624769341</v>
      </c>
      <c r="J142">
        <f t="shared" si="17"/>
        <v>0.76487855471183219</v>
      </c>
      <c r="K142">
        <f t="shared" si="18"/>
        <v>-0.43043368578533281</v>
      </c>
      <c r="M142">
        <f t="shared" si="19"/>
        <v>0.60630921046781117</v>
      </c>
      <c r="P142" s="16" t="s">
        <v>1685</v>
      </c>
    </row>
    <row r="143" spans="1:16">
      <c r="A143" s="2" t="s">
        <v>359</v>
      </c>
      <c r="B143" s="6" t="s">
        <v>922</v>
      </c>
      <c r="C143" s="7" t="str" cm="1">
        <f t="array" ref="C143">_xlfn.LET(
  _xlpm.s, UPPER(B143),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KARMKEIVASGKIPHIILHSP</v>
      </c>
      <c r="D143" s="4">
        <v>1242</v>
      </c>
      <c r="E143" s="1">
        <v>600</v>
      </c>
      <c r="F143" s="1">
        <v>665</v>
      </c>
      <c r="G143" s="1">
        <v>981</v>
      </c>
      <c r="I143">
        <f t="shared" si="16"/>
        <v>0.67608281906365164</v>
      </c>
      <c r="J143">
        <f t="shared" si="17"/>
        <v>0.26817490034097619</v>
      </c>
      <c r="K143">
        <f t="shared" si="18"/>
        <v>0.84647590662454242</v>
      </c>
      <c r="M143">
        <f t="shared" si="19"/>
        <v>0.59691120867639003</v>
      </c>
      <c r="P143" s="16" t="s">
        <v>1685</v>
      </c>
    </row>
    <row r="144" spans="1:16">
      <c r="A144" s="2" t="s">
        <v>466</v>
      </c>
      <c r="B144" s="6" t="s">
        <v>1029</v>
      </c>
      <c r="C144" s="7" t="str" cm="1">
        <f t="array" ref="C144">_xlfn.LET(
  _xlpm.s, UPPER(B144),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RELMKKIAASGKIPHIILHSP</v>
      </c>
      <c r="D144" s="4">
        <v>1036</v>
      </c>
      <c r="E144" s="1">
        <v>624</v>
      </c>
      <c r="F144" s="1">
        <v>650</v>
      </c>
      <c r="G144" s="1">
        <v>497</v>
      </c>
      <c r="I144">
        <f t="shared" si="16"/>
        <v>0.77187799879377927</v>
      </c>
      <c r="J144">
        <f t="shared" si="17"/>
        <v>0.33702845211207427</v>
      </c>
      <c r="K144">
        <f t="shared" si="18"/>
        <v>0.62992512840927317</v>
      </c>
      <c r="M144">
        <f t="shared" si="19"/>
        <v>0.57961052643837563</v>
      </c>
      <c r="P144" s="16" t="s">
        <v>1685</v>
      </c>
    </row>
    <row r="145" spans="1:16">
      <c r="A145" s="2" t="s">
        <v>159</v>
      </c>
      <c r="B145" s="6" t="s">
        <v>722</v>
      </c>
      <c r="C145" s="7" t="str" cm="1">
        <f t="array" ref="C145">_xlfn.LET(
  _xlpm.s, UPPER(B145),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KERFKAIAASGKIPHIILHSP</v>
      </c>
      <c r="D145" s="4">
        <v>1157</v>
      </c>
      <c r="E145" s="1">
        <v>454</v>
      </c>
      <c r="F145" s="1">
        <v>6269</v>
      </c>
      <c r="G145" s="1">
        <v>94</v>
      </c>
      <c r="I145">
        <f t="shared" si="16"/>
        <v>0.58577565842592383</v>
      </c>
      <c r="J145">
        <f t="shared" si="17"/>
        <v>1.2733397617656423</v>
      </c>
      <c r="K145">
        <f t="shared" si="18"/>
        <v>-0.14127701026689565</v>
      </c>
      <c r="M145">
        <f t="shared" si="19"/>
        <v>0.57261280330822351</v>
      </c>
      <c r="P145" s="16" t="s">
        <v>1685</v>
      </c>
    </row>
    <row r="146" spans="1:16">
      <c r="A146" s="2" t="s">
        <v>75</v>
      </c>
      <c r="B146" s="6" t="s">
        <v>638</v>
      </c>
      <c r="C146" s="7" t="str" cm="1">
        <f t="array" ref="C146">_xlfn.LET(
  _xlpm.s, UPPER(B146),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KQRMLEIANSGKIPHIILHSP</v>
      </c>
      <c r="D146" s="4">
        <v>883</v>
      </c>
      <c r="E146" s="1">
        <v>387</v>
      </c>
      <c r="F146" s="1">
        <v>4361</v>
      </c>
      <c r="G146" s="1">
        <v>66</v>
      </c>
      <c r="I146">
        <f t="shared" si="16"/>
        <v>0.6338034259619123</v>
      </c>
      <c r="J146">
        <f t="shared" si="17"/>
        <v>1.2331002339742909</v>
      </c>
      <c r="K146">
        <f t="shared" si="18"/>
        <v>-0.17748827295054448</v>
      </c>
      <c r="M146">
        <f t="shared" si="19"/>
        <v>0.56313846232855291</v>
      </c>
      <c r="P146" s="16" t="s">
        <v>1685</v>
      </c>
    </row>
    <row r="147" spans="1:16">
      <c r="A147" s="2" t="s">
        <v>165</v>
      </c>
      <c r="B147" s="6" t="s">
        <v>728</v>
      </c>
      <c r="C147" s="7" t="str" cm="1">
        <f t="array" ref="C147">_xlfn.LET(
  _xlpm.s, UPPER(B147),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KELMKKIADSGKIPHIILHSP</v>
      </c>
      <c r="D147" s="4">
        <v>381</v>
      </c>
      <c r="E147" s="1">
        <v>1902</v>
      </c>
      <c r="F147" s="1">
        <v>18</v>
      </c>
      <c r="G147" s="1">
        <v>253</v>
      </c>
      <c r="I147">
        <f t="shared" si="16"/>
        <v>1.6903387014463451</v>
      </c>
      <c r="J147">
        <f t="shared" si="17"/>
        <v>-0.78617761969388023</v>
      </c>
      <c r="K147">
        <f t="shared" si="18"/>
        <v>0.77112404058535389</v>
      </c>
      <c r="M147">
        <f t="shared" si="19"/>
        <v>0.55842837411260626</v>
      </c>
      <c r="P147" s="16" t="s">
        <v>1685</v>
      </c>
    </row>
    <row r="148" spans="1:16">
      <c r="A148" s="2" t="s">
        <v>465</v>
      </c>
      <c r="B148" s="6" t="s">
        <v>1028</v>
      </c>
      <c r="C148" s="7" t="str" cm="1">
        <f t="array" ref="C148">_xlfn.LET(
  _xlpm.s, UPPER(B148),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RELMKKIAESGKIPHIILHSP</v>
      </c>
      <c r="D148" s="4">
        <v>642</v>
      </c>
      <c r="E148" s="1">
        <v>123</v>
      </c>
      <c r="F148" s="1">
        <v>6876</v>
      </c>
      <c r="G148" s="1">
        <v>43</v>
      </c>
      <c r="I148">
        <f t="shared" si="16"/>
        <v>0.27442324789111405</v>
      </c>
      <c r="J148">
        <f t="shared" si="17"/>
        <v>1.5692756908245946</v>
      </c>
      <c r="K148">
        <f t="shared" si="18"/>
        <v>-0.2251380774041114</v>
      </c>
      <c r="M148">
        <f t="shared" si="19"/>
        <v>0.53952028710386568</v>
      </c>
      <c r="P148" s="16" t="s">
        <v>1685</v>
      </c>
    </row>
    <row r="149" spans="1:16">
      <c r="A149" s="2" t="s">
        <v>540</v>
      </c>
      <c r="B149" s="6" t="s">
        <v>1103</v>
      </c>
      <c r="C149" s="7" t="str" cm="1">
        <f t="array" ref="C149">_xlfn.LET(
  _xlpm.s, UPPER(B149),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LALMKQIAASGKIPHIILHSP</v>
      </c>
      <c r="D149" s="4">
        <v>1689</v>
      </c>
      <c r="E149" s="1">
        <v>97872</v>
      </c>
      <c r="F149" s="1">
        <v>49</v>
      </c>
      <c r="G149" s="1">
        <v>138</v>
      </c>
      <c r="I149">
        <f t="shared" si="16"/>
        <v>2.7550819781032878</v>
      </c>
      <c r="J149">
        <f t="shared" si="17"/>
        <v>-0.99795871866406205</v>
      </c>
      <c r="K149">
        <f t="shared" si="18"/>
        <v>-0.13882206808461683</v>
      </c>
      <c r="M149">
        <f t="shared" si="19"/>
        <v>0.53943373045153631</v>
      </c>
      <c r="P149" s="16" t="s">
        <v>1685</v>
      </c>
    </row>
    <row r="150" spans="1:16">
      <c r="A150" s="2" t="s">
        <v>222</v>
      </c>
      <c r="B150" s="6" t="s">
        <v>785</v>
      </c>
      <c r="C150" s="7" t="str" cm="1">
        <f t="array" ref="C150">_xlfn.LET(
  _xlpm.s, UPPER(B150),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KELFQAIVAKGKIPHIILHSP</v>
      </c>
      <c r="D150" s="4">
        <v>725</v>
      </c>
      <c r="E150" s="1">
        <v>30467</v>
      </c>
      <c r="F150" s="1">
        <v>63</v>
      </c>
      <c r="G150" s="1">
        <v>24</v>
      </c>
      <c r="I150">
        <f t="shared" si="16"/>
        <v>2.6155448505185164</v>
      </c>
      <c r="J150">
        <f t="shared" si="17"/>
        <v>-0.52152260623897895</v>
      </c>
      <c r="K150">
        <f t="shared" si="18"/>
        <v>-0.53119826977423235</v>
      </c>
      <c r="M150">
        <f t="shared" si="19"/>
        <v>0.52094132483510169</v>
      </c>
      <c r="P150" s="15" t="s">
        <v>1686</v>
      </c>
    </row>
    <row r="151" spans="1:16">
      <c r="A151" s="2" t="s">
        <v>342</v>
      </c>
      <c r="B151" s="6" t="s">
        <v>905</v>
      </c>
      <c r="C151" s="7" t="str" cm="1">
        <f t="array" ref="C151">_xlfn.LET(
  _xlpm.s, UPPER(B151),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KAKMKEIAKSGKIPHIILHSP</v>
      </c>
      <c r="D151" s="4">
        <v>458</v>
      </c>
      <c r="E151" s="1">
        <v>10562</v>
      </c>
      <c r="F151" s="1">
        <v>21</v>
      </c>
      <c r="G151" s="1">
        <v>48</v>
      </c>
      <c r="I151">
        <f t="shared" si="16"/>
        <v>2.3549338496691763</v>
      </c>
      <c r="J151">
        <f t="shared" si="17"/>
        <v>-0.79917133239151694</v>
      </c>
      <c r="K151">
        <f t="shared" si="18"/>
        <v>-3.0695745543126707E-2</v>
      </c>
      <c r="M151">
        <f t="shared" si="19"/>
        <v>0.50835559057817759</v>
      </c>
      <c r="P151" s="16" t="s">
        <v>1685</v>
      </c>
    </row>
    <row r="152" spans="1:16">
      <c r="A152" s="2" t="s">
        <v>114</v>
      </c>
      <c r="B152" s="6" t="s">
        <v>677</v>
      </c>
      <c r="C152" s="7" t="str" cm="1">
        <f t="array" ref="C152">_xlfn.LET(
  _xlpm.s, UPPER(B152),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KEKLKEIAASGKIPHIILHSP</v>
      </c>
      <c r="D152" s="4">
        <v>622</v>
      </c>
      <c r="E152" s="1">
        <v>188</v>
      </c>
      <c r="F152" s="1">
        <v>3433</v>
      </c>
      <c r="G152" s="1">
        <v>39</v>
      </c>
      <c r="I152">
        <f t="shared" si="16"/>
        <v>0.47242062909343063</v>
      </c>
      <c r="J152">
        <f t="shared" si="17"/>
        <v>1.2813582696133645</v>
      </c>
      <c r="K152">
        <f t="shared" si="18"/>
        <v>-0.25379728257916412</v>
      </c>
      <c r="M152">
        <f t="shared" si="19"/>
        <v>0.4999938720425437</v>
      </c>
      <c r="P152" s="16" t="s">
        <v>1685</v>
      </c>
    </row>
    <row r="153" spans="1:16">
      <c r="A153" s="2" t="s">
        <v>302</v>
      </c>
      <c r="B153" s="6" t="s">
        <v>865</v>
      </c>
      <c r="C153" s="7" t="str" cm="1">
        <f t="array" ref="C153">_xlfn.LET(
  _xlpm.s, UPPER(B153),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KEFFKEIVASGKIPHIILHSP</v>
      </c>
      <c r="D153" s="4">
        <v>189</v>
      </c>
      <c r="E153" s="1">
        <v>5</v>
      </c>
      <c r="F153" s="1">
        <v>12</v>
      </c>
      <c r="G153" s="1">
        <v>11766</v>
      </c>
      <c r="I153">
        <f t="shared" si="16"/>
        <v>-0.58543863531665585</v>
      </c>
      <c r="J153">
        <f t="shared" si="17"/>
        <v>-0.65780570724718646</v>
      </c>
      <c r="K153">
        <f t="shared" si="18"/>
        <v>2.7430955349633388</v>
      </c>
      <c r="M153">
        <f t="shared" si="19"/>
        <v>0.49995039746649877</v>
      </c>
      <c r="P153" s="15" t="s">
        <v>1686</v>
      </c>
    </row>
    <row r="154" spans="1:16">
      <c r="A154" s="2" t="s">
        <v>130</v>
      </c>
      <c r="B154" s="6" t="s">
        <v>693</v>
      </c>
      <c r="C154" s="7" t="str" cm="1">
        <f t="array" ref="C154">_xlfn.LET(
  _xlpm.s, UPPER(B154),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KETLQKIANSGKIPHIILHSP</v>
      </c>
      <c r="D154" s="4">
        <v>248</v>
      </c>
      <c r="E154" s="1">
        <v>482</v>
      </c>
      <c r="F154" s="1">
        <v>270</v>
      </c>
      <c r="G154" s="1">
        <v>10</v>
      </c>
      <c r="I154">
        <f t="shared" si="16"/>
        <v>1.2806485219332027</v>
      </c>
      <c r="J154">
        <f t="shared" si="17"/>
        <v>0.57638693421120402</v>
      </c>
      <c r="K154">
        <f t="shared" si="18"/>
        <v>-0.44552318574106087</v>
      </c>
      <c r="M154">
        <f t="shared" si="19"/>
        <v>0.4705040901344486</v>
      </c>
      <c r="P154" s="16" t="s">
        <v>1685</v>
      </c>
    </row>
    <row r="155" spans="1:16">
      <c r="A155" s="2" t="s">
        <v>504</v>
      </c>
      <c r="B155" s="6" t="s">
        <v>1067</v>
      </c>
      <c r="C155" s="7" t="str" cm="1">
        <f t="array" ref="C155">_xlfn.LET(
  _xlpm.s, UPPER(B155),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LETMKKIAASGKIPHIILHSP</v>
      </c>
      <c r="D155" s="4">
        <v>649</v>
      </c>
      <c r="E155" s="1">
        <v>2477</v>
      </c>
      <c r="F155" s="1">
        <v>191</v>
      </c>
      <c r="G155" s="1">
        <v>47</v>
      </c>
      <c r="I155">
        <f t="shared" si="16"/>
        <v>1.5737344743060371</v>
      </c>
      <c r="J155">
        <f t="shared" si="17"/>
        <v>8.2635213257912232E-3</v>
      </c>
      <c r="K155">
        <f t="shared" si="18"/>
        <v>-0.19121834377949654</v>
      </c>
      <c r="M155">
        <f t="shared" si="19"/>
        <v>0.46359321728411063</v>
      </c>
      <c r="P155" s="16" t="s">
        <v>1685</v>
      </c>
    </row>
    <row r="156" spans="1:16">
      <c r="A156" s="2" t="s">
        <v>211</v>
      </c>
      <c r="B156" s="6" t="s">
        <v>774</v>
      </c>
      <c r="C156" s="7" t="str" cm="1">
        <f t="array" ref="C156">_xlfn.LET(
  _xlpm.s, UPPER(B156),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KELFKAIVASGKIPHIILHSP</v>
      </c>
      <c r="D156" s="4">
        <v>1067</v>
      </c>
      <c r="E156" s="1">
        <v>11893</v>
      </c>
      <c r="F156" s="1">
        <v>204</v>
      </c>
      <c r="G156" s="1">
        <v>40</v>
      </c>
      <c r="I156">
        <f t="shared" si="16"/>
        <v>2.039180163979402</v>
      </c>
      <c r="J156">
        <f t="shared" si="17"/>
        <v>-0.17905940112013818</v>
      </c>
      <c r="K156">
        <f t="shared" si="18"/>
        <v>-0.4771759330113523</v>
      </c>
      <c r="M156">
        <f t="shared" si="19"/>
        <v>0.46098160994930387</v>
      </c>
      <c r="P156" s="15" t="s">
        <v>1686</v>
      </c>
    </row>
    <row r="157" spans="1:16">
      <c r="A157" s="2" t="s">
        <v>37</v>
      </c>
      <c r="B157" s="6" t="s">
        <v>600</v>
      </c>
      <c r="C157" s="7" t="str" cm="1">
        <f t="array" ref="C157">_xlfn.LET(
  _xlpm.s, UPPER(B157),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KKLFKEIVARGKIPHIILHSP</v>
      </c>
      <c r="D157" s="4">
        <v>404</v>
      </c>
      <c r="E157" s="1">
        <v>14</v>
      </c>
      <c r="F157" s="1">
        <v>34</v>
      </c>
      <c r="G157" s="1">
        <v>9988</v>
      </c>
      <c r="I157">
        <f t="shared" si="16"/>
        <v>-0.4682001649117975</v>
      </c>
      <c r="J157">
        <f t="shared" si="17"/>
        <v>-0.53542759718991684</v>
      </c>
      <c r="K157">
        <f t="shared" si="18"/>
        <v>2.3420256636538603</v>
      </c>
      <c r="M157">
        <f t="shared" si="19"/>
        <v>0.44613263385071528</v>
      </c>
      <c r="P157" s="15" t="s">
        <v>1686</v>
      </c>
    </row>
    <row r="158" spans="1:16">
      <c r="A158" s="2" t="s">
        <v>449</v>
      </c>
      <c r="B158" s="6" t="s">
        <v>1012</v>
      </c>
      <c r="C158" s="7" t="str" cm="1">
        <f t="array" ref="C158">_xlfn.LET(
  _xlpm.s, UPPER(B158),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KSFFKEIVESGKIPHIILHSP</v>
      </c>
      <c r="D158" s="4">
        <v>166</v>
      </c>
      <c r="E158" s="1">
        <v>16</v>
      </c>
      <c r="F158" s="1">
        <v>23</v>
      </c>
      <c r="G158" s="1">
        <v>887</v>
      </c>
      <c r="I158">
        <f t="shared" si="16"/>
        <v>-2.3934940863560739E-2</v>
      </c>
      <c r="J158">
        <f t="shared" si="17"/>
        <v>-0.31890540114402932</v>
      </c>
      <c r="K158">
        <f t="shared" si="18"/>
        <v>1.6767440268768266</v>
      </c>
      <c r="M158">
        <f t="shared" si="19"/>
        <v>0.44463456162307885</v>
      </c>
      <c r="P158" s="15" t="s">
        <v>1686</v>
      </c>
    </row>
    <row r="159" spans="1:16">
      <c r="A159" s="2" t="s">
        <v>215</v>
      </c>
      <c r="B159" s="6" t="s">
        <v>778</v>
      </c>
      <c r="C159" s="7" t="str" cm="1">
        <f t="array" ref="C159">_xlfn.LET(
  _xlpm.s, UPPER(B159),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KELFKSIVKSGKIPHIILHSP</v>
      </c>
      <c r="D159" s="4">
        <v>435</v>
      </c>
      <c r="E159" s="1">
        <v>292</v>
      </c>
      <c r="F159" s="1">
        <v>4022</v>
      </c>
      <c r="G159" s="1">
        <v>5</v>
      </c>
      <c r="I159">
        <f t="shared" si="16"/>
        <v>0.81894675901435043</v>
      </c>
      <c r="J159">
        <f t="shared" si="17"/>
        <v>1.5054276601845187</v>
      </c>
      <c r="K159">
        <f t="shared" si="18"/>
        <v>-0.99059075753346315</v>
      </c>
      <c r="M159">
        <f t="shared" si="19"/>
        <v>0.44459455388846864</v>
      </c>
      <c r="P159" s="15" t="s">
        <v>1686</v>
      </c>
    </row>
    <row r="160" spans="1:16">
      <c r="A160" s="2" t="s">
        <v>155</v>
      </c>
      <c r="B160" s="6" t="s">
        <v>718</v>
      </c>
      <c r="C160" s="7" t="str" cm="1">
        <f t="array" ref="C160">_xlfn.LET(
  _xlpm.s, UPPER(B160),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KERFKEIAKSGKIPHIILHSP</v>
      </c>
      <c r="D160" s="4">
        <v>450</v>
      </c>
      <c r="E160" s="1">
        <v>675</v>
      </c>
      <c r="F160" s="1">
        <v>98</v>
      </c>
      <c r="G160" s="1">
        <v>96</v>
      </c>
      <c r="I160">
        <f t="shared" si="16"/>
        <v>1.1681444235762508</v>
      </c>
      <c r="J160">
        <f t="shared" si="17"/>
        <v>-0.12251158720441591</v>
      </c>
      <c r="K160">
        <f t="shared" si="18"/>
        <v>0.27798721434938012</v>
      </c>
      <c r="M160">
        <f t="shared" si="19"/>
        <v>0.44120668357373827</v>
      </c>
      <c r="P160" s="16" t="s">
        <v>1685</v>
      </c>
    </row>
    <row r="161" spans="1:16">
      <c r="A161" s="2" t="s">
        <v>364</v>
      </c>
      <c r="B161" s="6" t="s">
        <v>927</v>
      </c>
      <c r="C161" s="7" t="str" cm="1">
        <f t="array" ref="C161">_xlfn.LET(
  _xlpm.s, UPPER(B161),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KARFKEIAASGKIPHIILHSP</v>
      </c>
      <c r="D161" s="4">
        <v>1129</v>
      </c>
      <c r="E161" s="1">
        <v>467</v>
      </c>
      <c r="F161" s="1">
        <v>2618</v>
      </c>
      <c r="G161" s="1">
        <v>81</v>
      </c>
      <c r="I161">
        <f t="shared" si="16"/>
        <v>0.60867610316171383</v>
      </c>
      <c r="J161">
        <f t="shared" si="17"/>
        <v>0.90475055116820213</v>
      </c>
      <c r="K161">
        <f t="shared" si="18"/>
        <v>-0.19528042796116285</v>
      </c>
      <c r="M161">
        <f t="shared" si="19"/>
        <v>0.43938207545625102</v>
      </c>
      <c r="P161" s="16" t="s">
        <v>1685</v>
      </c>
    </row>
    <row r="162" spans="1:16">
      <c r="A162" s="2" t="s">
        <v>139</v>
      </c>
      <c r="B162" s="6" t="s">
        <v>702</v>
      </c>
      <c r="C162" s="7" t="str" cm="1">
        <f t="array" ref="C162">_xlfn.LET(
  _xlpm.s, UPPER(B162),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KERMKKIAASGKIPHIILHSP</v>
      </c>
      <c r="D162" s="4">
        <v>733</v>
      </c>
      <c r="E162" s="1">
        <v>74</v>
      </c>
      <c r="F162" s="1">
        <v>4273</v>
      </c>
      <c r="G162" s="1">
        <v>78</v>
      </c>
      <c r="I162">
        <f t="shared" si="16"/>
        <v>-3.8190903895822803E-3</v>
      </c>
      <c r="J162">
        <f t="shared" si="17"/>
        <v>1.3051037690545015</v>
      </c>
      <c r="K162">
        <f t="shared" si="18"/>
        <v>-2.4080876865492207E-2</v>
      </c>
      <c r="M162">
        <f t="shared" si="19"/>
        <v>0.425734600599809</v>
      </c>
      <c r="P162" s="16" t="s">
        <v>1685</v>
      </c>
    </row>
    <row r="163" spans="1:16">
      <c r="A163" s="2" t="s">
        <v>358</v>
      </c>
      <c r="B163" s="6" t="s">
        <v>921</v>
      </c>
      <c r="C163" s="7" t="str" cm="1">
        <f t="array" ref="C163">_xlfn.LET(
  _xlpm.s, UPPER(B163),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KARMKEIAASGKIPHIILHSP</v>
      </c>
      <c r="D163" s="4">
        <v>1666</v>
      </c>
      <c r="E163" s="1">
        <v>6280</v>
      </c>
      <c r="F163" s="1">
        <v>591</v>
      </c>
      <c r="G163" s="1">
        <v>72</v>
      </c>
      <c r="I163">
        <f t="shared" si="16"/>
        <v>1.5683378111869968</v>
      </c>
      <c r="J163">
        <f t="shared" si="17"/>
        <v>8.9387334688919518E-2</v>
      </c>
      <c r="K163">
        <f t="shared" si="18"/>
        <v>-0.41541400555434493</v>
      </c>
      <c r="M163">
        <f t="shared" si="19"/>
        <v>0.41410371344052382</v>
      </c>
      <c r="P163" s="16" t="s">
        <v>1685</v>
      </c>
    </row>
    <row r="164" spans="1:16">
      <c r="A164" s="2" t="s">
        <v>505</v>
      </c>
      <c r="B164" s="6" t="s">
        <v>1068</v>
      </c>
      <c r="C164" s="7" t="str" cm="1">
        <f t="array" ref="C164">_xlfn.LET(
  _xlpm.s, UPPER(B164),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LETMRKIAASGKIPHIILHSP</v>
      </c>
      <c r="D164" s="4">
        <v>1335</v>
      </c>
      <c r="E164" s="1">
        <v>602</v>
      </c>
      <c r="F164" s="1">
        <v>4219</v>
      </c>
      <c r="G164" s="1">
        <v>54</v>
      </c>
      <c r="I164">
        <f t="shared" si="16"/>
        <v>0.64616839007780003</v>
      </c>
      <c r="J164">
        <f t="shared" si="17"/>
        <v>1.0392031105597199</v>
      </c>
      <c r="K164">
        <f t="shared" si="18"/>
        <v>-0.44415901079247022</v>
      </c>
      <c r="M164">
        <f t="shared" si="19"/>
        <v>0.41373749661501652</v>
      </c>
      <c r="P164" s="16" t="s">
        <v>1685</v>
      </c>
    </row>
    <row r="165" spans="1:16">
      <c r="A165" s="2" t="s">
        <v>80</v>
      </c>
      <c r="B165" s="6" t="s">
        <v>643</v>
      </c>
      <c r="C165" s="7" t="str" cm="1">
        <f t="array" ref="C165">_xlfn.LET(
  _xlpm.s, UPPER(B165),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KQLMKKIVESGKIPHIILHSP</v>
      </c>
      <c r="D165" s="4">
        <v>317</v>
      </c>
      <c r="E165" s="1">
        <v>774</v>
      </c>
      <c r="F165" s="1">
        <v>154</v>
      </c>
      <c r="G165" s="1">
        <v>13</v>
      </c>
      <c r="I165">
        <f t="shared" si="16"/>
        <v>1.3797348629857105</v>
      </c>
      <c r="J165">
        <f t="shared" si="17"/>
        <v>0.22593630949714449</v>
      </c>
      <c r="K165">
        <f t="shared" si="18"/>
        <v>-0.4381874148257594</v>
      </c>
      <c r="M165">
        <f t="shared" si="19"/>
        <v>0.38916125255236517</v>
      </c>
      <c r="P165" s="16" t="s">
        <v>1685</v>
      </c>
    </row>
    <row r="166" spans="1:16">
      <c r="A166" s="2" t="s">
        <v>148</v>
      </c>
      <c r="B166" s="6" t="s">
        <v>711</v>
      </c>
      <c r="C166" s="7" t="str" cm="1">
        <f t="array" ref="C166">_xlfn.LET(
  _xlpm.s, UPPER(B166),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KERMLEIVKSGKIPHIILHSP</v>
      </c>
      <c r="D166" s="4">
        <v>801</v>
      </c>
      <c r="E166" s="1">
        <v>1091</v>
      </c>
      <c r="F166" s="1">
        <v>76</v>
      </c>
      <c r="G166" s="1">
        <v>299</v>
      </c>
      <c r="I166">
        <f t="shared" si="16"/>
        <v>1.1262453990246737</v>
      </c>
      <c r="J166">
        <f t="shared" si="17"/>
        <v>-0.48334407292501347</v>
      </c>
      <c r="K166">
        <f t="shared" si="18"/>
        <v>0.52096716732534731</v>
      </c>
      <c r="M166">
        <f t="shared" si="19"/>
        <v>0.38795616447500247</v>
      </c>
      <c r="P166" s="16" t="s">
        <v>1685</v>
      </c>
    </row>
    <row r="167" spans="1:16">
      <c r="A167" s="2" t="s">
        <v>1687</v>
      </c>
      <c r="B167" s="6" t="s">
        <v>563</v>
      </c>
      <c r="C167" s="7" t="str" cm="1">
        <f t="array" ref="C167">_xlfn.LET(
  _xlpm.s, UPPER(B167),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KKKMKEIAKSGKIPHIILHSP</v>
      </c>
      <c r="D167" s="4">
        <v>210</v>
      </c>
      <c r="E167" s="1">
        <v>13</v>
      </c>
      <c r="F167" s="1">
        <v>1472</v>
      </c>
      <c r="G167" s="1">
        <v>22</v>
      </c>
      <c r="I167">
        <f t="shared" si="16"/>
        <v>-0.21622277790651312</v>
      </c>
      <c r="J167">
        <f t="shared" si="17"/>
        <v>1.3851633661459937</v>
      </c>
      <c r="K167">
        <f t="shared" si="18"/>
        <v>-3.0868118826557711E-2</v>
      </c>
      <c r="M167">
        <f t="shared" si="19"/>
        <v>0.37935748980430767</v>
      </c>
      <c r="P167" s="16" t="s">
        <v>1685</v>
      </c>
    </row>
    <row r="168" spans="1:16">
      <c r="A168" s="2" t="s">
        <v>435</v>
      </c>
      <c r="B168" s="6" t="s">
        <v>998</v>
      </c>
      <c r="C168" s="7" t="str" cm="1">
        <f t="array" ref="C168">_xlfn.LET(
  _xlpm.s, UPPER(B168),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KAFFKSIVASGKIPHIILHSP</v>
      </c>
      <c r="D168" s="4">
        <v>535</v>
      </c>
      <c r="E168" s="1">
        <v>31</v>
      </c>
      <c r="F168" s="1">
        <v>54</v>
      </c>
      <c r="G168" s="1">
        <v>4108</v>
      </c>
      <c r="I168">
        <f t="shared" si="16"/>
        <v>-0.24493892366638637</v>
      </c>
      <c r="J168">
        <f t="shared" si="17"/>
        <v>-0.45648517131982702</v>
      </c>
      <c r="K168">
        <f t="shared" si="18"/>
        <v>1.8342051479891675</v>
      </c>
      <c r="M168">
        <f t="shared" si="19"/>
        <v>0.377593684334318</v>
      </c>
      <c r="P168" s="15" t="s">
        <v>1686</v>
      </c>
    </row>
    <row r="169" spans="1:16">
      <c r="A169" s="2" t="s">
        <v>135</v>
      </c>
      <c r="B169" s="6" t="s">
        <v>698</v>
      </c>
      <c r="C169" s="7" t="str" cm="1">
        <f t="array" ref="C169">_xlfn.LET(
  _xlpm.s, UPPER(B169),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KEQMKKIAASGKIPHIILHSP</v>
      </c>
      <c r="D169" s="4">
        <v>551</v>
      </c>
      <c r="E169" s="1">
        <v>30</v>
      </c>
      <c r="F169" s="1">
        <v>2581</v>
      </c>
      <c r="G169" s="1">
        <v>94</v>
      </c>
      <c r="I169">
        <f t="shared" si="16"/>
        <v>-0.2719771796115531</v>
      </c>
      <c r="J169">
        <f t="shared" si="17"/>
        <v>1.2101112565705168</v>
      </c>
      <c r="K169">
        <f t="shared" si="18"/>
        <v>0.18090474983306892</v>
      </c>
      <c r="M169">
        <f t="shared" si="19"/>
        <v>0.37301294226401088</v>
      </c>
      <c r="P169" s="16" t="s">
        <v>1685</v>
      </c>
    </row>
    <row r="170" spans="1:16">
      <c r="A170" s="2" t="s">
        <v>366</v>
      </c>
      <c r="B170" s="6" t="s">
        <v>929</v>
      </c>
      <c r="C170" s="7" t="str" cm="1">
        <f t="array" ref="C170">_xlfn.LET(
  _xlpm.s, UPPER(B170),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KALMKKIADSGKIPHIILHSP</v>
      </c>
      <c r="D170" s="4">
        <v>523</v>
      </c>
      <c r="E170" s="1">
        <v>121</v>
      </c>
      <c r="F170" s="1">
        <v>540</v>
      </c>
      <c r="G170" s="1">
        <v>90</v>
      </c>
      <c r="I170">
        <f t="shared" si="16"/>
        <v>0.35633684596974535</v>
      </c>
      <c r="J170">
        <f t="shared" si="17"/>
        <v>0.55336692183412717</v>
      </c>
      <c r="K170">
        <f t="shared" si="18"/>
        <v>0.1846693156572059</v>
      </c>
      <c r="M170">
        <f t="shared" si="19"/>
        <v>0.36479102782035949</v>
      </c>
      <c r="P170" s="16" t="s">
        <v>1685</v>
      </c>
    </row>
    <row r="171" spans="1:16">
      <c r="A171" s="2" t="s">
        <v>44</v>
      </c>
      <c r="B171" s="6" t="s">
        <v>607</v>
      </c>
      <c r="C171" s="7" t="str" cm="1">
        <f t="array" ref="C171">_xlfn.LET(
  _xlpm.s, UPPER(B171),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KKLFRDIVKKGKIPHIILHSP</v>
      </c>
      <c r="D171" s="4">
        <v>380</v>
      </c>
      <c r="E171" s="1">
        <v>19</v>
      </c>
      <c r="F171" s="1">
        <v>4173</v>
      </c>
      <c r="G171" s="1">
        <v>28</v>
      </c>
      <c r="I171">
        <f t="shared" si="16"/>
        <v>-0.30897683114341179</v>
      </c>
      <c r="J171">
        <f t="shared" si="17"/>
        <v>1.5801396389733315</v>
      </c>
      <c r="K171">
        <f t="shared" si="18"/>
        <v>-0.1836970701894356</v>
      </c>
      <c r="M171">
        <f t="shared" si="19"/>
        <v>0.3624885792134947</v>
      </c>
      <c r="P171" s="15" t="s">
        <v>1686</v>
      </c>
    </row>
    <row r="172" spans="1:16">
      <c r="A172" s="2" t="s">
        <v>516</v>
      </c>
      <c r="B172" s="6" t="s">
        <v>1079</v>
      </c>
      <c r="C172" s="7" t="str" cm="1">
        <f t="array" ref="C172">_xlfn.LET(
  _xlpm.s, UPPER(B172),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LELFKSIVAKGKIPHIILHSP</v>
      </c>
      <c r="D172" s="4">
        <v>605</v>
      </c>
      <c r="E172" s="1">
        <v>41</v>
      </c>
      <c r="F172" s="1">
        <v>889</v>
      </c>
      <c r="G172" s="1">
        <v>242</v>
      </c>
      <c r="I172">
        <f t="shared" si="16"/>
        <v>-0.17691835341216389</v>
      </c>
      <c r="J172">
        <f t="shared" si="17"/>
        <v>0.70662123719617775</v>
      </c>
      <c r="K172">
        <f t="shared" si="18"/>
        <v>0.55098848641311771</v>
      </c>
      <c r="M172">
        <f t="shared" si="19"/>
        <v>0.36023045673237714</v>
      </c>
      <c r="P172" s="15" t="s">
        <v>1686</v>
      </c>
    </row>
    <row r="173" spans="1:16">
      <c r="A173" s="2" t="s">
        <v>87</v>
      </c>
      <c r="B173" s="6" t="s">
        <v>650</v>
      </c>
      <c r="C173" s="7" t="str" cm="1">
        <f t="array" ref="C173">_xlfn.LET(
  _xlpm.s, UPPER(B173),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KQLFKEIAESGKIPHIILHSP</v>
      </c>
      <c r="D173" s="4">
        <v>461</v>
      </c>
      <c r="E173" s="1">
        <v>44</v>
      </c>
      <c r="F173" s="1">
        <v>23</v>
      </c>
      <c r="G173" s="1">
        <v>3811</v>
      </c>
      <c r="I173">
        <f t="shared" si="16"/>
        <v>-2.8195084382891311E-2</v>
      </c>
      <c r="J173">
        <f t="shared" si="17"/>
        <v>-0.76249823849362242</v>
      </c>
      <c r="K173">
        <f t="shared" si="18"/>
        <v>1.8662665184676746</v>
      </c>
      <c r="M173">
        <f t="shared" si="19"/>
        <v>0.35852439853038698</v>
      </c>
      <c r="P173" s="16" t="s">
        <v>1685</v>
      </c>
    </row>
    <row r="174" spans="1:16">
      <c r="A174" s="2" t="s">
        <v>171</v>
      </c>
      <c r="B174" s="6" t="s">
        <v>734</v>
      </c>
      <c r="C174" s="7" t="str" cm="1">
        <f t="array" ref="C174">_xlfn.LET(
  _xlpm.s, UPPER(B174),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KELMKQIAASGKIPHIILHSP</v>
      </c>
      <c r="D174" s="4">
        <v>1007</v>
      </c>
      <c r="E174" s="1">
        <v>3891</v>
      </c>
      <c r="F174" s="1">
        <v>442</v>
      </c>
      <c r="G174" s="1">
        <v>22</v>
      </c>
      <c r="I174">
        <f t="shared" si="16"/>
        <v>1.579084924770694</v>
      </c>
      <c r="J174">
        <f t="shared" si="17"/>
        <v>0.18186764967390684</v>
      </c>
      <c r="K174">
        <f t="shared" si="18"/>
        <v>-0.71167829464625654</v>
      </c>
      <c r="M174">
        <f t="shared" si="19"/>
        <v>0.34975809326611479</v>
      </c>
      <c r="P174" s="16" t="s">
        <v>1685</v>
      </c>
    </row>
    <row r="175" spans="1:16">
      <c r="A175" s="2" t="s">
        <v>176</v>
      </c>
      <c r="B175" s="6" t="s">
        <v>739</v>
      </c>
      <c r="C175" s="7" t="str" cm="1">
        <f t="array" ref="C175">_xlfn.LET(
  _xlpm.s, UPPER(B175),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KELMRKIAASGKIPHIILHSP</v>
      </c>
      <c r="D175" s="4">
        <v>1223</v>
      </c>
      <c r="E175" s="1">
        <v>16940</v>
      </c>
      <c r="F175" s="1">
        <v>58</v>
      </c>
      <c r="G175" s="1">
        <v>67</v>
      </c>
      <c r="I175">
        <f t="shared" si="16"/>
        <v>2.133540113478972</v>
      </c>
      <c r="J175">
        <f t="shared" si="17"/>
        <v>-0.78452361259491521</v>
      </c>
      <c r="K175">
        <f t="shared" si="18"/>
        <v>-0.31242315925030373</v>
      </c>
      <c r="M175">
        <f t="shared" si="19"/>
        <v>0.34553111387791763</v>
      </c>
      <c r="P175" s="16" t="s">
        <v>1685</v>
      </c>
    </row>
    <row r="176" spans="1:16">
      <c r="A176" s="2" t="s">
        <v>93</v>
      </c>
      <c r="B176" s="6" t="s">
        <v>656</v>
      </c>
      <c r="C176" s="7" t="str" cm="1">
        <f t="array" ref="C176">_xlfn.LET(
  _xlpm.s, UPPER(B176),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KQLFQEIAASGKIPHIILHSP</v>
      </c>
      <c r="D176" s="4">
        <v>935</v>
      </c>
      <c r="E176" s="1">
        <v>4274</v>
      </c>
      <c r="F176" s="1">
        <v>86</v>
      </c>
      <c r="G176" s="1">
        <v>79</v>
      </c>
      <c r="I176">
        <f t="shared" si="16"/>
        <v>1.6520760714761025</v>
      </c>
      <c r="J176">
        <f t="shared" si="17"/>
        <v>-0.49683830875051715</v>
      </c>
      <c r="K176">
        <f t="shared" si="18"/>
        <v>-0.12425602449692108</v>
      </c>
      <c r="M176">
        <f t="shared" si="19"/>
        <v>0.3436605794095548</v>
      </c>
      <c r="P176" s="16" t="s">
        <v>1685</v>
      </c>
    </row>
    <row r="177" spans="1:16">
      <c r="A177" s="2" t="s">
        <v>174</v>
      </c>
      <c r="B177" s="6" t="s">
        <v>737</v>
      </c>
      <c r="C177" s="7" t="str" cm="1">
        <f t="array" ref="C177">_xlfn.LET(
  _xlpm.s, UPPER(B177),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KELMKSIAASGKIPHIILHSP</v>
      </c>
      <c r="D177" s="4">
        <v>1019</v>
      </c>
      <c r="E177" s="1">
        <v>5943</v>
      </c>
      <c r="F177" s="1">
        <v>58</v>
      </c>
      <c r="G177" s="1">
        <v>107</v>
      </c>
      <c r="I177">
        <f t="shared" si="16"/>
        <v>1.7578847107723528</v>
      </c>
      <c r="J177">
        <f t="shared" si="17"/>
        <v>-0.70527133956505617</v>
      </c>
      <c r="K177">
        <f t="shared" si="18"/>
        <v>-2.9861911236061411E-2</v>
      </c>
      <c r="M177">
        <f t="shared" si="19"/>
        <v>0.340917153323745</v>
      </c>
      <c r="P177" s="16" t="s">
        <v>1685</v>
      </c>
    </row>
    <row r="178" spans="1:16">
      <c r="A178" s="2" t="s">
        <v>88</v>
      </c>
      <c r="B178" s="6" t="s">
        <v>651</v>
      </c>
      <c r="C178" s="7" t="str" cm="1">
        <f t="array" ref="C178">_xlfn.LET(
  _xlpm.s, UPPER(B178),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KQLFKEIAAAGKIPHIILHSP</v>
      </c>
      <c r="D178" s="4">
        <v>594</v>
      </c>
      <c r="E178" s="1">
        <v>618</v>
      </c>
      <c r="F178" s="1">
        <v>281</v>
      </c>
      <c r="G178" s="1">
        <v>42</v>
      </c>
      <c r="I178">
        <f t="shared" ref="I178:I241" si="20">LOG(E178/D178)-LOG(182/1787)</f>
        <v>1.0092551946281918</v>
      </c>
      <c r="J178">
        <f t="shared" ref="J178:J241" si="21">LOG(F178/D178)-LOG(516/1787)</f>
        <v>0.21439472580231927</v>
      </c>
      <c r="K178">
        <f t="shared" ref="K178:K241" si="22">LOG(G178/D178)-LOG(201/1787)</f>
        <v>-0.20160865949813789</v>
      </c>
      <c r="M178">
        <f t="shared" ref="M178:M241" si="23">AVERAGE(I178:K178)</f>
        <v>0.3406804203107911</v>
      </c>
      <c r="P178" s="16" t="s">
        <v>1685</v>
      </c>
    </row>
    <row r="179" spans="1:16">
      <c r="A179" s="2" t="s">
        <v>164</v>
      </c>
      <c r="B179" s="6" t="s">
        <v>727</v>
      </c>
      <c r="C179" s="7" t="str" cm="1">
        <f t="array" ref="C179">_xlfn.LET(
  _xlpm.s, UPPER(B179),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KELMKKIAESGKIPHIILHSP</v>
      </c>
      <c r="D179" s="4">
        <v>427</v>
      </c>
      <c r="E179" s="1">
        <v>68</v>
      </c>
      <c r="F179" s="1">
        <v>1069</v>
      </c>
      <c r="G179" s="1">
        <v>33</v>
      </c>
      <c r="I179">
        <f t="shared" si="20"/>
        <v>0.1941342022017819</v>
      </c>
      <c r="J179">
        <f t="shared" si="21"/>
        <v>0.93802468106218706</v>
      </c>
      <c r="K179">
        <f t="shared" si="22"/>
        <v>-0.16298544006198101</v>
      </c>
      <c r="M179">
        <f t="shared" si="23"/>
        <v>0.32305781440066267</v>
      </c>
      <c r="P179" s="16" t="s">
        <v>1685</v>
      </c>
    </row>
    <row r="180" spans="1:16">
      <c r="A180" s="2" t="s">
        <v>70</v>
      </c>
      <c r="B180" s="6" t="s">
        <v>633</v>
      </c>
      <c r="C180" s="7" t="str" cm="1">
        <f t="array" ref="C180">_xlfn.LET(
  _xlpm.s, UPPER(B180),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KQKMKEIAASGKIPHIILHSP</v>
      </c>
      <c r="D180" s="4">
        <v>594</v>
      </c>
      <c r="E180" s="1">
        <v>98</v>
      </c>
      <c r="F180" s="1">
        <v>34</v>
      </c>
      <c r="G180" s="1">
        <v>1887</v>
      </c>
      <c r="I180">
        <f t="shared" si="20"/>
        <v>0.20949279523187081</v>
      </c>
      <c r="J180">
        <f t="shared" si="21"/>
        <v>-0.70283267706050545</v>
      </c>
      <c r="K180">
        <f t="shared" si="22"/>
        <v>1.4509139502688932</v>
      </c>
      <c r="M180">
        <f t="shared" si="23"/>
        <v>0.31919135614675287</v>
      </c>
      <c r="P180" s="16" t="s">
        <v>1685</v>
      </c>
    </row>
    <row r="181" spans="1:16">
      <c r="A181" s="2" t="s">
        <v>149</v>
      </c>
      <c r="B181" s="6" t="s">
        <v>712</v>
      </c>
      <c r="C181" s="7" t="str" cm="1">
        <f t="array" ref="C181">_xlfn.LET(
  _xlpm.s, UPPER(B181),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KERLKEIAKSGKIPHIILHSP</v>
      </c>
      <c r="D181" s="4">
        <v>541</v>
      </c>
      <c r="E181" s="1">
        <v>212</v>
      </c>
      <c r="F181" s="1">
        <v>78</v>
      </c>
      <c r="G181" s="1">
        <v>279</v>
      </c>
      <c r="I181">
        <f t="shared" si="20"/>
        <v>0.58519176034275144</v>
      </c>
      <c r="J181">
        <f t="shared" si="21"/>
        <v>-0.30162781153765617</v>
      </c>
      <c r="K181">
        <f t="shared" si="22"/>
        <v>0.66133543325218347</v>
      </c>
      <c r="M181">
        <f t="shared" si="23"/>
        <v>0.31496646068575956</v>
      </c>
      <c r="P181" s="16" t="s">
        <v>1685</v>
      </c>
    </row>
    <row r="182" spans="1:16">
      <c r="A182" s="2" t="s">
        <v>156</v>
      </c>
      <c r="B182" s="6" t="s">
        <v>719</v>
      </c>
      <c r="C182" s="7" t="str" cm="1">
        <f t="array" ref="C182">_xlfn.LET(
  _xlpm.s, UPPER(B182),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KERFKEIAASGKIPHIILHSP</v>
      </c>
      <c r="D182" s="4">
        <v>927</v>
      </c>
      <c r="E182" s="1">
        <v>782</v>
      </c>
      <c r="F182" s="1">
        <v>289</v>
      </c>
      <c r="G182" s="1">
        <v>95</v>
      </c>
      <c r="I182">
        <f t="shared" si="20"/>
        <v>0.91818018343592045</v>
      </c>
      <c r="J182">
        <f t="shared" si="21"/>
        <v>3.329295949048372E-2</v>
      </c>
      <c r="K182">
        <f t="shared" si="22"/>
        <v>-4.0427633770494076E-2</v>
      </c>
      <c r="M182">
        <f t="shared" si="23"/>
        <v>0.30368183638530338</v>
      </c>
      <c r="P182" s="16" t="s">
        <v>1685</v>
      </c>
    </row>
    <row r="183" spans="1:16">
      <c r="A183" s="2" t="s">
        <v>481</v>
      </c>
      <c r="B183" s="6" t="s">
        <v>1044</v>
      </c>
      <c r="C183" s="7" t="str" cm="1">
        <f t="array" ref="C183">_xlfn.LET(
  _xlpm.s, UPPER(B183),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LKRMREIAKSGKIPHIILHSP</v>
      </c>
      <c r="D183" s="4">
        <v>1109</v>
      </c>
      <c r="E183" s="1">
        <v>199</v>
      </c>
      <c r="F183" s="1">
        <v>47</v>
      </c>
      <c r="G183" s="1">
        <v>3887</v>
      </c>
      <c r="I183">
        <f t="shared" si="20"/>
        <v>0.245974694781116</v>
      </c>
      <c r="J183">
        <f t="shared" si="21"/>
        <v>-0.83335883733500971</v>
      </c>
      <c r="K183">
        <f t="shared" si="22"/>
        <v>1.4936114895672616</v>
      </c>
      <c r="M183">
        <f t="shared" si="23"/>
        <v>0.30207578233778931</v>
      </c>
      <c r="P183" s="16" t="s">
        <v>1685</v>
      </c>
    </row>
    <row r="184" spans="1:16">
      <c r="A184" s="2" t="s">
        <v>536</v>
      </c>
      <c r="B184" s="6" t="s">
        <v>1099</v>
      </c>
      <c r="C184" s="7" t="str" cm="1">
        <f t="array" ref="C184">_xlfn.LET(
  _xlpm.s, UPPER(B184),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LAKMKEIAASGKIPHIILHSP</v>
      </c>
      <c r="D184" s="4">
        <v>867</v>
      </c>
      <c r="E184" s="1">
        <v>3399</v>
      </c>
      <c r="F184" s="1">
        <v>46</v>
      </c>
      <c r="G184" s="1">
        <v>109</v>
      </c>
      <c r="I184">
        <f t="shared" si="20"/>
        <v>1.5853852316274188</v>
      </c>
      <c r="J184">
        <f t="shared" si="21"/>
        <v>-0.73578641491620334</v>
      </c>
      <c r="K184">
        <f t="shared" si="22"/>
        <v>4.833589554956863E-2</v>
      </c>
      <c r="M184">
        <f t="shared" si="23"/>
        <v>0.29931157075359471</v>
      </c>
      <c r="P184" s="16" t="s">
        <v>1685</v>
      </c>
    </row>
    <row r="185" spans="1:16">
      <c r="A185" s="2" t="s">
        <v>517</v>
      </c>
      <c r="B185" s="6" t="s">
        <v>1080</v>
      </c>
      <c r="C185" s="7" t="str" cm="1">
        <f t="array" ref="C185">_xlfn.LET(
  _xlpm.s, UPPER(B185),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LELFKSIVASGKIPHIILHSP</v>
      </c>
      <c r="D185" s="4">
        <v>1022</v>
      </c>
      <c r="E185" s="1">
        <v>39</v>
      </c>
      <c r="F185" s="1">
        <v>7248</v>
      </c>
      <c r="G185" s="1">
        <v>94</v>
      </c>
      <c r="I185">
        <f t="shared" si="20"/>
        <v>-0.42633312425162528</v>
      </c>
      <c r="J185">
        <f t="shared" si="21"/>
        <v>1.3902421397484956</v>
      </c>
      <c r="K185">
        <f t="shared" si="22"/>
        <v>-8.7394547113839982E-2</v>
      </c>
      <c r="M185">
        <f t="shared" si="23"/>
        <v>0.29217148946101013</v>
      </c>
      <c r="P185" s="15" t="s">
        <v>1686</v>
      </c>
    </row>
    <row r="186" spans="1:16">
      <c r="A186" s="2" t="s">
        <v>507</v>
      </c>
      <c r="B186" s="6" t="s">
        <v>1070</v>
      </c>
      <c r="C186" s="7" t="str" cm="1">
        <f t="array" ref="C186">_xlfn.LET(
  _xlpm.s, UPPER(B186),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LEMFKKIAASGKIPHIILHSP</v>
      </c>
      <c r="D186" s="4">
        <v>425</v>
      </c>
      <c r="E186" s="1">
        <v>1105</v>
      </c>
      <c r="F186" s="1">
        <v>19</v>
      </c>
      <c r="G186" s="1">
        <v>85</v>
      </c>
      <c r="I186">
        <f t="shared" si="20"/>
        <v>1.4070265124913874</v>
      </c>
      <c r="J186">
        <f t="shared" si="21"/>
        <v>-0.81016047821904957</v>
      </c>
      <c r="K186">
        <f t="shared" si="22"/>
        <v>0.24995849074913656</v>
      </c>
      <c r="M186">
        <f t="shared" si="23"/>
        <v>0.28227484167382483</v>
      </c>
      <c r="P186" s="16" t="s">
        <v>1685</v>
      </c>
    </row>
    <row r="187" spans="1:16">
      <c r="A187" s="2" t="s">
        <v>439</v>
      </c>
      <c r="B187" s="6" t="s">
        <v>1002</v>
      </c>
      <c r="C187" s="7" t="str" cm="1">
        <f t="array" ref="C187">_xlfn.LET(
  _xlpm.s, UPPER(B187),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KAFFRAIVASGKIPHIILHSP</v>
      </c>
      <c r="D187" s="4">
        <v>1253</v>
      </c>
      <c r="E187" s="1">
        <v>71</v>
      </c>
      <c r="F187" s="1">
        <v>9141</v>
      </c>
      <c r="G187" s="1">
        <v>70</v>
      </c>
      <c r="I187">
        <f t="shared" si="20"/>
        <v>-0.25463955775450531</v>
      </c>
      <c r="J187">
        <f t="shared" si="21"/>
        <v>1.402517488826619</v>
      </c>
      <c r="K187">
        <f t="shared" si="22"/>
        <v>-0.30392453589473778</v>
      </c>
      <c r="M187">
        <f t="shared" si="23"/>
        <v>0.28131779839245863</v>
      </c>
      <c r="P187" s="15" t="s">
        <v>1686</v>
      </c>
    </row>
    <row r="188" spans="1:16">
      <c r="A188" s="2" t="s">
        <v>28</v>
      </c>
      <c r="B188" s="6" t="s">
        <v>591</v>
      </c>
      <c r="C188" s="7" t="str" cm="1">
        <f t="array" ref="C188">_xlfn.LET(
  _xlpm.s, UPPER(B188),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KKLLKEIAESGKIPHIILHSP</v>
      </c>
      <c r="D188" s="4">
        <v>308</v>
      </c>
      <c r="E188" s="1">
        <v>496</v>
      </c>
      <c r="F188" s="1">
        <v>15</v>
      </c>
      <c r="G188" s="1">
        <v>90</v>
      </c>
      <c r="I188">
        <f t="shared" si="20"/>
        <v>1.1989841245103228</v>
      </c>
      <c r="J188">
        <f t="shared" si="21"/>
        <v>-0.77298460656633006</v>
      </c>
      <c r="K188">
        <f t="shared" si="22"/>
        <v>0.41462028802403594</v>
      </c>
      <c r="M188">
        <f t="shared" si="23"/>
        <v>0.28020660198934288</v>
      </c>
      <c r="P188" s="16" t="s">
        <v>1685</v>
      </c>
    </row>
    <row r="189" spans="1:16">
      <c r="A189" s="2" t="s">
        <v>172</v>
      </c>
      <c r="B189" s="6" t="s">
        <v>735</v>
      </c>
      <c r="C189" s="7" t="str" cm="1">
        <f t="array" ref="C189">_xlfn.LET(
  _xlpm.s, UPPER(B189),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KELMKEIAKSGKIPHIILHSP</v>
      </c>
      <c r="D189" s="4">
        <v>485</v>
      </c>
      <c r="E189" s="1">
        <v>40</v>
      </c>
      <c r="F189" s="1">
        <v>1134</v>
      </c>
      <c r="G189" s="1">
        <v>54</v>
      </c>
      <c r="I189">
        <f t="shared" si="20"/>
        <v>-9.1628582753731758E-2</v>
      </c>
      <c r="J189">
        <f t="shared" si="21"/>
        <v>0.90834616683305702</v>
      </c>
      <c r="K189">
        <f t="shared" si="22"/>
        <v>-4.419483694139803E-3</v>
      </c>
      <c r="M189">
        <f t="shared" si="23"/>
        <v>0.27076603346172851</v>
      </c>
      <c r="P189" s="16" t="s">
        <v>1685</v>
      </c>
    </row>
    <row r="190" spans="1:16">
      <c r="A190" s="2" t="s">
        <v>486</v>
      </c>
      <c r="B190" s="6" t="s">
        <v>1049</v>
      </c>
      <c r="C190" s="7" t="str" cm="1">
        <f t="array" ref="C190">_xlfn.LET(
  _xlpm.s, UPPER(B190),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LKLFKEIAASGKIPHIILHSP</v>
      </c>
      <c r="D190" s="4">
        <v>697</v>
      </c>
      <c r="E190" s="1">
        <v>14823</v>
      </c>
      <c r="F190" s="1">
        <v>22</v>
      </c>
      <c r="G190" s="1">
        <v>21</v>
      </c>
      <c r="I190">
        <f t="shared" si="20"/>
        <v>2.3197564950316392</v>
      </c>
      <c r="J190">
        <f t="shared" si="21"/>
        <v>-0.96133524639737022</v>
      </c>
      <c r="K190">
        <f t="shared" si="22"/>
        <v>-0.57208498827893495</v>
      </c>
      <c r="M190">
        <f t="shared" si="23"/>
        <v>0.26211208678511139</v>
      </c>
      <c r="P190" s="16" t="s">
        <v>1685</v>
      </c>
    </row>
    <row r="191" spans="1:16">
      <c r="A191" s="2" t="s">
        <v>494</v>
      </c>
      <c r="B191" s="6" t="s">
        <v>1057</v>
      </c>
      <c r="C191" s="7" t="str" cm="1">
        <f t="array" ref="C191">_xlfn.LET(
  _xlpm.s, UPPER(B191),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LQRMKEIVASGKIPHIILHSP</v>
      </c>
      <c r="D191" s="4">
        <v>1305</v>
      </c>
      <c r="E191" s="1">
        <v>57</v>
      </c>
      <c r="F191" s="1">
        <v>106</v>
      </c>
      <c r="G191" s="1">
        <v>7247</v>
      </c>
      <c r="I191">
        <f t="shared" si="20"/>
        <v>-0.36768249148123888</v>
      </c>
      <c r="J191">
        <f t="shared" si="21"/>
        <v>-0.55082979553109668</v>
      </c>
      <c r="K191">
        <f t="shared" si="22"/>
        <v>1.6934762447291338</v>
      </c>
      <c r="M191">
        <f t="shared" si="23"/>
        <v>0.25832131923893276</v>
      </c>
      <c r="P191" s="16" t="s">
        <v>1685</v>
      </c>
    </row>
    <row r="192" spans="1:16">
      <c r="A192" s="2" t="s">
        <v>184</v>
      </c>
      <c r="B192" s="6" t="s">
        <v>747</v>
      </c>
      <c r="C192" s="7" t="str" cm="1">
        <f t="array" ref="C192">_xlfn.LET(
  _xlpm.s, UPPER(B192),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KELFKKIASSGKIPHIILHSP</v>
      </c>
      <c r="D192" s="4">
        <v>337</v>
      </c>
      <c r="E192" s="1">
        <v>1934</v>
      </c>
      <c r="F192" s="1">
        <v>7</v>
      </c>
      <c r="G192" s="1">
        <v>54</v>
      </c>
      <c r="I192">
        <f t="shared" si="20"/>
        <v>1.7508797333962138</v>
      </c>
      <c r="J192">
        <f t="shared" si="21"/>
        <v>-1.1430570099786488</v>
      </c>
      <c r="K192">
        <f t="shared" si="22"/>
        <v>0.15369235403678516</v>
      </c>
      <c r="M192">
        <f t="shared" si="23"/>
        <v>0.25383835915145009</v>
      </c>
      <c r="P192" s="16" t="s">
        <v>1685</v>
      </c>
    </row>
    <row r="193" spans="1:16">
      <c r="A193" s="2" t="s">
        <v>387</v>
      </c>
      <c r="B193" s="6" t="s">
        <v>950</v>
      </c>
      <c r="C193" s="7" t="str" cm="1">
        <f t="array" ref="C193">_xlfn.LET(
  _xlpm.s, UPPER(B193),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KALFKEICASGKIPHIILHSP</v>
      </c>
      <c r="D193" s="4">
        <v>793</v>
      </c>
      <c r="E193" s="1">
        <v>30</v>
      </c>
      <c r="F193" s="1">
        <v>3761</v>
      </c>
      <c r="G193" s="1">
        <v>77</v>
      </c>
      <c r="I193">
        <f t="shared" si="20"/>
        <v>-0.43009876807737202</v>
      </c>
      <c r="J193">
        <f t="shared" si="21"/>
        <v>1.2155049969832281</v>
      </c>
      <c r="K193">
        <f t="shared" si="22"/>
        <v>-6.385396705996671E-2</v>
      </c>
      <c r="M193">
        <f t="shared" si="23"/>
        <v>0.24051742061529646</v>
      </c>
      <c r="P193" s="16" t="s">
        <v>1685</v>
      </c>
    </row>
    <row r="194" spans="1:16">
      <c r="A194" s="2" t="s">
        <v>166</v>
      </c>
      <c r="B194" s="6" t="s">
        <v>729</v>
      </c>
      <c r="C194" s="7" t="str" cm="1">
        <f t="array" ref="C194">_xlfn.LET(
  _xlpm.s, UPPER(B194),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KELMKKIAASGKIPHIILHSP</v>
      </c>
      <c r="D194" s="4">
        <v>635</v>
      </c>
      <c r="E194" s="1">
        <v>359</v>
      </c>
      <c r="F194" s="1">
        <v>123</v>
      </c>
      <c r="G194" s="1">
        <v>98</v>
      </c>
      <c r="I194">
        <f t="shared" si="20"/>
        <v>0.74437388780691294</v>
      </c>
      <c r="J194">
        <f t="shared" si="21"/>
        <v>-0.17339376297414477</v>
      </c>
      <c r="K194">
        <f t="shared" si="22"/>
        <v>0.13738084548567453</v>
      </c>
      <c r="M194">
        <f t="shared" si="23"/>
        <v>0.23612032343948089</v>
      </c>
      <c r="P194" s="16" t="s">
        <v>1685</v>
      </c>
    </row>
    <row r="195" spans="1:16">
      <c r="A195" s="2" t="s">
        <v>230</v>
      </c>
      <c r="B195" s="6" t="s">
        <v>793</v>
      </c>
      <c r="C195" s="7" t="str" cm="1">
        <f t="array" ref="C195">_xlfn.LET(
  _xlpm.s, UPPER(B195),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KELFRAIVAKGKIPHIILHSP</v>
      </c>
      <c r="D195" s="4">
        <v>924</v>
      </c>
      <c r="E195" s="1">
        <v>23</v>
      </c>
      <c r="F195" s="1">
        <v>33</v>
      </c>
      <c r="G195" s="1">
        <v>17288</v>
      </c>
      <c r="I195">
        <f t="shared" si="20"/>
        <v>-0.61189097068194442</v>
      </c>
      <c r="J195">
        <f t="shared" si="21"/>
        <v>-0.90768318046378627</v>
      </c>
      <c r="K195">
        <f t="shared" si="22"/>
        <v>2.2210012777402337</v>
      </c>
      <c r="M195">
        <f t="shared" si="23"/>
        <v>0.2338090421981677</v>
      </c>
      <c r="P195" s="15" t="s">
        <v>1686</v>
      </c>
    </row>
    <row r="196" spans="1:16">
      <c r="A196" s="2" t="s">
        <v>14</v>
      </c>
      <c r="B196" s="6" t="s">
        <v>577</v>
      </c>
      <c r="C196" s="7" t="str" cm="1">
        <f t="array" ref="C196">_xlfn.LET(
  _xlpm.s, UPPER(B196),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KKRMKEIAKSGKIPHIILHSP</v>
      </c>
      <c r="D196" s="4">
        <v>415</v>
      </c>
      <c r="E196" s="1">
        <v>131</v>
      </c>
      <c r="F196" s="1">
        <v>643</v>
      </c>
      <c r="G196" s="1">
        <v>14</v>
      </c>
      <c r="I196">
        <f t="shared" si="20"/>
        <v>0.49127636346424097</v>
      </c>
      <c r="J196">
        <f t="shared" si="21"/>
        <v>0.72963772709056229</v>
      </c>
      <c r="K196">
        <f t="shared" si="22"/>
        <v>-0.52299156594869944</v>
      </c>
      <c r="M196">
        <f t="shared" si="23"/>
        <v>0.23264084153536793</v>
      </c>
      <c r="P196" s="15" t="s">
        <v>1686</v>
      </c>
    </row>
    <row r="197" spans="1:16">
      <c r="A197" s="2" t="s">
        <v>369</v>
      </c>
      <c r="B197" s="6" t="s">
        <v>932</v>
      </c>
      <c r="C197" s="7" t="str" cm="1">
        <f t="array" ref="C197">_xlfn.LET(
  _xlpm.s, UPPER(B197),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KALMKEIANSGKIPHIILHSP</v>
      </c>
      <c r="D197" s="4">
        <v>706</v>
      </c>
      <c r="E197" s="1">
        <v>19</v>
      </c>
      <c r="F197" s="1">
        <v>33</v>
      </c>
      <c r="G197" s="1">
        <v>8874</v>
      </c>
      <c r="I197">
        <f t="shared" si="20"/>
        <v>-0.57799793557840529</v>
      </c>
      <c r="J197">
        <f t="shared" si="21"/>
        <v>-0.79081591029548337</v>
      </c>
      <c r="K197">
        <f t="shared" si="22"/>
        <v>2.0482432184138877</v>
      </c>
      <c r="M197">
        <f t="shared" si="23"/>
        <v>0.22647645751333303</v>
      </c>
      <c r="P197" s="16" t="s">
        <v>1685</v>
      </c>
    </row>
    <row r="198" spans="1:16">
      <c r="A198" s="2" t="s">
        <v>224</v>
      </c>
      <c r="B198" s="6" t="s">
        <v>787</v>
      </c>
      <c r="C198" s="7" t="str" cm="1">
        <f t="array" ref="C198">_xlfn.LET(
  _xlpm.s, UPPER(B198),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KELFRNIVKSGKIPHIILHSP</v>
      </c>
      <c r="D198" s="4">
        <v>667</v>
      </c>
      <c r="E198" s="1">
        <v>1014</v>
      </c>
      <c r="F198" s="1">
        <v>27</v>
      </c>
      <c r="G198" s="1">
        <v>156</v>
      </c>
      <c r="I198">
        <f t="shared" si="20"/>
        <v>1.1739652856013376</v>
      </c>
      <c r="J198">
        <f t="shared" si="21"/>
        <v>-0.85328721887912884</v>
      </c>
      <c r="K198">
        <f t="shared" si="22"/>
        <v>0.317927259523068</v>
      </c>
      <c r="M198">
        <f t="shared" si="23"/>
        <v>0.21286844208175892</v>
      </c>
      <c r="P198" s="15" t="s">
        <v>1686</v>
      </c>
    </row>
    <row r="199" spans="1:16">
      <c r="A199" s="2" t="s">
        <v>377</v>
      </c>
      <c r="B199" s="6" t="s">
        <v>940</v>
      </c>
      <c r="C199" s="7" t="str" cm="1">
        <f t="array" ref="C199">_xlfn.LET(
  _xlpm.s, UPPER(B199),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KALLKQIAASGKIPHIILHSP</v>
      </c>
      <c r="D199" s="4">
        <v>1206</v>
      </c>
      <c r="E199" s="1">
        <v>73</v>
      </c>
      <c r="F199" s="1">
        <v>3708</v>
      </c>
      <c r="G199" s="1">
        <v>93</v>
      </c>
      <c r="I199">
        <f t="shared" si="20"/>
        <v>-0.22597128316310711</v>
      </c>
      <c r="J199">
        <f t="shared" si="21"/>
        <v>1.0272672685467599</v>
      </c>
      <c r="K199">
        <f t="shared" si="22"/>
        <v>-0.16393586416504213</v>
      </c>
      <c r="M199">
        <f t="shared" si="23"/>
        <v>0.21245337373953688</v>
      </c>
      <c r="P199" s="16" t="s">
        <v>1685</v>
      </c>
    </row>
    <row r="200" spans="1:16">
      <c r="A200" s="2" t="s">
        <v>168</v>
      </c>
      <c r="B200" s="6" t="s">
        <v>731</v>
      </c>
      <c r="C200" s="7" t="str" cm="1">
        <f t="array" ref="C200">_xlfn.LET(
  _xlpm.s, UPPER(B200),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KELMKKIVESGKIPHIILHSP</v>
      </c>
      <c r="D200" s="4">
        <v>372</v>
      </c>
      <c r="E200" s="1">
        <v>350</v>
      </c>
      <c r="F200" s="1">
        <v>55</v>
      </c>
      <c r="G200" s="1">
        <v>37</v>
      </c>
      <c r="I200">
        <f t="shared" si="20"/>
        <v>0.96557826898894761</v>
      </c>
      <c r="J200">
        <f t="shared" si="21"/>
        <v>-0.2907053995092207</v>
      </c>
      <c r="K200">
        <f t="shared" si="22"/>
        <v>-5.3412720729747232E-2</v>
      </c>
      <c r="M200">
        <f t="shared" si="23"/>
        <v>0.20715338291665988</v>
      </c>
      <c r="P200" s="16" t="s">
        <v>1685</v>
      </c>
    </row>
    <row r="201" spans="1:16">
      <c r="A201" s="2" t="s">
        <v>89</v>
      </c>
      <c r="B201" s="6" t="s">
        <v>652</v>
      </c>
      <c r="C201" s="7" t="str" cm="1">
        <f t="array" ref="C201">_xlfn.LET(
  _xlpm.s, UPPER(B201),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KQLFKEIAASGKIPHIILHSP</v>
      </c>
      <c r="D201" s="4">
        <v>907</v>
      </c>
      <c r="E201" s="1">
        <v>203</v>
      </c>
      <c r="F201" s="1">
        <v>160</v>
      </c>
      <c r="G201" s="1">
        <v>306</v>
      </c>
      <c r="I201">
        <f t="shared" si="20"/>
        <v>0.34194191537368712</v>
      </c>
      <c r="J201">
        <f t="shared" si="21"/>
        <v>-0.21401245352573761</v>
      </c>
      <c r="K201">
        <f t="shared" si="22"/>
        <v>0.47704263450664003</v>
      </c>
      <c r="M201">
        <f t="shared" si="23"/>
        <v>0.20165736545152982</v>
      </c>
      <c r="P201" s="16" t="s">
        <v>1685</v>
      </c>
    </row>
    <row r="202" spans="1:16">
      <c r="A202" s="2" t="s">
        <v>436</v>
      </c>
      <c r="B202" s="6" t="s">
        <v>999</v>
      </c>
      <c r="C202" s="7" t="str" cm="1">
        <f t="array" ref="C202">_xlfn.LET(
  _xlpm.s, UPPER(B202),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KAFFKSIVSSGKIPHIILHSP</v>
      </c>
      <c r="D202" s="4">
        <v>295</v>
      </c>
      <c r="E202" s="1">
        <v>52</v>
      </c>
      <c r="F202" s="1">
        <v>430</v>
      </c>
      <c r="G202" s="1">
        <v>15</v>
      </c>
      <c r="I202">
        <f t="shared" si="20"/>
        <v>0.2382344921772056</v>
      </c>
      <c r="J202">
        <f t="shared" si="21"/>
        <v>0.7031212904798565</v>
      </c>
      <c r="K202">
        <f t="shared" si="22"/>
        <v>-0.34480226183732632</v>
      </c>
      <c r="M202">
        <f t="shared" si="23"/>
        <v>0.19885117360657859</v>
      </c>
      <c r="P202" s="15" t="s">
        <v>1686</v>
      </c>
    </row>
    <row r="203" spans="1:16">
      <c r="A203" s="2" t="s">
        <v>547</v>
      </c>
      <c r="B203" s="6" t="s">
        <v>1110</v>
      </c>
      <c r="C203" s="7" t="str" cm="1">
        <f t="array" ref="C203">_xlfn.LET(
  _xlpm.s, UPPER(B203),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LAEMKKIVASGKIPHIILHSP</v>
      </c>
      <c r="D203" s="4">
        <v>543</v>
      </c>
      <c r="E203" s="1">
        <v>831</v>
      </c>
      <c r="F203" s="1">
        <v>59</v>
      </c>
      <c r="G203" s="1">
        <v>39</v>
      </c>
      <c r="I203">
        <f t="shared" si="20"/>
        <v>1.1768543587158335</v>
      </c>
      <c r="J203">
        <f t="shared" si="21"/>
        <v>-0.42447296706826987</v>
      </c>
      <c r="K203">
        <f t="shared" si="22"/>
        <v>-0.19480672747719252</v>
      </c>
      <c r="M203">
        <f t="shared" si="23"/>
        <v>0.18585822139012373</v>
      </c>
      <c r="P203" s="16" t="s">
        <v>1685</v>
      </c>
    </row>
    <row r="204" spans="1:16">
      <c r="A204" s="2" t="s">
        <v>344</v>
      </c>
      <c r="B204" s="6" t="s">
        <v>907</v>
      </c>
      <c r="C204" s="7" t="str" cm="1">
        <f t="array" ref="C204">_xlfn.LET(
  _xlpm.s, UPPER(B204),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KAKMKEIVASGKIPHIILHSP</v>
      </c>
      <c r="D204" s="4">
        <v>823</v>
      </c>
      <c r="E204" s="1">
        <v>79</v>
      </c>
      <c r="F204" s="1">
        <v>1418</v>
      </c>
      <c r="G204" s="1">
        <v>59</v>
      </c>
      <c r="I204">
        <f t="shared" si="20"/>
        <v>-2.5719579401259018E-2</v>
      </c>
      <c r="J204">
        <f t="shared" si="21"/>
        <v>0.77575124651321081</v>
      </c>
      <c r="K204">
        <f t="shared" si="22"/>
        <v>-0.19561932848497032</v>
      </c>
      <c r="M204">
        <f t="shared" si="23"/>
        <v>0.18480411287566048</v>
      </c>
      <c r="P204" s="16" t="s">
        <v>1685</v>
      </c>
    </row>
    <row r="205" spans="1:16">
      <c r="A205" s="2" t="s">
        <v>383</v>
      </c>
      <c r="B205" s="6" t="s">
        <v>946</v>
      </c>
      <c r="C205" s="7" t="str" cm="1">
        <f t="array" ref="C205">_xlfn.LET(
  _xlpm.s, UPPER(B205),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KALFKEIARSGKIPHIILHSP</v>
      </c>
      <c r="D205" s="4">
        <v>880</v>
      </c>
      <c r="E205" s="1">
        <v>402</v>
      </c>
      <c r="F205" s="1">
        <v>166</v>
      </c>
      <c r="G205" s="1">
        <v>110</v>
      </c>
      <c r="I205">
        <f t="shared" si="20"/>
        <v>0.65179654545487087</v>
      </c>
      <c r="J205">
        <f t="shared" si="21"/>
        <v>-0.18489973323168063</v>
      </c>
      <c r="K205">
        <f t="shared" si="22"/>
        <v>4.5838508093211772E-2</v>
      </c>
      <c r="M205">
        <f t="shared" si="23"/>
        <v>0.17091177343880068</v>
      </c>
      <c r="P205" s="16" t="s">
        <v>1685</v>
      </c>
    </row>
    <row r="206" spans="1:16">
      <c r="A206" s="2" t="s">
        <v>512</v>
      </c>
      <c r="B206" s="6" t="s">
        <v>1075</v>
      </c>
      <c r="C206" s="7" t="str" cm="1">
        <f t="array" ref="C206">_xlfn.LET(
  _xlpm.s, UPPER(B206),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LELLKEIAASGKIPHIILHSP</v>
      </c>
      <c r="D206" s="4">
        <v>1207</v>
      </c>
      <c r="E206" s="1">
        <v>41</v>
      </c>
      <c r="F206" s="1">
        <v>37</v>
      </c>
      <c r="G206" s="1">
        <v>12324</v>
      </c>
      <c r="I206">
        <f t="shared" si="20"/>
        <v>-0.47687024885704421</v>
      </c>
      <c r="J206">
        <f t="shared" si="21"/>
        <v>-0.9740306951519212</v>
      </c>
      <c r="K206">
        <f t="shared" si="22"/>
        <v>1.9579729146327092</v>
      </c>
      <c r="M206">
        <f t="shared" si="23"/>
        <v>0.16902399020791456</v>
      </c>
      <c r="P206" s="16" t="s">
        <v>1685</v>
      </c>
    </row>
    <row r="207" spans="1:16">
      <c r="A207" s="2" t="s">
        <v>543</v>
      </c>
      <c r="B207" s="6" t="s">
        <v>1106</v>
      </c>
      <c r="C207" s="7" t="str" cm="1">
        <f t="array" ref="C207">_xlfn.LET(
  _xlpm.s, UPPER(B207),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LALMREIAASGKIPHIILHSP</v>
      </c>
      <c r="D207" s="4">
        <v>2819</v>
      </c>
      <c r="E207" s="1">
        <v>1746</v>
      </c>
      <c r="F207" s="1">
        <v>143</v>
      </c>
      <c r="G207" s="1">
        <v>951</v>
      </c>
      <c r="I207">
        <f t="shared" si="20"/>
        <v>0.78400232801851799</v>
      </c>
      <c r="J207">
        <f t="shared" si="21"/>
        <v>-0.75528418752810766</v>
      </c>
      <c r="K207">
        <f t="shared" si="22"/>
        <v>0.47701393615096688</v>
      </c>
      <c r="M207">
        <f t="shared" si="23"/>
        <v>0.16857735888045908</v>
      </c>
      <c r="P207" s="16" t="s">
        <v>1685</v>
      </c>
    </row>
    <row r="208" spans="1:16">
      <c r="A208" s="2" t="s">
        <v>205</v>
      </c>
      <c r="B208" s="6" t="s">
        <v>768</v>
      </c>
      <c r="C208" s="7" t="str" cm="1">
        <f t="array" ref="C208">_xlfn.LET(
  _xlpm.s, UPPER(B208),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KELFKAIAASGKIPHIILHSP</v>
      </c>
      <c r="D208" s="4">
        <v>1115</v>
      </c>
      <c r="E208" s="1">
        <v>1417</v>
      </c>
      <c r="F208" s="1">
        <v>129</v>
      </c>
      <c r="G208" s="1">
        <v>79</v>
      </c>
      <c r="I208">
        <f t="shared" si="20"/>
        <v>1.0961481473838504</v>
      </c>
      <c r="J208">
        <f t="shared" si="21"/>
        <v>-0.39721030620649755</v>
      </c>
      <c r="K208">
        <f t="shared" si="22"/>
        <v>-0.20071928100858272</v>
      </c>
      <c r="M208">
        <f t="shared" si="23"/>
        <v>0.16607285338959002</v>
      </c>
      <c r="P208" s="16" t="s">
        <v>1685</v>
      </c>
    </row>
    <row r="209" spans="1:16">
      <c r="A209" s="2" t="s">
        <v>177</v>
      </c>
      <c r="B209" s="6" t="s">
        <v>740</v>
      </c>
      <c r="C209" s="7" t="str" cm="1">
        <f t="array" ref="C209">_xlfn.LET(
  _xlpm.s, UPPER(B209),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KELMREIAKSGKIPHIILHSP</v>
      </c>
      <c r="D209" s="4">
        <v>864</v>
      </c>
      <c r="E209" s="1">
        <v>1104</v>
      </c>
      <c r="F209" s="1">
        <v>27</v>
      </c>
      <c r="G209" s="1">
        <v>225</v>
      </c>
      <c r="I209">
        <f t="shared" si="20"/>
        <v>1.0985084954348563</v>
      </c>
      <c r="J209">
        <f t="shared" si="21"/>
        <v>-0.9656751274414731</v>
      </c>
      <c r="K209">
        <f t="shared" si="22"/>
        <v>0.36459727071762449</v>
      </c>
      <c r="M209">
        <f t="shared" si="23"/>
        <v>0.16581021290366924</v>
      </c>
      <c r="P209" s="16" t="s">
        <v>1685</v>
      </c>
    </row>
    <row r="210" spans="1:16">
      <c r="A210" s="2" t="s">
        <v>84</v>
      </c>
      <c r="B210" s="6" t="s">
        <v>647</v>
      </c>
      <c r="C210" s="7" t="str" cm="1">
        <f t="array" ref="C210">_xlfn.LET(
  _xlpm.s, UPPER(B210),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KQLLKQIAASGKIPHIILHSP</v>
      </c>
      <c r="D210" s="4">
        <v>1006</v>
      </c>
      <c r="E210" s="1">
        <v>4003</v>
      </c>
      <c r="F210" s="1">
        <v>40</v>
      </c>
      <c r="G210" s="1">
        <v>64</v>
      </c>
      <c r="I210">
        <f t="shared" si="20"/>
        <v>1.5918407739057661</v>
      </c>
      <c r="J210">
        <f t="shared" si="21"/>
        <v>-0.86106313851351335</v>
      </c>
      <c r="K210">
        <f t="shared" si="22"/>
        <v>-0.24748951165086619</v>
      </c>
      <c r="M210">
        <f t="shared" si="23"/>
        <v>0.16109604124712884</v>
      </c>
      <c r="P210" s="16" t="s">
        <v>1685</v>
      </c>
    </row>
    <row r="211" spans="1:16">
      <c r="A211" s="2" t="s">
        <v>250</v>
      </c>
      <c r="B211" s="6" t="s">
        <v>813</v>
      </c>
      <c r="C211" s="7" t="str" cm="1">
        <f t="array" ref="C211">_xlfn.LET(
  _xlpm.s, UPPER(B211),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KEVMKKIAASGKIPHIILHSP</v>
      </c>
      <c r="D211" s="4">
        <v>533</v>
      </c>
      <c r="E211" s="1">
        <v>121</v>
      </c>
      <c r="F211" s="1">
        <v>186</v>
      </c>
      <c r="G211" s="1">
        <v>64</v>
      </c>
      <c r="I211">
        <f t="shared" si="20"/>
        <v>0.34811132581044724</v>
      </c>
      <c r="J211">
        <f t="shared" si="21"/>
        <v>8.2260586069776986E-2</v>
      </c>
      <c r="K211">
        <f t="shared" si="22"/>
        <v>2.8381260042470213E-2</v>
      </c>
      <c r="M211">
        <f t="shared" si="23"/>
        <v>0.15291772397423148</v>
      </c>
      <c r="P211" s="16" t="s">
        <v>1685</v>
      </c>
    </row>
    <row r="212" spans="1:16">
      <c r="A212" s="2" t="s">
        <v>15</v>
      </c>
      <c r="B212" s="6" t="s">
        <v>578</v>
      </c>
      <c r="C212" s="7" t="str" cm="1">
        <f t="array" ref="C212">_xlfn.LET(
  _xlpm.s, UPPER(B212),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KKRMKEIAASGKIPHIILHSP</v>
      </c>
      <c r="D212" s="4">
        <v>720</v>
      </c>
      <c r="E212" s="1">
        <v>262</v>
      </c>
      <c r="F212" s="1">
        <v>305</v>
      </c>
      <c r="G212" s="1">
        <v>43</v>
      </c>
      <c r="I212">
        <f t="shared" si="20"/>
        <v>0.55302195940904642</v>
      </c>
      <c r="J212">
        <f t="shared" si="21"/>
        <v>0.16644219379395031</v>
      </c>
      <c r="K212">
        <f t="shared" si="22"/>
        <v>-0.27493554576652657</v>
      </c>
      <c r="M212">
        <f t="shared" si="23"/>
        <v>0.14817620247882338</v>
      </c>
      <c r="P212" s="16" t="s">
        <v>1685</v>
      </c>
    </row>
    <row r="213" spans="1:16">
      <c r="A213" s="2" t="s">
        <v>398</v>
      </c>
      <c r="B213" s="6" t="s">
        <v>961</v>
      </c>
      <c r="C213" s="7" t="str" cm="1">
        <f t="array" ref="C213">_xlfn.LET(
  _xlpm.s, UPPER(B213),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KALFRSIVARGKIPHIILHSP</v>
      </c>
      <c r="D213" s="4">
        <v>1549</v>
      </c>
      <c r="E213" s="1">
        <v>235</v>
      </c>
      <c r="F213" s="1">
        <v>4101</v>
      </c>
      <c r="G213" s="1">
        <v>35</v>
      </c>
      <c r="I213">
        <f t="shared" si="20"/>
        <v>0.17306960903309976</v>
      </c>
      <c r="J213">
        <f t="shared" si="21"/>
        <v>0.9623132024067117</v>
      </c>
      <c r="K213">
        <f t="shared" si="22"/>
        <v>-0.69705487832377511</v>
      </c>
      <c r="M213">
        <f t="shared" si="23"/>
        <v>0.14610931103867877</v>
      </c>
      <c r="P213" s="15" t="s">
        <v>1686</v>
      </c>
    </row>
    <row r="214" spans="1:16">
      <c r="A214" s="2" t="s">
        <v>123</v>
      </c>
      <c r="B214" s="6" t="s">
        <v>686</v>
      </c>
      <c r="C214" s="7" t="str" cm="1">
        <f t="array" ref="C214">_xlfn.LET(
  _xlpm.s, UPPER(B214),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KETMKAIAKSGKIPHIILHSP</v>
      </c>
      <c r="D214" s="4">
        <v>564</v>
      </c>
      <c r="E214" s="1">
        <v>4357</v>
      </c>
      <c r="F214" s="1">
        <v>16</v>
      </c>
      <c r="G214" s="1">
        <v>23</v>
      </c>
      <c r="I214">
        <f t="shared" si="20"/>
        <v>1.8799616204729812</v>
      </c>
      <c r="J214">
        <f t="shared" si="21"/>
        <v>-1.0076842704489848</v>
      </c>
      <c r="K214">
        <f t="shared" si="22"/>
        <v>-0.44062277288059404</v>
      </c>
      <c r="M214">
        <f t="shared" si="23"/>
        <v>0.14388485904780079</v>
      </c>
      <c r="P214" s="16" t="s">
        <v>1685</v>
      </c>
    </row>
    <row r="215" spans="1:16">
      <c r="A215" s="2" t="s">
        <v>117</v>
      </c>
      <c r="B215" s="6" t="s">
        <v>680</v>
      </c>
      <c r="C215" s="7" t="str" cm="1">
        <f t="array" ref="C215">_xlfn.LET(
  _xlpm.s, UPPER(B215),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KENMKKIVKSGKIPHIILHSP</v>
      </c>
      <c r="D215" s="4">
        <v>196</v>
      </c>
      <c r="E215" s="1">
        <v>269</v>
      </c>
      <c r="F215" s="1">
        <v>18</v>
      </c>
      <c r="G215" s="1">
        <v>13</v>
      </c>
      <c r="I215">
        <f t="shared" si="20"/>
        <v>1.1295493731665014</v>
      </c>
      <c r="J215">
        <f t="shared" si="21"/>
        <v>-0.49750871537473695</v>
      </c>
      <c r="K215">
        <f t="shared" si="22"/>
        <v>-0.22938422396448388</v>
      </c>
      <c r="M215">
        <f t="shared" si="23"/>
        <v>0.13421881127576019</v>
      </c>
      <c r="P215" s="16" t="s">
        <v>1685</v>
      </c>
    </row>
    <row r="216" spans="1:16">
      <c r="A216" s="2" t="s">
        <v>347</v>
      </c>
      <c r="B216" s="6" t="s">
        <v>910</v>
      </c>
      <c r="C216" s="7" t="str" cm="1">
        <f t="array" ref="C216">_xlfn.LET(
  _xlpm.s, UPPER(B216),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KAKFKAIAASGKIPHIILHSP</v>
      </c>
      <c r="D216" s="4">
        <v>864</v>
      </c>
      <c r="E216" s="1">
        <v>1107</v>
      </c>
      <c r="F216" s="1">
        <v>71</v>
      </c>
      <c r="G216" s="1">
        <v>67</v>
      </c>
      <c r="I216">
        <f t="shared" si="20"/>
        <v>1.0996870429203991</v>
      </c>
      <c r="J216">
        <f t="shared" si="21"/>
        <v>-0.545780542881385</v>
      </c>
      <c r="K216">
        <f t="shared" si="22"/>
        <v>-0.16151044469291165</v>
      </c>
      <c r="M216">
        <f t="shared" si="23"/>
        <v>0.13079868511536749</v>
      </c>
      <c r="P216" s="16" t="s">
        <v>1685</v>
      </c>
    </row>
    <row r="217" spans="1:16">
      <c r="A217" s="2" t="s">
        <v>251</v>
      </c>
      <c r="B217" s="6" t="s">
        <v>814</v>
      </c>
      <c r="C217" s="7" t="str" cm="1">
        <f t="array" ref="C217">_xlfn.LET(
  _xlpm.s, UPPER(B217),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KEVLRKIAASGKIPHIILHSP</v>
      </c>
      <c r="D217" s="4">
        <v>792</v>
      </c>
      <c r="E217" s="1">
        <v>33</v>
      </c>
      <c r="F217" s="1">
        <v>2993</v>
      </c>
      <c r="G217" s="1">
        <v>41</v>
      </c>
      <c r="I217">
        <f t="shared" si="20"/>
        <v>-0.38815807719103668</v>
      </c>
      <c r="J217">
        <f t="shared" si="21"/>
        <v>1.1168563861291307</v>
      </c>
      <c r="K217">
        <f t="shared" si="22"/>
        <v>-0.33701282978460267</v>
      </c>
      <c r="M217">
        <f t="shared" si="23"/>
        <v>0.13056182638449712</v>
      </c>
      <c r="P217" s="16" t="s">
        <v>1685</v>
      </c>
    </row>
    <row r="218" spans="1:16">
      <c r="A218" s="2" t="s">
        <v>200</v>
      </c>
      <c r="B218" s="6" t="s">
        <v>763</v>
      </c>
      <c r="C218" s="7" t="str" cm="1">
        <f t="array" ref="C218">_xlfn.LET(
  _xlpm.s, UPPER(B218),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KELFKEIVKRGKIPHIILHSP</v>
      </c>
      <c r="D218" s="4">
        <v>383</v>
      </c>
      <c r="E218" s="1">
        <v>1237</v>
      </c>
      <c r="F218" s="1">
        <v>24</v>
      </c>
      <c r="G218" s="1">
        <v>15</v>
      </c>
      <c r="I218">
        <f t="shared" si="20"/>
        <v>1.5012240901810674</v>
      </c>
      <c r="J218">
        <f t="shared" si="21"/>
        <v>-0.66351268137858377</v>
      </c>
      <c r="K218">
        <f t="shared" si="22"/>
        <v>-0.45817901982778619</v>
      </c>
      <c r="M218">
        <f t="shared" si="23"/>
        <v>0.12651079632489914</v>
      </c>
      <c r="P218" s="15" t="s">
        <v>1686</v>
      </c>
    </row>
    <row r="219" spans="1:16">
      <c r="A219" s="2" t="s">
        <v>180</v>
      </c>
      <c r="B219" s="6" t="s">
        <v>743</v>
      </c>
      <c r="C219" s="7" t="str" cm="1">
        <f t="array" ref="C219">_xlfn.LET(
  _xlpm.s, UPPER(B219),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KELLRKIADSGKIPHIILHSP</v>
      </c>
      <c r="D219" s="4">
        <v>694</v>
      </c>
      <c r="E219" s="1">
        <v>57</v>
      </c>
      <c r="F219" s="1">
        <v>1277</v>
      </c>
      <c r="G219" s="1">
        <v>34</v>
      </c>
      <c r="I219">
        <f t="shared" si="20"/>
        <v>-9.3431450261794113E-2</v>
      </c>
      <c r="J219">
        <f t="shared" si="21"/>
        <v>0.80430627768699336</v>
      </c>
      <c r="K219">
        <f t="shared" si="22"/>
        <v>-0.36095205832744459</v>
      </c>
      <c r="M219">
        <f t="shared" si="23"/>
        <v>0.11664092303258489</v>
      </c>
      <c r="P219" s="16" t="s">
        <v>1685</v>
      </c>
    </row>
    <row r="220" spans="1:16">
      <c r="A220" s="2" t="s">
        <v>370</v>
      </c>
      <c r="B220" s="6" t="s">
        <v>933</v>
      </c>
      <c r="C220" s="7" t="str" cm="1">
        <f t="array" ref="C220">_xlfn.LET(
  _xlpm.s, UPPER(B220),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KALMKEIAESGKIPHIILHSP</v>
      </c>
      <c r="D220" s="4">
        <v>710</v>
      </c>
      <c r="E220" s="1">
        <v>1190</v>
      </c>
      <c r="F220" s="1">
        <v>26</v>
      </c>
      <c r="G220" s="1">
        <v>85</v>
      </c>
      <c r="I220">
        <f t="shared" si="20"/>
        <v>1.216341777194025</v>
      </c>
      <c r="J220">
        <f t="shared" si="21"/>
        <v>-0.89681014986982432</v>
      </c>
      <c r="K220">
        <f t="shared" si="22"/>
        <v>2.70890720803727E-2</v>
      </c>
      <c r="M220">
        <f t="shared" si="23"/>
        <v>0.1155402331348578</v>
      </c>
      <c r="P220" s="16" t="s">
        <v>1685</v>
      </c>
    </row>
    <row r="221" spans="1:16">
      <c r="A221" s="2" t="s">
        <v>336</v>
      </c>
      <c r="B221" s="6" t="s">
        <v>899</v>
      </c>
      <c r="C221" s="7" t="str" cm="1">
        <f t="array" ref="C221">_xlfn.LET(
  _xlpm.s, UPPER(B221),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KDLFKAIVARGKIPHIILHSP</v>
      </c>
      <c r="D221" s="4">
        <v>839</v>
      </c>
      <c r="E221" s="1">
        <v>119</v>
      </c>
      <c r="F221" s="1">
        <v>428</v>
      </c>
      <c r="G221" s="1">
        <v>84</v>
      </c>
      <c r="I221">
        <f t="shared" si="20"/>
        <v>0.14383816508439995</v>
      </c>
      <c r="J221">
        <f t="shared" si="21"/>
        <v>0.24715665906290474</v>
      </c>
      <c r="K221">
        <f t="shared" si="22"/>
        <v>-5.0554179681663314E-2</v>
      </c>
      <c r="M221">
        <f t="shared" si="23"/>
        <v>0.11348021482188046</v>
      </c>
      <c r="P221" s="15" t="s">
        <v>1686</v>
      </c>
    </row>
    <row r="222" spans="1:16">
      <c r="A222" s="2" t="s">
        <v>74</v>
      </c>
      <c r="B222" s="6" t="s">
        <v>637</v>
      </c>
      <c r="C222" s="7" t="str" cm="1">
        <f t="array" ref="C222">_xlfn.LET(
  _xlpm.s, UPPER(B222),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KQRMKEIAASGKIPHIILHSP</v>
      </c>
      <c r="D222" s="4">
        <v>1159</v>
      </c>
      <c r="E222" s="1">
        <v>1184</v>
      </c>
      <c r="F222" s="1">
        <v>256</v>
      </c>
      <c r="G222" s="1">
        <v>36</v>
      </c>
      <c r="I222">
        <f t="shared" si="20"/>
        <v>1.0013214309438745</v>
      </c>
      <c r="J222">
        <f t="shared" si="21"/>
        <v>-0.11636861977331348</v>
      </c>
      <c r="K222">
        <f t="shared" si="22"/>
        <v>-0.55885244011115343</v>
      </c>
      <c r="M222">
        <f t="shared" si="23"/>
        <v>0.1087001236864692</v>
      </c>
      <c r="P222" s="16" t="s">
        <v>1685</v>
      </c>
    </row>
    <row r="223" spans="1:16">
      <c r="A223" s="2" t="s">
        <v>514</v>
      </c>
      <c r="B223" s="6" t="s">
        <v>1077</v>
      </c>
      <c r="C223" s="7" t="str" cm="1">
        <f t="array" ref="C223">_xlfn.LET(
  _xlpm.s, UPPER(B223),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LELFKEIAASGKIPHIILHSP</v>
      </c>
      <c r="D223" s="4">
        <v>974</v>
      </c>
      <c r="E223" s="1">
        <v>384</v>
      </c>
      <c r="F223" s="1">
        <v>41</v>
      </c>
      <c r="G223" s="1">
        <v>396</v>
      </c>
      <c r="I223">
        <f t="shared" si="20"/>
        <v>0.58782543200948478</v>
      </c>
      <c r="J223">
        <f t="shared" si="21"/>
        <v>-0.83630024928044711</v>
      </c>
      <c r="K223">
        <f t="shared" si="22"/>
        <v>0.55806472413205199</v>
      </c>
      <c r="M223">
        <f t="shared" si="23"/>
        <v>0.10319663562036323</v>
      </c>
      <c r="P223" s="16" t="s">
        <v>1685</v>
      </c>
    </row>
    <row r="224" spans="1:16">
      <c r="A224" s="2" t="s">
        <v>394</v>
      </c>
      <c r="B224" s="6" t="s">
        <v>957</v>
      </c>
      <c r="C224" s="7" t="str" cm="1">
        <f t="array" ref="C224">_xlfn.LET(
  _xlpm.s, UPPER(B224),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KALFKSIVEKGKIPHIILHSP</v>
      </c>
      <c r="D224" s="4">
        <v>520</v>
      </c>
      <c r="E224" s="1">
        <v>18</v>
      </c>
      <c r="F224" s="1">
        <v>1926</v>
      </c>
      <c r="G224" s="1">
        <v>27</v>
      </c>
      <c r="I224">
        <f t="shared" si="20"/>
        <v>-0.46867767401092353</v>
      </c>
      <c r="J224">
        <f t="shared" si="21"/>
        <v>1.1081277900321496</v>
      </c>
      <c r="K224">
        <f t="shared" si="22"/>
        <v>-0.33571108439065656</v>
      </c>
      <c r="M224">
        <f t="shared" si="23"/>
        <v>0.10124634387685649</v>
      </c>
      <c r="P224" s="15" t="s">
        <v>1686</v>
      </c>
    </row>
    <row r="225" spans="1:16">
      <c r="A225" s="2" t="s">
        <v>140</v>
      </c>
      <c r="B225" s="6" t="s">
        <v>703</v>
      </c>
      <c r="C225" s="7" t="str" cm="1">
        <f t="array" ref="C225">_xlfn.LET(
  _xlpm.s, UPPER(B225),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KERMKEIAKSGKIPHIILHSP</v>
      </c>
      <c r="D225" s="4">
        <v>800</v>
      </c>
      <c r="E225" s="1">
        <v>40</v>
      </c>
      <c r="F225" s="1">
        <v>286</v>
      </c>
      <c r="G225" s="1">
        <v>297</v>
      </c>
      <c r="I225">
        <f t="shared" si="20"/>
        <v>-0.30897683114341179</v>
      </c>
      <c r="J225">
        <f t="shared" si="21"/>
        <v>9.2750897015532352E-2</v>
      </c>
      <c r="K225">
        <f t="shared" si="22"/>
        <v>0.51859495741042405</v>
      </c>
      <c r="M225">
        <f t="shared" si="23"/>
        <v>0.10078967442751487</v>
      </c>
      <c r="P225" s="16" t="s">
        <v>1685</v>
      </c>
    </row>
    <row r="226" spans="1:16">
      <c r="A226" s="2" t="s">
        <v>160</v>
      </c>
      <c r="B226" s="6" t="s">
        <v>723</v>
      </c>
      <c r="C226" s="7" t="str" cm="1">
        <f t="array" ref="C226">_xlfn.LET(
  _xlpm.s, UPPER(B226),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KERFKAIVAKGKIPHIILHSP</v>
      </c>
      <c r="D226" s="4">
        <v>718</v>
      </c>
      <c r="E226" s="1">
        <v>858</v>
      </c>
      <c r="F226" s="1">
        <v>62</v>
      </c>
      <c r="G226" s="1">
        <v>46</v>
      </c>
      <c r="I226">
        <f t="shared" si="20"/>
        <v>1.0694160081269746</v>
      </c>
      <c r="J226">
        <f t="shared" si="21"/>
        <v>-0.52425790386561355</v>
      </c>
      <c r="K226">
        <f t="shared" si="22"/>
        <v>-0.24443811747557098</v>
      </c>
      <c r="M226">
        <f t="shared" si="23"/>
        <v>0.10023999559526335</v>
      </c>
      <c r="P226" s="15" t="s">
        <v>1686</v>
      </c>
    </row>
    <row r="227" spans="1:16">
      <c r="A227" s="2" t="s">
        <v>462</v>
      </c>
      <c r="B227" s="6" t="s">
        <v>1025</v>
      </c>
      <c r="C227" s="7" t="str" cm="1">
        <f t="array" ref="C227">_xlfn.LET(
  _xlpm.s, UPPER(B227),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RERMKAIAASGKIPHIILHSP</v>
      </c>
      <c r="D227" s="4">
        <v>1932</v>
      </c>
      <c r="E227" s="1">
        <v>130</v>
      </c>
      <c r="F227" s="1">
        <v>3997</v>
      </c>
      <c r="G227" s="1">
        <v>89</v>
      </c>
      <c r="I227">
        <f t="shared" si="20"/>
        <v>-0.18001060525206825</v>
      </c>
      <c r="J227">
        <f t="shared" si="21"/>
        <v>0.85520187705906325</v>
      </c>
      <c r="K227">
        <f t="shared" si="22"/>
        <v>-0.38768862034940632</v>
      </c>
      <c r="M227">
        <f t="shared" si="23"/>
        <v>9.5834217152529558E-2</v>
      </c>
      <c r="P227" s="16" t="s">
        <v>1685</v>
      </c>
    </row>
    <row r="228" spans="1:16">
      <c r="A228" s="2" t="s">
        <v>541</v>
      </c>
      <c r="B228" s="6" t="s">
        <v>1104</v>
      </c>
      <c r="C228" s="7" t="str" cm="1">
        <f t="array" ref="C228">_xlfn.LET(
  _xlpm.s, UPPER(B228),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LALMKEIAASGKIPHIILHSP</v>
      </c>
      <c r="D228" s="4">
        <v>1597</v>
      </c>
      <c r="E228" s="1">
        <v>530</v>
      </c>
      <c r="F228" s="1">
        <v>1081</v>
      </c>
      <c r="G228" s="1">
        <v>45</v>
      </c>
      <c r="I228">
        <f t="shared" si="20"/>
        <v>0.51302411798287562</v>
      </c>
      <c r="J228">
        <f t="shared" si="21"/>
        <v>0.3699956286932603</v>
      </c>
      <c r="K228">
        <f t="shared" si="22"/>
        <v>-0.60116390727798397</v>
      </c>
      <c r="M228">
        <f t="shared" si="23"/>
        <v>9.3951946466050651E-2</v>
      </c>
      <c r="P228" s="16" t="s">
        <v>1685</v>
      </c>
    </row>
    <row r="229" spans="1:16">
      <c r="A229" s="2" t="s">
        <v>231</v>
      </c>
      <c r="B229" s="6" t="s">
        <v>794</v>
      </c>
      <c r="C229" s="7" t="str" cm="1">
        <f t="array" ref="C229">_xlfn.LET(
  _xlpm.s, UPPER(B229),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KELFRAIVARGKIPHIILHSP</v>
      </c>
      <c r="D229" s="4">
        <v>1192</v>
      </c>
      <c r="E229" s="1">
        <v>50</v>
      </c>
      <c r="F229" s="1">
        <v>355</v>
      </c>
      <c r="G229" s="1">
        <v>603</v>
      </c>
      <c r="I229">
        <f t="shared" si="20"/>
        <v>-0.38525308654762935</v>
      </c>
      <c r="J229">
        <f t="shared" si="21"/>
        <v>1.3426948529309368E-2</v>
      </c>
      <c r="K229">
        <f t="shared" si="22"/>
        <v>0.65296955182108896</v>
      </c>
      <c r="M229">
        <f t="shared" si="23"/>
        <v>9.3714471267589652E-2</v>
      </c>
      <c r="P229" s="15" t="s">
        <v>1686</v>
      </c>
    </row>
    <row r="230" spans="1:16">
      <c r="A230" s="2" t="s">
        <v>34</v>
      </c>
      <c r="B230" s="6" t="s">
        <v>597</v>
      </c>
      <c r="C230" s="7" t="str" cm="1">
        <f t="array" ref="C230">_xlfn.LET(
  _xlpm.s, UPPER(B230),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KKLFKEIAASGKIPHIILHSP</v>
      </c>
      <c r="D230" s="4">
        <v>582</v>
      </c>
      <c r="E230" s="1">
        <v>61</v>
      </c>
      <c r="F230" s="1">
        <v>174</v>
      </c>
      <c r="G230" s="1">
        <v>115</v>
      </c>
      <c r="I230">
        <f t="shared" si="20"/>
        <v>1.2460014881447989E-2</v>
      </c>
      <c r="J230">
        <f t="shared" si="21"/>
        <v>1.5101114511144154E-2</v>
      </c>
      <c r="K230">
        <f t="shared" si="22"/>
        <v>0.2447033507888785</v>
      </c>
      <c r="M230">
        <f t="shared" si="23"/>
        <v>9.0754826727156887E-2</v>
      </c>
      <c r="P230" s="16" t="s">
        <v>1685</v>
      </c>
    </row>
    <row r="231" spans="1:16">
      <c r="A231" s="2" t="s">
        <v>145</v>
      </c>
      <c r="B231" s="6" t="s">
        <v>708</v>
      </c>
      <c r="C231" s="7" t="str" cm="1">
        <f t="array" ref="C231">_xlfn.LET(
  _xlpm.s, UPPER(B231),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KERMRQIAKSGKIPHIILHSP</v>
      </c>
      <c r="D231" s="4">
        <v>1119</v>
      </c>
      <c r="E231" s="1">
        <v>4254</v>
      </c>
      <c r="F231" s="1">
        <v>26</v>
      </c>
      <c r="G231" s="1">
        <v>73</v>
      </c>
      <c r="I231">
        <f t="shared" si="20"/>
        <v>1.5720205635589295</v>
      </c>
      <c r="J231">
        <f t="shared" si="21"/>
        <v>-1.0943818876790989</v>
      </c>
      <c r="K231">
        <f t="shared" si="22"/>
        <v>-0.23657873132273877</v>
      </c>
      <c r="M231">
        <f t="shared" si="23"/>
        <v>8.0353314852363925E-2</v>
      </c>
      <c r="P231" s="16" t="s">
        <v>1685</v>
      </c>
    </row>
    <row r="232" spans="1:16">
      <c r="A232" s="2" t="s">
        <v>279</v>
      </c>
      <c r="B232" s="6" t="s">
        <v>842</v>
      </c>
      <c r="C232" s="7" t="str" cm="1">
        <f t="array" ref="C232">_xlfn.LET(
  _xlpm.s, UPPER(B232),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KEYFKSIVASGKIPHIILHSP</v>
      </c>
      <c r="D232" s="4">
        <v>309</v>
      </c>
      <c r="E232" s="1">
        <v>14</v>
      </c>
      <c r="F232" s="1">
        <v>452</v>
      </c>
      <c r="G232" s="1">
        <v>26</v>
      </c>
      <c r="I232">
        <f t="shared" si="20"/>
        <v>-0.3517772792260272</v>
      </c>
      <c r="J232">
        <f t="shared" si="21"/>
        <v>0.70465480626498045</v>
      </c>
      <c r="K232">
        <f t="shared" si="22"/>
        <v>-0.12605663636886133</v>
      </c>
      <c r="M232">
        <f t="shared" si="23"/>
        <v>7.5606963556697313E-2</v>
      </c>
      <c r="P232" s="15" t="s">
        <v>1686</v>
      </c>
    </row>
    <row r="233" spans="1:16">
      <c r="A233" s="2" t="s">
        <v>82</v>
      </c>
      <c r="B233" s="6" t="s">
        <v>645</v>
      </c>
      <c r="C233" s="7" t="str" cm="1">
        <f t="array" ref="C233">_xlfn.LET(
  _xlpm.s, UPPER(B233),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KQLMKEIAASGKIPHIILHSP</v>
      </c>
      <c r="D233" s="4">
        <v>1003</v>
      </c>
      <c r="E233" s="1">
        <v>1626</v>
      </c>
      <c r="F233" s="1">
        <v>90</v>
      </c>
      <c r="G233" s="1">
        <v>37</v>
      </c>
      <c r="I233">
        <f t="shared" si="20"/>
        <v>1.2018727727582008</v>
      </c>
      <c r="J233">
        <f t="shared" si="21"/>
        <v>-0.50758357270266019</v>
      </c>
      <c r="K233">
        <f t="shared" si="22"/>
        <v>-0.48417071386826782</v>
      </c>
      <c r="M233">
        <f t="shared" si="23"/>
        <v>7.0039495395757601E-2</v>
      </c>
      <c r="P233" s="16" t="s">
        <v>1685</v>
      </c>
    </row>
    <row r="234" spans="1:16">
      <c r="A234" s="2" t="s">
        <v>476</v>
      </c>
      <c r="B234" s="6" t="s">
        <v>1039</v>
      </c>
      <c r="C234" s="7" t="str" cm="1">
        <f t="array" ref="C234">_xlfn.LET(
  _xlpm.s, UPPER(B234),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RAYFKELAASGKIPHIILHSP</v>
      </c>
      <c r="D234" s="4">
        <v>574</v>
      </c>
      <c r="E234" s="1">
        <v>1210</v>
      </c>
      <c r="F234" s="1">
        <v>42</v>
      </c>
      <c r="G234" s="1">
        <v>19</v>
      </c>
      <c r="I234">
        <f t="shared" si="20"/>
        <v>1.3159266424390461</v>
      </c>
      <c r="J234">
        <f t="shared" si="21"/>
        <v>-0.59618775112164013</v>
      </c>
      <c r="K234">
        <f t="shared" si="22"/>
        <v>-0.53122979635998924</v>
      </c>
      <c r="M234">
        <f t="shared" si="23"/>
        <v>6.2836364985805582E-2</v>
      </c>
      <c r="P234" s="16" t="s">
        <v>1685</v>
      </c>
    </row>
    <row r="235" spans="1:16">
      <c r="A235" s="2" t="s">
        <v>265</v>
      </c>
      <c r="B235" s="6" t="s">
        <v>828</v>
      </c>
      <c r="C235" s="7" t="str" cm="1">
        <f t="array" ref="C235">_xlfn.LET(
  _xlpm.s, UPPER(B235),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KEYFKAIVKSGKIPHIILHSP</v>
      </c>
      <c r="D235" s="4">
        <v>194</v>
      </c>
      <c r="E235" s="1">
        <v>73</v>
      </c>
      <c r="F235" s="1">
        <v>56</v>
      </c>
      <c r="G235" s="1">
        <v>9</v>
      </c>
      <c r="I235">
        <f t="shared" si="20"/>
        <v>0.56757429471079934</v>
      </c>
      <c r="J235">
        <f t="shared" si="21"/>
        <v>-1.3885204559271891E-4</v>
      </c>
      <c r="K235">
        <f t="shared" si="22"/>
        <v>-0.38463072540574594</v>
      </c>
      <c r="M235">
        <f t="shared" si="23"/>
        <v>6.0934905753153558E-2</v>
      </c>
      <c r="P235" s="15" t="s">
        <v>1686</v>
      </c>
    </row>
    <row r="236" spans="1:16">
      <c r="A236" s="2" t="s">
        <v>482</v>
      </c>
      <c r="B236" s="6" t="s">
        <v>1045</v>
      </c>
      <c r="C236" s="7" t="str" cm="1">
        <f t="array" ref="C236">_xlfn.LET(
  _xlpm.s, UPPER(B236),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LKRLKEIVSSGKIPHIILHSP</v>
      </c>
      <c r="D236" s="4">
        <v>497</v>
      </c>
      <c r="E236" s="1">
        <v>14</v>
      </c>
      <c r="F236" s="1">
        <v>1453</v>
      </c>
      <c r="G236" s="1">
        <v>30</v>
      </c>
      <c r="I236">
        <f t="shared" si="20"/>
        <v>-0.55817518853452452</v>
      </c>
      <c r="J236">
        <f t="shared" si="21"/>
        <v>1.0053840764431223</v>
      </c>
      <c r="K236">
        <f t="shared" si="22"/>
        <v>-0.27030663892851448</v>
      </c>
      <c r="M236">
        <f t="shared" si="23"/>
        <v>5.8967416326694444E-2</v>
      </c>
      <c r="P236" s="16" t="s">
        <v>1685</v>
      </c>
    </row>
    <row r="237" spans="1:16">
      <c r="A237" s="2" t="s">
        <v>385</v>
      </c>
      <c r="B237" s="6" t="s">
        <v>948</v>
      </c>
      <c r="C237" s="7" t="str" cm="1">
        <f t="array" ref="C237">_xlfn.LET(
  _xlpm.s, UPPER(B237),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KALFKEIAASGKIPHIILHSP</v>
      </c>
      <c r="D237" s="4">
        <v>1255</v>
      </c>
      <c r="E237" s="1">
        <v>641</v>
      </c>
      <c r="F237" s="1">
        <v>198</v>
      </c>
      <c r="G237" s="1">
        <v>77</v>
      </c>
      <c r="I237">
        <f t="shared" si="20"/>
        <v>0.70026746822232999</v>
      </c>
      <c r="J237">
        <f t="shared" si="21"/>
        <v>-0.26250368467709284</v>
      </c>
      <c r="K237">
        <f t="shared" si="22"/>
        <v>-0.26322450555941979</v>
      </c>
      <c r="M237">
        <f t="shared" si="23"/>
        <v>5.8179759328605786E-2</v>
      </c>
      <c r="P237" s="16" t="s">
        <v>1685</v>
      </c>
    </row>
    <row r="238" spans="1:16">
      <c r="A238" s="2" t="s">
        <v>138</v>
      </c>
      <c r="B238" s="6" t="s">
        <v>701</v>
      </c>
      <c r="C238" s="7" t="str" cm="1">
        <f t="array" ref="C238">_xlfn.LET(
  _xlpm.s, UPPER(B238),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KERMKKIAESGKIPHIILHSP</v>
      </c>
      <c r="D238" s="4">
        <v>539</v>
      </c>
      <c r="E238" s="1">
        <v>290</v>
      </c>
      <c r="F238" s="1">
        <v>160</v>
      </c>
      <c r="G238" s="1">
        <v>16</v>
      </c>
      <c r="I238">
        <f t="shared" si="20"/>
        <v>0.72286239723278689</v>
      </c>
      <c r="J238">
        <f t="shared" si="21"/>
        <v>1.2006068347619081E-2</v>
      </c>
      <c r="K238">
        <f t="shared" si="22"/>
        <v>-0.57854028744565866</v>
      </c>
      <c r="M238">
        <f t="shared" si="23"/>
        <v>5.2109392711582436E-2</v>
      </c>
      <c r="P238" s="16" t="s">
        <v>1685</v>
      </c>
    </row>
    <row r="239" spans="1:16">
      <c r="A239" s="2" t="s">
        <v>495</v>
      </c>
      <c r="B239" s="6" t="s">
        <v>1058</v>
      </c>
      <c r="C239" s="7" t="str" cm="1">
        <f t="array" ref="C239">_xlfn.LET(
  _xlpm.s, UPPER(B239),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LQRMREIAASGKIPHIILHSP</v>
      </c>
      <c r="D239" s="4">
        <v>3058</v>
      </c>
      <c r="E239" s="1">
        <v>2645</v>
      </c>
      <c r="F239" s="1">
        <v>322</v>
      </c>
      <c r="G239" s="1">
        <v>159</v>
      </c>
      <c r="I239">
        <f t="shared" si="20"/>
        <v>0.92904135981547276</v>
      </c>
      <c r="J239">
        <f t="shared" si="21"/>
        <v>-0.43810675850203751</v>
      </c>
      <c r="K239">
        <f t="shared" si="22"/>
        <v>-0.33511186167069451</v>
      </c>
      <c r="M239">
        <f t="shared" si="23"/>
        <v>5.194091321424691E-2</v>
      </c>
      <c r="P239" s="16" t="s">
        <v>1685</v>
      </c>
    </row>
    <row r="240" spans="1:16">
      <c r="A240" s="2" t="s">
        <v>110</v>
      </c>
      <c r="B240" s="6" t="s">
        <v>673</v>
      </c>
      <c r="C240" s="7" t="str" cm="1">
        <f t="array" ref="C240">_xlfn.LET(
  _xlpm.s, UPPER(B240),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KEKMKEIADSGKIPHIILHSP</v>
      </c>
      <c r="D240" s="4">
        <v>349</v>
      </c>
      <c r="E240" s="1">
        <v>19</v>
      </c>
      <c r="F240" s="1">
        <v>495</v>
      </c>
      <c r="G240" s="1">
        <v>21</v>
      </c>
      <c r="I240">
        <f t="shared" si="20"/>
        <v>-0.27201866148578135</v>
      </c>
      <c r="J240">
        <f t="shared" si="21"/>
        <v>0.6912546228528218</v>
      </c>
      <c r="K240">
        <f t="shared" si="22"/>
        <v>-0.27167763714010529</v>
      </c>
      <c r="M240">
        <f t="shared" si="23"/>
        <v>4.9186108075645052E-2</v>
      </c>
      <c r="P240" s="16" t="s">
        <v>1685</v>
      </c>
    </row>
    <row r="241" spans="1:16">
      <c r="A241" s="2" t="s">
        <v>189</v>
      </c>
      <c r="B241" s="6" t="s">
        <v>752</v>
      </c>
      <c r="C241" s="7" t="str" cm="1">
        <f t="array" ref="C241">_xlfn.LET(
  _xlpm.s, UPPER(B241),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KELFKNIVAKGKIPHIILHSP</v>
      </c>
      <c r="D241" s="4">
        <v>349</v>
      </c>
      <c r="E241" s="1">
        <v>136</v>
      </c>
      <c r="F241" s="1">
        <v>76</v>
      </c>
      <c r="G241" s="1">
        <v>19</v>
      </c>
      <c r="I241">
        <f t="shared" si="20"/>
        <v>0.5827666459316071</v>
      </c>
      <c r="J241">
        <f t="shared" si="21"/>
        <v>-0.12253698379995559</v>
      </c>
      <c r="K241">
        <f t="shared" si="22"/>
        <v>-0.31514333092119551</v>
      </c>
      <c r="M241">
        <f t="shared" si="23"/>
        <v>4.8362110403485335E-2</v>
      </c>
      <c r="P241" s="15" t="s">
        <v>1686</v>
      </c>
    </row>
    <row r="242" spans="1:16">
      <c r="A242" s="2" t="s">
        <v>175</v>
      </c>
      <c r="B242" s="6" t="s">
        <v>738</v>
      </c>
      <c r="C242" s="7" t="str" cm="1">
        <f t="array" ref="C242">_xlfn.LET(
  _xlpm.s, UPPER(B242),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KELMKSIASSGKIPHIILHSP</v>
      </c>
      <c r="D242" s="4">
        <v>797</v>
      </c>
      <c r="E242" s="1">
        <v>1844</v>
      </c>
      <c r="F242" s="1">
        <v>11</v>
      </c>
      <c r="G242" s="1">
        <v>112</v>
      </c>
      <c r="I242">
        <f t="shared" ref="I242:I305" si="24">LOG(E242/D242)-LOG(182/1787)</f>
        <v>1.3563557598420677</v>
      </c>
      <c r="J242">
        <f t="shared" ref="J242:J305" si="25">LOG(F242/D242)-LOG(516/1787)</f>
        <v>-1.3205907853594545</v>
      </c>
      <c r="K242">
        <f t="shared" ref="K242:K305" si="26">LOG(G242/D242)-LOG(201/1787)</f>
        <v>9.6688196359224543E-2</v>
      </c>
      <c r="M242">
        <f t="shared" ref="M242:M305" si="27">AVERAGE(I242:K242)</f>
        <v>4.4151056947279242E-2</v>
      </c>
      <c r="P242" s="16" t="s">
        <v>1685</v>
      </c>
    </row>
    <row r="243" spans="1:16">
      <c r="A243" s="2" t="s">
        <v>147</v>
      </c>
      <c r="B243" s="6" t="s">
        <v>710</v>
      </c>
      <c r="C243" s="7" t="str" cm="1">
        <f t="array" ref="C243">_xlfn.LET(
  _xlpm.s, UPPER(B243),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KERMLEIAKSGKIPHIILHSP</v>
      </c>
      <c r="D243" s="4">
        <v>836</v>
      </c>
      <c r="E243" s="1">
        <v>78</v>
      </c>
      <c r="F243" s="1">
        <v>640</v>
      </c>
      <c r="G243" s="1">
        <v>51</v>
      </c>
      <c r="I243">
        <f t="shared" si="24"/>
        <v>-3.8058510227966469E-2</v>
      </c>
      <c r="J243">
        <f t="shared" si="25"/>
        <v>0.42344854742330373</v>
      </c>
      <c r="K243">
        <f t="shared" si="26"/>
        <v>-0.26570760625592471</v>
      </c>
      <c r="M243">
        <f t="shared" si="27"/>
        <v>3.9894143646470849E-2</v>
      </c>
      <c r="P243" s="16" t="s">
        <v>1685</v>
      </c>
    </row>
    <row r="244" spans="1:16">
      <c r="A244" s="2" t="s">
        <v>24</v>
      </c>
      <c r="B244" s="6" t="s">
        <v>587</v>
      </c>
      <c r="C244" s="7" t="str" cm="1">
        <f t="array" ref="C244">_xlfn.LET(
  _xlpm.s, UPPER(B244),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KKLMKEIADSGKIPHIILHSP</v>
      </c>
      <c r="D244" s="4">
        <v>346</v>
      </c>
      <c r="E244" s="1">
        <v>184</v>
      </c>
      <c r="F244" s="1">
        <v>39</v>
      </c>
      <c r="G244" s="1">
        <v>24</v>
      </c>
      <c r="I244">
        <f t="shared" si="24"/>
        <v>0.71779488873732933</v>
      </c>
      <c r="J244">
        <f t="shared" si="25"/>
        <v>-0.40853664088784447</v>
      </c>
      <c r="K244">
        <f t="shared" si="26"/>
        <v>-0.20993636199601529</v>
      </c>
      <c r="M244">
        <f t="shared" si="27"/>
        <v>3.3107295284489857E-2</v>
      </c>
      <c r="P244" s="16" t="s">
        <v>1685</v>
      </c>
    </row>
    <row r="245" spans="1:16">
      <c r="A245" s="2" t="s">
        <v>107</v>
      </c>
      <c r="B245" s="6" t="s">
        <v>670</v>
      </c>
      <c r="C245" s="7" t="str" cm="1">
        <f t="array" ref="C245">_xlfn.LET(
  _xlpm.s, UPPER(B245),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KEKMKKIAESGKIPHIILHSP</v>
      </c>
      <c r="D245" s="4">
        <v>215</v>
      </c>
      <c r="E245" s="1">
        <v>8</v>
      </c>
      <c r="F245" s="1">
        <v>285</v>
      </c>
      <c r="G245" s="1">
        <v>18</v>
      </c>
      <c r="I245">
        <f t="shared" si="24"/>
        <v>-0.43729530840309239</v>
      </c>
      <c r="J245">
        <f t="shared" si="25"/>
        <v>0.66188125097133776</v>
      </c>
      <c r="K245">
        <f t="shared" si="26"/>
        <v>-0.12823745972714407</v>
      </c>
      <c r="M245">
        <f t="shared" si="27"/>
        <v>3.2116160947033769E-2</v>
      </c>
      <c r="P245" s="16" t="s">
        <v>1685</v>
      </c>
    </row>
    <row r="246" spans="1:16">
      <c r="A246" s="2" t="s">
        <v>375</v>
      </c>
      <c r="B246" s="6" t="s">
        <v>938</v>
      </c>
      <c r="C246" s="7" t="str" cm="1">
        <f t="array" ref="C246">_xlfn.LET(
  _xlpm.s, UPPER(B246),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KALMREIAASGKIPHIILHSP</v>
      </c>
      <c r="D246" s="4">
        <v>2321</v>
      </c>
      <c r="E246" s="1">
        <v>24518</v>
      </c>
      <c r="F246" s="1">
        <v>25</v>
      </c>
      <c r="G246" s="1">
        <v>84</v>
      </c>
      <c r="I246">
        <f t="shared" si="24"/>
        <v>2.0158630647727982</v>
      </c>
      <c r="J246">
        <f t="shared" si="25"/>
        <v>-1.4282602809054472</v>
      </c>
      <c r="K246">
        <f t="shared" si="26"/>
        <v>-0.49246735930888086</v>
      </c>
      <c r="M246">
        <f t="shared" si="27"/>
        <v>3.1711808186156709E-2</v>
      </c>
      <c r="P246" s="16" t="s">
        <v>1685</v>
      </c>
    </row>
    <row r="247" spans="1:16">
      <c r="A247" s="2" t="s">
        <v>129</v>
      </c>
      <c r="B247" s="6" t="s">
        <v>692</v>
      </c>
      <c r="C247" s="7" t="str" cm="1">
        <f t="array" ref="C247">_xlfn.LET(
  _xlpm.s, UPPER(B247),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KETLKKIAASGKIPHIILHSP</v>
      </c>
      <c r="D247" s="4">
        <v>392</v>
      </c>
      <c r="E247" s="1">
        <v>29</v>
      </c>
      <c r="F247" s="1">
        <v>1016</v>
      </c>
      <c r="G247" s="1">
        <v>8</v>
      </c>
      <c r="I247">
        <f t="shared" si="24"/>
        <v>-0.13883490460093162</v>
      </c>
      <c r="J247">
        <f t="shared" si="25"/>
        <v>0.95308249180587612</v>
      </c>
      <c r="K247">
        <f t="shared" si="26"/>
        <v>-0.74126758494335832</v>
      </c>
      <c r="M247">
        <f t="shared" si="27"/>
        <v>2.432666742052873E-2</v>
      </c>
      <c r="P247" s="16" t="s">
        <v>1685</v>
      </c>
    </row>
    <row r="248" spans="1:16">
      <c r="A248" s="2" t="s">
        <v>497</v>
      </c>
      <c r="B248" s="6" t="s">
        <v>1060</v>
      </c>
      <c r="C248" s="7" t="str" cm="1">
        <f t="array" ref="C248">_xlfn.LET(
  _xlpm.s, UPPER(B248),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LQLMKEIAASGKIPHIILHSP</v>
      </c>
      <c r="D248" s="4">
        <v>1317</v>
      </c>
      <c r="E248" s="1">
        <v>91</v>
      </c>
      <c r="F248" s="1">
        <v>81</v>
      </c>
      <c r="G248" s="1">
        <v>1201</v>
      </c>
      <c r="I248">
        <f t="shared" si="24"/>
        <v>-0.1684912181201208</v>
      </c>
      <c r="J248">
        <f t="shared" si="25"/>
        <v>-0.671625905204701</v>
      </c>
      <c r="K248">
        <f t="shared" si="26"/>
        <v>0.90888572752627761</v>
      </c>
      <c r="M248">
        <f t="shared" si="27"/>
        <v>2.2922868067151936E-2</v>
      </c>
      <c r="P248" s="16" t="s">
        <v>1685</v>
      </c>
    </row>
    <row r="249" spans="1:16">
      <c r="A249" s="2" t="s">
        <v>125</v>
      </c>
      <c r="B249" s="6" t="s">
        <v>688</v>
      </c>
      <c r="C249" s="7" t="str" cm="1">
        <f t="array" ref="C249">_xlfn.LET(
  _xlpm.s, UPPER(B249),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KETMKAIAASGKIPHIILHSP</v>
      </c>
      <c r="D249" s="4">
        <v>974</v>
      </c>
      <c r="E249" s="1">
        <v>1004</v>
      </c>
      <c r="F249" s="1">
        <v>33</v>
      </c>
      <c r="G249" s="1">
        <v>103</v>
      </c>
      <c r="I249">
        <f t="shared" si="24"/>
        <v>1.0052279204509544</v>
      </c>
      <c r="J249">
        <f t="shared" si="25"/>
        <v>-0.93057016612229504</v>
      </c>
      <c r="K249">
        <f t="shared" si="26"/>
        <v>-2.6793237088288069E-2</v>
      </c>
      <c r="M249">
        <f t="shared" si="27"/>
        <v>1.5954839080123778E-2</v>
      </c>
      <c r="P249" s="16" t="s">
        <v>1685</v>
      </c>
    </row>
    <row r="250" spans="1:16">
      <c r="A250" s="2" t="s">
        <v>218</v>
      </c>
      <c r="B250" s="6" t="s">
        <v>781</v>
      </c>
      <c r="C250" s="7" t="str" cm="1">
        <f t="array" ref="C250">_xlfn.LET(
  _xlpm.s, UPPER(B250),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KELFKSIVAKGKIPHIILHSP</v>
      </c>
      <c r="D250" s="4">
        <v>610</v>
      </c>
      <c r="E250" s="1">
        <v>532</v>
      </c>
      <c r="F250" s="1">
        <v>83</v>
      </c>
      <c r="G250" s="1">
        <v>18</v>
      </c>
      <c r="I250">
        <f t="shared" si="24"/>
        <v>0.93263496180485062</v>
      </c>
      <c r="J250">
        <f t="shared" si="25"/>
        <v>-0.32677689175626023</v>
      </c>
      <c r="K250">
        <f t="shared" si="26"/>
        <v>-0.5811288348223056</v>
      </c>
      <c r="M250">
        <f t="shared" si="27"/>
        <v>8.2430784087615949E-3</v>
      </c>
      <c r="P250" s="15" t="s">
        <v>1686</v>
      </c>
    </row>
    <row r="251" spans="1:16">
      <c r="A251" s="2" t="s">
        <v>115</v>
      </c>
      <c r="B251" s="6" t="s">
        <v>678</v>
      </c>
      <c r="C251" s="7" t="str" cm="1">
        <f t="array" ref="C251">_xlfn.LET(
  _xlpm.s, UPPER(B251),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KEKFKAIAASGKIPHIILHSP</v>
      </c>
      <c r="D251" s="4">
        <v>490</v>
      </c>
      <c r="E251" s="1">
        <v>348</v>
      </c>
      <c r="F251" s="1">
        <v>47</v>
      </c>
      <c r="G251" s="1">
        <v>25</v>
      </c>
      <c r="I251">
        <f t="shared" si="24"/>
        <v>0.8434363284386367</v>
      </c>
      <c r="J251">
        <f t="shared" si="25"/>
        <v>-0.47862337121436316</v>
      </c>
      <c r="K251">
        <f t="shared" si="26"/>
        <v>-0.34332757627132082</v>
      </c>
      <c r="M251">
        <f t="shared" si="27"/>
        <v>7.1617936509842384E-3</v>
      </c>
      <c r="P251" s="16" t="s">
        <v>1685</v>
      </c>
    </row>
    <row r="252" spans="1:16">
      <c r="A252" s="2" t="s">
        <v>397</v>
      </c>
      <c r="B252" s="6" t="s">
        <v>960</v>
      </c>
      <c r="C252" s="7" t="str" cm="1">
        <f t="array" ref="C252">_xlfn.LET(
  _xlpm.s, UPPER(B252),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KALFRAIVARGKIPHIILHSP</v>
      </c>
      <c r="D252" s="4">
        <v>1557</v>
      </c>
      <c r="E252" s="1">
        <v>93</v>
      </c>
      <c r="F252" s="1">
        <v>1245</v>
      </c>
      <c r="G252" s="1">
        <v>113</v>
      </c>
      <c r="I252">
        <f t="shared" si="24"/>
        <v>-0.23175249949361576</v>
      </c>
      <c r="J252">
        <f t="shared" si="25"/>
        <v>0.44235558974206779</v>
      </c>
      <c r="K252">
        <f t="shared" si="26"/>
        <v>-0.19028167399954521</v>
      </c>
      <c r="M252">
        <f t="shared" si="27"/>
        <v>6.7738054163022738E-3</v>
      </c>
      <c r="P252" s="15" t="s">
        <v>1686</v>
      </c>
    </row>
    <row r="253" spans="1:16">
      <c r="A253" s="2" t="s">
        <v>557</v>
      </c>
      <c r="B253" s="6" t="s">
        <v>562</v>
      </c>
      <c r="C253" s="7" t="str" cm="1">
        <f t="array" ref="C253">_xlfn.LET(
  _xlpm.s, UPPER(B253),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KETFKSITSKGKIPHIILHSP</v>
      </c>
      <c r="D253" s="4">
        <v>1787</v>
      </c>
      <c r="E253" s="1">
        <v>182</v>
      </c>
      <c r="F253" s="1">
        <v>516</v>
      </c>
      <c r="G253" s="1">
        <v>201</v>
      </c>
      <c r="I253">
        <f t="shared" si="24"/>
        <v>0</v>
      </c>
      <c r="J253">
        <f t="shared" si="25"/>
        <v>0</v>
      </c>
      <c r="K253">
        <f t="shared" si="26"/>
        <v>0</v>
      </c>
      <c r="M253">
        <f t="shared" si="27"/>
        <v>0</v>
      </c>
      <c r="P253" t="s">
        <v>557</v>
      </c>
    </row>
    <row r="254" spans="1:16">
      <c r="A254" s="2" t="s">
        <v>228</v>
      </c>
      <c r="B254" s="6" t="s">
        <v>791</v>
      </c>
      <c r="C254" s="7" t="str" cm="1">
        <f t="array" ref="C254">_xlfn.LET(
  _xlpm.s, UPPER(B254),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KELFREIVASGKIPHIILHSP</v>
      </c>
      <c r="D254" s="4">
        <v>1111</v>
      </c>
      <c r="E254" s="1">
        <v>19</v>
      </c>
      <c r="F254" s="1">
        <v>4812</v>
      </c>
      <c r="G254" s="1">
        <v>49</v>
      </c>
      <c r="I254">
        <f t="shared" si="24"/>
        <v>-0.77490729346746923</v>
      </c>
      <c r="J254">
        <f t="shared" si="25"/>
        <v>1.1760864106053726</v>
      </c>
      <c r="K254">
        <f t="shared" si="26"/>
        <v>-0.40658948382719862</v>
      </c>
      <c r="M254">
        <f t="shared" si="27"/>
        <v>-1.803455563098429E-3</v>
      </c>
      <c r="P254" s="16" t="s">
        <v>1685</v>
      </c>
    </row>
    <row r="255" spans="1:16">
      <c r="A255" s="2" t="s">
        <v>378</v>
      </c>
      <c r="B255" s="6" t="s">
        <v>941</v>
      </c>
      <c r="C255" s="7" t="str" cm="1">
        <f t="array" ref="C255">_xlfn.LET(
  _xlpm.s, UPPER(B255),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KALLKRIAASGKIPHIILHSP</v>
      </c>
      <c r="D255" s="4">
        <v>1707</v>
      </c>
      <c r="E255" s="1">
        <v>812</v>
      </c>
      <c r="F255" s="1">
        <v>128</v>
      </c>
      <c r="G255" s="1">
        <v>150</v>
      </c>
      <c r="I255">
        <f t="shared" si="24"/>
        <v>0.66937567264701114</v>
      </c>
      <c r="J255">
        <f t="shared" si="25"/>
        <v>-0.58554870058843222</v>
      </c>
      <c r="K255">
        <f t="shared" si="26"/>
        <v>-0.10721376697389706</v>
      </c>
      <c r="M255">
        <f t="shared" si="27"/>
        <v>-7.795598305106048E-3</v>
      </c>
      <c r="P255" s="16" t="s">
        <v>1685</v>
      </c>
    </row>
    <row r="256" spans="1:16">
      <c r="A256" s="2" t="s">
        <v>407</v>
      </c>
      <c r="B256" s="6" t="s">
        <v>970</v>
      </c>
      <c r="C256" s="7" t="str" cm="1">
        <f t="array" ref="C256">_xlfn.LET(
  _xlpm.s, UPPER(B256),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KAELKKIAASGKIPHIILHSP</v>
      </c>
      <c r="D256" s="4">
        <v>653</v>
      </c>
      <c r="E256" s="1">
        <v>2023</v>
      </c>
      <c r="F256" s="1">
        <v>8</v>
      </c>
      <c r="G256" s="1">
        <v>52</v>
      </c>
      <c r="I256">
        <f t="shared" si="24"/>
        <v>1.4831358660163003</v>
      </c>
      <c r="J256">
        <f t="shared" si="25"/>
        <v>-1.3723483434046972</v>
      </c>
      <c r="K256">
        <f t="shared" si="26"/>
        <v>-0.14998134255511952</v>
      </c>
      <c r="M256">
        <f t="shared" si="27"/>
        <v>-1.3064606647838817E-2</v>
      </c>
      <c r="P256" s="16" t="s">
        <v>1685</v>
      </c>
    </row>
    <row r="257" spans="1:16">
      <c r="A257" s="2" t="s">
        <v>201</v>
      </c>
      <c r="B257" s="6" t="s">
        <v>764</v>
      </c>
      <c r="C257" s="7" t="str" cm="1">
        <f t="array" ref="C257">_xlfn.LET(
  _xlpm.s, UPPER(B257),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KELFKEIVAKGKIPHIILHSP</v>
      </c>
      <c r="D257" s="4">
        <v>508</v>
      </c>
      <c r="E257" s="1">
        <v>872</v>
      </c>
      <c r="F257" s="1">
        <v>15</v>
      </c>
      <c r="G257" s="1">
        <v>29</v>
      </c>
      <c r="I257">
        <f t="shared" si="24"/>
        <v>1.2267059371692175</v>
      </c>
      <c r="J257">
        <f t="shared" si="25"/>
        <v>-0.99029760234980502</v>
      </c>
      <c r="K257">
        <f t="shared" si="26"/>
        <v>-0.29453721929980792</v>
      </c>
      <c r="M257">
        <f t="shared" si="27"/>
        <v>-1.9376294826798479E-2</v>
      </c>
      <c r="P257" s="16" t="s">
        <v>1685</v>
      </c>
    </row>
    <row r="258" spans="1:16">
      <c r="A258" s="2" t="s">
        <v>108</v>
      </c>
      <c r="B258" s="6" t="s">
        <v>671</v>
      </c>
      <c r="C258" s="7" t="str" cm="1">
        <f t="array" ref="C258">_xlfn.LET(
  _xlpm.s, UPPER(B258),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KEKMKKIAASGKIPHIILHSP</v>
      </c>
      <c r="D258" s="4">
        <v>381</v>
      </c>
      <c r="E258" s="1">
        <v>157</v>
      </c>
      <c r="F258" s="1">
        <v>35</v>
      </c>
      <c r="G258" s="1">
        <v>29</v>
      </c>
      <c r="I258">
        <f t="shared" si="24"/>
        <v>0.60702784125418385</v>
      </c>
      <c r="J258">
        <f t="shared" si="25"/>
        <v>-0.49738208044691079</v>
      </c>
      <c r="K258">
        <f t="shared" si="26"/>
        <v>-0.16959848269150801</v>
      </c>
      <c r="M258">
        <f t="shared" si="27"/>
        <v>-1.9984240628078315E-2</v>
      </c>
      <c r="P258" s="16" t="s">
        <v>1685</v>
      </c>
    </row>
    <row r="259" spans="1:16">
      <c r="A259" s="2" t="s">
        <v>220</v>
      </c>
      <c r="B259" s="6" t="s">
        <v>783</v>
      </c>
      <c r="C259" s="7" t="str" cm="1">
        <f t="array" ref="C259">_xlfn.LET(
  _xlpm.s, UPPER(B259),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KELFKSIVASGKIPHIILHSP</v>
      </c>
      <c r="D259" s="4">
        <v>1107</v>
      </c>
      <c r="E259" s="1">
        <v>101</v>
      </c>
      <c r="F259" s="1">
        <v>450</v>
      </c>
      <c r="G259" s="1">
        <v>85</v>
      </c>
      <c r="I259">
        <f t="shared" si="24"/>
        <v>-4.7773082575510717E-2</v>
      </c>
      <c r="J259">
        <f t="shared" si="25"/>
        <v>0.1485397437750538</v>
      </c>
      <c r="K259">
        <f t="shared" si="26"/>
        <v>-0.16580020007927487</v>
      </c>
      <c r="M259">
        <f t="shared" si="27"/>
        <v>-2.167784629324393E-2</v>
      </c>
      <c r="P259" s="15" t="s">
        <v>1686</v>
      </c>
    </row>
    <row r="260" spans="1:16">
      <c r="A260" s="2" t="s">
        <v>356</v>
      </c>
      <c r="B260" s="6" t="s">
        <v>919</v>
      </c>
      <c r="C260" s="7" t="str" cm="1">
        <f t="array" ref="C260">_xlfn.LET(
  _xlpm.s, UPPER(B260),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KARMKEIAKSGKIPHIILHSP</v>
      </c>
      <c r="D260" s="4">
        <v>690</v>
      </c>
      <c r="E260" s="1">
        <v>426</v>
      </c>
      <c r="F260" s="1">
        <v>46</v>
      </c>
      <c r="G260" s="1">
        <v>47</v>
      </c>
      <c r="I260">
        <f t="shared" si="24"/>
        <v>0.78261367288603312</v>
      </c>
      <c r="J260">
        <f t="shared" si="25"/>
        <v>-0.63661640817724841</v>
      </c>
      <c r="K260">
        <f t="shared" si="26"/>
        <v>-0.21782273771638261</v>
      </c>
      <c r="M260">
        <f t="shared" si="27"/>
        <v>-2.3941824335865964E-2</v>
      </c>
      <c r="P260" s="16" t="s">
        <v>1685</v>
      </c>
    </row>
    <row r="261" spans="1:16">
      <c r="A261" s="2" t="s">
        <v>459</v>
      </c>
      <c r="B261" s="6" t="s">
        <v>1022</v>
      </c>
      <c r="C261" s="7" t="str" cm="1">
        <f t="array" ref="C261">_xlfn.LET(
  _xlpm.s, UPPER(B261),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REKMKEIVKSGKIPHIILHSP</v>
      </c>
      <c r="D261" s="4">
        <v>407</v>
      </c>
      <c r="E261" s="1">
        <v>277</v>
      </c>
      <c r="F261" s="1">
        <v>21</v>
      </c>
      <c r="G261" s="1">
        <v>32</v>
      </c>
      <c r="I261">
        <f t="shared" si="24"/>
        <v>0.82493852435979798</v>
      </c>
      <c r="J261">
        <f t="shared" si="25"/>
        <v>-0.74790026361286788</v>
      </c>
      <c r="K261">
        <f t="shared" si="26"/>
        <v>-0.15551593582015877</v>
      </c>
      <c r="M261">
        <f t="shared" si="27"/>
        <v>-2.6159225024409555E-2</v>
      </c>
      <c r="P261" s="16" t="s">
        <v>1685</v>
      </c>
    </row>
    <row r="262" spans="1:16">
      <c r="A262" s="2" t="s">
        <v>208</v>
      </c>
      <c r="B262" s="6" t="s">
        <v>771</v>
      </c>
      <c r="C262" s="7" t="str" cm="1">
        <f t="array" ref="C262">_xlfn.LET(
  _xlpm.s, UPPER(B262),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KELFKAIVKSGKIPHIILHSP</v>
      </c>
      <c r="D262" s="4">
        <v>617</v>
      </c>
      <c r="E262" s="1">
        <v>38</v>
      </c>
      <c r="F262" s="1">
        <v>589</v>
      </c>
      <c r="G262" s="1">
        <v>28</v>
      </c>
      <c r="I262">
        <f t="shared" si="24"/>
        <v>-0.21844840289586198</v>
      </c>
      <c r="J262">
        <f t="shared" si="25"/>
        <v>0.51930498163229288</v>
      </c>
      <c r="K262">
        <f t="shared" si="26"/>
        <v>-0.39419863760586704</v>
      </c>
      <c r="M262">
        <f t="shared" si="27"/>
        <v>-3.1114019623145379E-2</v>
      </c>
      <c r="P262" s="15" t="s">
        <v>1686</v>
      </c>
    </row>
    <row r="263" spans="1:16">
      <c r="A263" s="2" t="s">
        <v>226</v>
      </c>
      <c r="B263" s="6" t="s">
        <v>789</v>
      </c>
      <c r="C263" s="7" t="str" cm="1">
        <f t="array" ref="C263">_xlfn.LET(
  _xlpm.s, UPPER(B263),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KELFREIAKSGKIPHIILHSP</v>
      </c>
      <c r="D263" s="4">
        <v>673</v>
      </c>
      <c r="E263" s="1">
        <v>481</v>
      </c>
      <c r="F263" s="1">
        <v>43</v>
      </c>
      <c r="G263" s="1">
        <v>39</v>
      </c>
      <c r="I263">
        <f t="shared" si="24"/>
        <v>0.84618317667042442</v>
      </c>
      <c r="J263">
        <f t="shared" si="25"/>
        <v>-0.65507175776595739</v>
      </c>
      <c r="K263">
        <f t="shared" si="26"/>
        <v>-0.28802196211232234</v>
      </c>
      <c r="M263">
        <f t="shared" si="27"/>
        <v>-3.2303514402618437E-2</v>
      </c>
      <c r="P263" s="16" t="s">
        <v>1685</v>
      </c>
    </row>
    <row r="264" spans="1:16">
      <c r="A264" s="2" t="s">
        <v>371</v>
      </c>
      <c r="B264" s="6" t="s">
        <v>934</v>
      </c>
      <c r="C264" s="7" t="str" cm="1">
        <f t="array" ref="C264">_xlfn.LET(
  _xlpm.s, UPPER(B264),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KALMKEIAASGKIPHIILHSP</v>
      </c>
      <c r="D264" s="4">
        <v>1419</v>
      </c>
      <c r="E264" s="1">
        <v>300</v>
      </c>
      <c r="F264" s="1">
        <v>38</v>
      </c>
      <c r="G264" s="1">
        <v>657</v>
      </c>
      <c r="I264">
        <f t="shared" si="24"/>
        <v>0.3171920237827579</v>
      </c>
      <c r="J264">
        <f t="shared" si="25"/>
        <v>-1.0327239479622308</v>
      </c>
      <c r="K264">
        <f t="shared" si="26"/>
        <v>0.61451146918746202</v>
      </c>
      <c r="M264">
        <f t="shared" si="27"/>
        <v>-3.3673484997336946E-2</v>
      </c>
      <c r="P264" s="16" t="s">
        <v>1685</v>
      </c>
    </row>
    <row r="265" spans="1:16">
      <c r="A265" s="2" t="s">
        <v>198</v>
      </c>
      <c r="B265" s="6" t="s">
        <v>761</v>
      </c>
      <c r="C265" s="7" t="str" cm="1">
        <f t="array" ref="C265">_xlfn.LET(
  _xlpm.s, UPPER(B265),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KELFKEIAAKGKIPHIILHSP</v>
      </c>
      <c r="D265" s="4">
        <v>458</v>
      </c>
      <c r="E265" s="1">
        <v>51</v>
      </c>
      <c r="F265" s="1">
        <v>159</v>
      </c>
      <c r="G265" s="1">
        <v>31</v>
      </c>
      <c r="I265">
        <f t="shared" si="24"/>
        <v>3.8757862614636651E-2</v>
      </c>
      <c r="J265">
        <f t="shared" si="25"/>
        <v>8.000649719501518E-2</v>
      </c>
      <c r="K265">
        <f t="shared" si="26"/>
        <v>-0.22057528908444124</v>
      </c>
      <c r="M265">
        <f t="shared" si="27"/>
        <v>-3.39369764249298E-2</v>
      </c>
      <c r="P265" s="16" t="s">
        <v>1685</v>
      </c>
    </row>
    <row r="266" spans="1:16">
      <c r="A266" s="2" t="s">
        <v>71</v>
      </c>
      <c r="B266" s="6" t="s">
        <v>634</v>
      </c>
      <c r="C266" s="7" t="str" cm="1">
        <f t="array" ref="C266">_xlfn.LET(
  _xlpm.s, UPPER(B266),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KQKFKEIAASGKIPHIILHSP</v>
      </c>
      <c r="D266" s="4">
        <v>432</v>
      </c>
      <c r="E266" s="1">
        <v>22</v>
      </c>
      <c r="F266" s="1">
        <v>12</v>
      </c>
      <c r="G266" s="1">
        <v>798</v>
      </c>
      <c r="I266">
        <f t="shared" si="24"/>
        <v>-0.30100790147213652</v>
      </c>
      <c r="J266">
        <f t="shared" si="25"/>
        <v>-1.0168276498888544</v>
      </c>
      <c r="K266">
        <f t="shared" si="26"/>
        <v>1.2154476396209728</v>
      </c>
      <c r="M266">
        <f t="shared" si="27"/>
        <v>-3.4129303913339383E-2</v>
      </c>
      <c r="P266" s="16" t="s">
        <v>1685</v>
      </c>
    </row>
    <row r="267" spans="1:16">
      <c r="A267" s="2" t="s">
        <v>550</v>
      </c>
      <c r="B267" s="6" t="s">
        <v>1113</v>
      </c>
      <c r="C267" s="7" t="str" cm="1">
        <f t="array" ref="C267">_xlfn.LET(
  _xlpm.s, UPPER(B267),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LAYFKAIVASGKIPHIILHSP</v>
      </c>
      <c r="D267" s="4">
        <v>815</v>
      </c>
      <c r="E267" s="1">
        <v>31</v>
      </c>
      <c r="F267" s="1">
        <v>42</v>
      </c>
      <c r="G267" s="1">
        <v>1073</v>
      </c>
      <c r="I267">
        <f t="shared" si="24"/>
        <v>-0.42774275038513454</v>
      </c>
      <c r="J267">
        <f t="shared" si="25"/>
        <v>-0.74843346746364314</v>
      </c>
      <c r="K267">
        <f t="shared" si="26"/>
        <v>1.0683706083111297</v>
      </c>
      <c r="M267">
        <f t="shared" si="27"/>
        <v>-3.5935203179215947E-2</v>
      </c>
      <c r="P267" s="15" t="s">
        <v>1686</v>
      </c>
    </row>
    <row r="268" spans="1:16">
      <c r="A268" s="2" t="s">
        <v>212</v>
      </c>
      <c r="B268" s="6" t="s">
        <v>775</v>
      </c>
      <c r="C268" s="7" t="str" cm="1">
        <f t="array" ref="C268">_xlfn.LET(
  _xlpm.s, UPPER(B268),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KELFKSIAASGKIPHIILHSP</v>
      </c>
      <c r="D268" s="4">
        <v>874</v>
      </c>
      <c r="E268" s="1">
        <v>354</v>
      </c>
      <c r="F268" s="1">
        <v>142</v>
      </c>
      <c r="G268" s="1">
        <v>34</v>
      </c>
      <c r="I268">
        <f t="shared" si="24"/>
        <v>0.59954499391195415</v>
      </c>
      <c r="J268">
        <f t="shared" si="25"/>
        <v>-0.24974823737291363</v>
      </c>
      <c r="K268">
        <f t="shared" si="26"/>
        <v>-0.46110402050699251</v>
      </c>
      <c r="M268">
        <f t="shared" si="27"/>
        <v>-3.710242132265066E-2</v>
      </c>
      <c r="P268" s="16" t="s">
        <v>1685</v>
      </c>
    </row>
    <row r="269" spans="1:16">
      <c r="A269" s="2" t="s">
        <v>151</v>
      </c>
      <c r="B269" s="6" t="s">
        <v>714</v>
      </c>
      <c r="C269" s="7" t="str" cm="1">
        <f t="array" ref="C269">_xlfn.LET(
  _xlpm.s, UPPER(B269),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KERLREIAASGKIPHIILHSP</v>
      </c>
      <c r="D269" s="4">
        <v>1499</v>
      </c>
      <c r="E269" s="1">
        <v>1645</v>
      </c>
      <c r="F269" s="1">
        <v>48</v>
      </c>
      <c r="G269" s="1">
        <v>106</v>
      </c>
      <c r="I269">
        <f t="shared" si="24"/>
        <v>1.032417433958283</v>
      </c>
      <c r="J269">
        <f t="shared" si="25"/>
        <v>-0.95508554459425932</v>
      </c>
      <c r="K269">
        <f t="shared" si="26"/>
        <v>-0.20156727249835393</v>
      </c>
      <c r="M269">
        <f t="shared" si="27"/>
        <v>-4.141179437811008E-2</v>
      </c>
      <c r="P269" s="16" t="s">
        <v>1685</v>
      </c>
    </row>
    <row r="270" spans="1:16">
      <c r="A270" s="2" t="s">
        <v>2</v>
      </c>
      <c r="B270" s="6" t="s">
        <v>565</v>
      </c>
      <c r="C270" s="7" t="str" cm="1">
        <f t="array" ref="C270">_xlfn.LET(
  _xlpm.s, UPPER(B270),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KKKMKEIAASGKIPHIILHSP</v>
      </c>
      <c r="D270" s="4">
        <v>369</v>
      </c>
      <c r="E270" s="1">
        <v>15</v>
      </c>
      <c r="F270" s="1">
        <v>370</v>
      </c>
      <c r="G270" s="1">
        <v>22</v>
      </c>
      <c r="I270">
        <f t="shared" si="24"/>
        <v>-0.39888194258280962</v>
      </c>
      <c r="J270">
        <f t="shared" si="25"/>
        <v>0.54065020878636749</v>
      </c>
      <c r="K270">
        <f t="shared" si="26"/>
        <v>-0.27567519025169873</v>
      </c>
      <c r="M270">
        <f t="shared" si="27"/>
        <v>-4.4635641349380285E-2</v>
      </c>
      <c r="P270" s="16" t="s">
        <v>1685</v>
      </c>
    </row>
    <row r="271" spans="1:16">
      <c r="A271" s="2" t="s">
        <v>334</v>
      </c>
      <c r="B271" s="6" t="s">
        <v>897</v>
      </c>
      <c r="C271" s="7" t="str" cm="1">
        <f t="array" ref="C271">_xlfn.LET(
  _xlpm.s, UPPER(B271),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KEFFLSIVKSGKIPHIILHSP</v>
      </c>
      <c r="D271" s="4">
        <v>191</v>
      </c>
      <c r="E271" s="1">
        <v>45</v>
      </c>
      <c r="F271" s="1">
        <v>31</v>
      </c>
      <c r="G271" s="1">
        <v>12</v>
      </c>
      <c r="I271">
        <f t="shared" si="24"/>
        <v>0.36423231104818565</v>
      </c>
      <c r="J271">
        <f t="shared" si="25"/>
        <v>-0.25019682253502196</v>
      </c>
      <c r="K271">
        <f t="shared" si="26"/>
        <v>-0.25292362611494745</v>
      </c>
      <c r="M271">
        <f t="shared" si="27"/>
        <v>-4.629604586726125E-2</v>
      </c>
      <c r="P271" s="15" t="s">
        <v>1686</v>
      </c>
    </row>
    <row r="272" spans="1:16">
      <c r="A272" s="2" t="s">
        <v>391</v>
      </c>
      <c r="B272" s="6" t="s">
        <v>954</v>
      </c>
      <c r="C272" s="7" t="str" cm="1">
        <f t="array" ref="C272">_xlfn.LET(
  _xlpm.s, UPPER(B272),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KALFKAIVAKGKIPHIILHSP</v>
      </c>
      <c r="D272" s="4">
        <v>928</v>
      </c>
      <c r="E272" s="1">
        <v>251</v>
      </c>
      <c r="F272" s="1">
        <v>113</v>
      </c>
      <c r="G272" s="1">
        <v>66</v>
      </c>
      <c r="I272">
        <f t="shared" si="24"/>
        <v>0.42417890978274553</v>
      </c>
      <c r="J272">
        <f t="shared" si="25"/>
        <v>-0.37499468185700935</v>
      </c>
      <c r="K272">
        <f t="shared" si="26"/>
        <v>-0.19907554559183804</v>
      </c>
      <c r="M272">
        <f t="shared" si="27"/>
        <v>-4.996377255536729E-2</v>
      </c>
      <c r="P272" s="15" t="s">
        <v>1686</v>
      </c>
    </row>
    <row r="273" spans="1:16">
      <c r="A273" s="2" t="s">
        <v>214</v>
      </c>
      <c r="B273" s="6" t="s">
        <v>777</v>
      </c>
      <c r="C273" s="7" t="str" cm="1">
        <f t="array" ref="C273">_xlfn.LET(
  _xlpm.s, UPPER(B273),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KELFKSIVKRGKIPHIILHSP</v>
      </c>
      <c r="D273" s="4">
        <v>425</v>
      </c>
      <c r="E273" s="1">
        <v>28</v>
      </c>
      <c r="F273" s="1">
        <v>347</v>
      </c>
      <c r="G273" s="1">
        <v>18</v>
      </c>
      <c r="I273">
        <f t="shared" si="24"/>
        <v>-0.18917773418752293</v>
      </c>
      <c r="J273">
        <f t="shared" si="25"/>
        <v>0.45141539561899513</v>
      </c>
      <c r="K273">
        <f t="shared" si="26"/>
        <v>-0.42418792986185028</v>
      </c>
      <c r="M273">
        <f t="shared" si="27"/>
        <v>-5.3983422810126025E-2</v>
      </c>
      <c r="P273" s="15" t="s">
        <v>1686</v>
      </c>
    </row>
    <row r="274" spans="1:16">
      <c r="A274" s="2" t="s">
        <v>321</v>
      </c>
      <c r="B274" s="6" t="s">
        <v>884</v>
      </c>
      <c r="C274" s="7" t="str" cm="1">
        <f t="array" ref="C274">_xlfn.LET(
  _xlpm.s, UPPER(B274),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KEFFKSIVASGKIPHIILHSP</v>
      </c>
      <c r="D274" s="4">
        <v>292</v>
      </c>
      <c r="E274" s="1">
        <v>25</v>
      </c>
      <c r="F274" s="1">
        <v>18</v>
      </c>
      <c r="G274" s="1">
        <v>125</v>
      </c>
      <c r="I274">
        <f t="shared" si="24"/>
        <v>-7.5389678255811221E-2</v>
      </c>
      <c r="J274">
        <f t="shared" si="25"/>
        <v>-0.67063549546667922</v>
      </c>
      <c r="K274">
        <f t="shared" si="26"/>
        <v>0.58045565664479337</v>
      </c>
      <c r="M274">
        <f t="shared" si="27"/>
        <v>-5.5189839025899023E-2</v>
      </c>
      <c r="P274" s="15" t="s">
        <v>1686</v>
      </c>
    </row>
    <row r="275" spans="1:16">
      <c r="A275" s="2" t="s">
        <v>109</v>
      </c>
      <c r="B275" s="6" t="s">
        <v>672</v>
      </c>
      <c r="C275" s="7" t="str" cm="1">
        <f t="array" ref="C275">_xlfn.LET(
  _xlpm.s, UPPER(B275),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KEKMKEIAKSGKIPHIILHSP</v>
      </c>
      <c r="D275" s="4">
        <v>307</v>
      </c>
      <c r="E275" s="1">
        <v>109</v>
      </c>
      <c r="F275" s="1">
        <v>26</v>
      </c>
      <c r="G275" s="1">
        <v>23</v>
      </c>
      <c r="I275">
        <f t="shared" si="24"/>
        <v>0.54234128698400652</v>
      </c>
      <c r="J275">
        <f t="shared" si="25"/>
        <v>-0.53269017662793561</v>
      </c>
      <c r="K275">
        <f t="shared" si="26"/>
        <v>-0.17648204437443837</v>
      </c>
      <c r="M275">
        <f t="shared" si="27"/>
        <v>-5.561031133945582E-2</v>
      </c>
      <c r="P275" s="16" t="s">
        <v>1685</v>
      </c>
    </row>
    <row r="276" spans="1:16">
      <c r="A276" s="2" t="s">
        <v>478</v>
      </c>
      <c r="B276" s="6" t="s">
        <v>1041</v>
      </c>
      <c r="C276" s="7" t="str" cm="1">
        <f t="array" ref="C276">_xlfn.LET(
  _xlpm.s, UPPER(B276),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LKKMKEIAASGKIPHIILHSP</v>
      </c>
      <c r="D276" s="4">
        <v>581</v>
      </c>
      <c r="E276" s="1">
        <v>97</v>
      </c>
      <c r="F276" s="1">
        <v>155</v>
      </c>
      <c r="G276" s="1">
        <v>28</v>
      </c>
      <c r="I276">
        <f t="shared" si="24"/>
        <v>0.21464876639648356</v>
      </c>
      <c r="J276">
        <f t="shared" si="25"/>
        <v>-3.4369583341606336E-2</v>
      </c>
      <c r="K276">
        <f t="shared" si="26"/>
        <v>-0.36808960596295615</v>
      </c>
      <c r="M276">
        <f t="shared" si="27"/>
        <v>-6.2603474302692974E-2</v>
      </c>
      <c r="P276" s="16" t="s">
        <v>1685</v>
      </c>
    </row>
    <row r="277" spans="1:16">
      <c r="A277" s="2" t="s">
        <v>213</v>
      </c>
      <c r="B277" s="6" t="s">
        <v>776</v>
      </c>
      <c r="C277" s="7" t="str" cm="1">
        <f t="array" ref="C277">_xlfn.LET(
  _xlpm.s, UPPER(B277),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KELFKSIVKKGKIPHIILHSP</v>
      </c>
      <c r="D277" s="4">
        <v>243</v>
      </c>
      <c r="E277" s="1">
        <v>140</v>
      </c>
      <c r="F277" s="1">
        <v>7</v>
      </c>
      <c r="G277" s="1">
        <v>31</v>
      </c>
      <c r="I277">
        <f t="shared" si="24"/>
        <v>0.7525749266004953</v>
      </c>
      <c r="J277">
        <f t="shared" si="25"/>
        <v>-1.0010333827056224</v>
      </c>
      <c r="K277">
        <f t="shared" si="26"/>
        <v>5.4683915321115828E-2</v>
      </c>
      <c r="M277">
        <f t="shared" si="27"/>
        <v>-6.4591513594670413E-2</v>
      </c>
      <c r="P277" s="15" t="s">
        <v>1686</v>
      </c>
    </row>
    <row r="278" spans="1:16">
      <c r="A278" s="2" t="s">
        <v>111</v>
      </c>
      <c r="B278" s="6" t="s">
        <v>674</v>
      </c>
      <c r="C278" s="7" t="str" cm="1">
        <f t="array" ref="C278">_xlfn.LET(
  _xlpm.s, UPPER(B278),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KEKMKEIAASGKIPHIILHSP</v>
      </c>
      <c r="D278" s="4">
        <v>628</v>
      </c>
      <c r="E278" s="1">
        <v>41</v>
      </c>
      <c r="F278" s="1">
        <v>207</v>
      </c>
      <c r="G278" s="1">
        <v>60</v>
      </c>
      <c r="I278">
        <f t="shared" si="24"/>
        <v>-0.19312262249689116</v>
      </c>
      <c r="J278">
        <f t="shared" si="25"/>
        <v>5.7485552598154521E-2</v>
      </c>
      <c r="K278">
        <f t="shared" si="26"/>
        <v>-7.0879898268397135E-2</v>
      </c>
      <c r="M278">
        <f t="shared" si="27"/>
        <v>-6.8838989389044591E-2</v>
      </c>
      <c r="P278" s="16" t="s">
        <v>1685</v>
      </c>
    </row>
    <row r="279" spans="1:16">
      <c r="A279" s="2" t="s">
        <v>12</v>
      </c>
      <c r="B279" s="6" t="s">
        <v>575</v>
      </c>
      <c r="C279" s="7" t="str" cm="1">
        <f t="array" ref="C279">_xlfn.LET(
  _xlpm.s, UPPER(B279),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KKTLKEIANSGKIPHIILHSP</v>
      </c>
      <c r="D279" s="4">
        <v>164</v>
      </c>
      <c r="E279" s="1">
        <v>11</v>
      </c>
      <c r="F279" s="1">
        <v>164</v>
      </c>
      <c r="G279" s="1">
        <v>5</v>
      </c>
      <c r="I279">
        <f t="shared" si="24"/>
        <v>-0.18139799836890336</v>
      </c>
      <c r="J279">
        <f t="shared" si="25"/>
        <v>0.53947485087843294</v>
      </c>
      <c r="K279">
        <f t="shared" si="26"/>
        <v>-0.56694534862652368</v>
      </c>
      <c r="M279">
        <f t="shared" si="27"/>
        <v>-6.9622832038998037E-2</v>
      </c>
      <c r="P279" s="16" t="s">
        <v>1685</v>
      </c>
    </row>
    <row r="280" spans="1:16">
      <c r="A280" s="2" t="s">
        <v>154</v>
      </c>
      <c r="B280" s="6" t="s">
        <v>717</v>
      </c>
      <c r="C280" s="7" t="str" cm="1">
        <f t="array" ref="C280">_xlfn.LET(
  _xlpm.s, UPPER(B280),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KERFKKIAASGKIPHIILHSP</v>
      </c>
      <c r="D280" s="4">
        <v>553</v>
      </c>
      <c r="E280" s="1">
        <v>59</v>
      </c>
      <c r="F280" s="1">
        <v>73</v>
      </c>
      <c r="G280" s="1">
        <v>79</v>
      </c>
      <c r="I280">
        <f t="shared" si="24"/>
        <v>2.0180044858015389E-2</v>
      </c>
      <c r="J280">
        <f t="shared" si="25"/>
        <v>-0.33992742030580947</v>
      </c>
      <c r="K280">
        <f t="shared" si="26"/>
        <v>0.1038304550708985</v>
      </c>
      <c r="M280">
        <f t="shared" si="27"/>
        <v>-7.1972306792298532E-2</v>
      </c>
      <c r="P280" s="16" t="s">
        <v>1685</v>
      </c>
    </row>
    <row r="281" spans="1:16">
      <c r="A281" s="2" t="s">
        <v>368</v>
      </c>
      <c r="B281" s="6" t="s">
        <v>931</v>
      </c>
      <c r="C281" s="7" t="str" cm="1">
        <f t="array" ref="C281">_xlfn.LET(
  _xlpm.s, UPPER(B281),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KALMKEIAKSGKIPHIILHSP</v>
      </c>
      <c r="D281" s="4">
        <v>597</v>
      </c>
      <c r="E281" s="1">
        <v>183</v>
      </c>
      <c r="F281" s="1">
        <v>22</v>
      </c>
      <c r="G281" s="1">
        <v>106</v>
      </c>
      <c r="I281">
        <f t="shared" si="24"/>
        <v>0.47852992312162979</v>
      </c>
      <c r="J281">
        <f t="shared" si="25"/>
        <v>-0.89407679942872986</v>
      </c>
      <c r="K281">
        <f t="shared" si="26"/>
        <v>0.19826002922055641</v>
      </c>
      <c r="M281">
        <f t="shared" si="27"/>
        <v>-7.2428949028847889E-2</v>
      </c>
      <c r="P281" s="16" t="s">
        <v>1685</v>
      </c>
    </row>
    <row r="282" spans="1:16">
      <c r="A282" s="2" t="s">
        <v>121</v>
      </c>
      <c r="B282" s="6" t="s">
        <v>684</v>
      </c>
      <c r="C282" s="7" t="str" cm="1">
        <f t="array" ref="C282">_xlfn.LET(
  _xlpm.s, UPPER(B282),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KETMKKIVNSGKIPHIILHSP</v>
      </c>
      <c r="D282" s="4">
        <v>237</v>
      </c>
      <c r="E282" s="1">
        <v>11</v>
      </c>
      <c r="F282" s="1">
        <v>2</v>
      </c>
      <c r="G282" s="1">
        <v>1193</v>
      </c>
      <c r="I282">
        <f t="shared" si="24"/>
        <v>-0.34130249633130938</v>
      </c>
      <c r="J282">
        <f t="shared" si="25"/>
        <v>-1.5342434994676899</v>
      </c>
      <c r="K282">
        <f t="shared" si="26"/>
        <v>1.6508205927453932</v>
      </c>
      <c r="M282">
        <f t="shared" si="27"/>
        <v>-7.4908467684535365E-2</v>
      </c>
      <c r="P282" s="16" t="s">
        <v>1685</v>
      </c>
    </row>
    <row r="283" spans="1:16">
      <c r="A283" s="2" t="s">
        <v>167</v>
      </c>
      <c r="B283" s="6" t="s">
        <v>730</v>
      </c>
      <c r="C283" s="7" t="str" cm="1">
        <f t="array" ref="C283">_xlfn.LET(
  _xlpm.s, UPPER(B283),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KELMKKIASSGKIPHIILHSP</v>
      </c>
      <c r="D283" s="4">
        <v>432</v>
      </c>
      <c r="E283" s="1">
        <v>27</v>
      </c>
      <c r="F283" s="1">
        <v>346</v>
      </c>
      <c r="G283" s="1">
        <v>16</v>
      </c>
      <c r="I283">
        <f t="shared" si="24"/>
        <v>-0.21206681813535533</v>
      </c>
      <c r="J283">
        <f t="shared" si="25"/>
        <v>0.44306720285629747</v>
      </c>
      <c r="K283">
        <f t="shared" si="26"/>
        <v>-0.48243526907383205</v>
      </c>
      <c r="M283">
        <f t="shared" si="27"/>
        <v>-8.3811628117629974E-2</v>
      </c>
      <c r="P283" s="16" t="s">
        <v>1685</v>
      </c>
    </row>
    <row r="284" spans="1:16">
      <c r="A284" s="2" t="s">
        <v>162</v>
      </c>
      <c r="B284" s="6" t="s">
        <v>725</v>
      </c>
      <c r="C284" s="7" t="str" cm="1">
        <f t="array" ref="C284">_xlfn.LET(
  _xlpm.s, UPPER(B284),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KELMKKIAKSGKIPHIILHSP</v>
      </c>
      <c r="D284" s="4">
        <v>335</v>
      </c>
      <c r="E284" s="1">
        <v>237</v>
      </c>
      <c r="F284" s="1">
        <v>20</v>
      </c>
      <c r="G284" s="1">
        <v>13</v>
      </c>
      <c r="I284">
        <f t="shared" si="24"/>
        <v>0.84175670349382803</v>
      </c>
      <c r="J284">
        <f t="shared" si="25"/>
        <v>-0.684539960494431</v>
      </c>
      <c r="K284">
        <f t="shared" si="26"/>
        <v>-0.46217295964485317</v>
      </c>
      <c r="M284">
        <f t="shared" si="27"/>
        <v>-0.10165207221515205</v>
      </c>
      <c r="P284" s="16" t="s">
        <v>1685</v>
      </c>
    </row>
    <row r="285" spans="1:16">
      <c r="A285" s="2" t="s">
        <v>395</v>
      </c>
      <c r="B285" s="6" t="s">
        <v>958</v>
      </c>
      <c r="C285" s="7" t="str" cm="1">
        <f t="array" ref="C285">_xlfn.LET(
  _xlpm.s, UPPER(B285),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KALFKSIVAKGKIPHIILHSP</v>
      </c>
      <c r="D285" s="4">
        <v>690</v>
      </c>
      <c r="E285" s="1">
        <v>270</v>
      </c>
      <c r="F285" s="1">
        <v>31</v>
      </c>
      <c r="G285" s="1">
        <v>63</v>
      </c>
      <c r="I285">
        <f t="shared" si="24"/>
        <v>0.58456783794230149</v>
      </c>
      <c r="J285">
        <f t="shared" si="25"/>
        <v>-0.80801254602454964</v>
      </c>
      <c r="K285">
        <f t="shared" si="26"/>
        <v>-9.0580046198518227E-2</v>
      </c>
      <c r="M285">
        <f t="shared" si="27"/>
        <v>-0.1046749180935888</v>
      </c>
      <c r="P285" s="15" t="s">
        <v>1686</v>
      </c>
    </row>
    <row r="286" spans="1:16">
      <c r="A286" s="2" t="s">
        <v>25</v>
      </c>
      <c r="B286" s="6" t="s">
        <v>588</v>
      </c>
      <c r="C286" s="7" t="str" cm="1">
        <f t="array" ref="C286">_xlfn.LET(
  _xlpm.s, UPPER(B286),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KKLMKEIAASGKIPHIILHSP</v>
      </c>
      <c r="D286" s="4">
        <v>628</v>
      </c>
      <c r="E286" s="1">
        <v>205</v>
      </c>
      <c r="F286" s="1">
        <v>168</v>
      </c>
      <c r="G286" s="1">
        <v>11</v>
      </c>
      <c r="I286">
        <f t="shared" si="24"/>
        <v>0.50584738183912759</v>
      </c>
      <c r="J286">
        <f t="shared" si="25"/>
        <v>-3.3175511132900293E-2</v>
      </c>
      <c r="K286">
        <f t="shared" si="26"/>
        <v>-0.80763846349381585</v>
      </c>
      <c r="M286">
        <f t="shared" si="27"/>
        <v>-0.11165553092919618</v>
      </c>
      <c r="P286" s="16" t="s">
        <v>1685</v>
      </c>
    </row>
    <row r="287" spans="1:16">
      <c r="A287" s="2" t="s">
        <v>532</v>
      </c>
      <c r="B287" s="6" t="s">
        <v>1095</v>
      </c>
      <c r="C287" s="7" t="str" cm="1">
        <f t="array" ref="C287">_xlfn.LET(
  _xlpm.s, UPPER(B287),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LEFFKAIVKSGKIPHIILHSP</v>
      </c>
      <c r="D287" s="4">
        <v>189</v>
      </c>
      <c r="E287" s="1">
        <v>12</v>
      </c>
      <c r="F287" s="1">
        <v>3</v>
      </c>
      <c r="G287" s="1">
        <v>274</v>
      </c>
      <c r="I287">
        <f t="shared" si="24"/>
        <v>-0.20522739360504993</v>
      </c>
      <c r="J287">
        <f t="shared" si="25"/>
        <v>-1.2598656985751489</v>
      </c>
      <c r="K287">
        <f t="shared" si="26"/>
        <v>1.1102172537322992</v>
      </c>
      <c r="M287">
        <f t="shared" si="27"/>
        <v>-0.11829194614929987</v>
      </c>
      <c r="P287" s="15" t="s">
        <v>1686</v>
      </c>
    </row>
    <row r="288" spans="1:16">
      <c r="A288" s="2" t="s">
        <v>119</v>
      </c>
      <c r="B288" s="6" t="s">
        <v>682</v>
      </c>
      <c r="C288" s="7" t="str" cm="1">
        <f t="array" ref="C288">_xlfn.LET(
  _xlpm.s, UPPER(B288),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KETMKKIAESGKIPHIILHSP</v>
      </c>
      <c r="D288" s="4">
        <v>310</v>
      </c>
      <c r="E288" s="1">
        <v>14</v>
      </c>
      <c r="F288" s="1">
        <v>102</v>
      </c>
      <c r="G288" s="1">
        <v>30</v>
      </c>
      <c r="I288">
        <f t="shared" si="24"/>
        <v>-0.35318049363546522</v>
      </c>
      <c r="J288">
        <f t="shared" si="25"/>
        <v>5.6713328806077823E-2</v>
      </c>
      <c r="K288">
        <f t="shared" si="26"/>
        <v>-6.5311944029454949E-2</v>
      </c>
      <c r="M288">
        <f t="shared" si="27"/>
        <v>-0.12059303628628078</v>
      </c>
      <c r="P288" s="16" t="s">
        <v>1685</v>
      </c>
    </row>
    <row r="289" spans="1:16">
      <c r="A289" s="2" t="s">
        <v>141</v>
      </c>
      <c r="B289" s="6" t="s">
        <v>704</v>
      </c>
      <c r="C289" s="7" t="str" cm="1">
        <f t="array" ref="C289">_xlfn.LET(
  _xlpm.s, UPPER(B289),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KERMKEIAASGKIPHIILHSP</v>
      </c>
      <c r="D289" s="4">
        <v>1364</v>
      </c>
      <c r="E289" s="1">
        <v>190</v>
      </c>
      <c r="F289" s="1">
        <v>439</v>
      </c>
      <c r="G289" s="1">
        <v>43</v>
      </c>
      <c r="I289">
        <f t="shared" si="24"/>
        <v>0.13599239515293826</v>
      </c>
      <c r="J289">
        <f t="shared" si="25"/>
        <v>4.7125000800094186E-2</v>
      </c>
      <c r="K289">
        <f t="shared" si="26"/>
        <v>-0.55241741965571833</v>
      </c>
      <c r="M289">
        <f t="shared" si="27"/>
        <v>-0.1231000079008953</v>
      </c>
      <c r="P289" s="16" t="s">
        <v>1685</v>
      </c>
    </row>
    <row r="290" spans="1:16">
      <c r="A290" s="2" t="s">
        <v>460</v>
      </c>
      <c r="B290" s="6" t="s">
        <v>1023</v>
      </c>
      <c r="C290" s="7" t="str" cm="1">
        <f t="array" ref="C290">_xlfn.LET(
  _xlpm.s, UPPER(B290),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RETMKAIAASGKIPHIILHSP</v>
      </c>
      <c r="D290" s="4">
        <v>1185</v>
      </c>
      <c r="E290" s="1">
        <v>6879</v>
      </c>
      <c r="F290" s="1">
        <v>7</v>
      </c>
      <c r="G290" s="1">
        <v>47</v>
      </c>
      <c r="I290">
        <f t="shared" si="24"/>
        <v>1.7558601236240481</v>
      </c>
      <c r="J290">
        <f t="shared" si="25"/>
        <v>-1.689145459453433</v>
      </c>
      <c r="K290">
        <f t="shared" si="26"/>
        <v>-0.4526919973252499</v>
      </c>
      <c r="M290">
        <f t="shared" si="27"/>
        <v>-0.12865911105154493</v>
      </c>
      <c r="P290" s="16" t="s">
        <v>1685</v>
      </c>
    </row>
    <row r="291" spans="1:16">
      <c r="A291" s="2" t="s">
        <v>458</v>
      </c>
      <c r="B291" s="6" t="s">
        <v>1021</v>
      </c>
      <c r="C291" s="7" t="str" cm="1">
        <f t="array" ref="C291">_xlfn.LET(
  _xlpm.s, UPPER(B291),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RQLMKEIVKSGKIPHIILHSP</v>
      </c>
      <c r="D291" s="4">
        <v>666</v>
      </c>
      <c r="E291" s="1">
        <v>1110</v>
      </c>
      <c r="F291" s="1">
        <v>10</v>
      </c>
      <c r="G291" s="1">
        <v>36</v>
      </c>
      <c r="I291">
        <f t="shared" si="24"/>
        <v>1.2139019141369258</v>
      </c>
      <c r="J291">
        <f t="shared" si="25"/>
        <v>-1.2839993782918682</v>
      </c>
      <c r="K291">
        <f t="shared" si="26"/>
        <v>-0.31824323331785842</v>
      </c>
      <c r="M291">
        <f t="shared" si="27"/>
        <v>-0.12944689915760024</v>
      </c>
      <c r="P291" s="16" t="s">
        <v>1685</v>
      </c>
    </row>
    <row r="292" spans="1:16">
      <c r="A292" s="2" t="s">
        <v>38</v>
      </c>
      <c r="B292" s="6" t="s">
        <v>601</v>
      </c>
      <c r="C292" s="7" t="str" cm="1">
        <f t="array" ref="C292">_xlfn.LET(
  _xlpm.s, UPPER(B292),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KKLFKEIVASGKIPHIILHSP</v>
      </c>
      <c r="D292" s="4">
        <v>446</v>
      </c>
      <c r="E292" s="1">
        <v>16</v>
      </c>
      <c r="F292" s="1">
        <v>18</v>
      </c>
      <c r="G292" s="1">
        <v>413</v>
      </c>
      <c r="I292">
        <f t="shared" si="24"/>
        <v>-0.45316171153564766</v>
      </c>
      <c r="J292">
        <f t="shared" si="25"/>
        <v>-0.85458750273040296</v>
      </c>
      <c r="K292">
        <f t="shared" si="26"/>
        <v>0.91554368802941444</v>
      </c>
      <c r="M292">
        <f t="shared" si="27"/>
        <v>-0.13073517541221202</v>
      </c>
      <c r="P292" s="14" t="s">
        <v>1685</v>
      </c>
    </row>
    <row r="293" spans="1:16">
      <c r="A293" s="2" t="s">
        <v>199</v>
      </c>
      <c r="B293" s="6" t="s">
        <v>762</v>
      </c>
      <c r="C293" s="7" t="str" cm="1">
        <f t="array" ref="C293">_xlfn.LET(
  _xlpm.s, UPPER(B293),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KELFKEIAASGKIPHIILHSP</v>
      </c>
      <c r="D293" s="4">
        <v>1027</v>
      </c>
      <c r="E293" s="1">
        <v>379</v>
      </c>
      <c r="F293" s="1">
        <v>94</v>
      </c>
      <c r="G293" s="1">
        <v>39</v>
      </c>
      <c r="I293">
        <f t="shared" si="24"/>
        <v>0.55912193089136353</v>
      </c>
      <c r="J293">
        <f t="shared" si="25"/>
        <v>-0.4989677391191466</v>
      </c>
      <c r="K293">
        <f t="shared" si="26"/>
        <v>-0.47157734148562369</v>
      </c>
      <c r="M293">
        <f t="shared" si="27"/>
        <v>-0.13714104990446893</v>
      </c>
      <c r="P293" s="16" t="s">
        <v>1685</v>
      </c>
    </row>
    <row r="294" spans="1:16">
      <c r="A294" s="2" t="s">
        <v>158</v>
      </c>
      <c r="B294" s="6" t="s">
        <v>721</v>
      </c>
      <c r="C294" s="7" t="str" cm="1">
        <f t="array" ref="C294">_xlfn.LET(
  _xlpm.s, UPPER(B294),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KERFKAIAAKGKIPHIILHSP</v>
      </c>
      <c r="D294" s="4">
        <v>650</v>
      </c>
      <c r="E294" s="1">
        <v>198</v>
      </c>
      <c r="F294" s="1">
        <v>28</v>
      </c>
      <c r="G294" s="1">
        <v>63</v>
      </c>
      <c r="I294">
        <f t="shared" si="24"/>
        <v>0.47580499813924504</v>
      </c>
      <c r="J294">
        <f t="shared" si="25"/>
        <v>-0.82628047442220354</v>
      </c>
      <c r="K294">
        <f t="shared" si="26"/>
        <v>-6.4644312104118473E-2</v>
      </c>
      <c r="M294">
        <f t="shared" si="27"/>
        <v>-0.13837326279569231</v>
      </c>
      <c r="P294" s="16" t="s">
        <v>1685</v>
      </c>
    </row>
    <row r="295" spans="1:16">
      <c r="A295" s="2" t="s">
        <v>470</v>
      </c>
      <c r="B295" s="6" t="s">
        <v>1033</v>
      </c>
      <c r="C295" s="7" t="str" cm="1">
        <f t="array" ref="C295">_xlfn.LET(
  _xlpm.s, UPPER(B295),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RAKMKEIAASGKIPHIILHSP</v>
      </c>
      <c r="D295" s="4">
        <v>1023</v>
      </c>
      <c r="E295" s="1">
        <v>33</v>
      </c>
      <c r="F295" s="1">
        <v>21</v>
      </c>
      <c r="G295" s="1">
        <v>1946</v>
      </c>
      <c r="I295">
        <f t="shared" si="24"/>
        <v>-0.49930852931370318</v>
      </c>
      <c r="J295">
        <f t="shared" si="25"/>
        <v>-1.1481814880998078</v>
      </c>
      <c r="K295">
        <f t="shared" si="26"/>
        <v>1.2281956973053283</v>
      </c>
      <c r="M295">
        <f t="shared" si="27"/>
        <v>-0.13976477336939422</v>
      </c>
      <c r="P295" s="16" t="s">
        <v>1685</v>
      </c>
    </row>
    <row r="296" spans="1:16">
      <c r="A296" s="2" t="s">
        <v>203</v>
      </c>
      <c r="B296" s="6" t="s">
        <v>766</v>
      </c>
      <c r="C296" s="7" t="str" cm="1">
        <f t="array" ref="C296">_xlfn.LET(
  _xlpm.s, UPPER(B296),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KELFKEIVASGKIPHIILHSP</v>
      </c>
      <c r="D296" s="4">
        <v>639</v>
      </c>
      <c r="E296" s="1">
        <v>168</v>
      </c>
      <c r="F296" s="1">
        <v>59</v>
      </c>
      <c r="G296" s="1">
        <v>33</v>
      </c>
      <c r="I296">
        <f t="shared" si="24"/>
        <v>0.41186158808803219</v>
      </c>
      <c r="J296">
        <f t="shared" si="25"/>
        <v>-0.49517399563782305</v>
      </c>
      <c r="K296">
        <f t="shared" si="26"/>
        <v>-0.33805842319535739</v>
      </c>
      <c r="M296">
        <f t="shared" si="27"/>
        <v>-0.14045694358171609</v>
      </c>
      <c r="P296" s="15" t="s">
        <v>1686</v>
      </c>
    </row>
    <row r="297" spans="1:16">
      <c r="A297" s="2" t="s">
        <v>542</v>
      </c>
      <c r="B297" s="6" t="s">
        <v>1105</v>
      </c>
      <c r="C297" s="7" t="str" cm="1">
        <f t="array" ref="C297">_xlfn.LET(
  _xlpm.s, UPPER(B297),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LALMRKIAQSGKIPHIILHSP</v>
      </c>
      <c r="D297" s="4">
        <v>1748</v>
      </c>
      <c r="E297" s="1">
        <v>446</v>
      </c>
      <c r="F297" s="1">
        <v>158</v>
      </c>
      <c r="G297" s="1">
        <v>94</v>
      </c>
      <c r="I297">
        <f t="shared" si="24"/>
        <v>0.39884659493432717</v>
      </c>
      <c r="J297">
        <f t="shared" si="25"/>
        <v>-0.50440949046552863</v>
      </c>
      <c r="K297">
        <f t="shared" si="26"/>
        <v>-0.32048507961353034</v>
      </c>
      <c r="M297">
        <f t="shared" si="27"/>
        <v>-0.14201599171491061</v>
      </c>
      <c r="P297" s="16" t="s">
        <v>1685</v>
      </c>
    </row>
    <row r="298" spans="1:16">
      <c r="A298" s="2" t="s">
        <v>270</v>
      </c>
      <c r="B298" s="6" t="s">
        <v>833</v>
      </c>
      <c r="C298" s="7" t="str" cm="1">
        <f t="array" ref="C298">_xlfn.LET(
  _xlpm.s, UPPER(B298),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KEYFKSIAASGKIPHIILHSP</v>
      </c>
      <c r="D298" s="4">
        <v>257</v>
      </c>
      <c r="E298" s="1">
        <v>61</v>
      </c>
      <c r="F298" s="1">
        <v>17</v>
      </c>
      <c r="G298" s="1">
        <v>20</v>
      </c>
      <c r="I298">
        <f t="shared" si="24"/>
        <v>0.36744987620004199</v>
      </c>
      <c r="J298">
        <f t="shared" si="25"/>
        <v>-0.64000935107458756</v>
      </c>
      <c r="K298">
        <f t="shared" si="26"/>
        <v>-0.15997463258215805</v>
      </c>
      <c r="M298">
        <f t="shared" si="27"/>
        <v>-0.14417803581890121</v>
      </c>
      <c r="P298" s="16" t="s">
        <v>1685</v>
      </c>
    </row>
    <row r="299" spans="1:16">
      <c r="A299" s="2" t="s">
        <v>169</v>
      </c>
      <c r="B299" s="6" t="s">
        <v>732</v>
      </c>
      <c r="C299" s="7" t="str" cm="1">
        <f t="array" ref="C299">_xlfn.LET(
  _xlpm.s, UPPER(B299),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KELMKNIAASGKIPHIILHSP</v>
      </c>
      <c r="D299" s="4">
        <v>715</v>
      </c>
      <c r="E299" s="1">
        <v>149</v>
      </c>
      <c r="F299" s="1">
        <v>46</v>
      </c>
      <c r="G299" s="1">
        <v>64</v>
      </c>
      <c r="I299">
        <f t="shared" si="24"/>
        <v>0.31093339113176288</v>
      </c>
      <c r="J299">
        <f t="shared" si="25"/>
        <v>-0.65207335924107357</v>
      </c>
      <c r="K299">
        <f t="shared" si="26"/>
        <v>-9.9197572732038219E-2</v>
      </c>
      <c r="M299">
        <f t="shared" si="27"/>
        <v>-0.14677918028044964</v>
      </c>
      <c r="P299" s="16" t="s">
        <v>1685</v>
      </c>
    </row>
    <row r="300" spans="1:16">
      <c r="A300" s="2" t="s">
        <v>424</v>
      </c>
      <c r="B300" s="6" t="s">
        <v>987</v>
      </c>
      <c r="C300" s="7" t="str" cm="1">
        <f t="array" ref="C300">_xlfn.LET(
  _xlpm.s, UPPER(B300),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KAFFKDIVASGKIPHIILHSP</v>
      </c>
      <c r="D300" s="4">
        <v>404</v>
      </c>
      <c r="E300" s="1">
        <v>134</v>
      </c>
      <c r="F300" s="1">
        <v>5</v>
      </c>
      <c r="G300" s="1">
        <v>114</v>
      </c>
      <c r="I300">
        <f t="shared" si="24"/>
        <v>0.51277659777477214</v>
      </c>
      <c r="J300">
        <f t="shared" si="25"/>
        <v>-1.3679365098961531</v>
      </c>
      <c r="K300">
        <f t="shared" si="26"/>
        <v>0.39945198131102289</v>
      </c>
      <c r="M300">
        <f t="shared" si="27"/>
        <v>-0.15190264360345271</v>
      </c>
      <c r="P300" s="15" t="s">
        <v>1686</v>
      </c>
    </row>
    <row r="301" spans="1:16">
      <c r="A301" s="2" t="s">
        <v>91</v>
      </c>
      <c r="B301" s="6" t="s">
        <v>654</v>
      </c>
      <c r="C301" s="7" t="str" cm="1">
        <f t="array" ref="C301">_xlfn.LET(
  _xlpm.s, UPPER(B301),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KQLFKEIVARGKIPHIILHSP</v>
      </c>
      <c r="D301" s="4">
        <v>556</v>
      </c>
      <c r="E301" s="1">
        <v>28</v>
      </c>
      <c r="F301" s="1">
        <v>18</v>
      </c>
      <c r="G301" s="1">
        <v>394</v>
      </c>
      <c r="I301">
        <f t="shared" si="24"/>
        <v>-0.3058635957192688</v>
      </c>
      <c r="J301">
        <f t="shared" si="25"/>
        <v>-0.95032743560031852</v>
      </c>
      <c r="K301">
        <f t="shared" si="26"/>
        <v>0.799349925328672</v>
      </c>
      <c r="M301">
        <f t="shared" si="27"/>
        <v>-0.15228036866363839</v>
      </c>
      <c r="P301" s="15" t="s">
        <v>1686</v>
      </c>
    </row>
    <row r="302" spans="1:16">
      <c r="A302" s="2" t="s">
        <v>118</v>
      </c>
      <c r="B302" s="6" t="s">
        <v>681</v>
      </c>
      <c r="C302" s="7" t="str" cm="1">
        <f t="array" ref="C302">_xlfn.LET(
  _xlpm.s, UPPER(B302),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KETMKKIAKSGKIPHIILHSP</v>
      </c>
      <c r="D302" s="4">
        <v>266</v>
      </c>
      <c r="E302" s="1">
        <v>24</v>
      </c>
      <c r="F302" s="1">
        <v>18</v>
      </c>
      <c r="G302" s="1">
        <v>50</v>
      </c>
      <c r="I302">
        <f t="shared" si="24"/>
        <v>-5.2617230398891435E-2</v>
      </c>
      <c r="J302">
        <f t="shared" si="25"/>
        <v>-0.63013428064932808</v>
      </c>
      <c r="K302">
        <f t="shared" si="26"/>
        <v>0.22301686279010713</v>
      </c>
      <c r="M302">
        <f t="shared" si="27"/>
        <v>-0.15324488275270412</v>
      </c>
      <c r="P302" s="16" t="s">
        <v>1685</v>
      </c>
    </row>
    <row r="303" spans="1:16">
      <c r="A303" s="2" t="s">
        <v>260</v>
      </c>
      <c r="B303" s="6" t="s">
        <v>823</v>
      </c>
      <c r="C303" s="7" t="str" cm="1">
        <f t="array" ref="C303">_xlfn.LET(
  _xlpm.s, UPPER(B303),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KEYFKEIVKSGKIPHIILHSP</v>
      </c>
      <c r="D303" s="4">
        <v>131</v>
      </c>
      <c r="E303" s="1">
        <v>9</v>
      </c>
      <c r="F303" s="1">
        <v>71</v>
      </c>
      <c r="G303" s="1">
        <v>4</v>
      </c>
      <c r="I303">
        <f t="shared" si="24"/>
        <v>-0.17097562169586999</v>
      </c>
      <c r="J303">
        <f t="shared" si="25"/>
        <v>0.27346190394174397</v>
      </c>
      <c r="K303">
        <f t="shared" si="26"/>
        <v>-0.56628280924264662</v>
      </c>
      <c r="M303">
        <f t="shared" si="27"/>
        <v>-0.15459884233225754</v>
      </c>
      <c r="P303" s="15" t="s">
        <v>1686</v>
      </c>
    </row>
    <row r="304" spans="1:16">
      <c r="A304" s="2" t="s">
        <v>444</v>
      </c>
      <c r="B304" s="6" t="s">
        <v>1007</v>
      </c>
      <c r="C304" s="7" t="str" cm="1">
        <f t="array" ref="C304">_xlfn.LET(
  _xlpm.s, UPPER(B304),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KSLFKSIVKKGKIPHIILHSP</v>
      </c>
      <c r="D304" s="4">
        <v>204</v>
      </c>
      <c r="E304" s="1">
        <v>10</v>
      </c>
      <c r="F304" s="1">
        <v>6</v>
      </c>
      <c r="G304" s="1">
        <v>149</v>
      </c>
      <c r="I304">
        <f t="shared" si="24"/>
        <v>-0.31757700290532931</v>
      </c>
      <c r="J304">
        <f t="shared" si="25"/>
        <v>-0.9920040661638222</v>
      </c>
      <c r="K304">
        <f t="shared" si="26"/>
        <v>0.81248459607153056</v>
      </c>
      <c r="M304">
        <f t="shared" si="27"/>
        <v>-0.16569882433254027</v>
      </c>
      <c r="P304" s="15" t="s">
        <v>1686</v>
      </c>
    </row>
    <row r="305" spans="1:16">
      <c r="A305" s="2" t="s">
        <v>380</v>
      </c>
      <c r="B305" s="6" t="s">
        <v>943</v>
      </c>
      <c r="C305" s="7" t="str" cm="1">
        <f t="array" ref="C305">_xlfn.LET(
  _xlpm.s, UPPER(B305),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KALLKEIAASGKIPHIILHSP</v>
      </c>
      <c r="D305" s="4">
        <v>1275</v>
      </c>
      <c r="E305" s="1">
        <v>113</v>
      </c>
      <c r="F305" s="1">
        <v>83</v>
      </c>
      <c r="G305" s="1">
        <v>232</v>
      </c>
      <c r="I305">
        <f t="shared" si="24"/>
        <v>-6.0378576765984793E-2</v>
      </c>
      <c r="J305">
        <f t="shared" si="25"/>
        <v>-0.64695724151546707</v>
      </c>
      <c r="K305">
        <f t="shared" si="26"/>
        <v>0.20890629520608095</v>
      </c>
      <c r="M305">
        <f t="shared" si="27"/>
        <v>-0.16614317435845696</v>
      </c>
      <c r="P305" s="16" t="s">
        <v>1685</v>
      </c>
    </row>
    <row r="306" spans="1:16">
      <c r="A306" s="2" t="s">
        <v>128</v>
      </c>
      <c r="B306" s="6" t="s">
        <v>691</v>
      </c>
      <c r="C306" s="7" t="str" cm="1">
        <f t="array" ref="C306">_xlfn.LET(
  _xlpm.s, UPPER(B306),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KETMRKIAKSGKIPHIILHSP</v>
      </c>
      <c r="D306" s="4">
        <v>545</v>
      </c>
      <c r="E306" s="1">
        <v>90</v>
      </c>
      <c r="F306" s="1">
        <v>33</v>
      </c>
      <c r="G306" s="1">
        <v>56</v>
      </c>
      <c r="I306">
        <f t="shared" ref="I306:I369" si="28">LOG(E306/D306)-LOG(182/1787)</f>
        <v>0.2098991716832519</v>
      </c>
      <c r="J306">
        <f t="shared" ref="J306:J369" si="29">LOG(F306/D306)-LOG(516/1787)</f>
        <v>-0.67840771152032209</v>
      </c>
      <c r="K306">
        <f t="shared" ref="K306:K369" si="30">LOG(G306/D306)-LOG(201/1787)</f>
        <v>-3.9279980185286667E-2</v>
      </c>
      <c r="M306">
        <f t="shared" ref="M306:M369" si="31">AVERAGE(I306:K306)</f>
        <v>-0.16926284000745229</v>
      </c>
      <c r="P306" s="16" t="s">
        <v>1685</v>
      </c>
    </row>
    <row r="307" spans="1:16">
      <c r="A307" s="2" t="s">
        <v>379</v>
      </c>
      <c r="B307" s="6" t="s">
        <v>942</v>
      </c>
      <c r="C307" s="7" t="str" cm="1">
        <f t="array" ref="C307">_xlfn.LET(
  _xlpm.s, UPPER(B307),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KALLKEIADSGKIPHIILHSP</v>
      </c>
      <c r="D307" s="4">
        <v>749</v>
      </c>
      <c r="E307" s="1">
        <v>264</v>
      </c>
      <c r="F307" s="1">
        <v>25</v>
      </c>
      <c r="G307" s="1">
        <v>63</v>
      </c>
      <c r="I307">
        <f t="shared" si="28"/>
        <v>0.5391752736909341</v>
      </c>
      <c r="J307">
        <f t="shared" si="29"/>
        <v>-0.93706695814899599</v>
      </c>
      <c r="K307">
        <f t="shared" si="30"/>
        <v>-0.12621277316072943</v>
      </c>
      <c r="M307">
        <f t="shared" si="31"/>
        <v>-0.17470148587293044</v>
      </c>
      <c r="P307" s="16" t="s">
        <v>1685</v>
      </c>
    </row>
    <row r="308" spans="1:16">
      <c r="A308" s="2" t="s">
        <v>306</v>
      </c>
      <c r="B308" s="6" t="s">
        <v>869</v>
      </c>
      <c r="C308" s="7" t="str" cm="1">
        <f t="array" ref="C308">_xlfn.LET(
  _xlpm.s, UPPER(B308),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KEFFKAIVKSGKIPHIILHSP</v>
      </c>
      <c r="D308" s="4">
        <v>170</v>
      </c>
      <c r="E308" s="1">
        <v>10</v>
      </c>
      <c r="F308" s="1">
        <v>42</v>
      </c>
      <c r="G308" s="1">
        <v>11</v>
      </c>
      <c r="I308">
        <f t="shared" si="28"/>
        <v>-0.23839575685770442</v>
      </c>
      <c r="J308">
        <f t="shared" si="29"/>
        <v>-6.7724780101940496E-2</v>
      </c>
      <c r="K308">
        <f t="shared" si="30"/>
        <v>-0.24012774113489344</v>
      </c>
      <c r="M308">
        <f t="shared" si="31"/>
        <v>-0.18208275936484611</v>
      </c>
      <c r="P308" s="15" t="s">
        <v>1686</v>
      </c>
    </row>
    <row r="309" spans="1:16">
      <c r="A309" s="2" t="s">
        <v>352</v>
      </c>
      <c r="B309" s="6" t="s">
        <v>915</v>
      </c>
      <c r="C309" s="7" t="str" cm="1">
        <f t="array" ref="C309">_xlfn.LET(
  _xlpm.s, UPPER(B309),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KATLKQIAASGKIPHIILHSP</v>
      </c>
      <c r="D309" s="4">
        <v>1030</v>
      </c>
      <c r="E309" s="1">
        <v>431</v>
      </c>
      <c r="F309" s="1">
        <v>54</v>
      </c>
      <c r="G309" s="1">
        <v>44</v>
      </c>
      <c r="I309">
        <f t="shared" si="28"/>
        <v>0.61369320997612886</v>
      </c>
      <c r="J309">
        <f t="shared" si="29"/>
        <v>-0.74096861400377068</v>
      </c>
      <c r="K309">
        <f t="shared" si="30"/>
        <v>-0.4204560531338295</v>
      </c>
      <c r="M309">
        <f t="shared" si="31"/>
        <v>-0.1825771523871571</v>
      </c>
      <c r="P309" s="16" t="s">
        <v>1685</v>
      </c>
    </row>
    <row r="310" spans="1:16">
      <c r="A310" s="2" t="s">
        <v>348</v>
      </c>
      <c r="B310" s="6" t="s">
        <v>911</v>
      </c>
      <c r="C310" s="7" t="str" cm="1">
        <f t="array" ref="C310">_xlfn.LET(
  _xlpm.s, UPPER(B310),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KATMKEIAKSGKIPHIILHSP</v>
      </c>
      <c r="D310" s="4">
        <v>474</v>
      </c>
      <c r="E310" s="1">
        <v>15</v>
      </c>
      <c r="F310" s="1">
        <v>14</v>
      </c>
      <c r="G310" s="1">
        <v>470</v>
      </c>
      <c r="I310">
        <f t="shared" si="28"/>
        <v>-0.50763391809783442</v>
      </c>
      <c r="J310">
        <f t="shared" si="29"/>
        <v>-0.99017545511741412</v>
      </c>
      <c r="K310">
        <f t="shared" si="30"/>
        <v>0.94524801134678771</v>
      </c>
      <c r="M310">
        <f t="shared" si="31"/>
        <v>-0.18418712062282031</v>
      </c>
      <c r="P310" s="16" t="s">
        <v>1685</v>
      </c>
    </row>
    <row r="311" spans="1:16">
      <c r="A311" s="2" t="s">
        <v>21</v>
      </c>
      <c r="B311" s="6" t="s">
        <v>584</v>
      </c>
      <c r="C311" s="7" t="str" cm="1">
        <f t="array" ref="C311">_xlfn.LET(
  _xlpm.s, UPPER(B311),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KKLMKEIAKSGKIPHIILHSP</v>
      </c>
      <c r="D311" s="4">
        <v>288</v>
      </c>
      <c r="E311" s="1">
        <v>70</v>
      </c>
      <c r="F311" s="1">
        <v>39</v>
      </c>
      <c r="G311" s="1">
        <v>8</v>
      </c>
      <c r="I311">
        <f t="shared" si="28"/>
        <v>0.37775871677559547</v>
      </c>
      <c r="J311">
        <f t="shared" si="29"/>
        <v>-0.32885302985429876</v>
      </c>
      <c r="K311">
        <f t="shared" si="30"/>
        <v>-0.60737400568213196</v>
      </c>
      <c r="M311">
        <f t="shared" si="31"/>
        <v>-0.18615610625361176</v>
      </c>
      <c r="P311" s="16" t="s">
        <v>1685</v>
      </c>
    </row>
    <row r="312" spans="1:16">
      <c r="A312" s="2" t="s">
        <v>386</v>
      </c>
      <c r="B312" s="6" t="s">
        <v>949</v>
      </c>
      <c r="C312" s="7" t="str" cm="1">
        <f t="array" ref="C312">_xlfn.LET(
  _xlpm.s, UPPER(B312),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KALFKEIVASGKIPHIILHSP</v>
      </c>
      <c r="D312" s="4">
        <v>899</v>
      </c>
      <c r="E312" s="1">
        <v>1667</v>
      </c>
      <c r="F312" s="1">
        <v>7</v>
      </c>
      <c r="G312" s="1">
        <v>53</v>
      </c>
      <c r="I312">
        <f t="shared" si="28"/>
        <v>1.260229072615346</v>
      </c>
      <c r="J312">
        <f t="shared" si="29"/>
        <v>-1.569186800840539</v>
      </c>
      <c r="K312">
        <f t="shared" si="30"/>
        <v>-0.28055532704728448</v>
      </c>
      <c r="M312">
        <f t="shared" si="31"/>
        <v>-0.19650435175749248</v>
      </c>
      <c r="P312" s="16" t="s">
        <v>1685</v>
      </c>
    </row>
    <row r="313" spans="1:16">
      <c r="A313" s="2" t="s">
        <v>227</v>
      </c>
      <c r="B313" s="6" t="s">
        <v>790</v>
      </c>
      <c r="C313" s="7" t="str" cm="1">
        <f t="array" ref="C313">_xlfn.LET(
  _xlpm.s, UPPER(B313),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KELFREIAASGKIPHIILHSP</v>
      </c>
      <c r="D313" s="4">
        <v>1199</v>
      </c>
      <c r="E313" s="1">
        <v>121</v>
      </c>
      <c r="F313" s="1">
        <v>244</v>
      </c>
      <c r="G313" s="1">
        <v>49</v>
      </c>
      <c r="I313">
        <f t="shared" si="28"/>
        <v>-3.9806482618290895E-3</v>
      </c>
      <c r="J313">
        <f t="shared" si="29"/>
        <v>-0.15195450588168635</v>
      </c>
      <c r="K313">
        <f t="shared" si="30"/>
        <v>-0.43969460798517979</v>
      </c>
      <c r="M313">
        <f t="shared" si="31"/>
        <v>-0.19854325404289841</v>
      </c>
      <c r="P313" s="16" t="s">
        <v>1685</v>
      </c>
    </row>
    <row r="314" spans="1:16">
      <c r="A314" s="2" t="s">
        <v>92</v>
      </c>
      <c r="B314" s="6" t="s">
        <v>655</v>
      </c>
      <c r="C314" s="7" t="str" cm="1">
        <f t="array" ref="C314">_xlfn.LET(
  _xlpm.s, UPPER(B314),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KQLFKDIAASGKIPHIILHSP</v>
      </c>
      <c r="D314" s="4">
        <v>888</v>
      </c>
      <c r="E314" s="1">
        <v>194</v>
      </c>
      <c r="F314" s="1">
        <v>43</v>
      </c>
      <c r="G314" s="1">
        <v>69</v>
      </c>
      <c r="I314">
        <f t="shared" si="28"/>
        <v>0.33144192867219446</v>
      </c>
      <c r="J314">
        <f t="shared" si="29"/>
        <v>-0.77546965932058154</v>
      </c>
      <c r="K314">
        <f t="shared" si="30"/>
        <v>-0.16063537995619037</v>
      </c>
      <c r="M314">
        <f t="shared" si="31"/>
        <v>-0.20155437020152581</v>
      </c>
      <c r="P314" s="16" t="s">
        <v>1685</v>
      </c>
    </row>
    <row r="315" spans="1:16">
      <c r="A315" s="2" t="s">
        <v>29</v>
      </c>
      <c r="B315" s="6" t="s">
        <v>592</v>
      </c>
      <c r="C315" s="7" t="str" cm="1">
        <f t="array" ref="C315">_xlfn.LET(
  _xlpm.s, UPPER(B315),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KKLLKEIAASGKIPHIILHSP</v>
      </c>
      <c r="D315" s="4">
        <v>471</v>
      </c>
      <c r="E315" s="1">
        <v>80</v>
      </c>
      <c r="F315" s="1">
        <v>27</v>
      </c>
      <c r="G315" s="1">
        <v>39</v>
      </c>
      <c r="I315">
        <f t="shared" si="28"/>
        <v>0.22212224438361683</v>
      </c>
      <c r="J315">
        <f t="shared" si="29"/>
        <v>-0.70218229209147587</v>
      </c>
      <c r="K315">
        <f t="shared" si="30"/>
        <v>-0.13302780501724176</v>
      </c>
      <c r="M315">
        <f t="shared" si="31"/>
        <v>-0.2043626175750336</v>
      </c>
      <c r="P315" s="16" t="s">
        <v>1685</v>
      </c>
    </row>
    <row r="316" spans="1:16">
      <c r="A316" s="2" t="s">
        <v>290</v>
      </c>
      <c r="B316" s="6" t="s">
        <v>853</v>
      </c>
      <c r="C316" s="7" t="str" cm="1">
        <f t="array" ref="C316">_xlfn.LET(
  _xlpm.s, UPPER(B316),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KEFFKNIVESGKIPHIILHSP</v>
      </c>
      <c r="D316" s="4">
        <v>86</v>
      </c>
      <c r="E316" s="1">
        <v>18</v>
      </c>
      <c r="F316" s="1">
        <v>2</v>
      </c>
      <c r="G316" s="1">
        <v>14</v>
      </c>
      <c r="I316">
        <f t="shared" si="28"/>
        <v>0.3128272183803078</v>
      </c>
      <c r="J316">
        <f t="shared" si="29"/>
        <v>-1.0939936047011538</v>
      </c>
      <c r="K316">
        <f t="shared" si="30"/>
        <v>0.16055807951982559</v>
      </c>
      <c r="M316">
        <f t="shared" si="31"/>
        <v>-0.20686943560034013</v>
      </c>
      <c r="P316" s="15" t="s">
        <v>1686</v>
      </c>
    </row>
    <row r="317" spans="1:16">
      <c r="A317" s="2" t="s">
        <v>522</v>
      </c>
      <c r="B317" s="6" t="s">
        <v>1085</v>
      </c>
      <c r="C317" s="7" t="str" cm="1">
        <f t="array" ref="C317">_xlfn.LET(
  _xlpm.s, UPPER(B317),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LEELKKIAASGKIPHIILHSP</v>
      </c>
      <c r="D317" s="4">
        <v>663</v>
      </c>
      <c r="E317" s="1">
        <v>248</v>
      </c>
      <c r="F317" s="1">
        <v>13</v>
      </c>
      <c r="G317" s="1">
        <v>71</v>
      </c>
      <c r="I317">
        <f t="shared" si="28"/>
        <v>0.56499131694201266</v>
      </c>
      <c r="J317">
        <f t="shared" si="29"/>
        <v>-1.1680953252195034</v>
      </c>
      <c r="K317">
        <f t="shared" si="30"/>
        <v>-2.1326684600542545E-2</v>
      </c>
      <c r="M317">
        <f t="shared" si="31"/>
        <v>-0.20814356429267777</v>
      </c>
      <c r="P317" s="16" t="s">
        <v>1685</v>
      </c>
    </row>
    <row r="318" spans="1:16">
      <c r="A318" s="2" t="s">
        <v>367</v>
      </c>
      <c r="B318" s="6" t="s">
        <v>930</v>
      </c>
      <c r="C318" s="7" t="str" cm="1">
        <f t="array" ref="C318">_xlfn.LET(
  _xlpm.s, UPPER(B318),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KALMKKIAASGKIPHIILHSP</v>
      </c>
      <c r="D318" s="4">
        <v>817</v>
      </c>
      <c r="E318" s="1">
        <v>55</v>
      </c>
      <c r="F318" s="1">
        <v>90</v>
      </c>
      <c r="G318" s="1">
        <v>86</v>
      </c>
      <c r="I318">
        <f t="shared" si="28"/>
        <v>-0.17980620251760215</v>
      </c>
      <c r="J318">
        <f t="shared" si="29"/>
        <v>-0.41850469621465769</v>
      </c>
      <c r="K318">
        <f t="shared" si="30"/>
        <v>-2.879511020369252E-2</v>
      </c>
      <c r="M318">
        <f t="shared" si="31"/>
        <v>-0.20903533631198412</v>
      </c>
      <c r="P318" s="16" t="s">
        <v>1685</v>
      </c>
    </row>
    <row r="319" spans="1:16">
      <c r="A319" s="2" t="s">
        <v>360</v>
      </c>
      <c r="B319" s="6" t="s">
        <v>923</v>
      </c>
      <c r="C319" s="7" t="str" cm="1">
        <f t="array" ref="C319">_xlfn.LET(
  _xlpm.s, UPPER(B319),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KARMKAIVESGKIPHIILHSP</v>
      </c>
      <c r="D319" s="4">
        <v>1250</v>
      </c>
      <c r="E319" s="1">
        <v>75</v>
      </c>
      <c r="F319" s="1">
        <v>334</v>
      </c>
      <c r="G319" s="1">
        <v>60</v>
      </c>
      <c r="I319">
        <f t="shared" si="28"/>
        <v>-0.2297955850957869</v>
      </c>
      <c r="J319">
        <f t="shared" si="29"/>
        <v>-3.3688695318058959E-2</v>
      </c>
      <c r="K319">
        <f t="shared" si="30"/>
        <v>-0.36983026753925752</v>
      </c>
      <c r="M319">
        <f t="shared" si="31"/>
        <v>-0.21110484931770113</v>
      </c>
      <c r="P319" s="16" t="s">
        <v>1685</v>
      </c>
    </row>
    <row r="320" spans="1:16">
      <c r="A320" s="2" t="s">
        <v>105</v>
      </c>
      <c r="B320" s="6" t="s">
        <v>668</v>
      </c>
      <c r="C320" s="7" t="str" cm="1">
        <f t="array" ref="C320">_xlfn.LET(
  _xlpm.s, UPPER(B320),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KQFFRDIVASGKIPHIILHSP</v>
      </c>
      <c r="D320" s="4">
        <v>488</v>
      </c>
      <c r="E320" s="1">
        <v>1147</v>
      </c>
      <c r="F320" s="1">
        <v>19</v>
      </c>
      <c r="G320" s="1">
        <v>4</v>
      </c>
      <c r="I320">
        <f t="shared" si="28"/>
        <v>1.3631967604191266</v>
      </c>
      <c r="J320">
        <f t="shared" si="29"/>
        <v>-0.87019137017144865</v>
      </c>
      <c r="K320">
        <f t="shared" si="30"/>
        <v>-1.1374313355895931</v>
      </c>
      <c r="M320">
        <f t="shared" si="31"/>
        <v>-0.21480864844730505</v>
      </c>
      <c r="P320" s="15" t="s">
        <v>1686</v>
      </c>
    </row>
    <row r="321" spans="1:16">
      <c r="A321" s="2" t="s">
        <v>191</v>
      </c>
      <c r="B321" s="6" t="s">
        <v>754</v>
      </c>
      <c r="C321" s="7" t="str" cm="1">
        <f t="array" ref="C321">_xlfn.LET(
  _xlpm.s, UPPER(B321),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KELFKQIAAAGKIPHIILHSP</v>
      </c>
      <c r="D321" s="4">
        <v>692</v>
      </c>
      <c r="E321" s="1">
        <v>57</v>
      </c>
      <c r="F321" s="1">
        <v>87</v>
      </c>
      <c r="G321" s="1">
        <v>50</v>
      </c>
      <c r="I321">
        <f t="shared" si="28"/>
        <v>-9.2178074263696841E-2</v>
      </c>
      <c r="J321">
        <f t="shared" si="29"/>
        <v>-0.36111199095970636</v>
      </c>
      <c r="K321">
        <f t="shared" si="30"/>
        <v>-0.19220759503558371</v>
      </c>
      <c r="M321">
        <f t="shared" si="31"/>
        <v>-0.21516588675299564</v>
      </c>
      <c r="P321" s="16" t="s">
        <v>1685</v>
      </c>
    </row>
    <row r="322" spans="1:16">
      <c r="A322" s="2" t="s">
        <v>195</v>
      </c>
      <c r="B322" s="6" t="s">
        <v>758</v>
      </c>
      <c r="C322" s="7" t="str" cm="1">
        <f t="array" ref="C322">_xlfn.LET(
  _xlpm.s, UPPER(B322),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KELFKRIAASGKIPHIILHSP</v>
      </c>
      <c r="D322" s="4">
        <v>1325</v>
      </c>
      <c r="E322" s="1">
        <v>293</v>
      </c>
      <c r="F322" s="1">
        <v>76</v>
      </c>
      <c r="G322" s="1">
        <v>75</v>
      </c>
      <c r="I322">
        <f t="shared" si="28"/>
        <v>0.33670490660185226</v>
      </c>
      <c r="J322">
        <f t="shared" si="29"/>
        <v>-0.70192743511360234</v>
      </c>
      <c r="K322">
        <f t="shared" si="30"/>
        <v>-0.29822611979597125</v>
      </c>
      <c r="M322">
        <f t="shared" si="31"/>
        <v>-0.22114954943590712</v>
      </c>
      <c r="P322" s="16" t="s">
        <v>1685</v>
      </c>
    </row>
    <row r="323" spans="1:16">
      <c r="A323" s="2" t="s">
        <v>90</v>
      </c>
      <c r="B323" s="6" t="s">
        <v>653</v>
      </c>
      <c r="C323" s="7" t="str" cm="1">
        <f t="array" ref="C323">_xlfn.LET(
  _xlpm.s, UPPER(B323),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KQLFKEIVKSGKIPHIILHSP</v>
      </c>
      <c r="D323" s="4">
        <v>461</v>
      </c>
      <c r="E323" s="1">
        <v>33</v>
      </c>
      <c r="F323" s="1">
        <v>95</v>
      </c>
      <c r="G323" s="1">
        <v>22</v>
      </c>
      <c r="I323">
        <f t="shared" si="28"/>
        <v>-0.15313382099119122</v>
      </c>
      <c r="J323">
        <f t="shared" si="29"/>
        <v>-0.14650246922236743</v>
      </c>
      <c r="K323">
        <f t="shared" si="30"/>
        <v>-0.37234974948228672</v>
      </c>
      <c r="M323">
        <f t="shared" si="31"/>
        <v>-0.22399534656528178</v>
      </c>
      <c r="P323" s="16" t="s">
        <v>1685</v>
      </c>
    </row>
    <row r="324" spans="1:16">
      <c r="A324" s="2" t="s">
        <v>551</v>
      </c>
      <c r="B324" s="6" t="s">
        <v>1114</v>
      </c>
      <c r="C324" s="7" t="str" cm="1">
        <f t="array" ref="C324">_xlfn.LET(
  _xlpm.s, UPPER(B324),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LAFFKEIVARGKIPHIILHSP</v>
      </c>
      <c r="D324" s="4">
        <v>453</v>
      </c>
      <c r="E324" s="1">
        <v>207</v>
      </c>
      <c r="F324" s="1">
        <v>4</v>
      </c>
      <c r="G324" s="1">
        <v>79</v>
      </c>
      <c r="I324">
        <f t="shared" si="28"/>
        <v>0.65192530796465542</v>
      </c>
      <c r="J324">
        <f t="shared" si="29"/>
        <v>-1.5145633598064365</v>
      </c>
      <c r="K324">
        <f t="shared" si="30"/>
        <v>0.19045738436276483</v>
      </c>
      <c r="M324">
        <f t="shared" si="31"/>
        <v>-0.22406022249300542</v>
      </c>
      <c r="P324" s="15" t="s">
        <v>1686</v>
      </c>
    </row>
    <row r="325" spans="1:16">
      <c r="A325" s="2" t="s">
        <v>384</v>
      </c>
      <c r="B325" s="6" t="s">
        <v>947</v>
      </c>
      <c r="C325" s="7" t="str" cm="1">
        <f t="array" ref="C325">_xlfn.LET(
  _xlpm.s, UPPER(B325),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KALFKEIAAAGKIPHIILHSP</v>
      </c>
      <c r="D325" s="4">
        <v>788</v>
      </c>
      <c r="E325" s="1">
        <v>359</v>
      </c>
      <c r="F325" s="1">
        <v>19</v>
      </c>
      <c r="G325" s="1">
        <v>49</v>
      </c>
      <c r="I325">
        <f t="shared" si="28"/>
        <v>0.6506213956093333</v>
      </c>
      <c r="J325">
        <f t="shared" si="29"/>
        <v>-1.0782977656582933</v>
      </c>
      <c r="K325">
        <f t="shared" si="30"/>
        <v>-0.25740164237588625</v>
      </c>
      <c r="M325">
        <f t="shared" si="31"/>
        <v>-0.22835933747494874</v>
      </c>
      <c r="P325" s="16" t="s">
        <v>1685</v>
      </c>
    </row>
    <row r="326" spans="1:16">
      <c r="A326" s="2" t="s">
        <v>539</v>
      </c>
      <c r="B326" s="6" t="s">
        <v>1102</v>
      </c>
      <c r="C326" s="7" t="str" cm="1">
        <f t="array" ref="C326">_xlfn.LET(
  _xlpm.s, UPPER(B326),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LARMKEIVASGKIPHIILHSP</v>
      </c>
      <c r="D326" s="4">
        <v>1134</v>
      </c>
      <c r="E326" s="1">
        <v>57</v>
      </c>
      <c r="F326" s="1">
        <v>50</v>
      </c>
      <c r="G326" s="1">
        <v>346</v>
      </c>
      <c r="I326">
        <f t="shared" si="28"/>
        <v>-0.30668503436382699</v>
      </c>
      <c r="J326">
        <f t="shared" si="29"/>
        <v>-0.81616819934243601</v>
      </c>
      <c r="K326">
        <f t="shared" si="30"/>
        <v>0.43339153932104413</v>
      </c>
      <c r="M326">
        <f t="shared" si="31"/>
        <v>-0.22982056479507293</v>
      </c>
      <c r="P326" s="16" t="s">
        <v>1685</v>
      </c>
    </row>
    <row r="327" spans="1:16">
      <c r="A327" s="2" t="s">
        <v>453</v>
      </c>
      <c r="B327" s="6" t="s">
        <v>1016</v>
      </c>
      <c r="C327" s="7" t="str" cm="1">
        <f t="array" ref="C327">_xlfn.LET(
  _xlpm.s, UPPER(B327),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RKRFKEIAASGKIPHIILHSP</v>
      </c>
      <c r="D327" s="4">
        <v>881</v>
      </c>
      <c r="E327" s="1">
        <v>23</v>
      </c>
      <c r="F327" s="1">
        <v>41</v>
      </c>
      <c r="G327" s="1">
        <v>475</v>
      </c>
      <c r="I327">
        <f t="shared" si="28"/>
        <v>-0.59119490787388562</v>
      </c>
      <c r="J327">
        <f t="shared" si="29"/>
        <v>-0.79271720081387953</v>
      </c>
      <c r="K327">
        <f t="shared" si="30"/>
        <v>0.68064619629797396</v>
      </c>
      <c r="M327">
        <f t="shared" si="31"/>
        <v>-0.23442197079659702</v>
      </c>
      <c r="P327" s="16" t="s">
        <v>1685</v>
      </c>
    </row>
    <row r="328" spans="1:16">
      <c r="A328" s="2" t="s">
        <v>204</v>
      </c>
      <c r="B328" s="6" t="s">
        <v>767</v>
      </c>
      <c r="C328" s="7" t="str" cm="1">
        <f t="array" ref="C328">_xlfn.LET(
  _xlpm.s, UPPER(B328),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KELFKDIVKRGKIPHIILHSP</v>
      </c>
      <c r="D328" s="4">
        <v>482</v>
      </c>
      <c r="E328" s="1">
        <v>31</v>
      </c>
      <c r="F328" s="1">
        <v>112</v>
      </c>
      <c r="G328" s="1">
        <v>21</v>
      </c>
      <c r="I328">
        <f t="shared" si="28"/>
        <v>-0.1996321798840075</v>
      </c>
      <c r="J328">
        <f t="shared" si="29"/>
        <v>-9.4354164690235054E-2</v>
      </c>
      <c r="K328">
        <f t="shared" si="30"/>
        <v>-0.41189924841977499</v>
      </c>
      <c r="M328">
        <f t="shared" si="31"/>
        <v>-0.23529519766467252</v>
      </c>
      <c r="P328" s="15" t="s">
        <v>1686</v>
      </c>
    </row>
    <row r="329" spans="1:16">
      <c r="A329" s="2" t="s">
        <v>544</v>
      </c>
      <c r="B329" s="6" t="s">
        <v>1107</v>
      </c>
      <c r="C329" s="7" t="str" cm="1">
        <f t="array" ref="C329">_xlfn.LET(
  _xlpm.s, UPPER(B329),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LALFKAIVAKGKIPHIILHSP</v>
      </c>
      <c r="D329" s="4">
        <v>920</v>
      </c>
      <c r="E329" s="1">
        <v>710</v>
      </c>
      <c r="F329" s="1">
        <v>31</v>
      </c>
      <c r="G329" s="1">
        <v>23</v>
      </c>
      <c r="I329">
        <f t="shared" si="28"/>
        <v>0.87952368589408947</v>
      </c>
      <c r="J329">
        <f t="shared" si="29"/>
        <v>-0.93295128263284954</v>
      </c>
      <c r="K329">
        <f t="shared" si="30"/>
        <v>-0.65313149624280697</v>
      </c>
      <c r="M329">
        <f t="shared" si="31"/>
        <v>-0.23551969766052236</v>
      </c>
      <c r="P329" s="15" t="s">
        <v>1686</v>
      </c>
    </row>
    <row r="330" spans="1:16">
      <c r="A330" s="2" t="s">
        <v>406</v>
      </c>
      <c r="B330" s="6" t="s">
        <v>969</v>
      </c>
      <c r="C330" s="7" t="str" cm="1">
        <f t="array" ref="C330">_xlfn.LET(
  _xlpm.s, UPPER(B330),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KAEMRAIAASGKIPHIILHSP</v>
      </c>
      <c r="D330" s="4">
        <v>1884</v>
      </c>
      <c r="E330" s="1">
        <v>115</v>
      </c>
      <c r="F330" s="1">
        <v>140</v>
      </c>
      <c r="G330" s="1">
        <v>264</v>
      </c>
      <c r="I330">
        <f t="shared" si="28"/>
        <v>-0.22232989358267741</v>
      </c>
      <c r="J330">
        <f t="shared" si="29"/>
        <v>-0.58947801190018756</v>
      </c>
      <c r="K330">
        <f t="shared" si="30"/>
        <v>9.5451523498127799E-2</v>
      </c>
      <c r="M330">
        <f t="shared" si="31"/>
        <v>-0.23878546066157905</v>
      </c>
      <c r="P330" s="16" t="s">
        <v>1685</v>
      </c>
    </row>
    <row r="331" spans="1:16">
      <c r="A331" s="2" t="s">
        <v>23</v>
      </c>
      <c r="B331" s="6" t="s">
        <v>586</v>
      </c>
      <c r="C331" s="7" t="str" cm="1">
        <f t="array" ref="C331">_xlfn.LET(
  _xlpm.s, UPPER(B331),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KKLMKEIAESGKIPHIILHSP</v>
      </c>
      <c r="D331" s="4">
        <v>323</v>
      </c>
      <c r="E331" s="1">
        <v>688</v>
      </c>
      <c r="F331" s="1">
        <v>30</v>
      </c>
      <c r="G331" s="1">
        <v>1</v>
      </c>
      <c r="I331">
        <f t="shared" si="28"/>
        <v>1.3204390804249779</v>
      </c>
      <c r="J331">
        <f t="shared" si="29"/>
        <v>-0.49260641673300742</v>
      </c>
      <c r="K331">
        <f t="shared" si="30"/>
        <v>-1.5602740272459477</v>
      </c>
      <c r="M331">
        <f t="shared" si="31"/>
        <v>-0.24414712118465906</v>
      </c>
      <c r="P331" s="16" t="s">
        <v>1685</v>
      </c>
    </row>
    <row r="332" spans="1:16">
      <c r="A332" s="2" t="s">
        <v>22</v>
      </c>
      <c r="B332" s="6" t="s">
        <v>585</v>
      </c>
      <c r="C332" s="7" t="str" cm="1">
        <f t="array" ref="C332">_xlfn.LET(
  _xlpm.s, UPPER(B332),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KKLMKEIANSGKIPHIILHSP</v>
      </c>
      <c r="D332" s="4">
        <v>297</v>
      </c>
      <c r="E332" s="1">
        <v>2</v>
      </c>
      <c r="F332" s="1">
        <v>276</v>
      </c>
      <c r="G332" s="1">
        <v>29</v>
      </c>
      <c r="I332">
        <f t="shared" si="28"/>
        <v>-1.1796732891326616</v>
      </c>
      <c r="J332">
        <f t="shared" si="29"/>
        <v>0.50762748362643828</v>
      </c>
      <c r="K332">
        <f t="shared" si="30"/>
        <v>-6.1429956333100888E-2</v>
      </c>
      <c r="M332">
        <f t="shared" si="31"/>
        <v>-0.24449192061310807</v>
      </c>
      <c r="P332" s="16" t="s">
        <v>1685</v>
      </c>
    </row>
    <row r="333" spans="1:16">
      <c r="A333" s="2" t="s">
        <v>182</v>
      </c>
      <c r="B333" s="6" t="s">
        <v>745</v>
      </c>
      <c r="C333" s="7" t="str" cm="1">
        <f t="array" ref="C333">_xlfn.LET(
  _xlpm.s, UPPER(B333),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KELFKKIAAAGKIPHIILHSP</v>
      </c>
      <c r="D333" s="4">
        <v>403</v>
      </c>
      <c r="E333" s="1">
        <v>285</v>
      </c>
      <c r="F333" s="1">
        <v>6</v>
      </c>
      <c r="G333" s="1">
        <v>22</v>
      </c>
      <c r="I333">
        <f t="shared" si="28"/>
        <v>0.8415929783879702</v>
      </c>
      <c r="J333">
        <f t="shared" si="29"/>
        <v>-1.2876789448790329</v>
      </c>
      <c r="K333">
        <f t="shared" si="30"/>
        <v>-0.31395387023374788</v>
      </c>
      <c r="M333">
        <f t="shared" si="31"/>
        <v>-0.25334661224160354</v>
      </c>
      <c r="P333" s="16" t="s">
        <v>1685</v>
      </c>
    </row>
    <row r="334" spans="1:16">
      <c r="A334" s="2" t="s">
        <v>401</v>
      </c>
      <c r="B334" s="6" t="s">
        <v>964</v>
      </c>
      <c r="C334" s="7" t="str" cm="1">
        <f t="array" ref="C334">_xlfn.LET(
  _xlpm.s, UPPER(B334),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KAEMKKIVASGKIPHIILHSP</v>
      </c>
      <c r="D334" s="4">
        <v>507</v>
      </c>
      <c r="E334" s="1">
        <v>44</v>
      </c>
      <c r="F334" s="1">
        <v>31</v>
      </c>
      <c r="G334" s="1">
        <v>54</v>
      </c>
      <c r="I334">
        <f t="shared" si="28"/>
        <v>-6.9502118326579154E-2</v>
      </c>
      <c r="J334">
        <f t="shared" si="29"/>
        <v>-0.67417141462063046</v>
      </c>
      <c r="K334">
        <f t="shared" si="30"/>
        <v>-2.3685704425212117E-2</v>
      </c>
      <c r="M334">
        <f t="shared" si="31"/>
        <v>-0.25578641245747391</v>
      </c>
      <c r="P334" s="16" t="s">
        <v>1685</v>
      </c>
    </row>
    <row r="335" spans="1:16">
      <c r="A335" s="2" t="s">
        <v>63</v>
      </c>
      <c r="B335" s="6" t="s">
        <v>626</v>
      </c>
      <c r="C335" s="7" t="str" cm="1">
        <f t="array" ref="C335">_xlfn.LET(
  _xlpm.s, UPPER(B335),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KKFFQDIVKSGKIPHIILHSP</v>
      </c>
      <c r="D335" s="4">
        <v>119</v>
      </c>
      <c r="E335" s="1">
        <v>5</v>
      </c>
      <c r="F335" s="1">
        <v>11</v>
      </c>
      <c r="G335" s="1">
        <v>17</v>
      </c>
      <c r="I335">
        <f t="shared" si="28"/>
        <v>-0.38452379253594238</v>
      </c>
      <c r="J335">
        <f t="shared" si="29"/>
        <v>-0.49467942535587273</v>
      </c>
      <c r="K335">
        <f t="shared" si="30"/>
        <v>0.1038304550708985</v>
      </c>
      <c r="M335">
        <f t="shared" si="31"/>
        <v>-0.25845758760697218</v>
      </c>
      <c r="P335" s="15" t="s">
        <v>1686</v>
      </c>
    </row>
    <row r="336" spans="1:16">
      <c r="A336" s="2" t="s">
        <v>363</v>
      </c>
      <c r="B336" s="6" t="s">
        <v>926</v>
      </c>
      <c r="C336" s="7" t="str" cm="1">
        <f t="array" ref="C336">_xlfn.LET(
  _xlpm.s, UPPER(B336),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KARLKEIAASGKIPHIILHSP</v>
      </c>
      <c r="D336" s="4">
        <v>1295</v>
      </c>
      <c r="E336" s="1">
        <v>81</v>
      </c>
      <c r="F336" s="1">
        <v>69</v>
      </c>
      <c r="G336" s="1">
        <v>214</v>
      </c>
      <c r="I336">
        <f t="shared" si="28"/>
        <v>-0.21173158501805145</v>
      </c>
      <c r="J336">
        <f t="shared" si="29"/>
        <v>-0.73394582680158249</v>
      </c>
      <c r="K336">
        <f t="shared" si="30"/>
        <v>0.16707250001707552</v>
      </c>
      <c r="M336">
        <f t="shared" si="31"/>
        <v>-0.25953497060085279</v>
      </c>
      <c r="P336" s="16" t="s">
        <v>1685</v>
      </c>
    </row>
    <row r="337" spans="1:16">
      <c r="A337" s="2" t="s">
        <v>3</v>
      </c>
      <c r="B337" s="6" t="s">
        <v>566</v>
      </c>
      <c r="C337" s="7" t="str" cm="1">
        <f t="array" ref="C337">_xlfn.LET(
  _xlpm.s, UPPER(B337),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KKKLKEIAASGKIPHIILHSP</v>
      </c>
      <c r="D337" s="4">
        <v>370</v>
      </c>
      <c r="E337" s="1">
        <v>31</v>
      </c>
      <c r="F337" s="1">
        <v>39</v>
      </c>
      <c r="G337" s="1">
        <v>23</v>
      </c>
      <c r="I337">
        <f t="shared" si="28"/>
        <v>-8.4786865712152881E-2</v>
      </c>
      <c r="J337">
        <f t="shared" si="29"/>
        <v>-0.43766226616206283</v>
      </c>
      <c r="K337">
        <f t="shared" si="30"/>
        <v>-0.25754539296424683</v>
      </c>
      <c r="M337">
        <f t="shared" si="31"/>
        <v>-0.25999817494615418</v>
      </c>
      <c r="P337" s="16" t="s">
        <v>1685</v>
      </c>
    </row>
    <row r="338" spans="1:16">
      <c r="A338" s="2" t="s">
        <v>1</v>
      </c>
      <c r="B338" s="6" t="s">
        <v>564</v>
      </c>
      <c r="C338" s="7" t="str" cm="1">
        <f t="array" ref="C338">_xlfn.LET(
  _xlpm.s, UPPER(B338),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KKKMKEIANSGKIPHIILHSP</v>
      </c>
      <c r="D338" s="4">
        <v>159</v>
      </c>
      <c r="E338" s="1">
        <v>4</v>
      </c>
      <c r="F338" s="1">
        <v>45</v>
      </c>
      <c r="G338" s="1">
        <v>12</v>
      </c>
      <c r="I338">
        <f t="shared" si="28"/>
        <v>-0.60728396847191957</v>
      </c>
      <c r="J338">
        <f t="shared" si="29"/>
        <v>-8.7097596666748656E-3</v>
      </c>
      <c r="K338">
        <f t="shared" si="30"/>
        <v>-0.17328738318767134</v>
      </c>
      <c r="M338">
        <f t="shared" si="31"/>
        <v>-0.26309370377542191</v>
      </c>
      <c r="P338" s="16" t="s">
        <v>1685</v>
      </c>
    </row>
    <row r="339" spans="1:16">
      <c r="A339" s="2" t="s">
        <v>484</v>
      </c>
      <c r="B339" s="6" t="s">
        <v>1047</v>
      </c>
      <c r="C339" s="7" t="str" cm="1">
        <f t="array" ref="C339">_xlfn.LET(
  _xlpm.s, UPPER(B339),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LKLMKEIAASGKIPHIILHSP</v>
      </c>
      <c r="D339" s="4">
        <v>1145</v>
      </c>
      <c r="E339" s="1">
        <v>56</v>
      </c>
      <c r="F339" s="1">
        <v>319</v>
      </c>
      <c r="G339" s="1">
        <v>45</v>
      </c>
      <c r="I339">
        <f t="shared" si="28"/>
        <v>-0.31856429514913698</v>
      </c>
      <c r="J339">
        <f t="shared" si="29"/>
        <v>-1.553995274029274E-2</v>
      </c>
      <c r="K339">
        <f t="shared" si="30"/>
        <v>-0.45666447781540787</v>
      </c>
      <c r="M339">
        <f t="shared" si="31"/>
        <v>-0.26358957523494586</v>
      </c>
      <c r="P339" s="16" t="s">
        <v>1685</v>
      </c>
    </row>
    <row r="340" spans="1:16">
      <c r="A340" s="2" t="s">
        <v>185</v>
      </c>
      <c r="B340" s="6" t="s">
        <v>748</v>
      </c>
      <c r="C340" s="7" t="str" cm="1">
        <f t="array" ref="C340">_xlfn.LET(
  _xlpm.s, UPPER(B340),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KELFKKIVASGKIPHIILHSP</v>
      </c>
      <c r="D340" s="4">
        <v>467</v>
      </c>
      <c r="E340" s="1">
        <v>361</v>
      </c>
      <c r="F340" s="1">
        <v>10</v>
      </c>
      <c r="G340" s="1">
        <v>15</v>
      </c>
      <c r="I340">
        <f t="shared" si="28"/>
        <v>0.88024348586011514</v>
      </c>
      <c r="J340">
        <f t="shared" si="29"/>
        <v>-1.1298420296876794</v>
      </c>
      <c r="K340">
        <f t="shared" si="30"/>
        <v>-0.54429712642527561</v>
      </c>
      <c r="M340">
        <f t="shared" si="31"/>
        <v>-0.26463189008427995</v>
      </c>
      <c r="P340" s="16" t="s">
        <v>1685</v>
      </c>
    </row>
    <row r="341" spans="1:16">
      <c r="A341" s="2" t="s">
        <v>202</v>
      </c>
      <c r="B341" s="6" t="s">
        <v>765</v>
      </c>
      <c r="C341" s="7" t="str" cm="1">
        <f t="array" ref="C341">_xlfn.LET(
  _xlpm.s, UPPER(B341),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KELFKEIVARGKIPHIILHSP</v>
      </c>
      <c r="D341" s="4">
        <v>661</v>
      </c>
      <c r="E341" s="1">
        <v>14</v>
      </c>
      <c r="F341" s="1">
        <v>64</v>
      </c>
      <c r="G341" s="1">
        <v>171</v>
      </c>
      <c r="I341">
        <f t="shared" si="28"/>
        <v>-0.68202025928683274</v>
      </c>
      <c r="J341">
        <f t="shared" si="29"/>
        <v>-0.47454663462332014</v>
      </c>
      <c r="K341">
        <f t="shared" si="30"/>
        <v>0.36172314599166888</v>
      </c>
      <c r="M341">
        <f t="shared" si="31"/>
        <v>-0.26494791597282796</v>
      </c>
      <c r="P341" s="15" t="s">
        <v>1686</v>
      </c>
    </row>
    <row r="342" spans="1:16">
      <c r="A342" s="2" t="s">
        <v>173</v>
      </c>
      <c r="B342" s="6" t="s">
        <v>736</v>
      </c>
      <c r="C342" s="7" t="str" cm="1">
        <f t="array" ref="C342">_xlfn.LET(
  _xlpm.s, UPPER(B342),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KELMKEIAASGKIPHIILHSP</v>
      </c>
      <c r="D342" s="4">
        <v>938</v>
      </c>
      <c r="E342" s="1">
        <v>95</v>
      </c>
      <c r="F342" s="1">
        <v>254</v>
      </c>
      <c r="G342" s="1">
        <v>18</v>
      </c>
      <c r="I342">
        <f t="shared" si="28"/>
        <v>-2.4260685696472217E-3</v>
      </c>
      <c r="J342">
        <f t="shared" si="29"/>
        <v>-2.7894270880693517E-2</v>
      </c>
      <c r="K342">
        <f t="shared" si="30"/>
        <v>-0.76800183819060308</v>
      </c>
      <c r="M342">
        <f t="shared" si="31"/>
        <v>-0.26610739254698129</v>
      </c>
      <c r="P342" s="16" t="s">
        <v>1685</v>
      </c>
    </row>
    <row r="343" spans="1:16">
      <c r="A343" s="2" t="s">
        <v>42</v>
      </c>
      <c r="B343" s="6" t="s">
        <v>605</v>
      </c>
      <c r="C343" s="7" t="str" cm="1">
        <f t="array" ref="C343">_xlfn.LET(
  _xlpm.s, UPPER(B343),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KKLFKAIAKSGKIPHIILHSP</v>
      </c>
      <c r="D343" s="4">
        <v>353</v>
      </c>
      <c r="E343" s="1">
        <v>14</v>
      </c>
      <c r="F343" s="1">
        <v>69</v>
      </c>
      <c r="G343" s="1">
        <v>23</v>
      </c>
      <c r="I343">
        <f t="shared" si="28"/>
        <v>-0.40959350518901516</v>
      </c>
      <c r="J343">
        <f t="shared" si="29"/>
        <v>-0.16945076377213431</v>
      </c>
      <c r="K343">
        <f t="shared" si="30"/>
        <v>-0.23711837428507443</v>
      </c>
      <c r="M343">
        <f t="shared" si="31"/>
        <v>-0.27205421441540795</v>
      </c>
      <c r="P343" s="14" t="s">
        <v>1685</v>
      </c>
    </row>
    <row r="344" spans="1:16">
      <c r="A344" s="2" t="s">
        <v>31</v>
      </c>
      <c r="B344" s="6" t="s">
        <v>594</v>
      </c>
      <c r="C344" s="7" t="str" cm="1">
        <f t="array" ref="C344">_xlfn.LET(
  _xlpm.s, UPPER(B344),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KKLFKEIANSGKIPHIILHSP</v>
      </c>
      <c r="D344" s="4">
        <v>233</v>
      </c>
      <c r="E344" s="1">
        <v>19</v>
      </c>
      <c r="F344" s="1">
        <v>7</v>
      </c>
      <c r="G344" s="1">
        <v>48</v>
      </c>
      <c r="I344">
        <f t="shared" si="28"/>
        <v>-9.6549155552620558E-2</v>
      </c>
      <c r="J344">
        <f t="shared" si="29"/>
        <v>-0.98278303013332924</v>
      </c>
      <c r="K344">
        <f t="shared" si="30"/>
        <v>0.2628138114347236</v>
      </c>
      <c r="M344">
        <f t="shared" si="31"/>
        <v>-0.27217279141707534</v>
      </c>
      <c r="P344" s="16" t="s">
        <v>1685</v>
      </c>
    </row>
    <row r="345" spans="1:16">
      <c r="A345" s="2" t="s">
        <v>361</v>
      </c>
      <c r="B345" s="6" t="s">
        <v>924</v>
      </c>
      <c r="C345" s="7" t="str" cm="1">
        <f t="array" ref="C345">_xlfn.LET(
  _xlpm.s, UPPER(B345),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KARMQEIAASGKIPHIILHSP</v>
      </c>
      <c r="D345" s="4">
        <v>1817</v>
      </c>
      <c r="E345" s="1">
        <v>960</v>
      </c>
      <c r="F345" s="1">
        <v>76</v>
      </c>
      <c r="G345" s="1">
        <v>41</v>
      </c>
      <c r="I345">
        <f t="shared" si="28"/>
        <v>0.71496947025210356</v>
      </c>
      <c r="J345">
        <f t="shared" si="29"/>
        <v>-0.83906648414880991</v>
      </c>
      <c r="K345">
        <f t="shared" si="30"/>
        <v>-0.69764257550314346</v>
      </c>
      <c r="M345">
        <f t="shared" si="31"/>
        <v>-0.2739131964666166</v>
      </c>
      <c r="P345" s="16" t="s">
        <v>1685</v>
      </c>
    </row>
    <row r="346" spans="1:16">
      <c r="A346" s="2" t="s">
        <v>81</v>
      </c>
      <c r="B346" s="6" t="s">
        <v>644</v>
      </c>
      <c r="C346" s="7" t="str" cm="1">
        <f t="array" ref="C346">_xlfn.LET(
  _xlpm.s, UPPER(B346),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KQLMKEIANSGKIPHIILHSP</v>
      </c>
      <c r="D346" s="4">
        <v>514</v>
      </c>
      <c r="E346" s="1">
        <v>32</v>
      </c>
      <c r="F346" s="1">
        <v>192</v>
      </c>
      <c r="G346" s="1">
        <v>11</v>
      </c>
      <c r="I346">
        <f t="shared" si="28"/>
        <v>-0.21375997615480036</v>
      </c>
      <c r="J346">
        <f t="shared" si="29"/>
        <v>0.11181296058670681</v>
      </c>
      <c r="K346">
        <f t="shared" si="30"/>
        <v>-0.72064193875189542</v>
      </c>
      <c r="M346">
        <f t="shared" si="31"/>
        <v>-0.27419631810666295</v>
      </c>
      <c r="P346" s="16" t="s">
        <v>1685</v>
      </c>
    </row>
    <row r="347" spans="1:16">
      <c r="A347" s="2" t="s">
        <v>545</v>
      </c>
      <c r="B347" s="6" t="s">
        <v>1108</v>
      </c>
      <c r="C347" s="7" t="str" cm="1">
        <f t="array" ref="C347">_xlfn.LET(
  _xlpm.s, UPPER(B347),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LALFRAIVAKGKIPHIILHSP</v>
      </c>
      <c r="D347" s="4">
        <v>1404</v>
      </c>
      <c r="E347" s="1">
        <v>38</v>
      </c>
      <c r="F347" s="1">
        <v>119</v>
      </c>
      <c r="G347" s="1">
        <v>296</v>
      </c>
      <c r="I347">
        <f t="shared" si="28"/>
        <v>-0.57553034665640679</v>
      </c>
      <c r="J347">
        <f t="shared" si="29"/>
        <v>-0.53234529552282284</v>
      </c>
      <c r="K347">
        <f t="shared" si="30"/>
        <v>0.27285309835030747</v>
      </c>
      <c r="M347">
        <f t="shared" si="31"/>
        <v>-0.27834084794297409</v>
      </c>
      <c r="P347" s="15" t="s">
        <v>1686</v>
      </c>
    </row>
    <row r="348" spans="1:16">
      <c r="A348" s="2" t="s">
        <v>163</v>
      </c>
      <c r="B348" s="6" t="s">
        <v>726</v>
      </c>
      <c r="C348" s="7" t="str" cm="1">
        <f t="array" ref="C348">_xlfn.LET(
  _xlpm.s, UPPER(B348),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KELMKKIANSGKIPHIILHSP</v>
      </c>
      <c r="D348" s="4">
        <v>321</v>
      </c>
      <c r="E348" s="1">
        <v>187</v>
      </c>
      <c r="F348" s="1">
        <v>6</v>
      </c>
      <c r="G348" s="1">
        <v>14</v>
      </c>
      <c r="I348">
        <f t="shared" si="28"/>
        <v>0.75738973865219639</v>
      </c>
      <c r="J348">
        <f t="shared" si="29"/>
        <v>-1.1888789311427956</v>
      </c>
      <c r="K348">
        <f t="shared" si="30"/>
        <v>-0.41144850164147884</v>
      </c>
      <c r="M348">
        <f t="shared" si="31"/>
        <v>-0.28097923137735936</v>
      </c>
      <c r="P348" s="16" t="s">
        <v>1685</v>
      </c>
    </row>
    <row r="349" spans="1:16">
      <c r="A349" s="2" t="s">
        <v>373</v>
      </c>
      <c r="B349" s="6" t="s">
        <v>936</v>
      </c>
      <c r="C349" s="7" t="str" cm="1">
        <f t="array" ref="C349">_xlfn.LET(
  _xlpm.s, UPPER(B349),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KALMREIAKSGKIPHIILHSP</v>
      </c>
      <c r="D349" s="4">
        <v>1073</v>
      </c>
      <c r="E349" s="1">
        <v>2225</v>
      </c>
      <c r="F349" s="1">
        <v>5</v>
      </c>
      <c r="G349" s="1">
        <v>52</v>
      </c>
      <c r="I349">
        <f t="shared" si="28"/>
        <v>1.3087834578715687</v>
      </c>
      <c r="J349">
        <f t="shared" si="29"/>
        <v>-1.7921548667514995</v>
      </c>
      <c r="K349">
        <f t="shared" si="30"/>
        <v>-0.36566788324599653</v>
      </c>
      <c r="M349">
        <f t="shared" si="31"/>
        <v>-0.28301309737530911</v>
      </c>
      <c r="P349" s="16" t="s">
        <v>1685</v>
      </c>
    </row>
    <row r="350" spans="1:16">
      <c r="A350" s="2" t="s">
        <v>239</v>
      </c>
      <c r="B350" s="6" t="s">
        <v>802</v>
      </c>
      <c r="C350" s="7" t="str" cm="1">
        <f t="array" ref="C350">_xlfn.LET(
  _xlpm.s, UPPER(B350),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KEEMKKIVASGKIPHIILHSP</v>
      </c>
      <c r="D350" s="4">
        <v>372</v>
      </c>
      <c r="E350" s="1">
        <v>6</v>
      </c>
      <c r="F350" s="1">
        <v>276</v>
      </c>
      <c r="G350" s="1">
        <v>13</v>
      </c>
      <c r="I350">
        <f t="shared" si="28"/>
        <v>-0.80033852497768443</v>
      </c>
      <c r="J350">
        <f t="shared" si="29"/>
        <v>0.40984099306175314</v>
      </c>
      <c r="K350">
        <f t="shared" si="30"/>
        <v>-0.5076710924899055</v>
      </c>
      <c r="M350">
        <f t="shared" si="31"/>
        <v>-0.29938954146861224</v>
      </c>
      <c r="P350" s="16" t="s">
        <v>1685</v>
      </c>
    </row>
    <row r="351" spans="1:16">
      <c r="A351" s="2" t="s">
        <v>152</v>
      </c>
      <c r="B351" s="6" t="s">
        <v>715</v>
      </c>
      <c r="C351" s="7" t="str" cm="1">
        <f t="array" ref="C351">_xlfn.LET(
  _xlpm.s, UPPER(B351),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KERFKKIAKSGKIPHIILHSP</v>
      </c>
      <c r="D351" s="4">
        <v>306</v>
      </c>
      <c r="E351" s="1">
        <v>23</v>
      </c>
      <c r="F351" s="1">
        <v>14</v>
      </c>
      <c r="G351" s="1">
        <v>37</v>
      </c>
      <c r="I351">
        <f t="shared" si="28"/>
        <v>-0.13194042594341759</v>
      </c>
      <c r="J351">
        <f t="shared" si="29"/>
        <v>-0.800118539924909</v>
      </c>
      <c r="K351">
        <f t="shared" si="30"/>
        <v>3.1408792670570285E-2</v>
      </c>
      <c r="M351">
        <f t="shared" si="31"/>
        <v>-0.30021672439925212</v>
      </c>
      <c r="P351" s="16" t="s">
        <v>1685</v>
      </c>
    </row>
    <row r="352" spans="1:16">
      <c r="A352" s="2" t="s">
        <v>187</v>
      </c>
      <c r="B352" s="6" t="s">
        <v>750</v>
      </c>
      <c r="C352" s="7" t="str" cm="1">
        <f t="array" ref="C352">_xlfn.LET(
  _xlpm.s, UPPER(B352),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KELFKNIVKRGKIPHIILHSP</v>
      </c>
      <c r="D352" s="4">
        <v>214</v>
      </c>
      <c r="E352" s="1">
        <v>10</v>
      </c>
      <c r="F352" s="1">
        <v>13</v>
      </c>
      <c r="G352" s="1">
        <v>31</v>
      </c>
      <c r="I352">
        <f t="shared" si="28"/>
        <v>-0.33836060882862129</v>
      </c>
      <c r="J352">
        <f t="shared" si="29"/>
        <v>-0.67699557016392109</v>
      </c>
      <c r="K352">
        <f t="shared" si="30"/>
        <v>0.10987641557023708</v>
      </c>
      <c r="M352">
        <f t="shared" si="31"/>
        <v>-0.30182658780743504</v>
      </c>
      <c r="P352" s="15" t="s">
        <v>1686</v>
      </c>
    </row>
    <row r="353" spans="1:16">
      <c r="A353" s="2" t="s">
        <v>475</v>
      </c>
      <c r="B353" s="6" t="s">
        <v>1038</v>
      </c>
      <c r="C353" s="7" t="str" cm="1">
        <f t="array" ref="C353">_xlfn.LET(
  _xlpm.s, UPPER(B353),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RAYFKEIAASGKIPHIILHSP</v>
      </c>
      <c r="D353" s="4">
        <v>554</v>
      </c>
      <c r="E353" s="1">
        <v>31</v>
      </c>
      <c r="F353" s="1">
        <v>40</v>
      </c>
      <c r="G353" s="1">
        <v>55</v>
      </c>
      <c r="I353">
        <f t="shared" si="28"/>
        <v>-0.26009490637358756</v>
      </c>
      <c r="J353">
        <f t="shared" si="29"/>
        <v>-0.60197492252203444</v>
      </c>
      <c r="K353">
        <f t="shared" si="30"/>
        <v>-5.4218580149030693E-2</v>
      </c>
      <c r="M353">
        <f t="shared" si="31"/>
        <v>-0.30542946968155088</v>
      </c>
      <c r="P353" s="16" t="s">
        <v>1685</v>
      </c>
    </row>
    <row r="354" spans="1:16">
      <c r="A354" s="2" t="s">
        <v>531</v>
      </c>
      <c r="B354" s="6" t="s">
        <v>1094</v>
      </c>
      <c r="C354" s="7" t="str" cm="1">
        <f t="array" ref="C354">_xlfn.LET(
  _xlpm.s, UPPER(B354),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LEFFKNIVKSGKIPHIILHSP</v>
      </c>
      <c r="D354" s="4">
        <v>108</v>
      </c>
      <c r="E354" s="1">
        <v>84</v>
      </c>
      <c r="F354" s="1">
        <v>1</v>
      </c>
      <c r="G354" s="1">
        <v>6</v>
      </c>
      <c r="I354">
        <f t="shared" si="28"/>
        <v>0.88290869509550141</v>
      </c>
      <c r="J354">
        <f t="shared" si="29"/>
        <v>-1.493948904608517</v>
      </c>
      <c r="K354">
        <f t="shared" si="30"/>
        <v>-0.3063440100181507</v>
      </c>
      <c r="M354">
        <f t="shared" si="31"/>
        <v>-0.30579473984372213</v>
      </c>
      <c r="P354" s="15" t="s">
        <v>1686</v>
      </c>
    </row>
    <row r="355" spans="1:16">
      <c r="A355" s="2" t="s">
        <v>327</v>
      </c>
      <c r="B355" s="6" t="s">
        <v>890</v>
      </c>
      <c r="C355" s="7" t="str" cm="1">
        <f t="array" ref="C355">_xlfn.LET(
  _xlpm.s, UPPER(B355),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KEFFRNIVKSGKIPHIILHSP</v>
      </c>
      <c r="D355" s="4">
        <v>205</v>
      </c>
      <c r="E355" s="1">
        <v>3</v>
      </c>
      <c r="F355" s="1">
        <v>42</v>
      </c>
      <c r="G355" s="1">
        <v>27</v>
      </c>
      <c r="I355">
        <f t="shared" si="28"/>
        <v>-0.84257944181552236</v>
      </c>
      <c r="J355">
        <f t="shared" si="29"/>
        <v>-0.14902971977942092</v>
      </c>
      <c r="K355">
        <f t="shared" si="30"/>
        <v>6.8538398188388361E-2</v>
      </c>
      <c r="M355">
        <f t="shared" si="31"/>
        <v>-0.30769025446885162</v>
      </c>
      <c r="P355" s="15" t="s">
        <v>1686</v>
      </c>
    </row>
    <row r="356" spans="1:16">
      <c r="A356" s="2" t="s">
        <v>372</v>
      </c>
      <c r="B356" s="6" t="s">
        <v>935</v>
      </c>
      <c r="C356" s="7" t="str" cm="1">
        <f t="array" ref="C356">_xlfn.LET(
  _xlpm.s, UPPER(B356),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KALMKEIVASGKIPHIILHSP</v>
      </c>
      <c r="D356" s="4">
        <v>1045</v>
      </c>
      <c r="E356" s="1">
        <v>71</v>
      </c>
      <c r="F356" s="1">
        <v>20</v>
      </c>
      <c r="G356" s="1">
        <v>312</v>
      </c>
      <c r="I356">
        <f t="shared" si="28"/>
        <v>-0.17580477720742804</v>
      </c>
      <c r="J356">
        <f t="shared" si="29"/>
        <v>-1.1786114439046589</v>
      </c>
      <c r="K356">
        <f t="shared" si="30"/>
        <v>0.42396679865652531</v>
      </c>
      <c r="M356">
        <f t="shared" si="31"/>
        <v>-0.31014980748518722</v>
      </c>
      <c r="P356" s="16" t="s">
        <v>1685</v>
      </c>
    </row>
    <row r="357" spans="1:16">
      <c r="A357" s="2" t="s">
        <v>197</v>
      </c>
      <c r="B357" s="6" t="s">
        <v>760</v>
      </c>
      <c r="C357" s="7" t="str" cm="1">
        <f t="array" ref="C357">_xlfn.LET(
  _xlpm.s, UPPER(B357),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KELFKEIAKSGKIPHIILHSP</v>
      </c>
      <c r="D357" s="4">
        <v>512</v>
      </c>
      <c r="E357" s="1">
        <v>165</v>
      </c>
      <c r="F357" s="1">
        <v>21</v>
      </c>
      <c r="G357" s="1">
        <v>15</v>
      </c>
      <c r="I357">
        <f t="shared" si="28"/>
        <v>0.500267147758645</v>
      </c>
      <c r="J357">
        <f t="shared" si="29"/>
        <v>-0.84757581536347859</v>
      </c>
      <c r="K357">
        <f t="shared" si="30"/>
        <v>-0.58425020683499418</v>
      </c>
      <c r="M357">
        <f t="shared" si="31"/>
        <v>-0.31051962481327594</v>
      </c>
      <c r="P357" s="16" t="s">
        <v>1685</v>
      </c>
    </row>
    <row r="358" spans="1:16">
      <c r="A358" s="2" t="s">
        <v>402</v>
      </c>
      <c r="B358" s="6" t="s">
        <v>965</v>
      </c>
      <c r="C358" s="7" t="str" cm="1">
        <f t="array" ref="C358">_xlfn.LET(
  _xlpm.s, UPPER(B358),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KAEMKRIAASGKIPHIILHSP</v>
      </c>
      <c r="D358" s="4">
        <v>1487</v>
      </c>
      <c r="E358" s="1">
        <v>29</v>
      </c>
      <c r="F358" s="1">
        <v>40</v>
      </c>
      <c r="G358" s="1">
        <v>1094</v>
      </c>
      <c r="I358">
        <f t="shared" si="28"/>
        <v>-0.71785980610242861</v>
      </c>
      <c r="J358">
        <f t="shared" si="29"/>
        <v>-1.0307761263155588</v>
      </c>
      <c r="K358">
        <f t="shared" si="30"/>
        <v>0.81563484856061308</v>
      </c>
      <c r="M358">
        <f t="shared" si="31"/>
        <v>-0.31100036128579145</v>
      </c>
      <c r="P358" s="16" t="s">
        <v>1685</v>
      </c>
    </row>
    <row r="359" spans="1:16">
      <c r="A359" s="2" t="s">
        <v>193</v>
      </c>
      <c r="B359" s="6" t="s">
        <v>756</v>
      </c>
      <c r="C359" s="7" t="str" cm="1">
        <f t="array" ref="C359">_xlfn.LET(
  _xlpm.s, UPPER(B359),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KELFKQIVASGKIPHIILHSP</v>
      </c>
      <c r="D359" s="4">
        <v>917</v>
      </c>
      <c r="E359" s="1">
        <v>66</v>
      </c>
      <c r="F359" s="1">
        <v>36</v>
      </c>
      <c r="G359" s="1">
        <v>124</v>
      </c>
      <c r="I359">
        <f t="shared" si="28"/>
        <v>-0.15077223560758291</v>
      </c>
      <c r="J359">
        <f t="shared" si="29"/>
        <v>-0.86659198402430093</v>
      </c>
      <c r="K359">
        <f t="shared" si="30"/>
        <v>7.9980844577369314E-2</v>
      </c>
      <c r="M359">
        <f t="shared" si="31"/>
        <v>-0.31246112501817153</v>
      </c>
      <c r="P359" s="16" t="s">
        <v>1685</v>
      </c>
    </row>
    <row r="360" spans="1:16">
      <c r="A360" s="2" t="s">
        <v>515</v>
      </c>
      <c r="B360" s="6" t="s">
        <v>1078</v>
      </c>
      <c r="C360" s="7" t="str" cm="1">
        <f t="array" ref="C360">_xlfn.LET(
  _xlpm.s, UPPER(B360),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LELFKAIVKRGKIPHIILHSP</v>
      </c>
      <c r="D360" s="4">
        <v>686</v>
      </c>
      <c r="E360" s="1">
        <v>36</v>
      </c>
      <c r="F360" s="1">
        <v>48</v>
      </c>
      <c r="G360" s="1">
        <v>71</v>
      </c>
      <c r="I360">
        <f t="shared" si="28"/>
        <v>-0.28796845041889485</v>
      </c>
      <c r="J360">
        <f t="shared" si="29"/>
        <v>-0.61560802745273147</v>
      </c>
      <c r="K360">
        <f t="shared" si="30"/>
        <v>-3.613727190252114E-2</v>
      </c>
      <c r="M360">
        <f t="shared" si="31"/>
        <v>-0.3132379165913825</v>
      </c>
      <c r="P360" s="15" t="s">
        <v>1686</v>
      </c>
    </row>
    <row r="361" spans="1:16">
      <c r="A361" s="2" t="s">
        <v>346</v>
      </c>
      <c r="B361" s="6" t="s">
        <v>909</v>
      </c>
      <c r="C361" s="7" t="str" cm="1">
        <f t="array" ref="C361">_xlfn.LET(
  _xlpm.s, UPPER(B361),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KAKFKEIAAAGKIPHIILHSP</v>
      </c>
      <c r="D361" s="4">
        <v>507</v>
      </c>
      <c r="E361" s="1">
        <v>110</v>
      </c>
      <c r="F361" s="1">
        <v>25</v>
      </c>
      <c r="G361" s="1">
        <v>18</v>
      </c>
      <c r="I361">
        <f t="shared" si="28"/>
        <v>0.32843789034545856</v>
      </c>
      <c r="J361">
        <f t="shared" si="29"/>
        <v>-0.76759309978286538</v>
      </c>
      <c r="K361">
        <f t="shared" si="30"/>
        <v>-0.5008069591448745</v>
      </c>
      <c r="M361">
        <f t="shared" si="31"/>
        <v>-0.31332072286076046</v>
      </c>
      <c r="P361" s="16" t="s">
        <v>1685</v>
      </c>
    </row>
    <row r="362" spans="1:16">
      <c r="A362" s="2" t="s">
        <v>496</v>
      </c>
      <c r="B362" s="6" t="s">
        <v>1059</v>
      </c>
      <c r="C362" s="7" t="str" cm="1">
        <f t="array" ref="C362">_xlfn.LET(
  _xlpm.s, UPPER(B362),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LQRFKAIVASGKIPHIILHSP</v>
      </c>
      <c r="D362" s="4">
        <v>1448</v>
      </c>
      <c r="E362" s="1">
        <v>147</v>
      </c>
      <c r="F362" s="1">
        <v>73</v>
      </c>
      <c r="G362" s="1">
        <v>106</v>
      </c>
      <c r="I362">
        <f t="shared" si="28"/>
        <v>-1.3980625923825096E-3</v>
      </c>
      <c r="J362">
        <f t="shared" si="29"/>
        <v>-0.75797085086223925</v>
      </c>
      <c r="K362">
        <f t="shared" si="30"/>
        <v>-0.18653420151120259</v>
      </c>
      <c r="M362">
        <f t="shared" si="31"/>
        <v>-0.31530103832194145</v>
      </c>
      <c r="P362" s="16" t="s">
        <v>1685</v>
      </c>
    </row>
    <row r="363" spans="1:16">
      <c r="A363" s="2" t="s">
        <v>32</v>
      </c>
      <c r="B363" s="6" t="s">
        <v>595</v>
      </c>
      <c r="C363" s="7" t="str" cm="1">
        <f t="array" ref="C363">_xlfn.LET(
  _xlpm.s, UPPER(B363),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KKLFKEIAAEGKIPHIILHSP</v>
      </c>
      <c r="D363" s="4">
        <v>395</v>
      </c>
      <c r="E363" s="1">
        <v>6</v>
      </c>
      <c r="F363" s="1">
        <v>546</v>
      </c>
      <c r="G363" s="1">
        <v>7</v>
      </c>
      <c r="I363">
        <f t="shared" si="28"/>
        <v>-0.82639268072224725</v>
      </c>
      <c r="J363">
        <f t="shared" si="29"/>
        <v>0.68007039795670998</v>
      </c>
      <c r="K363">
        <f t="shared" si="30"/>
        <v>-0.80257056052704812</v>
      </c>
      <c r="M363">
        <f t="shared" si="31"/>
        <v>-0.3162976144308618</v>
      </c>
      <c r="P363" s="16" t="s">
        <v>1685</v>
      </c>
    </row>
    <row r="364" spans="1:16">
      <c r="A364" s="2" t="s">
        <v>546</v>
      </c>
      <c r="B364" s="6" t="s">
        <v>1109</v>
      </c>
      <c r="C364" s="7" t="str" cm="1">
        <f t="array" ref="C364">_xlfn.LET(
  _xlpm.s, UPPER(B364),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LAEMKKIAASGKIPHIILHSP</v>
      </c>
      <c r="D364" s="4">
        <v>647</v>
      </c>
      <c r="E364" s="1">
        <v>28</v>
      </c>
      <c r="F364" s="1">
        <v>99</v>
      </c>
      <c r="G364" s="1">
        <v>32</v>
      </c>
      <c r="I364">
        <f t="shared" si="28"/>
        <v>-0.37169308480591168</v>
      </c>
      <c r="J364">
        <f t="shared" si="29"/>
        <v>-0.27579423519271751</v>
      </c>
      <c r="K364">
        <f t="shared" si="30"/>
        <v>-0.35682580726363922</v>
      </c>
      <c r="M364">
        <f t="shared" si="31"/>
        <v>-0.33477104242075617</v>
      </c>
      <c r="P364" s="16" t="s">
        <v>1685</v>
      </c>
    </row>
    <row r="365" spans="1:16">
      <c r="A365" s="2" t="s">
        <v>36</v>
      </c>
      <c r="B365" s="6" t="s">
        <v>599</v>
      </c>
      <c r="C365" s="7" t="str" cm="1">
        <f t="array" ref="C365">_xlfn.LET(
  _xlpm.s, UPPER(B365),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KKLFKEIVAKGKIPHIILHSP</v>
      </c>
      <c r="D365" s="4">
        <v>329</v>
      </c>
      <c r="E365" s="1">
        <v>19</v>
      </c>
      <c r="F365" s="1">
        <v>25</v>
      </c>
      <c r="G365" s="1">
        <v>24</v>
      </c>
      <c r="I365">
        <f t="shared" si="28"/>
        <v>-0.2463891324765759</v>
      </c>
      <c r="J365">
        <f t="shared" si="29"/>
        <v>-0.57978103839950379</v>
      </c>
      <c r="K365">
        <f t="shared" si="30"/>
        <v>-0.188056161153213</v>
      </c>
      <c r="M365">
        <f t="shared" si="31"/>
        <v>-0.33807544400976425</v>
      </c>
      <c r="P365" s="16" t="s">
        <v>1685</v>
      </c>
    </row>
    <row r="366" spans="1:16">
      <c r="A366" s="2" t="s">
        <v>421</v>
      </c>
      <c r="B366" s="6" t="s">
        <v>984</v>
      </c>
      <c r="C366" s="7" t="str" cm="1">
        <f t="array" ref="C366">_xlfn.LET(
  _xlpm.s, UPPER(B366),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KAFFKDIVKSGKIPHIILHSP</v>
      </c>
      <c r="D366" s="4">
        <v>254</v>
      </c>
      <c r="E366" s="1">
        <v>13</v>
      </c>
      <c r="F366" s="1">
        <v>25</v>
      </c>
      <c r="G366" s="1">
        <v>16</v>
      </c>
      <c r="I366">
        <f t="shared" si="28"/>
        <v>-0.29883719979253187</v>
      </c>
      <c r="J366">
        <f t="shared" si="29"/>
        <v>-0.4674188570694674</v>
      </c>
      <c r="K366">
        <f t="shared" si="30"/>
        <v>-0.25178523887885795</v>
      </c>
      <c r="M366">
        <f t="shared" si="31"/>
        <v>-0.33934709858028578</v>
      </c>
      <c r="P366" s="15" t="s">
        <v>1686</v>
      </c>
    </row>
    <row r="367" spans="1:16">
      <c r="A367" s="2" t="s">
        <v>196</v>
      </c>
      <c r="B367" s="6" t="s">
        <v>759</v>
      </c>
      <c r="C367" s="7" t="str" cm="1">
        <f t="array" ref="C367">_xlfn.LET(
  _xlpm.s, UPPER(B367),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KELFKRIVASGKIPHIILHSP</v>
      </c>
      <c r="D367" s="4">
        <v>1337</v>
      </c>
      <c r="E367" s="1">
        <v>72</v>
      </c>
      <c r="F367" s="1">
        <v>94</v>
      </c>
      <c r="G367" s="1">
        <v>108</v>
      </c>
      <c r="I367">
        <f t="shared" si="28"/>
        <v>-0.27674574631014637</v>
      </c>
      <c r="J367">
        <f t="shared" si="29"/>
        <v>-0.61352870278385285</v>
      </c>
      <c r="K367">
        <f t="shared" si="30"/>
        <v>-0.14377915668987939</v>
      </c>
      <c r="M367">
        <f t="shared" si="31"/>
        <v>-0.34468453526129289</v>
      </c>
      <c r="P367" s="16" t="s">
        <v>1685</v>
      </c>
    </row>
    <row r="368" spans="1:16">
      <c r="A368" s="2" t="s">
        <v>499</v>
      </c>
      <c r="B368" s="6" t="s">
        <v>1062</v>
      </c>
      <c r="C368" s="7" t="str" cm="1">
        <f t="array" ref="C368">_xlfn.LET(
  _xlpm.s, UPPER(B368),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LQLFKDIVKRGKIPHIILHSP</v>
      </c>
      <c r="D368" s="4">
        <v>549</v>
      </c>
      <c r="E368" s="1">
        <v>18</v>
      </c>
      <c r="F368" s="1">
        <v>72</v>
      </c>
      <c r="G368" s="1">
        <v>39</v>
      </c>
      <c r="I368">
        <f t="shared" si="28"/>
        <v>-0.49224667482621642</v>
      </c>
      <c r="J368">
        <f t="shared" si="29"/>
        <v>-0.34276499714039044</v>
      </c>
      <c r="K368">
        <f t="shared" si="30"/>
        <v>-0.19957924233843749</v>
      </c>
      <c r="M368">
        <f t="shared" si="31"/>
        <v>-0.34486363810168141</v>
      </c>
      <c r="P368" s="15" t="s">
        <v>1686</v>
      </c>
    </row>
    <row r="369" spans="1:16">
      <c r="A369" s="2" t="s">
        <v>4</v>
      </c>
      <c r="B369" s="6" t="s">
        <v>567</v>
      </c>
      <c r="C369" s="7" t="str" cm="1">
        <f t="array" ref="C369">_xlfn.LET(
  _xlpm.s, UPPER(B369),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KKKLKEIASSGKIPHIILHSP</v>
      </c>
      <c r="D369" s="4">
        <v>290</v>
      </c>
      <c r="E369" s="1">
        <v>17</v>
      </c>
      <c r="F369" s="1">
        <v>14</v>
      </c>
      <c r="G369" s="1">
        <v>31</v>
      </c>
      <c r="I369">
        <f t="shared" si="28"/>
        <v>-0.23989591200011273</v>
      </c>
      <c r="J369">
        <f t="shared" si="29"/>
        <v>-0.77679511134228518</v>
      </c>
      <c r="K369">
        <f t="shared" si="30"/>
        <v>-2.2107808979528021E-2</v>
      </c>
      <c r="M369">
        <f t="shared" si="31"/>
        <v>-0.34626627744064198</v>
      </c>
      <c r="P369" s="16" t="s">
        <v>1685</v>
      </c>
    </row>
    <row r="370" spans="1:16">
      <c r="A370" s="2" t="s">
        <v>223</v>
      </c>
      <c r="B370" s="6" t="s">
        <v>786</v>
      </c>
      <c r="C370" s="7" t="str" cm="1">
        <f t="array" ref="C370">_xlfn.LET(
  _xlpm.s, UPPER(B370),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KELFRKIAASGKIPHIILHSP</v>
      </c>
      <c r="D370" s="4">
        <v>991</v>
      </c>
      <c r="E370" s="1">
        <v>66</v>
      </c>
      <c r="F370" s="1">
        <v>73</v>
      </c>
      <c r="G370" s="1">
        <v>61</v>
      </c>
      <c r="I370">
        <f t="shared" ref="I370:I433" si="32">LOG(E370/D370)-LOG(182/1787)</f>
        <v>-0.18447655442283706</v>
      </c>
      <c r="J370">
        <f t="shared" ref="J370:J433" si="33">LOG(F370/D370)-LOG(516/1787)</f>
        <v>-0.59327594348638646</v>
      </c>
      <c r="K370">
        <f t="shared" ref="K370:K433" si="34">LOG(G370/D370)-LOG(201/1787)</f>
        <v>-0.26181532438935307</v>
      </c>
      <c r="M370">
        <f t="shared" ref="M370:M433" si="35">AVERAGE(I370:K370)</f>
        <v>-0.3465226074328589</v>
      </c>
      <c r="P370" s="16" t="s">
        <v>1685</v>
      </c>
    </row>
    <row r="371" spans="1:16">
      <c r="A371" s="2" t="s">
        <v>416</v>
      </c>
      <c r="B371" s="6" t="s">
        <v>979</v>
      </c>
      <c r="C371" s="7" t="str" cm="1">
        <f t="array" ref="C371">_xlfn.LET(
  _xlpm.s, UPPER(B371),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KAYFKAIVASGKIPHIILHSP</v>
      </c>
      <c r="D371" s="4">
        <v>671</v>
      </c>
      <c r="E371" s="1">
        <v>144</v>
      </c>
      <c r="F371" s="1">
        <v>28</v>
      </c>
      <c r="G371" s="1">
        <v>22</v>
      </c>
      <c r="I371">
        <f t="shared" si="32"/>
        <v>0.32369313644682707</v>
      </c>
      <c r="J371">
        <f t="shared" si="33"/>
        <v>-0.84008963794833991</v>
      </c>
      <c r="K371">
        <f t="shared" si="34"/>
        <v>-0.53537134426163058</v>
      </c>
      <c r="M371">
        <f t="shared" si="35"/>
        <v>-0.35058928192104782</v>
      </c>
      <c r="P371" s="15" t="s">
        <v>1686</v>
      </c>
    </row>
    <row r="372" spans="1:16">
      <c r="A372" s="2" t="s">
        <v>122</v>
      </c>
      <c r="B372" s="6" t="s">
        <v>685</v>
      </c>
      <c r="C372" s="7" t="str" cm="1">
        <f t="array" ref="C372">_xlfn.LET(
  _xlpm.s, UPPER(B372),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KETMKEIAKSGKIPHIILHSP</v>
      </c>
      <c r="D372" s="4">
        <v>338</v>
      </c>
      <c r="E372" s="1">
        <v>29</v>
      </c>
      <c r="F372" s="1">
        <v>26</v>
      </c>
      <c r="G372" s="1">
        <v>15</v>
      </c>
      <c r="I372">
        <f t="shared" si="32"/>
        <v>-7.4465537858129149E-2</v>
      </c>
      <c r="J372">
        <f t="shared" si="33"/>
        <v>-0.57446850142840378</v>
      </c>
      <c r="K372">
        <f t="shared" si="34"/>
        <v>-0.40389694613681826</v>
      </c>
      <c r="M372">
        <f t="shared" si="35"/>
        <v>-0.35094366180778369</v>
      </c>
      <c r="P372" s="16" t="s">
        <v>1685</v>
      </c>
    </row>
    <row r="373" spans="1:16">
      <c r="A373" s="2" t="s">
        <v>126</v>
      </c>
      <c r="B373" s="6" t="s">
        <v>689</v>
      </c>
      <c r="C373" s="7" t="str" cm="1">
        <f t="array" ref="C373">_xlfn.LET(
  _xlpm.s, UPPER(B373),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KETMKSIAKSGKIPHIILHSP</v>
      </c>
      <c r="D373" s="4">
        <v>359</v>
      </c>
      <c r="E373" s="1">
        <v>33</v>
      </c>
      <c r="F373" s="1">
        <v>12</v>
      </c>
      <c r="G373" s="1">
        <v>34</v>
      </c>
      <c r="I373">
        <f t="shared" si="32"/>
        <v>-4.4527344179862149E-2</v>
      </c>
      <c r="J373">
        <f t="shared" si="33"/>
        <v>-0.9364383516522613</v>
      </c>
      <c r="K373">
        <f t="shared" si="34"/>
        <v>-7.4687036450908684E-2</v>
      </c>
      <c r="M373">
        <f t="shared" si="35"/>
        <v>-0.3518842440943441</v>
      </c>
      <c r="P373" s="16" t="s">
        <v>1685</v>
      </c>
    </row>
    <row r="374" spans="1:16">
      <c r="A374" s="2" t="s">
        <v>41</v>
      </c>
      <c r="B374" s="6" t="s">
        <v>604</v>
      </c>
      <c r="C374" s="7" t="str" cm="1">
        <f t="array" ref="C374">_xlfn.LET(
  _xlpm.s, UPPER(B374),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KKLFKDIVAKGKIPHIILHSP</v>
      </c>
      <c r="D374" s="4">
        <v>383</v>
      </c>
      <c r="E374" s="1">
        <v>22</v>
      </c>
      <c r="F374" s="1">
        <v>18</v>
      </c>
      <c r="G374" s="1">
        <v>41</v>
      </c>
      <c r="I374">
        <f t="shared" si="32"/>
        <v>-0.248722928625847</v>
      </c>
      <c r="J374">
        <f t="shared" si="33"/>
        <v>-0.78845141798688367</v>
      </c>
      <c r="K374">
        <f t="shared" si="34"/>
        <v>-2.1486422163731977E-2</v>
      </c>
      <c r="M374">
        <f t="shared" si="35"/>
        <v>-0.35288692292548757</v>
      </c>
      <c r="P374" s="15" t="s">
        <v>1686</v>
      </c>
    </row>
    <row r="375" spans="1:16">
      <c r="A375" s="2" t="s">
        <v>382</v>
      </c>
      <c r="B375" s="6" t="s">
        <v>945</v>
      </c>
      <c r="C375" s="7" t="str" cm="1">
        <f t="array" ref="C375">_xlfn.LET(
  _xlpm.s, UPPER(B375),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KALFKKIAASGKIPHIILHSP</v>
      </c>
      <c r="D375" s="4">
        <v>603</v>
      </c>
      <c r="E375" s="1">
        <v>27</v>
      </c>
      <c r="F375" s="1">
        <v>36</v>
      </c>
      <c r="G375" s="1">
        <v>65</v>
      </c>
      <c r="I375">
        <f t="shared" si="32"/>
        <v>-0.35690038346059461</v>
      </c>
      <c r="J375">
        <f t="shared" si="33"/>
        <v>-0.684539960494431</v>
      </c>
      <c r="K375">
        <f t="shared" si="34"/>
        <v>-1.8475460412140432E-2</v>
      </c>
      <c r="M375">
        <f t="shared" si="35"/>
        <v>-0.35330526812238866</v>
      </c>
      <c r="P375" s="16" t="s">
        <v>1685</v>
      </c>
    </row>
    <row r="376" spans="1:16">
      <c r="A376" s="2" t="s">
        <v>79</v>
      </c>
      <c r="B376" s="6" t="s">
        <v>642</v>
      </c>
      <c r="C376" s="7" t="str" cm="1">
        <f t="array" ref="C376">_xlfn.LET(
  _xlpm.s, UPPER(B376),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KQRFREIAASGKIPHIILHSP</v>
      </c>
      <c r="D376" s="4">
        <v>1551</v>
      </c>
      <c r="E376" s="1">
        <v>89</v>
      </c>
      <c r="F376" s="1">
        <v>213</v>
      </c>
      <c r="G376" s="1">
        <v>56</v>
      </c>
      <c r="I376">
        <f t="shared" si="32"/>
        <v>-0.24916862664812278</v>
      </c>
      <c r="J376">
        <f t="shared" si="33"/>
        <v>-0.32275734349643426</v>
      </c>
      <c r="K376">
        <f t="shared" si="34"/>
        <v>-0.49349527572224927</v>
      </c>
      <c r="M376">
        <f t="shared" si="35"/>
        <v>-0.35514041528893542</v>
      </c>
      <c r="P376" s="16" t="s">
        <v>1685</v>
      </c>
    </row>
    <row r="377" spans="1:16">
      <c r="A377" s="2" t="s">
        <v>409</v>
      </c>
      <c r="B377" s="6" t="s">
        <v>972</v>
      </c>
      <c r="C377" s="7" t="str" cm="1">
        <f t="array" ref="C377">_xlfn.LET(
  _xlpm.s, UPPER(B377),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KAELKEIAASGKIPHIILHSP</v>
      </c>
      <c r="D377" s="4">
        <v>950</v>
      </c>
      <c r="E377" s="1">
        <v>373</v>
      </c>
      <c r="F377" s="1">
        <v>46</v>
      </c>
      <c r="G377" s="1">
        <v>14</v>
      </c>
      <c r="I377">
        <f t="shared" si="32"/>
        <v>0.58603839104040933</v>
      </c>
      <c r="J377">
        <f t="shared" si="33"/>
        <v>-0.77549092272884079</v>
      </c>
      <c r="K377">
        <f t="shared" si="34"/>
        <v>-0.88266707452545434</v>
      </c>
      <c r="M377">
        <f t="shared" si="35"/>
        <v>-0.35737320207129525</v>
      </c>
      <c r="P377" s="16" t="s">
        <v>1685</v>
      </c>
    </row>
    <row r="378" spans="1:16">
      <c r="A378" s="2" t="s">
        <v>13</v>
      </c>
      <c r="B378" s="6" t="s">
        <v>576</v>
      </c>
      <c r="C378" s="7" t="str" cm="1">
        <f t="array" ref="C378">_xlfn.LET(
  _xlpm.s, UPPER(B378),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KKTFKEIAASGKIPHIILHSP</v>
      </c>
      <c r="D378" s="4">
        <v>257</v>
      </c>
      <c r="E378" s="1">
        <v>21</v>
      </c>
      <c r="F378" s="1">
        <v>10</v>
      </c>
      <c r="G378" s="1">
        <v>22</v>
      </c>
      <c r="I378">
        <f t="shared" si="32"/>
        <v>-9.5660664076805846E-2</v>
      </c>
      <c r="J378">
        <f t="shared" si="33"/>
        <v>-0.87045827245286167</v>
      </c>
      <c r="K378">
        <f t="shared" si="34"/>
        <v>-0.11858194742393291</v>
      </c>
      <c r="M378">
        <f t="shared" si="35"/>
        <v>-0.36156696131786675</v>
      </c>
      <c r="P378" s="16" t="s">
        <v>1685</v>
      </c>
    </row>
    <row r="379" spans="1:16">
      <c r="A379" s="2" t="s">
        <v>188</v>
      </c>
      <c r="B379" s="6" t="s">
        <v>751</v>
      </c>
      <c r="C379" s="7" t="str" cm="1">
        <f t="array" ref="C379">_xlfn.LET(
  _xlpm.s, UPPER(B379),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KELFKNIVKSGKIPHIILHSP</v>
      </c>
      <c r="D379" s="4">
        <v>289</v>
      </c>
      <c r="E379" s="1">
        <v>32</v>
      </c>
      <c r="F379" s="1">
        <v>12</v>
      </c>
      <c r="G379" s="1">
        <v>17</v>
      </c>
      <c r="I379">
        <f t="shared" si="32"/>
        <v>3.6305300083927627E-2</v>
      </c>
      <c r="J379">
        <f t="shared" si="33"/>
        <v>-0.84224174583049016</v>
      </c>
      <c r="K379">
        <f t="shared" si="34"/>
        <v>-0.28152042629311858</v>
      </c>
      <c r="M379">
        <f t="shared" si="35"/>
        <v>-0.36248562401322704</v>
      </c>
      <c r="P379" s="15" t="s">
        <v>1686</v>
      </c>
    </row>
    <row r="380" spans="1:16">
      <c r="A380" s="2" t="s">
        <v>104</v>
      </c>
      <c r="B380" s="6" t="s">
        <v>667</v>
      </c>
      <c r="C380" s="7" t="str" cm="1">
        <f t="array" ref="C380">_xlfn.LET(
  _xlpm.s, UPPER(B380),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KQFFKDIVASGKIPHIILHSP</v>
      </c>
      <c r="D380" s="4">
        <v>284</v>
      </c>
      <c r="E380" s="1">
        <v>21</v>
      </c>
      <c r="F380" s="1">
        <v>7</v>
      </c>
      <c r="G380" s="1">
        <v>42</v>
      </c>
      <c r="I380">
        <f t="shared" si="32"/>
        <v>-0.13904588079254898</v>
      </c>
      <c r="J380">
        <f t="shared" si="33"/>
        <v>-1.0687454491543478</v>
      </c>
      <c r="K380">
        <f t="shared" si="34"/>
        <v>0.11885944543601812</v>
      </c>
      <c r="M380">
        <f t="shared" si="35"/>
        <v>-0.36297729483695956</v>
      </c>
      <c r="P380" s="15" t="s">
        <v>1686</v>
      </c>
    </row>
    <row r="381" spans="1:16">
      <c r="A381" s="2" t="s">
        <v>19</v>
      </c>
      <c r="B381" s="6" t="s">
        <v>582</v>
      </c>
      <c r="C381" s="7" t="str" cm="1">
        <f t="array" ref="C381">_xlfn.LET(
  _xlpm.s, UPPER(B381),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KKRFREIAQSGKIPHIILHSP</v>
      </c>
      <c r="D381" s="4">
        <v>768</v>
      </c>
      <c r="E381" s="1">
        <v>48</v>
      </c>
      <c r="F381" s="1">
        <v>44</v>
      </c>
      <c r="G381" s="1">
        <v>55</v>
      </c>
      <c r="I381">
        <f t="shared" si="32"/>
        <v>-0.21206681813535533</v>
      </c>
      <c r="J381">
        <f t="shared" si="33"/>
        <v>-0.7024336926668916</v>
      </c>
      <c r="K381">
        <f t="shared" si="34"/>
        <v>-0.19607003545211277</v>
      </c>
      <c r="M381">
        <f t="shared" si="35"/>
        <v>-0.37019018208478655</v>
      </c>
      <c r="P381" s="16" t="s">
        <v>1685</v>
      </c>
    </row>
    <row r="382" spans="1:16">
      <c r="A382" s="2" t="s">
        <v>405</v>
      </c>
      <c r="B382" s="6" t="s">
        <v>968</v>
      </c>
      <c r="C382" s="7" t="str" cm="1">
        <f t="array" ref="C382">_xlfn.LET(
  _xlpm.s, UPPER(B382),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KAEMRKIAESGKIPHIILHSP</v>
      </c>
      <c r="D382" s="4">
        <v>860</v>
      </c>
      <c r="E382" s="1">
        <v>46</v>
      </c>
      <c r="F382" s="1">
        <v>65</v>
      </c>
      <c r="G382" s="1">
        <v>54</v>
      </c>
      <c r="I382">
        <f t="shared" si="32"/>
        <v>-0.27968745504142412</v>
      </c>
      <c r="J382">
        <f t="shared" si="33"/>
        <v>-0.58211024372227926</v>
      </c>
      <c r="K382">
        <f t="shared" si="34"/>
        <v>-0.25317619633544397</v>
      </c>
      <c r="M382">
        <f t="shared" si="35"/>
        <v>-0.3716579650330491</v>
      </c>
      <c r="P382" s="16" t="s">
        <v>1685</v>
      </c>
    </row>
    <row r="383" spans="1:16">
      <c r="A383" s="2" t="s">
        <v>186</v>
      </c>
      <c r="B383" s="6" t="s">
        <v>749</v>
      </c>
      <c r="C383" s="7" t="str" cm="1">
        <f t="array" ref="C383">_xlfn.LET(
  _xlpm.s, UPPER(B383),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KELFKNIVKKGKIPHIILHSP</v>
      </c>
      <c r="D383" s="4">
        <v>135</v>
      </c>
      <c r="E383" s="1">
        <v>9</v>
      </c>
      <c r="F383" s="1">
        <v>17</v>
      </c>
      <c r="G383" s="1">
        <v>4</v>
      </c>
      <c r="I383">
        <f t="shared" si="32"/>
        <v>-0.18403809453511188</v>
      </c>
      <c r="J383">
        <f t="shared" si="33"/>
        <v>-0.36040999623829928</v>
      </c>
      <c r="K383">
        <f t="shared" si="34"/>
        <v>-0.57934528208188829</v>
      </c>
      <c r="M383">
        <f t="shared" si="35"/>
        <v>-0.37459779095176654</v>
      </c>
      <c r="P383" s="15" t="s">
        <v>1686</v>
      </c>
    </row>
    <row r="384" spans="1:16">
      <c r="A384" s="2" t="s">
        <v>178</v>
      </c>
      <c r="B384" s="6" t="s">
        <v>741</v>
      </c>
      <c r="C384" s="7" t="str" cm="1">
        <f t="array" ref="C384">_xlfn.LET(
  _xlpm.s, UPPER(B384),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KELMRSIANSGKIPHIILHSP</v>
      </c>
      <c r="D384" s="4">
        <v>985</v>
      </c>
      <c r="E384" s="1">
        <v>69</v>
      </c>
      <c r="F384" s="1">
        <v>28</v>
      </c>
      <c r="G384" s="1">
        <v>122</v>
      </c>
      <c r="I384">
        <f t="shared" si="32"/>
        <v>-0.16253397523978697</v>
      </c>
      <c r="J384">
        <f t="shared" si="33"/>
        <v>-1.0068033482769594</v>
      </c>
      <c r="K384">
        <f t="shared" si="34"/>
        <v>4.1852095262291833E-2</v>
      </c>
      <c r="M384">
        <f t="shared" si="35"/>
        <v>-0.37582840941815149</v>
      </c>
      <c r="P384" s="16" t="s">
        <v>1685</v>
      </c>
    </row>
    <row r="385" spans="1:16">
      <c r="A385" s="2" t="s">
        <v>69</v>
      </c>
      <c r="B385" s="6" t="s">
        <v>632</v>
      </c>
      <c r="C385" s="7" t="str" cm="1">
        <f t="array" ref="C385">_xlfn.LET(
  _xlpm.s, UPPER(B385),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KTLFKEIVKKGKIPHIILHSP</v>
      </c>
      <c r="D385" s="4">
        <v>193</v>
      </c>
      <c r="E385" s="1">
        <v>17</v>
      </c>
      <c r="F385" s="1">
        <v>8</v>
      </c>
      <c r="G385" s="1">
        <v>13</v>
      </c>
      <c r="I385">
        <f t="shared" si="32"/>
        <v>-6.3055223108930303E-2</v>
      </c>
      <c r="J385">
        <f t="shared" si="33"/>
        <v>-0.84299247113739717</v>
      </c>
      <c r="K385">
        <f t="shared" si="34"/>
        <v>-0.22268546161578162</v>
      </c>
      <c r="M385">
        <f t="shared" si="35"/>
        <v>-0.37624438528736964</v>
      </c>
      <c r="P385" s="15" t="s">
        <v>1686</v>
      </c>
    </row>
    <row r="386" spans="1:16">
      <c r="A386" s="2" t="s">
        <v>333</v>
      </c>
      <c r="B386" s="6" t="s">
        <v>896</v>
      </c>
      <c r="C386" s="7" t="str" cm="1">
        <f t="array" ref="C386">_xlfn.LET(
  _xlpm.s, UPPER(B386),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KEFFRSIVASGKIPHIILHSP</v>
      </c>
      <c r="D386" s="4">
        <v>435</v>
      </c>
      <c r="E386" s="1">
        <v>27</v>
      </c>
      <c r="F386" s="1">
        <v>15</v>
      </c>
      <c r="G386" s="1">
        <v>48</v>
      </c>
      <c r="I386">
        <f t="shared" si="32"/>
        <v>-0.2150723282750806</v>
      </c>
      <c r="J386">
        <f t="shared" si="33"/>
        <v>-0.92292314702052314</v>
      </c>
      <c r="K386">
        <f t="shared" si="34"/>
        <v>-8.3195244938948365E-3</v>
      </c>
      <c r="M386">
        <f t="shared" si="35"/>
        <v>-0.38210499992983288</v>
      </c>
      <c r="P386" s="15" t="s">
        <v>1686</v>
      </c>
    </row>
    <row r="387" spans="1:16">
      <c r="A387" s="2" t="s">
        <v>26</v>
      </c>
      <c r="B387" s="6" t="s">
        <v>589</v>
      </c>
      <c r="C387" s="7" t="str" cm="1">
        <f t="array" ref="C387">_xlfn.LET(
  _xlpm.s, UPPER(B387),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KKLMKEIASSGKIPHIILHSP</v>
      </c>
      <c r="D387" s="4">
        <v>344</v>
      </c>
      <c r="E387" s="1">
        <v>51</v>
      </c>
      <c r="F387" s="1">
        <v>11</v>
      </c>
      <c r="G387" s="1">
        <v>17</v>
      </c>
      <c r="I387">
        <f t="shared" si="32"/>
        <v>0.16306489804697577</v>
      </c>
      <c r="J387">
        <f t="shared" si="33"/>
        <v>-0.9556909065348721</v>
      </c>
      <c r="K387">
        <f t="shared" si="34"/>
        <v>-0.35718102610810099</v>
      </c>
      <c r="M387">
        <f t="shared" si="35"/>
        <v>-0.38326901153199905</v>
      </c>
      <c r="P387" s="16" t="s">
        <v>1685</v>
      </c>
    </row>
    <row r="388" spans="1:16">
      <c r="A388" s="2" t="s">
        <v>194</v>
      </c>
      <c r="B388" s="6" t="s">
        <v>757</v>
      </c>
      <c r="C388" s="7" t="str" cm="1">
        <f t="array" ref="C388">_xlfn.LET(
  _xlpm.s, UPPER(B388),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KELFKQICASGKIPHIILHSP</v>
      </c>
      <c r="D388" s="4">
        <v>737</v>
      </c>
      <c r="E388" s="1">
        <v>46</v>
      </c>
      <c r="F388" s="1">
        <v>52</v>
      </c>
      <c r="G388" s="1">
        <v>39</v>
      </c>
      <c r="I388">
        <f t="shared" si="32"/>
        <v>-0.21265649165690803</v>
      </c>
      <c r="J388">
        <f t="shared" si="33"/>
        <v>-0.61198929334581942</v>
      </c>
      <c r="K388">
        <f t="shared" si="34"/>
        <v>-0.32747438574739696</v>
      </c>
      <c r="M388">
        <f t="shared" si="35"/>
        <v>-0.38404005691670812</v>
      </c>
      <c r="P388" s="16" t="s">
        <v>1685</v>
      </c>
    </row>
    <row r="389" spans="1:16">
      <c r="A389" s="2" t="s">
        <v>310</v>
      </c>
      <c r="B389" s="6" t="s">
        <v>873</v>
      </c>
      <c r="C389" s="7" t="str" cm="1">
        <f t="array" ref="C389">_xlfn.LET(
  _xlpm.s, UPPER(B389),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KEFFKAIVAKGKIPHIILHSP</v>
      </c>
      <c r="D389" s="4">
        <v>274</v>
      </c>
      <c r="E389" s="1">
        <v>11</v>
      </c>
      <c r="F389" s="1">
        <v>12</v>
      </c>
      <c r="G389" s="1">
        <v>36</v>
      </c>
      <c r="I389">
        <f t="shared" si="32"/>
        <v>-0.40430471314159355</v>
      </c>
      <c r="J389">
        <f t="shared" si="33"/>
        <v>-0.8190944658943301</v>
      </c>
      <c r="K389">
        <f t="shared" si="34"/>
        <v>6.7480433032054643E-2</v>
      </c>
      <c r="M389">
        <f t="shared" si="35"/>
        <v>-0.38530624866795632</v>
      </c>
      <c r="P389" s="15" t="s">
        <v>1686</v>
      </c>
    </row>
    <row r="390" spans="1:16">
      <c r="A390" s="2" t="s">
        <v>30</v>
      </c>
      <c r="B390" s="6" t="s">
        <v>593</v>
      </c>
      <c r="C390" s="7" t="str" cm="1">
        <f t="array" ref="C390">_xlfn.LET(
  _xlpm.s, UPPER(B390),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KKLFKEIAKSGKIPHIILHSP</v>
      </c>
      <c r="D390" s="4">
        <v>240</v>
      </c>
      <c r="E390" s="1">
        <v>19</v>
      </c>
      <c r="F390" s="1">
        <v>12</v>
      </c>
      <c r="G390" s="1">
        <v>14</v>
      </c>
      <c r="I390">
        <f t="shared" si="32"/>
        <v>-0.10940447623820759</v>
      </c>
      <c r="J390">
        <f t="shared" si="33"/>
        <v>-0.76155514478554831</v>
      </c>
      <c r="K390">
        <f t="shared" si="34"/>
        <v>-0.28515471094821265</v>
      </c>
      <c r="M390">
        <f t="shared" si="35"/>
        <v>-0.3853714439906562</v>
      </c>
      <c r="P390" s="16" t="s">
        <v>1685</v>
      </c>
    </row>
    <row r="391" spans="1:16">
      <c r="A391" s="2" t="s">
        <v>210</v>
      </c>
      <c r="B391" s="6" t="s">
        <v>773</v>
      </c>
      <c r="C391" s="7" t="str" cm="1">
        <f t="array" ref="C391">_xlfn.LET(
  _xlpm.s, UPPER(B391),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KELFKAIVARGKIPHIILHSP</v>
      </c>
      <c r="D391" s="4">
        <v>1009</v>
      </c>
      <c r="E391" s="1">
        <v>47</v>
      </c>
      <c r="F391" s="1">
        <v>123</v>
      </c>
      <c r="G391" s="1">
        <v>41</v>
      </c>
      <c r="I391">
        <f t="shared" si="32"/>
        <v>-0.33974014378062356</v>
      </c>
      <c r="J391">
        <f t="shared" si="33"/>
        <v>-0.37451120391907966</v>
      </c>
      <c r="K391">
        <f t="shared" si="34"/>
        <v>-0.44217881443201978</v>
      </c>
      <c r="M391">
        <f t="shared" si="35"/>
        <v>-0.38547672071057432</v>
      </c>
      <c r="P391" s="15" t="s">
        <v>1686</v>
      </c>
    </row>
    <row r="392" spans="1:16">
      <c r="A392" s="2" t="s">
        <v>246</v>
      </c>
      <c r="B392" s="6" t="s">
        <v>809</v>
      </c>
      <c r="C392" s="7" t="str" cm="1">
        <f t="array" ref="C392">_xlfn.LET(
  _xlpm.s, UPPER(B392),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KEEFKKIVASGKIPHIILHSP</v>
      </c>
      <c r="D392" s="4">
        <v>286</v>
      </c>
      <c r="E392" s="1">
        <v>20</v>
      </c>
      <c r="F392" s="1">
        <v>3</v>
      </c>
      <c r="G392" s="1">
        <v>86</v>
      </c>
      <c r="I392">
        <f t="shared" si="32"/>
        <v>-0.1632828729444924</v>
      </c>
      <c r="J392">
        <f t="shared" si="33"/>
        <v>-1.4397699275309477</v>
      </c>
      <c r="K392">
        <f t="shared" si="34"/>
        <v>0.42706091319967998</v>
      </c>
      <c r="M392">
        <f t="shared" si="35"/>
        <v>-0.39199729575858672</v>
      </c>
      <c r="P392" s="16" t="s">
        <v>1685</v>
      </c>
    </row>
    <row r="393" spans="1:16">
      <c r="A393" s="2" t="s">
        <v>232</v>
      </c>
      <c r="B393" s="6" t="s">
        <v>795</v>
      </c>
      <c r="C393" s="7" t="str" cm="1">
        <f t="array" ref="C393">_xlfn.LET(
  _xlpm.s, UPPER(B393),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KELFRSIVKKGKIPHIILHSP</v>
      </c>
      <c r="D393" s="4">
        <v>409</v>
      </c>
      <c r="E393" s="1">
        <v>25</v>
      </c>
      <c r="F393" s="1">
        <v>1</v>
      </c>
      <c r="G393" s="1">
        <v>598</v>
      </c>
      <c r="I393">
        <f t="shared" si="32"/>
        <v>-0.22173013481473469</v>
      </c>
      <c r="J393">
        <f t="shared" si="33"/>
        <v>-2.072248457128909</v>
      </c>
      <c r="K393">
        <f t="shared" si="34"/>
        <v>1.1139063710662243</v>
      </c>
      <c r="M393">
        <f t="shared" si="35"/>
        <v>-0.39335740695913973</v>
      </c>
      <c r="P393" s="15" t="s">
        <v>1686</v>
      </c>
    </row>
    <row r="394" spans="1:16">
      <c r="A394" s="2" t="s">
        <v>513</v>
      </c>
      <c r="B394" s="6" t="s">
        <v>1076</v>
      </c>
      <c r="C394" s="7" t="str" cm="1">
        <f t="array" ref="C394">_xlfn.LET(
  _xlpm.s, UPPER(B394),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LELFKNIVKKGKIPHIILHSP</v>
      </c>
      <c r="D394" s="4">
        <v>175</v>
      </c>
      <c r="E394" s="1">
        <v>12</v>
      </c>
      <c r="F394" s="1">
        <v>8</v>
      </c>
      <c r="G394" s="1">
        <v>12</v>
      </c>
      <c r="I394">
        <f t="shared" si="32"/>
        <v>-0.17180363811810007</v>
      </c>
      <c r="J394">
        <f t="shared" si="33"/>
        <v>-0.80047321081591793</v>
      </c>
      <c r="K394">
        <f t="shared" si="34"/>
        <v>-0.21492830755351422</v>
      </c>
      <c r="M394">
        <f t="shared" si="35"/>
        <v>-0.39573505216251076</v>
      </c>
      <c r="P394" s="15" t="s">
        <v>1686</v>
      </c>
    </row>
    <row r="395" spans="1:16">
      <c r="A395" s="2" t="s">
        <v>503</v>
      </c>
      <c r="B395" s="6" t="s">
        <v>1066</v>
      </c>
      <c r="C395" s="7" t="str" cm="1">
        <f t="array" ref="C395">_xlfn.LET(
  _xlpm.s, UPPER(B395),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LETMKKIAESGKIPHIILHSP</v>
      </c>
      <c r="D395" s="4">
        <v>440</v>
      </c>
      <c r="E395" s="1">
        <v>101</v>
      </c>
      <c r="F395" s="1">
        <v>18</v>
      </c>
      <c r="G395" s="1">
        <v>10</v>
      </c>
      <c r="I395">
        <f t="shared" si="32"/>
        <v>0.35292186181702467</v>
      </c>
      <c r="J395">
        <f t="shared" si="33"/>
        <v>-0.84870532050444847</v>
      </c>
      <c r="K395">
        <f t="shared" si="34"/>
        <v>-0.69452418140103211</v>
      </c>
      <c r="M395">
        <f t="shared" si="35"/>
        <v>-0.39676921336281862</v>
      </c>
      <c r="P395" s="16" t="s">
        <v>1685</v>
      </c>
    </row>
    <row r="396" spans="1:16">
      <c r="A396" s="2" t="s">
        <v>353</v>
      </c>
      <c r="B396" s="6" t="s">
        <v>916</v>
      </c>
      <c r="C396" s="7" t="str" cm="1">
        <f t="array" ref="C396">_xlfn.LET(
  _xlpm.s, UPPER(B396),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KATLKEIAASGKIPHIILHSP</v>
      </c>
      <c r="D396" s="4">
        <v>790</v>
      </c>
      <c r="E396" s="1">
        <v>17</v>
      </c>
      <c r="F396" s="1">
        <v>100</v>
      </c>
      <c r="G396" s="1">
        <v>61</v>
      </c>
      <c r="I396">
        <f t="shared" si="32"/>
        <v>-0.67512500539159803</v>
      </c>
      <c r="J396">
        <f t="shared" si="33"/>
        <v>-0.35815224041200844</v>
      </c>
      <c r="K396">
        <f t="shared" si="34"/>
        <v>-0.16336876119451915</v>
      </c>
      <c r="M396">
        <f t="shared" si="35"/>
        <v>-0.39888200233270849</v>
      </c>
      <c r="P396" s="16" t="s">
        <v>1685</v>
      </c>
    </row>
    <row r="397" spans="1:16">
      <c r="A397" s="2" t="s">
        <v>17</v>
      </c>
      <c r="B397" s="6" t="s">
        <v>580</v>
      </c>
      <c r="C397" s="7" t="str" cm="1">
        <f t="array" ref="C397">_xlfn.LET(
  _xlpm.s, UPPER(B397),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KKRFKEIAAAGKIPHIILHSP</v>
      </c>
      <c r="D397" s="4">
        <v>506</v>
      </c>
      <c r="E397" s="1">
        <v>45</v>
      </c>
      <c r="F397" s="1">
        <v>42</v>
      </c>
      <c r="G397" s="1">
        <v>14</v>
      </c>
      <c r="I397">
        <f t="shared" si="32"/>
        <v>-5.8884838543886042E-2</v>
      </c>
      <c r="J397">
        <f t="shared" si="33"/>
        <v>-0.54142637556346573</v>
      </c>
      <c r="K397">
        <f t="shared" si="34"/>
        <v>-0.60909398607640575</v>
      </c>
      <c r="M397">
        <f t="shared" si="35"/>
        <v>-0.40313506672791916</v>
      </c>
      <c r="P397" s="16" t="s">
        <v>1685</v>
      </c>
    </row>
    <row r="398" spans="1:16">
      <c r="A398" s="2" t="s">
        <v>68</v>
      </c>
      <c r="B398" s="6" t="s">
        <v>631</v>
      </c>
      <c r="C398" s="7" t="str" cm="1">
        <f t="array" ref="C398">_xlfn.LET(
  _xlpm.s, UPPER(B398),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KNRMKAIAASGKIPHIILHSP</v>
      </c>
      <c r="D398" s="4">
        <v>1008</v>
      </c>
      <c r="E398" s="1">
        <v>60</v>
      </c>
      <c r="F398" s="1">
        <v>40</v>
      </c>
      <c r="G398" s="1">
        <v>82</v>
      </c>
      <c r="I398">
        <f t="shared" si="32"/>
        <v>-0.23325611720529338</v>
      </c>
      <c r="J398">
        <f t="shared" si="33"/>
        <v>-0.86192568990311125</v>
      </c>
      <c r="K398">
        <f t="shared" si="34"/>
        <v>-0.14071818464063446</v>
      </c>
      <c r="M398">
        <f t="shared" si="35"/>
        <v>-0.4119666639163464</v>
      </c>
      <c r="P398" s="16" t="s">
        <v>1685</v>
      </c>
    </row>
    <row r="399" spans="1:16">
      <c r="A399" s="2" t="s">
        <v>489</v>
      </c>
      <c r="B399" s="6" t="s">
        <v>1052</v>
      </c>
      <c r="C399" s="7" t="str" cm="1">
        <f t="array" ref="C399">_xlfn.LET(
  _xlpm.s, UPPER(B399),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LKYFKDIVKSGKIPHIILHSP</v>
      </c>
      <c r="D399" s="4">
        <v>184</v>
      </c>
      <c r="E399" s="1">
        <v>9</v>
      </c>
      <c r="F399" s="1">
        <v>7</v>
      </c>
      <c r="G399" s="1">
        <v>19</v>
      </c>
      <c r="I399">
        <f t="shared" si="32"/>
        <v>-0.31852214904964216</v>
      </c>
      <c r="J399">
        <f t="shared" si="33"/>
        <v>-0.88024493211684673</v>
      </c>
      <c r="K399">
        <f t="shared" si="34"/>
        <v>-3.7135726971552208E-2</v>
      </c>
      <c r="M399">
        <f t="shared" si="35"/>
        <v>-0.41196760271268035</v>
      </c>
      <c r="P399" s="15" t="s">
        <v>1686</v>
      </c>
    </row>
    <row r="400" spans="1:16">
      <c r="A400" s="2" t="s">
        <v>40</v>
      </c>
      <c r="B400" s="6" t="s">
        <v>603</v>
      </c>
      <c r="C400" s="7" t="str" cm="1">
        <f t="array" ref="C400">_xlfn.LET(
  _xlpm.s, UPPER(B400),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KKLFKDIVKSGKIPHIILHSP</v>
      </c>
      <c r="D400" s="4">
        <v>258</v>
      </c>
      <c r="E400" s="1">
        <v>19</v>
      </c>
      <c r="F400" s="1">
        <v>10</v>
      </c>
      <c r="G400" s="1">
        <v>17</v>
      </c>
      <c r="I400">
        <f t="shared" si="32"/>
        <v>-0.14081294048983173</v>
      </c>
      <c r="J400">
        <f t="shared" si="33"/>
        <v>-0.87214485508479733</v>
      </c>
      <c r="K400">
        <f t="shared" si="34"/>
        <v>-0.23224228949980086</v>
      </c>
      <c r="M400">
        <f t="shared" si="35"/>
        <v>-0.41506669502480992</v>
      </c>
      <c r="P400" s="15" t="s">
        <v>1686</v>
      </c>
    </row>
    <row r="401" spans="1:16">
      <c r="A401" s="2" t="s">
        <v>510</v>
      </c>
      <c r="B401" s="6" t="s">
        <v>1073</v>
      </c>
      <c r="C401" s="7" t="str" cm="1">
        <f t="array" ref="C401">_xlfn.LET(
  _xlpm.s, UPPER(B401),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LERFKSIAKSGKIPHIILHSP</v>
      </c>
      <c r="D401" s="4">
        <v>476</v>
      </c>
      <c r="E401" s="1">
        <v>28</v>
      </c>
      <c r="F401" s="1">
        <v>18</v>
      </c>
      <c r="G401" s="1">
        <v>40</v>
      </c>
      <c r="I401">
        <f t="shared" si="32"/>
        <v>-0.23839575685770442</v>
      </c>
      <c r="J401">
        <f t="shared" si="33"/>
        <v>-0.88285959673875414</v>
      </c>
      <c r="K401">
        <f t="shared" si="34"/>
        <v>-0.1266184663073755</v>
      </c>
      <c r="M401">
        <f t="shared" si="35"/>
        <v>-0.41595793996794467</v>
      </c>
      <c r="P401" s="16" t="s">
        <v>1685</v>
      </c>
    </row>
    <row r="402" spans="1:16">
      <c r="A402" s="2" t="s">
        <v>501</v>
      </c>
      <c r="B402" s="6" t="s">
        <v>1064</v>
      </c>
      <c r="C402" s="7" t="str" cm="1">
        <f t="array" ref="C402">_xlfn.LET(
  _xlpm.s, UPPER(B402),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LQYFKDIVASGKIPHIILHSP</v>
      </c>
      <c r="D402" s="4">
        <v>362</v>
      </c>
      <c r="E402" s="1">
        <v>13</v>
      </c>
      <c r="F402" s="1">
        <v>10</v>
      </c>
      <c r="G402" s="1">
        <v>67</v>
      </c>
      <c r="I402">
        <f t="shared" si="32"/>
        <v>-0.4527120537057594</v>
      </c>
      <c r="J402">
        <f t="shared" si="33"/>
        <v>-1.019233719654733</v>
      </c>
      <c r="K402">
        <f t="shared" si="34"/>
        <v>0.21629472725281607</v>
      </c>
      <c r="M402">
        <f t="shared" si="35"/>
        <v>-0.41855034870255875</v>
      </c>
      <c r="P402" s="15" t="s">
        <v>1686</v>
      </c>
    </row>
    <row r="403" spans="1:16">
      <c r="A403" s="2" t="s">
        <v>207</v>
      </c>
      <c r="B403" s="6" t="s">
        <v>770</v>
      </c>
      <c r="C403" s="7" t="str" cm="1">
        <f t="array" ref="C403">_xlfn.LET(
  _xlpm.s, UPPER(B403),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KELFKAIVKRGKIPHIILHSP</v>
      </c>
      <c r="D403" s="4">
        <v>658</v>
      </c>
      <c r="E403" s="1">
        <v>51</v>
      </c>
      <c r="F403" s="1">
        <v>21</v>
      </c>
      <c r="G403" s="1">
        <v>47</v>
      </c>
      <c r="I403">
        <f t="shared" si="32"/>
        <v>-0.11860255299544975</v>
      </c>
      <c r="J403">
        <f t="shared" si="33"/>
        <v>-0.95653174800160323</v>
      </c>
      <c r="K403">
        <f t="shared" si="34"/>
        <v>-0.19719954059308265</v>
      </c>
      <c r="M403">
        <f t="shared" si="35"/>
        <v>-0.42411128053004515</v>
      </c>
      <c r="P403" s="15" t="s">
        <v>1686</v>
      </c>
    </row>
    <row r="404" spans="1:16">
      <c r="A404" s="2" t="s">
        <v>86</v>
      </c>
      <c r="B404" s="6" t="s">
        <v>649</v>
      </c>
      <c r="C404" s="7" t="str" cm="1">
        <f t="array" ref="C404">_xlfn.LET(
  _xlpm.s, UPPER(B404),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KQLLLEIAKSGKIPHIILHSP</v>
      </c>
      <c r="D404" s="4">
        <v>486</v>
      </c>
      <c r="E404" s="1">
        <v>46</v>
      </c>
      <c r="F404" s="1">
        <v>15</v>
      </c>
      <c r="G404" s="1">
        <v>29</v>
      </c>
      <c r="I404">
        <f t="shared" si="32"/>
        <v>-3.1825273060149817E-2</v>
      </c>
      <c r="J404">
        <f t="shared" si="33"/>
        <v>-0.97107015932817931</v>
      </c>
      <c r="K404">
        <f t="shared" si="34"/>
        <v>-0.27530977627818198</v>
      </c>
      <c r="M404">
        <f t="shared" si="35"/>
        <v>-0.42606840288883707</v>
      </c>
      <c r="P404" s="16" t="s">
        <v>1685</v>
      </c>
    </row>
    <row r="405" spans="1:16">
      <c r="A405" s="2" t="s">
        <v>389</v>
      </c>
      <c r="B405" s="6" t="s">
        <v>952</v>
      </c>
      <c r="C405" s="7" t="str" cm="1">
        <f t="array" ref="C405">_xlfn.LET(
  _xlpm.s, UPPER(B405),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KALFKAIVKRGKIPHIILHSP</v>
      </c>
      <c r="D405" s="4">
        <v>854</v>
      </c>
      <c r="E405" s="1">
        <v>174</v>
      </c>
      <c r="F405" s="1">
        <v>23</v>
      </c>
      <c r="G405" s="1">
        <v>27</v>
      </c>
      <c r="I405">
        <f t="shared" si="32"/>
        <v>0.30114454211416408</v>
      </c>
      <c r="J405">
        <f t="shared" si="33"/>
        <v>-1.0302551837929794</v>
      </c>
      <c r="K405">
        <f t="shared" si="34"/>
        <v>-0.55116561144486242</v>
      </c>
      <c r="M405">
        <f t="shared" si="35"/>
        <v>-0.4267587510412259</v>
      </c>
      <c r="P405" s="15" t="s">
        <v>1686</v>
      </c>
    </row>
    <row r="406" spans="1:16">
      <c r="A406" s="2" t="s">
        <v>143</v>
      </c>
      <c r="B406" s="6" t="s">
        <v>706</v>
      </c>
      <c r="C406" s="7" t="str" cm="1">
        <f t="array" ref="C406">_xlfn.LET(
  _xlpm.s, UPPER(B406),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KERMKAIAASGKIPHIILHSP</v>
      </c>
      <c r="D406" s="4">
        <v>1534</v>
      </c>
      <c r="E406" s="1">
        <v>150</v>
      </c>
      <c r="F406" s="1">
        <v>48</v>
      </c>
      <c r="G406" s="1">
        <v>84</v>
      </c>
      <c r="I406">
        <f t="shared" si="32"/>
        <v>-1.7680936036711392E-2</v>
      </c>
      <c r="J406">
        <f t="shared" si="33"/>
        <v>-0.96510927135894187</v>
      </c>
      <c r="K406">
        <f t="shared" si="34"/>
        <v>-0.31261757846592508</v>
      </c>
      <c r="M406">
        <f t="shared" si="35"/>
        <v>-0.43180259528719284</v>
      </c>
      <c r="P406" s="16" t="s">
        <v>1685</v>
      </c>
    </row>
    <row r="407" spans="1:16">
      <c r="A407" s="2" t="s">
        <v>124</v>
      </c>
      <c r="B407" s="6" t="s">
        <v>687</v>
      </c>
      <c r="C407" s="7" t="str" cm="1">
        <f t="array" ref="C407">_xlfn.LET(
  _xlpm.s, UPPER(B407),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KETMKAIADSGKIPHIILHSP</v>
      </c>
      <c r="D407" s="4">
        <v>654</v>
      </c>
      <c r="E407" s="1">
        <v>40</v>
      </c>
      <c r="F407" s="1">
        <v>22</v>
      </c>
      <c r="G407" s="1">
        <v>53</v>
      </c>
      <c r="I407">
        <f t="shared" si="32"/>
        <v>-0.22146459247573547</v>
      </c>
      <c r="J407">
        <f t="shared" si="33"/>
        <v>-0.9336802166236281</v>
      </c>
      <c r="K407">
        <f t="shared" si="34"/>
        <v>-0.14237338363832297</v>
      </c>
      <c r="M407">
        <f t="shared" si="35"/>
        <v>-0.43250606424589549</v>
      </c>
      <c r="P407" s="16" t="s">
        <v>1685</v>
      </c>
    </row>
    <row r="408" spans="1:16">
      <c r="A408" s="2" t="s">
        <v>374</v>
      </c>
      <c r="B408" s="6" t="s">
        <v>937</v>
      </c>
      <c r="C408" s="7" t="str" cm="1">
        <f t="array" ref="C408">_xlfn.LET(
  _xlpm.s, UPPER(B408),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KALMREIAESGKIPHIILHSP</v>
      </c>
      <c r="D408" s="4">
        <v>1629</v>
      </c>
      <c r="E408" s="1">
        <v>215</v>
      </c>
      <c r="F408" s="1">
        <v>32</v>
      </c>
      <c r="G408" s="1">
        <v>103</v>
      </c>
      <c r="I408">
        <f t="shared" si="32"/>
        <v>0.11257054012766543</v>
      </c>
      <c r="J408">
        <f t="shared" si="33"/>
        <v>-1.1672962551101707</v>
      </c>
      <c r="K408">
        <f t="shared" si="34"/>
        <v>-0.25015536451818177</v>
      </c>
      <c r="M408">
        <f t="shared" si="35"/>
        <v>-0.43496035983356229</v>
      </c>
      <c r="P408" s="16" t="s">
        <v>1685</v>
      </c>
    </row>
    <row r="409" spans="1:16">
      <c r="A409" s="2" t="s">
        <v>376</v>
      </c>
      <c r="B409" s="6" t="s">
        <v>939</v>
      </c>
      <c r="C409" s="7" t="str" cm="1">
        <f t="array" ref="C409">_xlfn.LET(
  _xlpm.s, UPPER(B409),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KALIKQIVASGKIPHIILHSP</v>
      </c>
      <c r="D409" s="4">
        <v>1185</v>
      </c>
      <c r="E409" s="1">
        <v>144</v>
      </c>
      <c r="F409" s="1">
        <v>26</v>
      </c>
      <c r="G409" s="1">
        <v>71</v>
      </c>
      <c r="I409">
        <f t="shared" si="32"/>
        <v>7.6697306269696397E-2</v>
      </c>
      <c r="J409">
        <f t="shared" si="33"/>
        <v>-1.1192701514968717</v>
      </c>
      <c r="K409">
        <f t="shared" si="34"/>
        <v>-0.27353150654189196</v>
      </c>
      <c r="M409">
        <f t="shared" si="35"/>
        <v>-0.43870145058968907</v>
      </c>
      <c r="P409" s="16" t="s">
        <v>1685</v>
      </c>
    </row>
    <row r="410" spans="1:16">
      <c r="A410" s="2" t="s">
        <v>297</v>
      </c>
      <c r="B410" s="6" t="s">
        <v>860</v>
      </c>
      <c r="C410" s="7" t="str" cm="1">
        <f t="array" ref="C410">_xlfn.LET(
  _xlpm.s, UPPER(B410),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KEFFKQIVASGKIPHIILHSP</v>
      </c>
      <c r="D410" s="4">
        <v>269</v>
      </c>
      <c r="E410" s="1">
        <v>7</v>
      </c>
      <c r="F410" s="1">
        <v>29</v>
      </c>
      <c r="G410" s="1">
        <v>15</v>
      </c>
      <c r="I410">
        <f t="shared" si="32"/>
        <v>-0.59260107546758167</v>
      </c>
      <c r="J410">
        <f t="shared" si="33"/>
        <v>-0.42787943122501892</v>
      </c>
      <c r="K410">
        <f t="shared" si="34"/>
        <v>-0.3047325258615714</v>
      </c>
      <c r="M410">
        <f t="shared" si="35"/>
        <v>-0.44173767751805731</v>
      </c>
      <c r="P410" s="15" t="s">
        <v>1686</v>
      </c>
    </row>
    <row r="411" spans="1:16">
      <c r="A411" s="2" t="s">
        <v>316</v>
      </c>
      <c r="B411" s="6" t="s">
        <v>879</v>
      </c>
      <c r="C411" s="7" t="str" cm="1">
        <f t="array" ref="C411">_xlfn.LET(
  _xlpm.s, UPPER(B411),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KEFFKSIVKSGKIPHIILHSP</v>
      </c>
      <c r="D411" s="4">
        <v>154</v>
      </c>
      <c r="E411" s="1">
        <v>5</v>
      </c>
      <c r="F411" s="1">
        <v>14</v>
      </c>
      <c r="G411" s="1">
        <v>8</v>
      </c>
      <c r="I411">
        <f t="shared" si="32"/>
        <v>-0.49649755197987488</v>
      </c>
      <c r="J411">
        <f t="shared" si="33"/>
        <v>-0.50191783427979197</v>
      </c>
      <c r="K411">
        <f t="shared" si="34"/>
        <v>-0.33550223875936425</v>
      </c>
      <c r="M411">
        <f t="shared" si="35"/>
        <v>-0.44463920833967707</v>
      </c>
      <c r="P411" s="15" t="s">
        <v>1686</v>
      </c>
    </row>
    <row r="412" spans="1:16">
      <c r="A412" s="2" t="s">
        <v>269</v>
      </c>
      <c r="B412" s="6" t="s">
        <v>832</v>
      </c>
      <c r="C412" s="7" t="str" cm="1">
        <f t="array" ref="C412">_xlfn.LET(
  _xlpm.s, UPPER(B412),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KEYFKAIVASGKIPHIILHSP</v>
      </c>
      <c r="D412" s="4">
        <v>375</v>
      </c>
      <c r="E412" s="1">
        <v>19</v>
      </c>
      <c r="F412" s="1">
        <v>17</v>
      </c>
      <c r="G412" s="1">
        <v>25</v>
      </c>
      <c r="I412">
        <f t="shared" si="32"/>
        <v>-0.30322450225432052</v>
      </c>
      <c r="J412">
        <f t="shared" si="33"/>
        <v>-0.80410749547101201</v>
      </c>
      <c r="K412">
        <f t="shared" si="34"/>
        <v>-0.22716276397052604</v>
      </c>
      <c r="M412">
        <f t="shared" si="35"/>
        <v>-0.44483158723195282</v>
      </c>
      <c r="P412" s="15" t="s">
        <v>1686</v>
      </c>
    </row>
    <row r="413" spans="1:16">
      <c r="A413" s="2" t="s">
        <v>508</v>
      </c>
      <c r="B413" s="6" t="s">
        <v>1071</v>
      </c>
      <c r="C413" s="7" t="str" cm="1">
        <f t="array" ref="C413">_xlfn.LET(
  _xlpm.s, UPPER(B413),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LERMKAIADSGKIPHIILHSP</v>
      </c>
      <c r="D413" s="4">
        <v>1178</v>
      </c>
      <c r="E413" s="1">
        <v>55</v>
      </c>
      <c r="F413" s="1">
        <v>63</v>
      </c>
      <c r="G413" s="1">
        <v>72</v>
      </c>
      <c r="I413">
        <f t="shared" si="32"/>
        <v>-0.3387294364362694</v>
      </c>
      <c r="J413">
        <f t="shared" si="33"/>
        <v>-0.73232989011906813</v>
      </c>
      <c r="K413">
        <f t="shared" si="34"/>
        <v>-0.26488429893465915</v>
      </c>
      <c r="M413">
        <f t="shared" si="35"/>
        <v>-0.44531454182999886</v>
      </c>
      <c r="P413" s="16" t="s">
        <v>1685</v>
      </c>
    </row>
    <row r="414" spans="1:16">
      <c r="A414" s="2" t="s">
        <v>338</v>
      </c>
      <c r="B414" s="6" t="s">
        <v>901</v>
      </c>
      <c r="C414" s="7" t="str" cm="1">
        <f t="array" ref="C414">_xlfn.LET(
  _xlpm.s, UPPER(B414),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KDFFKDIVKKGKIPHIILHSP</v>
      </c>
      <c r="D414" s="4">
        <v>91</v>
      </c>
      <c r="E414" s="1">
        <v>1</v>
      </c>
      <c r="F414" s="1">
        <v>37</v>
      </c>
      <c r="G414" s="1">
        <v>3</v>
      </c>
      <c r="I414">
        <f t="shared" si="32"/>
        <v>-0.96698822780052418</v>
      </c>
      <c r="J414">
        <f t="shared" si="33"/>
        <v>0.14863518262433434</v>
      </c>
      <c r="K414">
        <f t="shared" si="34"/>
        <v>-0.53299164251627573</v>
      </c>
      <c r="M414">
        <f t="shared" si="35"/>
        <v>-0.45044822923082184</v>
      </c>
      <c r="P414" s="15" t="s">
        <v>1686</v>
      </c>
    </row>
    <row r="415" spans="1:16">
      <c r="A415" s="2" t="s">
        <v>472</v>
      </c>
      <c r="B415" s="6" t="s">
        <v>1035</v>
      </c>
      <c r="C415" s="7" t="str" cm="1">
        <f t="array" ref="C415">_xlfn.LET(
  _xlpm.s, UPPER(B415),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RATMKEIAASGKIPHIILHSP</v>
      </c>
      <c r="D415" s="4">
        <v>1255</v>
      </c>
      <c r="E415" s="1">
        <v>6</v>
      </c>
      <c r="F415" s="1">
        <v>17</v>
      </c>
      <c r="G415" s="1">
        <v>2815</v>
      </c>
      <c r="I415">
        <f t="shared" si="32"/>
        <v>-1.3284393109128438</v>
      </c>
      <c r="J415">
        <f t="shared" si="33"/>
        <v>-1.3287199535603502</v>
      </c>
      <c r="K415">
        <f t="shared" si="34"/>
        <v>1.2997631684554634</v>
      </c>
      <c r="M415">
        <f t="shared" si="35"/>
        <v>-0.45246536533924359</v>
      </c>
      <c r="P415" s="16" t="s">
        <v>1685</v>
      </c>
    </row>
    <row r="416" spans="1:16">
      <c r="A416" s="2" t="s">
        <v>225</v>
      </c>
      <c r="B416" s="6" t="s">
        <v>788</v>
      </c>
      <c r="C416" s="7" t="str" cm="1">
        <f t="array" ref="C416">_xlfn.LET(
  _xlpm.s, UPPER(B416),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KELFRQLAASGKIPHIILHSP</v>
      </c>
      <c r="D416" s="4">
        <v>1718</v>
      </c>
      <c r="E416" s="1">
        <v>72</v>
      </c>
      <c r="F416" s="1">
        <v>142</v>
      </c>
      <c r="G416" s="1">
        <v>72</v>
      </c>
      <c r="I416">
        <f t="shared" si="32"/>
        <v>-0.38563749854338547</v>
      </c>
      <c r="J416">
        <f t="shared" si="33"/>
        <v>-0.54325996423373402</v>
      </c>
      <c r="K416">
        <f t="shared" si="34"/>
        <v>-0.42876216797879962</v>
      </c>
      <c r="M416">
        <f t="shared" si="35"/>
        <v>-0.45255321025197298</v>
      </c>
      <c r="P416" s="16" t="s">
        <v>1685</v>
      </c>
    </row>
    <row r="417" spans="1:16">
      <c r="A417" s="2" t="s">
        <v>461</v>
      </c>
      <c r="B417" s="6" t="s">
        <v>1024</v>
      </c>
      <c r="C417" s="7" t="str" cm="1">
        <f t="array" ref="C417">_xlfn.LET(
  _xlpm.s, UPPER(B417),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REMFKKIAASGKIPHIILHSP</v>
      </c>
      <c r="D417" s="4">
        <v>606</v>
      </c>
      <c r="E417" s="1">
        <v>26</v>
      </c>
      <c r="F417" s="1">
        <v>31</v>
      </c>
      <c r="G417" s="1">
        <v>40</v>
      </c>
      <c r="I417">
        <f t="shared" si="32"/>
        <v>-0.37544611167489883</v>
      </c>
      <c r="J417">
        <f t="shared" si="33"/>
        <v>-0.75163607945358046</v>
      </c>
      <c r="K417">
        <f t="shared" si="34"/>
        <v>-0.23148413775316845</v>
      </c>
      <c r="M417">
        <f t="shared" si="35"/>
        <v>-0.4528554429605493</v>
      </c>
      <c r="P417" s="16" t="s">
        <v>1685</v>
      </c>
    </row>
    <row r="418" spans="1:16">
      <c r="A418" s="2" t="s">
        <v>216</v>
      </c>
      <c r="B418" s="6" t="s">
        <v>779</v>
      </c>
      <c r="C418" s="7" t="str" cm="1">
        <f t="array" ref="C418">_xlfn.LET(
  _xlpm.s, UPPER(B418),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KELFKSIVEKGKIPHIILHSP</v>
      </c>
      <c r="D418" s="4">
        <v>457</v>
      </c>
      <c r="E418" s="1">
        <v>15</v>
      </c>
      <c r="F418" s="1">
        <v>92</v>
      </c>
      <c r="G418" s="1">
        <v>10</v>
      </c>
      <c r="I418">
        <f t="shared" si="32"/>
        <v>-0.4917717764935996</v>
      </c>
      <c r="J418">
        <f t="shared" si="33"/>
        <v>-0.15665352184586201</v>
      </c>
      <c r="K418">
        <f t="shared" si="34"/>
        <v>-0.71098770498469488</v>
      </c>
      <c r="M418">
        <f t="shared" si="35"/>
        <v>-0.45313766777471881</v>
      </c>
      <c r="P418" s="15" t="s">
        <v>1686</v>
      </c>
    </row>
    <row r="419" spans="1:16">
      <c r="A419" s="2" t="s">
        <v>170</v>
      </c>
      <c r="B419" s="6" t="s">
        <v>733</v>
      </c>
      <c r="C419" s="7" t="str" cm="1">
        <f t="array" ref="C419">_xlfn.LET(
  _xlpm.s, UPPER(B419),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KELMKQIAESGKIPHIILHSP</v>
      </c>
      <c r="D419" s="4">
        <v>755</v>
      </c>
      <c r="E419" s="1">
        <v>29</v>
      </c>
      <c r="F419" s="1">
        <v>39</v>
      </c>
      <c r="G419" s="1">
        <v>55</v>
      </c>
      <c r="I419">
        <f t="shared" si="32"/>
        <v>-0.42349578920966269</v>
      </c>
      <c r="J419">
        <f t="shared" si="33"/>
        <v>-0.74740749372425619</v>
      </c>
      <c r="K419">
        <f t="shared" si="34"/>
        <v>-0.18865576704978904</v>
      </c>
      <c r="M419">
        <f t="shared" si="35"/>
        <v>-0.45318634999456936</v>
      </c>
      <c r="P419" s="16" t="s">
        <v>1685</v>
      </c>
    </row>
    <row r="420" spans="1:16">
      <c r="A420" s="2" t="s">
        <v>399</v>
      </c>
      <c r="B420" s="6" t="s">
        <v>962</v>
      </c>
      <c r="C420" s="7" t="str" cm="1">
        <f t="array" ref="C420">_xlfn.LET(
  _xlpm.s, UPPER(B420),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KAEMKKIAESGKIPHIILHSP</v>
      </c>
      <c r="D420" s="4">
        <v>382</v>
      </c>
      <c r="E420" s="1">
        <v>16</v>
      </c>
      <c r="F420" s="1">
        <v>50</v>
      </c>
      <c r="G420" s="1">
        <v>10</v>
      </c>
      <c r="I420">
        <f t="shared" si="32"/>
        <v>-0.38589021573521443</v>
      </c>
      <c r="J420">
        <f t="shared" si="33"/>
        <v>-0.34361850769725699</v>
      </c>
      <c r="K420">
        <f t="shared" si="34"/>
        <v>-0.63313486782655337</v>
      </c>
      <c r="M420">
        <f t="shared" si="35"/>
        <v>-0.45421453041967491</v>
      </c>
      <c r="P420" s="16" t="s">
        <v>1685</v>
      </c>
    </row>
    <row r="421" spans="1:16">
      <c r="A421" s="2" t="s">
        <v>112</v>
      </c>
      <c r="B421" s="6" t="s">
        <v>675</v>
      </c>
      <c r="C421" s="7" t="str" cm="1">
        <f t="array" ref="C421">_xlfn.LET(
  _xlpm.s, UPPER(B421),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KEKMKAIAASGKIPHIILHSP</v>
      </c>
      <c r="D421" s="4">
        <v>730</v>
      </c>
      <c r="E421" s="1">
        <v>47</v>
      </c>
      <c r="F421" s="1">
        <v>45</v>
      </c>
      <c r="G421" s="1">
        <v>26</v>
      </c>
      <c r="I421">
        <f t="shared" si="32"/>
        <v>-0.1991718376641689</v>
      </c>
      <c r="J421">
        <f t="shared" si="33"/>
        <v>-0.67063549546667922</v>
      </c>
      <c r="K421">
        <f t="shared" si="34"/>
        <v>-0.49942101706448261</v>
      </c>
      <c r="M421">
        <f t="shared" si="35"/>
        <v>-0.45640945006511019</v>
      </c>
      <c r="P421" s="16" t="s">
        <v>1685</v>
      </c>
    </row>
    <row r="422" spans="1:16">
      <c r="A422" s="2" t="s">
        <v>410</v>
      </c>
      <c r="B422" s="6" t="s">
        <v>973</v>
      </c>
      <c r="C422" s="7" t="str" cm="1">
        <f t="array" ref="C422">_xlfn.LET(
  _xlpm.s, UPPER(B422),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KAEFKAIAASGKIPHIILHSP</v>
      </c>
      <c r="D422" s="4">
        <v>820</v>
      </c>
      <c r="E422" s="1">
        <v>221</v>
      </c>
      <c r="F422" s="1">
        <v>14</v>
      </c>
      <c r="G422" s="1">
        <v>25</v>
      </c>
      <c r="I422">
        <f t="shared" si="32"/>
        <v>0.42263158582196347</v>
      </c>
      <c r="J422">
        <f t="shared" si="33"/>
        <v>-1.2282109658270457</v>
      </c>
      <c r="K422">
        <f t="shared" si="34"/>
        <v>-0.56694534862652368</v>
      </c>
      <c r="M422">
        <f t="shared" si="35"/>
        <v>-0.45750824287720199</v>
      </c>
      <c r="P422" s="16" t="s">
        <v>1685</v>
      </c>
    </row>
    <row r="423" spans="1:16">
      <c r="A423" s="2" t="s">
        <v>390</v>
      </c>
      <c r="B423" s="6" t="s">
        <v>953</v>
      </c>
      <c r="C423" s="7" t="str" cm="1">
        <f t="array" ref="C423">_xlfn.LET(
  _xlpm.s, UPPER(B423),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KALFKAIVDKGKIPHIILHSP</v>
      </c>
      <c r="D423" s="4">
        <v>785</v>
      </c>
      <c r="E423" s="1">
        <v>41</v>
      </c>
      <c r="F423" s="1">
        <v>38</v>
      </c>
      <c r="G423" s="1">
        <v>43</v>
      </c>
      <c r="I423">
        <f t="shared" si="32"/>
        <v>-0.29003263550494762</v>
      </c>
      <c r="J423">
        <f t="shared" si="33"/>
        <v>-0.77561120925000948</v>
      </c>
      <c r="K423">
        <f t="shared" si="34"/>
        <v>-0.31247270608051059</v>
      </c>
      <c r="M423">
        <f t="shared" si="35"/>
        <v>-0.45937218361182258</v>
      </c>
      <c r="P423" s="15" t="s">
        <v>1686</v>
      </c>
    </row>
    <row r="424" spans="1:16">
      <c r="A424" s="2" t="s">
        <v>72</v>
      </c>
      <c r="B424" s="6" t="s">
        <v>635</v>
      </c>
      <c r="C424" s="7" t="str" cm="1">
        <f t="array" ref="C424">_xlfn.LET(
  _xlpm.s, UPPER(B424),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KQTMKEIAASGKIPHIILHSP</v>
      </c>
      <c r="D424" s="4">
        <v>775</v>
      </c>
      <c r="E424" s="1">
        <v>15</v>
      </c>
      <c r="F424" s="1">
        <v>358</v>
      </c>
      <c r="G424" s="1">
        <v>12</v>
      </c>
      <c r="I424">
        <f t="shared" si="32"/>
        <v>-0.72115727893005954</v>
      </c>
      <c r="J424">
        <f t="shared" si="33"/>
        <v>0.20405617501599699</v>
      </c>
      <c r="K424">
        <f t="shared" si="34"/>
        <v>-0.86119196137353016</v>
      </c>
      <c r="M424">
        <f t="shared" si="35"/>
        <v>-0.45943102176253087</v>
      </c>
      <c r="P424" s="16" t="s">
        <v>1685</v>
      </c>
    </row>
    <row r="425" spans="1:16">
      <c r="A425" s="2" t="s">
        <v>418</v>
      </c>
      <c r="B425" s="6" t="s">
        <v>981</v>
      </c>
      <c r="C425" s="7" t="str" cm="1">
        <f t="array" ref="C425">_xlfn.LET(
  _xlpm.s, UPPER(B425),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KAYFKSIVASGKIPHIILHSP</v>
      </c>
      <c r="D425" s="4">
        <v>513</v>
      </c>
      <c r="E425" s="1">
        <v>26</v>
      </c>
      <c r="F425" s="1">
        <v>16</v>
      </c>
      <c r="G425" s="1">
        <v>44</v>
      </c>
      <c r="I425">
        <f t="shared" si="32"/>
        <v>-0.30309085262042879</v>
      </c>
      <c r="J425">
        <f t="shared" si="33"/>
        <v>-0.96652253157745849</v>
      </c>
      <c r="K425">
        <f t="shared" si="34"/>
        <v>-0.11773619354047349</v>
      </c>
      <c r="M425">
        <f t="shared" si="35"/>
        <v>-0.46244985924612031</v>
      </c>
      <c r="P425" s="15" t="s">
        <v>1686</v>
      </c>
    </row>
    <row r="426" spans="1:16">
      <c r="A426" s="2" t="s">
        <v>528</v>
      </c>
      <c r="B426" s="6" t="s">
        <v>1091</v>
      </c>
      <c r="C426" s="7" t="str" cm="1">
        <f t="array" ref="C426">_xlfn.LET(
  _xlpm.s, UPPER(B426),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LEYFKSIVASGKIPHIILHSP</v>
      </c>
      <c r="D426" s="4">
        <v>343</v>
      </c>
      <c r="E426" s="1">
        <v>20</v>
      </c>
      <c r="F426" s="1">
        <v>13</v>
      </c>
      <c r="G426" s="1">
        <v>21</v>
      </c>
      <c r="I426">
        <f t="shared" si="32"/>
        <v>-0.24221095985821983</v>
      </c>
      <c r="J426">
        <f t="shared" si="33"/>
        <v>-0.88187591685750066</v>
      </c>
      <c r="K426">
        <f t="shared" si="34"/>
        <v>-0.26414633022369594</v>
      </c>
      <c r="M426">
        <f t="shared" si="35"/>
        <v>-0.46274440231313885</v>
      </c>
      <c r="P426" s="15" t="s">
        <v>1686</v>
      </c>
    </row>
    <row r="427" spans="1:16">
      <c r="A427" s="2" t="s">
        <v>99</v>
      </c>
      <c r="B427" s="6" t="s">
        <v>662</v>
      </c>
      <c r="C427" s="7" t="str" cm="1">
        <f t="array" ref="C427">_xlfn.LET(
  _xlpm.s, UPPER(B427),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KQFFKDIVKSGKIPHIILHSP</v>
      </c>
      <c r="D427" s="4">
        <v>180</v>
      </c>
      <c r="E427" s="1">
        <v>13</v>
      </c>
      <c r="F427" s="1">
        <v>15</v>
      </c>
      <c r="G427" s="1">
        <v>4</v>
      </c>
      <c r="I427">
        <f t="shared" si="32"/>
        <v>-0.14927598827589983</v>
      </c>
      <c r="J427">
        <f t="shared" si="33"/>
        <v>-0.53970639516919194</v>
      </c>
      <c r="K427">
        <f t="shared" si="34"/>
        <v>-0.70428401869018842</v>
      </c>
      <c r="M427">
        <f t="shared" si="35"/>
        <v>-0.46442213404509342</v>
      </c>
      <c r="P427" s="15" t="s">
        <v>1686</v>
      </c>
    </row>
    <row r="428" spans="1:16">
      <c r="A428" s="2" t="s">
        <v>331</v>
      </c>
      <c r="B428" s="6" t="s">
        <v>894</v>
      </c>
      <c r="C428" s="7" t="str" cm="1">
        <f t="array" ref="C428">_xlfn.LET(
  _xlpm.s, UPPER(B428),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KEFFRAIVASGKIPHIILHSP</v>
      </c>
      <c r="D428" s="4">
        <v>494</v>
      </c>
      <c r="E428" s="1">
        <v>23</v>
      </c>
      <c r="F428" s="1">
        <v>35</v>
      </c>
      <c r="G428" s="1">
        <v>20</v>
      </c>
      <c r="I428">
        <f t="shared" si="32"/>
        <v>-0.33994594838548453</v>
      </c>
      <c r="J428">
        <f t="shared" si="33"/>
        <v>-0.61018405369493822</v>
      </c>
      <c r="K428">
        <f t="shared" si="34"/>
        <v>-0.44376845817451049</v>
      </c>
      <c r="M428">
        <f t="shared" si="35"/>
        <v>-0.4646328200849778</v>
      </c>
      <c r="P428" s="15" t="s">
        <v>1686</v>
      </c>
    </row>
    <row r="429" spans="1:16">
      <c r="A429" s="2" t="s">
        <v>134</v>
      </c>
      <c r="B429" s="6" t="s">
        <v>697</v>
      </c>
      <c r="C429" s="7" t="str" cm="1">
        <f t="array" ref="C429">_xlfn.LET(
  _xlpm.s, UPPER(B429),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KEIMKKIAASGKIPHIILHSP</v>
      </c>
      <c r="D429" s="4">
        <v>356</v>
      </c>
      <c r="E429" s="1">
        <v>20</v>
      </c>
      <c r="F429" s="1">
        <v>20</v>
      </c>
      <c r="G429" s="1">
        <v>15</v>
      </c>
      <c r="I429">
        <f t="shared" si="32"/>
        <v>-0.25836683778832459</v>
      </c>
      <c r="J429">
        <f t="shared" si="33"/>
        <v>-0.71094515143046111</v>
      </c>
      <c r="K429">
        <f t="shared" si="34"/>
        <v>-0.42643024383203865</v>
      </c>
      <c r="M429">
        <f t="shared" si="35"/>
        <v>-0.46524741101694139</v>
      </c>
      <c r="P429" s="16" t="s">
        <v>1685</v>
      </c>
    </row>
    <row r="430" spans="1:16">
      <c r="A430" s="2" t="s">
        <v>381</v>
      </c>
      <c r="B430" s="6" t="s">
        <v>944</v>
      </c>
      <c r="C430" s="7" t="str" cm="1">
        <f t="array" ref="C430">_xlfn.LET(
  _xlpm.s, UPPER(B430),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KALLKEIVKSGKIPHIILHSP</v>
      </c>
      <c r="D430" s="4">
        <v>487</v>
      </c>
      <c r="E430" s="1">
        <v>38</v>
      </c>
      <c r="F430" s="1">
        <v>8</v>
      </c>
      <c r="G430" s="1">
        <v>50</v>
      </c>
      <c r="I430">
        <f t="shared" si="32"/>
        <v>-0.11569220007725467</v>
      </c>
      <c r="J430">
        <f t="shared" si="33"/>
        <v>-1.2449641233442579</v>
      </c>
      <c r="K430">
        <f t="shared" si="34"/>
        <v>-3.9630461793460192E-2</v>
      </c>
      <c r="M430">
        <f t="shared" si="35"/>
        <v>-0.46676226173832425</v>
      </c>
      <c r="P430" s="16" t="s">
        <v>1685</v>
      </c>
    </row>
    <row r="431" spans="1:16">
      <c r="A431" s="2" t="s">
        <v>448</v>
      </c>
      <c r="B431" s="6" t="s">
        <v>1011</v>
      </c>
      <c r="C431" s="7" t="str" cm="1">
        <f t="array" ref="C431">_xlfn.LET(
  _xlpm.s, UPPER(B431),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KSYFESIVKSGKIPHIILHSP</v>
      </c>
      <c r="D431" s="4">
        <v>210</v>
      </c>
      <c r="E431" s="1">
        <v>8</v>
      </c>
      <c r="F431" s="1">
        <v>2</v>
      </c>
      <c r="G431" s="1">
        <v>76</v>
      </c>
      <c r="I431">
        <f t="shared" si="32"/>
        <v>-0.42707614322140608</v>
      </c>
      <c r="J431">
        <f t="shared" si="33"/>
        <v>-1.481714448191505</v>
      </c>
      <c r="K431">
        <f t="shared" si="34"/>
        <v>0.50752279263202738</v>
      </c>
      <c r="M431">
        <f t="shared" si="35"/>
        <v>-0.46708926626029457</v>
      </c>
      <c r="P431" s="15" t="s">
        <v>1686</v>
      </c>
    </row>
    <row r="432" spans="1:16">
      <c r="A432" s="2" t="s">
        <v>355</v>
      </c>
      <c r="B432" s="6" t="s">
        <v>918</v>
      </c>
      <c r="C432" s="7" t="str" cm="1">
        <f t="array" ref="C432">_xlfn.LET(
  _xlpm.s, UPPER(B432),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KAQMKEIADSGKIPHIILHSP</v>
      </c>
      <c r="D432" s="4">
        <v>659</v>
      </c>
      <c r="E432" s="1">
        <v>36</v>
      </c>
      <c r="F432" s="1">
        <v>25</v>
      </c>
      <c r="G432" s="1">
        <v>41</v>
      </c>
      <c r="I432">
        <f t="shared" si="32"/>
        <v>-0.27052974930615314</v>
      </c>
      <c r="J432">
        <f t="shared" si="33"/>
        <v>-0.88147055504353922</v>
      </c>
      <c r="K432">
        <f t="shared" si="34"/>
        <v>-0.25717306278911911</v>
      </c>
      <c r="M432">
        <f t="shared" si="35"/>
        <v>-0.46972445571293714</v>
      </c>
      <c r="P432" s="16" t="s">
        <v>1685</v>
      </c>
    </row>
    <row r="433" spans="1:16">
      <c r="A433" s="2" t="s">
        <v>50</v>
      </c>
      <c r="B433" s="6" t="s">
        <v>613</v>
      </c>
      <c r="C433" s="7" t="str" cm="1">
        <f t="array" ref="C433">_xlfn.LET(
  _xlpm.s, UPPER(B433),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KKVMKEIAKSGKIPHIILHSP</v>
      </c>
      <c r="D433" s="4">
        <v>272</v>
      </c>
      <c r="E433" s="1">
        <v>12</v>
      </c>
      <c r="F433" s="1">
        <v>18</v>
      </c>
      <c r="G433" s="1">
        <v>12</v>
      </c>
      <c r="I433">
        <f t="shared" si="32"/>
        <v>-0.36333449346600433</v>
      </c>
      <c r="J433">
        <f t="shared" si="33"/>
        <v>-0.63982154805245972</v>
      </c>
      <c r="K433">
        <f t="shared" si="34"/>
        <v>-0.40645916290141848</v>
      </c>
      <c r="M433">
        <f t="shared" si="35"/>
        <v>-0.46987173480662747</v>
      </c>
      <c r="P433" s="14" t="s">
        <v>1685</v>
      </c>
    </row>
    <row r="434" spans="1:16">
      <c r="A434" s="2" t="s">
        <v>192</v>
      </c>
      <c r="B434" s="6" t="s">
        <v>755</v>
      </c>
      <c r="C434" s="7" t="str" cm="1">
        <f t="array" ref="C434">_xlfn.LET(
  _xlpm.s, UPPER(B434),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KELFKQIAASGKIPHIILHSP</v>
      </c>
      <c r="D434" s="4">
        <v>951</v>
      </c>
      <c r="E434" s="1">
        <v>53</v>
      </c>
      <c r="F434" s="1">
        <v>35</v>
      </c>
      <c r="G434" s="1">
        <v>58</v>
      </c>
      <c r="I434">
        <f t="shared" ref="I434:I497" si="36">LOG(E434/D434)-LOG(182/1787)</f>
        <v>-0.26185148281605541</v>
      </c>
      <c r="J434">
        <f t="shared" ref="J434:J497" si="37">LOG(F434/D434)-LOG(516/1787)</f>
        <v>-0.89463762170870542</v>
      </c>
      <c r="K434">
        <f t="shared" ref="K434:K497" si="38">LOG(G434/D434)-LOG(201/1787)</f>
        <v>-0.26582402828932139</v>
      </c>
      <c r="M434">
        <f t="shared" ref="M434:M497" si="39">AVERAGE(I434:K434)</f>
        <v>-0.47410437760469409</v>
      </c>
      <c r="P434" s="16" t="s">
        <v>1685</v>
      </c>
    </row>
    <row r="435" spans="1:16">
      <c r="A435" s="2" t="s">
        <v>388</v>
      </c>
      <c r="B435" s="6" t="s">
        <v>951</v>
      </c>
      <c r="C435" s="7" t="str" cm="1">
        <f t="array" ref="C435">_xlfn.LET(
  _xlpm.s, UPPER(B435),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KALFKAIVKKGKIPHIILHSP</v>
      </c>
      <c r="D435" s="4">
        <v>411</v>
      </c>
      <c r="E435" s="1">
        <v>37</v>
      </c>
      <c r="F435" s="1">
        <v>29</v>
      </c>
      <c r="G435" s="1">
        <v>8</v>
      </c>
      <c r="I435">
        <f t="shared" si="36"/>
        <v>-5.3586933288504834E-2</v>
      </c>
      <c r="J435">
        <f t="shared" si="37"/>
        <v>-0.61196897309868026</v>
      </c>
      <c r="K435">
        <f t="shared" si="38"/>
        <v>-0.76182333979897021</v>
      </c>
      <c r="M435">
        <f t="shared" si="39"/>
        <v>-0.47579308206205173</v>
      </c>
      <c r="P435" s="15" t="s">
        <v>1686</v>
      </c>
    </row>
    <row r="436" spans="1:16">
      <c r="A436" s="2" t="s">
        <v>157</v>
      </c>
      <c r="B436" s="6" t="s">
        <v>720</v>
      </c>
      <c r="C436" s="7" t="str" cm="1">
        <f t="array" ref="C436">_xlfn.LET(
  _xlpm.s, UPPER(B436),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KERFKEIVASGKIPHIILHSP</v>
      </c>
      <c r="D436" s="4">
        <v>760</v>
      </c>
      <c r="E436" s="1">
        <v>59</v>
      </c>
      <c r="F436" s="1">
        <v>11</v>
      </c>
      <c r="G436" s="1">
        <v>83</v>
      </c>
      <c r="I436">
        <f t="shared" si="36"/>
        <v>-0.11790841611807767</v>
      </c>
      <c r="J436">
        <f t="shared" si="37"/>
        <v>-1.2999460562441332</v>
      </c>
      <c r="K436">
        <f t="shared" si="38"/>
        <v>-1.2807004819562096E-2</v>
      </c>
      <c r="M436">
        <f t="shared" si="39"/>
        <v>-0.47688715906059098</v>
      </c>
      <c r="P436" s="16" t="s">
        <v>1685</v>
      </c>
    </row>
    <row r="437" spans="1:16">
      <c r="A437" s="2" t="s">
        <v>537</v>
      </c>
      <c r="B437" s="6" t="s">
        <v>1100</v>
      </c>
      <c r="C437" s="7" t="str" cm="1">
        <f t="array" ref="C437">_xlfn.LET(
  _xlpm.s, UPPER(B437),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LATMKEIAASGKIPHIILHSP</v>
      </c>
      <c r="D437" s="4">
        <v>954</v>
      </c>
      <c r="E437" s="1">
        <v>36</v>
      </c>
      <c r="F437" s="1">
        <v>92</v>
      </c>
      <c r="G437" s="1">
        <v>31</v>
      </c>
      <c r="I437">
        <f t="shared" si="36"/>
        <v>-0.43119270941623844</v>
      </c>
      <c r="J437">
        <f t="shared" si="37"/>
        <v>-0.47628569648010688</v>
      </c>
      <c r="K437">
        <f t="shared" si="38"/>
        <v>-0.53925818578466722</v>
      </c>
      <c r="M437">
        <f t="shared" si="39"/>
        <v>-0.48224553056033753</v>
      </c>
      <c r="P437" s="16" t="s">
        <v>1685</v>
      </c>
    </row>
    <row r="438" spans="1:16">
      <c r="A438" s="2" t="s">
        <v>552</v>
      </c>
      <c r="B438" s="6" t="s">
        <v>1115</v>
      </c>
      <c r="C438" s="7" t="str" cm="1">
        <f t="array" ref="C438">_xlfn.LET(
  _xlpm.s, UPPER(B438),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LSFFKDIVDSGKIPHIILHSP</v>
      </c>
      <c r="D438" s="4">
        <v>367</v>
      </c>
      <c r="E438" s="1">
        <v>17</v>
      </c>
      <c r="F438" s="1">
        <v>12</v>
      </c>
      <c r="G438" s="1">
        <v>28</v>
      </c>
      <c r="I438">
        <f t="shared" si="36"/>
        <v>-0.34216397835324597</v>
      </c>
      <c r="J438">
        <f t="shared" si="37"/>
        <v>-0.94600996732603171</v>
      </c>
      <c r="K438">
        <f t="shared" si="38"/>
        <v>-0.1685795378247148</v>
      </c>
      <c r="M438">
        <f t="shared" si="39"/>
        <v>-0.48558449450133079</v>
      </c>
      <c r="P438" s="15" t="s">
        <v>1686</v>
      </c>
    </row>
    <row r="439" spans="1:16">
      <c r="A439" s="2" t="s">
        <v>320</v>
      </c>
      <c r="B439" s="6" t="s">
        <v>883</v>
      </c>
      <c r="C439" s="7" t="str" cm="1">
        <f t="array" ref="C439">_xlfn.LET(
  _xlpm.s, UPPER(B439),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KEFFKSIVAAGKIPHIILHSP</v>
      </c>
      <c r="D439" s="4">
        <v>241</v>
      </c>
      <c r="E439" s="1">
        <v>7</v>
      </c>
      <c r="F439" s="1">
        <v>11</v>
      </c>
      <c r="G439" s="1">
        <v>21</v>
      </c>
      <c r="I439">
        <f t="shared" si="36"/>
        <v>-0.54486583804004218</v>
      </c>
      <c r="J439">
        <f t="shared" si="37"/>
        <v>-0.80114950653821049</v>
      </c>
      <c r="K439">
        <f t="shared" si="38"/>
        <v>-0.11086925275579373</v>
      </c>
      <c r="M439">
        <f t="shared" si="39"/>
        <v>-0.48562819911134875</v>
      </c>
      <c r="P439" s="15" t="s">
        <v>1686</v>
      </c>
    </row>
    <row r="440" spans="1:16">
      <c r="A440" s="2" t="s">
        <v>221</v>
      </c>
      <c r="B440" s="6" t="s">
        <v>784</v>
      </c>
      <c r="C440" s="7" t="str" cm="1">
        <f t="array" ref="C440">_xlfn.LET(
  _xlpm.s, UPPER(B440),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KELFKSIVSKGKIPHIILHSP</v>
      </c>
      <c r="D440" s="4">
        <v>355</v>
      </c>
      <c r="E440" s="1">
        <v>14</v>
      </c>
      <c r="F440" s="1">
        <v>11</v>
      </c>
      <c r="G440" s="1">
        <v>33</v>
      </c>
      <c r="I440">
        <f t="shared" si="36"/>
        <v>-0.41204715285628657</v>
      </c>
      <c r="J440">
        <f t="shared" si="37"/>
        <v>-0.96936081701843613</v>
      </c>
      <c r="K440">
        <f t="shared" si="38"/>
        <v>-8.278591809205138E-2</v>
      </c>
      <c r="M440">
        <f t="shared" si="39"/>
        <v>-0.48806462932225797</v>
      </c>
      <c r="P440" s="15" t="s">
        <v>1686</v>
      </c>
    </row>
    <row r="441" spans="1:16">
      <c r="A441" s="2" t="s">
        <v>161</v>
      </c>
      <c r="B441" s="6" t="s">
        <v>724</v>
      </c>
      <c r="C441" s="7" t="str" cm="1">
        <f t="array" ref="C441">_xlfn.LET(
  _xlpm.s, UPPER(B441),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KERFKSIAESGKIPHIILHSP</v>
      </c>
      <c r="D441" s="4">
        <v>574</v>
      </c>
      <c r="E441" s="1">
        <v>27</v>
      </c>
      <c r="F441" s="1">
        <v>13</v>
      </c>
      <c r="G441" s="1">
        <v>59</v>
      </c>
      <c r="I441">
        <f t="shared" si="36"/>
        <v>-0.33549496371841681</v>
      </c>
      <c r="J441">
        <f t="shared" si="37"/>
        <v>-1.1054936892127039</v>
      </c>
      <c r="K441">
        <f t="shared" si="38"/>
        <v>-3.9131385670673979E-2</v>
      </c>
      <c r="M441">
        <f t="shared" si="39"/>
        <v>-0.4933733462005982</v>
      </c>
      <c r="P441" s="16" t="s">
        <v>1685</v>
      </c>
    </row>
    <row r="442" spans="1:16">
      <c r="A442" s="2" t="s">
        <v>357</v>
      </c>
      <c r="B442" s="6" t="s">
        <v>920</v>
      </c>
      <c r="C442" s="7" t="str" cm="1">
        <f t="array" ref="C442">_xlfn.LET(
  _xlpm.s, UPPER(B442),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KARMKEIANSGKIPHIILHSP</v>
      </c>
      <c r="D442" s="4">
        <v>766</v>
      </c>
      <c r="E442" s="1">
        <v>40</v>
      </c>
      <c r="F442" s="1">
        <v>9</v>
      </c>
      <c r="G442" s="1">
        <v>135</v>
      </c>
      <c r="I442">
        <f t="shared" si="36"/>
        <v>-0.29011561378407213</v>
      </c>
      <c r="J442">
        <f t="shared" si="37"/>
        <v>-1.3905114093148461</v>
      </c>
      <c r="K442">
        <f t="shared" si="38"/>
        <v>0.19503349394755742</v>
      </c>
      <c r="M442">
        <f t="shared" si="39"/>
        <v>-0.49519784305045356</v>
      </c>
      <c r="P442" s="16" t="s">
        <v>1685</v>
      </c>
    </row>
    <row r="443" spans="1:16">
      <c r="A443" s="2" t="s">
        <v>463</v>
      </c>
      <c r="B443" s="6" t="s">
        <v>1026</v>
      </c>
      <c r="C443" s="7" t="str" cm="1">
        <f t="array" ref="C443">_xlfn.LET(
  _xlpm.s, UPPER(B443),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RERMRKIAASGKIPHIILHSP</v>
      </c>
      <c r="D443" s="4">
        <v>2215</v>
      </c>
      <c r="E443" s="1">
        <v>178</v>
      </c>
      <c r="F443" s="1">
        <v>29</v>
      </c>
      <c r="G443" s="1">
        <v>215</v>
      </c>
      <c r="I443">
        <f t="shared" si="36"/>
        <v>-0.10290056372962497</v>
      </c>
      <c r="J443">
        <f t="shared" si="37"/>
        <v>-1.3435008817816994</v>
      </c>
      <c r="K443">
        <f t="shared" si="38"/>
        <v>-6.4006775558327789E-2</v>
      </c>
      <c r="M443">
        <f t="shared" si="39"/>
        <v>-0.50346940702321741</v>
      </c>
      <c r="P443" s="16" t="s">
        <v>1685</v>
      </c>
    </row>
    <row r="444" spans="1:16">
      <c r="A444" s="2" t="s">
        <v>83</v>
      </c>
      <c r="B444" s="6" t="s">
        <v>646</v>
      </c>
      <c r="C444" s="7" t="str" cm="1">
        <f t="array" ref="C444">_xlfn.LET(
  _xlpm.s, UPPER(B444),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KQLMKEIVASGKIPHIILHSP</v>
      </c>
      <c r="D444" s="4">
        <v>746</v>
      </c>
      <c r="E444" s="1">
        <v>29</v>
      </c>
      <c r="F444" s="1">
        <v>30</v>
      </c>
      <c r="G444" s="1">
        <v>45</v>
      </c>
      <c r="I444">
        <f t="shared" si="36"/>
        <v>-0.4182876650531433</v>
      </c>
      <c r="J444">
        <f t="shared" si="37"/>
        <v>-0.85614272187457352</v>
      </c>
      <c r="K444">
        <f t="shared" si="38"/>
        <v>-0.2705978186121698</v>
      </c>
      <c r="M444">
        <f t="shared" si="39"/>
        <v>-0.5150094018466288</v>
      </c>
      <c r="P444" s="16" t="s">
        <v>1685</v>
      </c>
    </row>
    <row r="445" spans="1:16">
      <c r="A445" s="2" t="s">
        <v>5</v>
      </c>
      <c r="B445" s="6" t="s">
        <v>568</v>
      </c>
      <c r="C445" s="7" t="str" cm="1">
        <f t="array" ref="C445">_xlfn.LET(
  _xlpm.s, UPPER(B445),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KKKFKEIAASGKIPHIILHSP</v>
      </c>
      <c r="D445" s="4">
        <v>215</v>
      </c>
      <c r="E445" s="1">
        <v>10</v>
      </c>
      <c r="F445" s="1">
        <v>10</v>
      </c>
      <c r="G445" s="1">
        <v>9</v>
      </c>
      <c r="I445">
        <f t="shared" si="36"/>
        <v>-0.34038529539503593</v>
      </c>
      <c r="J445">
        <f t="shared" si="37"/>
        <v>-0.79296360903717245</v>
      </c>
      <c r="K445">
        <f t="shared" si="38"/>
        <v>-0.4292674553911251</v>
      </c>
      <c r="M445">
        <f t="shared" si="39"/>
        <v>-0.52087211994111116</v>
      </c>
      <c r="P445" s="16" t="s">
        <v>1685</v>
      </c>
    </row>
    <row r="446" spans="1:16">
      <c r="A446" s="2" t="s">
        <v>233</v>
      </c>
      <c r="B446" s="6" t="s">
        <v>796</v>
      </c>
      <c r="C446" s="7" t="str" cm="1">
        <f t="array" ref="C446">_xlfn.LET(
  _xlpm.s, UPPER(B446),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KELFLSIVARGKIPHIILHSP</v>
      </c>
      <c r="D446" s="4">
        <v>1022</v>
      </c>
      <c r="E446" s="1">
        <v>52</v>
      </c>
      <c r="F446" s="1">
        <v>53</v>
      </c>
      <c r="G446" s="1">
        <v>35</v>
      </c>
      <c r="I446">
        <f t="shared" si="36"/>
        <v>-0.30139438764332538</v>
      </c>
      <c r="J446">
        <f t="shared" si="37"/>
        <v>-0.74570017531947197</v>
      </c>
      <c r="K446">
        <f t="shared" si="38"/>
        <v>-0.51645435636326309</v>
      </c>
      <c r="M446">
        <f t="shared" si="39"/>
        <v>-0.52118297310868678</v>
      </c>
      <c r="P446" s="15" t="s">
        <v>1686</v>
      </c>
    </row>
    <row r="447" spans="1:16">
      <c r="A447" s="2" t="s">
        <v>242</v>
      </c>
      <c r="B447" s="6" t="s">
        <v>805</v>
      </c>
      <c r="C447" s="7" t="str" cm="1">
        <f t="array" ref="C447">_xlfn.LET(
  _xlpm.s, UPPER(B447),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KEEMRKIAQSGKIPHIILHSP</v>
      </c>
      <c r="D447" s="4">
        <v>708</v>
      </c>
      <c r="E447" s="1">
        <v>53</v>
      </c>
      <c r="F447" s="1">
        <v>16</v>
      </c>
      <c r="G447" s="1">
        <v>35</v>
      </c>
      <c r="I447">
        <f t="shared" si="36"/>
        <v>-0.1337042235684105</v>
      </c>
      <c r="J447">
        <f t="shared" si="37"/>
        <v>-1.1064384241554115</v>
      </c>
      <c r="K447">
        <f t="shared" si="38"/>
        <v>-0.35703671825433814</v>
      </c>
      <c r="M447">
        <f t="shared" si="39"/>
        <v>-0.53239312199272004</v>
      </c>
      <c r="P447" s="16" t="s">
        <v>1685</v>
      </c>
    </row>
    <row r="448" spans="1:16">
      <c r="A448" s="2" t="s">
        <v>351</v>
      </c>
      <c r="B448" s="6" t="s">
        <v>914</v>
      </c>
      <c r="C448" s="7" t="str" cm="1">
        <f t="array" ref="C448">_xlfn.LET(
  _xlpm.s, UPPER(B448),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KATMKEIVASGKIPHIILHSP</v>
      </c>
      <c r="D448" s="4">
        <v>712</v>
      </c>
      <c r="E448" s="1">
        <v>20</v>
      </c>
      <c r="F448" s="1">
        <v>87</v>
      </c>
      <c r="G448" s="1">
        <v>17</v>
      </c>
      <c r="I448">
        <f t="shared" si="36"/>
        <v>-0.55939683345230562</v>
      </c>
      <c r="J448">
        <f t="shared" si="37"/>
        <v>-0.37348589013980493</v>
      </c>
      <c r="K448">
        <f t="shared" si="38"/>
        <v>-0.67310257717342714</v>
      </c>
      <c r="M448">
        <f t="shared" si="39"/>
        <v>-0.53532843358851256</v>
      </c>
      <c r="P448" s="16" t="s">
        <v>1685</v>
      </c>
    </row>
    <row r="449" spans="1:16">
      <c r="A449" s="2" t="s">
        <v>464</v>
      </c>
      <c r="B449" s="6" t="s">
        <v>1027</v>
      </c>
      <c r="C449" s="7" t="str" cm="1">
        <f t="array" ref="C449">_xlfn.LET(
  _xlpm.s, UPPER(B449),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RERFRKIAASGKIPHIILHSP</v>
      </c>
      <c r="D449" s="4">
        <v>1442</v>
      </c>
      <c r="E449" s="1">
        <v>30</v>
      </c>
      <c r="F449" s="1">
        <v>67</v>
      </c>
      <c r="G449" s="1">
        <v>114</v>
      </c>
      <c r="I449">
        <f t="shared" si="36"/>
        <v>-0.68979084114317835</v>
      </c>
      <c r="J449">
        <f t="shared" si="37"/>
        <v>-0.7934156068041508</v>
      </c>
      <c r="K449">
        <f t="shared" si="38"/>
        <v>-0.15313191396178238</v>
      </c>
      <c r="M449">
        <f t="shared" si="39"/>
        <v>-0.54544612063637044</v>
      </c>
      <c r="P449" s="16" t="s">
        <v>1685</v>
      </c>
    </row>
    <row r="450" spans="1:16">
      <c r="A450" s="2" t="s">
        <v>217</v>
      </c>
      <c r="B450" s="6" t="s">
        <v>780</v>
      </c>
      <c r="C450" s="7" t="str" cm="1">
        <f t="array" ref="C450">_xlfn.LET(
  _xlpm.s, UPPER(B450),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KELFKSIVESGKIPHIILHSP</v>
      </c>
      <c r="D450" s="4">
        <v>577</v>
      </c>
      <c r="E450" s="1">
        <v>22</v>
      </c>
      <c r="F450" s="1">
        <v>17</v>
      </c>
      <c r="G450" s="1">
        <v>38</v>
      </c>
      <c r="I450">
        <f t="shared" si="36"/>
        <v>-0.42669996781295572</v>
      </c>
      <c r="J450">
        <f t="shared" si="37"/>
        <v>-0.99125204089902452</v>
      </c>
      <c r="K450">
        <f t="shared" si="38"/>
        <v>-0.23246372145376593</v>
      </c>
      <c r="M450">
        <f t="shared" si="39"/>
        <v>-0.55013857672191535</v>
      </c>
      <c r="P450" s="15" t="s">
        <v>1686</v>
      </c>
    </row>
    <row r="451" spans="1:16">
      <c r="A451" s="2" t="s">
        <v>9</v>
      </c>
      <c r="B451" s="6" t="s">
        <v>572</v>
      </c>
      <c r="C451" s="7" t="str" cm="1">
        <f t="array" ref="C451">_xlfn.LET(
  _xlpm.s, UPPER(B451),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KKTMQEIAASGKIPHIILHSP</v>
      </c>
      <c r="D451" s="4">
        <v>466</v>
      </c>
      <c r="E451" s="1">
        <v>21</v>
      </c>
      <c r="F451" s="1">
        <v>22</v>
      </c>
      <c r="G451" s="1">
        <v>16</v>
      </c>
      <c r="I451">
        <f t="shared" si="36"/>
        <v>-0.35411345743551137</v>
      </c>
      <c r="J451">
        <f t="shared" si="37"/>
        <v>-0.78648838498936102</v>
      </c>
      <c r="K451">
        <f t="shared" si="38"/>
        <v>-0.51533743894892003</v>
      </c>
      <c r="M451">
        <f t="shared" si="39"/>
        <v>-0.55197976045793073</v>
      </c>
      <c r="P451" s="16" t="s">
        <v>1685</v>
      </c>
    </row>
    <row r="452" spans="1:16">
      <c r="A452" s="2" t="s">
        <v>257</v>
      </c>
      <c r="B452" s="6" t="s">
        <v>820</v>
      </c>
      <c r="C452" s="7" t="str" cm="1">
        <f t="array" ref="C452">_xlfn.LET(
  _xlpm.s, UPPER(B452),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KEYFKNIVASGKIPHIILHSP</v>
      </c>
      <c r="D452" s="4">
        <v>111</v>
      </c>
      <c r="E452" s="1">
        <v>4</v>
      </c>
      <c r="F452" s="1">
        <v>3</v>
      </c>
      <c r="G452" s="1">
        <v>8</v>
      </c>
      <c r="I452">
        <f t="shared" si="36"/>
        <v>-0.45120982293812562</v>
      </c>
      <c r="J452">
        <f t="shared" si="37"/>
        <v>-1.0287268731885622</v>
      </c>
      <c r="K452">
        <f t="shared" si="38"/>
        <v>-0.19330449670955852</v>
      </c>
      <c r="M452">
        <f t="shared" si="39"/>
        <v>-0.55774706427874876</v>
      </c>
      <c r="P452" s="15" t="s">
        <v>1686</v>
      </c>
    </row>
    <row r="453" spans="1:16">
      <c r="A453" s="2" t="s">
        <v>59</v>
      </c>
      <c r="B453" s="6" t="s">
        <v>622</v>
      </c>
      <c r="C453" s="7" t="str" cm="1">
        <f t="array" ref="C453">_xlfn.LET(
  _xlpm.s, UPPER(B453),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KKFFKDIVEKGKIPHIILHSP</v>
      </c>
      <c r="D453" s="4">
        <v>70</v>
      </c>
      <c r="E453" s="1">
        <v>1</v>
      </c>
      <c r="F453" s="1">
        <v>4</v>
      </c>
      <c r="G453" s="1">
        <v>6</v>
      </c>
      <c r="I453">
        <f t="shared" si="36"/>
        <v>-0.85304487549368746</v>
      </c>
      <c r="J453">
        <f t="shared" si="37"/>
        <v>-0.70356319780786147</v>
      </c>
      <c r="K453">
        <f t="shared" si="38"/>
        <v>-0.11801829454545798</v>
      </c>
      <c r="M453">
        <f t="shared" si="39"/>
        <v>-0.55820878928233564</v>
      </c>
      <c r="P453" s="15" t="s">
        <v>1686</v>
      </c>
    </row>
    <row r="454" spans="1:16">
      <c r="A454" s="2" t="s">
        <v>179</v>
      </c>
      <c r="B454" s="6" t="s">
        <v>742</v>
      </c>
      <c r="C454" s="7" t="str" cm="1">
        <f t="array" ref="C454">_xlfn.LET(
  _xlpm.s, UPPER(B454),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KELLKKIAKSGKIPHIILHSP</v>
      </c>
      <c r="D454" s="4">
        <v>283</v>
      </c>
      <c r="E454" s="1">
        <v>4</v>
      </c>
      <c r="F454" s="1">
        <v>13</v>
      </c>
      <c r="G454" s="1">
        <v>30</v>
      </c>
      <c r="I454">
        <f t="shared" si="36"/>
        <v>-0.85767327967575846</v>
      </c>
      <c r="J454">
        <f t="shared" si="37"/>
        <v>-0.79836823233902054</v>
      </c>
      <c r="K454">
        <f t="shared" si="38"/>
        <v>-2.5736685719472518E-2</v>
      </c>
      <c r="M454">
        <f t="shared" si="39"/>
        <v>-0.56059273257808384</v>
      </c>
      <c r="P454" s="16" t="s">
        <v>1685</v>
      </c>
    </row>
    <row r="455" spans="1:16">
      <c r="A455" s="2" t="s">
        <v>131</v>
      </c>
      <c r="B455" s="6" t="s">
        <v>694</v>
      </c>
      <c r="C455" s="7" t="str" cm="1">
        <f t="array" ref="C455">_xlfn.LET(
  _xlpm.s, UPPER(B455),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KETFKKIAASGKIPHIILHSP</v>
      </c>
      <c r="D455" s="4">
        <v>303</v>
      </c>
      <c r="E455" s="1">
        <v>26</v>
      </c>
      <c r="F455" s="1">
        <v>6</v>
      </c>
      <c r="G455" s="1">
        <v>12</v>
      </c>
      <c r="I455">
        <f t="shared" si="36"/>
        <v>-7.4416116010917577E-2</v>
      </c>
      <c r="J455">
        <f t="shared" si="37"/>
        <v>-1.1638165272402285</v>
      </c>
      <c r="K455">
        <f t="shared" si="38"/>
        <v>-0.45333288736952482</v>
      </c>
      <c r="M455">
        <f t="shared" si="39"/>
        <v>-0.56385517687355702</v>
      </c>
      <c r="P455" s="16" t="s">
        <v>1685</v>
      </c>
    </row>
    <row r="456" spans="1:16">
      <c r="A456" s="2" t="s">
        <v>243</v>
      </c>
      <c r="B456" s="6" t="s">
        <v>806</v>
      </c>
      <c r="C456" s="7" t="str" cm="1">
        <f t="array" ref="C456">_xlfn.LET(
  _xlpm.s, UPPER(B456),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KEEMLKIAKSGKIPHIILHSP</v>
      </c>
      <c r="D456" s="4">
        <v>359</v>
      </c>
      <c r="E456" s="1">
        <v>11</v>
      </c>
      <c r="F456" s="1">
        <v>10</v>
      </c>
      <c r="G456" s="1">
        <v>28</v>
      </c>
      <c r="I456">
        <f t="shared" si="36"/>
        <v>-0.52164859889952475</v>
      </c>
      <c r="J456">
        <f t="shared" si="37"/>
        <v>-1.0156195976998861</v>
      </c>
      <c r="K456">
        <f t="shared" si="38"/>
        <v>-0.15900792215094461</v>
      </c>
      <c r="M456">
        <f t="shared" si="39"/>
        <v>-0.56542537291678518</v>
      </c>
      <c r="P456" s="16" t="s">
        <v>1685</v>
      </c>
    </row>
    <row r="457" spans="1:16">
      <c r="A457" s="2" t="s">
        <v>7</v>
      </c>
      <c r="B457" s="6" t="s">
        <v>570</v>
      </c>
      <c r="C457" s="7" t="str" cm="1">
        <f t="array" ref="C457">_xlfn.LET(
  _xlpm.s, UPPER(B457),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KKTMKEIAASGKIPHIILHSP</v>
      </c>
      <c r="D457" s="4">
        <v>379</v>
      </c>
      <c r="E457" s="1">
        <v>25</v>
      </c>
      <c r="F457" s="1">
        <v>12</v>
      </c>
      <c r="G457" s="1">
        <v>12</v>
      </c>
      <c r="I457">
        <f t="shared" si="36"/>
        <v>-0.18864603677546521</v>
      </c>
      <c r="J457">
        <f t="shared" si="37"/>
        <v>-0.95998311304201456</v>
      </c>
      <c r="K457">
        <f t="shared" si="38"/>
        <v>-0.55052946883529219</v>
      </c>
      <c r="M457">
        <f t="shared" si="39"/>
        <v>-0.56638620621759073</v>
      </c>
      <c r="P457" s="16" t="s">
        <v>1685</v>
      </c>
    </row>
    <row r="458" spans="1:16">
      <c r="A458" s="2" t="s">
        <v>11</v>
      </c>
      <c r="B458" s="6" t="s">
        <v>574</v>
      </c>
      <c r="C458" s="7" t="str" cm="1">
        <f t="array" ref="C458">_xlfn.LET(
  _xlpm.s, UPPER(B458),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KKTMLEIAASGKIPHIILHSP</v>
      </c>
      <c r="D458" s="4">
        <v>481</v>
      </c>
      <c r="E458" s="1">
        <v>163</v>
      </c>
      <c r="F458" s="1">
        <v>5</v>
      </c>
      <c r="G458" s="1">
        <v>9</v>
      </c>
      <c r="I458">
        <f t="shared" si="36"/>
        <v>0.52209569255069554</v>
      </c>
      <c r="J458">
        <f t="shared" si="37"/>
        <v>-1.4437002211593799</v>
      </c>
      <c r="K458">
        <f t="shared" si="38"/>
        <v>-0.77897407184935163</v>
      </c>
      <c r="M458">
        <f t="shared" si="39"/>
        <v>-0.56685953348601192</v>
      </c>
      <c r="P458" s="16" t="s">
        <v>1685</v>
      </c>
    </row>
    <row r="459" spans="1:16">
      <c r="A459" s="2" t="s">
        <v>45</v>
      </c>
      <c r="B459" s="6" t="s">
        <v>608</v>
      </c>
      <c r="C459" s="7" t="str" cm="1">
        <f t="array" ref="C459">_xlfn.LET(
  _xlpm.s, UPPER(B459),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KKLFRDIVKRGKIPHIILHSP</v>
      </c>
      <c r="D459" s="4">
        <v>539</v>
      </c>
      <c r="E459" s="1">
        <v>67</v>
      </c>
      <c r="F459" s="1">
        <v>11</v>
      </c>
      <c r="G459" s="1">
        <v>14</v>
      </c>
      <c r="I459">
        <f t="shared" si="36"/>
        <v>8.6539202034657148E-2</v>
      </c>
      <c r="J459">
        <f t="shared" si="37"/>
        <v>-1.1507212291500806</v>
      </c>
      <c r="K459">
        <f t="shared" si="38"/>
        <v>-0.63653223442334528</v>
      </c>
      <c r="M459">
        <f t="shared" si="39"/>
        <v>-0.56690475384625627</v>
      </c>
      <c r="P459" s="15" t="s">
        <v>1686</v>
      </c>
    </row>
    <row r="460" spans="1:16">
      <c r="A460" s="2" t="s">
        <v>480</v>
      </c>
      <c r="B460" s="6" t="s">
        <v>1043</v>
      </c>
      <c r="C460" s="7" t="str" cm="1">
        <f t="array" ref="C460">_xlfn.LET(
  _xlpm.s, UPPER(B460),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LKRMKEIAASGKIPHIILHSP</v>
      </c>
      <c r="D460" s="4">
        <v>1115</v>
      </c>
      <c r="E460" s="1">
        <v>99</v>
      </c>
      <c r="F460" s="1">
        <v>18</v>
      </c>
      <c r="G460" s="1">
        <v>51</v>
      </c>
      <c r="I460">
        <f t="shared" si="36"/>
        <v>-5.9586508266060045E-2</v>
      </c>
      <c r="J460">
        <f t="shared" si="37"/>
        <v>-1.2525275114024406</v>
      </c>
      <c r="K460">
        <f t="shared" si="38"/>
        <v>-0.39077619620108783</v>
      </c>
      <c r="M460">
        <f t="shared" si="39"/>
        <v>-0.56763007195652948</v>
      </c>
      <c r="P460" s="16" t="s">
        <v>1685</v>
      </c>
    </row>
    <row r="461" spans="1:16">
      <c r="A461" s="2" t="s">
        <v>219</v>
      </c>
      <c r="B461" s="6" t="s">
        <v>782</v>
      </c>
      <c r="C461" s="7" t="str" cm="1">
        <f t="array" ref="C461">_xlfn.LET(
  _xlpm.s, UPPER(B461),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KELFKSIVARGKIPHIILHSP</v>
      </c>
      <c r="D461" s="4">
        <v>760</v>
      </c>
      <c r="E461" s="1">
        <v>18</v>
      </c>
      <c r="F461" s="1">
        <v>33</v>
      </c>
      <c r="G461" s="1">
        <v>48</v>
      </c>
      <c r="I461">
        <f t="shared" si="36"/>
        <v>-0.63348792265691589</v>
      </c>
      <c r="J461">
        <f t="shared" si="37"/>
        <v>-0.82282480152447091</v>
      </c>
      <c r="K461">
        <f t="shared" si="38"/>
        <v>-0.25064385982004889</v>
      </c>
      <c r="M461">
        <f t="shared" si="39"/>
        <v>-0.56898552800047864</v>
      </c>
      <c r="P461" s="15" t="s">
        <v>1686</v>
      </c>
    </row>
    <row r="462" spans="1:16">
      <c r="A462" s="2" t="s">
        <v>101</v>
      </c>
      <c r="B462" s="6" t="s">
        <v>664</v>
      </c>
      <c r="C462" s="7" t="str" cm="1">
        <f t="array" ref="C462">_xlfn.LET(
  _xlpm.s, UPPER(B462),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KQFFKDIVQSGKIPHIILHSP</v>
      </c>
      <c r="D462" s="4">
        <v>247</v>
      </c>
      <c r="E462" s="1">
        <v>12</v>
      </c>
      <c r="F462" s="1">
        <v>4</v>
      </c>
      <c r="G462" s="1">
        <v>20</v>
      </c>
      <c r="I462">
        <f t="shared" si="36"/>
        <v>-0.32146254269147145</v>
      </c>
      <c r="J462">
        <f t="shared" si="37"/>
        <v>-1.2511621110532705</v>
      </c>
      <c r="K462">
        <f t="shared" si="38"/>
        <v>-0.14273846251052924</v>
      </c>
      <c r="M462">
        <f t="shared" si="39"/>
        <v>-0.57178770541842372</v>
      </c>
      <c r="P462" s="15" t="s">
        <v>1686</v>
      </c>
    </row>
    <row r="463" spans="1:16">
      <c r="A463" s="2" t="s">
        <v>289</v>
      </c>
      <c r="B463" s="6" t="s">
        <v>852</v>
      </c>
      <c r="C463" s="7" t="str" cm="1">
        <f t="array" ref="C463">_xlfn.LET(
  _xlpm.s, UPPER(B463),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KEFFKNIVKSGKIPHIILHSP</v>
      </c>
      <c r="D463" s="4">
        <v>66</v>
      </c>
      <c r="E463" s="1">
        <v>3</v>
      </c>
      <c r="F463" s="1">
        <v>3</v>
      </c>
      <c r="G463" s="1">
        <v>2</v>
      </c>
      <c r="I463">
        <f t="shared" si="36"/>
        <v>-0.35036951630163671</v>
      </c>
      <c r="J463">
        <f t="shared" si="37"/>
        <v>-0.80294782994377323</v>
      </c>
      <c r="K463">
        <f t="shared" si="38"/>
        <v>-0.56958544479273221</v>
      </c>
      <c r="M463">
        <f t="shared" si="39"/>
        <v>-0.57430093034604746</v>
      </c>
      <c r="P463" s="15" t="s">
        <v>1686</v>
      </c>
    </row>
    <row r="464" spans="1:16">
      <c r="A464" s="2" t="s">
        <v>35</v>
      </c>
      <c r="B464" s="6" t="s">
        <v>598</v>
      </c>
      <c r="C464" s="7" t="str" cm="1">
        <f t="array" ref="C464">_xlfn.LET(
  _xlpm.s, UPPER(B464),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KKLFKEIVESGKIPHIILHSP</v>
      </c>
      <c r="D464" s="4">
        <v>269</v>
      </c>
      <c r="E464" s="1">
        <v>10</v>
      </c>
      <c r="F464" s="1">
        <v>8</v>
      </c>
      <c r="G464" s="1">
        <v>15</v>
      </c>
      <c r="I464">
        <f t="shared" si="36"/>
        <v>-0.4376991154818386</v>
      </c>
      <c r="J464">
        <f t="shared" si="37"/>
        <v>-0.98718744213203158</v>
      </c>
      <c r="K464">
        <f t="shared" si="38"/>
        <v>-0.3047325258615714</v>
      </c>
      <c r="M464">
        <f t="shared" si="39"/>
        <v>-0.57653969449181386</v>
      </c>
      <c r="P464" s="16" t="s">
        <v>1685</v>
      </c>
    </row>
    <row r="465" spans="1:16">
      <c r="A465" s="2" t="s">
        <v>237</v>
      </c>
      <c r="B465" s="6" t="s">
        <v>800</v>
      </c>
      <c r="C465" s="7" t="str" cm="1">
        <f t="array" ref="C465">_xlfn.LET(
  _xlpm.s, UPPER(B465),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KEEMKKIADSGKIPHIILHSP</v>
      </c>
      <c r="D465" s="4">
        <v>454</v>
      </c>
      <c r="E465" s="1">
        <v>82</v>
      </c>
      <c r="F465" s="1">
        <v>5</v>
      </c>
      <c r="G465" s="1">
        <v>14</v>
      </c>
      <c r="I465">
        <f t="shared" si="36"/>
        <v>0.24881116404718218</v>
      </c>
      <c r="J465">
        <f t="shared" si="37"/>
        <v>-1.4186109976426522</v>
      </c>
      <c r="K465">
        <f t="shared" si="38"/>
        <v>-0.56199932209371051</v>
      </c>
      <c r="M465">
        <f t="shared" si="39"/>
        <v>-0.57726638522972684</v>
      </c>
      <c r="P465" s="16" t="s">
        <v>1685</v>
      </c>
    </row>
    <row r="466" spans="1:16">
      <c r="A466" s="2" t="s">
        <v>206</v>
      </c>
      <c r="B466" s="6" t="s">
        <v>769</v>
      </c>
      <c r="C466" s="7" t="str" cm="1">
        <f t="array" ref="C466">_xlfn.LET(
  _xlpm.s, UPPER(B466),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KELFKAIVKKGKIPHIILHSP</v>
      </c>
      <c r="D466" s="4">
        <v>349</v>
      </c>
      <c r="E466" s="1">
        <v>11</v>
      </c>
      <c r="F466" s="1">
        <v>18</v>
      </c>
      <c r="G466" s="1">
        <v>13</v>
      </c>
      <c r="I466">
        <f t="shared" si="36"/>
        <v>-0.5093795772803853</v>
      </c>
      <c r="J466">
        <f t="shared" si="37"/>
        <v>-0.74807807097744095</v>
      </c>
      <c r="K466">
        <f t="shared" si="38"/>
        <v>-0.47995357956718787</v>
      </c>
      <c r="M466">
        <f t="shared" si="39"/>
        <v>-0.5791370759416713</v>
      </c>
      <c r="P466" s="15" t="s">
        <v>1686</v>
      </c>
    </row>
    <row r="467" spans="1:16">
      <c r="A467" s="2" t="s">
        <v>46</v>
      </c>
      <c r="B467" s="6" t="s">
        <v>609</v>
      </c>
      <c r="C467" s="7" t="str" cm="1">
        <f t="array" ref="C467">_xlfn.LET(
  _xlpm.s, UPPER(B467),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KKLFEEIAASGKIPHIILHSP</v>
      </c>
      <c r="D467" s="4">
        <v>501</v>
      </c>
      <c r="E467" s="1">
        <v>29</v>
      </c>
      <c r="F467" s="1">
        <v>10</v>
      </c>
      <c r="G467" s="1">
        <v>26</v>
      </c>
      <c r="I467">
        <f t="shared" si="36"/>
        <v>-0.24538656344772014</v>
      </c>
      <c r="J467">
        <f t="shared" si="37"/>
        <v>-1.1603628749888126</v>
      </c>
      <c r="K467">
        <f t="shared" si="38"/>
        <v>-0.3359358828112724</v>
      </c>
      <c r="M467">
        <f t="shared" si="39"/>
        <v>-0.58056177374926843</v>
      </c>
      <c r="P467" s="14" t="s">
        <v>1685</v>
      </c>
    </row>
    <row r="468" spans="1:16">
      <c r="A468" s="2" t="s">
        <v>43</v>
      </c>
      <c r="B468" s="6" t="s">
        <v>606</v>
      </c>
      <c r="C468" s="7" t="str" cm="1">
        <f t="array" ref="C468">_xlfn.LET(
  _xlpm.s, UPPER(B468),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KKLFQDIVAKGKIPHIILHSP</v>
      </c>
      <c r="D468" s="4">
        <v>513</v>
      </c>
      <c r="E468" s="1">
        <v>16</v>
      </c>
      <c r="F468" s="1">
        <v>12</v>
      </c>
      <c r="G468" s="1">
        <v>42</v>
      </c>
      <c r="I468">
        <f t="shared" si="36"/>
        <v>-0.51394421793532197</v>
      </c>
      <c r="J468">
        <f t="shared" si="37"/>
        <v>-1.0914612681857587</v>
      </c>
      <c r="K468">
        <f t="shared" si="38"/>
        <v>-0.13793957962876058</v>
      </c>
      <c r="M468">
        <f t="shared" si="39"/>
        <v>-0.58111502191661379</v>
      </c>
      <c r="P468" s="15" t="s">
        <v>1686</v>
      </c>
    </row>
    <row r="469" spans="1:16">
      <c r="A469" s="2" t="s">
        <v>318</v>
      </c>
      <c r="B469" s="6" t="s">
        <v>881</v>
      </c>
      <c r="C469" s="7" t="str" cm="1">
        <f t="array" ref="C469">_xlfn.LET(
  _xlpm.s, UPPER(B469),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KEFFKSIVAKGKIPHIILHSP</v>
      </c>
      <c r="D469" s="4">
        <v>216</v>
      </c>
      <c r="E469" s="1">
        <v>5</v>
      </c>
      <c r="F469" s="1">
        <v>17</v>
      </c>
      <c r="G469" s="1">
        <v>7</v>
      </c>
      <c r="I469">
        <f t="shared" si="36"/>
        <v>-0.64343058229434269</v>
      </c>
      <c r="J469">
        <f t="shared" si="37"/>
        <v>-0.56452997889422407</v>
      </c>
      <c r="K469">
        <f t="shared" si="38"/>
        <v>-0.54042721605151889</v>
      </c>
      <c r="M469">
        <f t="shared" si="39"/>
        <v>-0.58279592574669514</v>
      </c>
      <c r="P469" s="15" t="s">
        <v>1686</v>
      </c>
    </row>
    <row r="470" spans="1:16">
      <c r="A470" s="2" t="s">
        <v>16</v>
      </c>
      <c r="B470" s="6" t="s">
        <v>579</v>
      </c>
      <c r="C470" s="7" t="str" cm="1">
        <f t="array" ref="C470">_xlfn.LET(
  _xlpm.s, UPPER(B470),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KKRMREIAASGKIPHIILHSP</v>
      </c>
      <c r="D470" s="4">
        <v>1063</v>
      </c>
      <c r="E470" s="1">
        <v>32</v>
      </c>
      <c r="F470" s="1">
        <v>34</v>
      </c>
      <c r="G470" s="1">
        <v>65</v>
      </c>
      <c r="I470">
        <f t="shared" si="36"/>
        <v>-0.52933012168282123</v>
      </c>
      <c r="J470">
        <f t="shared" si="37"/>
        <v>-0.95557949660260866</v>
      </c>
      <c r="K470">
        <f t="shared" si="38"/>
        <v>-0.26469141279528596</v>
      </c>
      <c r="M470">
        <f t="shared" si="39"/>
        <v>-0.58320034369357199</v>
      </c>
      <c r="P470" s="16" t="s">
        <v>1685</v>
      </c>
    </row>
    <row r="471" spans="1:16">
      <c r="A471" s="2" t="s">
        <v>281</v>
      </c>
      <c r="B471" s="6" t="s">
        <v>844</v>
      </c>
      <c r="C471" s="7" t="str" cm="1">
        <f t="array" ref="C471">_xlfn.LET(
  _xlpm.s, UPPER(B471),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KEYFRNIVKSGKIPHIILHSP</v>
      </c>
      <c r="D471" s="4">
        <v>249</v>
      </c>
      <c r="E471" s="1">
        <v>7</v>
      </c>
      <c r="F471" s="1">
        <v>18</v>
      </c>
      <c r="G471" s="1">
        <v>7</v>
      </c>
      <c r="I471">
        <f t="shared" si="36"/>
        <v>-0.55904814256090996</v>
      </c>
      <c r="J471">
        <f t="shared" si="37"/>
        <v>-0.60145199111399739</v>
      </c>
      <c r="K471">
        <f t="shared" si="38"/>
        <v>-0.60217281199632411</v>
      </c>
      <c r="M471">
        <f t="shared" si="39"/>
        <v>-0.58755764855707715</v>
      </c>
      <c r="P471" s="15" t="s">
        <v>1686</v>
      </c>
    </row>
    <row r="472" spans="1:16">
      <c r="A472" s="2" t="s">
        <v>8</v>
      </c>
      <c r="B472" s="6" t="s">
        <v>571</v>
      </c>
      <c r="C472" s="7" t="str" cm="1">
        <f t="array" ref="C472">_xlfn.LET(
  _xlpm.s, UPPER(B472),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KKTMKEIASSGKIPHIILHSP</v>
      </c>
      <c r="D472" s="4">
        <v>301</v>
      </c>
      <c r="E472" s="1">
        <v>8</v>
      </c>
      <c r="F472" s="1">
        <v>3</v>
      </c>
      <c r="G472" s="1">
        <v>59</v>
      </c>
      <c r="I472">
        <f t="shared" si="36"/>
        <v>-0.58342334408133034</v>
      </c>
      <c r="J472">
        <f t="shared" si="37"/>
        <v>-1.4619703899957481</v>
      </c>
      <c r="K472">
        <f t="shared" si="38"/>
        <v>0.2412140111334562</v>
      </c>
      <c r="M472">
        <f t="shared" si="39"/>
        <v>-0.60139324098120739</v>
      </c>
      <c r="P472" s="16" t="s">
        <v>1685</v>
      </c>
    </row>
    <row r="473" spans="1:16">
      <c r="A473" s="2" t="s">
        <v>238</v>
      </c>
      <c r="B473" s="6" t="s">
        <v>801</v>
      </c>
      <c r="C473" s="7" t="str" cm="1">
        <f t="array" ref="C473">_xlfn.LET(
  _xlpm.s, UPPER(B473),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KEEMKKIAASGKIPHIILHSP</v>
      </c>
      <c r="D473" s="4">
        <v>504</v>
      </c>
      <c r="E473" s="1">
        <v>9</v>
      </c>
      <c r="F473" s="1">
        <v>11</v>
      </c>
      <c r="G473" s="1">
        <v>67</v>
      </c>
      <c r="I473">
        <f t="shared" si="36"/>
        <v>-0.756134862485631</v>
      </c>
      <c r="J473">
        <f t="shared" si="37"/>
        <v>-1.1215630004088673</v>
      </c>
      <c r="K473">
        <f t="shared" si="38"/>
        <v>7.2572761340456426E-2</v>
      </c>
      <c r="M473">
        <f t="shared" si="39"/>
        <v>-0.60170836718468068</v>
      </c>
      <c r="P473" s="16" t="s">
        <v>1685</v>
      </c>
    </row>
    <row r="474" spans="1:16">
      <c r="A474" s="2" t="s">
        <v>354</v>
      </c>
      <c r="B474" s="6" t="s">
        <v>917</v>
      </c>
      <c r="C474" s="7" t="str" cm="1">
        <f t="array" ref="C474">_xlfn.LET(
  _xlpm.s, UPPER(B474),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KATFKEIAASGKIPHIILHSP</v>
      </c>
      <c r="D474" s="4">
        <v>666</v>
      </c>
      <c r="E474" s="1">
        <v>26</v>
      </c>
      <c r="F474" s="1">
        <v>11</v>
      </c>
      <c r="G474" s="1">
        <v>53</v>
      </c>
      <c r="I474">
        <f t="shared" si="36"/>
        <v>-0.41644771667891356</v>
      </c>
      <c r="J474">
        <f t="shared" si="37"/>
        <v>-1.2426066931336432</v>
      </c>
      <c r="K474">
        <f t="shared" si="38"/>
        <v>-0.15026986448435675</v>
      </c>
      <c r="M474">
        <f t="shared" si="39"/>
        <v>-0.60310809143230448</v>
      </c>
      <c r="P474" s="16" t="s">
        <v>1685</v>
      </c>
    </row>
    <row r="475" spans="1:16">
      <c r="A475" s="2" t="s">
        <v>317</v>
      </c>
      <c r="B475" s="6" t="s">
        <v>880</v>
      </c>
      <c r="C475" s="7" t="str" cm="1">
        <f t="array" ref="C475">_xlfn.LET(
  _xlpm.s, UPPER(B475),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KEFFKSIVESGKIPHIILHSP</v>
      </c>
      <c r="D475" s="4">
        <v>181</v>
      </c>
      <c r="E475" s="1">
        <v>6</v>
      </c>
      <c r="F475" s="1">
        <v>5</v>
      </c>
      <c r="G475" s="1">
        <v>10</v>
      </c>
      <c r="I475">
        <f t="shared" si="36"/>
        <v>-0.48747415996497145</v>
      </c>
      <c r="J475">
        <f t="shared" si="37"/>
        <v>-1.019233719654733</v>
      </c>
      <c r="K475">
        <f t="shared" si="38"/>
        <v>-0.30875007978402924</v>
      </c>
      <c r="M475">
        <f t="shared" si="39"/>
        <v>-0.60515265313457789</v>
      </c>
      <c r="P475" s="15" t="s">
        <v>1686</v>
      </c>
    </row>
    <row r="476" spans="1:16">
      <c r="A476" s="2" t="s">
        <v>39</v>
      </c>
      <c r="B476" s="6" t="s">
        <v>602</v>
      </c>
      <c r="C476" s="7" t="str" cm="1">
        <f t="array" ref="C476">_xlfn.LET(
  _xlpm.s, UPPER(B476),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KKLFKDIAASGKIPHIILHSP</v>
      </c>
      <c r="D476" s="4">
        <v>461</v>
      </c>
      <c r="E476" s="1">
        <v>26</v>
      </c>
      <c r="F476" s="1">
        <v>9</v>
      </c>
      <c r="G476" s="1">
        <v>20</v>
      </c>
      <c r="I476">
        <f t="shared" si="36"/>
        <v>-0.25667441289826076</v>
      </c>
      <c r="J476">
        <f t="shared" si="37"/>
        <v>-1.1699835650718904</v>
      </c>
      <c r="K476">
        <f t="shared" si="38"/>
        <v>-0.41374243464051164</v>
      </c>
      <c r="M476">
        <f t="shared" si="39"/>
        <v>-0.61346680420355426</v>
      </c>
      <c r="P476" s="14" t="s">
        <v>1685</v>
      </c>
    </row>
    <row r="477" spans="1:16">
      <c r="A477" s="2" t="s">
        <v>450</v>
      </c>
      <c r="B477" s="6" t="s">
        <v>1013</v>
      </c>
      <c r="C477" s="7" t="str" cm="1">
        <f t="array" ref="C477">_xlfn.LET(
  _xlpm.s, UPPER(B477),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KSFFKAIVESGKIPHIILHSP</v>
      </c>
      <c r="D477" s="4">
        <v>274</v>
      </c>
      <c r="E477" s="1">
        <v>7</v>
      </c>
      <c r="F477" s="1">
        <v>10</v>
      </c>
      <c r="G477" s="1">
        <v>14</v>
      </c>
      <c r="I477">
        <f t="shared" si="36"/>
        <v>-0.60059935828556177</v>
      </c>
      <c r="J477">
        <f t="shared" si="37"/>
        <v>-0.89827571194195499</v>
      </c>
      <c r="K477">
        <f t="shared" si="38"/>
        <v>-0.34269403205699467</v>
      </c>
      <c r="M477">
        <f t="shared" si="39"/>
        <v>-0.6138563674281704</v>
      </c>
      <c r="P477" s="15" t="s">
        <v>1686</v>
      </c>
    </row>
    <row r="478" spans="1:16">
      <c r="A478" s="2" t="s">
        <v>349</v>
      </c>
      <c r="B478" s="6" t="s">
        <v>912</v>
      </c>
      <c r="C478" s="7" t="str" cm="1">
        <f t="array" ref="C478">_xlfn.LET(
  _xlpm.s, UPPER(B478),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KATMKEIAASGKIPHIILHSP</v>
      </c>
      <c r="D478" s="4">
        <v>1019</v>
      </c>
      <c r="E478" s="1">
        <v>37</v>
      </c>
      <c r="F478" s="1">
        <v>33</v>
      </c>
      <c r="G478" s="1">
        <v>41</v>
      </c>
      <c r="I478">
        <f t="shared" si="36"/>
        <v>-0.447919295418862</v>
      </c>
      <c r="J478">
        <f t="shared" si="37"/>
        <v>-0.95018539325010598</v>
      </c>
      <c r="K478">
        <f t="shared" si="38"/>
        <v>-0.44646183220153568</v>
      </c>
      <c r="M478">
        <f t="shared" si="39"/>
        <v>-0.61485550695683455</v>
      </c>
      <c r="P478" s="16" t="s">
        <v>1685</v>
      </c>
    </row>
    <row r="479" spans="1:16">
      <c r="A479" s="2" t="s">
        <v>451</v>
      </c>
      <c r="B479" s="6" t="s">
        <v>1014</v>
      </c>
      <c r="C479" s="7" t="str" cm="1">
        <f t="array" ref="C479">_xlfn.LET(
  _xlpm.s, UPPER(B479),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KSFFKSIVASGKIPHIILHSP</v>
      </c>
      <c r="D479" s="4">
        <v>246</v>
      </c>
      <c r="E479" s="1">
        <v>13</v>
      </c>
      <c r="F479" s="1">
        <v>9</v>
      </c>
      <c r="G479" s="1">
        <v>6</v>
      </c>
      <c r="I479">
        <f t="shared" si="36"/>
        <v>-0.2849385902759729</v>
      </c>
      <c r="J479">
        <f t="shared" si="37"/>
        <v>-0.89721774678562138</v>
      </c>
      <c r="K479">
        <f t="shared" si="38"/>
        <v>-0.66385536163458014</v>
      </c>
      <c r="M479">
        <f t="shared" si="39"/>
        <v>-0.61533723289872477</v>
      </c>
      <c r="P479" s="15" t="s">
        <v>1686</v>
      </c>
    </row>
    <row r="480" spans="1:16">
      <c r="A480" s="2" t="s">
        <v>247</v>
      </c>
      <c r="B480" s="6" t="s">
        <v>810</v>
      </c>
      <c r="C480" s="7" t="str" cm="1">
        <f t="array" ref="C480">_xlfn.LET(
  _xlpm.s, UPPER(B480),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KEEFQAIVAKGKIPHIILHSP</v>
      </c>
      <c r="D480" s="4">
        <v>597</v>
      </c>
      <c r="E480" s="1">
        <v>25</v>
      </c>
      <c r="F480" s="1">
        <v>5</v>
      </c>
      <c r="G480" s="1">
        <v>80</v>
      </c>
      <c r="I480">
        <f t="shared" si="36"/>
        <v>-0.38598115793676202</v>
      </c>
      <c r="J480">
        <f t="shared" si="37"/>
        <v>-1.5375294759149174</v>
      </c>
      <c r="K480">
        <f t="shared" si="38"/>
        <v>7.6044150947729761E-2</v>
      </c>
      <c r="M480">
        <f t="shared" si="39"/>
        <v>-0.61582216096798315</v>
      </c>
      <c r="P480" s="16" t="s">
        <v>1686</v>
      </c>
    </row>
    <row r="481" spans="1:16">
      <c r="A481" s="2" t="s">
        <v>408</v>
      </c>
      <c r="B481" s="6" t="s">
        <v>971</v>
      </c>
      <c r="C481" s="7" t="str" cm="1">
        <f t="array" ref="C481">_xlfn.LET(
  _xlpm.s, UPPER(B481),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KAELKRIAASGKIPHIILHSP</v>
      </c>
      <c r="D481" s="4">
        <v>1582</v>
      </c>
      <c r="E481" s="1">
        <v>67</v>
      </c>
      <c r="F481" s="1">
        <v>44</v>
      </c>
      <c r="G481" s="1">
        <v>63</v>
      </c>
      <c r="I481">
        <f t="shared" si="36"/>
        <v>-0.38107851194026177</v>
      </c>
      <c r="J481">
        <f t="shared" si="37"/>
        <v>-1.0162789517970374</v>
      </c>
      <c r="K481">
        <f t="shared" si="38"/>
        <v>-0.45093743462292069</v>
      </c>
      <c r="M481">
        <f t="shared" si="39"/>
        <v>-0.61609829945340666</v>
      </c>
      <c r="P481" s="16" t="s">
        <v>1685</v>
      </c>
    </row>
    <row r="482" spans="1:16">
      <c r="A482" s="2" t="s">
        <v>362</v>
      </c>
      <c r="B482" s="6" t="s">
        <v>925</v>
      </c>
      <c r="C482" s="7" t="str" cm="1">
        <f t="array" ref="C482">_xlfn.LET(
  _xlpm.s, UPPER(B482),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KARMREIAKSGKIPHIILHSP</v>
      </c>
      <c r="D482" s="4">
        <v>1282</v>
      </c>
      <c r="E482" s="1">
        <v>58</v>
      </c>
      <c r="F482" s="1">
        <v>44</v>
      </c>
      <c r="G482" s="1">
        <v>36</v>
      </c>
      <c r="I482">
        <f t="shared" si="36"/>
        <v>-0.35240686709929192</v>
      </c>
      <c r="J482">
        <f t="shared" si="37"/>
        <v>-0.92496049781817813</v>
      </c>
      <c r="K482">
        <f t="shared" si="38"/>
        <v>-0.60265702933035592</v>
      </c>
      <c r="M482">
        <f t="shared" si="39"/>
        <v>-0.62667479808260862</v>
      </c>
      <c r="P482" s="16" t="s">
        <v>1685</v>
      </c>
    </row>
    <row r="483" spans="1:16">
      <c r="A483" s="2" t="s">
        <v>142</v>
      </c>
      <c r="B483" s="6" t="s">
        <v>705</v>
      </c>
      <c r="C483" s="7" t="str" cm="1">
        <f t="array" ref="C483">_xlfn.LET(
  _xlpm.s, UPPER(B483),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KERMKEIVASGKIPHIILHSP</v>
      </c>
      <c r="D483" s="4">
        <v>991</v>
      </c>
      <c r="E483" s="1">
        <v>41</v>
      </c>
      <c r="F483" s="1">
        <v>37</v>
      </c>
      <c r="G483" s="1">
        <v>22</v>
      </c>
      <c r="I483">
        <f t="shared" si="36"/>
        <v>-0.39123663324497038</v>
      </c>
      <c r="J483">
        <f t="shared" si="37"/>
        <v>-0.88839707953984737</v>
      </c>
      <c r="K483">
        <f t="shared" si="38"/>
        <v>-0.70472247857791381</v>
      </c>
      <c r="M483">
        <f t="shared" si="39"/>
        <v>-0.66145206378757726</v>
      </c>
      <c r="P483" s="16" t="s">
        <v>1685</v>
      </c>
    </row>
    <row r="484" spans="1:16">
      <c r="A484" s="2" t="s">
        <v>393</v>
      </c>
      <c r="B484" s="6" t="s">
        <v>956</v>
      </c>
      <c r="C484" s="7" t="str" cm="1">
        <f t="array" ref="C484">_xlfn.LET(
  _xlpm.s, UPPER(B484),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KALFKSIVKRGKIPHIILHSP</v>
      </c>
      <c r="D484" s="4">
        <v>489</v>
      </c>
      <c r="E484" s="1">
        <v>11</v>
      </c>
      <c r="F484" s="1">
        <v>14</v>
      </c>
      <c r="G484" s="1">
        <v>24</v>
      </c>
      <c r="I484">
        <f t="shared" si="36"/>
        <v>-0.65586300944482567</v>
      </c>
      <c r="J484">
        <f t="shared" si="37"/>
        <v>-1.0037059725669493</v>
      </c>
      <c r="K484">
        <f t="shared" si="38"/>
        <v>-0.36016912232685883</v>
      </c>
      <c r="M484">
        <f t="shared" si="39"/>
        <v>-0.6732460347795447</v>
      </c>
      <c r="P484" s="15" t="s">
        <v>1686</v>
      </c>
    </row>
    <row r="485" spans="1:16">
      <c r="A485" s="2" t="s">
        <v>27</v>
      </c>
      <c r="B485" s="6" t="s">
        <v>590</v>
      </c>
      <c r="C485" s="7" t="str" cm="1">
        <f t="array" ref="C485">_xlfn.LET(
  _xlpm.s, UPPER(B485),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KKLMREIVASGKIPHIILHSP</v>
      </c>
      <c r="D485" s="4">
        <v>678</v>
      </c>
      <c r="E485" s="1">
        <v>20</v>
      </c>
      <c r="F485" s="1">
        <v>2</v>
      </c>
      <c r="G485" s="1">
        <v>235</v>
      </c>
      <c r="I485">
        <f t="shared" si="36"/>
        <v>-0.53814653368251264</v>
      </c>
      <c r="J485">
        <f t="shared" si="37"/>
        <v>-1.9907248473246493</v>
      </c>
      <c r="K485">
        <f t="shared" si="38"/>
        <v>0.48876666348982822</v>
      </c>
      <c r="M485">
        <f t="shared" si="39"/>
        <v>-0.6800349058391113</v>
      </c>
      <c r="P485" s="16" t="s">
        <v>1685</v>
      </c>
    </row>
    <row r="486" spans="1:16">
      <c r="A486" s="2" t="s">
        <v>33</v>
      </c>
      <c r="B486" s="6" t="s">
        <v>596</v>
      </c>
      <c r="C486" s="7" t="str" cm="1">
        <f t="array" ref="C486">_xlfn.LET(
  _xlpm.s, UPPER(B486),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KKLFKEIAAAGKIPHIILHSP</v>
      </c>
      <c r="D486" s="4">
        <v>404</v>
      </c>
      <c r="E486" s="1">
        <v>15</v>
      </c>
      <c r="F486" s="1">
        <v>22</v>
      </c>
      <c r="G486" s="1">
        <v>6</v>
      </c>
      <c r="I486">
        <f t="shared" si="36"/>
        <v>-0.43823694153435433</v>
      </c>
      <c r="J486">
        <f t="shared" si="37"/>
        <v>-0.72448383340996581</v>
      </c>
      <c r="K486">
        <f t="shared" si="38"/>
        <v>-0.87930161964180598</v>
      </c>
      <c r="M486">
        <f t="shared" si="39"/>
        <v>-0.68067413152870859</v>
      </c>
      <c r="P486" s="16" t="s">
        <v>1685</v>
      </c>
    </row>
    <row r="487" spans="1:16">
      <c r="A487" s="2" t="s">
        <v>244</v>
      </c>
      <c r="B487" s="6" t="s">
        <v>807</v>
      </c>
      <c r="C487" s="7" t="str" cm="1">
        <f t="array" ref="C487">_xlfn.LET(
  _xlpm.s, UPPER(B487),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KEELKKIAASGKIPHIILHSP</v>
      </c>
      <c r="D487" s="4">
        <v>543</v>
      </c>
      <c r="E487" s="1">
        <v>15</v>
      </c>
      <c r="F487" s="1">
        <v>9</v>
      </c>
      <c r="G487" s="1">
        <v>34</v>
      </c>
      <c r="I487">
        <f t="shared" si="36"/>
        <v>-0.56665540601259634</v>
      </c>
      <c r="J487">
        <f t="shared" si="37"/>
        <v>-1.2410824692710891</v>
      </c>
      <c r="K487">
        <f t="shared" si="38"/>
        <v>-0.25439241746143648</v>
      </c>
      <c r="M487">
        <f t="shared" si="39"/>
        <v>-0.68737676424837402</v>
      </c>
      <c r="P487" s="16" t="s">
        <v>1685</v>
      </c>
    </row>
    <row r="488" spans="1:16">
      <c r="A488" s="2" t="s">
        <v>116</v>
      </c>
      <c r="B488" s="6" t="s">
        <v>679</v>
      </c>
      <c r="C488" s="7" t="str" cm="1">
        <f t="array" ref="C488">_xlfn.LET(
  _xlpm.s, UPPER(B488),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KEKFRAIVAKGKIPHIILHSP</v>
      </c>
      <c r="D488" s="4">
        <v>408</v>
      </c>
      <c r="E488" s="1">
        <v>9</v>
      </c>
      <c r="F488" s="1">
        <v>21</v>
      </c>
      <c r="G488" s="1">
        <v>10</v>
      </c>
      <c r="I488">
        <f t="shared" si="36"/>
        <v>-0.66436448912998558</v>
      </c>
      <c r="J488">
        <f t="shared" si="37"/>
        <v>-0.74896601747752778</v>
      </c>
      <c r="K488">
        <f t="shared" si="38"/>
        <v>-0.66173166800472472</v>
      </c>
      <c r="M488">
        <f t="shared" si="39"/>
        <v>-0.69168739153741277</v>
      </c>
      <c r="P488" s="15" t="s">
        <v>1686</v>
      </c>
    </row>
    <row r="489" spans="1:16">
      <c r="A489" s="2" t="s">
        <v>254</v>
      </c>
      <c r="B489" s="6" t="s">
        <v>817</v>
      </c>
      <c r="C489" s="7" t="str" cm="1">
        <f t="array" ref="C489">_xlfn.LET(
  _xlpm.s, UPPER(B489),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KEYFKNIVKSGKIPHIILHSP</v>
      </c>
      <c r="D489" s="4">
        <v>82</v>
      </c>
      <c r="E489" s="1">
        <v>5</v>
      </c>
      <c r="F489" s="1">
        <v>1</v>
      </c>
      <c r="G489" s="1">
        <v>3</v>
      </c>
      <c r="I489">
        <f t="shared" si="36"/>
        <v>-0.2227906835271285</v>
      </c>
      <c r="J489">
        <f t="shared" si="37"/>
        <v>-1.3743390015052839</v>
      </c>
      <c r="K489">
        <f t="shared" si="38"/>
        <v>-0.48776410257889902</v>
      </c>
      <c r="M489">
        <f t="shared" si="39"/>
        <v>-0.69496459587043713</v>
      </c>
      <c r="P489" s="15" t="s">
        <v>1686</v>
      </c>
    </row>
    <row r="490" spans="1:16">
      <c r="A490" s="2" t="s">
        <v>498</v>
      </c>
      <c r="B490" s="6" t="s">
        <v>1061</v>
      </c>
      <c r="C490" s="7" t="str" cm="1">
        <f t="array" ref="C490">_xlfn.LET(
  _xlpm.s, UPPER(B490),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LQLFKEIAASGKIPHIILHSP</v>
      </c>
      <c r="D490" s="4">
        <v>964</v>
      </c>
      <c r="E490" s="1">
        <v>65</v>
      </c>
      <c r="F490" s="1">
        <v>11</v>
      </c>
      <c r="G490" s="1">
        <v>33</v>
      </c>
      <c r="I490">
        <f t="shared" si="36"/>
        <v>-0.1791105127394057</v>
      </c>
      <c r="J490">
        <f t="shared" si="37"/>
        <v>-1.4032094978661727</v>
      </c>
      <c r="K490">
        <f t="shared" si="38"/>
        <v>-0.51663459893978803</v>
      </c>
      <c r="M490">
        <f t="shared" si="39"/>
        <v>-0.69965153651512202</v>
      </c>
      <c r="P490" s="16" t="s">
        <v>1685</v>
      </c>
    </row>
    <row r="491" spans="1:16">
      <c r="A491" s="2" t="s">
        <v>234</v>
      </c>
      <c r="B491" s="6" t="s">
        <v>797</v>
      </c>
      <c r="C491" s="7" t="str" cm="1">
        <f t="array" ref="C491">_xlfn.LET(
  _xlpm.s, UPPER(B491),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KEEMKKIAKSGKIPHIILHSP</v>
      </c>
      <c r="D491" s="4">
        <v>249</v>
      </c>
      <c r="E491" s="1">
        <v>2</v>
      </c>
      <c r="F491" s="1">
        <v>3</v>
      </c>
      <c r="G491" s="1">
        <v>67</v>
      </c>
      <c r="I491">
        <f t="shared" si="36"/>
        <v>-1.1031161869111856</v>
      </c>
      <c r="J491">
        <f t="shared" si="37"/>
        <v>-1.3796032414976409</v>
      </c>
      <c r="K491">
        <f t="shared" si="38"/>
        <v>0.37880395069024542</v>
      </c>
      <c r="M491">
        <f t="shared" si="39"/>
        <v>-0.70130515923952697</v>
      </c>
      <c r="P491" s="16" t="s">
        <v>1685</v>
      </c>
    </row>
    <row r="492" spans="1:16">
      <c r="A492" s="2" t="s">
        <v>133</v>
      </c>
      <c r="B492" s="6" t="s">
        <v>696</v>
      </c>
      <c r="C492" s="7" t="str" cm="1">
        <f t="array" ref="C492">_xlfn.LET(
  _xlpm.s, UPPER(B492),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KEMFKNIVAKGKIPHIILHSP</v>
      </c>
      <c r="D492" s="4">
        <v>214</v>
      </c>
      <c r="E492" s="1">
        <v>3</v>
      </c>
      <c r="F492" s="1">
        <v>8</v>
      </c>
      <c r="G492" s="1">
        <v>10</v>
      </c>
      <c r="I492">
        <f t="shared" si="36"/>
        <v>-0.86123935410895891</v>
      </c>
      <c r="J492">
        <f t="shared" si="37"/>
        <v>-0.88784893547881427</v>
      </c>
      <c r="K492">
        <f t="shared" si="38"/>
        <v>-0.38148527826403544</v>
      </c>
      <c r="M492">
        <f t="shared" si="39"/>
        <v>-0.71019118928393621</v>
      </c>
      <c r="P492" s="15" t="s">
        <v>1686</v>
      </c>
    </row>
    <row r="493" spans="1:16">
      <c r="A493" s="2" t="s">
        <v>443</v>
      </c>
      <c r="B493" s="6" t="s">
        <v>1006</v>
      </c>
      <c r="C493" s="7" t="str" cm="1">
        <f t="array" ref="C493">_xlfn.LET(
  _xlpm.s, UPPER(B493),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KSLMKEIAASGKIPHIILHSP</v>
      </c>
      <c r="D493" s="4">
        <v>552</v>
      </c>
      <c r="E493" s="1">
        <v>14</v>
      </c>
      <c r="F493" s="1">
        <v>16</v>
      </c>
      <c r="G493" s="1">
        <v>18</v>
      </c>
      <c r="I493">
        <f t="shared" si="36"/>
        <v>-0.60375787753039134</v>
      </c>
      <c r="J493">
        <f t="shared" si="37"/>
        <v>-0.99834424419484125</v>
      </c>
      <c r="K493">
        <f t="shared" si="38"/>
        <v>-0.53773807754073744</v>
      </c>
      <c r="M493">
        <f t="shared" si="39"/>
        <v>-0.71328006642198993</v>
      </c>
      <c r="P493" s="15" t="s">
        <v>1685</v>
      </c>
    </row>
    <row r="494" spans="1:16">
      <c r="A494" s="2" t="s">
        <v>396</v>
      </c>
      <c r="B494" s="6" t="s">
        <v>959</v>
      </c>
      <c r="C494" s="7" t="str" cm="1">
        <f t="array" ref="C494">_xlfn.LET(
  _xlpm.s, UPPER(B494),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KALFKSIVARGKIPHIILHSP</v>
      </c>
      <c r="D494" s="4">
        <v>1111</v>
      </c>
      <c r="E494" s="1">
        <v>35</v>
      </c>
      <c r="F494" s="1">
        <v>13</v>
      </c>
      <c r="G494" s="1">
        <v>69</v>
      </c>
      <c r="I494">
        <f t="shared" si="36"/>
        <v>-0.50959285007002264</v>
      </c>
      <c r="J494">
        <f t="shared" si="37"/>
        <v>-1.3922958557555978</v>
      </c>
      <c r="K494">
        <f t="shared" si="38"/>
        <v>-0.25793647311845702</v>
      </c>
      <c r="M494">
        <f t="shared" si="39"/>
        <v>-0.71994172631469244</v>
      </c>
      <c r="P494" s="15" t="s">
        <v>1686</v>
      </c>
    </row>
    <row r="495" spans="1:16">
      <c r="A495" s="2" t="s">
        <v>245</v>
      </c>
      <c r="B495" s="6" t="s">
        <v>808</v>
      </c>
      <c r="C495" s="7" t="str" cm="1">
        <f t="array" ref="C495">_xlfn.LET(
  _xlpm.s, UPPER(B495),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KEEFKKIAASGKIPHIILHSP</v>
      </c>
      <c r="D495" s="4">
        <v>287</v>
      </c>
      <c r="E495" s="1">
        <v>6</v>
      </c>
      <c r="F495" s="1">
        <v>8</v>
      </c>
      <c r="G495" s="1">
        <v>11</v>
      </c>
      <c r="I495">
        <f t="shared" si="36"/>
        <v>-0.68767748182977928</v>
      </c>
      <c r="J495">
        <f t="shared" si="37"/>
        <v>-1.0153170588636158</v>
      </c>
      <c r="K495">
        <f t="shared" si="38"/>
        <v>-0.46756071649061193</v>
      </c>
      <c r="M495">
        <f t="shared" si="39"/>
        <v>-0.72351841906133563</v>
      </c>
      <c r="P495" s="16" t="s">
        <v>1685</v>
      </c>
    </row>
    <row r="496" spans="1:16">
      <c r="A496" s="2" t="s">
        <v>325</v>
      </c>
      <c r="B496" s="6" t="s">
        <v>888</v>
      </c>
      <c r="C496" s="7" t="str" cm="1">
        <f t="array" ref="C496">_xlfn.LET(
  _xlpm.s, UPPER(B496),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KEFFHSIVKSGKIPHIILHSP</v>
      </c>
      <c r="D496" s="4">
        <v>191</v>
      </c>
      <c r="E496" s="1">
        <v>10</v>
      </c>
      <c r="F496" s="1">
        <v>1</v>
      </c>
      <c r="G496" s="1">
        <v>15</v>
      </c>
      <c r="I496">
        <f t="shared" si="36"/>
        <v>-0.28898020272715819</v>
      </c>
      <c r="J496">
        <f t="shared" si="37"/>
        <v>-1.7415585163692948</v>
      </c>
      <c r="K496">
        <f t="shared" si="38"/>
        <v>-0.15601361310689099</v>
      </c>
      <c r="M496">
        <f t="shared" si="39"/>
        <v>-0.72885077740111459</v>
      </c>
      <c r="P496" s="15" t="s">
        <v>1686</v>
      </c>
    </row>
    <row r="497" spans="1:16">
      <c r="A497" s="2" t="s">
        <v>85</v>
      </c>
      <c r="B497" s="6" t="s">
        <v>648</v>
      </c>
      <c r="C497" s="7" t="str" cm="1">
        <f t="array" ref="C497">_xlfn.LET(
  _xlpm.s, UPPER(B497),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KQLLREIAESGKIPHIILHSP</v>
      </c>
      <c r="D497" s="4">
        <v>924</v>
      </c>
      <c r="E497" s="1">
        <v>67</v>
      </c>
      <c r="F497" s="1">
        <v>21</v>
      </c>
      <c r="G497" s="1">
        <v>12</v>
      </c>
      <c r="I497">
        <f t="shared" si="36"/>
        <v>-0.14754400399871082</v>
      </c>
      <c r="J497">
        <f t="shared" si="37"/>
        <v>-1.1039778256077546</v>
      </c>
      <c r="K497">
        <f t="shared" si="38"/>
        <v>-0.93756223008732653</v>
      </c>
      <c r="M497">
        <f t="shared" si="39"/>
        <v>-0.72969468656459735</v>
      </c>
      <c r="P497" s="16" t="s">
        <v>1685</v>
      </c>
    </row>
    <row r="498" spans="1:16">
      <c r="A498" s="2" t="s">
        <v>146</v>
      </c>
      <c r="B498" s="6" t="s">
        <v>709</v>
      </c>
      <c r="C498" s="7" t="str" cm="1">
        <f t="array" ref="C498">_xlfn.LET(
  _xlpm.s, UPPER(B498),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KERMREIAASGKIPHIILHSP</v>
      </c>
      <c r="D498" s="4">
        <v>1814</v>
      </c>
      <c r="E498" s="1">
        <v>103</v>
      </c>
      <c r="F498" s="1">
        <v>50</v>
      </c>
      <c r="G498" s="1">
        <v>24</v>
      </c>
      <c r="I498">
        <f t="shared" ref="I498:I555" si="40">LOG(E498/D498)-LOG(182/1787)</f>
        <v>-0.25374689349833468</v>
      </c>
      <c r="J498">
        <f t="shared" ref="J498:J555" si="41">LOG(F498/D498)-LOG(516/1787)</f>
        <v>-1.0201924275096248</v>
      </c>
      <c r="K498">
        <f t="shared" ref="K498:K555" si="42">LOG(G498/D498)-LOG(201/1787)</f>
        <v>-0.92949754592731515</v>
      </c>
      <c r="M498">
        <f t="shared" ref="M498:M555" si="43">AVERAGE(I498:K498)</f>
        <v>-0.73447895564509158</v>
      </c>
      <c r="P498" s="16" t="s">
        <v>1685</v>
      </c>
    </row>
    <row r="499" spans="1:16">
      <c r="A499" s="2" t="s">
        <v>229</v>
      </c>
      <c r="B499" s="6" t="s">
        <v>792</v>
      </c>
      <c r="C499" s="7" t="str" cm="1">
        <f t="array" ref="C499">_xlfn.LET(
  _xlpm.s, UPPER(B499),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KELFRAIVKRGKIPHIILHSP</v>
      </c>
      <c r="D499" s="4">
        <v>707</v>
      </c>
      <c r="E499" s="1">
        <v>23</v>
      </c>
      <c r="F499" s="1">
        <v>22</v>
      </c>
      <c r="G499" s="1">
        <v>14</v>
      </c>
      <c r="I499">
        <f t="shared" si="40"/>
        <v>-0.49563841325873703</v>
      </c>
      <c r="J499">
        <f t="shared" si="41"/>
        <v>-0.96752188209626022</v>
      </c>
      <c r="K499">
        <f t="shared" si="42"/>
        <v>-0.75436288303350607</v>
      </c>
      <c r="M499">
        <f t="shared" si="43"/>
        <v>-0.7391743927961677</v>
      </c>
      <c r="P499" s="15" t="s">
        <v>1686</v>
      </c>
    </row>
    <row r="500" spans="1:16">
      <c r="A500" s="2" t="s">
        <v>493</v>
      </c>
      <c r="B500" s="6" t="s">
        <v>1056</v>
      </c>
      <c r="C500" s="7" t="str" cm="1">
        <f t="array" ref="C500">_xlfn.LET(
  _xlpm.s, UPPER(B500),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LQKMKEIAASGKIPHIILHSP</v>
      </c>
      <c r="D500" s="4">
        <v>752</v>
      </c>
      <c r="E500" s="1">
        <v>16</v>
      </c>
      <c r="F500" s="1">
        <v>26</v>
      </c>
      <c r="G500" s="1">
        <v>20</v>
      </c>
      <c r="I500">
        <f t="shared" si="40"/>
        <v>-0.68004469341514806</v>
      </c>
      <c r="J500">
        <f t="shared" si="41"/>
        <v>-0.9217696417423914</v>
      </c>
      <c r="K500">
        <f t="shared" si="42"/>
        <v>-0.62625934984250575</v>
      </c>
      <c r="M500">
        <f t="shared" si="43"/>
        <v>-0.74269122833334844</v>
      </c>
      <c r="P500" s="16" t="s">
        <v>1685</v>
      </c>
    </row>
    <row r="501" spans="1:16">
      <c r="A501" s="2" t="s">
        <v>538</v>
      </c>
      <c r="B501" s="6" t="s">
        <v>1101</v>
      </c>
      <c r="C501" s="7" t="str" cm="1">
        <f t="array" ref="C501">_xlfn.LET(
  _xlpm.s, UPPER(B501),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LAQMKEIAASGKIPHIILHSP</v>
      </c>
      <c r="D501" s="4">
        <v>1102</v>
      </c>
      <c r="E501" s="1">
        <v>24</v>
      </c>
      <c r="F501" s="1">
        <v>23</v>
      </c>
      <c r="G501" s="1">
        <v>47</v>
      </c>
      <c r="I501">
        <f t="shared" si="40"/>
        <v>-0.66991718828359081</v>
      </c>
      <c r="J501">
        <f t="shared" si="41"/>
        <v>-1.1409789076197403</v>
      </c>
      <c r="K501">
        <f t="shared" si="42"/>
        <v>-0.42115524149489336</v>
      </c>
      <c r="M501">
        <f t="shared" si="43"/>
        <v>-0.74401711246607471</v>
      </c>
      <c r="P501" s="16" t="s">
        <v>1685</v>
      </c>
    </row>
    <row r="502" spans="1:16">
      <c r="A502" s="2" t="s">
        <v>136</v>
      </c>
      <c r="B502" s="6" t="s">
        <v>699</v>
      </c>
      <c r="C502" s="7" t="str" cm="1">
        <f t="array" ref="C502">_xlfn.LET(
  _xlpm.s, UPPER(B502),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KEQMREIAKSGKIPHIILHSP</v>
      </c>
      <c r="D502" s="4">
        <v>698</v>
      </c>
      <c r="E502" s="1">
        <v>27</v>
      </c>
      <c r="F502" s="1">
        <v>79</v>
      </c>
      <c r="G502" s="1">
        <v>3</v>
      </c>
      <c r="I502">
        <f t="shared" si="40"/>
        <v>-0.42043849394360433</v>
      </c>
      <c r="J502">
        <f t="shared" si="41"/>
        <v>-0.40675348045428672</v>
      </c>
      <c r="K502">
        <f t="shared" si="42"/>
        <v>-1.4178056728183435</v>
      </c>
      <c r="M502">
        <f t="shared" si="43"/>
        <v>-0.74833254907207813</v>
      </c>
      <c r="P502" s="16" t="s">
        <v>1685</v>
      </c>
    </row>
    <row r="503" spans="1:16">
      <c r="A503" s="2" t="s">
        <v>106</v>
      </c>
      <c r="B503" s="6" t="s">
        <v>669</v>
      </c>
      <c r="C503" s="7" t="str" cm="1">
        <f t="array" ref="C503">_xlfn.LET(
  _xlpm.s, UPPER(B503),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KRLMKEIAASGKIPHIILHSP</v>
      </c>
      <c r="D503" s="4">
        <v>796</v>
      </c>
      <c r="E503" s="1">
        <v>45</v>
      </c>
      <c r="F503" s="1">
        <v>12</v>
      </c>
      <c r="G503" s="1">
        <v>17</v>
      </c>
      <c r="I503">
        <f t="shared" si="40"/>
        <v>-0.25564738944175591</v>
      </c>
      <c r="J503">
        <f t="shared" si="41"/>
        <v>-1.2822569708116114</v>
      </c>
      <c r="K503">
        <f t="shared" si="42"/>
        <v>-0.72153565127423991</v>
      </c>
      <c r="M503">
        <f t="shared" si="43"/>
        <v>-0.75314667050920237</v>
      </c>
      <c r="P503" s="16" t="s">
        <v>1685</v>
      </c>
    </row>
    <row r="504" spans="1:16">
      <c r="A504" s="2" t="s">
        <v>65</v>
      </c>
      <c r="B504" s="6" t="s">
        <v>628</v>
      </c>
      <c r="C504" s="7" t="str" cm="1">
        <f t="array" ref="C504">_xlfn.LET(
  _xlpm.s, UPPER(B504),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KKFFQDIVASGKIPHIILHSP</v>
      </c>
      <c r="D504" s="4">
        <v>200</v>
      </c>
      <c r="E504" s="1">
        <v>9</v>
      </c>
      <c r="F504" s="1">
        <v>5</v>
      </c>
      <c r="G504" s="1">
        <v>3</v>
      </c>
      <c r="I504">
        <f t="shared" si="40"/>
        <v>-0.35473432170408681</v>
      </c>
      <c r="J504">
        <f t="shared" si="41"/>
        <v>-1.0625851404495292</v>
      </c>
      <c r="K504">
        <f t="shared" si="42"/>
        <v>-0.87498024585916356</v>
      </c>
      <c r="M504">
        <f t="shared" si="43"/>
        <v>-0.76409990267092665</v>
      </c>
      <c r="P504" s="15" t="s">
        <v>1686</v>
      </c>
    </row>
    <row r="505" spans="1:16">
      <c r="A505" s="2" t="s">
        <v>294</v>
      </c>
      <c r="B505" s="6" t="s">
        <v>857</v>
      </c>
      <c r="C505" s="7" t="str" cm="1">
        <f t="array" ref="C505">_xlfn.LET(
  _xlpm.s, UPPER(B505),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KEFFKNIVSSGKIPHIILHSP</v>
      </c>
      <c r="D505" s="4">
        <v>78</v>
      </c>
      <c r="E505" s="1">
        <v>4</v>
      </c>
      <c r="F505" s="1">
        <v>2</v>
      </c>
      <c r="G505" s="1">
        <v>1</v>
      </c>
      <c r="I505">
        <f t="shared" si="40"/>
        <v>-0.29798144684194861</v>
      </c>
      <c r="J505">
        <f t="shared" si="41"/>
        <v>-1.0515897561480663</v>
      </c>
      <c r="K505">
        <f t="shared" si="42"/>
        <v>-0.94316610760532504</v>
      </c>
      <c r="M505">
        <f t="shared" si="43"/>
        <v>-0.76424577019844664</v>
      </c>
      <c r="P505" s="15" t="s">
        <v>1686</v>
      </c>
    </row>
    <row r="506" spans="1:16">
      <c r="A506" s="2" t="s">
        <v>438</v>
      </c>
      <c r="B506" s="6" t="s">
        <v>1001</v>
      </c>
      <c r="C506" s="7" t="str" cm="1">
        <f t="array" ref="C506">_xlfn.LET(
  _xlpm.s, UPPER(B506),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KAFFRAIVAKGKIPHIILHSP</v>
      </c>
      <c r="D506" s="4">
        <v>696</v>
      </c>
      <c r="E506" s="1">
        <v>16</v>
      </c>
      <c r="F506" s="1">
        <v>34</v>
      </c>
      <c r="G506" s="1">
        <v>10</v>
      </c>
      <c r="I506">
        <f t="shared" si="40"/>
        <v>-0.64643609243406797</v>
      </c>
      <c r="J506">
        <f t="shared" si="41"/>
        <v>-0.77165547168987392</v>
      </c>
      <c r="K506">
        <f t="shared" si="42"/>
        <v>-0.89368074452540691</v>
      </c>
      <c r="M506">
        <f t="shared" si="43"/>
        <v>-0.77059076954978289</v>
      </c>
      <c r="P506" s="15" t="s">
        <v>1686</v>
      </c>
    </row>
    <row r="507" spans="1:16">
      <c r="A507" s="2" t="s">
        <v>293</v>
      </c>
      <c r="B507" s="6" t="s">
        <v>856</v>
      </c>
      <c r="C507" s="7" t="str" cm="1">
        <f t="array" ref="C507">_xlfn.LET(
  _xlpm.s, UPPER(B507),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KEFFKNIVASGKIPHIILHSP</v>
      </c>
      <c r="D507" s="4">
        <v>123</v>
      </c>
      <c r="E507" s="1">
        <v>5</v>
      </c>
      <c r="F507" s="1">
        <v>6</v>
      </c>
      <c r="G507" s="1">
        <v>1</v>
      </c>
      <c r="I507">
        <f t="shared" si="40"/>
        <v>-0.39888194258280962</v>
      </c>
      <c r="J507">
        <f t="shared" si="41"/>
        <v>-0.77227901017732126</v>
      </c>
      <c r="K507">
        <f t="shared" si="42"/>
        <v>-1.1409766163542427</v>
      </c>
      <c r="M507">
        <f t="shared" si="43"/>
        <v>-0.77071252303812443</v>
      </c>
      <c r="P507" s="15" t="s">
        <v>1686</v>
      </c>
    </row>
    <row r="508" spans="1:16">
      <c r="A508" s="2" t="s">
        <v>240</v>
      </c>
      <c r="B508" s="6" t="s">
        <v>803</v>
      </c>
      <c r="C508" s="7" t="str" cm="1">
        <f t="array" ref="C508">_xlfn.LET(
  _xlpm.s, UPPER(B508),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KEEMKKIVSSGKIPHIILHSP</v>
      </c>
      <c r="D508" s="4">
        <v>271</v>
      </c>
      <c r="E508" s="1">
        <v>6</v>
      </c>
      <c r="F508" s="1">
        <v>4</v>
      </c>
      <c r="G508" s="1">
        <v>13</v>
      </c>
      <c r="I508">
        <f t="shared" si="40"/>
        <v>-0.66276487597019274</v>
      </c>
      <c r="J508">
        <f t="shared" si="41"/>
        <v>-1.2914344486680105</v>
      </c>
      <c r="K508">
        <f t="shared" si="42"/>
        <v>-0.37009744348241358</v>
      </c>
      <c r="M508">
        <f t="shared" si="43"/>
        <v>-0.7747655893735389</v>
      </c>
      <c r="P508" s="16" t="s">
        <v>1685</v>
      </c>
    </row>
    <row r="509" spans="1:16">
      <c r="A509" s="2" t="s">
        <v>273</v>
      </c>
      <c r="B509" s="6" t="s">
        <v>836</v>
      </c>
      <c r="C509" s="7" t="str" cm="1">
        <f t="array" ref="C509">_xlfn.LET(
  _xlpm.s, UPPER(B509),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KEYFKSIVKSGKIPHIILHSP</v>
      </c>
      <c r="D509" s="4">
        <v>142</v>
      </c>
      <c r="E509" s="1">
        <v>2</v>
      </c>
      <c r="F509" s="1">
        <v>2</v>
      </c>
      <c r="G509" s="1">
        <v>11</v>
      </c>
      <c r="I509">
        <f t="shared" si="40"/>
        <v>-0.85920518419850578</v>
      </c>
      <c r="J509">
        <f t="shared" si="41"/>
        <v>-1.3117834978406422</v>
      </c>
      <c r="K509">
        <f t="shared" si="42"/>
        <v>-0.16196716413967627</v>
      </c>
      <c r="M509">
        <f t="shared" si="43"/>
        <v>-0.77765194872627486</v>
      </c>
      <c r="P509" s="15" t="s">
        <v>1686</v>
      </c>
    </row>
    <row r="510" spans="1:16">
      <c r="A510" s="2" t="s">
        <v>491</v>
      </c>
      <c r="B510" s="6" t="s">
        <v>1054</v>
      </c>
      <c r="C510" s="7" t="str" cm="1">
        <f t="array" ref="C510">_xlfn.LET(
  _xlpm.s, UPPER(B510),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LKFFRDIVARGKIPHIILHSP</v>
      </c>
      <c r="D510" s="4">
        <v>616</v>
      </c>
      <c r="E510" s="1">
        <v>7</v>
      </c>
      <c r="F510" s="1">
        <v>12</v>
      </c>
      <c r="G510" s="1">
        <v>41</v>
      </c>
      <c r="I510">
        <f t="shared" si="40"/>
        <v>-0.95242950762959921</v>
      </c>
      <c r="J510">
        <f t="shared" si="41"/>
        <v>-1.1709246152383677</v>
      </c>
      <c r="K510">
        <f t="shared" si="42"/>
        <v>-0.22786836035953462</v>
      </c>
      <c r="M510">
        <f t="shared" si="43"/>
        <v>-0.78374082774250053</v>
      </c>
      <c r="P510" s="15" t="s">
        <v>1686</v>
      </c>
    </row>
    <row r="511" spans="1:16">
      <c r="A511" s="2" t="s">
        <v>485</v>
      </c>
      <c r="B511" s="6" t="s">
        <v>1048</v>
      </c>
      <c r="C511" s="7" t="str" cm="1">
        <f t="array" ref="C511">_xlfn.LET(
  _xlpm.s, UPPER(B511),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LKLMREIAASGKIPHIILHSP</v>
      </c>
      <c r="D511" s="4">
        <v>1697</v>
      </c>
      <c r="E511" s="1">
        <v>92</v>
      </c>
      <c r="F511" s="1">
        <v>35</v>
      </c>
      <c r="G511" s="1">
        <v>22</v>
      </c>
      <c r="I511">
        <f t="shared" si="40"/>
        <v>-0.27384085045155104</v>
      </c>
      <c r="J511">
        <f t="shared" si="41"/>
        <v>-1.1461389470889674</v>
      </c>
      <c r="K511">
        <f t="shared" si="42"/>
        <v>-0.93833066641031415</v>
      </c>
      <c r="M511">
        <f t="shared" si="43"/>
        <v>-0.78610348798361096</v>
      </c>
      <c r="P511" s="16" t="s">
        <v>1685</v>
      </c>
    </row>
    <row r="512" spans="1:16">
      <c r="A512" s="2" t="s">
        <v>392</v>
      </c>
      <c r="B512" s="6" t="s">
        <v>955</v>
      </c>
      <c r="C512" s="7" t="str" cm="1">
        <f t="array" ref="C512">_xlfn.LET(
  _xlpm.s, UPPER(B512),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KALFKAIVARGKIPHIILHSP</v>
      </c>
      <c r="D512" s="4">
        <v>1374</v>
      </c>
      <c r="E512" s="1">
        <v>59</v>
      </c>
      <c r="F512" s="1">
        <v>18</v>
      </c>
      <c r="G512" s="1">
        <v>34</v>
      </c>
      <c r="I512">
        <f t="shared" si="40"/>
        <v>-0.3750815565608181</v>
      </c>
      <c r="J512">
        <f t="shared" si="41"/>
        <v>-1.3432393767417925</v>
      </c>
      <c r="K512">
        <f t="shared" si="42"/>
        <v>-0.65757932059612112</v>
      </c>
      <c r="M512">
        <f t="shared" si="43"/>
        <v>-0.79196675129957728</v>
      </c>
      <c r="P512" s="15" t="s">
        <v>1686</v>
      </c>
    </row>
    <row r="513" spans="1:16">
      <c r="A513" s="2" t="s">
        <v>520</v>
      </c>
      <c r="B513" s="6" t="s">
        <v>1083</v>
      </c>
      <c r="C513" s="7" t="str" cm="1">
        <f t="array" ref="C513">_xlfn.LET(
  _xlpm.s, UPPER(B513),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LEEMRKIAKSGKIPHIILHSP</v>
      </c>
      <c r="D513" s="4">
        <v>633</v>
      </c>
      <c r="E513" s="1">
        <v>8</v>
      </c>
      <c r="F513" s="1">
        <v>18</v>
      </c>
      <c r="G513" s="1">
        <v>23</v>
      </c>
      <c r="I513">
        <f t="shared" si="40"/>
        <v>-0.906260558504842</v>
      </c>
      <c r="J513">
        <f t="shared" si="41"/>
        <v>-1.0066563540356159</v>
      </c>
      <c r="K513">
        <f t="shared" si="42"/>
        <v>-0.49074737891460685</v>
      </c>
      <c r="M513">
        <f t="shared" si="43"/>
        <v>-0.80122143048502148</v>
      </c>
      <c r="P513" s="16" t="s">
        <v>1685</v>
      </c>
    </row>
    <row r="514" spans="1:16">
      <c r="A514" s="2" t="s">
        <v>300</v>
      </c>
      <c r="B514" s="6" t="s">
        <v>863</v>
      </c>
      <c r="C514" s="7" t="str" cm="1">
        <f t="array" ref="C514">_xlfn.LET(
  _xlpm.s, UPPER(B514),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KEFFKEIVAKGKIPHIILHSP</v>
      </c>
      <c r="D514" s="4">
        <v>153</v>
      </c>
      <c r="E514" s="1">
        <v>5</v>
      </c>
      <c r="F514" s="1">
        <v>1</v>
      </c>
      <c r="G514" s="1">
        <v>9</v>
      </c>
      <c r="I514">
        <f t="shared" si="40"/>
        <v>-0.49366826196101044</v>
      </c>
      <c r="J514">
        <f t="shared" si="41"/>
        <v>-1.645216579939166</v>
      </c>
      <c r="K514">
        <f t="shared" si="42"/>
        <v>-0.28152042629311858</v>
      </c>
      <c r="M514">
        <f t="shared" si="43"/>
        <v>-0.80680175606443161</v>
      </c>
      <c r="P514" s="15" t="s">
        <v>1686</v>
      </c>
    </row>
    <row r="515" spans="1:16">
      <c r="A515" s="2" t="s">
        <v>511</v>
      </c>
      <c r="B515" s="6" t="s">
        <v>1074</v>
      </c>
      <c r="C515" s="7" t="str" cm="1">
        <f t="array" ref="C515">_xlfn.LET(
  _xlpm.s, UPPER(B515),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LELMKQIAESGKIPHIILHSP</v>
      </c>
      <c r="D515" s="4">
        <v>936</v>
      </c>
      <c r="E515" s="1">
        <v>44</v>
      </c>
      <c r="F515" s="1">
        <v>18</v>
      </c>
      <c r="G515" s="1">
        <v>13</v>
      </c>
      <c r="I515">
        <f t="shared" si="40"/>
        <v>-0.33577000773134835</v>
      </c>
      <c r="J515">
        <f t="shared" si="41"/>
        <v>-1.1765284927563662</v>
      </c>
      <c r="K515">
        <f t="shared" si="42"/>
        <v>-0.90840400134611321</v>
      </c>
      <c r="M515">
        <f t="shared" si="43"/>
        <v>-0.80690083394460921</v>
      </c>
      <c r="P515" s="16" t="s">
        <v>1685</v>
      </c>
    </row>
    <row r="516" spans="1:16">
      <c r="A516" s="2" t="s">
        <v>10</v>
      </c>
      <c r="B516" s="6" t="s">
        <v>573</v>
      </c>
      <c r="C516" s="7" t="str" cm="1">
        <f t="array" ref="C516">_xlfn.LET(
  _xlpm.s, UPPER(B516),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KKTMRQIAQSGKIPHIILHSP</v>
      </c>
      <c r="D516" s="4">
        <v>616</v>
      </c>
      <c r="E516" s="1">
        <v>7</v>
      </c>
      <c r="F516" s="1">
        <v>20</v>
      </c>
      <c r="G516" s="1">
        <v>19</v>
      </c>
      <c r="I516">
        <f t="shared" si="40"/>
        <v>-0.95242950762959921</v>
      </c>
      <c r="J516">
        <f t="shared" si="41"/>
        <v>-0.94907586562201141</v>
      </c>
      <c r="K516">
        <f t="shared" si="42"/>
        <v>-0.56189861612644121</v>
      </c>
      <c r="M516">
        <f t="shared" si="43"/>
        <v>-0.82113466312601735</v>
      </c>
      <c r="P516" s="16" t="s">
        <v>1685</v>
      </c>
    </row>
    <row r="517" spans="1:16">
      <c r="A517" s="2" t="s">
        <v>456</v>
      </c>
      <c r="B517" s="6" t="s">
        <v>1019</v>
      </c>
      <c r="C517" s="7" t="str" cm="1">
        <f t="array" ref="C517">_xlfn.LET(
  _xlpm.s, UPPER(B517),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RKLMKEIADSGKIPHIILHSP</v>
      </c>
      <c r="D517" s="4">
        <v>716</v>
      </c>
      <c r="E517" s="1">
        <v>6</v>
      </c>
      <c r="F517" s="1">
        <v>30</v>
      </c>
      <c r="G517" s="1">
        <v>23</v>
      </c>
      <c r="I517">
        <f t="shared" si="40"/>
        <v>-1.0847086074036425</v>
      </c>
      <c r="J517">
        <f t="shared" si="41"/>
        <v>-0.83831691670976027</v>
      </c>
      <c r="K517">
        <f t="shared" si="42"/>
        <v>-0.54425669120510745</v>
      </c>
      <c r="M517">
        <f t="shared" si="43"/>
        <v>-0.82242740510617018</v>
      </c>
      <c r="P517" s="16" t="s">
        <v>1685</v>
      </c>
    </row>
    <row r="518" spans="1:16">
      <c r="A518" s="2" t="s">
        <v>6</v>
      </c>
      <c r="B518" s="6" t="s">
        <v>569</v>
      </c>
      <c r="C518" s="7" t="str" cm="1">
        <f t="array" ref="C518">_xlfn.LET(
  _xlpm.s, UPPER(B518),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KKTMKEIAESGKIPHIILHSP</v>
      </c>
      <c r="D518" s="4">
        <v>269</v>
      </c>
      <c r="E518" s="1">
        <v>12</v>
      </c>
      <c r="F518" s="1">
        <v>3</v>
      </c>
      <c r="G518" s="1">
        <v>6</v>
      </c>
      <c r="I518">
        <f t="shared" si="40"/>
        <v>-0.35851786943421371</v>
      </c>
      <c r="J518">
        <f t="shared" si="41"/>
        <v>-1.4131561744043126</v>
      </c>
      <c r="K518">
        <f t="shared" si="42"/>
        <v>-0.70267253453360912</v>
      </c>
      <c r="M518">
        <f t="shared" si="43"/>
        <v>-0.82478219279071185</v>
      </c>
      <c r="P518" s="16" t="s">
        <v>1685</v>
      </c>
    </row>
    <row r="519" spans="1:16">
      <c r="A519" s="2" t="s">
        <v>328</v>
      </c>
      <c r="B519" s="6" t="s">
        <v>891</v>
      </c>
      <c r="C519" s="7" t="str" cm="1">
        <f t="array" ref="C519">_xlfn.LET(
  _xlpm.s, UPPER(B519),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KEFFRQIVAKGKIPHIILHSP</v>
      </c>
      <c r="D519" s="4">
        <v>270</v>
      </c>
      <c r="E519" s="1">
        <v>3</v>
      </c>
      <c r="F519" s="1">
        <v>6</v>
      </c>
      <c r="G519" s="1">
        <v>12</v>
      </c>
      <c r="I519">
        <f t="shared" si="40"/>
        <v>-0.9621893449187553</v>
      </c>
      <c r="J519">
        <f t="shared" si="41"/>
        <v>-1.1137376628969107</v>
      </c>
      <c r="K519">
        <f t="shared" si="42"/>
        <v>-0.40325402302620716</v>
      </c>
      <c r="M519">
        <f t="shared" si="43"/>
        <v>-0.82639367694729104</v>
      </c>
      <c r="P519" s="15" t="s">
        <v>1686</v>
      </c>
    </row>
    <row r="520" spans="1:16">
      <c r="A520" s="2" t="s">
        <v>521</v>
      </c>
      <c r="B520" s="6" t="s">
        <v>1084</v>
      </c>
      <c r="C520" s="7" t="str" cm="1">
        <f t="array" ref="C520">_xlfn.LET(
  _xlpm.s, UPPER(B520),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LEEMRKIAESGKIPHIILHSP</v>
      </c>
      <c r="D520" s="4">
        <v>777</v>
      </c>
      <c r="E520" s="1">
        <v>7</v>
      </c>
      <c r="F520" s="1">
        <v>6</v>
      </c>
      <c r="G520" s="1">
        <v>121</v>
      </c>
      <c r="I520">
        <f t="shared" si="40"/>
        <v>-1.0532698142660881</v>
      </c>
      <c r="J520">
        <f t="shared" si="41"/>
        <v>-1.5727949175388378</v>
      </c>
      <c r="K520">
        <f t="shared" si="42"/>
        <v>0.14129284660069119</v>
      </c>
      <c r="M520">
        <f t="shared" si="43"/>
        <v>-0.82825729506807821</v>
      </c>
      <c r="P520" s="16" t="s">
        <v>1685</v>
      </c>
    </row>
    <row r="521" spans="1:16">
      <c r="A521" s="2" t="s">
        <v>445</v>
      </c>
      <c r="B521" s="6" t="s">
        <v>1008</v>
      </c>
      <c r="C521" s="7" t="str" cm="1">
        <f t="array" ref="C521">_xlfn.LET(
  _xlpm.s, UPPER(B521),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KSLFKSIVAKGKIPHIILHSP</v>
      </c>
      <c r="D521" s="4">
        <v>356</v>
      </c>
      <c r="E521" s="1">
        <v>8</v>
      </c>
      <c r="F521" s="1">
        <v>2</v>
      </c>
      <c r="G521" s="1">
        <v>27</v>
      </c>
      <c r="I521">
        <f t="shared" si="40"/>
        <v>-0.65630684646036208</v>
      </c>
      <c r="J521">
        <f t="shared" si="41"/>
        <v>-1.7109451514304612</v>
      </c>
      <c r="K521">
        <f t="shared" si="42"/>
        <v>-0.17115773872873263</v>
      </c>
      <c r="M521">
        <f t="shared" si="43"/>
        <v>-0.84613657887318539</v>
      </c>
      <c r="P521" s="15" t="s">
        <v>1686</v>
      </c>
    </row>
    <row r="522" spans="1:16">
      <c r="A522" s="2" t="s">
        <v>190</v>
      </c>
      <c r="B522" s="6" t="s">
        <v>753</v>
      </c>
      <c r="C522" s="7" t="str" cm="1">
        <f t="array" ref="C522">_xlfn.LET(
  _xlpm.s, UPPER(B522),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KELFKNIVASGKIPHIILHSP</v>
      </c>
      <c r="D522" s="4">
        <v>569</v>
      </c>
      <c r="E522" s="1">
        <v>22</v>
      </c>
      <c r="F522" s="1">
        <v>5</v>
      </c>
      <c r="G522" s="1">
        <v>16</v>
      </c>
      <c r="I522">
        <f t="shared" si="40"/>
        <v>-0.42063642105229548</v>
      </c>
      <c r="J522">
        <f t="shared" si="41"/>
        <v>-1.5166674111806193</v>
      </c>
      <c r="K522">
        <f t="shared" si="42"/>
        <v>-0.60206378865399102</v>
      </c>
      <c r="M522">
        <f t="shared" si="43"/>
        <v>-0.84645587362896857</v>
      </c>
      <c r="P522" s="15" t="s">
        <v>1686</v>
      </c>
    </row>
    <row r="523" spans="1:16">
      <c r="A523" s="2" t="s">
        <v>457</v>
      </c>
      <c r="B523" s="6" t="s">
        <v>1020</v>
      </c>
      <c r="C523" s="7" t="str" cm="1">
        <f t="array" ref="C523">_xlfn.LET(
  _xlpm.s, UPPER(B523),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RKLFKEIAASGKIPHIILHSP</v>
      </c>
      <c r="D523" s="4">
        <v>761</v>
      </c>
      <c r="E523" s="1">
        <v>27</v>
      </c>
      <c r="F523" s="1">
        <v>10</v>
      </c>
      <c r="G523" s="1">
        <v>15</v>
      </c>
      <c r="I523">
        <f t="shared" si="40"/>
        <v>-0.45796772809101594</v>
      </c>
      <c r="J523">
        <f t="shared" si="41"/>
        <v>-1.3419098058921399</v>
      </c>
      <c r="K523">
        <f t="shared" si="42"/>
        <v>-0.75636490262973632</v>
      </c>
      <c r="M523">
        <f t="shared" si="43"/>
        <v>-0.85208081220429743</v>
      </c>
      <c r="P523" s="16" t="s">
        <v>1685</v>
      </c>
    </row>
    <row r="524" spans="1:16">
      <c r="A524" s="2" t="s">
        <v>400</v>
      </c>
      <c r="B524" s="6" t="s">
        <v>963</v>
      </c>
      <c r="C524" s="7" t="str" cm="1">
        <f t="array" ref="C524">_xlfn.LET(
  _xlpm.s, UPPER(B524),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KAEMKKIAASGKIPHIILHSP</v>
      </c>
      <c r="D524" s="4">
        <v>636</v>
      </c>
      <c r="E524" s="1">
        <v>25</v>
      </c>
      <c r="F524" s="1">
        <v>4</v>
      </c>
      <c r="G524" s="1">
        <v>21</v>
      </c>
      <c r="I524">
        <f t="shared" si="40"/>
        <v>-0.41346394245580687</v>
      </c>
      <c r="J524">
        <f t="shared" si="41"/>
        <v>-1.6619222734420185</v>
      </c>
      <c r="K524">
        <f t="shared" si="42"/>
        <v>-0.53230932582933921</v>
      </c>
      <c r="M524">
        <f t="shared" si="43"/>
        <v>-0.86923184724238822</v>
      </c>
      <c r="P524" s="16" t="s">
        <v>1685</v>
      </c>
    </row>
    <row r="525" spans="1:16">
      <c r="A525" s="2" t="s">
        <v>519</v>
      </c>
      <c r="B525" s="6" t="s">
        <v>1082</v>
      </c>
      <c r="C525" s="7" t="str" cm="1">
        <f t="array" ref="C525">_xlfn.LET(
  _xlpm.s, UPPER(B525),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LEEMKKIAQSGKIPHIILHSP</v>
      </c>
      <c r="D525" s="4">
        <v>423</v>
      </c>
      <c r="E525" s="1">
        <v>4</v>
      </c>
      <c r="F525" s="1">
        <v>8</v>
      </c>
      <c r="G525" s="1">
        <v>19</v>
      </c>
      <c r="I525">
        <f t="shared" si="40"/>
        <v>-1.0322272115265103</v>
      </c>
      <c r="J525">
        <f t="shared" si="41"/>
        <v>-1.1837755295046657</v>
      </c>
      <c r="K525">
        <f t="shared" si="42"/>
        <v>-0.39865827133705811</v>
      </c>
      <c r="M525">
        <f t="shared" si="43"/>
        <v>-0.87155367078941148</v>
      </c>
      <c r="P525" s="16" t="s">
        <v>1685</v>
      </c>
    </row>
    <row r="526" spans="1:16">
      <c r="A526" s="2" t="s">
        <v>423</v>
      </c>
      <c r="B526" s="6" t="s">
        <v>986</v>
      </c>
      <c r="C526" s="7" t="str" cm="1">
        <f t="array" ref="C526">_xlfn.LET(
  _xlpm.s, UPPER(B526),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KAFFKDIVAAGKIPHIILHSP</v>
      </c>
      <c r="D526" s="4">
        <v>419</v>
      </c>
      <c r="E526" s="1">
        <v>24</v>
      </c>
      <c r="F526" s="1">
        <v>8</v>
      </c>
      <c r="G526" s="1">
        <v>3</v>
      </c>
      <c r="I526">
        <f t="shared" si="40"/>
        <v>-0.24994961673411975</v>
      </c>
      <c r="J526">
        <f t="shared" si="41"/>
        <v>-1.1796491850959185</v>
      </c>
      <c r="K526">
        <f t="shared" si="42"/>
        <v>-1.1961642731614777</v>
      </c>
      <c r="M526">
        <f t="shared" si="43"/>
        <v>-0.87525435833050536</v>
      </c>
      <c r="P526" s="15" t="s">
        <v>1686</v>
      </c>
    </row>
    <row r="527" spans="1:16">
      <c r="A527" s="2" t="s">
        <v>455</v>
      </c>
      <c r="B527" s="6" t="s">
        <v>1018</v>
      </c>
      <c r="C527" s="7" t="str" cm="1">
        <f t="array" ref="C527">_xlfn.LET(
  _xlpm.s, UPPER(B527),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RKLMKEIAESGKIPHIILHSP</v>
      </c>
      <c r="D527" s="4">
        <v>713</v>
      </c>
      <c r="E527" s="1">
        <v>11</v>
      </c>
      <c r="F527" s="1">
        <v>17</v>
      </c>
      <c r="G527" s="1">
        <v>14</v>
      </c>
      <c r="I527">
        <f t="shared" si="40"/>
        <v>-0.8196436801730711</v>
      </c>
      <c r="J527">
        <f t="shared" si="41"/>
        <v>-1.0831657575951588</v>
      </c>
      <c r="K527">
        <f t="shared" si="42"/>
        <v>-0.75803299908847221</v>
      </c>
      <c r="M527">
        <f t="shared" si="43"/>
        <v>-0.88694747895223403</v>
      </c>
      <c r="P527" s="16" t="s">
        <v>1685</v>
      </c>
    </row>
    <row r="528" spans="1:16">
      <c r="A528" s="2" t="s">
        <v>298</v>
      </c>
      <c r="B528" s="6" t="s">
        <v>861</v>
      </c>
      <c r="C528" s="7" t="str" cm="1">
        <f t="array" ref="C528">_xlfn.LET(
  _xlpm.s, UPPER(B528),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KEFFKEIVKRGKIPHIILHSP</v>
      </c>
      <c r="D528" s="4">
        <v>117</v>
      </c>
      <c r="E528" s="1">
        <v>2</v>
      </c>
      <c r="F528" s="1">
        <v>1</v>
      </c>
      <c r="G528" s="1">
        <v>4</v>
      </c>
      <c r="I528">
        <f t="shared" si="40"/>
        <v>-0.77510270156161098</v>
      </c>
      <c r="J528">
        <f t="shared" si="41"/>
        <v>-1.5287110108677289</v>
      </c>
      <c r="K528">
        <f t="shared" si="42"/>
        <v>-0.51719737533304388</v>
      </c>
      <c r="M528">
        <f t="shared" si="43"/>
        <v>-0.94033702925412788</v>
      </c>
      <c r="P528" s="15" t="s">
        <v>1686</v>
      </c>
    </row>
    <row r="529" spans="1:16">
      <c r="A529" s="2" t="s">
        <v>236</v>
      </c>
      <c r="B529" s="6" t="s">
        <v>799</v>
      </c>
      <c r="C529" s="7" t="str" cm="1">
        <f t="array" ref="C529">_xlfn.LET(
  _xlpm.s, UPPER(B529),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KEEMKKIAESGKIPHIILHSP</v>
      </c>
      <c r="D529" s="4">
        <v>280</v>
      </c>
      <c r="E529" s="1">
        <v>5</v>
      </c>
      <c r="F529" s="1">
        <v>7</v>
      </c>
      <c r="G529" s="1">
        <v>3</v>
      </c>
      <c r="I529">
        <f t="shared" si="40"/>
        <v>-0.756134862485631</v>
      </c>
      <c r="J529">
        <f t="shared" si="41"/>
        <v>-1.0625851404495292</v>
      </c>
      <c r="K529">
        <f t="shared" si="42"/>
        <v>-1.0211082815374015</v>
      </c>
      <c r="M529">
        <f t="shared" si="43"/>
        <v>-0.94660942815752058</v>
      </c>
      <c r="P529" s="16" t="s">
        <v>1685</v>
      </c>
    </row>
    <row r="530" spans="1:16">
      <c r="A530" s="2" t="s">
        <v>452</v>
      </c>
      <c r="B530" s="6" t="s">
        <v>1015</v>
      </c>
      <c r="C530" s="7" t="str" cm="1">
        <f t="array" ref="C530">_xlfn.LET(
  _xlpm.s, UPPER(B530),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RKRMKEIAESGKIPHIILHSP</v>
      </c>
      <c r="D530" s="4">
        <v>770</v>
      </c>
      <c r="E530" s="1">
        <v>38</v>
      </c>
      <c r="F530" s="1">
        <v>3</v>
      </c>
      <c r="G530" s="1">
        <v>19</v>
      </c>
      <c r="I530">
        <f t="shared" si="40"/>
        <v>-0.31465396403510226</v>
      </c>
      <c r="J530">
        <f t="shared" si="41"/>
        <v>-1.8698946195743864</v>
      </c>
      <c r="K530">
        <f t="shared" si="42"/>
        <v>-0.65880862913449767</v>
      </c>
      <c r="M530">
        <f t="shared" si="43"/>
        <v>-0.94778573758132867</v>
      </c>
      <c r="P530" s="16" t="s">
        <v>1685</v>
      </c>
    </row>
    <row r="531" spans="1:16">
      <c r="A531" s="2" t="s">
        <v>97</v>
      </c>
      <c r="B531" s="6" t="s">
        <v>660</v>
      </c>
      <c r="C531" s="7" t="str" cm="1">
        <f t="array" ref="C531">_xlfn.LET(
  _xlpm.s, UPPER(B531),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KQFFKEIVARGKIPHIILHSP</v>
      </c>
      <c r="D531" s="4">
        <v>168</v>
      </c>
      <c r="E531" s="1">
        <v>1</v>
      </c>
      <c r="F531" s="1">
        <v>3</v>
      </c>
      <c r="G531" s="1">
        <v>7</v>
      </c>
      <c r="I531">
        <f t="shared" si="40"/>
        <v>-1.2332561172052934</v>
      </c>
      <c r="J531">
        <f t="shared" si="41"/>
        <v>-1.2087131761277674</v>
      </c>
      <c r="K531">
        <f t="shared" si="42"/>
        <v>-0.43128274662645083</v>
      </c>
      <c r="M531">
        <f t="shared" si="43"/>
        <v>-0.95775067998650387</v>
      </c>
      <c r="P531" s="15" t="s">
        <v>1686</v>
      </c>
    </row>
    <row r="532" spans="1:16">
      <c r="A532" s="2" t="s">
        <v>248</v>
      </c>
      <c r="B532" s="6" t="s">
        <v>811</v>
      </c>
      <c r="C532" s="7" t="str" cm="1">
        <f t="array" ref="C532">_xlfn.LET(
  _xlpm.s, UPPER(B532),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KEEFRKIAESGKIPHIILHSP</v>
      </c>
      <c r="D532" s="4">
        <v>435</v>
      </c>
      <c r="E532" s="1">
        <v>9</v>
      </c>
      <c r="F532" s="1">
        <v>20</v>
      </c>
      <c r="G532" s="1">
        <v>2</v>
      </c>
      <c r="I532">
        <f t="shared" si="40"/>
        <v>-0.69219358299474298</v>
      </c>
      <c r="J532">
        <f t="shared" si="41"/>
        <v>-0.79798441041222323</v>
      </c>
      <c r="K532">
        <f t="shared" si="42"/>
        <v>-1.3885307662055009</v>
      </c>
      <c r="M532">
        <f t="shared" si="43"/>
        <v>-0.95956958653748892</v>
      </c>
      <c r="P532" s="16" t="s">
        <v>1685</v>
      </c>
    </row>
    <row r="533" spans="1:16">
      <c r="A533" s="2" t="s">
        <v>454</v>
      </c>
      <c r="B533" s="6" t="s">
        <v>1017</v>
      </c>
      <c r="C533" s="7" t="str" cm="1">
        <f t="array" ref="C533">_xlfn.LET(
  _xlpm.s, UPPER(B533),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RKLMKEIANSGKIPHIILHSP</v>
      </c>
      <c r="D533" s="4">
        <v>636</v>
      </c>
      <c r="E533" s="1">
        <v>31</v>
      </c>
      <c r="F533" s="1">
        <v>3</v>
      </c>
      <c r="G533" s="1">
        <v>9</v>
      </c>
      <c r="I533">
        <f t="shared" si="40"/>
        <v>-0.32004225729357172</v>
      </c>
      <c r="J533">
        <f t="shared" si="41"/>
        <v>-1.7868610100503188</v>
      </c>
      <c r="K533">
        <f t="shared" si="42"/>
        <v>-0.90028611112393375</v>
      </c>
      <c r="M533">
        <f t="shared" si="43"/>
        <v>-1.0023964594892749</v>
      </c>
      <c r="P533" s="16" t="s">
        <v>1685</v>
      </c>
    </row>
    <row r="534" spans="1:16">
      <c r="A534" s="2" t="s">
        <v>64</v>
      </c>
      <c r="B534" s="6" t="s">
        <v>627</v>
      </c>
      <c r="C534" s="7" t="str" cm="1">
        <f t="array" ref="C534">_xlfn.LET(
  _xlpm.s, UPPER(B534),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KKFFQDIVAKGKIPHIILHSP</v>
      </c>
      <c r="D534" s="4">
        <v>127</v>
      </c>
      <c r="E534" s="1">
        <v>1</v>
      </c>
      <c r="F534" s="1">
        <v>1</v>
      </c>
      <c r="G534" s="1">
        <v>6</v>
      </c>
      <c r="I534">
        <f t="shared" si="40"/>
        <v>-1.1117505564353873</v>
      </c>
      <c r="J534">
        <f t="shared" si="41"/>
        <v>-1.564328870077524</v>
      </c>
      <c r="K534">
        <f t="shared" si="42"/>
        <v>-0.37672397548715786</v>
      </c>
      <c r="M534">
        <f t="shared" si="43"/>
        <v>-1.0176011340000231</v>
      </c>
      <c r="P534" s="15" t="s">
        <v>1686</v>
      </c>
    </row>
    <row r="535" spans="1:16">
      <c r="A535" s="2" t="s">
        <v>433</v>
      </c>
      <c r="B535" s="6" t="s">
        <v>996</v>
      </c>
      <c r="C535" s="7" t="str" cm="1">
        <f t="array" ref="C535">_xlfn.LET(
  _xlpm.s, UPPER(B535),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KAFFKSIVAKGKIPHIILHSP</v>
      </c>
      <c r="D535" s="4">
        <v>318</v>
      </c>
      <c r="E535" s="1">
        <v>2</v>
      </c>
      <c r="F535" s="1">
        <v>2</v>
      </c>
      <c r="G535" s="1">
        <v>22</v>
      </c>
      <c r="I535">
        <f t="shared" si="40"/>
        <v>-1.2093439597998819</v>
      </c>
      <c r="J535">
        <f t="shared" si="41"/>
        <v>-1.6619222734420185</v>
      </c>
      <c r="K535">
        <f t="shared" si="42"/>
        <v>-0.21107594407707109</v>
      </c>
      <c r="M535">
        <f t="shared" si="43"/>
        <v>-1.0274473924396572</v>
      </c>
      <c r="P535" s="15" t="s">
        <v>1686</v>
      </c>
    </row>
    <row r="536" spans="1:16">
      <c r="A536" s="2" t="s">
        <v>102</v>
      </c>
      <c r="B536" s="6" t="s">
        <v>665</v>
      </c>
      <c r="C536" s="7" t="str" cm="1">
        <f t="array" ref="C536">_xlfn.LET(
  _xlpm.s, UPPER(B536),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KQFFKDIVAKGKIPHIILHSP</v>
      </c>
      <c r="D536" s="4">
        <v>214</v>
      </c>
      <c r="E536" s="1">
        <v>3</v>
      </c>
      <c r="F536" s="1">
        <v>4</v>
      </c>
      <c r="G536" s="1">
        <v>2</v>
      </c>
      <c r="I536">
        <f t="shared" si="40"/>
        <v>-0.86123935410895891</v>
      </c>
      <c r="J536">
        <f t="shared" si="41"/>
        <v>-1.1888789311427956</v>
      </c>
      <c r="K536">
        <f t="shared" si="42"/>
        <v>-1.0804552826000544</v>
      </c>
      <c r="M536">
        <f t="shared" si="43"/>
        <v>-1.0435245226172698</v>
      </c>
      <c r="P536" s="15" t="s">
        <v>1686</v>
      </c>
    </row>
    <row r="537" spans="1:16">
      <c r="A537" s="2" t="s">
        <v>506</v>
      </c>
      <c r="B537" s="6" t="s">
        <v>1069</v>
      </c>
      <c r="C537" s="7" t="str" cm="1">
        <f t="array" ref="C537">_xlfn.LET(
  _xlpm.s, UPPER(B537),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LETMREIAKSGKIPHIILHSP</v>
      </c>
      <c r="D537" s="4">
        <v>827</v>
      </c>
      <c r="E537" s="1">
        <v>14</v>
      </c>
      <c r="F537" s="1">
        <v>14</v>
      </c>
      <c r="G537" s="1">
        <v>7</v>
      </c>
      <c r="I537">
        <f t="shared" si="40"/>
        <v>-0.7793243093537392</v>
      </c>
      <c r="J537">
        <f t="shared" si="41"/>
        <v>-1.2319026229958756</v>
      </c>
      <c r="K537">
        <f t="shared" si="42"/>
        <v>-1.1234789744531344</v>
      </c>
      <c r="M537">
        <f t="shared" si="43"/>
        <v>-1.0449019689342498</v>
      </c>
      <c r="P537" s="16" t="s">
        <v>1685</v>
      </c>
    </row>
    <row r="538" spans="1:16">
      <c r="A538" s="2" t="s">
        <v>479</v>
      </c>
      <c r="B538" s="6" t="s">
        <v>1042</v>
      </c>
      <c r="C538" s="7" t="str" cm="1">
        <f t="array" ref="C538">_xlfn.LET(
  _xlpm.s, UPPER(B538),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LKTMKEIAESGKIPHIILHSP</v>
      </c>
      <c r="D538" s="4">
        <v>432</v>
      </c>
      <c r="E538" s="1">
        <v>3</v>
      </c>
      <c r="F538" s="1">
        <v>6</v>
      </c>
      <c r="G538" s="1">
        <v>10</v>
      </c>
      <c r="I538">
        <f t="shared" si="40"/>
        <v>-1.1663093275746803</v>
      </c>
      <c r="J538">
        <f t="shared" si="41"/>
        <v>-1.3178576455528357</v>
      </c>
      <c r="K538">
        <f t="shared" si="42"/>
        <v>-0.68655525172975684</v>
      </c>
      <c r="M538">
        <f t="shared" si="43"/>
        <v>-1.0569074082857577</v>
      </c>
      <c r="P538" s="16" t="s">
        <v>1685</v>
      </c>
    </row>
    <row r="539" spans="1:16">
      <c r="A539" s="2" t="s">
        <v>490</v>
      </c>
      <c r="B539" s="6" t="s">
        <v>1053</v>
      </c>
      <c r="C539" s="7" t="str" cm="1">
        <f t="array" ref="C539">_xlfn.LET(
  _xlpm.s, UPPER(B539),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LKFFREIVAKGKIPHIILHSP</v>
      </c>
      <c r="D539" s="4">
        <v>327</v>
      </c>
      <c r="E539" s="1">
        <v>13</v>
      </c>
      <c r="F539" s="1">
        <v>1</v>
      </c>
      <c r="G539" s="1">
        <v>6</v>
      </c>
      <c r="I539">
        <f t="shared" si="40"/>
        <v>-0.40855123583287978</v>
      </c>
      <c r="J539">
        <f t="shared" si="41"/>
        <v>-1.9750729017818531</v>
      </c>
      <c r="K539">
        <f t="shared" si="42"/>
        <v>-0.78746800719148702</v>
      </c>
      <c r="M539">
        <f t="shared" si="43"/>
        <v>-1.0570307149354068</v>
      </c>
      <c r="P539" s="15" t="s">
        <v>1686</v>
      </c>
    </row>
    <row r="540" spans="1:16">
      <c r="A540" s="2" t="s">
        <v>100</v>
      </c>
      <c r="B540" s="6" t="s">
        <v>663</v>
      </c>
      <c r="C540" s="7" t="str" cm="1">
        <f t="array" ref="C540">_xlfn.LET(
  _xlpm.s, UPPER(B540),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KQFFKDIVQKGKIPHIILHSP</v>
      </c>
      <c r="D540" s="4">
        <v>157</v>
      </c>
      <c r="E540" s="1">
        <v>2</v>
      </c>
      <c r="F540" s="1">
        <v>3</v>
      </c>
      <c r="G540" s="1">
        <v>1</v>
      </c>
      <c r="I540">
        <f t="shared" si="40"/>
        <v>-0.90281649222468308</v>
      </c>
      <c r="J540">
        <f t="shared" si="41"/>
        <v>-1.1793035468111386</v>
      </c>
      <c r="K540">
        <f t="shared" si="42"/>
        <v>-1.2469711573240783</v>
      </c>
      <c r="M540">
        <f t="shared" si="43"/>
        <v>-1.1096970654533</v>
      </c>
      <c r="P540" s="15" t="s">
        <v>1686</v>
      </c>
    </row>
    <row r="541" spans="1:16">
      <c r="A541" s="2" t="s">
        <v>474</v>
      </c>
      <c r="B541" s="6" t="s">
        <v>1037</v>
      </c>
      <c r="C541" s="7" t="str" cm="1">
        <f t="array" ref="C541">_xlfn.LET(
  _xlpm.s, UPPER(B541),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RALMKEIAASGKIPHIILHSP</v>
      </c>
      <c r="D541" s="4">
        <v>1480</v>
      </c>
      <c r="E541" s="1">
        <v>11</v>
      </c>
      <c r="F541" s="1">
        <v>10</v>
      </c>
      <c r="G541" s="1">
        <v>38</v>
      </c>
      <c r="I541">
        <f t="shared" si="40"/>
        <v>-1.1368158657161627</v>
      </c>
      <c r="J541">
        <f t="shared" si="41"/>
        <v>-1.6307868645165247</v>
      </c>
      <c r="K541">
        <f t="shared" si="42"/>
        <v>-0.64154962369299184</v>
      </c>
      <c r="M541">
        <f t="shared" si="43"/>
        <v>-1.1363841179752263</v>
      </c>
      <c r="P541" s="16" t="s">
        <v>1685</v>
      </c>
    </row>
    <row r="542" spans="1:16">
      <c r="A542" s="2" t="s">
        <v>432</v>
      </c>
      <c r="B542" s="6" t="s">
        <v>995</v>
      </c>
      <c r="C542" s="7" t="str" cm="1">
        <f t="array" ref="C542">_xlfn.LET(
  _xlpm.s, UPPER(B542),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KAFFKSIVEKGKIPHIILHSP</v>
      </c>
      <c r="D542" s="4">
        <v>224</v>
      </c>
      <c r="E542" s="1">
        <v>1</v>
      </c>
      <c r="F542" s="1">
        <v>2</v>
      </c>
      <c r="G542" s="1">
        <v>6</v>
      </c>
      <c r="I542">
        <f t="shared" si="40"/>
        <v>-1.3581948538135933</v>
      </c>
      <c r="J542">
        <f t="shared" si="41"/>
        <v>-1.5097431717917487</v>
      </c>
      <c r="K542">
        <f t="shared" si="42"/>
        <v>-0.6231682728653638</v>
      </c>
      <c r="M542">
        <f t="shared" si="43"/>
        <v>-1.1637020994902352</v>
      </c>
      <c r="P542" s="15" t="s">
        <v>1686</v>
      </c>
    </row>
    <row r="543" spans="1:16">
      <c r="A543" s="2" t="s">
        <v>73</v>
      </c>
      <c r="B543" s="6" t="s">
        <v>636</v>
      </c>
      <c r="C543" s="7" t="str" cm="1">
        <f t="array" ref="C543">_xlfn.LET(
  _xlpm.s, UPPER(B543),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KQTMREIAASGKIPHIILHSP</v>
      </c>
      <c r="D543" s="4">
        <v>1216</v>
      </c>
      <c r="E543" s="1">
        <v>12</v>
      </c>
      <c r="F543" s="1">
        <v>6</v>
      </c>
      <c r="G543" s="1">
        <v>25</v>
      </c>
      <c r="I543">
        <f t="shared" si="40"/>
        <v>-1.0136991643685218</v>
      </c>
      <c r="J543">
        <f t="shared" si="41"/>
        <v>-1.7673074736746397</v>
      </c>
      <c r="K543">
        <f t="shared" si="42"/>
        <v>-0.73806507117952314</v>
      </c>
      <c r="M543">
        <f t="shared" si="43"/>
        <v>-1.1730239030742282</v>
      </c>
      <c r="P543" s="16" t="s">
        <v>1685</v>
      </c>
    </row>
    <row r="544" spans="1:16">
      <c r="A544" s="2" t="s">
        <v>430</v>
      </c>
      <c r="B544" s="6" t="s">
        <v>993</v>
      </c>
      <c r="C544" s="7" t="str" cm="1">
        <f t="array" ref="C544">_xlfn.LET(
  _xlpm.s, UPPER(B544),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KAFFKAIVARGKIPHIILHSP</v>
      </c>
      <c r="D544" s="4">
        <v>724</v>
      </c>
      <c r="E544" s="1">
        <v>2</v>
      </c>
      <c r="F544" s="1">
        <v>7</v>
      </c>
      <c r="G544" s="1">
        <v>25</v>
      </c>
      <c r="I544">
        <f t="shared" si="40"/>
        <v>-1.5666554060125963</v>
      </c>
      <c r="J544">
        <f t="shared" si="41"/>
        <v>-1.4751656753044573</v>
      </c>
      <c r="K544">
        <f t="shared" si="42"/>
        <v>-0.51287006243995403</v>
      </c>
      <c r="M544">
        <f t="shared" si="43"/>
        <v>-1.1848970479190026</v>
      </c>
      <c r="P544" s="15" t="s">
        <v>1686</v>
      </c>
    </row>
    <row r="545" spans="1:16">
      <c r="A545" s="2" t="s">
        <v>471</v>
      </c>
      <c r="B545" s="6" t="s">
        <v>1034</v>
      </c>
      <c r="C545" s="7" t="str" cm="1">
        <f t="array" ref="C545">_xlfn.LET(
  _xlpm.s, UPPER(B545),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RATMKEIANSGKIPHIILHSP</v>
      </c>
      <c r="D545" s="4">
        <v>631</v>
      </c>
      <c r="E545" s="1">
        <v>9</v>
      </c>
      <c r="F545" s="1">
        <v>1</v>
      </c>
      <c r="G545" s="1">
        <v>21</v>
      </c>
      <c r="I545">
        <f t="shared" si="40"/>
        <v>-0.85373368528423987</v>
      </c>
      <c r="J545">
        <f t="shared" si="41"/>
        <v>-2.2605545083657015</v>
      </c>
      <c r="K545">
        <f t="shared" si="42"/>
        <v>-0.52888156942505971</v>
      </c>
      <c r="M545">
        <f t="shared" si="43"/>
        <v>-1.2143899210250004</v>
      </c>
      <c r="P545" s="16" t="s">
        <v>1685</v>
      </c>
    </row>
    <row r="546" spans="1:16">
      <c r="A546" s="2" t="s">
        <v>548</v>
      </c>
      <c r="B546" s="6" t="s">
        <v>1111</v>
      </c>
      <c r="C546" s="7" t="str" cm="1">
        <f t="array" ref="C546">_xlfn.LET(
  _xlpm.s, UPPER(B546),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LAEMKEIAASGKIPHIILHSP</v>
      </c>
      <c r="D546" s="4">
        <v>811</v>
      </c>
      <c r="E546" s="1">
        <v>18</v>
      </c>
      <c r="F546" s="1">
        <v>3</v>
      </c>
      <c r="G546" s="1">
        <v>7</v>
      </c>
      <c r="I546">
        <f t="shared" si="40"/>
        <v>-0.66169518458728049</v>
      </c>
      <c r="J546">
        <f t="shared" si="41"/>
        <v>-1.8924247486130605</v>
      </c>
      <c r="K546">
        <f t="shared" si="42"/>
        <v>-1.1149943191117437</v>
      </c>
      <c r="M546">
        <f t="shared" si="43"/>
        <v>-1.2230380841040283</v>
      </c>
      <c r="P546" s="16" t="s">
        <v>1685</v>
      </c>
    </row>
    <row r="547" spans="1:16">
      <c r="A547" s="2" t="s">
        <v>488</v>
      </c>
      <c r="B547" s="6" t="s">
        <v>1051</v>
      </c>
      <c r="C547" s="7" t="str" cm="1">
        <f t="array" ref="C547">_xlfn.LET(
  _xlpm.s, UPPER(B547),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LKEMKEIVASGKIPHIILHSP</v>
      </c>
      <c r="D547" s="4">
        <v>646</v>
      </c>
      <c r="E547" s="1">
        <v>5</v>
      </c>
      <c r="F547" s="1">
        <v>4</v>
      </c>
      <c r="G547" s="1">
        <v>9</v>
      </c>
      <c r="I547">
        <f t="shared" si="40"/>
        <v>-1.119209349138496</v>
      </c>
      <c r="J547">
        <f t="shared" si="41"/>
        <v>-1.6686976757886889</v>
      </c>
      <c r="K547">
        <f t="shared" si="42"/>
        <v>-0.90706151347060393</v>
      </c>
      <c r="M547">
        <f t="shared" si="43"/>
        <v>-1.2316561794659295</v>
      </c>
      <c r="P547" s="16" t="s">
        <v>1685</v>
      </c>
    </row>
    <row r="548" spans="1:16">
      <c r="A548" s="2" t="s">
        <v>414</v>
      </c>
      <c r="B548" s="6" t="s">
        <v>977</v>
      </c>
      <c r="C548" s="7" t="str" cm="1">
        <f t="array" ref="C548">_xlfn.LET(
  _xlpm.s, UPPER(B548),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KAYFKAIVAKGKIPHIILHSP</v>
      </c>
      <c r="D548" s="4">
        <v>472</v>
      </c>
      <c r="E548" s="1">
        <v>1</v>
      </c>
      <c r="F548" s="1">
        <v>2</v>
      </c>
      <c r="G548" s="1">
        <v>33</v>
      </c>
      <c r="I548">
        <f t="shared" si="40"/>
        <v>-1.6818888341135185</v>
      </c>
      <c r="J548">
        <f t="shared" si="41"/>
        <v>-1.8334371520916739</v>
      </c>
      <c r="K548">
        <f t="shared" si="42"/>
        <v>-0.20649956367104494</v>
      </c>
      <c r="M548">
        <f t="shared" si="43"/>
        <v>-1.2406085166254124</v>
      </c>
      <c r="P548" s="15" t="s">
        <v>1686</v>
      </c>
    </row>
    <row r="549" spans="1:16">
      <c r="A549" s="2" t="s">
        <v>500</v>
      </c>
      <c r="B549" s="6" t="s">
        <v>1063</v>
      </c>
      <c r="C549" s="7" t="str" cm="1">
        <f t="array" ref="C549">_xlfn.LET(
  _xlpm.s, UPPER(B549),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LQEMKAIAASGKIPHIILHSP</v>
      </c>
      <c r="D549" s="4">
        <v>1144</v>
      </c>
      <c r="E549" s="1">
        <v>17</v>
      </c>
      <c r="F549" s="1">
        <v>9</v>
      </c>
      <c r="G549" s="1">
        <v>5</v>
      </c>
      <c r="I549">
        <f t="shared" si="40"/>
        <v>-0.83592393855816205</v>
      </c>
      <c r="J549">
        <f t="shared" si="41"/>
        <v>-1.5647086641392476</v>
      </c>
      <c r="K549">
        <f t="shared" si="42"/>
        <v>-1.4105275250358311</v>
      </c>
      <c r="M549">
        <f t="shared" si="43"/>
        <v>-1.2703867092444137</v>
      </c>
      <c r="P549" s="16" t="s">
        <v>1685</v>
      </c>
    </row>
    <row r="550" spans="1:16">
      <c r="A550" s="2" t="s">
        <v>469</v>
      </c>
      <c r="B550" s="6" t="s">
        <v>1032</v>
      </c>
      <c r="C550" s="7" t="str" cm="1">
        <f t="array" ref="C550">_xlfn.LET(
  _xlpm.s, UPPER(B550),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REEMKKIAASGKIPHIILHSP</v>
      </c>
      <c r="D550" s="4">
        <v>686</v>
      </c>
      <c r="E550" s="1">
        <v>8</v>
      </c>
      <c r="F550" s="1">
        <v>17</v>
      </c>
      <c r="G550" s="1">
        <v>1</v>
      </c>
      <c r="I550">
        <f t="shared" si="40"/>
        <v>-0.94118096419423858</v>
      </c>
      <c r="J550">
        <f t="shared" si="41"/>
        <v>-1.0664003434500446</v>
      </c>
      <c r="K550">
        <f t="shared" si="42"/>
        <v>-1.8873956206215963</v>
      </c>
      <c r="M550">
        <f t="shared" si="43"/>
        <v>-1.2983256427552934</v>
      </c>
      <c r="P550" s="16" t="s">
        <v>1685</v>
      </c>
    </row>
    <row r="551" spans="1:16">
      <c r="A551" s="2" t="s">
        <v>422</v>
      </c>
      <c r="B551" s="6" t="s">
        <v>985</v>
      </c>
      <c r="C551" s="7" t="str" cm="1">
        <f t="array" ref="C551">_xlfn.LET(
  _xlpm.s, UPPER(B551),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KAFFKDIVARGKIPHIILHSP</v>
      </c>
      <c r="D551" s="4">
        <v>444</v>
      </c>
      <c r="E551" s="1">
        <v>2</v>
      </c>
      <c r="F551" s="1">
        <v>2</v>
      </c>
      <c r="G551" s="1">
        <v>9</v>
      </c>
      <c r="I551">
        <f t="shared" si="40"/>
        <v>-1.3542998099300694</v>
      </c>
      <c r="J551">
        <f t="shared" si="41"/>
        <v>-1.806878123572206</v>
      </c>
      <c r="K551">
        <f t="shared" si="42"/>
        <v>-0.74421196559013958</v>
      </c>
      <c r="M551">
        <f t="shared" si="43"/>
        <v>-1.3017966330308051</v>
      </c>
      <c r="P551" s="15" t="s">
        <v>1686</v>
      </c>
    </row>
    <row r="552" spans="1:16">
      <c r="A552" s="2" t="s">
        <v>261</v>
      </c>
      <c r="B552" s="6" t="s">
        <v>824</v>
      </c>
      <c r="C552" s="7" t="str" cm="1">
        <f t="array" ref="C552">_xlfn.LET(
  _xlpm.s, UPPER(B552),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KEYFKEIVARGKIPHIILHSP</v>
      </c>
      <c r="D552" s="4">
        <v>208</v>
      </c>
      <c r="E552" s="1">
        <v>2</v>
      </c>
      <c r="F552" s="1">
        <v>1</v>
      </c>
      <c r="G552" s="1">
        <v>1</v>
      </c>
      <c r="I552">
        <f t="shared" si="40"/>
        <v>-1.0249801747782108</v>
      </c>
      <c r="J552">
        <f t="shared" si="41"/>
        <v>-1.7785884840843287</v>
      </c>
      <c r="K552">
        <f t="shared" si="42"/>
        <v>-1.3691348398776062</v>
      </c>
      <c r="M552">
        <f t="shared" si="43"/>
        <v>-1.3909011662467152</v>
      </c>
      <c r="P552" s="15" t="s">
        <v>1686</v>
      </c>
    </row>
    <row r="553" spans="1:16">
      <c r="A553" s="2" t="s">
        <v>473</v>
      </c>
      <c r="B553" s="6" t="s">
        <v>1036</v>
      </c>
      <c r="C553" s="7" t="str" cm="1">
        <f t="array" ref="C553">_xlfn.LET(
  _xlpm.s, UPPER(B553),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RATMREIAASGKIPHIILHSP</v>
      </c>
      <c r="D553" s="4">
        <v>2351</v>
      </c>
      <c r="E553" s="1">
        <v>16</v>
      </c>
      <c r="F553" s="1">
        <v>17</v>
      </c>
      <c r="G553" s="1">
        <v>6</v>
      </c>
      <c r="I553">
        <f t="shared" si="40"/>
        <v>-1.1750794819484449</v>
      </c>
      <c r="J553">
        <f t="shared" si="41"/>
        <v>-1.6013288568682325</v>
      </c>
      <c r="K553">
        <f t="shared" si="42"/>
        <v>-1.6441728836561402</v>
      </c>
      <c r="M553">
        <f t="shared" si="43"/>
        <v>-1.4735270741576059</v>
      </c>
      <c r="P553" s="16" t="s">
        <v>1685</v>
      </c>
    </row>
    <row r="554" spans="1:16">
      <c r="A554" s="2" t="s">
        <v>518</v>
      </c>
      <c r="B554" s="6" t="s">
        <v>1081</v>
      </c>
      <c r="C554" s="7" t="str" cm="1">
        <f t="array" ref="C554">_xlfn.LET(
  _xlpm.s, UPPER(B554),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LEEMKKIANSGKIPHIILHSP</v>
      </c>
      <c r="D554" s="4">
        <v>262</v>
      </c>
      <c r="E554" s="1">
        <v>2</v>
      </c>
      <c r="F554" s="1">
        <v>1</v>
      </c>
      <c r="G554" s="1">
        <v>1</v>
      </c>
      <c r="I554">
        <f t="shared" si="40"/>
        <v>-1.125218131135195</v>
      </c>
      <c r="J554">
        <f t="shared" si="41"/>
        <v>-1.8788264404413129</v>
      </c>
      <c r="K554">
        <f t="shared" si="42"/>
        <v>-1.4693727962345904</v>
      </c>
      <c r="M554">
        <f t="shared" si="43"/>
        <v>-1.4911391226036994</v>
      </c>
      <c r="P554" s="16" t="s">
        <v>1685</v>
      </c>
    </row>
    <row r="555" spans="1:16">
      <c r="A555" s="2" t="s">
        <v>332</v>
      </c>
      <c r="B555" s="6" t="s">
        <v>895</v>
      </c>
      <c r="C555" s="7" t="str" cm="1">
        <f t="array" ref="C555">_xlfn.LET(
  _xlpm.s, UPPER(B555),
  _xlpm.k, _xlfn.SEQUENCE(INT(LEN(_xlpm.s)/3)),
  _xlpm.codons, MID(_xlpm.s, 3*_xlpm.k-2, 3),
  _xlpm.codonList, {"TTT","TTC","TTA","TTG","TCT","TCC","TCA","TCG","TAT","TAC","TAA","TAG","TGT","TGC","TGA","TGG","CTT","CTC","CTA","CTG","CCT","CCC","CCA","CCG","CAT","CAC","CAA","CAG","CGT","CGC","CGA","CGG","ATT","ATC","ATA","ATG","ACT","ACC","ACA","ACG","AAT","AAC","AAA","AAG","AGT","AGC","AGA","AGG","GTT","GTC","GTA","GTG","GCT","GCC","GCA","GCG","GAT","GAC","GAA","GAG","GGT","GGC","GGA","GGG"},
  _xlpm.aaList,    {"F","F","L","L","S","S","S","S","Y","Y","*","*","C","C","*","W","L","L","L","L","P","P","P","P","H","H","Q","Q","R","R","R","R","I","I","I","M","T","T","T","T","N","N","K","K","S","S","R","R","V","V","V","V","A","A","A","A","D","D","E","E","G","G","G","G"},
  _xlfn.TEXTJOIN("", TRUE, INDEX(_xlpm.aaList, _xlfn.XMATCH(_xlpm.codons, _xlpm.codonList, 0)))
)</f>
        <v>KEFFRSIVARGKIPHIILHSP</v>
      </c>
      <c r="D555" s="4">
        <v>557</v>
      </c>
      <c r="E555" s="1">
        <v>1</v>
      </c>
      <c r="F555" s="1">
        <v>3</v>
      </c>
      <c r="G555" s="1">
        <v>1</v>
      </c>
      <c r="I555">
        <f t="shared" si="40"/>
        <v>-1.7538020306531594</v>
      </c>
      <c r="J555">
        <f t="shared" si="41"/>
        <v>-1.7292590895756335</v>
      </c>
      <c r="K555">
        <f t="shared" si="42"/>
        <v>-1.7969267000885736</v>
      </c>
      <c r="M555">
        <f t="shared" si="43"/>
        <v>-1.7599959401057887</v>
      </c>
      <c r="P555" s="15" t="s">
        <v>1686</v>
      </c>
    </row>
  </sheetData>
  <sortState xmlns:xlrd2="http://schemas.microsoft.com/office/spreadsheetml/2017/richdata2" ref="A1:P555">
    <sortCondition descending="1" ref="M1:M555"/>
  </sortState>
  <conditionalFormatting sqref="M1:M1048576">
    <cfRule type="colorScale" priority="1">
      <colorScale>
        <cfvo type="num" val="-2"/>
        <cfvo type="num" val="0"/>
        <cfvo type="num" val="2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9B1B4-5705-DD49-B59D-EE511BCC995C}">
  <dimension ref="A1:M702"/>
  <sheetViews>
    <sheetView topLeftCell="A190" workbookViewId="0">
      <selection activeCell="B473" sqref="B473"/>
    </sheetView>
  </sheetViews>
  <sheetFormatPr baseColWidth="10" defaultRowHeight="20"/>
  <cols>
    <col min="1" max="1" width="12.625" style="2" bestFit="1" customWidth="1"/>
    <col min="2" max="2" width="78" bestFit="1" customWidth="1"/>
    <col min="4" max="4" width="10.625" style="4"/>
    <col min="5" max="7" width="10.625" style="1"/>
  </cols>
  <sheetData>
    <row r="1" spans="1:13">
      <c r="A1" s="2" t="s">
        <v>47</v>
      </c>
      <c r="B1" t="s">
        <v>610</v>
      </c>
      <c r="D1" s="4">
        <v>204</v>
      </c>
      <c r="E1" s="1">
        <v>3</v>
      </c>
      <c r="F1" s="1">
        <v>0</v>
      </c>
      <c r="G1" s="1">
        <v>2</v>
      </c>
      <c r="I1">
        <f t="shared" ref="I1:I32" si="0">LOG(E1/D1)-LOG(182/1787)</f>
        <v>-0.84045574818566693</v>
      </c>
      <c r="J1" t="e">
        <f t="shared" ref="J1:J32" si="1">LOG(F1/D1)-LOG(516/1787)</f>
        <v>#NUM!</v>
      </c>
      <c r="K1">
        <f t="shared" ref="K1:K32" si="2">LOG(G1/D1)-LOG(201/1787)</f>
        <v>-1.0596716766767622</v>
      </c>
      <c r="M1" t="e">
        <f t="shared" ref="M1:M32" si="3">AVERAGE(I1:K1)</f>
        <v>#NUM!</v>
      </c>
    </row>
    <row r="2" spans="1:13">
      <c r="A2" s="2" t="s">
        <v>48</v>
      </c>
      <c r="B2" t="s">
        <v>611</v>
      </c>
      <c r="D2" s="4">
        <v>455</v>
      </c>
      <c r="E2" s="1">
        <v>0</v>
      </c>
      <c r="F2" s="1">
        <v>4</v>
      </c>
      <c r="G2" s="1">
        <v>3</v>
      </c>
      <c r="I2" t="e">
        <f t="shared" si="0"/>
        <v>#NUM!</v>
      </c>
      <c r="J2">
        <f t="shared" si="1"/>
        <v>-1.5164765544507173</v>
      </c>
      <c r="K2">
        <f t="shared" si="2"/>
        <v>-1.2319616468522947</v>
      </c>
      <c r="M2" t="e">
        <f t="shared" si="3"/>
        <v>#NUM!</v>
      </c>
    </row>
    <row r="3" spans="1:13">
      <c r="A3" s="2" t="s">
        <v>49</v>
      </c>
      <c r="B3" t="s">
        <v>612</v>
      </c>
      <c r="D3" s="4">
        <v>298</v>
      </c>
      <c r="E3" s="1">
        <v>25</v>
      </c>
      <c r="F3" s="1">
        <v>0</v>
      </c>
      <c r="G3" s="1">
        <v>3</v>
      </c>
      <c r="I3">
        <f t="shared" si="0"/>
        <v>-8.42230908836481E-2</v>
      </c>
      <c r="J3" t="e">
        <f t="shared" si="1"/>
        <v>#NUM!</v>
      </c>
      <c r="K3">
        <f t="shared" si="2"/>
        <v>-1.0481665142714376</v>
      </c>
      <c r="M3" t="e">
        <f t="shared" si="3"/>
        <v>#NUM!</v>
      </c>
    </row>
    <row r="4" spans="1:13">
      <c r="A4" s="2" t="s">
        <v>51</v>
      </c>
      <c r="B4" t="s">
        <v>614</v>
      </c>
      <c r="D4" s="4">
        <v>462</v>
      </c>
      <c r="E4" s="1">
        <v>7</v>
      </c>
      <c r="F4" s="1">
        <v>11</v>
      </c>
      <c r="G4" s="1">
        <v>0</v>
      </c>
      <c r="I4">
        <f t="shared" si="0"/>
        <v>-0.82749077102129909</v>
      </c>
      <c r="J4">
        <f t="shared" si="1"/>
        <v>-1.0837744395194675</v>
      </c>
      <c r="K4" t="e">
        <f t="shared" si="2"/>
        <v>#NUM!</v>
      </c>
      <c r="M4" t="e">
        <f t="shared" si="3"/>
        <v>#NUM!</v>
      </c>
    </row>
    <row r="5" spans="1:13">
      <c r="A5" s="2" t="s">
        <v>52</v>
      </c>
      <c r="B5" t="s">
        <v>615</v>
      </c>
      <c r="D5" s="4">
        <v>105</v>
      </c>
      <c r="E5" s="1">
        <v>0</v>
      </c>
      <c r="F5" s="1">
        <v>0</v>
      </c>
      <c r="G5" s="1">
        <v>5</v>
      </c>
      <c r="I5" t="e">
        <f t="shared" si="0"/>
        <v>#NUM!</v>
      </c>
      <c r="J5" t="e">
        <f t="shared" si="1"/>
        <v>#NUM!</v>
      </c>
      <c r="K5">
        <f t="shared" si="2"/>
        <v>-0.37329079964876399</v>
      </c>
      <c r="M5" t="e">
        <f t="shared" si="3"/>
        <v>#NUM!</v>
      </c>
    </row>
    <row r="6" spans="1:13">
      <c r="A6" s="2" t="s">
        <v>53</v>
      </c>
      <c r="B6" t="s">
        <v>616</v>
      </c>
      <c r="D6" s="4">
        <v>29</v>
      </c>
      <c r="E6" s="1">
        <v>0</v>
      </c>
      <c r="F6" s="1">
        <v>1</v>
      </c>
      <c r="G6" s="1">
        <v>4</v>
      </c>
      <c r="I6" t="e">
        <f t="shared" si="0"/>
        <v>#NUM!</v>
      </c>
      <c r="J6">
        <f t="shared" si="1"/>
        <v>-0.92292314702052314</v>
      </c>
      <c r="K6">
        <f t="shared" si="2"/>
        <v>8.8590488514161625E-2</v>
      </c>
      <c r="M6" t="e">
        <f t="shared" si="3"/>
        <v>#NUM!</v>
      </c>
    </row>
    <row r="7" spans="1:13">
      <c r="A7" s="2" t="s">
        <v>54</v>
      </c>
      <c r="B7" t="s">
        <v>617</v>
      </c>
      <c r="D7" s="4">
        <v>44</v>
      </c>
      <c r="E7" s="1">
        <v>1</v>
      </c>
      <c r="F7" s="1">
        <v>0</v>
      </c>
      <c r="G7" s="1">
        <v>4</v>
      </c>
      <c r="I7">
        <f t="shared" si="0"/>
        <v>-0.65139951196561796</v>
      </c>
      <c r="J7" t="e">
        <f t="shared" si="1"/>
        <v>#NUM!</v>
      </c>
      <c r="K7">
        <f t="shared" si="2"/>
        <v>-9.2464190073069608E-2</v>
      </c>
      <c r="M7" t="e">
        <f t="shared" si="3"/>
        <v>#NUM!</v>
      </c>
    </row>
    <row r="8" spans="1:13">
      <c r="A8" s="2" t="s">
        <v>55</v>
      </c>
      <c r="B8" t="s">
        <v>618</v>
      </c>
      <c r="D8" s="4">
        <v>60</v>
      </c>
      <c r="E8" s="1">
        <v>2</v>
      </c>
      <c r="F8" s="1">
        <v>1</v>
      </c>
      <c r="G8" s="1">
        <v>0</v>
      </c>
      <c r="I8">
        <f t="shared" si="0"/>
        <v>-0.48506809019909292</v>
      </c>
      <c r="J8">
        <f t="shared" si="1"/>
        <v>-1.2386763995052106</v>
      </c>
      <c r="K8" t="e">
        <f t="shared" si="2"/>
        <v>#NUM!</v>
      </c>
      <c r="M8" t="e">
        <f t="shared" si="3"/>
        <v>#NUM!</v>
      </c>
    </row>
    <row r="9" spans="1:13">
      <c r="A9" s="2" t="s">
        <v>56</v>
      </c>
      <c r="B9" t="s">
        <v>619</v>
      </c>
      <c r="D9" s="4">
        <v>72</v>
      </c>
      <c r="E9" s="1">
        <v>3</v>
      </c>
      <c r="F9" s="1">
        <v>0</v>
      </c>
      <c r="G9" s="1">
        <v>0</v>
      </c>
      <c r="I9">
        <f t="shared" si="0"/>
        <v>-0.38815807719103668</v>
      </c>
      <c r="J9" t="e">
        <f t="shared" si="1"/>
        <v>#NUM!</v>
      </c>
      <c r="K9" t="e">
        <f t="shared" si="2"/>
        <v>#NUM!</v>
      </c>
      <c r="M9" t="e">
        <f t="shared" si="3"/>
        <v>#NUM!</v>
      </c>
    </row>
    <row r="10" spans="1:13">
      <c r="A10" s="2" t="s">
        <v>57</v>
      </c>
      <c r="B10" t="s">
        <v>620</v>
      </c>
      <c r="D10" s="4">
        <v>44</v>
      </c>
      <c r="E10" s="1">
        <v>3</v>
      </c>
      <c r="F10" s="1">
        <v>0</v>
      </c>
      <c r="G10" s="1">
        <v>3</v>
      </c>
      <c r="I10">
        <f t="shared" si="0"/>
        <v>-0.17427825724595558</v>
      </c>
      <c r="J10" t="e">
        <f t="shared" si="1"/>
        <v>#NUM!</v>
      </c>
      <c r="K10">
        <f t="shared" si="2"/>
        <v>-0.21740292668136973</v>
      </c>
      <c r="M10" t="e">
        <f t="shared" si="3"/>
        <v>#NUM!</v>
      </c>
    </row>
    <row r="11" spans="1:13">
      <c r="A11" s="2" t="s">
        <v>58</v>
      </c>
      <c r="B11" t="s">
        <v>621</v>
      </c>
      <c r="D11" s="4">
        <v>76</v>
      </c>
      <c r="E11" s="1">
        <v>43</v>
      </c>
      <c r="F11" s="1">
        <v>0</v>
      </c>
      <c r="G11" s="1">
        <v>1</v>
      </c>
      <c r="I11">
        <f t="shared" si="0"/>
        <v>0.74470802781936463</v>
      </c>
      <c r="J11" t="e">
        <f t="shared" si="1"/>
        <v>#NUM!</v>
      </c>
      <c r="K11">
        <f t="shared" si="2"/>
        <v>-0.93188509719563606</v>
      </c>
      <c r="M11" t="e">
        <f t="shared" si="3"/>
        <v>#NUM!</v>
      </c>
    </row>
    <row r="12" spans="1:13">
      <c r="A12" s="2" t="s">
        <v>60</v>
      </c>
      <c r="B12" t="s">
        <v>623</v>
      </c>
      <c r="D12" s="4">
        <v>82</v>
      </c>
      <c r="E12" s="1">
        <v>0</v>
      </c>
      <c r="F12" s="1">
        <v>6</v>
      </c>
      <c r="G12" s="1">
        <v>0</v>
      </c>
      <c r="I12" t="e">
        <f t="shared" si="0"/>
        <v>#NUM!</v>
      </c>
      <c r="J12">
        <f t="shared" si="1"/>
        <v>-0.59618775112164013</v>
      </c>
      <c r="K12" t="e">
        <f t="shared" si="2"/>
        <v>#NUM!</v>
      </c>
      <c r="M12" t="e">
        <f t="shared" si="3"/>
        <v>#NUM!</v>
      </c>
    </row>
    <row r="13" spans="1:13">
      <c r="A13" s="2" t="s">
        <v>61</v>
      </c>
      <c r="B13" t="s">
        <v>624</v>
      </c>
      <c r="D13" s="4">
        <v>114</v>
      </c>
      <c r="E13" s="1">
        <v>2</v>
      </c>
      <c r="F13" s="1">
        <v>0</v>
      </c>
      <c r="G13" s="1">
        <v>3</v>
      </c>
      <c r="I13">
        <f t="shared" si="0"/>
        <v>-0.763821691151922</v>
      </c>
      <c r="J13" t="e">
        <f t="shared" si="1"/>
        <v>#NUM!</v>
      </c>
      <c r="K13">
        <f t="shared" si="2"/>
        <v>-0.6308551015316548</v>
      </c>
      <c r="M13" t="e">
        <f t="shared" si="3"/>
        <v>#NUM!</v>
      </c>
    </row>
    <row r="14" spans="1:13">
      <c r="A14" s="2" t="s">
        <v>62</v>
      </c>
      <c r="B14" t="s">
        <v>625</v>
      </c>
      <c r="D14" s="4">
        <v>91</v>
      </c>
      <c r="E14" s="1">
        <v>0</v>
      </c>
      <c r="F14" s="1">
        <v>1</v>
      </c>
      <c r="G14" s="1">
        <v>5</v>
      </c>
      <c r="I14" t="e">
        <f t="shared" si="0"/>
        <v>#NUM!</v>
      </c>
      <c r="J14">
        <f t="shared" si="1"/>
        <v>-1.4195665414426606</v>
      </c>
      <c r="K14">
        <f t="shared" si="2"/>
        <v>-0.31114289289991959</v>
      </c>
      <c r="M14" t="e">
        <f t="shared" si="3"/>
        <v>#NUM!</v>
      </c>
    </row>
    <row r="15" spans="1:13">
      <c r="A15" s="2" t="s">
        <v>66</v>
      </c>
      <c r="B15" t="s">
        <v>629</v>
      </c>
      <c r="D15" s="4">
        <v>119</v>
      </c>
      <c r="E15" s="1">
        <v>1</v>
      </c>
      <c r="F15" s="1">
        <v>0</v>
      </c>
      <c r="G15" s="1">
        <v>4</v>
      </c>
      <c r="I15">
        <f t="shared" si="0"/>
        <v>-1.0834937968719611</v>
      </c>
      <c r="J15" t="e">
        <f t="shared" si="1"/>
        <v>#NUM!</v>
      </c>
      <c r="K15">
        <f t="shared" si="2"/>
        <v>-0.52455847497941299</v>
      </c>
      <c r="M15" t="e">
        <f t="shared" si="3"/>
        <v>#NUM!</v>
      </c>
    </row>
    <row r="16" spans="1:13">
      <c r="A16" s="2" t="s">
        <v>67</v>
      </c>
      <c r="B16" t="s">
        <v>630</v>
      </c>
      <c r="D16" s="4">
        <v>150</v>
      </c>
      <c r="E16" s="1">
        <v>0</v>
      </c>
      <c r="F16" s="1">
        <v>1</v>
      </c>
      <c r="G16" s="1">
        <v>0</v>
      </c>
      <c r="I16" t="e">
        <f t="shared" si="0"/>
        <v>#NUM!</v>
      </c>
      <c r="J16">
        <f t="shared" si="1"/>
        <v>-1.6366164081772485</v>
      </c>
      <c r="K16" t="e">
        <f t="shared" si="2"/>
        <v>#NUM!</v>
      </c>
      <c r="M16" t="e">
        <f t="shared" si="3"/>
        <v>#NUM!</v>
      </c>
    </row>
    <row r="17" spans="1:13">
      <c r="A17" s="2" t="s">
        <v>94</v>
      </c>
      <c r="B17" t="s">
        <v>657</v>
      </c>
      <c r="D17" s="4">
        <v>209</v>
      </c>
      <c r="E17" s="1">
        <v>0</v>
      </c>
      <c r="F17" s="1">
        <v>2</v>
      </c>
      <c r="G17" s="1">
        <v>0</v>
      </c>
      <c r="I17" t="e">
        <f t="shared" si="0"/>
        <v>#NUM!</v>
      </c>
      <c r="J17">
        <f t="shared" si="1"/>
        <v>-1.4796414395686401</v>
      </c>
      <c r="K17" t="e">
        <f t="shared" si="2"/>
        <v>#NUM!</v>
      </c>
      <c r="M17" t="e">
        <f t="shared" si="3"/>
        <v>#NUM!</v>
      </c>
    </row>
    <row r="18" spans="1:13">
      <c r="A18" s="2" t="s">
        <v>95</v>
      </c>
      <c r="B18" t="s">
        <v>658</v>
      </c>
      <c r="D18" s="4">
        <v>276</v>
      </c>
      <c r="E18" s="1">
        <v>0</v>
      </c>
      <c r="F18" s="1">
        <v>0</v>
      </c>
      <c r="G18" s="1">
        <v>1</v>
      </c>
      <c r="I18" t="e">
        <f t="shared" si="0"/>
        <v>#NUM!</v>
      </c>
      <c r="J18" t="e">
        <f t="shared" si="1"/>
        <v>#NUM!</v>
      </c>
      <c r="K18">
        <f t="shared" si="2"/>
        <v>-1.4919805869800624</v>
      </c>
      <c r="M18" t="e">
        <f t="shared" si="3"/>
        <v>#NUM!</v>
      </c>
    </row>
    <row r="19" spans="1:13">
      <c r="A19" s="2" t="s">
        <v>96</v>
      </c>
      <c r="B19" t="s">
        <v>659</v>
      </c>
      <c r="D19" s="4">
        <v>153</v>
      </c>
      <c r="E19" s="1">
        <v>9</v>
      </c>
      <c r="F19" s="1">
        <v>0</v>
      </c>
      <c r="G19" s="1">
        <v>4</v>
      </c>
      <c r="I19">
        <f t="shared" si="0"/>
        <v>-0.23839575685770442</v>
      </c>
      <c r="J19" t="e">
        <f t="shared" si="1"/>
        <v>#NUM!</v>
      </c>
      <c r="K19">
        <f t="shared" si="2"/>
        <v>-0.63370294440448105</v>
      </c>
      <c r="M19" t="e">
        <f t="shared" si="3"/>
        <v>#NUM!</v>
      </c>
    </row>
    <row r="20" spans="1:13">
      <c r="A20" s="2" t="s">
        <v>98</v>
      </c>
      <c r="B20" t="s">
        <v>661</v>
      </c>
      <c r="D20" s="4">
        <v>238</v>
      </c>
      <c r="E20" s="1">
        <v>0</v>
      </c>
      <c r="F20" s="1">
        <v>3</v>
      </c>
      <c r="G20" s="1">
        <v>0</v>
      </c>
      <c r="I20" t="e">
        <f t="shared" si="0"/>
        <v>#NUM!</v>
      </c>
      <c r="J20">
        <f t="shared" si="1"/>
        <v>-1.3599808514584164</v>
      </c>
      <c r="K20" t="e">
        <f t="shared" si="2"/>
        <v>#NUM!</v>
      </c>
      <c r="M20" t="e">
        <f t="shared" si="3"/>
        <v>#NUM!</v>
      </c>
    </row>
    <row r="21" spans="1:13">
      <c r="A21" s="2" t="s">
        <v>103</v>
      </c>
      <c r="B21" t="s">
        <v>666</v>
      </c>
      <c r="D21" s="4">
        <v>277</v>
      </c>
      <c r="E21" s="1">
        <v>0</v>
      </c>
      <c r="F21" s="1">
        <v>3</v>
      </c>
      <c r="G21" s="1">
        <v>1</v>
      </c>
      <c r="I21" t="e">
        <f t="shared" si="0"/>
        <v>#NUM!</v>
      </c>
      <c r="J21">
        <f t="shared" si="1"/>
        <v>-1.4258836634663532</v>
      </c>
      <c r="K21">
        <f t="shared" si="2"/>
        <v>-1.4935512739792933</v>
      </c>
      <c r="M21" t="e">
        <f t="shared" si="3"/>
        <v>#NUM!</v>
      </c>
    </row>
    <row r="22" spans="1:13">
      <c r="A22" s="2" t="s">
        <v>235</v>
      </c>
      <c r="B22" t="s">
        <v>798</v>
      </c>
      <c r="D22" s="4">
        <v>268</v>
      </c>
      <c r="E22" s="1">
        <v>11</v>
      </c>
      <c r="F22" s="1">
        <v>0</v>
      </c>
      <c r="G22" s="1">
        <v>11</v>
      </c>
      <c r="I22">
        <f t="shared" si="0"/>
        <v>-0.39468894434999435</v>
      </c>
      <c r="J22" t="e">
        <f t="shared" si="1"/>
        <v>#NUM!</v>
      </c>
      <c r="K22">
        <f t="shared" si="2"/>
        <v>-0.43781361378540851</v>
      </c>
      <c r="M22" t="e">
        <f t="shared" si="3"/>
        <v>#NUM!</v>
      </c>
    </row>
    <row r="23" spans="1:13">
      <c r="A23" s="2" t="s">
        <v>252</v>
      </c>
      <c r="B23" t="s">
        <v>815</v>
      </c>
      <c r="D23" s="4">
        <v>26</v>
      </c>
      <c r="E23" s="1">
        <v>0</v>
      </c>
      <c r="F23" s="1">
        <v>0</v>
      </c>
      <c r="G23" s="1">
        <v>0</v>
      </c>
      <c r="I23" t="e">
        <f t="shared" si="0"/>
        <v>#NUM!</v>
      </c>
      <c r="J23" t="e">
        <f t="shared" si="1"/>
        <v>#NUM!</v>
      </c>
      <c r="K23" t="e">
        <f t="shared" si="2"/>
        <v>#NUM!</v>
      </c>
      <c r="M23" t="e">
        <f t="shared" si="3"/>
        <v>#NUM!</v>
      </c>
    </row>
    <row r="24" spans="1:13">
      <c r="A24" s="2" t="s">
        <v>253</v>
      </c>
      <c r="B24" t="s">
        <v>816</v>
      </c>
      <c r="D24" s="4">
        <v>92</v>
      </c>
      <c r="E24" s="1">
        <v>0</v>
      </c>
      <c r="F24" s="1">
        <v>0</v>
      </c>
      <c r="G24" s="1">
        <v>0</v>
      </c>
      <c r="I24" t="e">
        <f t="shared" si="0"/>
        <v>#NUM!</v>
      </c>
      <c r="J24" t="e">
        <f t="shared" si="1"/>
        <v>#NUM!</v>
      </c>
      <c r="K24" t="e">
        <f t="shared" si="2"/>
        <v>#NUM!</v>
      </c>
      <c r="M24" t="e">
        <f t="shared" si="3"/>
        <v>#NUM!</v>
      </c>
    </row>
    <row r="25" spans="1:13">
      <c r="A25" s="2" t="s">
        <v>255</v>
      </c>
      <c r="B25" t="s">
        <v>818</v>
      </c>
      <c r="D25" s="4">
        <v>115</v>
      </c>
      <c r="E25" s="1">
        <v>0</v>
      </c>
      <c r="F25" s="1">
        <v>0</v>
      </c>
      <c r="G25" s="1">
        <v>1</v>
      </c>
      <c r="I25" t="e">
        <f t="shared" si="0"/>
        <v>#NUM!</v>
      </c>
      <c r="J25" t="e">
        <f t="shared" si="1"/>
        <v>#NUM!</v>
      </c>
      <c r="K25">
        <f t="shared" si="2"/>
        <v>-1.1117693452684565</v>
      </c>
      <c r="M25" t="e">
        <f t="shared" si="3"/>
        <v>#NUM!</v>
      </c>
    </row>
    <row r="26" spans="1:13">
      <c r="A26" s="2" t="s">
        <v>256</v>
      </c>
      <c r="B26" t="s">
        <v>819</v>
      </c>
      <c r="D26" s="4">
        <v>178</v>
      </c>
      <c r="E26" s="1">
        <v>0</v>
      </c>
      <c r="F26" s="1">
        <v>0</v>
      </c>
      <c r="G26" s="1">
        <v>0</v>
      </c>
      <c r="I26" t="e">
        <f t="shared" si="0"/>
        <v>#NUM!</v>
      </c>
      <c r="J26" t="e">
        <f t="shared" si="1"/>
        <v>#NUM!</v>
      </c>
      <c r="K26" t="e">
        <f t="shared" si="2"/>
        <v>#NUM!</v>
      </c>
      <c r="M26" t="e">
        <f t="shared" si="3"/>
        <v>#NUM!</v>
      </c>
    </row>
    <row r="27" spans="1:13">
      <c r="A27" s="2" t="s">
        <v>258</v>
      </c>
      <c r="B27" t="s">
        <v>821</v>
      </c>
      <c r="D27" s="4">
        <v>244</v>
      </c>
      <c r="E27" s="1">
        <v>1</v>
      </c>
      <c r="F27" s="1">
        <v>0</v>
      </c>
      <c r="G27" s="1">
        <v>0</v>
      </c>
      <c r="I27">
        <f t="shared" si="0"/>
        <v>-1.3953366618181597</v>
      </c>
      <c r="J27" t="e">
        <f t="shared" si="1"/>
        <v>#NUM!</v>
      </c>
      <c r="K27" t="e">
        <f t="shared" si="2"/>
        <v>#NUM!</v>
      </c>
      <c r="M27" t="e">
        <f t="shared" si="3"/>
        <v>#NUM!</v>
      </c>
    </row>
    <row r="28" spans="1:13">
      <c r="A28" s="2" t="s">
        <v>259</v>
      </c>
      <c r="B28" t="s">
        <v>822</v>
      </c>
      <c r="D28" s="4">
        <v>133</v>
      </c>
      <c r="E28" s="1">
        <v>0</v>
      </c>
      <c r="F28" s="1">
        <v>2</v>
      </c>
      <c r="G28" s="1">
        <v>8</v>
      </c>
      <c r="I28" t="e">
        <f t="shared" si="0"/>
        <v>#NUM!</v>
      </c>
      <c r="J28">
        <f t="shared" si="1"/>
        <v>-1.2833467944246717</v>
      </c>
      <c r="K28">
        <f t="shared" si="2"/>
        <v>-0.27183315888998694</v>
      </c>
      <c r="M28" t="e">
        <f t="shared" si="3"/>
        <v>#NUM!</v>
      </c>
    </row>
    <row r="29" spans="1:13">
      <c r="A29" s="2" t="s">
        <v>262</v>
      </c>
      <c r="B29" t="s">
        <v>825</v>
      </c>
      <c r="D29" s="4">
        <v>214</v>
      </c>
      <c r="E29" s="1">
        <v>0</v>
      </c>
      <c r="F29" s="1">
        <v>0</v>
      </c>
      <c r="G29" s="1">
        <v>12</v>
      </c>
      <c r="I29" t="e">
        <f t="shared" si="0"/>
        <v>#NUM!</v>
      </c>
      <c r="J29" t="e">
        <f t="shared" si="1"/>
        <v>#NUM!</v>
      </c>
      <c r="K29">
        <f t="shared" si="2"/>
        <v>-0.30230403221641078</v>
      </c>
      <c r="M29" t="e">
        <f t="shared" si="3"/>
        <v>#NUM!</v>
      </c>
    </row>
    <row r="30" spans="1:13">
      <c r="A30" s="2" t="s">
        <v>263</v>
      </c>
      <c r="B30" t="s">
        <v>826</v>
      </c>
      <c r="D30" s="4">
        <v>144</v>
      </c>
      <c r="E30" s="1">
        <v>1</v>
      </c>
      <c r="F30" s="1">
        <v>0</v>
      </c>
      <c r="G30" s="1">
        <v>0</v>
      </c>
      <c r="I30">
        <f t="shared" si="0"/>
        <v>-1.1663093275746803</v>
      </c>
      <c r="J30" t="e">
        <f t="shared" si="1"/>
        <v>#NUM!</v>
      </c>
      <c r="K30" t="e">
        <f t="shared" si="2"/>
        <v>#NUM!</v>
      </c>
      <c r="M30" t="e">
        <f t="shared" si="3"/>
        <v>#NUM!</v>
      </c>
    </row>
    <row r="31" spans="1:13">
      <c r="A31" s="2" t="s">
        <v>264</v>
      </c>
      <c r="B31" t="s">
        <v>827</v>
      </c>
      <c r="D31" s="4">
        <v>269</v>
      </c>
      <c r="E31" s="1">
        <v>0</v>
      </c>
      <c r="F31" s="1">
        <v>4</v>
      </c>
      <c r="G31" s="1">
        <v>2</v>
      </c>
      <c r="I31" t="e">
        <f t="shared" si="0"/>
        <v>#NUM!</v>
      </c>
      <c r="J31">
        <f t="shared" si="1"/>
        <v>-1.2882174377960127</v>
      </c>
      <c r="K31">
        <f t="shared" si="2"/>
        <v>-1.1797937892532715</v>
      </c>
      <c r="M31" t="e">
        <f t="shared" si="3"/>
        <v>#NUM!</v>
      </c>
    </row>
    <row r="32" spans="1:13">
      <c r="A32" s="2" t="s">
        <v>266</v>
      </c>
      <c r="B32" t="s">
        <v>829</v>
      </c>
      <c r="D32" s="4">
        <v>254</v>
      </c>
      <c r="E32" s="1">
        <v>2</v>
      </c>
      <c r="F32" s="1">
        <v>7</v>
      </c>
      <c r="G32" s="1">
        <v>0</v>
      </c>
      <c r="I32">
        <f t="shared" si="0"/>
        <v>-1.1117505564353873</v>
      </c>
      <c r="J32">
        <f t="shared" si="1"/>
        <v>-1.0202608257272483</v>
      </c>
      <c r="K32" t="e">
        <f t="shared" si="2"/>
        <v>#NUM!</v>
      </c>
      <c r="M32" t="e">
        <f t="shared" si="3"/>
        <v>#NUM!</v>
      </c>
    </row>
    <row r="33" spans="1:13">
      <c r="A33" s="2" t="s">
        <v>267</v>
      </c>
      <c r="B33" t="s">
        <v>830</v>
      </c>
      <c r="D33" s="4">
        <v>359</v>
      </c>
      <c r="E33" s="1">
        <v>1</v>
      </c>
      <c r="F33" s="1">
        <v>0</v>
      </c>
      <c r="G33" s="1">
        <v>1</v>
      </c>
      <c r="I33">
        <f t="shared" ref="I33:I64" si="4">LOG(E33/D33)-LOG(182/1787)</f>
        <v>-1.5630412840577499</v>
      </c>
      <c r="J33" t="e">
        <f t="shared" ref="J33:J64" si="5">LOG(F33/D33)-LOG(516/1787)</f>
        <v>#NUM!</v>
      </c>
      <c r="K33">
        <f t="shared" ref="K33:K64" si="6">LOG(G33/D33)-LOG(201/1787)</f>
        <v>-1.606165953493164</v>
      </c>
      <c r="M33" t="e">
        <f t="shared" ref="M33:M64" si="7">AVERAGE(I33:K33)</f>
        <v>#NUM!</v>
      </c>
    </row>
    <row r="34" spans="1:13">
      <c r="A34" s="2" t="s">
        <v>268</v>
      </c>
      <c r="B34" t="s">
        <v>831</v>
      </c>
      <c r="D34" s="4">
        <v>285</v>
      </c>
      <c r="E34" s="1">
        <v>3</v>
      </c>
      <c r="F34" s="1">
        <v>0</v>
      </c>
      <c r="G34" s="1">
        <v>1</v>
      </c>
      <c r="I34">
        <f t="shared" si="4"/>
        <v>-0.98567044076827837</v>
      </c>
      <c r="J34" t="e">
        <f t="shared" si="5"/>
        <v>#NUM!</v>
      </c>
      <c r="K34">
        <f t="shared" si="6"/>
        <v>-1.5059163649233549</v>
      </c>
      <c r="M34" t="e">
        <f t="shared" si="7"/>
        <v>#NUM!</v>
      </c>
    </row>
    <row r="35" spans="1:13">
      <c r="A35" s="2" t="s">
        <v>271</v>
      </c>
      <c r="B35" t="s">
        <v>834</v>
      </c>
      <c r="D35" s="4">
        <v>79</v>
      </c>
      <c r="E35" s="1">
        <v>1</v>
      </c>
      <c r="F35" s="1">
        <v>0</v>
      </c>
      <c r="G35" s="1">
        <v>0</v>
      </c>
      <c r="I35">
        <f t="shared" si="4"/>
        <v>-0.90557392676987192</v>
      </c>
      <c r="J35" t="e">
        <f t="shared" si="5"/>
        <v>#NUM!</v>
      </c>
      <c r="K35" t="e">
        <f t="shared" si="6"/>
        <v>#NUM!</v>
      </c>
      <c r="M35" t="e">
        <f t="shared" si="7"/>
        <v>#NUM!</v>
      </c>
    </row>
    <row r="36" spans="1:13">
      <c r="A36" s="2" t="s">
        <v>272</v>
      </c>
      <c r="B36" t="s">
        <v>835</v>
      </c>
      <c r="D36" s="4">
        <v>202</v>
      </c>
      <c r="E36" s="1">
        <v>17</v>
      </c>
      <c r="F36" s="1">
        <v>31</v>
      </c>
      <c r="G36" s="1">
        <v>0</v>
      </c>
      <c r="I36">
        <f t="shared" si="4"/>
        <v>-8.2849283547780317E-2</v>
      </c>
      <c r="J36">
        <f t="shared" si="5"/>
        <v>-0.27451482473391819</v>
      </c>
      <c r="K36" t="e">
        <f t="shared" si="6"/>
        <v>#NUM!</v>
      </c>
      <c r="M36" t="e">
        <f t="shared" si="7"/>
        <v>#NUM!</v>
      </c>
    </row>
    <row r="37" spans="1:13">
      <c r="A37" s="2" t="s">
        <v>274</v>
      </c>
      <c r="B37" t="s">
        <v>837</v>
      </c>
      <c r="D37" s="4">
        <v>248</v>
      </c>
      <c r="E37" s="1">
        <v>0</v>
      </c>
      <c r="F37" s="1">
        <v>0</v>
      </c>
      <c r="G37" s="1">
        <v>5</v>
      </c>
      <c r="I37" t="e">
        <f t="shared" si="4"/>
        <v>#NUM!</v>
      </c>
      <c r="J37" t="e">
        <f t="shared" si="5"/>
        <v>#NUM!</v>
      </c>
      <c r="K37">
        <f t="shared" si="6"/>
        <v>-0.74655318140504212</v>
      </c>
      <c r="M37" t="e">
        <f t="shared" si="7"/>
        <v>#NUM!</v>
      </c>
    </row>
    <row r="38" spans="1:13">
      <c r="A38" s="2" t="s">
        <v>275</v>
      </c>
      <c r="B38" t="s">
        <v>838</v>
      </c>
      <c r="D38" s="4">
        <v>197</v>
      </c>
      <c r="E38" s="1">
        <v>0</v>
      </c>
      <c r="F38" s="1">
        <v>1</v>
      </c>
      <c r="G38" s="1">
        <v>0</v>
      </c>
      <c r="I38" t="e">
        <f t="shared" si="4"/>
        <v>#NUM!</v>
      </c>
      <c r="J38">
        <f t="shared" si="5"/>
        <v>-1.7549913752831601</v>
      </c>
      <c r="K38" t="e">
        <f t="shared" si="6"/>
        <v>#NUM!</v>
      </c>
      <c r="M38" t="e">
        <f t="shared" si="7"/>
        <v>#NUM!</v>
      </c>
    </row>
    <row r="39" spans="1:13">
      <c r="A39" s="2" t="s">
        <v>276</v>
      </c>
      <c r="B39" t="s">
        <v>839</v>
      </c>
      <c r="D39" s="4">
        <v>165</v>
      </c>
      <c r="E39" s="1">
        <v>0</v>
      </c>
      <c r="F39" s="1">
        <v>1</v>
      </c>
      <c r="G39" s="1">
        <v>3</v>
      </c>
      <c r="I39" t="e">
        <f t="shared" si="4"/>
        <v>#NUM!</v>
      </c>
      <c r="J39">
        <f t="shared" si="5"/>
        <v>-1.6780090933354734</v>
      </c>
      <c r="K39">
        <f t="shared" si="6"/>
        <v>-0.79143419440908858</v>
      </c>
      <c r="M39" t="e">
        <f t="shared" si="7"/>
        <v>#NUM!</v>
      </c>
    </row>
    <row r="40" spans="1:13">
      <c r="A40" s="2" t="s">
        <v>277</v>
      </c>
      <c r="B40" t="s">
        <v>840</v>
      </c>
      <c r="D40" s="4">
        <v>216</v>
      </c>
      <c r="E40" s="1">
        <v>0</v>
      </c>
      <c r="F40" s="1">
        <v>3</v>
      </c>
      <c r="G40" s="1">
        <v>0</v>
      </c>
      <c r="I40" t="e">
        <f t="shared" si="4"/>
        <v>#NUM!</v>
      </c>
      <c r="J40">
        <f t="shared" si="5"/>
        <v>-1.3178576455528357</v>
      </c>
      <c r="K40" t="e">
        <f t="shared" si="6"/>
        <v>#NUM!</v>
      </c>
      <c r="M40" t="e">
        <f t="shared" si="7"/>
        <v>#NUM!</v>
      </c>
    </row>
    <row r="41" spans="1:13">
      <c r="A41" s="2" t="s">
        <v>278</v>
      </c>
      <c r="B41" t="s">
        <v>841</v>
      </c>
      <c r="D41" s="4">
        <v>301</v>
      </c>
      <c r="E41" s="1">
        <v>3</v>
      </c>
      <c r="F41" s="1">
        <v>0</v>
      </c>
      <c r="G41" s="1">
        <v>0</v>
      </c>
      <c r="I41">
        <f t="shared" si="4"/>
        <v>-1.0093920763536115</v>
      </c>
      <c r="J41" t="e">
        <f t="shared" si="5"/>
        <v>#NUM!</v>
      </c>
      <c r="K41" t="e">
        <f t="shared" si="6"/>
        <v>#NUM!</v>
      </c>
      <c r="M41" t="e">
        <f t="shared" si="7"/>
        <v>#NUM!</v>
      </c>
    </row>
    <row r="42" spans="1:13">
      <c r="A42" s="2" t="s">
        <v>280</v>
      </c>
      <c r="B42" t="s">
        <v>843</v>
      </c>
      <c r="D42" s="4">
        <v>389</v>
      </c>
      <c r="E42" s="1">
        <v>0</v>
      </c>
      <c r="F42" s="1">
        <v>6</v>
      </c>
      <c r="G42" s="1">
        <v>0</v>
      </c>
      <c r="I42" t="e">
        <f t="shared" si="4"/>
        <v>#NUM!</v>
      </c>
      <c r="J42">
        <f t="shared" si="5"/>
        <v>-1.272323500063631</v>
      </c>
      <c r="K42" t="e">
        <f t="shared" si="6"/>
        <v>#NUM!</v>
      </c>
      <c r="M42" t="e">
        <f t="shared" si="7"/>
        <v>#NUM!</v>
      </c>
    </row>
    <row r="43" spans="1:13">
      <c r="A43" s="2" t="s">
        <v>282</v>
      </c>
      <c r="B43" t="s">
        <v>845</v>
      </c>
      <c r="D43" s="4">
        <v>577</v>
      </c>
      <c r="E43" s="1">
        <v>0</v>
      </c>
      <c r="F43" s="1">
        <v>37</v>
      </c>
      <c r="G43" s="1">
        <v>0</v>
      </c>
      <c r="I43" t="e">
        <f t="shared" si="4"/>
        <v>#NUM!</v>
      </c>
      <c r="J43">
        <f t="shared" si="5"/>
        <v>-0.65349923821030342</v>
      </c>
      <c r="K43" t="e">
        <f t="shared" si="6"/>
        <v>#NUM!</v>
      </c>
      <c r="M43" t="e">
        <f t="shared" si="7"/>
        <v>#NUM!</v>
      </c>
    </row>
    <row r="44" spans="1:13">
      <c r="A44" s="2" t="s">
        <v>283</v>
      </c>
      <c r="B44" t="s">
        <v>846</v>
      </c>
      <c r="D44" s="4">
        <v>410</v>
      </c>
      <c r="E44" s="1">
        <v>0</v>
      </c>
      <c r="F44" s="1">
        <v>0</v>
      </c>
      <c r="G44" s="1">
        <v>0</v>
      </c>
      <c r="I44" t="e">
        <f t="shared" si="4"/>
        <v>#NUM!</v>
      </c>
      <c r="J44" t="e">
        <f t="shared" si="5"/>
        <v>#NUM!</v>
      </c>
      <c r="K44" t="e">
        <f t="shared" si="6"/>
        <v>#NUM!</v>
      </c>
      <c r="M44" t="e">
        <f t="shared" si="7"/>
        <v>#NUM!</v>
      </c>
    </row>
    <row r="45" spans="1:13">
      <c r="A45" s="2" t="s">
        <v>284</v>
      </c>
      <c r="B45" t="s">
        <v>847</v>
      </c>
      <c r="D45" s="4">
        <v>382</v>
      </c>
      <c r="E45" s="1">
        <v>4</v>
      </c>
      <c r="F45" s="1">
        <v>0</v>
      </c>
      <c r="G45" s="1">
        <v>0</v>
      </c>
      <c r="I45">
        <f t="shared" si="4"/>
        <v>-0.98795020706317693</v>
      </c>
      <c r="J45" t="e">
        <f t="shared" si="5"/>
        <v>#NUM!</v>
      </c>
      <c r="K45" t="e">
        <f t="shared" si="6"/>
        <v>#NUM!</v>
      </c>
      <c r="M45" t="e">
        <f t="shared" si="7"/>
        <v>#NUM!</v>
      </c>
    </row>
    <row r="46" spans="1:13">
      <c r="A46" s="2" t="s">
        <v>285</v>
      </c>
      <c r="B46" t="s">
        <v>848</v>
      </c>
      <c r="D46" s="4">
        <v>650</v>
      </c>
      <c r="E46" s="1">
        <v>1</v>
      </c>
      <c r="F46" s="1">
        <v>0</v>
      </c>
      <c r="G46" s="1">
        <v>0</v>
      </c>
      <c r="I46">
        <f t="shared" si="4"/>
        <v>-1.8208601921222862</v>
      </c>
      <c r="J46" t="e">
        <f t="shared" si="5"/>
        <v>#NUM!</v>
      </c>
      <c r="K46" t="e">
        <f t="shared" si="6"/>
        <v>#NUM!</v>
      </c>
      <c r="M46" t="e">
        <f t="shared" si="7"/>
        <v>#NUM!</v>
      </c>
    </row>
    <row r="47" spans="1:13">
      <c r="A47" s="2" t="s">
        <v>286</v>
      </c>
      <c r="B47" t="s">
        <v>849</v>
      </c>
      <c r="D47" s="4">
        <v>34</v>
      </c>
      <c r="E47" s="1">
        <v>0</v>
      </c>
      <c r="F47" s="1">
        <v>0</v>
      </c>
      <c r="G47" s="1">
        <v>0</v>
      </c>
      <c r="I47" t="e">
        <f t="shared" si="4"/>
        <v>#NUM!</v>
      </c>
      <c r="J47" t="e">
        <f t="shared" si="5"/>
        <v>#NUM!</v>
      </c>
      <c r="K47" t="e">
        <f t="shared" si="6"/>
        <v>#NUM!</v>
      </c>
      <c r="M47" t="e">
        <f t="shared" si="7"/>
        <v>#NUM!</v>
      </c>
    </row>
    <row r="48" spans="1:13">
      <c r="A48" s="2" t="s">
        <v>287</v>
      </c>
      <c r="B48" t="s">
        <v>850</v>
      </c>
      <c r="D48" s="4">
        <v>88</v>
      </c>
      <c r="E48" s="1">
        <v>0</v>
      </c>
      <c r="F48" s="1">
        <v>0</v>
      </c>
      <c r="G48" s="1">
        <v>2</v>
      </c>
      <c r="I48" t="e">
        <f t="shared" si="4"/>
        <v>#NUM!</v>
      </c>
      <c r="J48" t="e">
        <f t="shared" si="5"/>
        <v>#NUM!</v>
      </c>
      <c r="K48">
        <f t="shared" si="6"/>
        <v>-0.69452418140103211</v>
      </c>
      <c r="M48" t="e">
        <f t="shared" si="7"/>
        <v>#NUM!</v>
      </c>
    </row>
    <row r="49" spans="1:13">
      <c r="A49" s="2" t="s">
        <v>288</v>
      </c>
      <c r="B49" t="s">
        <v>851</v>
      </c>
      <c r="D49" s="4">
        <v>77</v>
      </c>
      <c r="E49" s="1">
        <v>3</v>
      </c>
      <c r="F49" s="1">
        <v>0</v>
      </c>
      <c r="G49" s="1">
        <v>21</v>
      </c>
      <c r="I49">
        <f t="shared" si="4"/>
        <v>-0.41731630593225</v>
      </c>
      <c r="J49" t="e">
        <f t="shared" si="5"/>
        <v>#NUM!</v>
      </c>
      <c r="K49">
        <f t="shared" si="6"/>
        <v>0.38465706464659266</v>
      </c>
      <c r="M49" t="e">
        <f t="shared" si="7"/>
        <v>#NUM!</v>
      </c>
    </row>
    <row r="50" spans="1:13">
      <c r="A50" s="2" t="s">
        <v>291</v>
      </c>
      <c r="B50" t="s">
        <v>854</v>
      </c>
      <c r="D50" s="4">
        <v>98</v>
      </c>
      <c r="E50" s="1">
        <v>0</v>
      </c>
      <c r="F50" s="1">
        <v>0</v>
      </c>
      <c r="G50" s="1">
        <v>0</v>
      </c>
      <c r="I50" t="e">
        <f t="shared" si="4"/>
        <v>#NUM!</v>
      </c>
      <c r="J50" t="e">
        <f t="shared" si="5"/>
        <v>#NUM!</v>
      </c>
      <c r="K50" t="e">
        <f t="shared" si="6"/>
        <v>#NUM!</v>
      </c>
      <c r="M50" t="e">
        <f t="shared" si="7"/>
        <v>#NUM!</v>
      </c>
    </row>
    <row r="51" spans="1:13">
      <c r="A51" s="2" t="s">
        <v>292</v>
      </c>
      <c r="B51" t="s">
        <v>855</v>
      </c>
      <c r="D51" s="4">
        <v>155</v>
      </c>
      <c r="E51" s="1">
        <v>0</v>
      </c>
      <c r="F51" s="1">
        <v>0</v>
      </c>
      <c r="G51" s="1">
        <v>0</v>
      </c>
      <c r="I51" t="e">
        <f t="shared" si="4"/>
        <v>#NUM!</v>
      </c>
      <c r="J51" t="e">
        <f t="shared" si="5"/>
        <v>#NUM!</v>
      </c>
      <c r="K51" t="e">
        <f t="shared" si="6"/>
        <v>#NUM!</v>
      </c>
      <c r="M51" t="e">
        <f t="shared" si="7"/>
        <v>#NUM!</v>
      </c>
    </row>
    <row r="52" spans="1:13">
      <c r="A52" s="2" t="s">
        <v>295</v>
      </c>
      <c r="B52" t="s">
        <v>858</v>
      </c>
      <c r="D52" s="4">
        <v>95</v>
      </c>
      <c r="E52" s="1">
        <v>4</v>
      </c>
      <c r="F52" s="1">
        <v>0</v>
      </c>
      <c r="G52" s="1">
        <v>2</v>
      </c>
      <c r="I52">
        <f t="shared" si="4"/>
        <v>-0.38361044944031586</v>
      </c>
      <c r="J52" t="e">
        <f t="shared" si="5"/>
        <v>#NUM!</v>
      </c>
      <c r="K52">
        <f t="shared" si="6"/>
        <v>-0.72776511453971127</v>
      </c>
      <c r="M52" t="e">
        <f t="shared" si="7"/>
        <v>#NUM!</v>
      </c>
    </row>
    <row r="53" spans="1:13">
      <c r="A53" s="2" t="s">
        <v>296</v>
      </c>
      <c r="B53" t="s">
        <v>859</v>
      </c>
      <c r="D53" s="4">
        <v>274</v>
      </c>
      <c r="E53" s="1">
        <v>1</v>
      </c>
      <c r="F53" s="1">
        <v>0</v>
      </c>
      <c r="G53" s="1">
        <v>19</v>
      </c>
      <c r="I53">
        <f t="shared" si="4"/>
        <v>-1.4456973982998185</v>
      </c>
      <c r="J53" t="e">
        <f t="shared" si="5"/>
        <v>#NUM!</v>
      </c>
      <c r="K53">
        <f t="shared" si="6"/>
        <v>-0.21006846678240376</v>
      </c>
      <c r="M53" t="e">
        <f t="shared" si="7"/>
        <v>#NUM!</v>
      </c>
    </row>
    <row r="54" spans="1:13">
      <c r="A54" s="2" t="s">
        <v>299</v>
      </c>
      <c r="B54" t="s">
        <v>862</v>
      </c>
      <c r="D54" s="4">
        <v>129</v>
      </c>
      <c r="E54" s="1">
        <v>0</v>
      </c>
      <c r="F54" s="1">
        <v>0</v>
      </c>
      <c r="G54" s="1">
        <v>0</v>
      </c>
      <c r="I54" t="e">
        <f t="shared" si="4"/>
        <v>#NUM!</v>
      </c>
      <c r="J54" t="e">
        <f t="shared" si="5"/>
        <v>#NUM!</v>
      </c>
      <c r="K54" t="e">
        <f t="shared" si="6"/>
        <v>#NUM!</v>
      </c>
      <c r="M54" t="e">
        <f t="shared" si="7"/>
        <v>#NUM!</v>
      </c>
    </row>
    <row r="55" spans="1:13">
      <c r="A55" s="2" t="s">
        <v>301</v>
      </c>
      <c r="B55" t="s">
        <v>864</v>
      </c>
      <c r="D55" s="4">
        <v>187</v>
      </c>
      <c r="E55" s="1">
        <v>6</v>
      </c>
      <c r="F55" s="1">
        <v>0</v>
      </c>
      <c r="G55" s="1">
        <v>232</v>
      </c>
      <c r="I55">
        <f t="shared" si="4"/>
        <v>-0.50163719163228593</v>
      </c>
      <c r="J55" t="e">
        <f t="shared" si="5"/>
        <v>#NUM!</v>
      </c>
      <c r="K55">
        <f t="shared" si="6"/>
        <v>1.0425748734395561</v>
      </c>
      <c r="M55" t="e">
        <f t="shared" si="7"/>
        <v>#NUM!</v>
      </c>
    </row>
    <row r="56" spans="1:13">
      <c r="A56" s="2" t="s">
        <v>303</v>
      </c>
      <c r="B56" t="s">
        <v>866</v>
      </c>
      <c r="D56" s="4">
        <v>251</v>
      </c>
      <c r="E56" s="1">
        <v>0</v>
      </c>
      <c r="F56" s="1">
        <v>0</v>
      </c>
      <c r="G56" s="1">
        <v>0</v>
      </c>
      <c r="I56" t="e">
        <f t="shared" si="4"/>
        <v>#NUM!</v>
      </c>
      <c r="J56" t="e">
        <f t="shared" si="5"/>
        <v>#NUM!</v>
      </c>
      <c r="K56" t="e">
        <f t="shared" si="6"/>
        <v>#NUM!</v>
      </c>
      <c r="M56" t="e">
        <f t="shared" si="7"/>
        <v>#NUM!</v>
      </c>
    </row>
    <row r="57" spans="1:13">
      <c r="A57" s="2" t="s">
        <v>304</v>
      </c>
      <c r="B57" t="s">
        <v>867</v>
      </c>
      <c r="D57" s="4">
        <v>136</v>
      </c>
      <c r="E57" s="1">
        <v>0</v>
      </c>
      <c r="F57" s="1">
        <v>8</v>
      </c>
      <c r="G57" s="1">
        <v>1</v>
      </c>
      <c r="I57" t="e">
        <f t="shared" si="4"/>
        <v>#NUM!</v>
      </c>
      <c r="J57">
        <f t="shared" si="5"/>
        <v>-0.69097407049984094</v>
      </c>
      <c r="K57">
        <f t="shared" si="6"/>
        <v>-1.1846104132850621</v>
      </c>
      <c r="M57" t="e">
        <f t="shared" si="7"/>
        <v>#NUM!</v>
      </c>
    </row>
    <row r="58" spans="1:13">
      <c r="A58" s="2" t="s">
        <v>305</v>
      </c>
      <c r="B58" t="s">
        <v>868</v>
      </c>
      <c r="D58" s="4">
        <v>266</v>
      </c>
      <c r="E58" s="1">
        <v>0</v>
      </c>
      <c r="F58" s="1">
        <v>0</v>
      </c>
      <c r="G58" s="1">
        <v>0</v>
      </c>
      <c r="I58" t="e">
        <f t="shared" si="4"/>
        <v>#NUM!</v>
      </c>
      <c r="J58" t="e">
        <f t="shared" si="5"/>
        <v>#NUM!</v>
      </c>
      <c r="K58" t="e">
        <f t="shared" si="6"/>
        <v>#NUM!</v>
      </c>
      <c r="M58" t="e">
        <f t="shared" si="7"/>
        <v>#NUM!</v>
      </c>
    </row>
    <row r="59" spans="1:13">
      <c r="A59" s="2" t="s">
        <v>307</v>
      </c>
      <c r="B59" t="s">
        <v>870</v>
      </c>
      <c r="D59" s="4">
        <v>159</v>
      </c>
      <c r="E59" s="1">
        <v>0</v>
      </c>
      <c r="F59" s="1">
        <v>0</v>
      </c>
      <c r="G59" s="1">
        <v>0</v>
      </c>
      <c r="I59" t="e">
        <f t="shared" si="4"/>
        <v>#NUM!</v>
      </c>
      <c r="J59" t="e">
        <f t="shared" si="5"/>
        <v>#NUM!</v>
      </c>
      <c r="K59" t="e">
        <f t="shared" si="6"/>
        <v>#NUM!</v>
      </c>
      <c r="M59" t="e">
        <f t="shared" si="7"/>
        <v>#NUM!</v>
      </c>
    </row>
    <row r="60" spans="1:13">
      <c r="A60" s="2" t="s">
        <v>308</v>
      </c>
      <c r="B60" t="s">
        <v>871</v>
      </c>
      <c r="D60" s="4">
        <v>226</v>
      </c>
      <c r="E60" s="1">
        <v>0</v>
      </c>
      <c r="F60" s="1">
        <v>2</v>
      </c>
      <c r="G60" s="1">
        <v>0</v>
      </c>
      <c r="I60" t="e">
        <f t="shared" si="4"/>
        <v>#NUM!</v>
      </c>
      <c r="J60">
        <f t="shared" si="5"/>
        <v>-1.5136035926049871</v>
      </c>
      <c r="K60" t="e">
        <f t="shared" si="6"/>
        <v>#NUM!</v>
      </c>
      <c r="M60" t="e">
        <f t="shared" si="7"/>
        <v>#NUM!</v>
      </c>
    </row>
    <row r="61" spans="1:13">
      <c r="A61" s="2" t="s">
        <v>309</v>
      </c>
      <c r="B61" t="s">
        <v>872</v>
      </c>
      <c r="D61" s="4">
        <v>309</v>
      </c>
      <c r="E61" s="1">
        <v>134</v>
      </c>
      <c r="F61" s="1">
        <v>0</v>
      </c>
      <c r="G61" s="1">
        <v>11</v>
      </c>
      <c r="I61">
        <f t="shared" si="4"/>
        <v>0.62919948346054244</v>
      </c>
      <c r="J61" t="e">
        <f t="shared" si="5"/>
        <v>#NUM!</v>
      </c>
      <c r="K61">
        <f t="shared" si="6"/>
        <v>-0.49963729918145439</v>
      </c>
      <c r="M61" t="e">
        <f t="shared" si="7"/>
        <v>#NUM!</v>
      </c>
    </row>
    <row r="62" spans="1:13">
      <c r="A62" s="2" t="s">
        <v>311</v>
      </c>
      <c r="B62" t="s">
        <v>874</v>
      </c>
      <c r="D62" s="4">
        <v>412</v>
      </c>
      <c r="E62" s="1">
        <v>0</v>
      </c>
      <c r="F62" s="1">
        <v>9</v>
      </c>
      <c r="G62" s="1">
        <v>4</v>
      </c>
      <c r="I62" t="e">
        <f t="shared" si="4"/>
        <v>#NUM!</v>
      </c>
      <c r="J62">
        <f t="shared" si="5"/>
        <v>-1.1211798557153769</v>
      </c>
      <c r="K62">
        <f t="shared" si="6"/>
        <v>-1.0639087296200171</v>
      </c>
      <c r="M62" t="e">
        <f t="shared" si="7"/>
        <v>#NUM!</v>
      </c>
    </row>
    <row r="63" spans="1:13">
      <c r="A63" s="2" t="s">
        <v>313</v>
      </c>
      <c r="B63" t="s">
        <v>876</v>
      </c>
      <c r="D63" s="4">
        <v>99</v>
      </c>
      <c r="E63" s="1">
        <v>0</v>
      </c>
      <c r="F63" s="1">
        <v>0</v>
      </c>
      <c r="G63" s="1">
        <v>2</v>
      </c>
      <c r="I63" t="e">
        <f t="shared" si="4"/>
        <v>#NUM!</v>
      </c>
      <c r="J63" t="e">
        <f t="shared" si="5"/>
        <v>#NUM!</v>
      </c>
      <c r="K63">
        <f t="shared" si="6"/>
        <v>-0.74567670384841334</v>
      </c>
      <c r="M63" t="e">
        <f t="shared" si="7"/>
        <v>#NUM!</v>
      </c>
    </row>
    <row r="64" spans="1:13">
      <c r="A64" s="2" t="s">
        <v>314</v>
      </c>
      <c r="B64" t="s">
        <v>877</v>
      </c>
      <c r="D64" s="4">
        <v>189</v>
      </c>
      <c r="E64" s="1">
        <v>0</v>
      </c>
      <c r="F64" s="1">
        <v>1</v>
      </c>
      <c r="G64" s="1">
        <v>0</v>
      </c>
      <c r="I64" t="e">
        <f t="shared" si="4"/>
        <v>#NUM!</v>
      </c>
      <c r="J64">
        <f t="shared" si="5"/>
        <v>-1.7369869532948115</v>
      </c>
      <c r="K64" t="e">
        <f t="shared" si="6"/>
        <v>#NUM!</v>
      </c>
      <c r="M64" t="e">
        <f t="shared" si="7"/>
        <v>#NUM!</v>
      </c>
    </row>
    <row r="65" spans="1:13">
      <c r="A65" s="2" t="s">
        <v>315</v>
      </c>
      <c r="B65" t="s">
        <v>878</v>
      </c>
      <c r="D65" s="4">
        <v>171</v>
      </c>
      <c r="E65" s="1">
        <v>0</v>
      </c>
      <c r="F65" s="1">
        <v>205</v>
      </c>
      <c r="G65" s="1">
        <v>37</v>
      </c>
      <c r="I65" t="e">
        <f t="shared" ref="I65:I96" si="8">LOG(E65/D65)-LOG(182/1787)</f>
        <v>#NUM!</v>
      </c>
      <c r="J65">
        <f t="shared" ref="J65:J96" si="9">LOG(F65/D65)-LOG(516/1787)</f>
        <v>0.61823260154203341</v>
      </c>
      <c r="K65">
        <f t="shared" ref="K65:K96" si="10">LOG(G65/D65)-LOG(201/1787)</f>
        <v>0.28413410875999645</v>
      </c>
      <c r="M65" t="e">
        <f t="shared" ref="M65:M96" si="11">AVERAGE(I65:K65)</f>
        <v>#NUM!</v>
      </c>
    </row>
    <row r="66" spans="1:13">
      <c r="A66" s="2" t="s">
        <v>319</v>
      </c>
      <c r="B66" t="s">
        <v>882</v>
      </c>
      <c r="D66" s="4">
        <v>346</v>
      </c>
      <c r="E66" s="1">
        <v>0</v>
      </c>
      <c r="F66" s="1">
        <v>1</v>
      </c>
      <c r="G66" s="1">
        <v>0</v>
      </c>
      <c r="I66" t="e">
        <f t="shared" si="8"/>
        <v>#NUM!</v>
      </c>
      <c r="J66">
        <f t="shared" si="9"/>
        <v>-1.9996012479143439</v>
      </c>
      <c r="K66" t="e">
        <f t="shared" si="10"/>
        <v>#NUM!</v>
      </c>
      <c r="M66" t="e">
        <f t="shared" si="11"/>
        <v>#NUM!</v>
      </c>
    </row>
    <row r="67" spans="1:13">
      <c r="A67" s="2" t="s">
        <v>322</v>
      </c>
      <c r="B67" t="s">
        <v>885</v>
      </c>
      <c r="D67" s="4">
        <v>176</v>
      </c>
      <c r="E67" s="1">
        <v>1</v>
      </c>
      <c r="F67" s="1">
        <v>4</v>
      </c>
      <c r="G67" s="1">
        <v>0</v>
      </c>
      <c r="I67">
        <f t="shared" si="8"/>
        <v>-1.2534595032935805</v>
      </c>
      <c r="J67">
        <f t="shared" si="9"/>
        <v>-1.1039778256077546</v>
      </c>
      <c r="K67" t="e">
        <f t="shared" si="10"/>
        <v>#NUM!</v>
      </c>
      <c r="M67" t="e">
        <f t="shared" si="11"/>
        <v>#NUM!</v>
      </c>
    </row>
    <row r="68" spans="1:13">
      <c r="A68" s="2" t="s">
        <v>323</v>
      </c>
      <c r="B68" t="s">
        <v>886</v>
      </c>
      <c r="D68" s="4">
        <v>338</v>
      </c>
      <c r="E68" s="1">
        <v>0</v>
      </c>
      <c r="F68" s="1">
        <v>0</v>
      </c>
      <c r="G68" s="1">
        <v>4</v>
      </c>
      <c r="I68" t="e">
        <f t="shared" si="8"/>
        <v>#NUM!</v>
      </c>
      <c r="J68" t="e">
        <f t="shared" si="9"/>
        <v>#NUM!</v>
      </c>
      <c r="K68">
        <f t="shared" si="10"/>
        <v>-0.9779282138645371</v>
      </c>
      <c r="M68" t="e">
        <f t="shared" si="11"/>
        <v>#NUM!</v>
      </c>
    </row>
    <row r="69" spans="1:13">
      <c r="A69" s="2" t="s">
        <v>324</v>
      </c>
      <c r="B69" t="s">
        <v>887</v>
      </c>
      <c r="D69" s="4">
        <v>125</v>
      </c>
      <c r="E69" s="1">
        <v>1</v>
      </c>
      <c r="F69" s="1">
        <v>1</v>
      </c>
      <c r="G69" s="1">
        <v>0</v>
      </c>
      <c r="I69">
        <f t="shared" si="8"/>
        <v>-1.1048568484874868</v>
      </c>
      <c r="J69">
        <f t="shared" si="9"/>
        <v>-1.5574351621296234</v>
      </c>
      <c r="K69" t="e">
        <f t="shared" si="10"/>
        <v>#NUM!</v>
      </c>
      <c r="M69" t="e">
        <f t="shared" si="11"/>
        <v>#NUM!</v>
      </c>
    </row>
    <row r="70" spans="1:13">
      <c r="A70" s="2" t="s">
        <v>326</v>
      </c>
      <c r="B70" t="s">
        <v>889</v>
      </c>
      <c r="D70" s="4">
        <v>125</v>
      </c>
      <c r="E70" s="1">
        <v>0</v>
      </c>
      <c r="F70" s="1">
        <v>0</v>
      </c>
      <c r="G70" s="1">
        <v>0</v>
      </c>
      <c r="I70" t="e">
        <f t="shared" si="8"/>
        <v>#NUM!</v>
      </c>
      <c r="J70" t="e">
        <f t="shared" si="9"/>
        <v>#NUM!</v>
      </c>
      <c r="K70" t="e">
        <f t="shared" si="10"/>
        <v>#NUM!</v>
      </c>
      <c r="M70" t="e">
        <f t="shared" si="11"/>
        <v>#NUM!</v>
      </c>
    </row>
    <row r="71" spans="1:13">
      <c r="A71" s="2" t="s">
        <v>329</v>
      </c>
      <c r="B71" t="s">
        <v>892</v>
      </c>
      <c r="D71" s="4">
        <v>141</v>
      </c>
      <c r="E71" s="1">
        <v>0</v>
      </c>
      <c r="F71" s="1">
        <v>0</v>
      </c>
      <c r="G71" s="1">
        <v>1</v>
      </c>
      <c r="I71" t="e">
        <f t="shared" si="8"/>
        <v>#NUM!</v>
      </c>
      <c r="J71" t="e">
        <f t="shared" si="9"/>
        <v>#NUM!</v>
      </c>
      <c r="K71">
        <f t="shared" si="10"/>
        <v>-1.2002906175702248</v>
      </c>
      <c r="M71" t="e">
        <f t="shared" si="11"/>
        <v>#NUM!</v>
      </c>
    </row>
    <row r="72" spans="1:13">
      <c r="A72" s="2" t="s">
        <v>330</v>
      </c>
      <c r="B72" t="s">
        <v>893</v>
      </c>
      <c r="D72" s="4">
        <v>559</v>
      </c>
      <c r="E72" s="1">
        <v>0</v>
      </c>
      <c r="F72" s="1">
        <v>1</v>
      </c>
      <c r="G72" s="1">
        <v>8</v>
      </c>
      <c r="I72" t="e">
        <f t="shared" si="8"/>
        <v>#NUM!</v>
      </c>
      <c r="J72">
        <f t="shared" si="9"/>
        <v>-2.2079369570079903</v>
      </c>
      <c r="K72">
        <f t="shared" si="10"/>
        <v>-0.89539332580932429</v>
      </c>
      <c r="M72" t="e">
        <f t="shared" si="11"/>
        <v>#NUM!</v>
      </c>
    </row>
    <row r="73" spans="1:13">
      <c r="A73" s="2" t="s">
        <v>335</v>
      </c>
      <c r="B73" t="s">
        <v>898</v>
      </c>
      <c r="D73" s="4">
        <v>305</v>
      </c>
      <c r="E73" s="1">
        <v>0</v>
      </c>
      <c r="F73" s="1">
        <v>0</v>
      </c>
      <c r="G73" s="1">
        <v>3</v>
      </c>
      <c r="I73" t="e">
        <f t="shared" si="8"/>
        <v>#NUM!</v>
      </c>
      <c r="J73" t="e">
        <f t="shared" si="9"/>
        <v>#NUM!</v>
      </c>
      <c r="K73">
        <f t="shared" si="10"/>
        <v>-1.058250089541968</v>
      </c>
      <c r="M73" t="e">
        <f t="shared" si="11"/>
        <v>#NUM!</v>
      </c>
    </row>
    <row r="74" spans="1:13">
      <c r="A74" s="2" t="s">
        <v>337</v>
      </c>
      <c r="B74" t="s">
        <v>900</v>
      </c>
      <c r="D74" s="4">
        <v>165</v>
      </c>
      <c r="E74" s="1">
        <v>1</v>
      </c>
      <c r="F74" s="1">
        <v>0</v>
      </c>
      <c r="G74" s="1">
        <v>0</v>
      </c>
      <c r="I74">
        <f t="shared" si="8"/>
        <v>-1.2254307796933368</v>
      </c>
      <c r="J74" t="e">
        <f t="shared" si="9"/>
        <v>#NUM!</v>
      </c>
      <c r="K74" t="e">
        <f t="shared" si="10"/>
        <v>#NUM!</v>
      </c>
      <c r="M74" t="e">
        <f t="shared" si="11"/>
        <v>#NUM!</v>
      </c>
    </row>
    <row r="75" spans="1:13">
      <c r="A75" s="2" t="s">
        <v>339</v>
      </c>
      <c r="B75" t="s">
        <v>902</v>
      </c>
      <c r="D75" s="4">
        <v>208</v>
      </c>
      <c r="E75" s="1">
        <v>0</v>
      </c>
      <c r="F75" s="1">
        <v>0</v>
      </c>
      <c r="G75" s="1">
        <v>0</v>
      </c>
      <c r="I75" t="e">
        <f t="shared" si="8"/>
        <v>#NUM!</v>
      </c>
      <c r="J75" t="e">
        <f t="shared" si="9"/>
        <v>#NUM!</v>
      </c>
      <c r="K75" t="e">
        <f t="shared" si="10"/>
        <v>#NUM!</v>
      </c>
      <c r="M75" t="e">
        <f t="shared" si="11"/>
        <v>#NUM!</v>
      </c>
    </row>
    <row r="76" spans="1:13">
      <c r="A76" s="2" t="s">
        <v>340</v>
      </c>
      <c r="B76" t="s">
        <v>903</v>
      </c>
      <c r="D76" s="4">
        <v>305</v>
      </c>
      <c r="E76" s="1">
        <v>0</v>
      </c>
      <c r="F76" s="1">
        <v>0</v>
      </c>
      <c r="G76" s="1">
        <v>0</v>
      </c>
      <c r="I76" t="e">
        <f t="shared" si="8"/>
        <v>#NUM!</v>
      </c>
      <c r="J76" t="e">
        <f t="shared" si="9"/>
        <v>#NUM!</v>
      </c>
      <c r="K76" t="e">
        <f t="shared" si="10"/>
        <v>#NUM!</v>
      </c>
      <c r="M76" t="e">
        <f t="shared" si="11"/>
        <v>#NUM!</v>
      </c>
    </row>
    <row r="77" spans="1:13">
      <c r="A77" s="2" t="s">
        <v>341</v>
      </c>
      <c r="B77" t="s">
        <v>904</v>
      </c>
      <c r="D77" s="4">
        <v>278</v>
      </c>
      <c r="E77" s="1">
        <v>0</v>
      </c>
      <c r="F77" s="1">
        <v>2</v>
      </c>
      <c r="G77" s="1">
        <v>6</v>
      </c>
      <c r="I77" t="e">
        <f t="shared" si="8"/>
        <v>#NUM!</v>
      </c>
      <c r="J77">
        <f t="shared" si="9"/>
        <v>-1.6035399493756621</v>
      </c>
      <c r="K77">
        <f t="shared" si="10"/>
        <v>-0.71696505044927727</v>
      </c>
      <c r="M77" t="e">
        <f t="shared" si="11"/>
        <v>#NUM!</v>
      </c>
    </row>
    <row r="78" spans="1:13">
      <c r="A78" s="2" t="s">
        <v>350</v>
      </c>
      <c r="B78" t="s">
        <v>913</v>
      </c>
      <c r="D78" s="4">
        <v>616</v>
      </c>
      <c r="E78" s="1">
        <v>12</v>
      </c>
      <c r="F78" s="1">
        <v>0</v>
      </c>
      <c r="G78" s="1">
        <v>39</v>
      </c>
      <c r="I78">
        <f t="shared" si="8"/>
        <v>-0.71834630159623125</v>
      </c>
      <c r="J78" t="e">
        <f t="shared" si="9"/>
        <v>#NUM!</v>
      </c>
      <c r="K78">
        <f t="shared" si="10"/>
        <v>-0.24958761005277097</v>
      </c>
      <c r="M78" t="e">
        <f t="shared" si="11"/>
        <v>#NUM!</v>
      </c>
    </row>
    <row r="79" spans="1:13">
      <c r="A79" s="2" t="s">
        <v>403</v>
      </c>
      <c r="B79" t="s">
        <v>966</v>
      </c>
      <c r="D79" s="4">
        <v>993</v>
      </c>
      <c r="E79" s="1">
        <v>13</v>
      </c>
      <c r="F79" s="1">
        <v>0</v>
      </c>
      <c r="G79" s="1">
        <v>15</v>
      </c>
      <c r="I79">
        <f t="shared" si="8"/>
        <v>-0.89095273166797484</v>
      </c>
      <c r="J79" t="e">
        <f t="shared" si="9"/>
        <v>#NUM!</v>
      </c>
      <c r="K79">
        <f t="shared" si="10"/>
        <v>-0.87192949435454459</v>
      </c>
      <c r="M79" t="e">
        <f t="shared" si="11"/>
        <v>#NUM!</v>
      </c>
    </row>
    <row r="80" spans="1:13">
      <c r="A80" s="2" t="s">
        <v>404</v>
      </c>
      <c r="B80" t="s">
        <v>967</v>
      </c>
      <c r="D80" s="4">
        <v>536</v>
      </c>
      <c r="E80" s="1">
        <v>12</v>
      </c>
      <c r="F80" s="1">
        <v>0</v>
      </c>
      <c r="G80" s="1">
        <v>35</v>
      </c>
      <c r="I80">
        <f t="shared" si="8"/>
        <v>-0.65793037912457586</v>
      </c>
      <c r="J80" t="e">
        <f t="shared" si="9"/>
        <v>#NUM!</v>
      </c>
      <c r="K80">
        <f t="shared" si="10"/>
        <v>-0.23616825025733901</v>
      </c>
      <c r="M80" t="e">
        <f t="shared" si="11"/>
        <v>#NUM!</v>
      </c>
    </row>
    <row r="81" spans="1:13">
      <c r="A81" s="2" t="s">
        <v>411</v>
      </c>
      <c r="B81" t="s">
        <v>974</v>
      </c>
      <c r="D81" s="4">
        <v>242</v>
      </c>
      <c r="E81" s="1">
        <v>60</v>
      </c>
      <c r="F81" s="1">
        <v>3</v>
      </c>
      <c r="G81" s="1">
        <v>0</v>
      </c>
      <c r="I81">
        <f t="shared" si="8"/>
        <v>0.38638904892378179</v>
      </c>
      <c r="J81">
        <f t="shared" si="9"/>
        <v>-1.3672192603823361</v>
      </c>
      <c r="K81" t="e">
        <f t="shared" si="10"/>
        <v>#NUM!</v>
      </c>
      <c r="M81" t="e">
        <f t="shared" si="11"/>
        <v>#NUM!</v>
      </c>
    </row>
    <row r="82" spans="1:13">
      <c r="A82" s="2" t="s">
        <v>412</v>
      </c>
      <c r="B82" t="s">
        <v>975</v>
      </c>
      <c r="D82" s="4">
        <v>252</v>
      </c>
      <c r="E82" s="1">
        <v>0</v>
      </c>
      <c r="F82" s="1">
        <v>0</v>
      </c>
      <c r="G82" s="1">
        <v>3</v>
      </c>
      <c r="I82" t="e">
        <f t="shared" si="8"/>
        <v>#NUM!</v>
      </c>
      <c r="J82" t="e">
        <f t="shared" si="9"/>
        <v>#NUM!</v>
      </c>
      <c r="K82">
        <f t="shared" si="10"/>
        <v>-0.97535079097672628</v>
      </c>
      <c r="M82" t="e">
        <f t="shared" si="11"/>
        <v>#NUM!</v>
      </c>
    </row>
    <row r="83" spans="1:13">
      <c r="A83" s="2" t="s">
        <v>413</v>
      </c>
      <c r="B83" t="s">
        <v>976</v>
      </c>
      <c r="D83" s="4">
        <v>529</v>
      </c>
      <c r="E83" s="1">
        <v>2</v>
      </c>
      <c r="F83" s="1">
        <v>0</v>
      </c>
      <c r="G83" s="1">
        <v>0</v>
      </c>
      <c r="I83">
        <f t="shared" si="8"/>
        <v>-1.430372511850635</v>
      </c>
      <c r="J83" t="e">
        <f t="shared" si="9"/>
        <v>#NUM!</v>
      </c>
      <c r="K83" t="e">
        <f t="shared" si="10"/>
        <v>#NUM!</v>
      </c>
      <c r="M83" t="e">
        <f t="shared" si="11"/>
        <v>#NUM!</v>
      </c>
    </row>
    <row r="84" spans="1:13">
      <c r="A84" s="2" t="s">
        <v>415</v>
      </c>
      <c r="B84" t="s">
        <v>978</v>
      </c>
      <c r="D84" s="4">
        <v>731</v>
      </c>
      <c r="E84" s="1">
        <v>0</v>
      </c>
      <c r="F84" s="1">
        <v>26</v>
      </c>
      <c r="G84" s="1">
        <v>2</v>
      </c>
      <c r="I84" t="e">
        <f t="shared" si="8"/>
        <v>#NUM!</v>
      </c>
      <c r="J84">
        <f t="shared" si="9"/>
        <v>-0.90946917810860961</v>
      </c>
      <c r="K84">
        <f t="shared" si="10"/>
        <v>-1.6139588862087237</v>
      </c>
      <c r="M84" t="e">
        <f t="shared" si="11"/>
        <v>#NUM!</v>
      </c>
    </row>
    <row r="85" spans="1:13">
      <c r="A85" s="2" t="s">
        <v>417</v>
      </c>
      <c r="B85" t="s">
        <v>980</v>
      </c>
      <c r="D85" s="4">
        <v>521</v>
      </c>
      <c r="E85" s="1">
        <v>0</v>
      </c>
      <c r="F85" s="1">
        <v>0</v>
      </c>
      <c r="G85" s="1">
        <v>6</v>
      </c>
      <c r="I85" t="e">
        <f t="shared" si="8"/>
        <v>#NUM!</v>
      </c>
      <c r="J85" t="e">
        <f t="shared" si="9"/>
        <v>#NUM!</v>
      </c>
      <c r="K85">
        <f t="shared" si="10"/>
        <v>-0.9897579778307255</v>
      </c>
      <c r="M85" t="e">
        <f t="shared" si="11"/>
        <v>#NUM!</v>
      </c>
    </row>
    <row r="86" spans="1:13">
      <c r="A86" s="2" t="s">
        <v>419</v>
      </c>
      <c r="B86" t="s">
        <v>982</v>
      </c>
      <c r="D86" s="4">
        <v>1000</v>
      </c>
      <c r="E86" s="1">
        <v>6</v>
      </c>
      <c r="F86" s="1">
        <v>5</v>
      </c>
      <c r="G86" s="1">
        <v>0</v>
      </c>
      <c r="I86">
        <f t="shared" si="8"/>
        <v>-1.2297955850957867</v>
      </c>
      <c r="J86">
        <f t="shared" si="9"/>
        <v>-1.7615551447855484</v>
      </c>
      <c r="K86" t="e">
        <f t="shared" si="10"/>
        <v>#NUM!</v>
      </c>
      <c r="M86" t="e">
        <f t="shared" si="11"/>
        <v>#NUM!</v>
      </c>
    </row>
    <row r="87" spans="1:13">
      <c r="A87" s="2" t="s">
        <v>420</v>
      </c>
      <c r="B87" t="s">
        <v>983</v>
      </c>
      <c r="D87" s="4">
        <v>160</v>
      </c>
      <c r="E87" s="1">
        <v>2</v>
      </c>
      <c r="F87" s="1">
        <v>0</v>
      </c>
      <c r="G87" s="1">
        <v>2</v>
      </c>
      <c r="I87">
        <f t="shared" si="8"/>
        <v>-0.91103682247137407</v>
      </c>
      <c r="J87" t="e">
        <f t="shared" si="9"/>
        <v>#NUM!</v>
      </c>
      <c r="K87">
        <f t="shared" si="10"/>
        <v>-0.95416149190678823</v>
      </c>
      <c r="M87" t="e">
        <f t="shared" si="11"/>
        <v>#NUM!</v>
      </c>
    </row>
    <row r="88" spans="1:13">
      <c r="A88" s="2" t="s">
        <v>425</v>
      </c>
      <c r="B88" t="s">
        <v>988</v>
      </c>
      <c r="D88" s="4">
        <v>259</v>
      </c>
      <c r="E88" s="1">
        <v>0</v>
      </c>
      <c r="F88" s="1">
        <v>0</v>
      </c>
      <c r="G88" s="1">
        <v>0</v>
      </c>
      <c r="I88" t="e">
        <f t="shared" si="8"/>
        <v>#NUM!</v>
      </c>
      <c r="J88" t="e">
        <f t="shared" si="9"/>
        <v>#NUM!</v>
      </c>
      <c r="K88" t="e">
        <f t="shared" si="10"/>
        <v>#NUM!</v>
      </c>
      <c r="M88" t="e">
        <f t="shared" si="11"/>
        <v>#NUM!</v>
      </c>
    </row>
    <row r="89" spans="1:13">
      <c r="A89" s="2" t="s">
        <v>426</v>
      </c>
      <c r="B89" t="s">
        <v>989</v>
      </c>
      <c r="D89" s="4">
        <v>506</v>
      </c>
      <c r="E89" s="1">
        <v>0</v>
      </c>
      <c r="F89" s="1">
        <v>5</v>
      </c>
      <c r="G89" s="1">
        <v>6</v>
      </c>
      <c r="I89" t="e">
        <f t="shared" si="8"/>
        <v>#NUM!</v>
      </c>
      <c r="J89">
        <f t="shared" si="9"/>
        <v>-1.4657056616253477</v>
      </c>
      <c r="K89">
        <f t="shared" si="10"/>
        <v>-0.97707077137100029</v>
      </c>
      <c r="M89" t="e">
        <f t="shared" si="11"/>
        <v>#NUM!</v>
      </c>
    </row>
    <row r="90" spans="1:13">
      <c r="A90" s="2" t="s">
        <v>427</v>
      </c>
      <c r="B90" t="s">
        <v>990</v>
      </c>
      <c r="D90" s="4">
        <v>298</v>
      </c>
      <c r="E90" s="1">
        <v>4</v>
      </c>
      <c r="F90" s="1">
        <v>0</v>
      </c>
      <c r="G90" s="1">
        <v>0</v>
      </c>
      <c r="I90">
        <f t="shared" si="8"/>
        <v>-0.88010310822772331</v>
      </c>
      <c r="J90" t="e">
        <f t="shared" si="9"/>
        <v>#NUM!</v>
      </c>
      <c r="K90" t="e">
        <f t="shared" si="10"/>
        <v>#NUM!</v>
      </c>
      <c r="M90" t="e">
        <f t="shared" si="11"/>
        <v>#NUM!</v>
      </c>
    </row>
    <row r="91" spans="1:13">
      <c r="A91" s="2" t="s">
        <v>428</v>
      </c>
      <c r="B91" t="s">
        <v>991</v>
      </c>
      <c r="D91" s="4">
        <v>568</v>
      </c>
      <c r="E91" s="1">
        <v>5</v>
      </c>
      <c r="F91" s="1">
        <v>0</v>
      </c>
      <c r="G91" s="1">
        <v>0</v>
      </c>
      <c r="I91">
        <f t="shared" si="8"/>
        <v>-1.0633251668544306</v>
      </c>
      <c r="J91" t="e">
        <f t="shared" si="9"/>
        <v>#NUM!</v>
      </c>
      <c r="K91" t="e">
        <f t="shared" si="10"/>
        <v>#NUM!</v>
      </c>
      <c r="M91" t="e">
        <f t="shared" si="11"/>
        <v>#NUM!</v>
      </c>
    </row>
    <row r="92" spans="1:13">
      <c r="A92" s="2" t="s">
        <v>429</v>
      </c>
      <c r="B92" t="s">
        <v>992</v>
      </c>
      <c r="D92" s="4">
        <v>507</v>
      </c>
      <c r="E92" s="1">
        <v>39</v>
      </c>
      <c r="F92" s="1">
        <v>0</v>
      </c>
      <c r="G92" s="1">
        <v>47</v>
      </c>
      <c r="I92">
        <f t="shared" si="8"/>
        <v>-0.12189018778626726</v>
      </c>
      <c r="J92" t="e">
        <f t="shared" si="9"/>
        <v>#NUM!</v>
      </c>
      <c r="K92">
        <f t="shared" si="10"/>
        <v>-8.3981606312463208E-2</v>
      </c>
      <c r="M92" t="e">
        <f t="shared" si="11"/>
        <v>#NUM!</v>
      </c>
    </row>
    <row r="93" spans="1:13">
      <c r="A93" s="2" t="s">
        <v>434</v>
      </c>
      <c r="B93" t="s">
        <v>997</v>
      </c>
      <c r="D93" s="4">
        <v>551</v>
      </c>
      <c r="E93" s="1">
        <v>4</v>
      </c>
      <c r="F93" s="1">
        <v>0</v>
      </c>
      <c r="G93" s="1">
        <v>25</v>
      </c>
      <c r="I93">
        <f t="shared" si="8"/>
        <v>-1.1470384430032534</v>
      </c>
      <c r="J93" t="e">
        <f t="shared" si="9"/>
        <v>#NUM!</v>
      </c>
      <c r="K93">
        <f t="shared" si="10"/>
        <v>-0.39428309509459214</v>
      </c>
      <c r="M93" t="e">
        <f t="shared" si="11"/>
        <v>#NUM!</v>
      </c>
    </row>
    <row r="94" spans="1:13">
      <c r="A94" s="2" t="s">
        <v>437</v>
      </c>
      <c r="B94" t="s">
        <v>1000</v>
      </c>
      <c r="D94" s="4">
        <v>761</v>
      </c>
      <c r="E94" s="1">
        <v>0</v>
      </c>
      <c r="F94" s="1">
        <v>2</v>
      </c>
      <c r="G94" s="1">
        <v>28</v>
      </c>
      <c r="I94" t="e">
        <f t="shared" si="8"/>
        <v>#NUM!</v>
      </c>
      <c r="J94">
        <f t="shared" si="9"/>
        <v>-2.0408798102281587</v>
      </c>
      <c r="K94">
        <f t="shared" si="10"/>
        <v>-0.48529813034319824</v>
      </c>
      <c r="M94" t="e">
        <f t="shared" si="11"/>
        <v>#NUM!</v>
      </c>
    </row>
    <row r="95" spans="1:13">
      <c r="A95" s="2" t="s">
        <v>440</v>
      </c>
      <c r="B95" t="s">
        <v>1003</v>
      </c>
      <c r="D95" s="4">
        <v>892</v>
      </c>
      <c r="E95" s="1">
        <v>1</v>
      </c>
      <c r="F95" s="1">
        <v>1</v>
      </c>
      <c r="G95" s="1">
        <v>0</v>
      </c>
      <c r="I95">
        <f t="shared" si="8"/>
        <v>-1.9583116898555537</v>
      </c>
      <c r="J95">
        <f t="shared" si="9"/>
        <v>-2.4108900034976903</v>
      </c>
      <c r="K95" t="e">
        <f t="shared" si="10"/>
        <v>#NUM!</v>
      </c>
      <c r="M95" t="e">
        <f t="shared" si="11"/>
        <v>#NUM!</v>
      </c>
    </row>
    <row r="96" spans="1:13">
      <c r="A96" s="2" t="s">
        <v>441</v>
      </c>
      <c r="B96" t="s">
        <v>1004</v>
      </c>
      <c r="D96" s="4">
        <v>591</v>
      </c>
      <c r="E96" s="1">
        <v>5</v>
      </c>
      <c r="F96" s="1">
        <v>0</v>
      </c>
      <c r="G96" s="1">
        <v>0</v>
      </c>
      <c r="I96">
        <f t="shared" si="8"/>
        <v>-1.0805643120246673</v>
      </c>
      <c r="J96" t="e">
        <f t="shared" si="9"/>
        <v>#NUM!</v>
      </c>
      <c r="K96" t="e">
        <f t="shared" si="10"/>
        <v>#NUM!</v>
      </c>
      <c r="M96" t="e">
        <f t="shared" si="11"/>
        <v>#NUM!</v>
      </c>
    </row>
    <row r="97" spans="1:13">
      <c r="A97" s="2" t="s">
        <v>442</v>
      </c>
      <c r="B97" t="s">
        <v>1005</v>
      </c>
      <c r="D97" s="4">
        <v>307</v>
      </c>
      <c r="E97" s="1">
        <v>17</v>
      </c>
      <c r="F97" s="1">
        <v>0</v>
      </c>
      <c r="G97" s="1">
        <v>0</v>
      </c>
      <c r="I97">
        <f t="shared" ref="I97:I112" si="12">LOG(E97/D97)-LOG(182/1787)</f>
        <v>-0.26463628957834318</v>
      </c>
      <c r="J97" t="e">
        <f t="shared" ref="J97:J112" si="13">LOG(F97/D97)-LOG(516/1787)</f>
        <v>#NUM!</v>
      </c>
      <c r="K97" t="e">
        <f t="shared" ref="K97:K112" si="14">LOG(G97/D97)-LOG(201/1787)</f>
        <v>#NUM!</v>
      </c>
      <c r="M97" t="e">
        <f t="shared" ref="M97:M112" si="15">AVERAGE(I97:K97)</f>
        <v>#NUM!</v>
      </c>
    </row>
    <row r="98" spans="1:13">
      <c r="A98" s="2" t="s">
        <v>446</v>
      </c>
      <c r="B98" t="s">
        <v>1009</v>
      </c>
      <c r="D98" s="4">
        <v>127</v>
      </c>
      <c r="E98" s="1">
        <v>0</v>
      </c>
      <c r="F98" s="1">
        <v>2</v>
      </c>
      <c r="G98" s="1">
        <v>2</v>
      </c>
      <c r="I98" t="e">
        <f t="shared" si="12"/>
        <v>#NUM!</v>
      </c>
      <c r="J98">
        <f t="shared" si="13"/>
        <v>-1.2632988744135427</v>
      </c>
      <c r="K98">
        <f t="shared" si="14"/>
        <v>-0.85384523020682046</v>
      </c>
      <c r="M98" t="e">
        <f t="shared" si="15"/>
        <v>#NUM!</v>
      </c>
    </row>
    <row r="99" spans="1:13">
      <c r="A99" s="2" t="s">
        <v>447</v>
      </c>
      <c r="B99" t="s">
        <v>1010</v>
      </c>
      <c r="D99" s="4">
        <v>178</v>
      </c>
      <c r="E99" s="1">
        <v>0</v>
      </c>
      <c r="F99" s="1">
        <v>0</v>
      </c>
      <c r="G99" s="1">
        <v>0</v>
      </c>
      <c r="I99" t="e">
        <f t="shared" si="12"/>
        <v>#NUM!</v>
      </c>
      <c r="J99" t="e">
        <f t="shared" si="13"/>
        <v>#NUM!</v>
      </c>
      <c r="K99" t="e">
        <f t="shared" si="14"/>
        <v>#NUM!</v>
      </c>
      <c r="M99" t="e">
        <f t="shared" si="15"/>
        <v>#NUM!</v>
      </c>
    </row>
    <row r="100" spans="1:13">
      <c r="A100" s="2" t="s">
        <v>487</v>
      </c>
      <c r="B100" t="s">
        <v>1050</v>
      </c>
      <c r="D100" s="4">
        <v>449</v>
      </c>
      <c r="E100" s="1">
        <v>0</v>
      </c>
      <c r="F100" s="1">
        <v>46</v>
      </c>
      <c r="G100" s="1">
        <v>19</v>
      </c>
      <c r="I100" t="e">
        <f t="shared" si="12"/>
        <v>#NUM!</v>
      </c>
      <c r="J100">
        <f t="shared" si="13"/>
        <v>-0.4500136584433162</v>
      </c>
      <c r="K100">
        <f t="shared" si="14"/>
        <v>-0.42456424496533884</v>
      </c>
      <c r="M100" t="e">
        <f t="shared" si="15"/>
        <v>#NUM!</v>
      </c>
    </row>
    <row r="101" spans="1:13">
      <c r="A101" s="2" t="s">
        <v>492</v>
      </c>
      <c r="B101" t="s">
        <v>1055</v>
      </c>
      <c r="D101" s="4">
        <v>238</v>
      </c>
      <c r="E101" s="1">
        <v>4</v>
      </c>
      <c r="F101" s="1">
        <v>0</v>
      </c>
      <c r="G101" s="1">
        <v>0</v>
      </c>
      <c r="I101">
        <f t="shared" si="12"/>
        <v>-0.78246380120798009</v>
      </c>
      <c r="J101" t="e">
        <f t="shared" si="13"/>
        <v>#NUM!</v>
      </c>
      <c r="K101" t="e">
        <f t="shared" si="14"/>
        <v>#NUM!</v>
      </c>
      <c r="M101" t="e">
        <f t="shared" si="15"/>
        <v>#NUM!</v>
      </c>
    </row>
    <row r="102" spans="1:13">
      <c r="A102" s="2" t="s">
        <v>523</v>
      </c>
      <c r="B102" t="s">
        <v>1086</v>
      </c>
      <c r="D102" s="4">
        <v>88</v>
      </c>
      <c r="E102" s="1">
        <v>2</v>
      </c>
      <c r="F102" s="1">
        <v>0</v>
      </c>
      <c r="G102" s="1">
        <v>0</v>
      </c>
      <c r="I102">
        <f t="shared" si="12"/>
        <v>-0.65139951196561796</v>
      </c>
      <c r="J102" t="e">
        <f t="shared" si="13"/>
        <v>#NUM!</v>
      </c>
      <c r="K102" t="e">
        <f t="shared" si="14"/>
        <v>#NUM!</v>
      </c>
      <c r="M102" t="e">
        <f t="shared" si="15"/>
        <v>#NUM!</v>
      </c>
    </row>
    <row r="103" spans="1:13">
      <c r="A103" s="2" t="s">
        <v>524</v>
      </c>
      <c r="B103" t="s">
        <v>1087</v>
      </c>
      <c r="D103" s="4">
        <v>242</v>
      </c>
      <c r="E103" s="1">
        <v>0</v>
      </c>
      <c r="F103" s="1">
        <v>0</v>
      </c>
      <c r="G103" s="1">
        <v>5</v>
      </c>
      <c r="I103" t="e">
        <f t="shared" si="12"/>
        <v>#NUM!</v>
      </c>
      <c r="J103" t="e">
        <f t="shared" si="13"/>
        <v>#NUM!</v>
      </c>
      <c r="K103">
        <f t="shared" si="14"/>
        <v>-0.73591686655925725</v>
      </c>
      <c r="M103" t="e">
        <f t="shared" si="15"/>
        <v>#NUM!</v>
      </c>
    </row>
    <row r="104" spans="1:13">
      <c r="A104" s="2" t="s">
        <v>525</v>
      </c>
      <c r="B104" t="s">
        <v>1088</v>
      </c>
      <c r="D104" s="4">
        <v>302</v>
      </c>
      <c r="E104" s="1">
        <v>0</v>
      </c>
      <c r="F104" s="1">
        <v>0</v>
      </c>
      <c r="G104" s="1">
        <v>5</v>
      </c>
      <c r="I104" t="e">
        <f t="shared" si="12"/>
        <v>#NUM!</v>
      </c>
      <c r="J104" t="e">
        <f t="shared" si="13"/>
        <v>#NUM!</v>
      </c>
      <c r="K104">
        <f t="shared" si="14"/>
        <v>-0.83210844353597646</v>
      </c>
      <c r="M104" t="e">
        <f t="shared" si="15"/>
        <v>#NUM!</v>
      </c>
    </row>
    <row r="105" spans="1:13">
      <c r="A105" s="2" t="s">
        <v>526</v>
      </c>
      <c r="B105" t="s">
        <v>1089</v>
      </c>
      <c r="D105" s="4">
        <v>351</v>
      </c>
      <c r="E105" s="1">
        <v>3</v>
      </c>
      <c r="F105" s="1">
        <v>5</v>
      </c>
      <c r="G105" s="1">
        <v>0</v>
      </c>
      <c r="I105">
        <f t="shared" si="12"/>
        <v>-1.0761326972255922</v>
      </c>
      <c r="J105">
        <f t="shared" si="13"/>
        <v>-1.3068622612513723</v>
      </c>
      <c r="K105" t="e">
        <f t="shared" si="14"/>
        <v>#NUM!</v>
      </c>
      <c r="M105" t="e">
        <f t="shared" si="15"/>
        <v>#NUM!</v>
      </c>
    </row>
    <row r="106" spans="1:13">
      <c r="A106" s="2" t="s">
        <v>527</v>
      </c>
      <c r="B106" t="s">
        <v>1090</v>
      </c>
      <c r="D106" s="4">
        <v>311</v>
      </c>
      <c r="E106" s="1">
        <v>1</v>
      </c>
      <c r="F106" s="1">
        <v>0</v>
      </c>
      <c r="G106" s="1">
        <v>0</v>
      </c>
      <c r="I106">
        <f t="shared" si="12"/>
        <v>-1.500707224506268</v>
      </c>
      <c r="J106" t="e">
        <f t="shared" si="13"/>
        <v>#NUM!</v>
      </c>
      <c r="K106" t="e">
        <f t="shared" si="14"/>
        <v>#NUM!</v>
      </c>
      <c r="M106" t="e">
        <f t="shared" si="15"/>
        <v>#NUM!</v>
      </c>
    </row>
    <row r="107" spans="1:13">
      <c r="A107" s="2" t="s">
        <v>529</v>
      </c>
      <c r="B107" t="s">
        <v>1092</v>
      </c>
      <c r="D107" s="4">
        <v>821</v>
      </c>
      <c r="E107" s="1">
        <v>3</v>
      </c>
      <c r="F107" s="1">
        <v>8</v>
      </c>
      <c r="G107" s="1">
        <v>0</v>
      </c>
      <c r="I107">
        <f t="shared" si="12"/>
        <v>-1.4451687378792091</v>
      </c>
      <c r="J107">
        <f t="shared" si="13"/>
        <v>-1.4717783192490645</v>
      </c>
      <c r="K107" t="e">
        <f t="shared" si="14"/>
        <v>#NUM!</v>
      </c>
      <c r="M107" t="e">
        <f t="shared" si="15"/>
        <v>#NUM!</v>
      </c>
    </row>
    <row r="108" spans="1:13">
      <c r="A108" s="2" t="s">
        <v>530</v>
      </c>
      <c r="B108" t="s">
        <v>1093</v>
      </c>
      <c r="D108" s="4">
        <v>68</v>
      </c>
      <c r="E108" s="1">
        <v>0</v>
      </c>
      <c r="F108" s="1">
        <v>0</v>
      </c>
      <c r="G108" s="1">
        <v>0</v>
      </c>
      <c r="I108" t="e">
        <f t="shared" si="12"/>
        <v>#NUM!</v>
      </c>
      <c r="J108" t="e">
        <f t="shared" si="13"/>
        <v>#NUM!</v>
      </c>
      <c r="K108" t="e">
        <f t="shared" si="14"/>
        <v>#NUM!</v>
      </c>
      <c r="M108" t="e">
        <f t="shared" si="15"/>
        <v>#NUM!</v>
      </c>
    </row>
    <row r="109" spans="1:13">
      <c r="A109" s="2" t="s">
        <v>533</v>
      </c>
      <c r="B109" t="s">
        <v>1096</v>
      </c>
      <c r="D109" s="4">
        <v>456</v>
      </c>
      <c r="E109" s="1">
        <v>0</v>
      </c>
      <c r="F109" s="1">
        <v>0</v>
      </c>
      <c r="G109" s="1">
        <v>0</v>
      </c>
      <c r="I109" t="e">
        <f t="shared" si="12"/>
        <v>#NUM!</v>
      </c>
      <c r="J109" t="e">
        <f t="shared" si="13"/>
        <v>#NUM!</v>
      </c>
      <c r="K109" t="e">
        <f t="shared" si="14"/>
        <v>#NUM!</v>
      </c>
      <c r="M109" t="e">
        <f t="shared" si="15"/>
        <v>#NUM!</v>
      </c>
    </row>
    <row r="110" spans="1:13">
      <c r="A110" s="2" t="s">
        <v>534</v>
      </c>
      <c r="B110" t="s">
        <v>1097</v>
      </c>
      <c r="D110" s="4">
        <v>214</v>
      </c>
      <c r="E110" s="1">
        <v>0</v>
      </c>
      <c r="F110" s="1">
        <v>0</v>
      </c>
      <c r="G110" s="1">
        <v>2</v>
      </c>
      <c r="I110" t="e">
        <f t="shared" si="12"/>
        <v>#NUM!</v>
      </c>
      <c r="J110" t="e">
        <f t="shared" si="13"/>
        <v>#NUM!</v>
      </c>
      <c r="K110">
        <f t="shared" si="14"/>
        <v>-1.0804552826000544</v>
      </c>
      <c r="M110" t="e">
        <f t="shared" si="15"/>
        <v>#NUM!</v>
      </c>
    </row>
    <row r="111" spans="1:13">
      <c r="A111" s="2" t="s">
        <v>535</v>
      </c>
      <c r="B111" t="s">
        <v>1098</v>
      </c>
      <c r="D111" s="4">
        <v>607</v>
      </c>
      <c r="E111" s="1">
        <v>2</v>
      </c>
      <c r="F111" s="1">
        <v>0</v>
      </c>
      <c r="G111" s="1">
        <v>0</v>
      </c>
      <c r="I111">
        <f t="shared" si="12"/>
        <v>-1.4901055308907067</v>
      </c>
      <c r="J111" t="e">
        <f t="shared" si="13"/>
        <v>#NUM!</v>
      </c>
      <c r="K111" t="e">
        <f t="shared" si="14"/>
        <v>#NUM!</v>
      </c>
      <c r="M111" t="e">
        <f t="shared" si="15"/>
        <v>#NUM!</v>
      </c>
    </row>
    <row r="112" spans="1:13">
      <c r="A112" s="2" t="s">
        <v>549</v>
      </c>
      <c r="B112" t="s">
        <v>1112</v>
      </c>
      <c r="D112" s="4">
        <v>865</v>
      </c>
      <c r="E112" s="1">
        <v>1</v>
      </c>
      <c r="F112" s="1">
        <v>0</v>
      </c>
      <c r="G112" s="1">
        <v>2</v>
      </c>
      <c r="I112">
        <f t="shared" si="12"/>
        <v>-1.9449629429442448</v>
      </c>
      <c r="J112" t="e">
        <f t="shared" si="13"/>
        <v>#NUM!</v>
      </c>
      <c r="K112">
        <f t="shared" si="14"/>
        <v>-1.6870576167156777</v>
      </c>
      <c r="M112" t="e">
        <f t="shared" si="15"/>
        <v>#NUM!</v>
      </c>
    </row>
    <row r="113" spans="1:13">
      <c r="A113" s="2" t="s">
        <v>1116</v>
      </c>
      <c r="B113" t="s">
        <v>1117</v>
      </c>
      <c r="D113" s="4" t="s">
        <v>553</v>
      </c>
      <c r="E113" s="1" t="s">
        <v>554</v>
      </c>
      <c r="F113" s="1" t="s">
        <v>555</v>
      </c>
      <c r="G113" s="1" t="s">
        <v>556</v>
      </c>
      <c r="I113" s="1" t="s">
        <v>558</v>
      </c>
      <c r="J113" s="1" t="s">
        <v>559</v>
      </c>
      <c r="K113" s="1" t="s">
        <v>560</v>
      </c>
      <c r="M113" s="1" t="s">
        <v>561</v>
      </c>
    </row>
    <row r="114" spans="1:13" ht="22">
      <c r="A114" s="2" t="s">
        <v>120</v>
      </c>
      <c r="B114" s="5" t="s">
        <v>683</v>
      </c>
      <c r="D114" s="4">
        <v>467</v>
      </c>
      <c r="E114" s="1">
        <v>954</v>
      </c>
      <c r="F114" s="1">
        <v>2927</v>
      </c>
      <c r="G114" s="1">
        <v>899</v>
      </c>
      <c r="I114">
        <f t="shared" ref="I114:I177" si="16">LOG(E114/D114)-LOG(182/1787)</f>
        <v>1.3022846586585524</v>
      </c>
      <c r="J114">
        <f t="shared" ref="J114:J177" si="17">LOG(F114/D114)-LOG(516/1787)</f>
        <v>1.3365806927461126</v>
      </c>
      <c r="K114">
        <f t="shared" ref="K114:K177" si="18">LOG(G114/D114)-LOG(201/1787)</f>
        <v>1.233371306252272</v>
      </c>
      <c r="M114">
        <f t="shared" ref="M114:M177" si="19">AVERAGE(I114:K114)</f>
        <v>1.2907455525523124</v>
      </c>
    </row>
    <row r="115" spans="1:13" ht="22">
      <c r="A115" s="2" t="s">
        <v>18</v>
      </c>
      <c r="B115" s="5" t="s">
        <v>581</v>
      </c>
      <c r="D115" s="4">
        <v>565</v>
      </c>
      <c r="E115" s="1">
        <v>5362</v>
      </c>
      <c r="F115" s="1">
        <v>6639</v>
      </c>
      <c r="G115" s="1">
        <v>35</v>
      </c>
      <c r="I115">
        <f t="shared" si="16"/>
        <v>1.9693315263479918</v>
      </c>
      <c r="J115">
        <f t="shared" si="17"/>
        <v>1.6095290717059147</v>
      </c>
      <c r="K115">
        <f t="shared" si="18"/>
        <v>-0.25905190838400749</v>
      </c>
      <c r="M115">
        <f t="shared" si="19"/>
        <v>1.106602896556633</v>
      </c>
    </row>
    <row r="116" spans="1:13" ht="22">
      <c r="A116" s="2" t="s">
        <v>249</v>
      </c>
      <c r="B116" s="5" t="s">
        <v>812</v>
      </c>
      <c r="D116" s="4">
        <v>328</v>
      </c>
      <c r="E116" s="1">
        <v>4879</v>
      </c>
      <c r="F116" s="1">
        <v>24</v>
      </c>
      <c r="G116" s="1">
        <v>1436</v>
      </c>
      <c r="I116">
        <f t="shared" si="16"/>
        <v>2.1645101389211567</v>
      </c>
      <c r="J116">
        <f t="shared" si="17"/>
        <v>-0.59618775112164013</v>
      </c>
      <c r="K116">
        <f t="shared" si="18"/>
        <v>1.5902090912797577</v>
      </c>
      <c r="M116">
        <f t="shared" si="19"/>
        <v>1.0528438263597582</v>
      </c>
    </row>
    <row r="117" spans="1:13" ht="22">
      <c r="A117" s="2" t="s">
        <v>113</v>
      </c>
      <c r="B117" s="5" t="s">
        <v>676</v>
      </c>
      <c r="D117" s="4">
        <v>297</v>
      </c>
      <c r="E117" s="1">
        <v>933</v>
      </c>
      <c r="F117" s="1">
        <v>4117</v>
      </c>
      <c r="G117" s="1">
        <v>29</v>
      </c>
      <c r="I117">
        <f t="shared" si="16"/>
        <v>1.4891783589498571</v>
      </c>
      <c r="J117">
        <f t="shared" si="17"/>
        <v>1.6812992685587065</v>
      </c>
      <c r="K117">
        <f t="shared" si="18"/>
        <v>-6.1429956333100888E-2</v>
      </c>
      <c r="M117">
        <f t="shared" si="19"/>
        <v>1.0363492237251541</v>
      </c>
    </row>
    <row r="118" spans="1:13" ht="22">
      <c r="A118" s="2" t="s">
        <v>209</v>
      </c>
      <c r="B118" s="5" t="s">
        <v>772</v>
      </c>
      <c r="D118" s="4">
        <v>746</v>
      </c>
      <c r="E118" s="1">
        <v>779</v>
      </c>
      <c r="F118" s="1">
        <v>5501</v>
      </c>
      <c r="G118" s="1">
        <v>340</v>
      </c>
      <c r="I118">
        <f t="shared" si="16"/>
        <v>1.0108517947204652</v>
      </c>
      <c r="J118">
        <f t="shared" si="17"/>
        <v>1.4071776683555302</v>
      </c>
      <c r="K118">
        <f t="shared" si="18"/>
        <v>0.60766858465474161</v>
      </c>
      <c r="M118">
        <f t="shared" si="19"/>
        <v>1.0085660159102456</v>
      </c>
    </row>
    <row r="119" spans="1:13" ht="22">
      <c r="A119" s="2" t="s">
        <v>76</v>
      </c>
      <c r="B119" s="5" t="s">
        <v>639</v>
      </c>
      <c r="D119" s="4">
        <v>1017</v>
      </c>
      <c r="E119" s="1">
        <v>81</v>
      </c>
      <c r="F119" s="1">
        <v>287311</v>
      </c>
      <c r="G119" s="1">
        <v>99</v>
      </c>
      <c r="I119">
        <f t="shared" si="16"/>
        <v>-0.1067827695235255</v>
      </c>
      <c r="J119">
        <f t="shared" si="17"/>
        <v>2.9905061516811857</v>
      </c>
      <c r="K119">
        <f t="shared" si="18"/>
        <v>-6.2757263240039274E-2</v>
      </c>
      <c r="M119">
        <f t="shared" si="19"/>
        <v>0.94032203963920702</v>
      </c>
    </row>
    <row r="120" spans="1:13" ht="22">
      <c r="A120" s="2" t="s">
        <v>181</v>
      </c>
      <c r="B120" s="5" t="s">
        <v>744</v>
      </c>
      <c r="D120" s="4">
        <v>310</v>
      </c>
      <c r="E120" s="1">
        <v>1460</v>
      </c>
      <c r="F120" s="1">
        <v>1569</v>
      </c>
      <c r="G120" s="1">
        <v>26</v>
      </c>
      <c r="I120">
        <f t="shared" si="16"/>
        <v>1.665044326470734</v>
      </c>
      <c r="J120">
        <f t="shared" si="17"/>
        <v>1.243736100631097</v>
      </c>
      <c r="K120">
        <f t="shared" si="18"/>
        <v>-0.12745985077829936</v>
      </c>
      <c r="M120">
        <f t="shared" si="19"/>
        <v>0.92710685877451049</v>
      </c>
    </row>
    <row r="121" spans="1:13" ht="22">
      <c r="A121" s="2" t="s">
        <v>78</v>
      </c>
      <c r="B121" s="5" t="s">
        <v>641</v>
      </c>
      <c r="D121" s="4">
        <v>938</v>
      </c>
      <c r="E121" s="1">
        <v>7151</v>
      </c>
      <c r="F121" s="1">
        <v>6505</v>
      </c>
      <c r="G121" s="1">
        <v>33</v>
      </c>
      <c r="I121">
        <f t="shared" si="16"/>
        <v>1.8742171041823745</v>
      </c>
      <c r="J121">
        <f t="shared" si="17"/>
        <v>1.3805193133969735</v>
      </c>
      <c r="K121">
        <f t="shared" si="18"/>
        <v>-0.5047604034160218</v>
      </c>
      <c r="M121">
        <f t="shared" si="19"/>
        <v>0.91665867138777557</v>
      </c>
    </row>
    <row r="122" spans="1:13" ht="22">
      <c r="A122" s="2" t="s">
        <v>241</v>
      </c>
      <c r="B122" s="5" t="s">
        <v>804</v>
      </c>
      <c r="D122" s="4">
        <v>1297</v>
      </c>
      <c r="E122" s="1">
        <v>51</v>
      </c>
      <c r="F122" s="1">
        <v>197</v>
      </c>
      <c r="G122" s="1">
        <v>373523</v>
      </c>
      <c r="I122">
        <f t="shared" si="16"/>
        <v>-0.41331663546557418</v>
      </c>
      <c r="J122">
        <f t="shared" si="17"/>
        <v>-0.27899889904405417</v>
      </c>
      <c r="K122">
        <f t="shared" si="18"/>
        <v>3.4083058680321283</v>
      </c>
      <c r="M122">
        <f t="shared" si="19"/>
        <v>0.90533011117416662</v>
      </c>
    </row>
    <row r="123" spans="1:13" ht="22">
      <c r="A123" s="2" t="s">
        <v>468</v>
      </c>
      <c r="B123" s="5" t="s">
        <v>1031</v>
      </c>
      <c r="D123" s="4">
        <v>910</v>
      </c>
      <c r="E123" s="1">
        <v>6144</v>
      </c>
      <c r="F123" s="1">
        <v>28</v>
      </c>
      <c r="G123" s="1">
        <v>7087</v>
      </c>
      <c r="I123">
        <f t="shared" si="16"/>
        <v>1.8214629792229315</v>
      </c>
      <c r="J123">
        <f t="shared" si="17"/>
        <v>-0.97240851010044149</v>
      </c>
      <c r="K123">
        <f t="shared" si="18"/>
        <v>1.8403495355255783</v>
      </c>
      <c r="M123">
        <f t="shared" si="19"/>
        <v>0.89646800154935613</v>
      </c>
    </row>
    <row r="124" spans="1:13" ht="22">
      <c r="A124" s="2" t="s">
        <v>144</v>
      </c>
      <c r="B124" s="5" t="s">
        <v>707</v>
      </c>
      <c r="D124" s="4">
        <v>1437</v>
      </c>
      <c r="E124" s="1">
        <v>1014</v>
      </c>
      <c r="F124" s="1">
        <v>9416</v>
      </c>
      <c r="G124" s="1">
        <v>502</v>
      </c>
      <c r="I124">
        <f t="shared" si="16"/>
        <v>0.84063435138366094</v>
      </c>
      <c r="J124">
        <f t="shared" si="17"/>
        <v>1.3558845325795854</v>
      </c>
      <c r="K124">
        <f t="shared" si="18"/>
        <v>0.49217544409594899</v>
      </c>
      <c r="M124">
        <f t="shared" si="19"/>
        <v>0.89623144268639843</v>
      </c>
    </row>
    <row r="125" spans="1:13" ht="22">
      <c r="A125" s="2" t="s">
        <v>477</v>
      </c>
      <c r="B125" s="5" t="s">
        <v>1040</v>
      </c>
      <c r="D125" s="4">
        <v>294</v>
      </c>
      <c r="E125" s="1">
        <v>558</v>
      </c>
      <c r="F125" s="1">
        <v>918</v>
      </c>
      <c r="G125" s="1">
        <v>63</v>
      </c>
      <c r="I125">
        <f t="shared" si="16"/>
        <v>1.2703400330459909</v>
      </c>
      <c r="J125">
        <f t="shared" si="17"/>
        <v>1.0339702016675181</v>
      </c>
      <c r="K125">
        <f t="shared" si="18"/>
        <v>0.27992171412657973</v>
      </c>
      <c r="M125">
        <f t="shared" si="19"/>
        <v>0.861410649613363</v>
      </c>
    </row>
    <row r="126" spans="1:13" ht="22">
      <c r="A126" s="2" t="s">
        <v>77</v>
      </c>
      <c r="B126" s="5" t="s">
        <v>640</v>
      </c>
      <c r="D126" s="4">
        <v>460</v>
      </c>
      <c r="E126" s="1">
        <v>71437</v>
      </c>
      <c r="F126" s="1">
        <v>51</v>
      </c>
      <c r="G126" s="1">
        <v>32</v>
      </c>
      <c r="I126">
        <f t="shared" si="16"/>
        <v>3.1832185408863016</v>
      </c>
      <c r="J126">
        <f t="shared" si="17"/>
        <v>-0.41571280470520477</v>
      </c>
      <c r="K126">
        <f t="shared" si="18"/>
        <v>-0.20867935827651274</v>
      </c>
      <c r="M126">
        <f t="shared" si="19"/>
        <v>0.85294212596819463</v>
      </c>
    </row>
    <row r="127" spans="1:13" ht="22">
      <c r="A127" s="2" t="s">
        <v>502</v>
      </c>
      <c r="B127" s="5" t="s">
        <v>1065</v>
      </c>
      <c r="D127" s="4">
        <v>450</v>
      </c>
      <c r="E127" s="1">
        <v>12326</v>
      </c>
      <c r="F127" s="1">
        <v>19</v>
      </c>
      <c r="G127" s="1">
        <v>408</v>
      </c>
      <c r="I127">
        <f t="shared" si="16"/>
        <v>2.4296628141398822</v>
      </c>
      <c r="J127">
        <f t="shared" si="17"/>
        <v>-0.8349840619440817</v>
      </c>
      <c r="K127">
        <f t="shared" si="18"/>
        <v>0.90637614439969161</v>
      </c>
      <c r="M127">
        <f t="shared" si="19"/>
        <v>0.83368496553183069</v>
      </c>
    </row>
    <row r="128" spans="1:13" ht="22">
      <c r="A128" s="2" t="s">
        <v>150</v>
      </c>
      <c r="B128" s="5" t="s">
        <v>713</v>
      </c>
      <c r="D128" s="4">
        <v>1085</v>
      </c>
      <c r="E128" s="1">
        <v>3464</v>
      </c>
      <c r="F128" s="1">
        <v>3344</v>
      </c>
      <c r="G128" s="1">
        <v>100</v>
      </c>
      <c r="I128">
        <f t="shared" si="16"/>
        <v>1.49620130968133</v>
      </c>
      <c r="J128">
        <f t="shared" si="17"/>
        <v>1.0283113814608633</v>
      </c>
      <c r="K128">
        <f t="shared" si="18"/>
        <v>-8.6501243099392999E-2</v>
      </c>
      <c r="M128">
        <f t="shared" si="19"/>
        <v>0.81267048268093356</v>
      </c>
    </row>
    <row r="129" spans="1:13" ht="22">
      <c r="A129" s="2" t="s">
        <v>312</v>
      </c>
      <c r="B129" s="5" t="s">
        <v>875</v>
      </c>
      <c r="D129" s="4">
        <v>368</v>
      </c>
      <c r="E129" s="1">
        <v>153</v>
      </c>
      <c r="F129" s="1">
        <v>642</v>
      </c>
      <c r="G129" s="1">
        <v>434</v>
      </c>
      <c r="I129">
        <f t="shared" si="16"/>
        <v>0.6108967766646507</v>
      </c>
      <c r="J129">
        <f t="shared" si="17"/>
        <v>0.78116206027376855</v>
      </c>
      <c r="K129">
        <f t="shared" si="18"/>
        <v>1.0205704059241483</v>
      </c>
      <c r="M129">
        <f t="shared" si="19"/>
        <v>0.80420974762085573</v>
      </c>
    </row>
    <row r="130" spans="1:13" ht="22">
      <c r="A130" s="2" t="s">
        <v>467</v>
      </c>
      <c r="B130" s="5" t="s">
        <v>1030</v>
      </c>
      <c r="D130" s="4">
        <v>788</v>
      </c>
      <c r="E130" s="1">
        <v>290</v>
      </c>
      <c r="F130" s="1">
        <v>7193</v>
      </c>
      <c r="G130" s="1">
        <v>124</v>
      </c>
      <c r="I130">
        <f t="shared" si="16"/>
        <v>0.55792494492997025</v>
      </c>
      <c r="J130">
        <f t="shared" si="17"/>
        <v>1.4998586936896638</v>
      </c>
      <c r="K130">
        <f t="shared" si="18"/>
        <v>0.14582396275783505</v>
      </c>
      <c r="M130">
        <f t="shared" si="19"/>
        <v>0.73453586712582319</v>
      </c>
    </row>
    <row r="131" spans="1:13" ht="22">
      <c r="A131" s="2" t="s">
        <v>183</v>
      </c>
      <c r="B131" s="5" t="s">
        <v>746</v>
      </c>
      <c r="D131" s="4">
        <v>581</v>
      </c>
      <c r="E131" s="1">
        <v>212</v>
      </c>
      <c r="F131" s="1">
        <v>236</v>
      </c>
      <c r="G131" s="1">
        <v>1653</v>
      </c>
      <c r="I131">
        <f t="shared" si="16"/>
        <v>0.55421289305899024</v>
      </c>
      <c r="J131">
        <f t="shared" si="17"/>
        <v>0.14821072145820879</v>
      </c>
      <c r="K131">
        <f t="shared" si="18"/>
        <v>1.403025216266272</v>
      </c>
      <c r="M131">
        <f t="shared" si="19"/>
        <v>0.70181627692782367</v>
      </c>
    </row>
    <row r="132" spans="1:13" ht="22">
      <c r="A132" s="2" t="s">
        <v>509</v>
      </c>
      <c r="B132" s="5" t="s">
        <v>1072</v>
      </c>
      <c r="D132" s="4">
        <v>868</v>
      </c>
      <c r="E132" s="1">
        <v>2769</v>
      </c>
      <c r="F132" s="1">
        <v>82</v>
      </c>
      <c r="G132" s="1">
        <v>1202</v>
      </c>
      <c r="I132">
        <f t="shared" si="16"/>
        <v>1.495856395089652</v>
      </c>
      <c r="J132">
        <f t="shared" si="17"/>
        <v>-0.4852310219143422</v>
      </c>
      <c r="K132">
        <f t="shared" si="18"/>
        <v>1.0903132375753841</v>
      </c>
      <c r="M132">
        <f t="shared" si="19"/>
        <v>0.70031287025023126</v>
      </c>
    </row>
    <row r="133" spans="1:13" ht="22">
      <c r="A133" s="2" t="s">
        <v>345</v>
      </c>
      <c r="B133" s="5" t="s">
        <v>908</v>
      </c>
      <c r="D133" s="4">
        <v>1360</v>
      </c>
      <c r="E133" s="1">
        <v>319</v>
      </c>
      <c r="F133" s="1">
        <v>6899</v>
      </c>
      <c r="G133" s="1">
        <v>462</v>
      </c>
      <c r="I133">
        <f t="shared" si="16"/>
        <v>0.36230493920753304</v>
      </c>
      <c r="J133">
        <f t="shared" si="17"/>
        <v>1.2447220874548099</v>
      </c>
      <c r="K133">
        <f t="shared" si="18"/>
        <v>0.48003156227106331</v>
      </c>
      <c r="M133">
        <f t="shared" si="19"/>
        <v>0.69568619631113549</v>
      </c>
    </row>
    <row r="134" spans="1:13" ht="22">
      <c r="A134" s="2" t="s">
        <v>137</v>
      </c>
      <c r="B134" s="5" t="s">
        <v>700</v>
      </c>
      <c r="D134" s="4">
        <v>673</v>
      </c>
      <c r="E134" s="1">
        <v>3423</v>
      </c>
      <c r="F134" s="1">
        <v>139</v>
      </c>
      <c r="G134" s="1">
        <v>236</v>
      </c>
      <c r="I134">
        <f t="shared" si="16"/>
        <v>1.6984449994344697</v>
      </c>
      <c r="J134">
        <f t="shared" si="17"/>
        <v>-0.14552541309144884</v>
      </c>
      <c r="K134">
        <f t="shared" si="18"/>
        <v>0.49382543383128502</v>
      </c>
      <c r="M134">
        <f t="shared" si="19"/>
        <v>0.68224834005810198</v>
      </c>
    </row>
    <row r="135" spans="1:13" ht="22">
      <c r="A135" s="2" t="s">
        <v>132</v>
      </c>
      <c r="B135" s="5" t="s">
        <v>695</v>
      </c>
      <c r="D135" s="4">
        <v>649</v>
      </c>
      <c r="E135" s="1">
        <v>60498</v>
      </c>
      <c r="F135" s="1">
        <v>28</v>
      </c>
      <c r="G135" s="1">
        <v>59</v>
      </c>
      <c r="I135">
        <f t="shared" si="16"/>
        <v>2.9615494852929838</v>
      </c>
      <c r="J135">
        <f t="shared" si="17"/>
        <v>-0.825611814579717</v>
      </c>
      <c r="K135">
        <f t="shared" si="18"/>
        <v>-9.2464190073069608E-2</v>
      </c>
      <c r="M135">
        <f t="shared" si="19"/>
        <v>0.68115782688006588</v>
      </c>
    </row>
    <row r="136" spans="1:13" ht="22">
      <c r="A136" s="2" t="s">
        <v>431</v>
      </c>
      <c r="B136" s="5" t="s">
        <v>994</v>
      </c>
      <c r="D136" s="4">
        <v>809</v>
      </c>
      <c r="E136" s="1">
        <v>1523</v>
      </c>
      <c r="F136" s="1">
        <v>21</v>
      </c>
      <c r="G136" s="1">
        <v>5691</v>
      </c>
      <c r="I136">
        <f t="shared" si="16"/>
        <v>1.2668045462443398</v>
      </c>
      <c r="J136">
        <f t="shared" si="17"/>
        <v>-1.0462543759999203</v>
      </c>
      <c r="K136">
        <f t="shared" si="18"/>
        <v>1.796168559081208</v>
      </c>
      <c r="M136">
        <f t="shared" si="19"/>
        <v>0.67223957644187582</v>
      </c>
    </row>
    <row r="137" spans="1:13" ht="22">
      <c r="A137" s="2" t="s">
        <v>343</v>
      </c>
      <c r="B137" s="5" t="s">
        <v>906</v>
      </c>
      <c r="D137" s="4">
        <v>894</v>
      </c>
      <c r="E137" s="1">
        <v>6468</v>
      </c>
      <c r="F137" s="1">
        <v>455</v>
      </c>
      <c r="G137" s="1">
        <v>81</v>
      </c>
      <c r="I137">
        <f t="shared" si="16"/>
        <v>1.8514856569590155</v>
      </c>
      <c r="J137">
        <f t="shared" si="17"/>
        <v>0.24614872873962768</v>
      </c>
      <c r="K137">
        <f t="shared" si="18"/>
        <v>-9.3924004832112606E-2</v>
      </c>
      <c r="M137">
        <f t="shared" si="19"/>
        <v>0.6679034602888434</v>
      </c>
    </row>
    <row r="138" spans="1:13" ht="22">
      <c r="A138" s="2" t="s">
        <v>127</v>
      </c>
      <c r="B138" s="5" t="s">
        <v>690</v>
      </c>
      <c r="D138" s="4">
        <v>833</v>
      </c>
      <c r="E138" s="1">
        <v>32</v>
      </c>
      <c r="F138" s="1">
        <v>4827</v>
      </c>
      <c r="G138" s="1">
        <v>1131</v>
      </c>
      <c r="I138">
        <f t="shared" si="16"/>
        <v>-0.42344185856631222</v>
      </c>
      <c r="J138">
        <f t="shared" si="17"/>
        <v>1.3025071482903372</v>
      </c>
      <c r="K138">
        <f t="shared" si="18"/>
        <v>1.081746098603823</v>
      </c>
      <c r="M138">
        <f t="shared" si="19"/>
        <v>0.65360379610928265</v>
      </c>
    </row>
    <row r="139" spans="1:13" ht="22">
      <c r="A139" s="2" t="s">
        <v>20</v>
      </c>
      <c r="B139" s="5" t="s">
        <v>583</v>
      </c>
      <c r="D139" s="4">
        <v>238</v>
      </c>
      <c r="E139" s="1">
        <v>10</v>
      </c>
      <c r="F139" s="1">
        <v>15184</v>
      </c>
      <c r="G139" s="1">
        <v>26</v>
      </c>
      <c r="I139">
        <f t="shared" si="16"/>
        <v>-0.38452379253594238</v>
      </c>
      <c r="J139">
        <f t="shared" si="17"/>
        <v>2.3442840889051384</v>
      </c>
      <c r="K139">
        <f t="shared" si="18"/>
        <v>-1.2675114000538668E-2</v>
      </c>
      <c r="M139">
        <f t="shared" si="19"/>
        <v>0.64902839412288582</v>
      </c>
    </row>
    <row r="140" spans="1:13" ht="22">
      <c r="A140" s="2" t="s">
        <v>483</v>
      </c>
      <c r="B140" s="5" t="s">
        <v>1046</v>
      </c>
      <c r="D140" s="4">
        <v>798</v>
      </c>
      <c r="E140" s="1">
        <v>368</v>
      </c>
      <c r="F140" s="1">
        <v>2171</v>
      </c>
      <c r="G140" s="1">
        <v>175</v>
      </c>
      <c r="I140">
        <f t="shared" si="16"/>
        <v>0.65589809184335768</v>
      </c>
      <c r="J140">
        <f t="shared" si="17"/>
        <v>0.97413178298212355</v>
      </c>
      <c r="K140">
        <f t="shared" si="18"/>
        <v>0.28996365242072031</v>
      </c>
      <c r="M140">
        <f t="shared" si="19"/>
        <v>0.63999784241540059</v>
      </c>
    </row>
    <row r="141" spans="1:13" ht="22">
      <c r="A141" s="2" t="s">
        <v>153</v>
      </c>
      <c r="B141" s="5" t="s">
        <v>716</v>
      </c>
      <c r="D141" s="4">
        <v>394</v>
      </c>
      <c r="E141" s="1">
        <v>280</v>
      </c>
      <c r="F141" s="1">
        <v>279</v>
      </c>
      <c r="G141" s="1">
        <v>196</v>
      </c>
      <c r="I141">
        <f t="shared" si="16"/>
        <v>0.84371497403721452</v>
      </c>
      <c r="J141">
        <f t="shared" si="17"/>
        <v>0.38958283232645635</v>
      </c>
      <c r="K141">
        <f t="shared" si="18"/>
        <v>0.64568834461605729</v>
      </c>
      <c r="M141">
        <f t="shared" si="19"/>
        <v>0.62632871699324266</v>
      </c>
    </row>
    <row r="142" spans="1:13" ht="22">
      <c r="A142" s="2" t="s">
        <v>365</v>
      </c>
      <c r="B142" s="5" t="s">
        <v>928</v>
      </c>
      <c r="D142" s="4">
        <v>1533</v>
      </c>
      <c r="E142" s="1">
        <v>4764</v>
      </c>
      <c r="F142" s="1">
        <v>2576</v>
      </c>
      <c r="G142" s="1">
        <v>64</v>
      </c>
      <c r="I142">
        <f t="shared" si="16"/>
        <v>1.4844827624769341</v>
      </c>
      <c r="J142">
        <f t="shared" si="17"/>
        <v>0.76487855471183219</v>
      </c>
      <c r="K142">
        <f t="shared" si="18"/>
        <v>-0.43043368578533281</v>
      </c>
      <c r="M142">
        <f t="shared" si="19"/>
        <v>0.60630921046781117</v>
      </c>
    </row>
    <row r="143" spans="1:13" ht="22">
      <c r="A143" s="2" t="s">
        <v>359</v>
      </c>
      <c r="B143" s="5" t="s">
        <v>922</v>
      </c>
      <c r="D143" s="4">
        <v>1242</v>
      </c>
      <c r="E143" s="1">
        <v>600</v>
      </c>
      <c r="F143" s="1">
        <v>665</v>
      </c>
      <c r="G143" s="1">
        <v>981</v>
      </c>
      <c r="I143">
        <f t="shared" si="16"/>
        <v>0.67608281906365164</v>
      </c>
      <c r="J143">
        <f t="shared" si="17"/>
        <v>0.26817490034097619</v>
      </c>
      <c r="K143">
        <f t="shared" si="18"/>
        <v>0.84647590662454242</v>
      </c>
      <c r="M143">
        <f t="shared" si="19"/>
        <v>0.59691120867639003</v>
      </c>
    </row>
    <row r="144" spans="1:13" ht="22">
      <c r="A144" s="2" t="s">
        <v>466</v>
      </c>
      <c r="B144" s="5" t="s">
        <v>1029</v>
      </c>
      <c r="D144" s="4">
        <v>1036</v>
      </c>
      <c r="E144" s="1">
        <v>624</v>
      </c>
      <c r="F144" s="1">
        <v>650</v>
      </c>
      <c r="G144" s="1">
        <v>497</v>
      </c>
      <c r="I144">
        <f t="shared" si="16"/>
        <v>0.77187799879377927</v>
      </c>
      <c r="J144">
        <f t="shared" si="17"/>
        <v>0.33702845211207427</v>
      </c>
      <c r="K144">
        <f t="shared" si="18"/>
        <v>0.62992512840927317</v>
      </c>
      <c r="M144">
        <f t="shared" si="19"/>
        <v>0.57961052643837563</v>
      </c>
    </row>
    <row r="145" spans="1:13" ht="22">
      <c r="A145" s="2" t="s">
        <v>159</v>
      </c>
      <c r="B145" s="5" t="s">
        <v>722</v>
      </c>
      <c r="D145" s="4">
        <v>1157</v>
      </c>
      <c r="E145" s="1">
        <v>454</v>
      </c>
      <c r="F145" s="1">
        <v>6269</v>
      </c>
      <c r="G145" s="1">
        <v>94</v>
      </c>
      <c r="I145">
        <f t="shared" si="16"/>
        <v>0.58577565842592383</v>
      </c>
      <c r="J145">
        <f t="shared" si="17"/>
        <v>1.2733397617656423</v>
      </c>
      <c r="K145">
        <f t="shared" si="18"/>
        <v>-0.14127701026689565</v>
      </c>
      <c r="M145">
        <f t="shared" si="19"/>
        <v>0.57261280330822351</v>
      </c>
    </row>
    <row r="146" spans="1:13" ht="22">
      <c r="A146" s="2" t="s">
        <v>75</v>
      </c>
      <c r="B146" s="5" t="s">
        <v>638</v>
      </c>
      <c r="D146" s="4">
        <v>883</v>
      </c>
      <c r="E146" s="1">
        <v>387</v>
      </c>
      <c r="F146" s="1">
        <v>4361</v>
      </c>
      <c r="G146" s="1">
        <v>66</v>
      </c>
      <c r="I146">
        <f t="shared" si="16"/>
        <v>0.6338034259619123</v>
      </c>
      <c r="J146">
        <f t="shared" si="17"/>
        <v>1.2331002339742909</v>
      </c>
      <c r="K146">
        <f t="shared" si="18"/>
        <v>-0.17748827295054448</v>
      </c>
      <c r="M146">
        <f t="shared" si="19"/>
        <v>0.56313846232855291</v>
      </c>
    </row>
    <row r="147" spans="1:13" ht="22">
      <c r="A147" s="2" t="s">
        <v>165</v>
      </c>
      <c r="B147" s="5" t="s">
        <v>728</v>
      </c>
      <c r="D147" s="4">
        <v>381</v>
      </c>
      <c r="E147" s="1">
        <v>1902</v>
      </c>
      <c r="F147" s="1">
        <v>18</v>
      </c>
      <c r="G147" s="1">
        <v>253</v>
      </c>
      <c r="I147">
        <f t="shared" si="16"/>
        <v>1.6903387014463451</v>
      </c>
      <c r="J147">
        <f t="shared" si="17"/>
        <v>-0.78617761969388023</v>
      </c>
      <c r="K147">
        <f t="shared" si="18"/>
        <v>0.77112404058535389</v>
      </c>
      <c r="M147">
        <f t="shared" si="19"/>
        <v>0.55842837411260626</v>
      </c>
    </row>
    <row r="148" spans="1:13" ht="22">
      <c r="A148" s="2" t="s">
        <v>465</v>
      </c>
      <c r="B148" s="5" t="s">
        <v>1028</v>
      </c>
      <c r="D148" s="4">
        <v>642</v>
      </c>
      <c r="E148" s="1">
        <v>123</v>
      </c>
      <c r="F148" s="1">
        <v>6876</v>
      </c>
      <c r="G148" s="1">
        <v>43</v>
      </c>
      <c r="I148">
        <f t="shared" si="16"/>
        <v>0.27442324789111405</v>
      </c>
      <c r="J148">
        <f t="shared" si="17"/>
        <v>1.5692756908245946</v>
      </c>
      <c r="K148">
        <f t="shared" si="18"/>
        <v>-0.2251380774041114</v>
      </c>
      <c r="M148">
        <f t="shared" si="19"/>
        <v>0.53952028710386568</v>
      </c>
    </row>
    <row r="149" spans="1:13" ht="22">
      <c r="A149" s="2" t="s">
        <v>540</v>
      </c>
      <c r="B149" s="5" t="s">
        <v>1103</v>
      </c>
      <c r="D149" s="4">
        <v>1689</v>
      </c>
      <c r="E149" s="1">
        <v>97872</v>
      </c>
      <c r="F149" s="1">
        <v>49</v>
      </c>
      <c r="G149" s="1">
        <v>138</v>
      </c>
      <c r="I149">
        <f t="shared" si="16"/>
        <v>2.7550819781032878</v>
      </c>
      <c r="J149">
        <f t="shared" si="17"/>
        <v>-0.99795871866406205</v>
      </c>
      <c r="K149">
        <f t="shared" si="18"/>
        <v>-0.13882206808461683</v>
      </c>
      <c r="M149">
        <f t="shared" si="19"/>
        <v>0.53943373045153631</v>
      </c>
    </row>
    <row r="150" spans="1:13" ht="22">
      <c r="A150" s="2" t="s">
        <v>222</v>
      </c>
      <c r="B150" s="5" t="s">
        <v>785</v>
      </c>
      <c r="D150" s="4">
        <v>725</v>
      </c>
      <c r="E150" s="1">
        <v>30467</v>
      </c>
      <c r="F150" s="1">
        <v>63</v>
      </c>
      <c r="G150" s="1">
        <v>24</v>
      </c>
      <c r="I150">
        <f t="shared" si="16"/>
        <v>2.6155448505185164</v>
      </c>
      <c r="J150">
        <f t="shared" si="17"/>
        <v>-0.52152260623897895</v>
      </c>
      <c r="K150">
        <f t="shared" si="18"/>
        <v>-0.53119826977423235</v>
      </c>
      <c r="M150">
        <f t="shared" si="19"/>
        <v>0.52094132483510169</v>
      </c>
    </row>
    <row r="151" spans="1:13" ht="22">
      <c r="A151" s="2" t="s">
        <v>342</v>
      </c>
      <c r="B151" s="5" t="s">
        <v>905</v>
      </c>
      <c r="D151" s="4">
        <v>458</v>
      </c>
      <c r="E151" s="1">
        <v>10562</v>
      </c>
      <c r="F151" s="1">
        <v>21</v>
      </c>
      <c r="G151" s="1">
        <v>48</v>
      </c>
      <c r="I151">
        <f t="shared" si="16"/>
        <v>2.3549338496691763</v>
      </c>
      <c r="J151">
        <f t="shared" si="17"/>
        <v>-0.79917133239151694</v>
      </c>
      <c r="K151">
        <f t="shared" si="18"/>
        <v>-3.0695745543126707E-2</v>
      </c>
      <c r="M151">
        <f t="shared" si="19"/>
        <v>0.50835559057817759</v>
      </c>
    </row>
    <row r="152" spans="1:13" ht="22">
      <c r="A152" s="2" t="s">
        <v>114</v>
      </c>
      <c r="B152" s="5" t="s">
        <v>677</v>
      </c>
      <c r="D152" s="4">
        <v>622</v>
      </c>
      <c r="E152" s="1">
        <v>188</v>
      </c>
      <c r="F152" s="1">
        <v>3433</v>
      </c>
      <c r="G152" s="1">
        <v>39</v>
      </c>
      <c r="I152">
        <f t="shared" si="16"/>
        <v>0.47242062909343063</v>
      </c>
      <c r="J152">
        <f t="shared" si="17"/>
        <v>1.2813582696133645</v>
      </c>
      <c r="K152">
        <f t="shared" si="18"/>
        <v>-0.25379728257916412</v>
      </c>
      <c r="M152">
        <f t="shared" si="19"/>
        <v>0.4999938720425437</v>
      </c>
    </row>
    <row r="153" spans="1:13" ht="22">
      <c r="A153" s="2" t="s">
        <v>302</v>
      </c>
      <c r="B153" s="5" t="s">
        <v>865</v>
      </c>
      <c r="D153" s="4">
        <v>189</v>
      </c>
      <c r="E153" s="1">
        <v>5</v>
      </c>
      <c r="F153" s="1">
        <v>12</v>
      </c>
      <c r="G153" s="1">
        <v>11766</v>
      </c>
      <c r="I153">
        <f t="shared" si="16"/>
        <v>-0.58543863531665585</v>
      </c>
      <c r="J153">
        <f t="shared" si="17"/>
        <v>-0.65780570724718646</v>
      </c>
      <c r="K153">
        <f t="shared" si="18"/>
        <v>2.7430955349633388</v>
      </c>
      <c r="M153">
        <f t="shared" si="19"/>
        <v>0.49995039746649877</v>
      </c>
    </row>
    <row r="154" spans="1:13" ht="22">
      <c r="A154" s="2" t="s">
        <v>130</v>
      </c>
      <c r="B154" s="5" t="s">
        <v>693</v>
      </c>
      <c r="D154" s="4">
        <v>248</v>
      </c>
      <c r="E154" s="1">
        <v>482</v>
      </c>
      <c r="F154" s="1">
        <v>270</v>
      </c>
      <c r="G154" s="1">
        <v>10</v>
      </c>
      <c r="I154">
        <f t="shared" si="16"/>
        <v>1.2806485219332027</v>
      </c>
      <c r="J154">
        <f t="shared" si="17"/>
        <v>0.57638693421120402</v>
      </c>
      <c r="K154">
        <f t="shared" si="18"/>
        <v>-0.44552318574106087</v>
      </c>
      <c r="M154">
        <f t="shared" si="19"/>
        <v>0.4705040901344486</v>
      </c>
    </row>
    <row r="155" spans="1:13" ht="22">
      <c r="A155" s="2" t="s">
        <v>504</v>
      </c>
      <c r="B155" s="5" t="s">
        <v>1067</v>
      </c>
      <c r="D155" s="4">
        <v>649</v>
      </c>
      <c r="E155" s="1">
        <v>2477</v>
      </c>
      <c r="F155" s="1">
        <v>191</v>
      </c>
      <c r="G155" s="1">
        <v>47</v>
      </c>
      <c r="I155">
        <f t="shared" si="16"/>
        <v>1.5737344743060371</v>
      </c>
      <c r="J155">
        <f t="shared" si="17"/>
        <v>8.2635213257912232E-3</v>
      </c>
      <c r="K155">
        <f t="shared" si="18"/>
        <v>-0.19121834377949654</v>
      </c>
      <c r="M155">
        <f t="shared" si="19"/>
        <v>0.46359321728411063</v>
      </c>
    </row>
    <row r="156" spans="1:13" ht="22">
      <c r="A156" s="2" t="s">
        <v>211</v>
      </c>
      <c r="B156" s="5" t="s">
        <v>774</v>
      </c>
      <c r="D156" s="4">
        <v>1067</v>
      </c>
      <c r="E156" s="1">
        <v>11893</v>
      </c>
      <c r="F156" s="1">
        <v>204</v>
      </c>
      <c r="G156" s="1">
        <v>40</v>
      </c>
      <c r="I156">
        <f t="shared" si="16"/>
        <v>2.039180163979402</v>
      </c>
      <c r="J156">
        <f t="shared" si="17"/>
        <v>-0.17905940112013818</v>
      </c>
      <c r="K156">
        <f t="shared" si="18"/>
        <v>-0.4771759330113523</v>
      </c>
      <c r="M156">
        <f t="shared" si="19"/>
        <v>0.46098160994930387</v>
      </c>
    </row>
    <row r="157" spans="1:13" ht="22">
      <c r="A157" s="2" t="s">
        <v>37</v>
      </c>
      <c r="B157" s="5" t="s">
        <v>600</v>
      </c>
      <c r="D157" s="4">
        <v>404</v>
      </c>
      <c r="E157" s="1">
        <v>14</v>
      </c>
      <c r="F157" s="1">
        <v>34</v>
      </c>
      <c r="G157" s="1">
        <v>9988</v>
      </c>
      <c r="I157">
        <f t="shared" si="16"/>
        <v>-0.4682001649117975</v>
      </c>
      <c r="J157">
        <f t="shared" si="17"/>
        <v>-0.53542759718991684</v>
      </c>
      <c r="K157">
        <f t="shared" si="18"/>
        <v>2.3420256636538603</v>
      </c>
      <c r="M157">
        <f t="shared" si="19"/>
        <v>0.44613263385071528</v>
      </c>
    </row>
    <row r="158" spans="1:13" ht="22">
      <c r="A158" s="2" t="s">
        <v>449</v>
      </c>
      <c r="B158" s="5" t="s">
        <v>1012</v>
      </c>
      <c r="D158" s="4">
        <v>166</v>
      </c>
      <c r="E158" s="1">
        <v>16</v>
      </c>
      <c r="F158" s="1">
        <v>23</v>
      </c>
      <c r="G158" s="1">
        <v>887</v>
      </c>
      <c r="I158">
        <f t="shared" si="16"/>
        <v>-2.3934940863560739E-2</v>
      </c>
      <c r="J158">
        <f t="shared" si="17"/>
        <v>-0.31890540114402932</v>
      </c>
      <c r="K158">
        <f t="shared" si="18"/>
        <v>1.6767440268768266</v>
      </c>
      <c r="M158">
        <f t="shared" si="19"/>
        <v>0.44463456162307885</v>
      </c>
    </row>
    <row r="159" spans="1:13" ht="22">
      <c r="A159" s="2" t="s">
        <v>215</v>
      </c>
      <c r="B159" s="5" t="s">
        <v>778</v>
      </c>
      <c r="D159" s="4">
        <v>435</v>
      </c>
      <c r="E159" s="1">
        <v>292</v>
      </c>
      <c r="F159" s="1">
        <v>4022</v>
      </c>
      <c r="G159" s="1">
        <v>5</v>
      </c>
      <c r="I159">
        <f t="shared" si="16"/>
        <v>0.81894675901435043</v>
      </c>
      <c r="J159">
        <f t="shared" si="17"/>
        <v>1.5054276601845187</v>
      </c>
      <c r="K159">
        <f t="shared" si="18"/>
        <v>-0.99059075753346315</v>
      </c>
      <c r="M159">
        <f t="shared" si="19"/>
        <v>0.44459455388846864</v>
      </c>
    </row>
    <row r="160" spans="1:13" ht="22">
      <c r="A160" s="2" t="s">
        <v>155</v>
      </c>
      <c r="B160" s="5" t="s">
        <v>718</v>
      </c>
      <c r="D160" s="4">
        <v>450</v>
      </c>
      <c r="E160" s="1">
        <v>675</v>
      </c>
      <c r="F160" s="1">
        <v>98</v>
      </c>
      <c r="G160" s="1">
        <v>96</v>
      </c>
      <c r="I160">
        <f t="shared" si="16"/>
        <v>1.1681444235762508</v>
      </c>
      <c r="J160">
        <f t="shared" si="17"/>
        <v>-0.12251158720441591</v>
      </c>
      <c r="K160">
        <f t="shared" si="18"/>
        <v>0.27798721434938012</v>
      </c>
      <c r="M160">
        <f t="shared" si="19"/>
        <v>0.44120668357373827</v>
      </c>
    </row>
    <row r="161" spans="1:13" ht="22">
      <c r="A161" s="2" t="s">
        <v>364</v>
      </c>
      <c r="B161" s="5" t="s">
        <v>927</v>
      </c>
      <c r="D161" s="4">
        <v>1129</v>
      </c>
      <c r="E161" s="1">
        <v>467</v>
      </c>
      <c r="F161" s="1">
        <v>2618</v>
      </c>
      <c r="G161" s="1">
        <v>81</v>
      </c>
      <c r="I161">
        <f t="shared" si="16"/>
        <v>0.60867610316171383</v>
      </c>
      <c r="J161">
        <f t="shared" si="17"/>
        <v>0.90475055116820213</v>
      </c>
      <c r="K161">
        <f t="shared" si="18"/>
        <v>-0.19528042796116285</v>
      </c>
      <c r="M161">
        <f t="shared" si="19"/>
        <v>0.43938207545625102</v>
      </c>
    </row>
    <row r="162" spans="1:13" ht="22">
      <c r="A162" s="2" t="s">
        <v>139</v>
      </c>
      <c r="B162" s="5" t="s">
        <v>702</v>
      </c>
      <c r="D162" s="4">
        <v>733</v>
      </c>
      <c r="E162" s="1">
        <v>74</v>
      </c>
      <c r="F162" s="1">
        <v>4273</v>
      </c>
      <c r="G162" s="1">
        <v>78</v>
      </c>
      <c r="I162">
        <f t="shared" si="16"/>
        <v>-3.8190903895822803E-3</v>
      </c>
      <c r="J162">
        <f t="shared" si="17"/>
        <v>1.3051037690545015</v>
      </c>
      <c r="K162">
        <f t="shared" si="18"/>
        <v>-2.4080876865492207E-2</v>
      </c>
      <c r="M162">
        <f t="shared" si="19"/>
        <v>0.425734600599809</v>
      </c>
    </row>
    <row r="163" spans="1:13" ht="22">
      <c r="A163" s="2" t="s">
        <v>358</v>
      </c>
      <c r="B163" s="5" t="s">
        <v>921</v>
      </c>
      <c r="D163" s="4">
        <v>1666</v>
      </c>
      <c r="E163" s="1">
        <v>6280</v>
      </c>
      <c r="F163" s="1">
        <v>591</v>
      </c>
      <c r="G163" s="1">
        <v>72</v>
      </c>
      <c r="I163">
        <f t="shared" si="16"/>
        <v>1.5683378111869968</v>
      </c>
      <c r="J163">
        <f t="shared" si="17"/>
        <v>8.9387334688919518E-2</v>
      </c>
      <c r="K163">
        <f t="shared" si="18"/>
        <v>-0.41541400555434493</v>
      </c>
      <c r="M163">
        <f t="shared" si="19"/>
        <v>0.41410371344052382</v>
      </c>
    </row>
    <row r="164" spans="1:13" ht="22">
      <c r="A164" s="2" t="s">
        <v>505</v>
      </c>
      <c r="B164" s="5" t="s">
        <v>1068</v>
      </c>
      <c r="D164" s="4">
        <v>1335</v>
      </c>
      <c r="E164" s="1">
        <v>602</v>
      </c>
      <c r="F164" s="1">
        <v>4219</v>
      </c>
      <c r="G164" s="1">
        <v>54</v>
      </c>
      <c r="I164">
        <f t="shared" si="16"/>
        <v>0.64616839007780003</v>
      </c>
      <c r="J164">
        <f t="shared" si="17"/>
        <v>1.0392031105597199</v>
      </c>
      <c r="K164">
        <f t="shared" si="18"/>
        <v>-0.44415901079247022</v>
      </c>
      <c r="M164">
        <f t="shared" si="19"/>
        <v>0.41373749661501652</v>
      </c>
    </row>
    <row r="165" spans="1:13" ht="22">
      <c r="A165" s="2" t="s">
        <v>80</v>
      </c>
      <c r="B165" s="5" t="s">
        <v>643</v>
      </c>
      <c r="D165" s="4">
        <v>317</v>
      </c>
      <c r="E165" s="1">
        <v>774</v>
      </c>
      <c r="F165" s="1">
        <v>154</v>
      </c>
      <c r="G165" s="1">
        <v>13</v>
      </c>
      <c r="I165">
        <f t="shared" si="16"/>
        <v>1.3797348629857105</v>
      </c>
      <c r="J165">
        <f t="shared" si="17"/>
        <v>0.22593630949714449</v>
      </c>
      <c r="K165">
        <f t="shared" si="18"/>
        <v>-0.4381874148257594</v>
      </c>
      <c r="M165">
        <f t="shared" si="19"/>
        <v>0.38916125255236517</v>
      </c>
    </row>
    <row r="166" spans="1:13" ht="22">
      <c r="A166" s="2" t="s">
        <v>148</v>
      </c>
      <c r="B166" s="5" t="s">
        <v>711</v>
      </c>
      <c r="D166" s="4">
        <v>801</v>
      </c>
      <c r="E166" s="1">
        <v>1091</v>
      </c>
      <c r="F166" s="1">
        <v>76</v>
      </c>
      <c r="G166" s="1">
        <v>299</v>
      </c>
      <c r="I166">
        <f t="shared" si="16"/>
        <v>1.1262453990246737</v>
      </c>
      <c r="J166">
        <f t="shared" si="17"/>
        <v>-0.48334407292501347</v>
      </c>
      <c r="K166">
        <f t="shared" si="18"/>
        <v>0.52096716732534731</v>
      </c>
      <c r="M166">
        <f t="shared" si="19"/>
        <v>0.38795616447500247</v>
      </c>
    </row>
    <row r="167" spans="1:13" ht="22">
      <c r="A167" s="2" t="s">
        <v>0</v>
      </c>
      <c r="B167" s="5" t="s">
        <v>563</v>
      </c>
      <c r="D167" s="4">
        <v>210</v>
      </c>
      <c r="E167" s="1">
        <v>13</v>
      </c>
      <c r="F167" s="1">
        <v>1472</v>
      </c>
      <c r="G167" s="1">
        <v>22</v>
      </c>
      <c r="I167">
        <f t="shared" si="16"/>
        <v>-0.21622277790651312</v>
      </c>
      <c r="J167">
        <f t="shared" si="17"/>
        <v>1.3851633661459937</v>
      </c>
      <c r="K167">
        <f t="shared" si="18"/>
        <v>-3.0868118826557711E-2</v>
      </c>
      <c r="M167">
        <f t="shared" si="19"/>
        <v>0.37935748980430767</v>
      </c>
    </row>
    <row r="168" spans="1:13" ht="22">
      <c r="A168" s="2" t="s">
        <v>435</v>
      </c>
      <c r="B168" s="5" t="s">
        <v>998</v>
      </c>
      <c r="D168" s="4">
        <v>535</v>
      </c>
      <c r="E168" s="1">
        <v>31</v>
      </c>
      <c r="F168" s="1">
        <v>54</v>
      </c>
      <c r="G168" s="1">
        <v>4108</v>
      </c>
      <c r="I168">
        <f t="shared" si="16"/>
        <v>-0.24493892366638637</v>
      </c>
      <c r="J168">
        <f t="shared" si="17"/>
        <v>-0.45648517131982702</v>
      </c>
      <c r="K168">
        <f t="shared" si="18"/>
        <v>1.8342051479891675</v>
      </c>
      <c r="M168">
        <f t="shared" si="19"/>
        <v>0.377593684334318</v>
      </c>
    </row>
    <row r="169" spans="1:13" ht="22">
      <c r="A169" s="2" t="s">
        <v>135</v>
      </c>
      <c r="B169" s="5" t="s">
        <v>698</v>
      </c>
      <c r="D169" s="4">
        <v>551</v>
      </c>
      <c r="E169" s="1">
        <v>30</v>
      </c>
      <c r="F169" s="1">
        <v>2581</v>
      </c>
      <c r="G169" s="1">
        <v>94</v>
      </c>
      <c r="I169">
        <f t="shared" si="16"/>
        <v>-0.2719771796115531</v>
      </c>
      <c r="J169">
        <f t="shared" si="17"/>
        <v>1.2101112565705168</v>
      </c>
      <c r="K169">
        <f t="shared" si="18"/>
        <v>0.18090474983306892</v>
      </c>
      <c r="M169">
        <f t="shared" si="19"/>
        <v>0.37301294226401088</v>
      </c>
    </row>
    <row r="170" spans="1:13" ht="22">
      <c r="A170" s="2" t="s">
        <v>366</v>
      </c>
      <c r="B170" s="5" t="s">
        <v>929</v>
      </c>
      <c r="D170" s="4">
        <v>523</v>
      </c>
      <c r="E170" s="1">
        <v>121</v>
      </c>
      <c r="F170" s="1">
        <v>540</v>
      </c>
      <c r="G170" s="1">
        <v>90</v>
      </c>
      <c r="I170">
        <f t="shared" si="16"/>
        <v>0.35633684596974535</v>
      </c>
      <c r="J170">
        <f t="shared" si="17"/>
        <v>0.55336692183412717</v>
      </c>
      <c r="K170">
        <f t="shared" si="18"/>
        <v>0.1846693156572059</v>
      </c>
      <c r="M170">
        <f t="shared" si="19"/>
        <v>0.36479102782035949</v>
      </c>
    </row>
    <row r="171" spans="1:13" ht="22">
      <c r="A171" s="2" t="s">
        <v>44</v>
      </c>
      <c r="B171" s="5" t="s">
        <v>607</v>
      </c>
      <c r="D171" s="4">
        <v>380</v>
      </c>
      <c r="E171" s="1">
        <v>19</v>
      </c>
      <c r="F171" s="1">
        <v>4173</v>
      </c>
      <c r="G171" s="1">
        <v>28</v>
      </c>
      <c r="I171">
        <f t="shared" si="16"/>
        <v>-0.30897683114341179</v>
      </c>
      <c r="J171">
        <f t="shared" si="17"/>
        <v>1.5801396389733315</v>
      </c>
      <c r="K171">
        <f t="shared" si="18"/>
        <v>-0.1836970701894356</v>
      </c>
      <c r="M171">
        <f t="shared" si="19"/>
        <v>0.3624885792134947</v>
      </c>
    </row>
    <row r="172" spans="1:13" ht="22">
      <c r="A172" s="2" t="s">
        <v>516</v>
      </c>
      <c r="B172" s="5" t="s">
        <v>1079</v>
      </c>
      <c r="D172" s="4">
        <v>605</v>
      </c>
      <c r="E172" s="1">
        <v>41</v>
      </c>
      <c r="F172" s="1">
        <v>889</v>
      </c>
      <c r="G172" s="1">
        <v>242</v>
      </c>
      <c r="I172">
        <f t="shared" si="16"/>
        <v>-0.17691835341216389</v>
      </c>
      <c r="J172">
        <f t="shared" si="17"/>
        <v>0.70662123719617775</v>
      </c>
      <c r="K172">
        <f t="shared" si="18"/>
        <v>0.55098848641311771</v>
      </c>
      <c r="M172">
        <f t="shared" si="19"/>
        <v>0.36023045673237714</v>
      </c>
    </row>
    <row r="173" spans="1:13" ht="22">
      <c r="A173" s="2" t="s">
        <v>87</v>
      </c>
      <c r="B173" s="5" t="s">
        <v>650</v>
      </c>
      <c r="D173" s="4">
        <v>461</v>
      </c>
      <c r="E173" s="1">
        <v>44</v>
      </c>
      <c r="F173" s="1">
        <v>23</v>
      </c>
      <c r="G173" s="1">
        <v>3811</v>
      </c>
      <c r="I173">
        <f t="shared" si="16"/>
        <v>-2.8195084382891311E-2</v>
      </c>
      <c r="J173">
        <f t="shared" si="17"/>
        <v>-0.76249823849362242</v>
      </c>
      <c r="K173">
        <f t="shared" si="18"/>
        <v>1.8662665184676746</v>
      </c>
      <c r="M173">
        <f t="shared" si="19"/>
        <v>0.35852439853038698</v>
      </c>
    </row>
    <row r="174" spans="1:13" ht="22">
      <c r="A174" s="2" t="s">
        <v>171</v>
      </c>
      <c r="B174" s="5" t="s">
        <v>734</v>
      </c>
      <c r="D174" s="4">
        <v>1007</v>
      </c>
      <c r="E174" s="1">
        <v>3891</v>
      </c>
      <c r="F174" s="1">
        <v>442</v>
      </c>
      <c r="G174" s="1">
        <v>22</v>
      </c>
      <c r="I174">
        <f t="shared" si="16"/>
        <v>1.579084924770694</v>
      </c>
      <c r="J174">
        <f t="shared" si="17"/>
        <v>0.18186764967390684</v>
      </c>
      <c r="K174">
        <f t="shared" si="18"/>
        <v>-0.71167829464625654</v>
      </c>
      <c r="M174">
        <f t="shared" si="19"/>
        <v>0.34975809326611479</v>
      </c>
    </row>
    <row r="175" spans="1:13" ht="22">
      <c r="A175" s="2" t="s">
        <v>176</v>
      </c>
      <c r="B175" s="5" t="s">
        <v>739</v>
      </c>
      <c r="D175" s="4">
        <v>1223</v>
      </c>
      <c r="E175" s="1">
        <v>16940</v>
      </c>
      <c r="F175" s="1">
        <v>58</v>
      </c>
      <c r="G175" s="1">
        <v>67</v>
      </c>
      <c r="I175">
        <f t="shared" si="16"/>
        <v>2.133540113478972</v>
      </c>
      <c r="J175">
        <f t="shared" si="17"/>
        <v>-0.78452361259491521</v>
      </c>
      <c r="K175">
        <f t="shared" si="18"/>
        <v>-0.31242315925030373</v>
      </c>
      <c r="M175">
        <f t="shared" si="19"/>
        <v>0.34553111387791763</v>
      </c>
    </row>
    <row r="176" spans="1:13" ht="22">
      <c r="A176" s="2" t="s">
        <v>93</v>
      </c>
      <c r="B176" s="5" t="s">
        <v>656</v>
      </c>
      <c r="D176" s="4">
        <v>935</v>
      </c>
      <c r="E176" s="1">
        <v>4274</v>
      </c>
      <c r="F176" s="1">
        <v>86</v>
      </c>
      <c r="G176" s="1">
        <v>79</v>
      </c>
      <c r="I176">
        <f t="shared" si="16"/>
        <v>1.6520760714761025</v>
      </c>
      <c r="J176">
        <f t="shared" si="17"/>
        <v>-0.49683830875051715</v>
      </c>
      <c r="K176">
        <f t="shared" si="18"/>
        <v>-0.12425602449692108</v>
      </c>
      <c r="M176">
        <f t="shared" si="19"/>
        <v>0.3436605794095548</v>
      </c>
    </row>
    <row r="177" spans="1:13" ht="22">
      <c r="A177" s="2" t="s">
        <v>174</v>
      </c>
      <c r="B177" s="5" t="s">
        <v>737</v>
      </c>
      <c r="D177" s="4">
        <v>1019</v>
      </c>
      <c r="E177" s="1">
        <v>5943</v>
      </c>
      <c r="F177" s="1">
        <v>58</v>
      </c>
      <c r="G177" s="1">
        <v>107</v>
      </c>
      <c r="I177">
        <f t="shared" si="16"/>
        <v>1.7578847107723528</v>
      </c>
      <c r="J177">
        <f t="shared" si="17"/>
        <v>-0.70527133956505617</v>
      </c>
      <c r="K177">
        <f t="shared" si="18"/>
        <v>-2.9861911236061411E-2</v>
      </c>
      <c r="M177">
        <f t="shared" si="19"/>
        <v>0.340917153323745</v>
      </c>
    </row>
    <row r="178" spans="1:13" ht="22">
      <c r="A178" s="2" t="s">
        <v>88</v>
      </c>
      <c r="B178" s="5" t="s">
        <v>651</v>
      </c>
      <c r="D178" s="4">
        <v>594</v>
      </c>
      <c r="E178" s="1">
        <v>618</v>
      </c>
      <c r="F178" s="1">
        <v>281</v>
      </c>
      <c r="G178" s="1">
        <v>42</v>
      </c>
      <c r="I178">
        <f t="shared" ref="I178:I241" si="20">LOG(E178/D178)-LOG(182/1787)</f>
        <v>1.0092551946281918</v>
      </c>
      <c r="J178">
        <f t="shared" ref="J178:J241" si="21">LOG(F178/D178)-LOG(516/1787)</f>
        <v>0.21439472580231927</v>
      </c>
      <c r="K178">
        <f t="shared" ref="K178:K241" si="22">LOG(G178/D178)-LOG(201/1787)</f>
        <v>-0.20160865949813789</v>
      </c>
      <c r="M178">
        <f t="shared" ref="M178:M241" si="23">AVERAGE(I178:K178)</f>
        <v>0.3406804203107911</v>
      </c>
    </row>
    <row r="179" spans="1:13" ht="22">
      <c r="A179" s="2" t="s">
        <v>164</v>
      </c>
      <c r="B179" s="5" t="s">
        <v>727</v>
      </c>
      <c r="D179" s="4">
        <v>427</v>
      </c>
      <c r="E179" s="1">
        <v>68</v>
      </c>
      <c r="F179" s="1">
        <v>1069</v>
      </c>
      <c r="G179" s="1">
        <v>33</v>
      </c>
      <c r="I179">
        <f t="shared" si="20"/>
        <v>0.1941342022017819</v>
      </c>
      <c r="J179">
        <f t="shared" si="21"/>
        <v>0.93802468106218706</v>
      </c>
      <c r="K179">
        <f t="shared" si="22"/>
        <v>-0.16298544006198101</v>
      </c>
      <c r="M179">
        <f t="shared" si="23"/>
        <v>0.32305781440066267</v>
      </c>
    </row>
    <row r="180" spans="1:13" ht="22">
      <c r="A180" s="2" t="s">
        <v>70</v>
      </c>
      <c r="B180" s="5" t="s">
        <v>633</v>
      </c>
      <c r="D180" s="4">
        <v>594</v>
      </c>
      <c r="E180" s="1">
        <v>98</v>
      </c>
      <c r="F180" s="1">
        <v>34</v>
      </c>
      <c r="G180" s="1">
        <v>1887</v>
      </c>
      <c r="I180">
        <f t="shared" si="20"/>
        <v>0.20949279523187081</v>
      </c>
      <c r="J180">
        <f t="shared" si="21"/>
        <v>-0.70283267706050545</v>
      </c>
      <c r="K180">
        <f t="shared" si="22"/>
        <v>1.4509139502688932</v>
      </c>
      <c r="M180">
        <f t="shared" si="23"/>
        <v>0.31919135614675287</v>
      </c>
    </row>
    <row r="181" spans="1:13" ht="22">
      <c r="A181" s="2" t="s">
        <v>149</v>
      </c>
      <c r="B181" s="5" t="s">
        <v>712</v>
      </c>
      <c r="D181" s="4">
        <v>541</v>
      </c>
      <c r="E181" s="1">
        <v>212</v>
      </c>
      <c r="F181" s="1">
        <v>78</v>
      </c>
      <c r="G181" s="1">
        <v>279</v>
      </c>
      <c r="I181">
        <f t="shared" si="20"/>
        <v>0.58519176034275144</v>
      </c>
      <c r="J181">
        <f t="shared" si="21"/>
        <v>-0.30162781153765617</v>
      </c>
      <c r="K181">
        <f t="shared" si="22"/>
        <v>0.66133543325218347</v>
      </c>
      <c r="M181">
        <f t="shared" si="23"/>
        <v>0.31496646068575956</v>
      </c>
    </row>
    <row r="182" spans="1:13" ht="22">
      <c r="A182" s="2" t="s">
        <v>156</v>
      </c>
      <c r="B182" s="5" t="s">
        <v>719</v>
      </c>
      <c r="D182" s="4">
        <v>927</v>
      </c>
      <c r="E182" s="1">
        <v>782</v>
      </c>
      <c r="F182" s="1">
        <v>289</v>
      </c>
      <c r="G182" s="1">
        <v>95</v>
      </c>
      <c r="I182">
        <f t="shared" si="20"/>
        <v>0.91818018343592045</v>
      </c>
      <c r="J182">
        <f t="shared" si="21"/>
        <v>3.329295949048372E-2</v>
      </c>
      <c r="K182">
        <f t="shared" si="22"/>
        <v>-4.0427633770494076E-2</v>
      </c>
      <c r="M182">
        <f t="shared" si="23"/>
        <v>0.30368183638530338</v>
      </c>
    </row>
    <row r="183" spans="1:13" ht="22">
      <c r="A183" s="2" t="s">
        <v>481</v>
      </c>
      <c r="B183" s="5" t="s">
        <v>1044</v>
      </c>
      <c r="D183" s="4">
        <v>1109</v>
      </c>
      <c r="E183" s="1">
        <v>199</v>
      </c>
      <c r="F183" s="1">
        <v>47</v>
      </c>
      <c r="G183" s="1">
        <v>3887</v>
      </c>
      <c r="I183">
        <f t="shared" si="20"/>
        <v>0.245974694781116</v>
      </c>
      <c r="J183">
        <f t="shared" si="21"/>
        <v>-0.83335883733500971</v>
      </c>
      <c r="K183">
        <f t="shared" si="22"/>
        <v>1.4936114895672616</v>
      </c>
      <c r="M183">
        <f t="shared" si="23"/>
        <v>0.30207578233778931</v>
      </c>
    </row>
    <row r="184" spans="1:13" ht="22">
      <c r="A184" s="2" t="s">
        <v>536</v>
      </c>
      <c r="B184" s="5" t="s">
        <v>1099</v>
      </c>
      <c r="D184" s="4">
        <v>867</v>
      </c>
      <c r="E184" s="1">
        <v>3399</v>
      </c>
      <c r="F184" s="1">
        <v>46</v>
      </c>
      <c r="G184" s="1">
        <v>109</v>
      </c>
      <c r="I184">
        <f t="shared" si="20"/>
        <v>1.5853852316274188</v>
      </c>
      <c r="J184">
        <f t="shared" si="21"/>
        <v>-0.73578641491620334</v>
      </c>
      <c r="K184">
        <f t="shared" si="22"/>
        <v>4.833589554956863E-2</v>
      </c>
      <c r="M184">
        <f t="shared" si="23"/>
        <v>0.29931157075359471</v>
      </c>
    </row>
    <row r="185" spans="1:13" ht="22">
      <c r="A185" s="2" t="s">
        <v>517</v>
      </c>
      <c r="B185" s="5" t="s">
        <v>1080</v>
      </c>
      <c r="D185" s="4">
        <v>1022</v>
      </c>
      <c r="E185" s="1">
        <v>39</v>
      </c>
      <c r="F185" s="1">
        <v>7248</v>
      </c>
      <c r="G185" s="1">
        <v>94</v>
      </c>
      <c r="I185">
        <f t="shared" si="20"/>
        <v>-0.42633312425162528</v>
      </c>
      <c r="J185">
        <f t="shared" si="21"/>
        <v>1.3902421397484956</v>
      </c>
      <c r="K185">
        <f t="shared" si="22"/>
        <v>-8.7394547113839982E-2</v>
      </c>
      <c r="M185">
        <f t="shared" si="23"/>
        <v>0.29217148946101013</v>
      </c>
    </row>
    <row r="186" spans="1:13" ht="22">
      <c r="A186" s="2" t="s">
        <v>507</v>
      </c>
      <c r="B186" s="5" t="s">
        <v>1070</v>
      </c>
      <c r="D186" s="4">
        <v>425</v>
      </c>
      <c r="E186" s="1">
        <v>1105</v>
      </c>
      <c r="F186" s="1">
        <v>19</v>
      </c>
      <c r="G186" s="1">
        <v>85</v>
      </c>
      <c r="I186">
        <f t="shared" si="20"/>
        <v>1.4070265124913874</v>
      </c>
      <c r="J186">
        <f t="shared" si="21"/>
        <v>-0.81016047821904957</v>
      </c>
      <c r="K186">
        <f t="shared" si="22"/>
        <v>0.24995849074913656</v>
      </c>
      <c r="M186">
        <f t="shared" si="23"/>
        <v>0.28227484167382483</v>
      </c>
    </row>
    <row r="187" spans="1:13" ht="22">
      <c r="A187" s="2" t="s">
        <v>439</v>
      </c>
      <c r="B187" s="5" t="s">
        <v>1002</v>
      </c>
      <c r="D187" s="4">
        <v>1253</v>
      </c>
      <c r="E187" s="1">
        <v>71</v>
      </c>
      <c r="F187" s="1">
        <v>9141</v>
      </c>
      <c r="G187" s="1">
        <v>70</v>
      </c>
      <c r="I187">
        <f t="shared" si="20"/>
        <v>-0.25463955775450531</v>
      </c>
      <c r="J187">
        <f t="shared" si="21"/>
        <v>1.402517488826619</v>
      </c>
      <c r="K187">
        <f t="shared" si="22"/>
        <v>-0.30392453589473778</v>
      </c>
      <c r="M187">
        <f t="shared" si="23"/>
        <v>0.28131779839245863</v>
      </c>
    </row>
    <row r="188" spans="1:13" ht="22">
      <c r="A188" s="2" t="s">
        <v>28</v>
      </c>
      <c r="B188" s="5" t="s">
        <v>591</v>
      </c>
      <c r="D188" s="4">
        <v>308</v>
      </c>
      <c r="E188" s="1">
        <v>496</v>
      </c>
      <c r="F188" s="1">
        <v>15</v>
      </c>
      <c r="G188" s="1">
        <v>90</v>
      </c>
      <c r="I188">
        <f t="shared" si="20"/>
        <v>1.1989841245103228</v>
      </c>
      <c r="J188">
        <f t="shared" si="21"/>
        <v>-0.77298460656633006</v>
      </c>
      <c r="K188">
        <f t="shared" si="22"/>
        <v>0.41462028802403594</v>
      </c>
      <c r="M188">
        <f t="shared" si="23"/>
        <v>0.28020660198934288</v>
      </c>
    </row>
    <row r="189" spans="1:13" ht="22">
      <c r="A189" s="2" t="s">
        <v>172</v>
      </c>
      <c r="B189" s="5" t="s">
        <v>735</v>
      </c>
      <c r="D189" s="4">
        <v>485</v>
      </c>
      <c r="E189" s="1">
        <v>40</v>
      </c>
      <c r="F189" s="1">
        <v>1134</v>
      </c>
      <c r="G189" s="1">
        <v>54</v>
      </c>
      <c r="I189">
        <f t="shared" si="20"/>
        <v>-9.1628582753731758E-2</v>
      </c>
      <c r="J189">
        <f t="shared" si="21"/>
        <v>0.90834616683305702</v>
      </c>
      <c r="K189">
        <f t="shared" si="22"/>
        <v>-4.419483694139803E-3</v>
      </c>
      <c r="M189">
        <f t="shared" si="23"/>
        <v>0.27076603346172851</v>
      </c>
    </row>
    <row r="190" spans="1:13" ht="22">
      <c r="A190" s="2" t="s">
        <v>486</v>
      </c>
      <c r="B190" s="5" t="s">
        <v>1049</v>
      </c>
      <c r="D190" s="4">
        <v>697</v>
      </c>
      <c r="E190" s="1">
        <v>14823</v>
      </c>
      <c r="F190" s="1">
        <v>22</v>
      </c>
      <c r="G190" s="1">
        <v>21</v>
      </c>
      <c r="I190">
        <f t="shared" si="20"/>
        <v>2.3197564950316392</v>
      </c>
      <c r="J190">
        <f t="shared" si="21"/>
        <v>-0.96133524639737022</v>
      </c>
      <c r="K190">
        <f t="shared" si="22"/>
        <v>-0.57208498827893495</v>
      </c>
      <c r="M190">
        <f t="shared" si="23"/>
        <v>0.26211208678511139</v>
      </c>
    </row>
    <row r="191" spans="1:13" ht="22">
      <c r="A191" s="2" t="s">
        <v>494</v>
      </c>
      <c r="B191" s="5" t="s">
        <v>1057</v>
      </c>
      <c r="D191" s="4">
        <v>1305</v>
      </c>
      <c r="E191" s="1">
        <v>57</v>
      </c>
      <c r="F191" s="1">
        <v>106</v>
      </c>
      <c r="G191" s="1">
        <v>7247</v>
      </c>
      <c r="I191">
        <f t="shared" si="20"/>
        <v>-0.36768249148123888</v>
      </c>
      <c r="J191">
        <f t="shared" si="21"/>
        <v>-0.55082979553109668</v>
      </c>
      <c r="K191">
        <f t="shared" si="22"/>
        <v>1.6934762447291338</v>
      </c>
      <c r="M191">
        <f t="shared" si="23"/>
        <v>0.25832131923893276</v>
      </c>
    </row>
    <row r="192" spans="1:13" ht="22">
      <c r="A192" s="2" t="s">
        <v>184</v>
      </c>
      <c r="B192" s="5" t="s">
        <v>747</v>
      </c>
      <c r="D192" s="4">
        <v>337</v>
      </c>
      <c r="E192" s="1">
        <v>1934</v>
      </c>
      <c r="F192" s="1">
        <v>7</v>
      </c>
      <c r="G192" s="1">
        <v>54</v>
      </c>
      <c r="I192">
        <f t="shared" si="20"/>
        <v>1.7508797333962138</v>
      </c>
      <c r="J192">
        <f t="shared" si="21"/>
        <v>-1.1430570099786488</v>
      </c>
      <c r="K192">
        <f t="shared" si="22"/>
        <v>0.15369235403678516</v>
      </c>
      <c r="M192">
        <f t="shared" si="23"/>
        <v>0.25383835915145009</v>
      </c>
    </row>
    <row r="193" spans="1:13" ht="22">
      <c r="A193" s="2" t="s">
        <v>387</v>
      </c>
      <c r="B193" s="5" t="s">
        <v>950</v>
      </c>
      <c r="D193" s="4">
        <v>793</v>
      </c>
      <c r="E193" s="1">
        <v>30</v>
      </c>
      <c r="F193" s="1">
        <v>3761</v>
      </c>
      <c r="G193" s="1">
        <v>77</v>
      </c>
      <c r="I193">
        <f t="shared" si="20"/>
        <v>-0.43009876807737202</v>
      </c>
      <c r="J193">
        <f t="shared" si="21"/>
        <v>1.2155049969832281</v>
      </c>
      <c r="K193">
        <f t="shared" si="22"/>
        <v>-6.385396705996671E-2</v>
      </c>
      <c r="M193">
        <f t="shared" si="23"/>
        <v>0.24051742061529646</v>
      </c>
    </row>
    <row r="194" spans="1:13" ht="22">
      <c r="A194" s="2" t="s">
        <v>166</v>
      </c>
      <c r="B194" s="5" t="s">
        <v>729</v>
      </c>
      <c r="D194" s="4">
        <v>635</v>
      </c>
      <c r="E194" s="1">
        <v>359</v>
      </c>
      <c r="F194" s="1">
        <v>123</v>
      </c>
      <c r="G194" s="1">
        <v>98</v>
      </c>
      <c r="I194">
        <f t="shared" si="20"/>
        <v>0.74437388780691294</v>
      </c>
      <c r="J194">
        <f t="shared" si="21"/>
        <v>-0.17339376297414477</v>
      </c>
      <c r="K194">
        <f t="shared" si="22"/>
        <v>0.13738084548567453</v>
      </c>
      <c r="M194">
        <f t="shared" si="23"/>
        <v>0.23612032343948089</v>
      </c>
    </row>
    <row r="195" spans="1:13" ht="22">
      <c r="A195" s="2" t="s">
        <v>230</v>
      </c>
      <c r="B195" s="5" t="s">
        <v>793</v>
      </c>
      <c r="D195" s="4">
        <v>924</v>
      </c>
      <c r="E195" s="1">
        <v>23</v>
      </c>
      <c r="F195" s="1">
        <v>33</v>
      </c>
      <c r="G195" s="1">
        <v>17288</v>
      </c>
      <c r="I195">
        <f t="shared" si="20"/>
        <v>-0.61189097068194442</v>
      </c>
      <c r="J195">
        <f t="shared" si="21"/>
        <v>-0.90768318046378627</v>
      </c>
      <c r="K195">
        <f t="shared" si="22"/>
        <v>2.2210012777402337</v>
      </c>
      <c r="M195">
        <f t="shared" si="23"/>
        <v>0.2338090421981677</v>
      </c>
    </row>
    <row r="196" spans="1:13" ht="22">
      <c r="A196" s="2" t="s">
        <v>14</v>
      </c>
      <c r="B196" s="5" t="s">
        <v>577</v>
      </c>
      <c r="D196" s="4">
        <v>415</v>
      </c>
      <c r="E196" s="1">
        <v>131</v>
      </c>
      <c r="F196" s="1">
        <v>643</v>
      </c>
      <c r="G196" s="1">
        <v>14</v>
      </c>
      <c r="I196">
        <f t="shared" si="20"/>
        <v>0.49127636346424097</v>
      </c>
      <c r="J196">
        <f t="shared" si="21"/>
        <v>0.72963772709056229</v>
      </c>
      <c r="K196">
        <f t="shared" si="22"/>
        <v>-0.52299156594869944</v>
      </c>
      <c r="M196">
        <f t="shared" si="23"/>
        <v>0.23264084153536793</v>
      </c>
    </row>
    <row r="197" spans="1:13" ht="22">
      <c r="A197" s="2" t="s">
        <v>369</v>
      </c>
      <c r="B197" s="5" t="s">
        <v>932</v>
      </c>
      <c r="D197" s="4">
        <v>706</v>
      </c>
      <c r="E197" s="1">
        <v>19</v>
      </c>
      <c r="F197" s="1">
        <v>33</v>
      </c>
      <c r="G197" s="1">
        <v>8874</v>
      </c>
      <c r="I197">
        <f t="shared" si="20"/>
        <v>-0.57799793557840529</v>
      </c>
      <c r="J197">
        <f t="shared" si="21"/>
        <v>-0.79081591029548337</v>
      </c>
      <c r="K197">
        <f t="shared" si="22"/>
        <v>2.0482432184138877</v>
      </c>
      <c r="M197">
        <f t="shared" si="23"/>
        <v>0.22647645751333303</v>
      </c>
    </row>
    <row r="198" spans="1:13" ht="22">
      <c r="A198" s="2" t="s">
        <v>224</v>
      </c>
      <c r="B198" s="5" t="s">
        <v>787</v>
      </c>
      <c r="D198" s="4">
        <v>667</v>
      </c>
      <c r="E198" s="1">
        <v>1014</v>
      </c>
      <c r="F198" s="1">
        <v>27</v>
      </c>
      <c r="G198" s="1">
        <v>156</v>
      </c>
      <c r="I198">
        <f t="shared" si="20"/>
        <v>1.1739652856013376</v>
      </c>
      <c r="J198">
        <f t="shared" si="21"/>
        <v>-0.85328721887912884</v>
      </c>
      <c r="K198">
        <f t="shared" si="22"/>
        <v>0.317927259523068</v>
      </c>
      <c r="M198">
        <f t="shared" si="23"/>
        <v>0.21286844208175892</v>
      </c>
    </row>
    <row r="199" spans="1:13" ht="22">
      <c r="A199" s="2" t="s">
        <v>377</v>
      </c>
      <c r="B199" s="5" t="s">
        <v>940</v>
      </c>
      <c r="D199" s="4">
        <v>1206</v>
      </c>
      <c r="E199" s="1">
        <v>73</v>
      </c>
      <c r="F199" s="1">
        <v>3708</v>
      </c>
      <c r="G199" s="1">
        <v>93</v>
      </c>
      <c r="I199">
        <f t="shared" si="20"/>
        <v>-0.22597128316310711</v>
      </c>
      <c r="J199">
        <f t="shared" si="21"/>
        <v>1.0272672685467599</v>
      </c>
      <c r="K199">
        <f t="shared" si="22"/>
        <v>-0.16393586416504213</v>
      </c>
      <c r="M199">
        <f t="shared" si="23"/>
        <v>0.21245337373953688</v>
      </c>
    </row>
    <row r="200" spans="1:13" ht="22">
      <c r="A200" s="2" t="s">
        <v>168</v>
      </c>
      <c r="B200" s="5" t="s">
        <v>731</v>
      </c>
      <c r="D200" s="4">
        <v>372</v>
      </c>
      <c r="E200" s="1">
        <v>350</v>
      </c>
      <c r="F200" s="1">
        <v>55</v>
      </c>
      <c r="G200" s="1">
        <v>37</v>
      </c>
      <c r="I200">
        <f t="shared" si="20"/>
        <v>0.96557826898894761</v>
      </c>
      <c r="J200">
        <f t="shared" si="21"/>
        <v>-0.2907053995092207</v>
      </c>
      <c r="K200">
        <f t="shared" si="22"/>
        <v>-5.3412720729747232E-2</v>
      </c>
      <c r="M200">
        <f t="shared" si="23"/>
        <v>0.20715338291665988</v>
      </c>
    </row>
    <row r="201" spans="1:13" ht="22">
      <c r="A201" s="2" t="s">
        <v>89</v>
      </c>
      <c r="B201" s="5" t="s">
        <v>652</v>
      </c>
      <c r="D201" s="4">
        <v>907</v>
      </c>
      <c r="E201" s="1">
        <v>203</v>
      </c>
      <c r="F201" s="1">
        <v>160</v>
      </c>
      <c r="G201" s="1">
        <v>306</v>
      </c>
      <c r="I201">
        <f t="shared" si="20"/>
        <v>0.34194191537368712</v>
      </c>
      <c r="J201">
        <f t="shared" si="21"/>
        <v>-0.21401245352573761</v>
      </c>
      <c r="K201">
        <f t="shared" si="22"/>
        <v>0.47704263450664003</v>
      </c>
      <c r="M201">
        <f t="shared" si="23"/>
        <v>0.20165736545152982</v>
      </c>
    </row>
    <row r="202" spans="1:13" ht="22">
      <c r="A202" s="2" t="s">
        <v>436</v>
      </c>
      <c r="B202" s="5" t="s">
        <v>999</v>
      </c>
      <c r="D202" s="4">
        <v>295</v>
      </c>
      <c r="E202" s="1">
        <v>52</v>
      </c>
      <c r="F202" s="1">
        <v>430</v>
      </c>
      <c r="G202" s="1">
        <v>15</v>
      </c>
      <c r="I202">
        <f t="shared" si="20"/>
        <v>0.2382344921772056</v>
      </c>
      <c r="J202">
        <f t="shared" si="21"/>
        <v>0.7031212904798565</v>
      </c>
      <c r="K202">
        <f t="shared" si="22"/>
        <v>-0.34480226183732632</v>
      </c>
      <c r="M202">
        <f t="shared" si="23"/>
        <v>0.19885117360657859</v>
      </c>
    </row>
    <row r="203" spans="1:13" ht="22">
      <c r="A203" s="2" t="s">
        <v>547</v>
      </c>
      <c r="B203" s="5" t="s">
        <v>1110</v>
      </c>
      <c r="D203" s="4">
        <v>543</v>
      </c>
      <c r="E203" s="1">
        <v>831</v>
      </c>
      <c r="F203" s="1">
        <v>59</v>
      </c>
      <c r="G203" s="1">
        <v>39</v>
      </c>
      <c r="I203">
        <f t="shared" si="20"/>
        <v>1.1768543587158335</v>
      </c>
      <c r="J203">
        <f t="shared" si="21"/>
        <v>-0.42447296706826987</v>
      </c>
      <c r="K203">
        <f t="shared" si="22"/>
        <v>-0.19480672747719252</v>
      </c>
      <c r="M203">
        <f t="shared" si="23"/>
        <v>0.18585822139012373</v>
      </c>
    </row>
    <row r="204" spans="1:13" ht="22">
      <c r="A204" s="2" t="s">
        <v>344</v>
      </c>
      <c r="B204" s="5" t="s">
        <v>907</v>
      </c>
      <c r="D204" s="4">
        <v>823</v>
      </c>
      <c r="E204" s="1">
        <v>79</v>
      </c>
      <c r="F204" s="1">
        <v>1418</v>
      </c>
      <c r="G204" s="1">
        <v>59</v>
      </c>
      <c r="I204">
        <f t="shared" si="20"/>
        <v>-2.5719579401259018E-2</v>
      </c>
      <c r="J204">
        <f t="shared" si="21"/>
        <v>0.77575124651321081</v>
      </c>
      <c r="K204">
        <f t="shared" si="22"/>
        <v>-0.19561932848497032</v>
      </c>
      <c r="M204">
        <f t="shared" si="23"/>
        <v>0.18480411287566048</v>
      </c>
    </row>
    <row r="205" spans="1:13" ht="22">
      <c r="A205" s="2" t="s">
        <v>383</v>
      </c>
      <c r="B205" s="5" t="s">
        <v>946</v>
      </c>
      <c r="D205" s="4">
        <v>880</v>
      </c>
      <c r="E205" s="1">
        <v>402</v>
      </c>
      <c r="F205" s="1">
        <v>166</v>
      </c>
      <c r="G205" s="1">
        <v>110</v>
      </c>
      <c r="I205">
        <f t="shared" si="20"/>
        <v>0.65179654545487087</v>
      </c>
      <c r="J205">
        <f t="shared" si="21"/>
        <v>-0.18489973323168063</v>
      </c>
      <c r="K205">
        <f t="shared" si="22"/>
        <v>4.5838508093211772E-2</v>
      </c>
      <c r="M205">
        <f t="shared" si="23"/>
        <v>0.17091177343880068</v>
      </c>
    </row>
    <row r="206" spans="1:13" ht="22">
      <c r="A206" s="2" t="s">
        <v>512</v>
      </c>
      <c r="B206" s="5" t="s">
        <v>1075</v>
      </c>
      <c r="D206" s="4">
        <v>1207</v>
      </c>
      <c r="E206" s="1">
        <v>41</v>
      </c>
      <c r="F206" s="1">
        <v>37</v>
      </c>
      <c r="G206" s="1">
        <v>12324</v>
      </c>
      <c r="I206">
        <f t="shared" si="20"/>
        <v>-0.47687024885704421</v>
      </c>
      <c r="J206">
        <f t="shared" si="21"/>
        <v>-0.9740306951519212</v>
      </c>
      <c r="K206">
        <f t="shared" si="22"/>
        <v>1.9579729146327092</v>
      </c>
      <c r="M206">
        <f t="shared" si="23"/>
        <v>0.16902399020791456</v>
      </c>
    </row>
    <row r="207" spans="1:13" ht="22">
      <c r="A207" s="2" t="s">
        <v>543</v>
      </c>
      <c r="B207" s="5" t="s">
        <v>1106</v>
      </c>
      <c r="D207" s="4">
        <v>2819</v>
      </c>
      <c r="E207" s="1">
        <v>1746</v>
      </c>
      <c r="F207" s="1">
        <v>143</v>
      </c>
      <c r="G207" s="1">
        <v>951</v>
      </c>
      <c r="I207">
        <f t="shared" si="20"/>
        <v>0.78400232801851799</v>
      </c>
      <c r="J207">
        <f t="shared" si="21"/>
        <v>-0.75528418752810766</v>
      </c>
      <c r="K207">
        <f t="shared" si="22"/>
        <v>0.47701393615096688</v>
      </c>
      <c r="M207">
        <f t="shared" si="23"/>
        <v>0.16857735888045908</v>
      </c>
    </row>
    <row r="208" spans="1:13" ht="22">
      <c r="A208" s="2" t="s">
        <v>205</v>
      </c>
      <c r="B208" s="5" t="s">
        <v>768</v>
      </c>
      <c r="D208" s="4">
        <v>1115</v>
      </c>
      <c r="E208" s="1">
        <v>1417</v>
      </c>
      <c r="F208" s="1">
        <v>129</v>
      </c>
      <c r="G208" s="1">
        <v>79</v>
      </c>
      <c r="I208">
        <f t="shared" si="20"/>
        <v>1.0961481473838504</v>
      </c>
      <c r="J208">
        <f t="shared" si="21"/>
        <v>-0.39721030620649755</v>
      </c>
      <c r="K208">
        <f t="shared" si="22"/>
        <v>-0.20071928100858272</v>
      </c>
      <c r="M208">
        <f t="shared" si="23"/>
        <v>0.16607285338959002</v>
      </c>
    </row>
    <row r="209" spans="1:13" ht="22">
      <c r="A209" s="2" t="s">
        <v>177</v>
      </c>
      <c r="B209" s="5" t="s">
        <v>740</v>
      </c>
      <c r="D209" s="4">
        <v>864</v>
      </c>
      <c r="E209" s="1">
        <v>1104</v>
      </c>
      <c r="F209" s="1">
        <v>27</v>
      </c>
      <c r="G209" s="1">
        <v>225</v>
      </c>
      <c r="I209">
        <f t="shared" si="20"/>
        <v>1.0985084954348563</v>
      </c>
      <c r="J209">
        <f t="shared" si="21"/>
        <v>-0.9656751274414731</v>
      </c>
      <c r="K209">
        <f t="shared" si="22"/>
        <v>0.36459727071762449</v>
      </c>
      <c r="M209">
        <f t="shared" si="23"/>
        <v>0.16581021290366924</v>
      </c>
    </row>
    <row r="210" spans="1:13" ht="22">
      <c r="A210" s="2" t="s">
        <v>84</v>
      </c>
      <c r="B210" s="5" t="s">
        <v>647</v>
      </c>
      <c r="D210" s="4">
        <v>1006</v>
      </c>
      <c r="E210" s="1">
        <v>4003</v>
      </c>
      <c r="F210" s="1">
        <v>40</v>
      </c>
      <c r="G210" s="1">
        <v>64</v>
      </c>
      <c r="I210">
        <f t="shared" si="20"/>
        <v>1.5918407739057661</v>
      </c>
      <c r="J210">
        <f t="shared" si="21"/>
        <v>-0.86106313851351335</v>
      </c>
      <c r="K210">
        <f t="shared" si="22"/>
        <v>-0.24748951165086619</v>
      </c>
      <c r="M210">
        <f t="shared" si="23"/>
        <v>0.16109604124712884</v>
      </c>
    </row>
    <row r="211" spans="1:13" ht="22">
      <c r="A211" s="2" t="s">
        <v>250</v>
      </c>
      <c r="B211" s="5" t="s">
        <v>813</v>
      </c>
      <c r="D211" s="4">
        <v>533</v>
      </c>
      <c r="E211" s="1">
        <v>121</v>
      </c>
      <c r="F211" s="1">
        <v>186</v>
      </c>
      <c r="G211" s="1">
        <v>64</v>
      </c>
      <c r="I211">
        <f t="shared" si="20"/>
        <v>0.34811132581044724</v>
      </c>
      <c r="J211">
        <f t="shared" si="21"/>
        <v>8.2260586069776986E-2</v>
      </c>
      <c r="K211">
        <f t="shared" si="22"/>
        <v>2.8381260042470213E-2</v>
      </c>
      <c r="M211">
        <f t="shared" si="23"/>
        <v>0.15291772397423148</v>
      </c>
    </row>
    <row r="212" spans="1:13" ht="22">
      <c r="A212" s="2" t="s">
        <v>15</v>
      </c>
      <c r="B212" s="5" t="s">
        <v>578</v>
      </c>
      <c r="D212" s="4">
        <v>720</v>
      </c>
      <c r="E212" s="1">
        <v>262</v>
      </c>
      <c r="F212" s="1">
        <v>305</v>
      </c>
      <c r="G212" s="1">
        <v>43</v>
      </c>
      <c r="I212">
        <f t="shared" si="20"/>
        <v>0.55302195940904642</v>
      </c>
      <c r="J212">
        <f t="shared" si="21"/>
        <v>0.16644219379395031</v>
      </c>
      <c r="K212">
        <f t="shared" si="22"/>
        <v>-0.27493554576652657</v>
      </c>
      <c r="M212">
        <f t="shared" si="23"/>
        <v>0.14817620247882338</v>
      </c>
    </row>
    <row r="213" spans="1:13" ht="22">
      <c r="A213" s="2" t="s">
        <v>398</v>
      </c>
      <c r="B213" s="5" t="s">
        <v>961</v>
      </c>
      <c r="D213" s="4">
        <v>1549</v>
      </c>
      <c r="E213" s="1">
        <v>235</v>
      </c>
      <c r="F213" s="1">
        <v>4101</v>
      </c>
      <c r="G213" s="1">
        <v>35</v>
      </c>
      <c r="I213">
        <f t="shared" si="20"/>
        <v>0.17306960903309976</v>
      </c>
      <c r="J213">
        <f t="shared" si="21"/>
        <v>0.9623132024067117</v>
      </c>
      <c r="K213">
        <f t="shared" si="22"/>
        <v>-0.69705487832377511</v>
      </c>
      <c r="M213">
        <f t="shared" si="23"/>
        <v>0.14610931103867877</v>
      </c>
    </row>
    <row r="214" spans="1:13" ht="22">
      <c r="A214" s="2" t="s">
        <v>123</v>
      </c>
      <c r="B214" s="5" t="s">
        <v>686</v>
      </c>
      <c r="D214" s="4">
        <v>564</v>
      </c>
      <c r="E214" s="1">
        <v>4357</v>
      </c>
      <c r="F214" s="1">
        <v>16</v>
      </c>
      <c r="G214" s="1">
        <v>23</v>
      </c>
      <c r="I214">
        <f t="shared" si="20"/>
        <v>1.8799616204729812</v>
      </c>
      <c r="J214">
        <f t="shared" si="21"/>
        <v>-1.0076842704489848</v>
      </c>
      <c r="K214">
        <f t="shared" si="22"/>
        <v>-0.44062277288059404</v>
      </c>
      <c r="M214">
        <f t="shared" si="23"/>
        <v>0.14388485904780079</v>
      </c>
    </row>
    <row r="215" spans="1:13" ht="22">
      <c r="A215" s="2" t="s">
        <v>117</v>
      </c>
      <c r="B215" s="5" t="s">
        <v>680</v>
      </c>
      <c r="D215" s="4">
        <v>196</v>
      </c>
      <c r="E215" s="1">
        <v>269</v>
      </c>
      <c r="F215" s="1">
        <v>18</v>
      </c>
      <c r="G215" s="1">
        <v>13</v>
      </c>
      <c r="I215">
        <f t="shared" si="20"/>
        <v>1.1295493731665014</v>
      </c>
      <c r="J215">
        <f t="shared" si="21"/>
        <v>-0.49750871537473695</v>
      </c>
      <c r="K215">
        <f t="shared" si="22"/>
        <v>-0.22938422396448388</v>
      </c>
      <c r="M215">
        <f t="shared" si="23"/>
        <v>0.13421881127576019</v>
      </c>
    </row>
    <row r="216" spans="1:13" ht="22">
      <c r="A216" s="2" t="s">
        <v>347</v>
      </c>
      <c r="B216" s="5" t="s">
        <v>910</v>
      </c>
      <c r="D216" s="4">
        <v>864</v>
      </c>
      <c r="E216" s="1">
        <v>1107</v>
      </c>
      <c r="F216" s="1">
        <v>71</v>
      </c>
      <c r="G216" s="1">
        <v>67</v>
      </c>
      <c r="I216">
        <f t="shared" si="20"/>
        <v>1.0996870429203991</v>
      </c>
      <c r="J216">
        <f t="shared" si="21"/>
        <v>-0.545780542881385</v>
      </c>
      <c r="K216">
        <f t="shared" si="22"/>
        <v>-0.16151044469291165</v>
      </c>
      <c r="M216">
        <f t="shared" si="23"/>
        <v>0.13079868511536749</v>
      </c>
    </row>
    <row r="217" spans="1:13" ht="22">
      <c r="A217" s="2" t="s">
        <v>251</v>
      </c>
      <c r="B217" s="5" t="s">
        <v>814</v>
      </c>
      <c r="D217" s="4">
        <v>792</v>
      </c>
      <c r="E217" s="1">
        <v>33</v>
      </c>
      <c r="F217" s="1">
        <v>2993</v>
      </c>
      <c r="G217" s="1">
        <v>41</v>
      </c>
      <c r="I217">
        <f t="shared" si="20"/>
        <v>-0.38815807719103668</v>
      </c>
      <c r="J217">
        <f t="shared" si="21"/>
        <v>1.1168563861291307</v>
      </c>
      <c r="K217">
        <f t="shared" si="22"/>
        <v>-0.33701282978460267</v>
      </c>
      <c r="M217">
        <f t="shared" si="23"/>
        <v>0.13056182638449712</v>
      </c>
    </row>
    <row r="218" spans="1:13" ht="22">
      <c r="A218" s="2" t="s">
        <v>200</v>
      </c>
      <c r="B218" s="5" t="s">
        <v>763</v>
      </c>
      <c r="D218" s="4">
        <v>383</v>
      </c>
      <c r="E218" s="1">
        <v>1237</v>
      </c>
      <c r="F218" s="1">
        <v>24</v>
      </c>
      <c r="G218" s="1">
        <v>15</v>
      </c>
      <c r="I218">
        <f t="shared" si="20"/>
        <v>1.5012240901810674</v>
      </c>
      <c r="J218">
        <f t="shared" si="21"/>
        <v>-0.66351268137858377</v>
      </c>
      <c r="K218">
        <f t="shared" si="22"/>
        <v>-0.45817901982778619</v>
      </c>
      <c r="M218">
        <f t="shared" si="23"/>
        <v>0.12651079632489914</v>
      </c>
    </row>
    <row r="219" spans="1:13" ht="22">
      <c r="A219" s="2" t="s">
        <v>180</v>
      </c>
      <c r="B219" s="5" t="s">
        <v>743</v>
      </c>
      <c r="D219" s="4">
        <v>694</v>
      </c>
      <c r="E219" s="1">
        <v>57</v>
      </c>
      <c r="F219" s="1">
        <v>1277</v>
      </c>
      <c r="G219" s="1">
        <v>34</v>
      </c>
      <c r="I219">
        <f t="shared" si="20"/>
        <v>-9.3431450261794113E-2</v>
      </c>
      <c r="J219">
        <f t="shared" si="21"/>
        <v>0.80430627768699336</v>
      </c>
      <c r="K219">
        <f t="shared" si="22"/>
        <v>-0.36095205832744459</v>
      </c>
      <c r="M219">
        <f t="shared" si="23"/>
        <v>0.11664092303258489</v>
      </c>
    </row>
    <row r="220" spans="1:13" ht="22">
      <c r="A220" s="2" t="s">
        <v>370</v>
      </c>
      <c r="B220" s="5" t="s">
        <v>933</v>
      </c>
      <c r="D220" s="4">
        <v>710</v>
      </c>
      <c r="E220" s="1">
        <v>1190</v>
      </c>
      <c r="F220" s="1">
        <v>26</v>
      </c>
      <c r="G220" s="1">
        <v>85</v>
      </c>
      <c r="I220">
        <f t="shared" si="20"/>
        <v>1.216341777194025</v>
      </c>
      <c r="J220">
        <f t="shared" si="21"/>
        <v>-0.89681014986982432</v>
      </c>
      <c r="K220">
        <f t="shared" si="22"/>
        <v>2.70890720803727E-2</v>
      </c>
      <c r="M220">
        <f t="shared" si="23"/>
        <v>0.1155402331348578</v>
      </c>
    </row>
    <row r="221" spans="1:13" ht="22">
      <c r="A221" s="2" t="s">
        <v>336</v>
      </c>
      <c r="B221" s="5" t="s">
        <v>899</v>
      </c>
      <c r="D221" s="4">
        <v>839</v>
      </c>
      <c r="E221" s="1">
        <v>119</v>
      </c>
      <c r="F221" s="1">
        <v>428</v>
      </c>
      <c r="G221" s="1">
        <v>84</v>
      </c>
      <c r="I221">
        <f t="shared" si="20"/>
        <v>0.14383816508439995</v>
      </c>
      <c r="J221">
        <f t="shared" si="21"/>
        <v>0.24715665906290474</v>
      </c>
      <c r="K221">
        <f t="shared" si="22"/>
        <v>-5.0554179681663314E-2</v>
      </c>
      <c r="M221">
        <f t="shared" si="23"/>
        <v>0.11348021482188046</v>
      </c>
    </row>
    <row r="222" spans="1:13" ht="22">
      <c r="A222" s="2" t="s">
        <v>74</v>
      </c>
      <c r="B222" s="5" t="s">
        <v>637</v>
      </c>
      <c r="D222" s="4">
        <v>1159</v>
      </c>
      <c r="E222" s="1">
        <v>1184</v>
      </c>
      <c r="F222" s="1">
        <v>256</v>
      </c>
      <c r="G222" s="1">
        <v>36</v>
      </c>
      <c r="I222">
        <f t="shared" si="20"/>
        <v>1.0013214309438745</v>
      </c>
      <c r="J222">
        <f t="shared" si="21"/>
        <v>-0.11636861977331348</v>
      </c>
      <c r="K222">
        <f t="shared" si="22"/>
        <v>-0.55885244011115343</v>
      </c>
      <c r="M222">
        <f t="shared" si="23"/>
        <v>0.1087001236864692</v>
      </c>
    </row>
    <row r="223" spans="1:13" ht="22">
      <c r="A223" s="2" t="s">
        <v>514</v>
      </c>
      <c r="B223" s="5" t="s">
        <v>1077</v>
      </c>
      <c r="D223" s="4">
        <v>974</v>
      </c>
      <c r="E223" s="1">
        <v>384</v>
      </c>
      <c r="F223" s="1">
        <v>41</v>
      </c>
      <c r="G223" s="1">
        <v>396</v>
      </c>
      <c r="I223">
        <f t="shared" si="20"/>
        <v>0.58782543200948478</v>
      </c>
      <c r="J223">
        <f t="shared" si="21"/>
        <v>-0.83630024928044711</v>
      </c>
      <c r="K223">
        <f t="shared" si="22"/>
        <v>0.55806472413205199</v>
      </c>
      <c r="M223">
        <f t="shared" si="23"/>
        <v>0.10319663562036323</v>
      </c>
    </row>
    <row r="224" spans="1:13" ht="22">
      <c r="A224" s="2" t="s">
        <v>394</v>
      </c>
      <c r="B224" s="5" t="s">
        <v>957</v>
      </c>
      <c r="D224" s="4">
        <v>520</v>
      </c>
      <c r="E224" s="1">
        <v>18</v>
      </c>
      <c r="F224" s="1">
        <v>1926</v>
      </c>
      <c r="G224" s="1">
        <v>27</v>
      </c>
      <c r="I224">
        <f t="shared" si="20"/>
        <v>-0.46867767401092353</v>
      </c>
      <c r="J224">
        <f t="shared" si="21"/>
        <v>1.1081277900321496</v>
      </c>
      <c r="K224">
        <f t="shared" si="22"/>
        <v>-0.33571108439065656</v>
      </c>
      <c r="M224">
        <f t="shared" si="23"/>
        <v>0.10124634387685649</v>
      </c>
    </row>
    <row r="225" spans="1:13" ht="22">
      <c r="A225" s="2" t="s">
        <v>140</v>
      </c>
      <c r="B225" s="5" t="s">
        <v>703</v>
      </c>
      <c r="D225" s="4">
        <v>800</v>
      </c>
      <c r="E225" s="1">
        <v>40</v>
      </c>
      <c r="F225" s="1">
        <v>286</v>
      </c>
      <c r="G225" s="1">
        <v>297</v>
      </c>
      <c r="I225">
        <f t="shared" si="20"/>
        <v>-0.30897683114341179</v>
      </c>
      <c r="J225">
        <f t="shared" si="21"/>
        <v>9.2750897015532352E-2</v>
      </c>
      <c r="K225">
        <f t="shared" si="22"/>
        <v>0.51859495741042405</v>
      </c>
      <c r="M225">
        <f t="shared" si="23"/>
        <v>0.10078967442751487</v>
      </c>
    </row>
    <row r="226" spans="1:13" ht="22">
      <c r="A226" s="2" t="s">
        <v>160</v>
      </c>
      <c r="B226" s="5" t="s">
        <v>723</v>
      </c>
      <c r="D226" s="4">
        <v>718</v>
      </c>
      <c r="E226" s="1">
        <v>858</v>
      </c>
      <c r="F226" s="1">
        <v>62</v>
      </c>
      <c r="G226" s="1">
        <v>46</v>
      </c>
      <c r="I226">
        <f t="shared" si="20"/>
        <v>1.0694160081269746</v>
      </c>
      <c r="J226">
        <f t="shared" si="21"/>
        <v>-0.52425790386561355</v>
      </c>
      <c r="K226">
        <f t="shared" si="22"/>
        <v>-0.24443811747557098</v>
      </c>
      <c r="M226">
        <f t="shared" si="23"/>
        <v>0.10023999559526335</v>
      </c>
    </row>
    <row r="227" spans="1:13" ht="22">
      <c r="A227" s="2" t="s">
        <v>462</v>
      </c>
      <c r="B227" s="5" t="s">
        <v>1025</v>
      </c>
      <c r="D227" s="4">
        <v>1932</v>
      </c>
      <c r="E227" s="1">
        <v>130</v>
      </c>
      <c r="F227" s="1">
        <v>3997</v>
      </c>
      <c r="G227" s="1">
        <v>89</v>
      </c>
      <c r="I227">
        <f t="shared" si="20"/>
        <v>-0.18001060525206825</v>
      </c>
      <c r="J227">
        <f t="shared" si="21"/>
        <v>0.85520187705906325</v>
      </c>
      <c r="K227">
        <f t="shared" si="22"/>
        <v>-0.38768862034940632</v>
      </c>
      <c r="M227">
        <f t="shared" si="23"/>
        <v>9.5834217152529558E-2</v>
      </c>
    </row>
    <row r="228" spans="1:13" ht="22">
      <c r="A228" s="2" t="s">
        <v>541</v>
      </c>
      <c r="B228" s="5" t="s">
        <v>1104</v>
      </c>
      <c r="D228" s="4">
        <v>1597</v>
      </c>
      <c r="E228" s="1">
        <v>530</v>
      </c>
      <c r="F228" s="1">
        <v>1081</v>
      </c>
      <c r="G228" s="1">
        <v>45</v>
      </c>
      <c r="I228">
        <f t="shared" si="20"/>
        <v>0.51302411798287562</v>
      </c>
      <c r="J228">
        <f t="shared" si="21"/>
        <v>0.3699956286932603</v>
      </c>
      <c r="K228">
        <f t="shared" si="22"/>
        <v>-0.60116390727798397</v>
      </c>
      <c r="M228">
        <f t="shared" si="23"/>
        <v>9.3951946466050651E-2</v>
      </c>
    </row>
    <row r="229" spans="1:13" ht="22">
      <c r="A229" s="2" t="s">
        <v>231</v>
      </c>
      <c r="B229" s="5" t="s">
        <v>794</v>
      </c>
      <c r="D229" s="4">
        <v>1192</v>
      </c>
      <c r="E229" s="1">
        <v>50</v>
      </c>
      <c r="F229" s="1">
        <v>355</v>
      </c>
      <c r="G229" s="1">
        <v>603</v>
      </c>
      <c r="I229">
        <f t="shared" si="20"/>
        <v>-0.38525308654762935</v>
      </c>
      <c r="J229">
        <f t="shared" si="21"/>
        <v>1.3426948529309368E-2</v>
      </c>
      <c r="K229">
        <f t="shared" si="22"/>
        <v>0.65296955182108896</v>
      </c>
      <c r="M229">
        <f t="shared" si="23"/>
        <v>9.3714471267589652E-2</v>
      </c>
    </row>
    <row r="230" spans="1:13" ht="22">
      <c r="A230" s="2" t="s">
        <v>34</v>
      </c>
      <c r="B230" s="5" t="s">
        <v>597</v>
      </c>
      <c r="D230" s="4">
        <v>582</v>
      </c>
      <c r="E230" s="1">
        <v>61</v>
      </c>
      <c r="F230" s="1">
        <v>174</v>
      </c>
      <c r="G230" s="1">
        <v>115</v>
      </c>
      <c r="I230">
        <f t="shared" si="20"/>
        <v>1.2460014881447989E-2</v>
      </c>
      <c r="J230">
        <f t="shared" si="21"/>
        <v>1.5101114511144154E-2</v>
      </c>
      <c r="K230">
        <f t="shared" si="22"/>
        <v>0.2447033507888785</v>
      </c>
      <c r="M230">
        <f t="shared" si="23"/>
        <v>9.0754826727156887E-2</v>
      </c>
    </row>
    <row r="231" spans="1:13" ht="22">
      <c r="A231" s="2" t="s">
        <v>145</v>
      </c>
      <c r="B231" s="5" t="s">
        <v>708</v>
      </c>
      <c r="D231" s="4">
        <v>1119</v>
      </c>
      <c r="E231" s="1">
        <v>4254</v>
      </c>
      <c r="F231" s="1">
        <v>26</v>
      </c>
      <c r="G231" s="1">
        <v>73</v>
      </c>
      <c r="I231">
        <f t="shared" si="20"/>
        <v>1.5720205635589295</v>
      </c>
      <c r="J231">
        <f t="shared" si="21"/>
        <v>-1.0943818876790989</v>
      </c>
      <c r="K231">
        <f t="shared" si="22"/>
        <v>-0.23657873132273877</v>
      </c>
      <c r="M231">
        <f t="shared" si="23"/>
        <v>8.0353314852363925E-2</v>
      </c>
    </row>
    <row r="232" spans="1:13" ht="22">
      <c r="A232" s="2" t="s">
        <v>279</v>
      </c>
      <c r="B232" s="5" t="s">
        <v>842</v>
      </c>
      <c r="D232" s="4">
        <v>309</v>
      </c>
      <c r="E232" s="1">
        <v>14</v>
      </c>
      <c r="F232" s="1">
        <v>452</v>
      </c>
      <c r="G232" s="1">
        <v>26</v>
      </c>
      <c r="I232">
        <f t="shared" si="20"/>
        <v>-0.3517772792260272</v>
      </c>
      <c r="J232">
        <f t="shared" si="21"/>
        <v>0.70465480626498045</v>
      </c>
      <c r="K232">
        <f t="shared" si="22"/>
        <v>-0.12605663636886133</v>
      </c>
      <c r="M232">
        <f t="shared" si="23"/>
        <v>7.5606963556697313E-2</v>
      </c>
    </row>
    <row r="233" spans="1:13" ht="22">
      <c r="A233" s="2" t="s">
        <v>82</v>
      </c>
      <c r="B233" s="5" t="s">
        <v>645</v>
      </c>
      <c r="D233" s="4">
        <v>1003</v>
      </c>
      <c r="E233" s="1">
        <v>1626</v>
      </c>
      <c r="F233" s="1">
        <v>90</v>
      </c>
      <c r="G233" s="1">
        <v>37</v>
      </c>
      <c r="I233">
        <f t="shared" si="20"/>
        <v>1.2018727727582008</v>
      </c>
      <c r="J233">
        <f t="shared" si="21"/>
        <v>-0.50758357270266019</v>
      </c>
      <c r="K233">
        <f t="shared" si="22"/>
        <v>-0.48417071386826782</v>
      </c>
      <c r="M233">
        <f t="shared" si="23"/>
        <v>7.0039495395757601E-2</v>
      </c>
    </row>
    <row r="234" spans="1:13" ht="22">
      <c r="A234" s="2" t="s">
        <v>476</v>
      </c>
      <c r="B234" s="5" t="s">
        <v>1039</v>
      </c>
      <c r="D234" s="4">
        <v>574</v>
      </c>
      <c r="E234" s="1">
        <v>1210</v>
      </c>
      <c r="F234" s="1">
        <v>42</v>
      </c>
      <c r="G234" s="1">
        <v>19</v>
      </c>
      <c r="I234">
        <f t="shared" si="20"/>
        <v>1.3159266424390461</v>
      </c>
      <c r="J234">
        <f t="shared" si="21"/>
        <v>-0.59618775112164013</v>
      </c>
      <c r="K234">
        <f t="shared" si="22"/>
        <v>-0.53122979635998924</v>
      </c>
      <c r="M234">
        <f t="shared" si="23"/>
        <v>6.2836364985805582E-2</v>
      </c>
    </row>
    <row r="235" spans="1:13" ht="22">
      <c r="A235" s="2" t="s">
        <v>265</v>
      </c>
      <c r="B235" s="5" t="s">
        <v>828</v>
      </c>
      <c r="D235" s="4">
        <v>194</v>
      </c>
      <c r="E235" s="1">
        <v>73</v>
      </c>
      <c r="F235" s="1">
        <v>56</v>
      </c>
      <c r="G235" s="1">
        <v>9</v>
      </c>
      <c r="I235">
        <f t="shared" si="20"/>
        <v>0.56757429471079934</v>
      </c>
      <c r="J235">
        <f t="shared" si="21"/>
        <v>-1.3885204559271891E-4</v>
      </c>
      <c r="K235">
        <f t="shared" si="22"/>
        <v>-0.38463072540574594</v>
      </c>
      <c r="M235">
        <f t="shared" si="23"/>
        <v>6.0934905753153558E-2</v>
      </c>
    </row>
    <row r="236" spans="1:13" ht="22">
      <c r="A236" s="2" t="s">
        <v>482</v>
      </c>
      <c r="B236" s="5" t="s">
        <v>1045</v>
      </c>
      <c r="D236" s="4">
        <v>497</v>
      </c>
      <c r="E236" s="1">
        <v>14</v>
      </c>
      <c r="F236" s="1">
        <v>1453</v>
      </c>
      <c r="G236" s="1">
        <v>30</v>
      </c>
      <c r="I236">
        <f t="shared" si="20"/>
        <v>-0.55817518853452452</v>
      </c>
      <c r="J236">
        <f t="shared" si="21"/>
        <v>1.0053840764431223</v>
      </c>
      <c r="K236">
        <f t="shared" si="22"/>
        <v>-0.27030663892851448</v>
      </c>
      <c r="M236">
        <f t="shared" si="23"/>
        <v>5.8967416326694444E-2</v>
      </c>
    </row>
    <row r="237" spans="1:13" ht="22">
      <c r="A237" s="2" t="s">
        <v>385</v>
      </c>
      <c r="B237" s="5" t="s">
        <v>948</v>
      </c>
      <c r="D237" s="4">
        <v>1255</v>
      </c>
      <c r="E237" s="1">
        <v>641</v>
      </c>
      <c r="F237" s="1">
        <v>198</v>
      </c>
      <c r="G237" s="1">
        <v>77</v>
      </c>
      <c r="I237">
        <f t="shared" si="20"/>
        <v>0.70026746822232999</v>
      </c>
      <c r="J237">
        <f t="shared" si="21"/>
        <v>-0.26250368467709284</v>
      </c>
      <c r="K237">
        <f t="shared" si="22"/>
        <v>-0.26322450555941979</v>
      </c>
      <c r="M237">
        <f t="shared" si="23"/>
        <v>5.8179759328605786E-2</v>
      </c>
    </row>
    <row r="238" spans="1:13" ht="22">
      <c r="A238" s="2" t="s">
        <v>138</v>
      </c>
      <c r="B238" s="5" t="s">
        <v>701</v>
      </c>
      <c r="D238" s="4">
        <v>539</v>
      </c>
      <c r="E238" s="1">
        <v>290</v>
      </c>
      <c r="F238" s="1">
        <v>160</v>
      </c>
      <c r="G238" s="1">
        <v>16</v>
      </c>
      <c r="I238">
        <f t="shared" si="20"/>
        <v>0.72286239723278689</v>
      </c>
      <c r="J238">
        <f t="shared" si="21"/>
        <v>1.2006068347619081E-2</v>
      </c>
      <c r="K238">
        <f t="shared" si="22"/>
        <v>-0.57854028744565866</v>
      </c>
      <c r="M238">
        <f t="shared" si="23"/>
        <v>5.2109392711582436E-2</v>
      </c>
    </row>
    <row r="239" spans="1:13" ht="22">
      <c r="A239" s="2" t="s">
        <v>495</v>
      </c>
      <c r="B239" s="5" t="s">
        <v>1058</v>
      </c>
      <c r="D239" s="4">
        <v>3058</v>
      </c>
      <c r="E239" s="1">
        <v>2645</v>
      </c>
      <c r="F239" s="1">
        <v>322</v>
      </c>
      <c r="G239" s="1">
        <v>159</v>
      </c>
      <c r="I239">
        <f t="shared" si="20"/>
        <v>0.92904135981547276</v>
      </c>
      <c r="J239">
        <f t="shared" si="21"/>
        <v>-0.43810675850203751</v>
      </c>
      <c r="K239">
        <f t="shared" si="22"/>
        <v>-0.33511186167069451</v>
      </c>
      <c r="M239">
        <f t="shared" si="23"/>
        <v>5.194091321424691E-2</v>
      </c>
    </row>
    <row r="240" spans="1:13" ht="22">
      <c r="A240" s="2" t="s">
        <v>110</v>
      </c>
      <c r="B240" s="5" t="s">
        <v>673</v>
      </c>
      <c r="D240" s="4">
        <v>349</v>
      </c>
      <c r="E240" s="1">
        <v>19</v>
      </c>
      <c r="F240" s="1">
        <v>495</v>
      </c>
      <c r="G240" s="1">
        <v>21</v>
      </c>
      <c r="I240">
        <f t="shared" si="20"/>
        <v>-0.27201866148578135</v>
      </c>
      <c r="J240">
        <f t="shared" si="21"/>
        <v>0.6912546228528218</v>
      </c>
      <c r="K240">
        <f t="shared" si="22"/>
        <v>-0.27167763714010529</v>
      </c>
      <c r="M240">
        <f t="shared" si="23"/>
        <v>4.9186108075645052E-2</v>
      </c>
    </row>
    <row r="241" spans="1:13" ht="22">
      <c r="A241" s="2" t="s">
        <v>189</v>
      </c>
      <c r="B241" s="5" t="s">
        <v>752</v>
      </c>
      <c r="D241" s="4">
        <v>349</v>
      </c>
      <c r="E241" s="1">
        <v>136</v>
      </c>
      <c r="F241" s="1">
        <v>76</v>
      </c>
      <c r="G241" s="1">
        <v>19</v>
      </c>
      <c r="I241">
        <f t="shared" si="20"/>
        <v>0.5827666459316071</v>
      </c>
      <c r="J241">
        <f t="shared" si="21"/>
        <v>-0.12253698379995559</v>
      </c>
      <c r="K241">
        <f t="shared" si="22"/>
        <v>-0.31514333092119551</v>
      </c>
      <c r="M241">
        <f t="shared" si="23"/>
        <v>4.8362110403485335E-2</v>
      </c>
    </row>
    <row r="242" spans="1:13" ht="22">
      <c r="A242" s="2" t="s">
        <v>175</v>
      </c>
      <c r="B242" s="5" t="s">
        <v>738</v>
      </c>
      <c r="D242" s="4">
        <v>797</v>
      </c>
      <c r="E242" s="1">
        <v>1844</v>
      </c>
      <c r="F242" s="1">
        <v>11</v>
      </c>
      <c r="G242" s="1">
        <v>112</v>
      </c>
      <c r="I242">
        <f t="shared" ref="I242:I305" si="24">LOG(E242/D242)-LOG(182/1787)</f>
        <v>1.3563557598420677</v>
      </c>
      <c r="J242">
        <f t="shared" ref="J242:J305" si="25">LOG(F242/D242)-LOG(516/1787)</f>
        <v>-1.3205907853594545</v>
      </c>
      <c r="K242">
        <f t="shared" ref="K242:K305" si="26">LOG(G242/D242)-LOG(201/1787)</f>
        <v>9.6688196359224543E-2</v>
      </c>
      <c r="M242">
        <f t="shared" ref="M242:M305" si="27">AVERAGE(I242:K242)</f>
        <v>4.4151056947279242E-2</v>
      </c>
    </row>
    <row r="243" spans="1:13" ht="22">
      <c r="A243" s="2" t="s">
        <v>147</v>
      </c>
      <c r="B243" s="5" t="s">
        <v>710</v>
      </c>
      <c r="D243" s="4">
        <v>836</v>
      </c>
      <c r="E243" s="1">
        <v>78</v>
      </c>
      <c r="F243" s="1">
        <v>640</v>
      </c>
      <c r="G243" s="1">
        <v>51</v>
      </c>
      <c r="I243">
        <f t="shared" si="24"/>
        <v>-3.8058510227966469E-2</v>
      </c>
      <c r="J243">
        <f t="shared" si="25"/>
        <v>0.42344854742330373</v>
      </c>
      <c r="K243">
        <f t="shared" si="26"/>
        <v>-0.26570760625592471</v>
      </c>
      <c r="M243">
        <f t="shared" si="27"/>
        <v>3.9894143646470849E-2</v>
      </c>
    </row>
    <row r="244" spans="1:13" ht="22">
      <c r="A244" s="2" t="s">
        <v>24</v>
      </c>
      <c r="B244" s="5" t="s">
        <v>587</v>
      </c>
      <c r="D244" s="4">
        <v>346</v>
      </c>
      <c r="E244" s="1">
        <v>184</v>
      </c>
      <c r="F244" s="1">
        <v>39</v>
      </c>
      <c r="G244" s="1">
        <v>24</v>
      </c>
      <c r="I244">
        <f t="shared" si="24"/>
        <v>0.71779488873732933</v>
      </c>
      <c r="J244">
        <f t="shared" si="25"/>
        <v>-0.40853664088784447</v>
      </c>
      <c r="K244">
        <f t="shared" si="26"/>
        <v>-0.20993636199601529</v>
      </c>
      <c r="M244">
        <f t="shared" si="27"/>
        <v>3.3107295284489857E-2</v>
      </c>
    </row>
    <row r="245" spans="1:13" ht="22">
      <c r="A245" s="2" t="s">
        <v>107</v>
      </c>
      <c r="B245" s="5" t="s">
        <v>670</v>
      </c>
      <c r="D245" s="4">
        <v>215</v>
      </c>
      <c r="E245" s="1">
        <v>8</v>
      </c>
      <c r="F245" s="1">
        <v>285</v>
      </c>
      <c r="G245" s="1">
        <v>18</v>
      </c>
      <c r="I245">
        <f t="shared" si="24"/>
        <v>-0.43729530840309239</v>
      </c>
      <c r="J245">
        <f t="shared" si="25"/>
        <v>0.66188125097133776</v>
      </c>
      <c r="K245">
        <f t="shared" si="26"/>
        <v>-0.12823745972714407</v>
      </c>
      <c r="M245">
        <f t="shared" si="27"/>
        <v>3.2116160947033769E-2</v>
      </c>
    </row>
    <row r="246" spans="1:13" ht="22">
      <c r="A246" s="2" t="s">
        <v>375</v>
      </c>
      <c r="B246" s="5" t="s">
        <v>938</v>
      </c>
      <c r="D246" s="4">
        <v>2321</v>
      </c>
      <c r="E246" s="1">
        <v>24518</v>
      </c>
      <c r="F246" s="1">
        <v>25</v>
      </c>
      <c r="G246" s="1">
        <v>84</v>
      </c>
      <c r="I246">
        <f t="shared" si="24"/>
        <v>2.0158630647727982</v>
      </c>
      <c r="J246">
        <f t="shared" si="25"/>
        <v>-1.4282602809054472</v>
      </c>
      <c r="K246">
        <f t="shared" si="26"/>
        <v>-0.49246735930888086</v>
      </c>
      <c r="M246">
        <f t="shared" si="27"/>
        <v>3.1711808186156709E-2</v>
      </c>
    </row>
    <row r="247" spans="1:13" ht="22">
      <c r="A247" s="2" t="s">
        <v>129</v>
      </c>
      <c r="B247" s="5" t="s">
        <v>692</v>
      </c>
      <c r="D247" s="4">
        <v>392</v>
      </c>
      <c r="E247" s="1">
        <v>29</v>
      </c>
      <c r="F247" s="1">
        <v>1016</v>
      </c>
      <c r="G247" s="1">
        <v>8</v>
      </c>
      <c r="I247">
        <f t="shared" si="24"/>
        <v>-0.13883490460093162</v>
      </c>
      <c r="J247">
        <f t="shared" si="25"/>
        <v>0.95308249180587612</v>
      </c>
      <c r="K247">
        <f t="shared" si="26"/>
        <v>-0.74126758494335832</v>
      </c>
      <c r="M247">
        <f t="shared" si="27"/>
        <v>2.432666742052873E-2</v>
      </c>
    </row>
    <row r="248" spans="1:13" ht="22">
      <c r="A248" s="2" t="s">
        <v>497</v>
      </c>
      <c r="B248" s="5" t="s">
        <v>1060</v>
      </c>
      <c r="D248" s="4">
        <v>1317</v>
      </c>
      <c r="E248" s="1">
        <v>91</v>
      </c>
      <c r="F248" s="1">
        <v>81</v>
      </c>
      <c r="G248" s="1">
        <v>1201</v>
      </c>
      <c r="I248">
        <f t="shared" si="24"/>
        <v>-0.1684912181201208</v>
      </c>
      <c r="J248">
        <f t="shared" si="25"/>
        <v>-0.671625905204701</v>
      </c>
      <c r="K248">
        <f t="shared" si="26"/>
        <v>0.90888572752627761</v>
      </c>
      <c r="M248">
        <f t="shared" si="27"/>
        <v>2.2922868067151936E-2</v>
      </c>
    </row>
    <row r="249" spans="1:13" ht="22">
      <c r="A249" s="2" t="s">
        <v>125</v>
      </c>
      <c r="B249" s="5" t="s">
        <v>688</v>
      </c>
      <c r="D249" s="4">
        <v>974</v>
      </c>
      <c r="E249" s="1">
        <v>1004</v>
      </c>
      <c r="F249" s="1">
        <v>33</v>
      </c>
      <c r="G249" s="1">
        <v>103</v>
      </c>
      <c r="I249">
        <f t="shared" si="24"/>
        <v>1.0052279204509544</v>
      </c>
      <c r="J249">
        <f t="shared" si="25"/>
        <v>-0.93057016612229504</v>
      </c>
      <c r="K249">
        <f t="shared" si="26"/>
        <v>-2.6793237088288069E-2</v>
      </c>
      <c r="M249">
        <f t="shared" si="27"/>
        <v>1.5954839080123778E-2</v>
      </c>
    </row>
    <row r="250" spans="1:13" ht="22">
      <c r="A250" s="2" t="s">
        <v>218</v>
      </c>
      <c r="B250" s="5" t="s">
        <v>781</v>
      </c>
      <c r="D250" s="4">
        <v>610</v>
      </c>
      <c r="E250" s="1">
        <v>532</v>
      </c>
      <c r="F250" s="1">
        <v>83</v>
      </c>
      <c r="G250" s="1">
        <v>18</v>
      </c>
      <c r="I250">
        <f t="shared" si="24"/>
        <v>0.93263496180485062</v>
      </c>
      <c r="J250">
        <f t="shared" si="25"/>
        <v>-0.32677689175626023</v>
      </c>
      <c r="K250">
        <f t="shared" si="26"/>
        <v>-0.5811288348223056</v>
      </c>
      <c r="M250">
        <f t="shared" si="27"/>
        <v>8.2430784087615949E-3</v>
      </c>
    </row>
    <row r="251" spans="1:13" ht="22">
      <c r="A251" s="2" t="s">
        <v>115</v>
      </c>
      <c r="B251" s="5" t="s">
        <v>678</v>
      </c>
      <c r="D251" s="4">
        <v>490</v>
      </c>
      <c r="E251" s="1">
        <v>348</v>
      </c>
      <c r="F251" s="1">
        <v>47</v>
      </c>
      <c r="G251" s="1">
        <v>25</v>
      </c>
      <c r="I251">
        <f t="shared" si="24"/>
        <v>0.8434363284386367</v>
      </c>
      <c r="J251">
        <f t="shared" si="25"/>
        <v>-0.47862337121436316</v>
      </c>
      <c r="K251">
        <f t="shared" si="26"/>
        <v>-0.34332757627132082</v>
      </c>
      <c r="M251">
        <f t="shared" si="27"/>
        <v>7.1617936509842384E-3</v>
      </c>
    </row>
    <row r="252" spans="1:13" ht="22">
      <c r="A252" s="2" t="s">
        <v>397</v>
      </c>
      <c r="B252" s="5" t="s">
        <v>960</v>
      </c>
      <c r="D252" s="4">
        <v>1557</v>
      </c>
      <c r="E252" s="1">
        <v>93</v>
      </c>
      <c r="F252" s="1">
        <v>1245</v>
      </c>
      <c r="G252" s="1">
        <v>113</v>
      </c>
      <c r="I252">
        <f t="shared" si="24"/>
        <v>-0.23175249949361576</v>
      </c>
      <c r="J252">
        <f t="shared" si="25"/>
        <v>0.44235558974206779</v>
      </c>
      <c r="K252">
        <f t="shared" si="26"/>
        <v>-0.19028167399954521</v>
      </c>
      <c r="M252">
        <f t="shared" si="27"/>
        <v>6.7738054163022738E-3</v>
      </c>
    </row>
    <row r="253" spans="1:13" ht="22">
      <c r="A253" s="2" t="s">
        <v>557</v>
      </c>
      <c r="B253" s="5" t="s">
        <v>562</v>
      </c>
      <c r="D253" s="4">
        <v>1787</v>
      </c>
      <c r="E253" s="1">
        <v>182</v>
      </c>
      <c r="F253" s="1">
        <v>516</v>
      </c>
      <c r="G253" s="1">
        <v>201</v>
      </c>
      <c r="I253">
        <f t="shared" si="24"/>
        <v>0</v>
      </c>
      <c r="J253">
        <f t="shared" si="25"/>
        <v>0</v>
      </c>
      <c r="K253">
        <f t="shared" si="26"/>
        <v>0</v>
      </c>
      <c r="M253">
        <f t="shared" si="27"/>
        <v>0</v>
      </c>
    </row>
    <row r="254" spans="1:13" ht="22">
      <c r="A254" s="2" t="s">
        <v>228</v>
      </c>
      <c r="B254" s="5" t="s">
        <v>791</v>
      </c>
      <c r="D254" s="4">
        <v>1111</v>
      </c>
      <c r="E254" s="1">
        <v>19</v>
      </c>
      <c r="F254" s="1">
        <v>4812</v>
      </c>
      <c r="G254" s="1">
        <v>49</v>
      </c>
      <c r="I254">
        <f t="shared" si="24"/>
        <v>-0.77490729346746923</v>
      </c>
      <c r="J254">
        <f t="shared" si="25"/>
        <v>1.1760864106053726</v>
      </c>
      <c r="K254">
        <f t="shared" si="26"/>
        <v>-0.40658948382719862</v>
      </c>
      <c r="M254">
        <f t="shared" si="27"/>
        <v>-1.803455563098429E-3</v>
      </c>
    </row>
    <row r="255" spans="1:13" ht="22">
      <c r="A255" s="2" t="s">
        <v>378</v>
      </c>
      <c r="B255" s="5" t="s">
        <v>941</v>
      </c>
      <c r="D255" s="4">
        <v>1707</v>
      </c>
      <c r="E255" s="1">
        <v>812</v>
      </c>
      <c r="F255" s="1">
        <v>128</v>
      </c>
      <c r="G255" s="1">
        <v>150</v>
      </c>
      <c r="I255">
        <f t="shared" si="24"/>
        <v>0.66937567264701114</v>
      </c>
      <c r="J255">
        <f t="shared" si="25"/>
        <v>-0.58554870058843222</v>
      </c>
      <c r="K255">
        <f t="shared" si="26"/>
        <v>-0.10721376697389706</v>
      </c>
      <c r="M255">
        <f t="shared" si="27"/>
        <v>-7.795598305106048E-3</v>
      </c>
    </row>
    <row r="256" spans="1:13" ht="22">
      <c r="A256" s="2" t="s">
        <v>407</v>
      </c>
      <c r="B256" s="5" t="s">
        <v>970</v>
      </c>
      <c r="D256" s="4">
        <v>653</v>
      </c>
      <c r="E256" s="1">
        <v>2023</v>
      </c>
      <c r="F256" s="1">
        <v>8</v>
      </c>
      <c r="G256" s="1">
        <v>52</v>
      </c>
      <c r="I256">
        <f t="shared" si="24"/>
        <v>1.4831358660163003</v>
      </c>
      <c r="J256">
        <f t="shared" si="25"/>
        <v>-1.3723483434046972</v>
      </c>
      <c r="K256">
        <f t="shared" si="26"/>
        <v>-0.14998134255511952</v>
      </c>
      <c r="M256">
        <f t="shared" si="27"/>
        <v>-1.3064606647838817E-2</v>
      </c>
    </row>
    <row r="257" spans="1:13" ht="22">
      <c r="A257" s="2" t="s">
        <v>201</v>
      </c>
      <c r="B257" s="5" t="s">
        <v>764</v>
      </c>
      <c r="D257" s="4">
        <v>508</v>
      </c>
      <c r="E257" s="1">
        <v>872</v>
      </c>
      <c r="F257" s="1">
        <v>15</v>
      </c>
      <c r="G257" s="1">
        <v>29</v>
      </c>
      <c r="I257">
        <f t="shared" si="24"/>
        <v>1.2267059371692175</v>
      </c>
      <c r="J257">
        <f t="shared" si="25"/>
        <v>-0.99029760234980502</v>
      </c>
      <c r="K257">
        <f t="shared" si="26"/>
        <v>-0.29453721929980792</v>
      </c>
      <c r="M257">
        <f t="shared" si="27"/>
        <v>-1.9376294826798479E-2</v>
      </c>
    </row>
    <row r="258" spans="1:13" ht="22">
      <c r="A258" s="2" t="s">
        <v>108</v>
      </c>
      <c r="B258" s="5" t="s">
        <v>671</v>
      </c>
      <c r="D258" s="4">
        <v>381</v>
      </c>
      <c r="E258" s="1">
        <v>157</v>
      </c>
      <c r="F258" s="1">
        <v>35</v>
      </c>
      <c r="G258" s="1">
        <v>29</v>
      </c>
      <c r="I258">
        <f t="shared" si="24"/>
        <v>0.60702784125418385</v>
      </c>
      <c r="J258">
        <f t="shared" si="25"/>
        <v>-0.49738208044691079</v>
      </c>
      <c r="K258">
        <f t="shared" si="26"/>
        <v>-0.16959848269150801</v>
      </c>
      <c r="M258">
        <f t="shared" si="27"/>
        <v>-1.9984240628078315E-2</v>
      </c>
    </row>
    <row r="259" spans="1:13" ht="22">
      <c r="A259" s="2" t="s">
        <v>220</v>
      </c>
      <c r="B259" s="5" t="s">
        <v>783</v>
      </c>
      <c r="D259" s="4">
        <v>1107</v>
      </c>
      <c r="E259" s="1">
        <v>101</v>
      </c>
      <c r="F259" s="1">
        <v>450</v>
      </c>
      <c r="G259" s="1">
        <v>85</v>
      </c>
      <c r="I259">
        <f t="shared" si="24"/>
        <v>-4.7773082575510717E-2</v>
      </c>
      <c r="J259">
        <f t="shared" si="25"/>
        <v>0.1485397437750538</v>
      </c>
      <c r="K259">
        <f t="shared" si="26"/>
        <v>-0.16580020007927487</v>
      </c>
      <c r="M259">
        <f t="shared" si="27"/>
        <v>-2.167784629324393E-2</v>
      </c>
    </row>
    <row r="260" spans="1:13" ht="22">
      <c r="A260" s="2" t="s">
        <v>356</v>
      </c>
      <c r="B260" s="5" t="s">
        <v>919</v>
      </c>
      <c r="D260" s="4">
        <v>690</v>
      </c>
      <c r="E260" s="1">
        <v>426</v>
      </c>
      <c r="F260" s="1">
        <v>46</v>
      </c>
      <c r="G260" s="1">
        <v>47</v>
      </c>
      <c r="I260">
        <f t="shared" si="24"/>
        <v>0.78261367288603312</v>
      </c>
      <c r="J260">
        <f t="shared" si="25"/>
        <v>-0.63661640817724841</v>
      </c>
      <c r="K260">
        <f t="shared" si="26"/>
        <v>-0.21782273771638261</v>
      </c>
      <c r="M260">
        <f t="shared" si="27"/>
        <v>-2.3941824335865964E-2</v>
      </c>
    </row>
    <row r="261" spans="1:13" ht="22">
      <c r="A261" s="2" t="s">
        <v>459</v>
      </c>
      <c r="B261" s="5" t="s">
        <v>1022</v>
      </c>
      <c r="D261" s="4">
        <v>407</v>
      </c>
      <c r="E261" s="1">
        <v>277</v>
      </c>
      <c r="F261" s="1">
        <v>21</v>
      </c>
      <c r="G261" s="1">
        <v>32</v>
      </c>
      <c r="I261">
        <f t="shared" si="24"/>
        <v>0.82493852435979798</v>
      </c>
      <c r="J261">
        <f t="shared" si="25"/>
        <v>-0.74790026361286788</v>
      </c>
      <c r="K261">
        <f t="shared" si="26"/>
        <v>-0.15551593582015877</v>
      </c>
      <c r="M261">
        <f t="shared" si="27"/>
        <v>-2.6159225024409555E-2</v>
      </c>
    </row>
    <row r="262" spans="1:13" ht="22">
      <c r="A262" s="2" t="s">
        <v>208</v>
      </c>
      <c r="B262" s="5" t="s">
        <v>771</v>
      </c>
      <c r="D262" s="4">
        <v>617</v>
      </c>
      <c r="E262" s="1">
        <v>38</v>
      </c>
      <c r="F262" s="1">
        <v>589</v>
      </c>
      <c r="G262" s="1">
        <v>28</v>
      </c>
      <c r="I262">
        <f t="shared" si="24"/>
        <v>-0.21844840289586198</v>
      </c>
      <c r="J262">
        <f t="shared" si="25"/>
        <v>0.51930498163229288</v>
      </c>
      <c r="K262">
        <f t="shared" si="26"/>
        <v>-0.39419863760586704</v>
      </c>
      <c r="M262">
        <f t="shared" si="27"/>
        <v>-3.1114019623145379E-2</v>
      </c>
    </row>
    <row r="263" spans="1:13" ht="22">
      <c r="A263" s="2" t="s">
        <v>226</v>
      </c>
      <c r="B263" s="5" t="s">
        <v>789</v>
      </c>
      <c r="D263" s="4">
        <v>673</v>
      </c>
      <c r="E263" s="1">
        <v>481</v>
      </c>
      <c r="F263" s="1">
        <v>43</v>
      </c>
      <c r="G263" s="1">
        <v>39</v>
      </c>
      <c r="I263">
        <f t="shared" si="24"/>
        <v>0.84618317667042442</v>
      </c>
      <c r="J263">
        <f t="shared" si="25"/>
        <v>-0.65507175776595739</v>
      </c>
      <c r="K263">
        <f t="shared" si="26"/>
        <v>-0.28802196211232234</v>
      </c>
      <c r="M263">
        <f t="shared" si="27"/>
        <v>-3.2303514402618437E-2</v>
      </c>
    </row>
    <row r="264" spans="1:13" ht="22">
      <c r="A264" s="2" t="s">
        <v>371</v>
      </c>
      <c r="B264" s="5" t="s">
        <v>934</v>
      </c>
      <c r="D264" s="4">
        <v>1419</v>
      </c>
      <c r="E264" s="1">
        <v>300</v>
      </c>
      <c r="F264" s="1">
        <v>38</v>
      </c>
      <c r="G264" s="1">
        <v>657</v>
      </c>
      <c r="I264">
        <f t="shared" si="24"/>
        <v>0.3171920237827579</v>
      </c>
      <c r="J264">
        <f t="shared" si="25"/>
        <v>-1.0327239479622308</v>
      </c>
      <c r="K264">
        <f t="shared" si="26"/>
        <v>0.61451146918746202</v>
      </c>
      <c r="M264">
        <f t="shared" si="27"/>
        <v>-3.3673484997336946E-2</v>
      </c>
    </row>
    <row r="265" spans="1:13" ht="22">
      <c r="A265" s="2" t="s">
        <v>198</v>
      </c>
      <c r="B265" s="5" t="s">
        <v>761</v>
      </c>
      <c r="D265" s="4">
        <v>458</v>
      </c>
      <c r="E265" s="1">
        <v>51</v>
      </c>
      <c r="F265" s="1">
        <v>159</v>
      </c>
      <c r="G265" s="1">
        <v>31</v>
      </c>
      <c r="I265">
        <f t="shared" si="24"/>
        <v>3.8757862614636651E-2</v>
      </c>
      <c r="J265">
        <f t="shared" si="25"/>
        <v>8.000649719501518E-2</v>
      </c>
      <c r="K265">
        <f t="shared" si="26"/>
        <v>-0.22057528908444124</v>
      </c>
      <c r="M265">
        <f t="shared" si="27"/>
        <v>-3.39369764249298E-2</v>
      </c>
    </row>
    <row r="266" spans="1:13" ht="22">
      <c r="A266" s="2" t="s">
        <v>71</v>
      </c>
      <c r="B266" s="5" t="s">
        <v>634</v>
      </c>
      <c r="D266" s="4">
        <v>432</v>
      </c>
      <c r="E266" s="1">
        <v>22</v>
      </c>
      <c r="F266" s="1">
        <v>12</v>
      </c>
      <c r="G266" s="1">
        <v>798</v>
      </c>
      <c r="I266">
        <f t="shared" si="24"/>
        <v>-0.30100790147213652</v>
      </c>
      <c r="J266">
        <f t="shared" si="25"/>
        <v>-1.0168276498888544</v>
      </c>
      <c r="K266">
        <f t="shared" si="26"/>
        <v>1.2154476396209728</v>
      </c>
      <c r="M266">
        <f t="shared" si="27"/>
        <v>-3.4129303913339383E-2</v>
      </c>
    </row>
    <row r="267" spans="1:13" ht="22">
      <c r="A267" s="2" t="s">
        <v>550</v>
      </c>
      <c r="B267" s="5" t="s">
        <v>1113</v>
      </c>
      <c r="D267" s="4">
        <v>815</v>
      </c>
      <c r="E267" s="1">
        <v>31</v>
      </c>
      <c r="F267" s="1">
        <v>42</v>
      </c>
      <c r="G267" s="1">
        <v>1073</v>
      </c>
      <c r="I267">
        <f t="shared" si="24"/>
        <v>-0.42774275038513454</v>
      </c>
      <c r="J267">
        <f t="shared" si="25"/>
        <v>-0.74843346746364314</v>
      </c>
      <c r="K267">
        <f t="shared" si="26"/>
        <v>1.0683706083111297</v>
      </c>
      <c r="M267">
        <f t="shared" si="27"/>
        <v>-3.5935203179215947E-2</v>
      </c>
    </row>
    <row r="268" spans="1:13" ht="22">
      <c r="A268" s="2" t="s">
        <v>212</v>
      </c>
      <c r="B268" s="5" t="s">
        <v>775</v>
      </c>
      <c r="D268" s="4">
        <v>874</v>
      </c>
      <c r="E268" s="1">
        <v>354</v>
      </c>
      <c r="F268" s="1">
        <v>142</v>
      </c>
      <c r="G268" s="1">
        <v>34</v>
      </c>
      <c r="I268">
        <f t="shared" si="24"/>
        <v>0.59954499391195415</v>
      </c>
      <c r="J268">
        <f t="shared" si="25"/>
        <v>-0.24974823737291363</v>
      </c>
      <c r="K268">
        <f t="shared" si="26"/>
        <v>-0.46110402050699251</v>
      </c>
      <c r="M268">
        <f t="shared" si="27"/>
        <v>-3.710242132265066E-2</v>
      </c>
    </row>
    <row r="269" spans="1:13" ht="22">
      <c r="A269" s="2" t="s">
        <v>151</v>
      </c>
      <c r="B269" s="5" t="s">
        <v>714</v>
      </c>
      <c r="D269" s="4">
        <v>1499</v>
      </c>
      <c r="E269" s="1">
        <v>1645</v>
      </c>
      <c r="F269" s="1">
        <v>48</v>
      </c>
      <c r="G269" s="1">
        <v>106</v>
      </c>
      <c r="I269">
        <f t="shared" si="24"/>
        <v>1.032417433958283</v>
      </c>
      <c r="J269">
        <f t="shared" si="25"/>
        <v>-0.95508554459425932</v>
      </c>
      <c r="K269">
        <f t="shared" si="26"/>
        <v>-0.20156727249835393</v>
      </c>
      <c r="M269">
        <f t="shared" si="27"/>
        <v>-4.141179437811008E-2</v>
      </c>
    </row>
    <row r="270" spans="1:13" ht="22">
      <c r="A270" s="2" t="s">
        <v>2</v>
      </c>
      <c r="B270" s="5" t="s">
        <v>565</v>
      </c>
      <c r="D270" s="4">
        <v>369</v>
      </c>
      <c r="E270" s="1">
        <v>15</v>
      </c>
      <c r="F270" s="1">
        <v>370</v>
      </c>
      <c r="G270" s="1">
        <v>22</v>
      </c>
      <c r="I270">
        <f t="shared" si="24"/>
        <v>-0.39888194258280962</v>
      </c>
      <c r="J270">
        <f t="shared" si="25"/>
        <v>0.54065020878636749</v>
      </c>
      <c r="K270">
        <f t="shared" si="26"/>
        <v>-0.27567519025169873</v>
      </c>
      <c r="M270">
        <f t="shared" si="27"/>
        <v>-4.4635641349380285E-2</v>
      </c>
    </row>
    <row r="271" spans="1:13" ht="22">
      <c r="A271" s="2" t="s">
        <v>334</v>
      </c>
      <c r="B271" s="5" t="s">
        <v>897</v>
      </c>
      <c r="D271" s="4">
        <v>191</v>
      </c>
      <c r="E271" s="1">
        <v>45</v>
      </c>
      <c r="F271" s="1">
        <v>31</v>
      </c>
      <c r="G271" s="1">
        <v>12</v>
      </c>
      <c r="I271">
        <f t="shared" si="24"/>
        <v>0.36423231104818565</v>
      </c>
      <c r="J271">
        <f t="shared" si="25"/>
        <v>-0.25019682253502196</v>
      </c>
      <c r="K271">
        <f t="shared" si="26"/>
        <v>-0.25292362611494745</v>
      </c>
      <c r="M271">
        <f t="shared" si="27"/>
        <v>-4.629604586726125E-2</v>
      </c>
    </row>
    <row r="272" spans="1:13" ht="22">
      <c r="A272" s="2" t="s">
        <v>391</v>
      </c>
      <c r="B272" s="5" t="s">
        <v>954</v>
      </c>
      <c r="D272" s="4">
        <v>928</v>
      </c>
      <c r="E272" s="1">
        <v>251</v>
      </c>
      <c r="F272" s="1">
        <v>113</v>
      </c>
      <c r="G272" s="1">
        <v>66</v>
      </c>
      <c r="I272">
        <f t="shared" si="24"/>
        <v>0.42417890978274553</v>
      </c>
      <c r="J272">
        <f t="shared" si="25"/>
        <v>-0.37499468185700935</v>
      </c>
      <c r="K272">
        <f t="shared" si="26"/>
        <v>-0.19907554559183804</v>
      </c>
      <c r="M272">
        <f t="shared" si="27"/>
        <v>-4.996377255536729E-2</v>
      </c>
    </row>
    <row r="273" spans="1:13" ht="22">
      <c r="A273" s="2" t="s">
        <v>214</v>
      </c>
      <c r="B273" s="5" t="s">
        <v>777</v>
      </c>
      <c r="D273" s="4">
        <v>425</v>
      </c>
      <c r="E273" s="1">
        <v>28</v>
      </c>
      <c r="F273" s="1">
        <v>347</v>
      </c>
      <c r="G273" s="1">
        <v>18</v>
      </c>
      <c r="I273">
        <f t="shared" si="24"/>
        <v>-0.18917773418752293</v>
      </c>
      <c r="J273">
        <f t="shared" si="25"/>
        <v>0.45141539561899513</v>
      </c>
      <c r="K273">
        <f t="shared" si="26"/>
        <v>-0.42418792986185028</v>
      </c>
      <c r="M273">
        <f t="shared" si="27"/>
        <v>-5.3983422810126025E-2</v>
      </c>
    </row>
    <row r="274" spans="1:13" ht="22">
      <c r="A274" s="2" t="s">
        <v>321</v>
      </c>
      <c r="B274" s="5" t="s">
        <v>884</v>
      </c>
      <c r="D274" s="4">
        <v>292</v>
      </c>
      <c r="E274" s="1">
        <v>25</v>
      </c>
      <c r="F274" s="1">
        <v>18</v>
      </c>
      <c r="G274" s="1">
        <v>125</v>
      </c>
      <c r="I274">
        <f t="shared" si="24"/>
        <v>-7.5389678255811221E-2</v>
      </c>
      <c r="J274">
        <f t="shared" si="25"/>
        <v>-0.67063549546667922</v>
      </c>
      <c r="K274">
        <f t="shared" si="26"/>
        <v>0.58045565664479337</v>
      </c>
      <c r="M274">
        <f t="shared" si="27"/>
        <v>-5.5189839025899023E-2</v>
      </c>
    </row>
    <row r="275" spans="1:13" ht="22">
      <c r="A275" s="2" t="s">
        <v>109</v>
      </c>
      <c r="B275" s="5" t="s">
        <v>672</v>
      </c>
      <c r="D275" s="4">
        <v>307</v>
      </c>
      <c r="E275" s="1">
        <v>109</v>
      </c>
      <c r="F275" s="1">
        <v>26</v>
      </c>
      <c r="G275" s="1">
        <v>23</v>
      </c>
      <c r="I275">
        <f t="shared" si="24"/>
        <v>0.54234128698400652</v>
      </c>
      <c r="J275">
        <f t="shared" si="25"/>
        <v>-0.53269017662793561</v>
      </c>
      <c r="K275">
        <f t="shared" si="26"/>
        <v>-0.17648204437443837</v>
      </c>
      <c r="M275">
        <f t="shared" si="27"/>
        <v>-5.561031133945582E-2</v>
      </c>
    </row>
    <row r="276" spans="1:13" ht="22">
      <c r="A276" s="2" t="s">
        <v>478</v>
      </c>
      <c r="B276" s="5" t="s">
        <v>1041</v>
      </c>
      <c r="D276" s="4">
        <v>581</v>
      </c>
      <c r="E276" s="1">
        <v>97</v>
      </c>
      <c r="F276" s="1">
        <v>155</v>
      </c>
      <c r="G276" s="1">
        <v>28</v>
      </c>
      <c r="I276">
        <f t="shared" si="24"/>
        <v>0.21464876639648356</v>
      </c>
      <c r="J276">
        <f t="shared" si="25"/>
        <v>-3.4369583341606336E-2</v>
      </c>
      <c r="K276">
        <f t="shared" si="26"/>
        <v>-0.36808960596295615</v>
      </c>
      <c r="M276">
        <f t="shared" si="27"/>
        <v>-6.2603474302692974E-2</v>
      </c>
    </row>
    <row r="277" spans="1:13" ht="22">
      <c r="A277" s="2" t="s">
        <v>213</v>
      </c>
      <c r="B277" s="5" t="s">
        <v>776</v>
      </c>
      <c r="D277" s="4">
        <v>243</v>
      </c>
      <c r="E277" s="1">
        <v>140</v>
      </c>
      <c r="F277" s="1">
        <v>7</v>
      </c>
      <c r="G277" s="1">
        <v>31</v>
      </c>
      <c r="I277">
        <f t="shared" si="24"/>
        <v>0.7525749266004953</v>
      </c>
      <c r="J277">
        <f t="shared" si="25"/>
        <v>-1.0010333827056224</v>
      </c>
      <c r="K277">
        <f t="shared" si="26"/>
        <v>5.4683915321115828E-2</v>
      </c>
      <c r="M277">
        <f t="shared" si="27"/>
        <v>-6.4591513594670413E-2</v>
      </c>
    </row>
    <row r="278" spans="1:13" ht="22">
      <c r="A278" s="2" t="s">
        <v>111</v>
      </c>
      <c r="B278" s="5" t="s">
        <v>674</v>
      </c>
      <c r="D278" s="4">
        <v>628</v>
      </c>
      <c r="E278" s="1">
        <v>41</v>
      </c>
      <c r="F278" s="1">
        <v>207</v>
      </c>
      <c r="G278" s="1">
        <v>60</v>
      </c>
      <c r="I278">
        <f t="shared" si="24"/>
        <v>-0.19312262249689116</v>
      </c>
      <c r="J278">
        <f t="shared" si="25"/>
        <v>5.7485552598154521E-2</v>
      </c>
      <c r="K278">
        <f t="shared" si="26"/>
        <v>-7.0879898268397135E-2</v>
      </c>
      <c r="M278">
        <f t="shared" si="27"/>
        <v>-6.8838989389044591E-2</v>
      </c>
    </row>
    <row r="279" spans="1:13" ht="22">
      <c r="A279" s="2" t="s">
        <v>12</v>
      </c>
      <c r="B279" s="5" t="s">
        <v>575</v>
      </c>
      <c r="D279" s="4">
        <v>164</v>
      </c>
      <c r="E279" s="1">
        <v>11</v>
      </c>
      <c r="F279" s="1">
        <v>164</v>
      </c>
      <c r="G279" s="1">
        <v>5</v>
      </c>
      <c r="I279">
        <f t="shared" si="24"/>
        <v>-0.18139799836890336</v>
      </c>
      <c r="J279">
        <f t="shared" si="25"/>
        <v>0.53947485087843294</v>
      </c>
      <c r="K279">
        <f t="shared" si="26"/>
        <v>-0.56694534862652368</v>
      </c>
      <c r="M279">
        <f t="shared" si="27"/>
        <v>-6.9622832038998037E-2</v>
      </c>
    </row>
    <row r="280" spans="1:13" ht="22">
      <c r="A280" s="2" t="s">
        <v>154</v>
      </c>
      <c r="B280" s="5" t="s">
        <v>717</v>
      </c>
      <c r="D280" s="4">
        <v>553</v>
      </c>
      <c r="E280" s="1">
        <v>59</v>
      </c>
      <c r="F280" s="1">
        <v>73</v>
      </c>
      <c r="G280" s="1">
        <v>79</v>
      </c>
      <c r="I280">
        <f t="shared" si="24"/>
        <v>2.0180044858015389E-2</v>
      </c>
      <c r="J280">
        <f t="shared" si="25"/>
        <v>-0.33992742030580947</v>
      </c>
      <c r="K280">
        <f t="shared" si="26"/>
        <v>0.1038304550708985</v>
      </c>
      <c r="M280">
        <f t="shared" si="27"/>
        <v>-7.1972306792298532E-2</v>
      </c>
    </row>
    <row r="281" spans="1:13" ht="22">
      <c r="A281" s="2" t="s">
        <v>368</v>
      </c>
      <c r="B281" s="5" t="s">
        <v>931</v>
      </c>
      <c r="D281" s="4">
        <v>597</v>
      </c>
      <c r="E281" s="1">
        <v>183</v>
      </c>
      <c r="F281" s="1">
        <v>22</v>
      </c>
      <c r="G281" s="1">
        <v>106</v>
      </c>
      <c r="I281">
        <f t="shared" si="24"/>
        <v>0.47852992312162979</v>
      </c>
      <c r="J281">
        <f t="shared" si="25"/>
        <v>-0.89407679942872986</v>
      </c>
      <c r="K281">
        <f t="shared" si="26"/>
        <v>0.19826002922055641</v>
      </c>
      <c r="M281">
        <f t="shared" si="27"/>
        <v>-7.2428949028847889E-2</v>
      </c>
    </row>
    <row r="282" spans="1:13" ht="22">
      <c r="A282" s="2" t="s">
        <v>121</v>
      </c>
      <c r="B282" s="5" t="s">
        <v>684</v>
      </c>
      <c r="D282" s="4">
        <v>237</v>
      </c>
      <c r="E282" s="1">
        <v>11</v>
      </c>
      <c r="F282" s="1">
        <v>2</v>
      </c>
      <c r="G282" s="1">
        <v>1193</v>
      </c>
      <c r="I282">
        <f t="shared" si="24"/>
        <v>-0.34130249633130938</v>
      </c>
      <c r="J282">
        <f t="shared" si="25"/>
        <v>-1.5342434994676899</v>
      </c>
      <c r="K282">
        <f t="shared" si="26"/>
        <v>1.6508205927453932</v>
      </c>
      <c r="M282">
        <f t="shared" si="27"/>
        <v>-7.4908467684535365E-2</v>
      </c>
    </row>
    <row r="283" spans="1:13" ht="22">
      <c r="A283" s="2" t="s">
        <v>167</v>
      </c>
      <c r="B283" s="5" t="s">
        <v>730</v>
      </c>
      <c r="D283" s="4">
        <v>432</v>
      </c>
      <c r="E283" s="1">
        <v>27</v>
      </c>
      <c r="F283" s="1">
        <v>346</v>
      </c>
      <c r="G283" s="1">
        <v>16</v>
      </c>
      <c r="I283">
        <f t="shared" si="24"/>
        <v>-0.21206681813535533</v>
      </c>
      <c r="J283">
        <f t="shared" si="25"/>
        <v>0.44306720285629747</v>
      </c>
      <c r="K283">
        <f t="shared" si="26"/>
        <v>-0.48243526907383205</v>
      </c>
      <c r="M283">
        <f t="shared" si="27"/>
        <v>-8.3811628117629974E-2</v>
      </c>
    </row>
    <row r="284" spans="1:13" ht="22">
      <c r="A284" s="2" t="s">
        <v>162</v>
      </c>
      <c r="B284" s="5" t="s">
        <v>725</v>
      </c>
      <c r="D284" s="4">
        <v>335</v>
      </c>
      <c r="E284" s="1">
        <v>237</v>
      </c>
      <c r="F284" s="1">
        <v>20</v>
      </c>
      <c r="G284" s="1">
        <v>13</v>
      </c>
      <c r="I284">
        <f t="shared" si="24"/>
        <v>0.84175670349382803</v>
      </c>
      <c r="J284">
        <f t="shared" si="25"/>
        <v>-0.684539960494431</v>
      </c>
      <c r="K284">
        <f t="shared" si="26"/>
        <v>-0.46217295964485317</v>
      </c>
      <c r="M284">
        <f t="shared" si="27"/>
        <v>-0.10165207221515205</v>
      </c>
    </row>
    <row r="285" spans="1:13" ht="22">
      <c r="A285" s="2" t="s">
        <v>395</v>
      </c>
      <c r="B285" s="5" t="s">
        <v>958</v>
      </c>
      <c r="D285" s="4">
        <v>690</v>
      </c>
      <c r="E285" s="1">
        <v>270</v>
      </c>
      <c r="F285" s="1">
        <v>31</v>
      </c>
      <c r="G285" s="1">
        <v>63</v>
      </c>
      <c r="I285">
        <f t="shared" si="24"/>
        <v>0.58456783794230149</v>
      </c>
      <c r="J285">
        <f t="shared" si="25"/>
        <v>-0.80801254602454964</v>
      </c>
      <c r="K285">
        <f t="shared" si="26"/>
        <v>-9.0580046198518227E-2</v>
      </c>
      <c r="M285">
        <f t="shared" si="27"/>
        <v>-0.1046749180935888</v>
      </c>
    </row>
    <row r="286" spans="1:13" ht="22">
      <c r="A286" s="2" t="s">
        <v>25</v>
      </c>
      <c r="B286" s="5" t="s">
        <v>588</v>
      </c>
      <c r="D286" s="4">
        <v>628</v>
      </c>
      <c r="E286" s="1">
        <v>205</v>
      </c>
      <c r="F286" s="1">
        <v>168</v>
      </c>
      <c r="G286" s="1">
        <v>11</v>
      </c>
      <c r="I286">
        <f t="shared" si="24"/>
        <v>0.50584738183912759</v>
      </c>
      <c r="J286">
        <f t="shared" si="25"/>
        <v>-3.3175511132900293E-2</v>
      </c>
      <c r="K286">
        <f t="shared" si="26"/>
        <v>-0.80763846349381585</v>
      </c>
      <c r="M286">
        <f t="shared" si="27"/>
        <v>-0.11165553092919618</v>
      </c>
    </row>
    <row r="287" spans="1:13" ht="22">
      <c r="A287" s="2" t="s">
        <v>532</v>
      </c>
      <c r="B287" s="5" t="s">
        <v>1095</v>
      </c>
      <c r="D287" s="4">
        <v>189</v>
      </c>
      <c r="E287" s="1">
        <v>12</v>
      </c>
      <c r="F287" s="1">
        <v>3</v>
      </c>
      <c r="G287" s="1">
        <v>274</v>
      </c>
      <c r="I287">
        <f t="shared" si="24"/>
        <v>-0.20522739360504993</v>
      </c>
      <c r="J287">
        <f t="shared" si="25"/>
        <v>-1.2598656985751489</v>
      </c>
      <c r="K287">
        <f t="shared" si="26"/>
        <v>1.1102172537322992</v>
      </c>
      <c r="M287">
        <f t="shared" si="27"/>
        <v>-0.11829194614929987</v>
      </c>
    </row>
    <row r="288" spans="1:13" ht="22">
      <c r="A288" s="2" t="s">
        <v>119</v>
      </c>
      <c r="B288" s="5" t="s">
        <v>682</v>
      </c>
      <c r="D288" s="4">
        <v>310</v>
      </c>
      <c r="E288" s="1">
        <v>14</v>
      </c>
      <c r="F288" s="1">
        <v>102</v>
      </c>
      <c r="G288" s="1">
        <v>30</v>
      </c>
      <c r="I288">
        <f t="shared" si="24"/>
        <v>-0.35318049363546522</v>
      </c>
      <c r="J288">
        <f t="shared" si="25"/>
        <v>5.6713328806077823E-2</v>
      </c>
      <c r="K288">
        <f t="shared" si="26"/>
        <v>-6.5311944029454949E-2</v>
      </c>
      <c r="M288">
        <f t="shared" si="27"/>
        <v>-0.12059303628628078</v>
      </c>
    </row>
    <row r="289" spans="1:13" ht="22">
      <c r="A289" s="2" t="s">
        <v>141</v>
      </c>
      <c r="B289" s="5" t="s">
        <v>704</v>
      </c>
      <c r="D289" s="4">
        <v>1364</v>
      </c>
      <c r="E289" s="1">
        <v>190</v>
      </c>
      <c r="F289" s="1">
        <v>439</v>
      </c>
      <c r="G289" s="1">
        <v>43</v>
      </c>
      <c r="I289">
        <f t="shared" si="24"/>
        <v>0.13599239515293826</v>
      </c>
      <c r="J289">
        <f t="shared" si="25"/>
        <v>4.7125000800094186E-2</v>
      </c>
      <c r="K289">
        <f t="shared" si="26"/>
        <v>-0.55241741965571833</v>
      </c>
      <c r="M289">
        <f t="shared" si="27"/>
        <v>-0.1231000079008953</v>
      </c>
    </row>
    <row r="290" spans="1:13" ht="22">
      <c r="A290" s="2" t="s">
        <v>460</v>
      </c>
      <c r="B290" s="5" t="s">
        <v>1023</v>
      </c>
      <c r="D290" s="4">
        <v>1185</v>
      </c>
      <c r="E290" s="1">
        <v>6879</v>
      </c>
      <c r="F290" s="1">
        <v>7</v>
      </c>
      <c r="G290" s="1">
        <v>47</v>
      </c>
      <c r="I290">
        <f t="shared" si="24"/>
        <v>1.7558601236240481</v>
      </c>
      <c r="J290">
        <f t="shared" si="25"/>
        <v>-1.689145459453433</v>
      </c>
      <c r="K290">
        <f t="shared" si="26"/>
        <v>-0.4526919973252499</v>
      </c>
      <c r="M290">
        <f t="shared" si="27"/>
        <v>-0.12865911105154493</v>
      </c>
    </row>
    <row r="291" spans="1:13" ht="22">
      <c r="A291" s="2" t="s">
        <v>458</v>
      </c>
      <c r="B291" s="5" t="s">
        <v>1021</v>
      </c>
      <c r="D291" s="4">
        <v>666</v>
      </c>
      <c r="E291" s="1">
        <v>1110</v>
      </c>
      <c r="F291" s="1">
        <v>10</v>
      </c>
      <c r="G291" s="1">
        <v>36</v>
      </c>
      <c r="I291">
        <f t="shared" si="24"/>
        <v>1.2139019141369258</v>
      </c>
      <c r="J291">
        <f t="shared" si="25"/>
        <v>-1.2839993782918682</v>
      </c>
      <c r="K291">
        <f t="shared" si="26"/>
        <v>-0.31824323331785842</v>
      </c>
      <c r="M291">
        <f t="shared" si="27"/>
        <v>-0.12944689915760024</v>
      </c>
    </row>
    <row r="292" spans="1:13" ht="22">
      <c r="A292" s="2" t="s">
        <v>38</v>
      </c>
      <c r="B292" s="5" t="s">
        <v>601</v>
      </c>
      <c r="D292" s="4">
        <v>446</v>
      </c>
      <c r="E292" s="1">
        <v>16</v>
      </c>
      <c r="F292" s="1">
        <v>18</v>
      </c>
      <c r="G292" s="1">
        <v>413</v>
      </c>
      <c r="I292">
        <f t="shared" si="24"/>
        <v>-0.45316171153564766</v>
      </c>
      <c r="J292">
        <f t="shared" si="25"/>
        <v>-0.85458750273040296</v>
      </c>
      <c r="K292">
        <f t="shared" si="26"/>
        <v>0.91554368802941444</v>
      </c>
      <c r="M292">
        <f t="shared" si="27"/>
        <v>-0.13073517541221202</v>
      </c>
    </row>
    <row r="293" spans="1:13" ht="22">
      <c r="A293" s="2" t="s">
        <v>199</v>
      </c>
      <c r="B293" s="5" t="s">
        <v>762</v>
      </c>
      <c r="D293" s="4">
        <v>1027</v>
      </c>
      <c r="E293" s="1">
        <v>379</v>
      </c>
      <c r="F293" s="1">
        <v>94</v>
      </c>
      <c r="G293" s="1">
        <v>39</v>
      </c>
      <c r="I293">
        <f t="shared" si="24"/>
        <v>0.55912193089136353</v>
      </c>
      <c r="J293">
        <f t="shared" si="25"/>
        <v>-0.4989677391191466</v>
      </c>
      <c r="K293">
        <f t="shared" si="26"/>
        <v>-0.47157734148562369</v>
      </c>
      <c r="M293">
        <f t="shared" si="27"/>
        <v>-0.13714104990446893</v>
      </c>
    </row>
    <row r="294" spans="1:13" ht="22">
      <c r="A294" s="2" t="s">
        <v>158</v>
      </c>
      <c r="B294" s="5" t="s">
        <v>721</v>
      </c>
      <c r="D294" s="4">
        <v>650</v>
      </c>
      <c r="E294" s="1">
        <v>198</v>
      </c>
      <c r="F294" s="1">
        <v>28</v>
      </c>
      <c r="G294" s="1">
        <v>63</v>
      </c>
      <c r="I294">
        <f t="shared" si="24"/>
        <v>0.47580499813924504</v>
      </c>
      <c r="J294">
        <f t="shared" si="25"/>
        <v>-0.82628047442220354</v>
      </c>
      <c r="K294">
        <f t="shared" si="26"/>
        <v>-6.4644312104118473E-2</v>
      </c>
      <c r="M294">
        <f t="shared" si="27"/>
        <v>-0.13837326279569231</v>
      </c>
    </row>
    <row r="295" spans="1:13" ht="22">
      <c r="A295" s="2" t="s">
        <v>470</v>
      </c>
      <c r="B295" s="5" t="s">
        <v>1033</v>
      </c>
      <c r="D295" s="4">
        <v>1023</v>
      </c>
      <c r="E295" s="1">
        <v>33</v>
      </c>
      <c r="F295" s="1">
        <v>21</v>
      </c>
      <c r="G295" s="1">
        <v>1946</v>
      </c>
      <c r="I295">
        <f t="shared" si="24"/>
        <v>-0.49930852931370318</v>
      </c>
      <c r="J295">
        <f t="shared" si="25"/>
        <v>-1.1481814880998078</v>
      </c>
      <c r="K295">
        <f t="shared" si="26"/>
        <v>1.2281956973053283</v>
      </c>
      <c r="M295">
        <f t="shared" si="27"/>
        <v>-0.13976477336939422</v>
      </c>
    </row>
    <row r="296" spans="1:13" ht="22">
      <c r="A296" s="2" t="s">
        <v>203</v>
      </c>
      <c r="B296" s="5" t="s">
        <v>766</v>
      </c>
      <c r="D296" s="4">
        <v>639</v>
      </c>
      <c r="E296" s="1">
        <v>168</v>
      </c>
      <c r="F296" s="1">
        <v>59</v>
      </c>
      <c r="G296" s="1">
        <v>33</v>
      </c>
      <c r="I296">
        <f t="shared" si="24"/>
        <v>0.41186158808803219</v>
      </c>
      <c r="J296">
        <f t="shared" si="25"/>
        <v>-0.49517399563782305</v>
      </c>
      <c r="K296">
        <f t="shared" si="26"/>
        <v>-0.33805842319535739</v>
      </c>
      <c r="M296">
        <f t="shared" si="27"/>
        <v>-0.14045694358171609</v>
      </c>
    </row>
    <row r="297" spans="1:13" ht="22">
      <c r="A297" s="2" t="s">
        <v>542</v>
      </c>
      <c r="B297" s="5" t="s">
        <v>1105</v>
      </c>
      <c r="D297" s="4">
        <v>1748</v>
      </c>
      <c r="E297" s="1">
        <v>446</v>
      </c>
      <c r="F297" s="1">
        <v>158</v>
      </c>
      <c r="G297" s="1">
        <v>94</v>
      </c>
      <c r="I297">
        <f t="shared" si="24"/>
        <v>0.39884659493432717</v>
      </c>
      <c r="J297">
        <f t="shared" si="25"/>
        <v>-0.50440949046552863</v>
      </c>
      <c r="K297">
        <f t="shared" si="26"/>
        <v>-0.32048507961353034</v>
      </c>
      <c r="M297">
        <f t="shared" si="27"/>
        <v>-0.14201599171491061</v>
      </c>
    </row>
    <row r="298" spans="1:13" ht="22">
      <c r="A298" s="2" t="s">
        <v>270</v>
      </c>
      <c r="B298" s="5" t="s">
        <v>833</v>
      </c>
      <c r="D298" s="4">
        <v>257</v>
      </c>
      <c r="E298" s="1">
        <v>61</v>
      </c>
      <c r="F298" s="1">
        <v>17</v>
      </c>
      <c r="G298" s="1">
        <v>20</v>
      </c>
      <c r="I298">
        <f t="shared" si="24"/>
        <v>0.36744987620004199</v>
      </c>
      <c r="J298">
        <f t="shared" si="25"/>
        <v>-0.64000935107458756</v>
      </c>
      <c r="K298">
        <f t="shared" si="26"/>
        <v>-0.15997463258215805</v>
      </c>
      <c r="M298">
        <f t="shared" si="27"/>
        <v>-0.14417803581890121</v>
      </c>
    </row>
    <row r="299" spans="1:13" ht="22">
      <c r="A299" s="2" t="s">
        <v>169</v>
      </c>
      <c r="B299" s="5" t="s">
        <v>732</v>
      </c>
      <c r="D299" s="4">
        <v>715</v>
      </c>
      <c r="E299" s="1">
        <v>149</v>
      </c>
      <c r="F299" s="1">
        <v>46</v>
      </c>
      <c r="G299" s="1">
        <v>64</v>
      </c>
      <c r="I299">
        <f t="shared" si="24"/>
        <v>0.31093339113176288</v>
      </c>
      <c r="J299">
        <f t="shared" si="25"/>
        <v>-0.65207335924107357</v>
      </c>
      <c r="K299">
        <f t="shared" si="26"/>
        <v>-9.9197572732038219E-2</v>
      </c>
      <c r="M299">
        <f t="shared" si="27"/>
        <v>-0.14677918028044964</v>
      </c>
    </row>
    <row r="300" spans="1:13" ht="22">
      <c r="A300" s="2" t="s">
        <v>424</v>
      </c>
      <c r="B300" s="5" t="s">
        <v>987</v>
      </c>
      <c r="D300" s="4">
        <v>404</v>
      </c>
      <c r="E300" s="1">
        <v>134</v>
      </c>
      <c r="F300" s="1">
        <v>5</v>
      </c>
      <c r="G300" s="1">
        <v>114</v>
      </c>
      <c r="I300">
        <f t="shared" si="24"/>
        <v>0.51277659777477214</v>
      </c>
      <c r="J300">
        <f t="shared" si="25"/>
        <v>-1.3679365098961531</v>
      </c>
      <c r="K300">
        <f t="shared" si="26"/>
        <v>0.39945198131102289</v>
      </c>
      <c r="M300">
        <f t="shared" si="27"/>
        <v>-0.15190264360345271</v>
      </c>
    </row>
    <row r="301" spans="1:13" ht="22">
      <c r="A301" s="2" t="s">
        <v>91</v>
      </c>
      <c r="B301" s="5" t="s">
        <v>654</v>
      </c>
      <c r="D301" s="4">
        <v>556</v>
      </c>
      <c r="E301" s="1">
        <v>28</v>
      </c>
      <c r="F301" s="1">
        <v>18</v>
      </c>
      <c r="G301" s="1">
        <v>394</v>
      </c>
      <c r="I301">
        <f t="shared" si="24"/>
        <v>-0.3058635957192688</v>
      </c>
      <c r="J301">
        <f t="shared" si="25"/>
        <v>-0.95032743560031852</v>
      </c>
      <c r="K301">
        <f t="shared" si="26"/>
        <v>0.799349925328672</v>
      </c>
      <c r="M301">
        <f t="shared" si="27"/>
        <v>-0.15228036866363839</v>
      </c>
    </row>
    <row r="302" spans="1:13" ht="22">
      <c r="A302" s="2" t="s">
        <v>118</v>
      </c>
      <c r="B302" s="5" t="s">
        <v>681</v>
      </c>
      <c r="D302" s="4">
        <v>266</v>
      </c>
      <c r="E302" s="1">
        <v>24</v>
      </c>
      <c r="F302" s="1">
        <v>18</v>
      </c>
      <c r="G302" s="1">
        <v>50</v>
      </c>
      <c r="I302">
        <f t="shared" si="24"/>
        <v>-5.2617230398891435E-2</v>
      </c>
      <c r="J302">
        <f t="shared" si="25"/>
        <v>-0.63013428064932808</v>
      </c>
      <c r="K302">
        <f t="shared" si="26"/>
        <v>0.22301686279010713</v>
      </c>
      <c r="M302">
        <f t="shared" si="27"/>
        <v>-0.15324488275270412</v>
      </c>
    </row>
    <row r="303" spans="1:13" ht="22">
      <c r="A303" s="2" t="s">
        <v>260</v>
      </c>
      <c r="B303" s="5" t="s">
        <v>823</v>
      </c>
      <c r="D303" s="4">
        <v>131</v>
      </c>
      <c r="E303" s="1">
        <v>9</v>
      </c>
      <c r="F303" s="1">
        <v>71</v>
      </c>
      <c r="G303" s="1">
        <v>4</v>
      </c>
      <c r="I303">
        <f t="shared" si="24"/>
        <v>-0.17097562169586999</v>
      </c>
      <c r="J303">
        <f t="shared" si="25"/>
        <v>0.27346190394174397</v>
      </c>
      <c r="K303">
        <f t="shared" si="26"/>
        <v>-0.56628280924264662</v>
      </c>
      <c r="M303">
        <f t="shared" si="27"/>
        <v>-0.15459884233225754</v>
      </c>
    </row>
    <row r="304" spans="1:13" ht="22">
      <c r="A304" s="2" t="s">
        <v>444</v>
      </c>
      <c r="B304" s="5" t="s">
        <v>1007</v>
      </c>
      <c r="D304" s="4">
        <v>204</v>
      </c>
      <c r="E304" s="1">
        <v>10</v>
      </c>
      <c r="F304" s="1">
        <v>6</v>
      </c>
      <c r="G304" s="1">
        <v>149</v>
      </c>
      <c r="I304">
        <f t="shared" si="24"/>
        <v>-0.31757700290532931</v>
      </c>
      <c r="J304">
        <f t="shared" si="25"/>
        <v>-0.9920040661638222</v>
      </c>
      <c r="K304">
        <f t="shared" si="26"/>
        <v>0.81248459607153056</v>
      </c>
      <c r="M304">
        <f t="shared" si="27"/>
        <v>-0.16569882433254027</v>
      </c>
    </row>
    <row r="305" spans="1:13" ht="22">
      <c r="A305" s="2" t="s">
        <v>380</v>
      </c>
      <c r="B305" s="5" t="s">
        <v>943</v>
      </c>
      <c r="D305" s="4">
        <v>1275</v>
      </c>
      <c r="E305" s="1">
        <v>113</v>
      </c>
      <c r="F305" s="1">
        <v>83</v>
      </c>
      <c r="G305" s="1">
        <v>232</v>
      </c>
      <c r="I305">
        <f t="shared" si="24"/>
        <v>-6.0378576765984793E-2</v>
      </c>
      <c r="J305">
        <f t="shared" si="25"/>
        <v>-0.64695724151546707</v>
      </c>
      <c r="K305">
        <f t="shared" si="26"/>
        <v>0.20890629520608095</v>
      </c>
      <c r="M305">
        <f t="shared" si="27"/>
        <v>-0.16614317435845696</v>
      </c>
    </row>
    <row r="306" spans="1:13" ht="22">
      <c r="A306" s="2" t="s">
        <v>128</v>
      </c>
      <c r="B306" s="5" t="s">
        <v>691</v>
      </c>
      <c r="D306" s="4">
        <v>545</v>
      </c>
      <c r="E306" s="1">
        <v>90</v>
      </c>
      <c r="F306" s="1">
        <v>33</v>
      </c>
      <c r="G306" s="1">
        <v>56</v>
      </c>
      <c r="I306">
        <f t="shared" ref="I306:I369" si="28">LOG(E306/D306)-LOG(182/1787)</f>
        <v>0.2098991716832519</v>
      </c>
      <c r="J306">
        <f t="shared" ref="J306:J369" si="29">LOG(F306/D306)-LOG(516/1787)</f>
        <v>-0.67840771152032209</v>
      </c>
      <c r="K306">
        <f t="shared" ref="K306:K369" si="30">LOG(G306/D306)-LOG(201/1787)</f>
        <v>-3.9279980185286667E-2</v>
      </c>
      <c r="M306">
        <f t="shared" ref="M306:M369" si="31">AVERAGE(I306:K306)</f>
        <v>-0.16926284000745229</v>
      </c>
    </row>
    <row r="307" spans="1:13" ht="22">
      <c r="A307" s="2" t="s">
        <v>379</v>
      </c>
      <c r="B307" s="5" t="s">
        <v>942</v>
      </c>
      <c r="D307" s="4">
        <v>749</v>
      </c>
      <c r="E307" s="1">
        <v>264</v>
      </c>
      <c r="F307" s="1">
        <v>25</v>
      </c>
      <c r="G307" s="1">
        <v>63</v>
      </c>
      <c r="I307">
        <f t="shared" si="28"/>
        <v>0.5391752736909341</v>
      </c>
      <c r="J307">
        <f t="shared" si="29"/>
        <v>-0.93706695814899599</v>
      </c>
      <c r="K307">
        <f t="shared" si="30"/>
        <v>-0.12621277316072943</v>
      </c>
      <c r="M307">
        <f t="shared" si="31"/>
        <v>-0.17470148587293044</v>
      </c>
    </row>
    <row r="308" spans="1:13" ht="22">
      <c r="A308" s="2" t="s">
        <v>306</v>
      </c>
      <c r="B308" s="5" t="s">
        <v>869</v>
      </c>
      <c r="D308" s="4">
        <v>170</v>
      </c>
      <c r="E308" s="1">
        <v>10</v>
      </c>
      <c r="F308" s="1">
        <v>42</v>
      </c>
      <c r="G308" s="1">
        <v>11</v>
      </c>
      <c r="I308">
        <f t="shared" si="28"/>
        <v>-0.23839575685770442</v>
      </c>
      <c r="J308">
        <f t="shared" si="29"/>
        <v>-6.7724780101940496E-2</v>
      </c>
      <c r="K308">
        <f t="shared" si="30"/>
        <v>-0.24012774113489344</v>
      </c>
      <c r="M308">
        <f t="shared" si="31"/>
        <v>-0.18208275936484611</v>
      </c>
    </row>
    <row r="309" spans="1:13" ht="22">
      <c r="A309" s="2" t="s">
        <v>352</v>
      </c>
      <c r="B309" s="5" t="s">
        <v>915</v>
      </c>
      <c r="D309" s="4">
        <v>1030</v>
      </c>
      <c r="E309" s="1">
        <v>431</v>
      </c>
      <c r="F309" s="1">
        <v>54</v>
      </c>
      <c r="G309" s="1">
        <v>44</v>
      </c>
      <c r="I309">
        <f t="shared" si="28"/>
        <v>0.61369320997612886</v>
      </c>
      <c r="J309">
        <f t="shared" si="29"/>
        <v>-0.74096861400377068</v>
      </c>
      <c r="K309">
        <f t="shared" si="30"/>
        <v>-0.4204560531338295</v>
      </c>
      <c r="M309">
        <f t="shared" si="31"/>
        <v>-0.1825771523871571</v>
      </c>
    </row>
    <row r="310" spans="1:13" ht="22">
      <c r="A310" s="2" t="s">
        <v>348</v>
      </c>
      <c r="B310" s="5" t="s">
        <v>911</v>
      </c>
      <c r="D310" s="4">
        <v>474</v>
      </c>
      <c r="E310" s="1">
        <v>15</v>
      </c>
      <c r="F310" s="1">
        <v>14</v>
      </c>
      <c r="G310" s="1">
        <v>470</v>
      </c>
      <c r="I310">
        <f t="shared" si="28"/>
        <v>-0.50763391809783442</v>
      </c>
      <c r="J310">
        <f t="shared" si="29"/>
        <v>-0.99017545511741412</v>
      </c>
      <c r="K310">
        <f t="shared" si="30"/>
        <v>0.94524801134678771</v>
      </c>
      <c r="M310">
        <f t="shared" si="31"/>
        <v>-0.18418712062282031</v>
      </c>
    </row>
    <row r="311" spans="1:13" ht="22">
      <c r="A311" s="2" t="s">
        <v>21</v>
      </c>
      <c r="B311" s="5" t="s">
        <v>584</v>
      </c>
      <c r="D311" s="4">
        <v>288</v>
      </c>
      <c r="E311" s="1">
        <v>70</v>
      </c>
      <c r="F311" s="1">
        <v>39</v>
      </c>
      <c r="G311" s="1">
        <v>8</v>
      </c>
      <c r="I311">
        <f t="shared" si="28"/>
        <v>0.37775871677559547</v>
      </c>
      <c r="J311">
        <f t="shared" si="29"/>
        <v>-0.32885302985429876</v>
      </c>
      <c r="K311">
        <f t="shared" si="30"/>
        <v>-0.60737400568213196</v>
      </c>
      <c r="M311">
        <f t="shared" si="31"/>
        <v>-0.18615610625361176</v>
      </c>
    </row>
    <row r="312" spans="1:13" ht="22">
      <c r="A312" s="2" t="s">
        <v>386</v>
      </c>
      <c r="B312" s="5" t="s">
        <v>949</v>
      </c>
      <c r="D312" s="4">
        <v>899</v>
      </c>
      <c r="E312" s="1">
        <v>1667</v>
      </c>
      <c r="F312" s="1">
        <v>7</v>
      </c>
      <c r="G312" s="1">
        <v>53</v>
      </c>
      <c r="I312">
        <f t="shared" si="28"/>
        <v>1.260229072615346</v>
      </c>
      <c r="J312">
        <f t="shared" si="29"/>
        <v>-1.569186800840539</v>
      </c>
      <c r="K312">
        <f t="shared" si="30"/>
        <v>-0.28055532704728448</v>
      </c>
      <c r="M312">
        <f t="shared" si="31"/>
        <v>-0.19650435175749248</v>
      </c>
    </row>
    <row r="313" spans="1:13" ht="22">
      <c r="A313" s="2" t="s">
        <v>227</v>
      </c>
      <c r="B313" s="5" t="s">
        <v>790</v>
      </c>
      <c r="D313" s="4">
        <v>1199</v>
      </c>
      <c r="E313" s="1">
        <v>121</v>
      </c>
      <c r="F313" s="1">
        <v>244</v>
      </c>
      <c r="G313" s="1">
        <v>49</v>
      </c>
      <c r="I313">
        <f t="shared" si="28"/>
        <v>-3.9806482618290895E-3</v>
      </c>
      <c r="J313">
        <f t="shared" si="29"/>
        <v>-0.15195450588168635</v>
      </c>
      <c r="K313">
        <f t="shared" si="30"/>
        <v>-0.43969460798517979</v>
      </c>
      <c r="M313">
        <f t="shared" si="31"/>
        <v>-0.19854325404289841</v>
      </c>
    </row>
    <row r="314" spans="1:13" ht="22">
      <c r="A314" s="2" t="s">
        <v>92</v>
      </c>
      <c r="B314" s="5" t="s">
        <v>655</v>
      </c>
      <c r="D314" s="4">
        <v>888</v>
      </c>
      <c r="E314" s="1">
        <v>194</v>
      </c>
      <c r="F314" s="1">
        <v>43</v>
      </c>
      <c r="G314" s="1">
        <v>69</v>
      </c>
      <c r="I314">
        <f t="shared" si="28"/>
        <v>0.33144192867219446</v>
      </c>
      <c r="J314">
        <f t="shared" si="29"/>
        <v>-0.77546965932058154</v>
      </c>
      <c r="K314">
        <f t="shared" si="30"/>
        <v>-0.16063537995619037</v>
      </c>
      <c r="M314">
        <f t="shared" si="31"/>
        <v>-0.20155437020152581</v>
      </c>
    </row>
    <row r="315" spans="1:13" ht="22">
      <c r="A315" s="2" t="s">
        <v>29</v>
      </c>
      <c r="B315" s="5" t="s">
        <v>592</v>
      </c>
      <c r="D315" s="4">
        <v>471</v>
      </c>
      <c r="E315" s="1">
        <v>80</v>
      </c>
      <c r="F315" s="1">
        <v>27</v>
      </c>
      <c r="G315" s="1">
        <v>39</v>
      </c>
      <c r="I315">
        <f t="shared" si="28"/>
        <v>0.22212224438361683</v>
      </c>
      <c r="J315">
        <f t="shared" si="29"/>
        <v>-0.70218229209147587</v>
      </c>
      <c r="K315">
        <f t="shared" si="30"/>
        <v>-0.13302780501724176</v>
      </c>
      <c r="M315">
        <f t="shared" si="31"/>
        <v>-0.2043626175750336</v>
      </c>
    </row>
    <row r="316" spans="1:13" ht="22">
      <c r="A316" s="2" t="s">
        <v>290</v>
      </c>
      <c r="B316" s="5" t="s">
        <v>853</v>
      </c>
      <c r="D316" s="4">
        <v>86</v>
      </c>
      <c r="E316" s="1">
        <v>18</v>
      </c>
      <c r="F316" s="1">
        <v>2</v>
      </c>
      <c r="G316" s="1">
        <v>14</v>
      </c>
      <c r="I316">
        <f t="shared" si="28"/>
        <v>0.3128272183803078</v>
      </c>
      <c r="J316">
        <f t="shared" si="29"/>
        <v>-1.0939936047011538</v>
      </c>
      <c r="K316">
        <f t="shared" si="30"/>
        <v>0.16055807951982559</v>
      </c>
      <c r="M316">
        <f t="shared" si="31"/>
        <v>-0.20686943560034013</v>
      </c>
    </row>
    <row r="317" spans="1:13" ht="22">
      <c r="A317" s="2" t="s">
        <v>522</v>
      </c>
      <c r="B317" s="5" t="s">
        <v>1085</v>
      </c>
      <c r="D317" s="4">
        <v>663</v>
      </c>
      <c r="E317" s="1">
        <v>248</v>
      </c>
      <c r="F317" s="1">
        <v>13</v>
      </c>
      <c r="G317" s="1">
        <v>71</v>
      </c>
      <c r="I317">
        <f t="shared" si="28"/>
        <v>0.56499131694201266</v>
      </c>
      <c r="J317">
        <f t="shared" si="29"/>
        <v>-1.1680953252195034</v>
      </c>
      <c r="K317">
        <f t="shared" si="30"/>
        <v>-2.1326684600542545E-2</v>
      </c>
      <c r="M317">
        <f t="shared" si="31"/>
        <v>-0.20814356429267777</v>
      </c>
    </row>
    <row r="318" spans="1:13" ht="22">
      <c r="A318" s="2" t="s">
        <v>367</v>
      </c>
      <c r="B318" s="5" t="s">
        <v>930</v>
      </c>
      <c r="D318" s="4">
        <v>817</v>
      </c>
      <c r="E318" s="1">
        <v>55</v>
      </c>
      <c r="F318" s="1">
        <v>90</v>
      </c>
      <c r="G318" s="1">
        <v>86</v>
      </c>
      <c r="I318">
        <f t="shared" si="28"/>
        <v>-0.17980620251760215</v>
      </c>
      <c r="J318">
        <f t="shared" si="29"/>
        <v>-0.41850469621465769</v>
      </c>
      <c r="K318">
        <f t="shared" si="30"/>
        <v>-2.879511020369252E-2</v>
      </c>
      <c r="M318">
        <f t="shared" si="31"/>
        <v>-0.20903533631198412</v>
      </c>
    </row>
    <row r="319" spans="1:13" ht="22">
      <c r="A319" s="2" t="s">
        <v>360</v>
      </c>
      <c r="B319" s="5" t="s">
        <v>923</v>
      </c>
      <c r="D319" s="4">
        <v>1250</v>
      </c>
      <c r="E319" s="1">
        <v>75</v>
      </c>
      <c r="F319" s="1">
        <v>334</v>
      </c>
      <c r="G319" s="1">
        <v>60</v>
      </c>
      <c r="I319">
        <f t="shared" si="28"/>
        <v>-0.2297955850957869</v>
      </c>
      <c r="J319">
        <f t="shared" si="29"/>
        <v>-3.3688695318058959E-2</v>
      </c>
      <c r="K319">
        <f t="shared" si="30"/>
        <v>-0.36983026753925752</v>
      </c>
      <c r="M319">
        <f t="shared" si="31"/>
        <v>-0.21110484931770113</v>
      </c>
    </row>
    <row r="320" spans="1:13" ht="22">
      <c r="A320" s="2" t="s">
        <v>105</v>
      </c>
      <c r="B320" s="5" t="s">
        <v>668</v>
      </c>
      <c r="D320" s="4">
        <v>488</v>
      </c>
      <c r="E320" s="1">
        <v>1147</v>
      </c>
      <c r="F320" s="1">
        <v>19</v>
      </c>
      <c r="G320" s="1">
        <v>4</v>
      </c>
      <c r="I320">
        <f t="shared" si="28"/>
        <v>1.3631967604191266</v>
      </c>
      <c r="J320">
        <f t="shared" si="29"/>
        <v>-0.87019137017144865</v>
      </c>
      <c r="K320">
        <f t="shared" si="30"/>
        <v>-1.1374313355895931</v>
      </c>
      <c r="M320">
        <f t="shared" si="31"/>
        <v>-0.21480864844730505</v>
      </c>
    </row>
    <row r="321" spans="1:13" ht="22">
      <c r="A321" s="2" t="s">
        <v>191</v>
      </c>
      <c r="B321" s="5" t="s">
        <v>754</v>
      </c>
      <c r="D321" s="4">
        <v>692</v>
      </c>
      <c r="E321" s="1">
        <v>57</v>
      </c>
      <c r="F321" s="1">
        <v>87</v>
      </c>
      <c r="G321" s="1">
        <v>50</v>
      </c>
      <c r="I321">
        <f t="shared" si="28"/>
        <v>-9.2178074263696841E-2</v>
      </c>
      <c r="J321">
        <f t="shared" si="29"/>
        <v>-0.36111199095970636</v>
      </c>
      <c r="K321">
        <f t="shared" si="30"/>
        <v>-0.19220759503558371</v>
      </c>
      <c r="M321">
        <f t="shared" si="31"/>
        <v>-0.21516588675299564</v>
      </c>
    </row>
    <row r="322" spans="1:13" ht="22">
      <c r="A322" s="2" t="s">
        <v>195</v>
      </c>
      <c r="B322" s="5" t="s">
        <v>758</v>
      </c>
      <c r="D322" s="4">
        <v>1325</v>
      </c>
      <c r="E322" s="1">
        <v>293</v>
      </c>
      <c r="F322" s="1">
        <v>76</v>
      </c>
      <c r="G322" s="1">
        <v>75</v>
      </c>
      <c r="I322">
        <f t="shared" si="28"/>
        <v>0.33670490660185226</v>
      </c>
      <c r="J322">
        <f t="shared" si="29"/>
        <v>-0.70192743511360234</v>
      </c>
      <c r="K322">
        <f t="shared" si="30"/>
        <v>-0.29822611979597125</v>
      </c>
      <c r="M322">
        <f t="shared" si="31"/>
        <v>-0.22114954943590712</v>
      </c>
    </row>
    <row r="323" spans="1:13" ht="22">
      <c r="A323" s="2" t="s">
        <v>90</v>
      </c>
      <c r="B323" s="5" t="s">
        <v>653</v>
      </c>
      <c r="D323" s="4">
        <v>461</v>
      </c>
      <c r="E323" s="1">
        <v>33</v>
      </c>
      <c r="F323" s="1">
        <v>95</v>
      </c>
      <c r="G323" s="1">
        <v>22</v>
      </c>
      <c r="I323">
        <f t="shared" si="28"/>
        <v>-0.15313382099119122</v>
      </c>
      <c r="J323">
        <f t="shared" si="29"/>
        <v>-0.14650246922236743</v>
      </c>
      <c r="K323">
        <f t="shared" si="30"/>
        <v>-0.37234974948228672</v>
      </c>
      <c r="M323">
        <f t="shared" si="31"/>
        <v>-0.22399534656528178</v>
      </c>
    </row>
    <row r="324" spans="1:13" ht="22">
      <c r="A324" s="2" t="s">
        <v>551</v>
      </c>
      <c r="B324" s="5" t="s">
        <v>1114</v>
      </c>
      <c r="D324" s="4">
        <v>453</v>
      </c>
      <c r="E324" s="1">
        <v>207</v>
      </c>
      <c r="F324" s="1">
        <v>4</v>
      </c>
      <c r="G324" s="1">
        <v>79</v>
      </c>
      <c r="I324">
        <f t="shared" si="28"/>
        <v>0.65192530796465542</v>
      </c>
      <c r="J324">
        <f t="shared" si="29"/>
        <v>-1.5145633598064365</v>
      </c>
      <c r="K324">
        <f t="shared" si="30"/>
        <v>0.19045738436276483</v>
      </c>
      <c r="M324">
        <f t="shared" si="31"/>
        <v>-0.22406022249300542</v>
      </c>
    </row>
    <row r="325" spans="1:13" ht="22">
      <c r="A325" s="2" t="s">
        <v>384</v>
      </c>
      <c r="B325" s="5" t="s">
        <v>947</v>
      </c>
      <c r="D325" s="4">
        <v>788</v>
      </c>
      <c r="E325" s="1">
        <v>359</v>
      </c>
      <c r="F325" s="1">
        <v>19</v>
      </c>
      <c r="G325" s="1">
        <v>49</v>
      </c>
      <c r="I325">
        <f t="shared" si="28"/>
        <v>0.6506213956093333</v>
      </c>
      <c r="J325">
        <f t="shared" si="29"/>
        <v>-1.0782977656582933</v>
      </c>
      <c r="K325">
        <f t="shared" si="30"/>
        <v>-0.25740164237588625</v>
      </c>
      <c r="M325">
        <f t="shared" si="31"/>
        <v>-0.22835933747494874</v>
      </c>
    </row>
    <row r="326" spans="1:13" ht="22">
      <c r="A326" s="2" t="s">
        <v>539</v>
      </c>
      <c r="B326" s="5" t="s">
        <v>1102</v>
      </c>
      <c r="D326" s="4">
        <v>1134</v>
      </c>
      <c r="E326" s="1">
        <v>57</v>
      </c>
      <c r="F326" s="1">
        <v>50</v>
      </c>
      <c r="G326" s="1">
        <v>346</v>
      </c>
      <c r="I326">
        <f t="shared" si="28"/>
        <v>-0.30668503436382699</v>
      </c>
      <c r="J326">
        <f t="shared" si="29"/>
        <v>-0.81616819934243601</v>
      </c>
      <c r="K326">
        <f t="shared" si="30"/>
        <v>0.43339153932104413</v>
      </c>
      <c r="M326">
        <f t="shared" si="31"/>
        <v>-0.22982056479507293</v>
      </c>
    </row>
    <row r="327" spans="1:13" ht="22">
      <c r="A327" s="2" t="s">
        <v>453</v>
      </c>
      <c r="B327" s="5" t="s">
        <v>1016</v>
      </c>
      <c r="D327" s="4">
        <v>881</v>
      </c>
      <c r="E327" s="1">
        <v>23</v>
      </c>
      <c r="F327" s="1">
        <v>41</v>
      </c>
      <c r="G327" s="1">
        <v>475</v>
      </c>
      <c r="I327">
        <f t="shared" si="28"/>
        <v>-0.59119490787388562</v>
      </c>
      <c r="J327">
        <f t="shared" si="29"/>
        <v>-0.79271720081387953</v>
      </c>
      <c r="K327">
        <f t="shared" si="30"/>
        <v>0.68064619629797396</v>
      </c>
      <c r="M327">
        <f t="shared" si="31"/>
        <v>-0.23442197079659702</v>
      </c>
    </row>
    <row r="328" spans="1:13" ht="22">
      <c r="A328" s="2" t="s">
        <v>204</v>
      </c>
      <c r="B328" s="5" t="s">
        <v>767</v>
      </c>
      <c r="D328" s="4">
        <v>482</v>
      </c>
      <c r="E328" s="1">
        <v>31</v>
      </c>
      <c r="F328" s="1">
        <v>112</v>
      </c>
      <c r="G328" s="1">
        <v>21</v>
      </c>
      <c r="I328">
        <f t="shared" si="28"/>
        <v>-0.1996321798840075</v>
      </c>
      <c r="J328">
        <f t="shared" si="29"/>
        <v>-9.4354164690235054E-2</v>
      </c>
      <c r="K328">
        <f t="shared" si="30"/>
        <v>-0.41189924841977499</v>
      </c>
      <c r="M328">
        <f t="shared" si="31"/>
        <v>-0.23529519766467252</v>
      </c>
    </row>
    <row r="329" spans="1:13" ht="22">
      <c r="A329" s="2" t="s">
        <v>544</v>
      </c>
      <c r="B329" s="5" t="s">
        <v>1107</v>
      </c>
      <c r="D329" s="4">
        <v>920</v>
      </c>
      <c r="E329" s="1">
        <v>710</v>
      </c>
      <c r="F329" s="1">
        <v>31</v>
      </c>
      <c r="G329" s="1">
        <v>23</v>
      </c>
      <c r="I329">
        <f t="shared" si="28"/>
        <v>0.87952368589408947</v>
      </c>
      <c r="J329">
        <f t="shared" si="29"/>
        <v>-0.93295128263284954</v>
      </c>
      <c r="K329">
        <f t="shared" si="30"/>
        <v>-0.65313149624280697</v>
      </c>
      <c r="M329">
        <f t="shared" si="31"/>
        <v>-0.23551969766052236</v>
      </c>
    </row>
    <row r="330" spans="1:13" ht="22">
      <c r="A330" s="2" t="s">
        <v>406</v>
      </c>
      <c r="B330" s="5" t="s">
        <v>969</v>
      </c>
      <c r="D330" s="4">
        <v>1884</v>
      </c>
      <c r="E330" s="1">
        <v>115</v>
      </c>
      <c r="F330" s="1">
        <v>140</v>
      </c>
      <c r="G330" s="1">
        <v>264</v>
      </c>
      <c r="I330">
        <f t="shared" si="28"/>
        <v>-0.22232989358267741</v>
      </c>
      <c r="J330">
        <f t="shared" si="29"/>
        <v>-0.58947801190018756</v>
      </c>
      <c r="K330">
        <f t="shared" si="30"/>
        <v>9.5451523498127799E-2</v>
      </c>
      <c r="M330">
        <f t="shared" si="31"/>
        <v>-0.23878546066157905</v>
      </c>
    </row>
    <row r="331" spans="1:13" ht="22">
      <c r="A331" s="2" t="s">
        <v>23</v>
      </c>
      <c r="B331" s="5" t="s">
        <v>586</v>
      </c>
      <c r="D331" s="4">
        <v>323</v>
      </c>
      <c r="E331" s="1">
        <v>688</v>
      </c>
      <c r="F331" s="1">
        <v>30</v>
      </c>
      <c r="G331" s="1">
        <v>1</v>
      </c>
      <c r="I331">
        <f t="shared" si="28"/>
        <v>1.3204390804249779</v>
      </c>
      <c r="J331">
        <f t="shared" si="29"/>
        <v>-0.49260641673300742</v>
      </c>
      <c r="K331">
        <f t="shared" si="30"/>
        <v>-1.5602740272459477</v>
      </c>
      <c r="M331">
        <f t="shared" si="31"/>
        <v>-0.24414712118465906</v>
      </c>
    </row>
    <row r="332" spans="1:13" ht="22">
      <c r="A332" s="2" t="s">
        <v>22</v>
      </c>
      <c r="B332" s="5" t="s">
        <v>585</v>
      </c>
      <c r="D332" s="4">
        <v>297</v>
      </c>
      <c r="E332" s="1">
        <v>2</v>
      </c>
      <c r="F332" s="1">
        <v>276</v>
      </c>
      <c r="G332" s="1">
        <v>29</v>
      </c>
      <c r="I332">
        <f t="shared" si="28"/>
        <v>-1.1796732891326616</v>
      </c>
      <c r="J332">
        <f t="shared" si="29"/>
        <v>0.50762748362643828</v>
      </c>
      <c r="K332">
        <f t="shared" si="30"/>
        <v>-6.1429956333100888E-2</v>
      </c>
      <c r="M332">
        <f t="shared" si="31"/>
        <v>-0.24449192061310807</v>
      </c>
    </row>
    <row r="333" spans="1:13" ht="22">
      <c r="A333" s="2" t="s">
        <v>182</v>
      </c>
      <c r="B333" s="5" t="s">
        <v>745</v>
      </c>
      <c r="D333" s="4">
        <v>403</v>
      </c>
      <c r="E333" s="1">
        <v>285</v>
      </c>
      <c r="F333" s="1">
        <v>6</v>
      </c>
      <c r="G333" s="1">
        <v>22</v>
      </c>
      <c r="I333">
        <f t="shared" si="28"/>
        <v>0.8415929783879702</v>
      </c>
      <c r="J333">
        <f t="shared" si="29"/>
        <v>-1.2876789448790329</v>
      </c>
      <c r="K333">
        <f t="shared" si="30"/>
        <v>-0.31395387023374788</v>
      </c>
      <c r="M333">
        <f t="shared" si="31"/>
        <v>-0.25334661224160354</v>
      </c>
    </row>
    <row r="334" spans="1:13" ht="22">
      <c r="A334" s="2" t="s">
        <v>401</v>
      </c>
      <c r="B334" s="5" t="s">
        <v>964</v>
      </c>
      <c r="D334" s="4">
        <v>507</v>
      </c>
      <c r="E334" s="1">
        <v>44</v>
      </c>
      <c r="F334" s="1">
        <v>31</v>
      </c>
      <c r="G334" s="1">
        <v>54</v>
      </c>
      <c r="I334">
        <f t="shared" si="28"/>
        <v>-6.9502118326579154E-2</v>
      </c>
      <c r="J334">
        <f t="shared" si="29"/>
        <v>-0.67417141462063046</v>
      </c>
      <c r="K334">
        <f t="shared" si="30"/>
        <v>-2.3685704425212117E-2</v>
      </c>
      <c r="M334">
        <f t="shared" si="31"/>
        <v>-0.25578641245747391</v>
      </c>
    </row>
    <row r="335" spans="1:13" ht="22">
      <c r="A335" s="2" t="s">
        <v>63</v>
      </c>
      <c r="B335" s="5" t="s">
        <v>626</v>
      </c>
      <c r="D335" s="4">
        <v>119</v>
      </c>
      <c r="E335" s="1">
        <v>5</v>
      </c>
      <c r="F335" s="1">
        <v>11</v>
      </c>
      <c r="G335" s="1">
        <v>17</v>
      </c>
      <c r="I335">
        <f t="shared" si="28"/>
        <v>-0.38452379253594238</v>
      </c>
      <c r="J335">
        <f t="shared" si="29"/>
        <v>-0.49467942535587273</v>
      </c>
      <c r="K335">
        <f t="shared" si="30"/>
        <v>0.1038304550708985</v>
      </c>
      <c r="M335">
        <f t="shared" si="31"/>
        <v>-0.25845758760697218</v>
      </c>
    </row>
    <row r="336" spans="1:13" ht="22">
      <c r="A336" s="2" t="s">
        <v>363</v>
      </c>
      <c r="B336" s="5" t="s">
        <v>926</v>
      </c>
      <c r="D336" s="4">
        <v>1295</v>
      </c>
      <c r="E336" s="1">
        <v>81</v>
      </c>
      <c r="F336" s="1">
        <v>69</v>
      </c>
      <c r="G336" s="1">
        <v>214</v>
      </c>
      <c r="I336">
        <f t="shared" si="28"/>
        <v>-0.21173158501805145</v>
      </c>
      <c r="J336">
        <f t="shared" si="29"/>
        <v>-0.73394582680158249</v>
      </c>
      <c r="K336">
        <f t="shared" si="30"/>
        <v>0.16707250001707552</v>
      </c>
      <c r="M336">
        <f t="shared" si="31"/>
        <v>-0.25953497060085279</v>
      </c>
    </row>
    <row r="337" spans="1:13" ht="22">
      <c r="A337" s="2" t="s">
        <v>3</v>
      </c>
      <c r="B337" s="5" t="s">
        <v>566</v>
      </c>
      <c r="D337" s="4">
        <v>370</v>
      </c>
      <c r="E337" s="1">
        <v>31</v>
      </c>
      <c r="F337" s="1">
        <v>39</v>
      </c>
      <c r="G337" s="1">
        <v>23</v>
      </c>
      <c r="I337">
        <f t="shared" si="28"/>
        <v>-8.4786865712152881E-2</v>
      </c>
      <c r="J337">
        <f t="shared" si="29"/>
        <v>-0.43766226616206283</v>
      </c>
      <c r="K337">
        <f t="shared" si="30"/>
        <v>-0.25754539296424683</v>
      </c>
      <c r="M337">
        <f t="shared" si="31"/>
        <v>-0.25999817494615418</v>
      </c>
    </row>
    <row r="338" spans="1:13" ht="22">
      <c r="A338" s="2" t="s">
        <v>1</v>
      </c>
      <c r="B338" s="5" t="s">
        <v>564</v>
      </c>
      <c r="D338" s="4">
        <v>159</v>
      </c>
      <c r="E338" s="1">
        <v>4</v>
      </c>
      <c r="F338" s="1">
        <v>45</v>
      </c>
      <c r="G338" s="1">
        <v>12</v>
      </c>
      <c r="I338">
        <f t="shared" si="28"/>
        <v>-0.60728396847191957</v>
      </c>
      <c r="J338">
        <f t="shared" si="29"/>
        <v>-8.7097596666748656E-3</v>
      </c>
      <c r="K338">
        <f t="shared" si="30"/>
        <v>-0.17328738318767134</v>
      </c>
      <c r="M338">
        <f t="shared" si="31"/>
        <v>-0.26309370377542191</v>
      </c>
    </row>
    <row r="339" spans="1:13" ht="22">
      <c r="A339" s="2" t="s">
        <v>484</v>
      </c>
      <c r="B339" s="5" t="s">
        <v>1047</v>
      </c>
      <c r="D339" s="4">
        <v>1145</v>
      </c>
      <c r="E339" s="1">
        <v>56</v>
      </c>
      <c r="F339" s="1">
        <v>319</v>
      </c>
      <c r="G339" s="1">
        <v>45</v>
      </c>
      <c r="I339">
        <f t="shared" si="28"/>
        <v>-0.31856429514913698</v>
      </c>
      <c r="J339">
        <f t="shared" si="29"/>
        <v>-1.553995274029274E-2</v>
      </c>
      <c r="K339">
        <f t="shared" si="30"/>
        <v>-0.45666447781540787</v>
      </c>
      <c r="M339">
        <f t="shared" si="31"/>
        <v>-0.26358957523494586</v>
      </c>
    </row>
    <row r="340" spans="1:13" ht="22">
      <c r="A340" s="2" t="s">
        <v>185</v>
      </c>
      <c r="B340" s="5" t="s">
        <v>748</v>
      </c>
      <c r="D340" s="4">
        <v>467</v>
      </c>
      <c r="E340" s="1">
        <v>361</v>
      </c>
      <c r="F340" s="1">
        <v>10</v>
      </c>
      <c r="G340" s="1">
        <v>15</v>
      </c>
      <c r="I340">
        <f t="shared" si="28"/>
        <v>0.88024348586011514</v>
      </c>
      <c r="J340">
        <f t="shared" si="29"/>
        <v>-1.1298420296876794</v>
      </c>
      <c r="K340">
        <f t="shared" si="30"/>
        <v>-0.54429712642527561</v>
      </c>
      <c r="M340">
        <f t="shared" si="31"/>
        <v>-0.26463189008427995</v>
      </c>
    </row>
    <row r="341" spans="1:13" ht="22">
      <c r="A341" s="2" t="s">
        <v>202</v>
      </c>
      <c r="B341" s="5" t="s">
        <v>765</v>
      </c>
      <c r="D341" s="4">
        <v>661</v>
      </c>
      <c r="E341" s="1">
        <v>14</v>
      </c>
      <c r="F341" s="1">
        <v>64</v>
      </c>
      <c r="G341" s="1">
        <v>171</v>
      </c>
      <c r="I341">
        <f t="shared" si="28"/>
        <v>-0.68202025928683274</v>
      </c>
      <c r="J341">
        <f t="shared" si="29"/>
        <v>-0.47454663462332014</v>
      </c>
      <c r="K341">
        <f t="shared" si="30"/>
        <v>0.36172314599166888</v>
      </c>
      <c r="M341">
        <f t="shared" si="31"/>
        <v>-0.26494791597282796</v>
      </c>
    </row>
    <row r="342" spans="1:13" ht="22">
      <c r="A342" s="2" t="s">
        <v>173</v>
      </c>
      <c r="B342" s="5" t="s">
        <v>736</v>
      </c>
      <c r="D342" s="4">
        <v>938</v>
      </c>
      <c r="E342" s="1">
        <v>95</v>
      </c>
      <c r="F342" s="1">
        <v>254</v>
      </c>
      <c r="G342" s="1">
        <v>18</v>
      </c>
      <c r="I342">
        <f t="shared" si="28"/>
        <v>-2.4260685696472217E-3</v>
      </c>
      <c r="J342">
        <f t="shared" si="29"/>
        <v>-2.7894270880693517E-2</v>
      </c>
      <c r="K342">
        <f t="shared" si="30"/>
        <v>-0.76800183819060308</v>
      </c>
      <c r="M342">
        <f t="shared" si="31"/>
        <v>-0.26610739254698129</v>
      </c>
    </row>
    <row r="343" spans="1:13" ht="22">
      <c r="A343" s="2" t="s">
        <v>42</v>
      </c>
      <c r="B343" s="5" t="s">
        <v>605</v>
      </c>
      <c r="D343" s="4">
        <v>353</v>
      </c>
      <c r="E343" s="1">
        <v>14</v>
      </c>
      <c r="F343" s="1">
        <v>69</v>
      </c>
      <c r="G343" s="1">
        <v>23</v>
      </c>
      <c r="I343">
        <f t="shared" si="28"/>
        <v>-0.40959350518901516</v>
      </c>
      <c r="J343">
        <f t="shared" si="29"/>
        <v>-0.16945076377213431</v>
      </c>
      <c r="K343">
        <f t="shared" si="30"/>
        <v>-0.23711837428507443</v>
      </c>
      <c r="M343">
        <f t="shared" si="31"/>
        <v>-0.27205421441540795</v>
      </c>
    </row>
    <row r="344" spans="1:13" ht="22">
      <c r="A344" s="2" t="s">
        <v>31</v>
      </c>
      <c r="B344" s="5" t="s">
        <v>594</v>
      </c>
      <c r="D344" s="4">
        <v>233</v>
      </c>
      <c r="E344" s="1">
        <v>19</v>
      </c>
      <c r="F344" s="1">
        <v>7</v>
      </c>
      <c r="G344" s="1">
        <v>48</v>
      </c>
      <c r="I344">
        <f t="shared" si="28"/>
        <v>-9.6549155552620558E-2</v>
      </c>
      <c r="J344">
        <f t="shared" si="29"/>
        <v>-0.98278303013332924</v>
      </c>
      <c r="K344">
        <f t="shared" si="30"/>
        <v>0.2628138114347236</v>
      </c>
      <c r="M344">
        <f t="shared" si="31"/>
        <v>-0.27217279141707534</v>
      </c>
    </row>
    <row r="345" spans="1:13" ht="22">
      <c r="A345" s="2" t="s">
        <v>361</v>
      </c>
      <c r="B345" s="5" t="s">
        <v>924</v>
      </c>
      <c r="D345" s="4">
        <v>1817</v>
      </c>
      <c r="E345" s="1">
        <v>960</v>
      </c>
      <c r="F345" s="1">
        <v>76</v>
      </c>
      <c r="G345" s="1">
        <v>41</v>
      </c>
      <c r="I345">
        <f t="shared" si="28"/>
        <v>0.71496947025210356</v>
      </c>
      <c r="J345">
        <f t="shared" si="29"/>
        <v>-0.83906648414880991</v>
      </c>
      <c r="K345">
        <f t="shared" si="30"/>
        <v>-0.69764257550314346</v>
      </c>
      <c r="M345">
        <f t="shared" si="31"/>
        <v>-0.2739131964666166</v>
      </c>
    </row>
    <row r="346" spans="1:13" ht="22">
      <c r="A346" s="2" t="s">
        <v>81</v>
      </c>
      <c r="B346" s="5" t="s">
        <v>644</v>
      </c>
      <c r="D346" s="4">
        <v>514</v>
      </c>
      <c r="E346" s="1">
        <v>32</v>
      </c>
      <c r="F346" s="1">
        <v>192</v>
      </c>
      <c r="G346" s="1">
        <v>11</v>
      </c>
      <c r="I346">
        <f t="shared" si="28"/>
        <v>-0.21375997615480036</v>
      </c>
      <c r="J346">
        <f t="shared" si="29"/>
        <v>0.11181296058670681</v>
      </c>
      <c r="K346">
        <f t="shared" si="30"/>
        <v>-0.72064193875189542</v>
      </c>
      <c r="M346">
        <f t="shared" si="31"/>
        <v>-0.27419631810666295</v>
      </c>
    </row>
    <row r="347" spans="1:13" ht="22">
      <c r="A347" s="2" t="s">
        <v>545</v>
      </c>
      <c r="B347" s="5" t="s">
        <v>1108</v>
      </c>
      <c r="D347" s="4">
        <v>1404</v>
      </c>
      <c r="E347" s="1">
        <v>38</v>
      </c>
      <c r="F347" s="1">
        <v>119</v>
      </c>
      <c r="G347" s="1">
        <v>296</v>
      </c>
      <c r="I347">
        <f t="shared" si="28"/>
        <v>-0.57553034665640679</v>
      </c>
      <c r="J347">
        <f t="shared" si="29"/>
        <v>-0.53234529552282284</v>
      </c>
      <c r="K347">
        <f t="shared" si="30"/>
        <v>0.27285309835030747</v>
      </c>
      <c r="M347">
        <f t="shared" si="31"/>
        <v>-0.27834084794297409</v>
      </c>
    </row>
    <row r="348" spans="1:13" ht="22">
      <c r="A348" s="2" t="s">
        <v>163</v>
      </c>
      <c r="B348" s="5" t="s">
        <v>726</v>
      </c>
      <c r="D348" s="4">
        <v>321</v>
      </c>
      <c r="E348" s="1">
        <v>187</v>
      </c>
      <c r="F348" s="1">
        <v>6</v>
      </c>
      <c r="G348" s="1">
        <v>14</v>
      </c>
      <c r="I348">
        <f t="shared" si="28"/>
        <v>0.75738973865219639</v>
      </c>
      <c r="J348">
        <f t="shared" si="29"/>
        <v>-1.1888789311427956</v>
      </c>
      <c r="K348">
        <f t="shared" si="30"/>
        <v>-0.41144850164147884</v>
      </c>
      <c r="M348">
        <f t="shared" si="31"/>
        <v>-0.28097923137735936</v>
      </c>
    </row>
    <row r="349" spans="1:13" ht="22">
      <c r="A349" s="2" t="s">
        <v>373</v>
      </c>
      <c r="B349" s="5" t="s">
        <v>936</v>
      </c>
      <c r="D349" s="4">
        <v>1073</v>
      </c>
      <c r="E349" s="1">
        <v>2225</v>
      </c>
      <c r="F349" s="1">
        <v>5</v>
      </c>
      <c r="G349" s="1">
        <v>52</v>
      </c>
      <c r="I349">
        <f t="shared" si="28"/>
        <v>1.3087834578715687</v>
      </c>
      <c r="J349">
        <f t="shared" si="29"/>
        <v>-1.7921548667514995</v>
      </c>
      <c r="K349">
        <f t="shared" si="30"/>
        <v>-0.36566788324599653</v>
      </c>
      <c r="M349">
        <f t="shared" si="31"/>
        <v>-0.28301309737530911</v>
      </c>
    </row>
    <row r="350" spans="1:13" ht="22">
      <c r="A350" s="2" t="s">
        <v>239</v>
      </c>
      <c r="B350" s="5" t="s">
        <v>802</v>
      </c>
      <c r="D350" s="4">
        <v>372</v>
      </c>
      <c r="E350" s="1">
        <v>6</v>
      </c>
      <c r="F350" s="1">
        <v>276</v>
      </c>
      <c r="G350" s="1">
        <v>13</v>
      </c>
      <c r="I350">
        <f t="shared" si="28"/>
        <v>-0.80033852497768443</v>
      </c>
      <c r="J350">
        <f t="shared" si="29"/>
        <v>0.40984099306175314</v>
      </c>
      <c r="K350">
        <f t="shared" si="30"/>
        <v>-0.5076710924899055</v>
      </c>
      <c r="M350">
        <f t="shared" si="31"/>
        <v>-0.29938954146861224</v>
      </c>
    </row>
    <row r="351" spans="1:13" ht="22">
      <c r="A351" s="2" t="s">
        <v>152</v>
      </c>
      <c r="B351" s="5" t="s">
        <v>715</v>
      </c>
      <c r="D351" s="4">
        <v>306</v>
      </c>
      <c r="E351" s="1">
        <v>23</v>
      </c>
      <c r="F351" s="1">
        <v>14</v>
      </c>
      <c r="G351" s="1">
        <v>37</v>
      </c>
      <c r="I351">
        <f t="shared" si="28"/>
        <v>-0.13194042594341759</v>
      </c>
      <c r="J351">
        <f t="shared" si="29"/>
        <v>-0.800118539924909</v>
      </c>
      <c r="K351">
        <f t="shared" si="30"/>
        <v>3.1408792670570285E-2</v>
      </c>
      <c r="M351">
        <f t="shared" si="31"/>
        <v>-0.30021672439925212</v>
      </c>
    </row>
    <row r="352" spans="1:13" ht="22">
      <c r="A352" s="2" t="s">
        <v>187</v>
      </c>
      <c r="B352" s="5" t="s">
        <v>750</v>
      </c>
      <c r="D352" s="4">
        <v>214</v>
      </c>
      <c r="E352" s="1">
        <v>10</v>
      </c>
      <c r="F352" s="1">
        <v>13</v>
      </c>
      <c r="G352" s="1">
        <v>31</v>
      </c>
      <c r="I352">
        <f t="shared" si="28"/>
        <v>-0.33836060882862129</v>
      </c>
      <c r="J352">
        <f t="shared" si="29"/>
        <v>-0.67699557016392109</v>
      </c>
      <c r="K352">
        <f t="shared" si="30"/>
        <v>0.10987641557023708</v>
      </c>
      <c r="M352">
        <f t="shared" si="31"/>
        <v>-0.30182658780743504</v>
      </c>
    </row>
    <row r="353" spans="1:13" ht="22">
      <c r="A353" s="2" t="s">
        <v>475</v>
      </c>
      <c r="B353" s="5" t="s">
        <v>1038</v>
      </c>
      <c r="D353" s="4">
        <v>554</v>
      </c>
      <c r="E353" s="1">
        <v>31</v>
      </c>
      <c r="F353" s="1">
        <v>40</v>
      </c>
      <c r="G353" s="1">
        <v>55</v>
      </c>
      <c r="I353">
        <f t="shared" si="28"/>
        <v>-0.26009490637358756</v>
      </c>
      <c r="J353">
        <f t="shared" si="29"/>
        <v>-0.60197492252203444</v>
      </c>
      <c r="K353">
        <f t="shared" si="30"/>
        <v>-5.4218580149030693E-2</v>
      </c>
      <c r="M353">
        <f t="shared" si="31"/>
        <v>-0.30542946968155088</v>
      </c>
    </row>
    <row r="354" spans="1:13" ht="22">
      <c r="A354" s="2" t="s">
        <v>531</v>
      </c>
      <c r="B354" s="5" t="s">
        <v>1094</v>
      </c>
      <c r="D354" s="4">
        <v>108</v>
      </c>
      <c r="E354" s="1">
        <v>84</v>
      </c>
      <c r="F354" s="1">
        <v>1</v>
      </c>
      <c r="G354" s="1">
        <v>6</v>
      </c>
      <c r="I354">
        <f t="shared" si="28"/>
        <v>0.88290869509550141</v>
      </c>
      <c r="J354">
        <f t="shared" si="29"/>
        <v>-1.493948904608517</v>
      </c>
      <c r="K354">
        <f t="shared" si="30"/>
        <v>-0.3063440100181507</v>
      </c>
      <c r="M354">
        <f t="shared" si="31"/>
        <v>-0.30579473984372213</v>
      </c>
    </row>
    <row r="355" spans="1:13" ht="22">
      <c r="A355" s="2" t="s">
        <v>327</v>
      </c>
      <c r="B355" s="5" t="s">
        <v>890</v>
      </c>
      <c r="D355" s="4">
        <v>205</v>
      </c>
      <c r="E355" s="1">
        <v>3</v>
      </c>
      <c r="F355" s="1">
        <v>42</v>
      </c>
      <c r="G355" s="1">
        <v>27</v>
      </c>
      <c r="I355">
        <f t="shared" si="28"/>
        <v>-0.84257944181552236</v>
      </c>
      <c r="J355">
        <f t="shared" si="29"/>
        <v>-0.14902971977942092</v>
      </c>
      <c r="K355">
        <f t="shared" si="30"/>
        <v>6.8538398188388361E-2</v>
      </c>
      <c r="M355">
        <f t="shared" si="31"/>
        <v>-0.30769025446885162</v>
      </c>
    </row>
    <row r="356" spans="1:13" ht="22">
      <c r="A356" s="2" t="s">
        <v>372</v>
      </c>
      <c r="B356" s="5" t="s">
        <v>935</v>
      </c>
      <c r="D356" s="4">
        <v>1045</v>
      </c>
      <c r="E356" s="1">
        <v>71</v>
      </c>
      <c r="F356" s="1">
        <v>20</v>
      </c>
      <c r="G356" s="1">
        <v>312</v>
      </c>
      <c r="I356">
        <f t="shared" si="28"/>
        <v>-0.17580477720742804</v>
      </c>
      <c r="J356">
        <f t="shared" si="29"/>
        <v>-1.1786114439046589</v>
      </c>
      <c r="K356">
        <f t="shared" si="30"/>
        <v>0.42396679865652531</v>
      </c>
      <c r="M356">
        <f t="shared" si="31"/>
        <v>-0.31014980748518722</v>
      </c>
    </row>
    <row r="357" spans="1:13" ht="22">
      <c r="A357" s="2" t="s">
        <v>197</v>
      </c>
      <c r="B357" s="5" t="s">
        <v>760</v>
      </c>
      <c r="D357" s="4">
        <v>512</v>
      </c>
      <c r="E357" s="1">
        <v>165</v>
      </c>
      <c r="F357" s="1">
        <v>21</v>
      </c>
      <c r="G357" s="1">
        <v>15</v>
      </c>
      <c r="I357">
        <f t="shared" si="28"/>
        <v>0.500267147758645</v>
      </c>
      <c r="J357">
        <f t="shared" si="29"/>
        <v>-0.84757581536347859</v>
      </c>
      <c r="K357">
        <f t="shared" si="30"/>
        <v>-0.58425020683499418</v>
      </c>
      <c r="M357">
        <f t="shared" si="31"/>
        <v>-0.31051962481327594</v>
      </c>
    </row>
    <row r="358" spans="1:13" ht="22">
      <c r="A358" s="2" t="s">
        <v>402</v>
      </c>
      <c r="B358" s="5" t="s">
        <v>965</v>
      </c>
      <c r="D358" s="4">
        <v>1487</v>
      </c>
      <c r="E358" s="1">
        <v>29</v>
      </c>
      <c r="F358" s="1">
        <v>40</v>
      </c>
      <c r="G358" s="1">
        <v>1094</v>
      </c>
      <c r="I358">
        <f t="shared" si="28"/>
        <v>-0.71785980610242861</v>
      </c>
      <c r="J358">
        <f t="shared" si="29"/>
        <v>-1.0307761263155588</v>
      </c>
      <c r="K358">
        <f t="shared" si="30"/>
        <v>0.81563484856061308</v>
      </c>
      <c r="M358">
        <f t="shared" si="31"/>
        <v>-0.31100036128579145</v>
      </c>
    </row>
    <row r="359" spans="1:13" ht="22">
      <c r="A359" s="2" t="s">
        <v>193</v>
      </c>
      <c r="B359" s="5" t="s">
        <v>756</v>
      </c>
      <c r="D359" s="4">
        <v>917</v>
      </c>
      <c r="E359" s="1">
        <v>66</v>
      </c>
      <c r="F359" s="1">
        <v>36</v>
      </c>
      <c r="G359" s="1">
        <v>124</v>
      </c>
      <c r="I359">
        <f t="shared" si="28"/>
        <v>-0.15077223560758291</v>
      </c>
      <c r="J359">
        <f t="shared" si="29"/>
        <v>-0.86659198402430093</v>
      </c>
      <c r="K359">
        <f t="shared" si="30"/>
        <v>7.9980844577369314E-2</v>
      </c>
      <c r="M359">
        <f t="shared" si="31"/>
        <v>-0.31246112501817153</v>
      </c>
    </row>
    <row r="360" spans="1:13" ht="22">
      <c r="A360" s="2" t="s">
        <v>515</v>
      </c>
      <c r="B360" s="5" t="s">
        <v>1078</v>
      </c>
      <c r="D360" s="4">
        <v>686</v>
      </c>
      <c r="E360" s="1">
        <v>36</v>
      </c>
      <c r="F360" s="1">
        <v>48</v>
      </c>
      <c r="G360" s="1">
        <v>71</v>
      </c>
      <c r="I360">
        <f t="shared" si="28"/>
        <v>-0.28796845041889485</v>
      </c>
      <c r="J360">
        <f t="shared" si="29"/>
        <v>-0.61560802745273147</v>
      </c>
      <c r="K360">
        <f t="shared" si="30"/>
        <v>-3.613727190252114E-2</v>
      </c>
      <c r="M360">
        <f t="shared" si="31"/>
        <v>-0.3132379165913825</v>
      </c>
    </row>
    <row r="361" spans="1:13" ht="22">
      <c r="A361" s="2" t="s">
        <v>346</v>
      </c>
      <c r="B361" s="5" t="s">
        <v>909</v>
      </c>
      <c r="D361" s="4">
        <v>507</v>
      </c>
      <c r="E361" s="1">
        <v>110</v>
      </c>
      <c r="F361" s="1">
        <v>25</v>
      </c>
      <c r="G361" s="1">
        <v>18</v>
      </c>
      <c r="I361">
        <f t="shared" si="28"/>
        <v>0.32843789034545856</v>
      </c>
      <c r="J361">
        <f t="shared" si="29"/>
        <v>-0.76759309978286538</v>
      </c>
      <c r="K361">
        <f t="shared" si="30"/>
        <v>-0.5008069591448745</v>
      </c>
      <c r="M361">
        <f t="shared" si="31"/>
        <v>-0.31332072286076046</v>
      </c>
    </row>
    <row r="362" spans="1:13" ht="22">
      <c r="A362" s="2" t="s">
        <v>496</v>
      </c>
      <c r="B362" s="5" t="s">
        <v>1059</v>
      </c>
      <c r="D362" s="4">
        <v>1448</v>
      </c>
      <c r="E362" s="1">
        <v>147</v>
      </c>
      <c r="F362" s="1">
        <v>73</v>
      </c>
      <c r="G362" s="1">
        <v>106</v>
      </c>
      <c r="I362">
        <f t="shared" si="28"/>
        <v>-1.3980625923825096E-3</v>
      </c>
      <c r="J362">
        <f t="shared" si="29"/>
        <v>-0.75797085086223925</v>
      </c>
      <c r="K362">
        <f t="shared" si="30"/>
        <v>-0.18653420151120259</v>
      </c>
      <c r="M362">
        <f t="shared" si="31"/>
        <v>-0.31530103832194145</v>
      </c>
    </row>
    <row r="363" spans="1:13" ht="22">
      <c r="A363" s="2" t="s">
        <v>32</v>
      </c>
      <c r="B363" s="5" t="s">
        <v>595</v>
      </c>
      <c r="D363" s="4">
        <v>395</v>
      </c>
      <c r="E363" s="1">
        <v>6</v>
      </c>
      <c r="F363" s="1">
        <v>546</v>
      </c>
      <c r="G363" s="1">
        <v>7</v>
      </c>
      <c r="I363">
        <f t="shared" si="28"/>
        <v>-0.82639268072224725</v>
      </c>
      <c r="J363">
        <f t="shared" si="29"/>
        <v>0.68007039795670998</v>
      </c>
      <c r="K363">
        <f t="shared" si="30"/>
        <v>-0.80257056052704812</v>
      </c>
      <c r="M363">
        <f t="shared" si="31"/>
        <v>-0.3162976144308618</v>
      </c>
    </row>
    <row r="364" spans="1:13" ht="22">
      <c r="A364" s="2" t="s">
        <v>546</v>
      </c>
      <c r="B364" s="5" t="s">
        <v>1109</v>
      </c>
      <c r="D364" s="4">
        <v>647</v>
      </c>
      <c r="E364" s="1">
        <v>28</v>
      </c>
      <c r="F364" s="1">
        <v>99</v>
      </c>
      <c r="G364" s="1">
        <v>32</v>
      </c>
      <c r="I364">
        <f t="shared" si="28"/>
        <v>-0.37169308480591168</v>
      </c>
      <c r="J364">
        <f t="shared" si="29"/>
        <v>-0.27579423519271751</v>
      </c>
      <c r="K364">
        <f t="shared" si="30"/>
        <v>-0.35682580726363922</v>
      </c>
      <c r="M364">
        <f t="shared" si="31"/>
        <v>-0.33477104242075617</v>
      </c>
    </row>
    <row r="365" spans="1:13" ht="22">
      <c r="A365" s="2" t="s">
        <v>36</v>
      </c>
      <c r="B365" s="5" t="s">
        <v>599</v>
      </c>
      <c r="D365" s="4">
        <v>329</v>
      </c>
      <c r="E365" s="1">
        <v>19</v>
      </c>
      <c r="F365" s="1">
        <v>25</v>
      </c>
      <c r="G365" s="1">
        <v>24</v>
      </c>
      <c r="I365">
        <f t="shared" si="28"/>
        <v>-0.2463891324765759</v>
      </c>
      <c r="J365">
        <f t="shared" si="29"/>
        <v>-0.57978103839950379</v>
      </c>
      <c r="K365">
        <f t="shared" si="30"/>
        <v>-0.188056161153213</v>
      </c>
      <c r="M365">
        <f t="shared" si="31"/>
        <v>-0.33807544400976425</v>
      </c>
    </row>
    <row r="366" spans="1:13" ht="22">
      <c r="A366" s="2" t="s">
        <v>421</v>
      </c>
      <c r="B366" s="5" t="s">
        <v>984</v>
      </c>
      <c r="D366" s="4">
        <v>254</v>
      </c>
      <c r="E366" s="1">
        <v>13</v>
      </c>
      <c r="F366" s="1">
        <v>25</v>
      </c>
      <c r="G366" s="1">
        <v>16</v>
      </c>
      <c r="I366">
        <f t="shared" si="28"/>
        <v>-0.29883719979253187</v>
      </c>
      <c r="J366">
        <f t="shared" si="29"/>
        <v>-0.4674188570694674</v>
      </c>
      <c r="K366">
        <f t="shared" si="30"/>
        <v>-0.25178523887885795</v>
      </c>
      <c r="M366">
        <f t="shared" si="31"/>
        <v>-0.33934709858028578</v>
      </c>
    </row>
    <row r="367" spans="1:13" ht="22">
      <c r="A367" s="2" t="s">
        <v>196</v>
      </c>
      <c r="B367" s="5" t="s">
        <v>759</v>
      </c>
      <c r="D367" s="4">
        <v>1337</v>
      </c>
      <c r="E367" s="1">
        <v>72</v>
      </c>
      <c r="F367" s="1">
        <v>94</v>
      </c>
      <c r="G367" s="1">
        <v>108</v>
      </c>
      <c r="I367">
        <f t="shared" si="28"/>
        <v>-0.27674574631014637</v>
      </c>
      <c r="J367">
        <f t="shared" si="29"/>
        <v>-0.61352870278385285</v>
      </c>
      <c r="K367">
        <f t="shared" si="30"/>
        <v>-0.14377915668987939</v>
      </c>
      <c r="M367">
        <f t="shared" si="31"/>
        <v>-0.34468453526129289</v>
      </c>
    </row>
    <row r="368" spans="1:13" ht="22">
      <c r="A368" s="2" t="s">
        <v>499</v>
      </c>
      <c r="B368" s="5" t="s">
        <v>1062</v>
      </c>
      <c r="D368" s="4">
        <v>549</v>
      </c>
      <c r="E368" s="1">
        <v>18</v>
      </c>
      <c r="F368" s="1">
        <v>72</v>
      </c>
      <c r="G368" s="1">
        <v>39</v>
      </c>
      <c r="I368">
        <f t="shared" si="28"/>
        <v>-0.49224667482621642</v>
      </c>
      <c r="J368">
        <f t="shared" si="29"/>
        <v>-0.34276499714039044</v>
      </c>
      <c r="K368">
        <f t="shared" si="30"/>
        <v>-0.19957924233843749</v>
      </c>
      <c r="M368">
        <f t="shared" si="31"/>
        <v>-0.34486363810168141</v>
      </c>
    </row>
    <row r="369" spans="1:13" ht="22">
      <c r="A369" s="2" t="s">
        <v>4</v>
      </c>
      <c r="B369" s="5" t="s">
        <v>567</v>
      </c>
      <c r="D369" s="4">
        <v>290</v>
      </c>
      <c r="E369" s="1">
        <v>17</v>
      </c>
      <c r="F369" s="1">
        <v>14</v>
      </c>
      <c r="G369" s="1">
        <v>31</v>
      </c>
      <c r="I369">
        <f t="shared" si="28"/>
        <v>-0.23989591200011273</v>
      </c>
      <c r="J369">
        <f t="shared" si="29"/>
        <v>-0.77679511134228518</v>
      </c>
      <c r="K369">
        <f t="shared" si="30"/>
        <v>-2.2107808979528021E-2</v>
      </c>
      <c r="M369">
        <f t="shared" si="31"/>
        <v>-0.34626627744064198</v>
      </c>
    </row>
    <row r="370" spans="1:13" ht="22">
      <c r="A370" s="2" t="s">
        <v>223</v>
      </c>
      <c r="B370" s="5" t="s">
        <v>786</v>
      </c>
      <c r="D370" s="4">
        <v>991</v>
      </c>
      <c r="E370" s="1">
        <v>66</v>
      </c>
      <c r="F370" s="1">
        <v>73</v>
      </c>
      <c r="G370" s="1">
        <v>61</v>
      </c>
      <c r="I370">
        <f t="shared" ref="I370:I433" si="32">LOG(E370/D370)-LOG(182/1787)</f>
        <v>-0.18447655442283706</v>
      </c>
      <c r="J370">
        <f t="shared" ref="J370:J433" si="33">LOG(F370/D370)-LOG(516/1787)</f>
        <v>-0.59327594348638646</v>
      </c>
      <c r="K370">
        <f t="shared" ref="K370:K433" si="34">LOG(G370/D370)-LOG(201/1787)</f>
        <v>-0.26181532438935307</v>
      </c>
      <c r="M370">
        <f t="shared" ref="M370:M433" si="35">AVERAGE(I370:K370)</f>
        <v>-0.3465226074328589</v>
      </c>
    </row>
    <row r="371" spans="1:13" ht="22">
      <c r="A371" s="2" t="s">
        <v>416</v>
      </c>
      <c r="B371" s="5" t="s">
        <v>979</v>
      </c>
      <c r="D371" s="4">
        <v>671</v>
      </c>
      <c r="E371" s="1">
        <v>144</v>
      </c>
      <c r="F371" s="1">
        <v>28</v>
      </c>
      <c r="G371" s="1">
        <v>22</v>
      </c>
      <c r="I371">
        <f t="shared" si="32"/>
        <v>0.32369313644682707</v>
      </c>
      <c r="J371">
        <f t="shared" si="33"/>
        <v>-0.84008963794833991</v>
      </c>
      <c r="K371">
        <f t="shared" si="34"/>
        <v>-0.53537134426163058</v>
      </c>
      <c r="M371">
        <f t="shared" si="35"/>
        <v>-0.35058928192104782</v>
      </c>
    </row>
    <row r="372" spans="1:13" ht="22">
      <c r="A372" s="2" t="s">
        <v>122</v>
      </c>
      <c r="B372" s="5" t="s">
        <v>685</v>
      </c>
      <c r="D372" s="4">
        <v>338</v>
      </c>
      <c r="E372" s="1">
        <v>29</v>
      </c>
      <c r="F372" s="1">
        <v>26</v>
      </c>
      <c r="G372" s="1">
        <v>15</v>
      </c>
      <c r="I372">
        <f t="shared" si="32"/>
        <v>-7.4465537858129149E-2</v>
      </c>
      <c r="J372">
        <f t="shared" si="33"/>
        <v>-0.57446850142840378</v>
      </c>
      <c r="K372">
        <f t="shared" si="34"/>
        <v>-0.40389694613681826</v>
      </c>
      <c r="M372">
        <f t="shared" si="35"/>
        <v>-0.35094366180778369</v>
      </c>
    </row>
    <row r="373" spans="1:13" ht="22">
      <c r="A373" s="2" t="s">
        <v>126</v>
      </c>
      <c r="B373" s="5" t="s">
        <v>689</v>
      </c>
      <c r="D373" s="4">
        <v>359</v>
      </c>
      <c r="E373" s="1">
        <v>33</v>
      </c>
      <c r="F373" s="1">
        <v>12</v>
      </c>
      <c r="G373" s="1">
        <v>34</v>
      </c>
      <c r="I373">
        <f t="shared" si="32"/>
        <v>-4.4527344179862149E-2</v>
      </c>
      <c r="J373">
        <f t="shared" si="33"/>
        <v>-0.9364383516522613</v>
      </c>
      <c r="K373">
        <f t="shared" si="34"/>
        <v>-7.4687036450908684E-2</v>
      </c>
      <c r="M373">
        <f t="shared" si="35"/>
        <v>-0.3518842440943441</v>
      </c>
    </row>
    <row r="374" spans="1:13" ht="22">
      <c r="A374" s="2" t="s">
        <v>41</v>
      </c>
      <c r="B374" s="5" t="s">
        <v>604</v>
      </c>
      <c r="D374" s="4">
        <v>383</v>
      </c>
      <c r="E374" s="1">
        <v>22</v>
      </c>
      <c r="F374" s="1">
        <v>18</v>
      </c>
      <c r="G374" s="1">
        <v>41</v>
      </c>
      <c r="I374">
        <f t="shared" si="32"/>
        <v>-0.248722928625847</v>
      </c>
      <c r="J374">
        <f t="shared" si="33"/>
        <v>-0.78845141798688367</v>
      </c>
      <c r="K374">
        <f t="shared" si="34"/>
        <v>-2.1486422163731977E-2</v>
      </c>
      <c r="M374">
        <f t="shared" si="35"/>
        <v>-0.35288692292548757</v>
      </c>
    </row>
    <row r="375" spans="1:13" ht="22">
      <c r="A375" s="2" t="s">
        <v>382</v>
      </c>
      <c r="B375" s="5" t="s">
        <v>945</v>
      </c>
      <c r="D375" s="4">
        <v>603</v>
      </c>
      <c r="E375" s="1">
        <v>27</v>
      </c>
      <c r="F375" s="1">
        <v>36</v>
      </c>
      <c r="G375" s="1">
        <v>65</v>
      </c>
      <c r="I375">
        <f t="shared" si="32"/>
        <v>-0.35690038346059461</v>
      </c>
      <c r="J375">
        <f t="shared" si="33"/>
        <v>-0.684539960494431</v>
      </c>
      <c r="K375">
        <f t="shared" si="34"/>
        <v>-1.8475460412140432E-2</v>
      </c>
      <c r="M375">
        <f t="shared" si="35"/>
        <v>-0.35330526812238866</v>
      </c>
    </row>
    <row r="376" spans="1:13" ht="22">
      <c r="A376" s="2" t="s">
        <v>79</v>
      </c>
      <c r="B376" s="5" t="s">
        <v>642</v>
      </c>
      <c r="D376" s="4">
        <v>1551</v>
      </c>
      <c r="E376" s="1">
        <v>89</v>
      </c>
      <c r="F376" s="1">
        <v>213</v>
      </c>
      <c r="G376" s="1">
        <v>56</v>
      </c>
      <c r="I376">
        <f t="shared" si="32"/>
        <v>-0.24916862664812278</v>
      </c>
      <c r="J376">
        <f t="shared" si="33"/>
        <v>-0.32275734349643426</v>
      </c>
      <c r="K376">
        <f t="shared" si="34"/>
        <v>-0.49349527572224927</v>
      </c>
      <c r="M376">
        <f t="shared" si="35"/>
        <v>-0.35514041528893542</v>
      </c>
    </row>
    <row r="377" spans="1:13" ht="22">
      <c r="A377" s="2" t="s">
        <v>409</v>
      </c>
      <c r="B377" s="5" t="s">
        <v>972</v>
      </c>
      <c r="D377" s="4">
        <v>950</v>
      </c>
      <c r="E377" s="1">
        <v>373</v>
      </c>
      <c r="F377" s="1">
        <v>46</v>
      </c>
      <c r="G377" s="1">
        <v>14</v>
      </c>
      <c r="I377">
        <f t="shared" si="32"/>
        <v>0.58603839104040933</v>
      </c>
      <c r="J377">
        <f t="shared" si="33"/>
        <v>-0.77549092272884079</v>
      </c>
      <c r="K377">
        <f t="shared" si="34"/>
        <v>-0.88266707452545434</v>
      </c>
      <c r="M377">
        <f t="shared" si="35"/>
        <v>-0.35737320207129525</v>
      </c>
    </row>
    <row r="378" spans="1:13" ht="22">
      <c r="A378" s="2" t="s">
        <v>13</v>
      </c>
      <c r="B378" s="5" t="s">
        <v>576</v>
      </c>
      <c r="D378" s="4">
        <v>257</v>
      </c>
      <c r="E378" s="1">
        <v>21</v>
      </c>
      <c r="F378" s="1">
        <v>10</v>
      </c>
      <c r="G378" s="1">
        <v>22</v>
      </c>
      <c r="I378">
        <f t="shared" si="32"/>
        <v>-9.5660664076805846E-2</v>
      </c>
      <c r="J378">
        <f t="shared" si="33"/>
        <v>-0.87045827245286167</v>
      </c>
      <c r="K378">
        <f t="shared" si="34"/>
        <v>-0.11858194742393291</v>
      </c>
      <c r="M378">
        <f t="shared" si="35"/>
        <v>-0.36156696131786675</v>
      </c>
    </row>
    <row r="379" spans="1:13" ht="22">
      <c r="A379" s="2" t="s">
        <v>188</v>
      </c>
      <c r="B379" s="5" t="s">
        <v>751</v>
      </c>
      <c r="D379" s="4">
        <v>289</v>
      </c>
      <c r="E379" s="1">
        <v>32</v>
      </c>
      <c r="F379" s="1">
        <v>12</v>
      </c>
      <c r="G379" s="1">
        <v>17</v>
      </c>
      <c r="I379">
        <f t="shared" si="32"/>
        <v>3.6305300083927627E-2</v>
      </c>
      <c r="J379">
        <f t="shared" si="33"/>
        <v>-0.84224174583049016</v>
      </c>
      <c r="K379">
        <f t="shared" si="34"/>
        <v>-0.28152042629311858</v>
      </c>
      <c r="M379">
        <f t="shared" si="35"/>
        <v>-0.36248562401322704</v>
      </c>
    </row>
    <row r="380" spans="1:13" ht="22">
      <c r="A380" s="2" t="s">
        <v>104</v>
      </c>
      <c r="B380" s="5" t="s">
        <v>667</v>
      </c>
      <c r="D380" s="4">
        <v>284</v>
      </c>
      <c r="E380" s="1">
        <v>21</v>
      </c>
      <c r="F380" s="1">
        <v>7</v>
      </c>
      <c r="G380" s="1">
        <v>42</v>
      </c>
      <c r="I380">
        <f t="shared" si="32"/>
        <v>-0.13904588079254898</v>
      </c>
      <c r="J380">
        <f t="shared" si="33"/>
        <v>-1.0687454491543478</v>
      </c>
      <c r="K380">
        <f t="shared" si="34"/>
        <v>0.11885944543601812</v>
      </c>
      <c r="M380">
        <f t="shared" si="35"/>
        <v>-0.36297729483695956</v>
      </c>
    </row>
    <row r="381" spans="1:13" ht="22">
      <c r="A381" s="2" t="s">
        <v>19</v>
      </c>
      <c r="B381" s="5" t="s">
        <v>582</v>
      </c>
      <c r="D381" s="4">
        <v>768</v>
      </c>
      <c r="E381" s="1">
        <v>48</v>
      </c>
      <c r="F381" s="1">
        <v>44</v>
      </c>
      <c r="G381" s="1">
        <v>55</v>
      </c>
      <c r="I381">
        <f t="shared" si="32"/>
        <v>-0.21206681813535533</v>
      </c>
      <c r="J381">
        <f t="shared" si="33"/>
        <v>-0.7024336926668916</v>
      </c>
      <c r="K381">
        <f t="shared" si="34"/>
        <v>-0.19607003545211277</v>
      </c>
      <c r="M381">
        <f t="shared" si="35"/>
        <v>-0.37019018208478655</v>
      </c>
    </row>
    <row r="382" spans="1:13" ht="22">
      <c r="A382" s="2" t="s">
        <v>405</v>
      </c>
      <c r="B382" s="5" t="s">
        <v>968</v>
      </c>
      <c r="D382" s="4">
        <v>860</v>
      </c>
      <c r="E382" s="1">
        <v>46</v>
      </c>
      <c r="F382" s="1">
        <v>65</v>
      </c>
      <c r="G382" s="1">
        <v>54</v>
      </c>
      <c r="I382">
        <f t="shared" si="32"/>
        <v>-0.27968745504142412</v>
      </c>
      <c r="J382">
        <f t="shared" si="33"/>
        <v>-0.58211024372227926</v>
      </c>
      <c r="K382">
        <f t="shared" si="34"/>
        <v>-0.25317619633544397</v>
      </c>
      <c r="M382">
        <f t="shared" si="35"/>
        <v>-0.3716579650330491</v>
      </c>
    </row>
    <row r="383" spans="1:13" ht="22">
      <c r="A383" s="2" t="s">
        <v>186</v>
      </c>
      <c r="B383" s="5" t="s">
        <v>749</v>
      </c>
      <c r="D383" s="4">
        <v>135</v>
      </c>
      <c r="E383" s="1">
        <v>9</v>
      </c>
      <c r="F383" s="1">
        <v>17</v>
      </c>
      <c r="G383" s="1">
        <v>4</v>
      </c>
      <c r="I383">
        <f t="shared" si="32"/>
        <v>-0.18403809453511188</v>
      </c>
      <c r="J383">
        <f t="shared" si="33"/>
        <v>-0.36040999623829928</v>
      </c>
      <c r="K383">
        <f t="shared" si="34"/>
        <v>-0.57934528208188829</v>
      </c>
      <c r="M383">
        <f t="shared" si="35"/>
        <v>-0.37459779095176654</v>
      </c>
    </row>
    <row r="384" spans="1:13" ht="22">
      <c r="A384" s="2" t="s">
        <v>178</v>
      </c>
      <c r="B384" s="5" t="s">
        <v>741</v>
      </c>
      <c r="D384" s="4">
        <v>985</v>
      </c>
      <c r="E384" s="1">
        <v>69</v>
      </c>
      <c r="F384" s="1">
        <v>28</v>
      </c>
      <c r="G384" s="1">
        <v>122</v>
      </c>
      <c r="I384">
        <f t="shared" si="32"/>
        <v>-0.16253397523978697</v>
      </c>
      <c r="J384">
        <f t="shared" si="33"/>
        <v>-1.0068033482769594</v>
      </c>
      <c r="K384">
        <f t="shared" si="34"/>
        <v>4.1852095262291833E-2</v>
      </c>
      <c r="M384">
        <f t="shared" si="35"/>
        <v>-0.37582840941815149</v>
      </c>
    </row>
    <row r="385" spans="1:13" ht="22">
      <c r="A385" s="2" t="s">
        <v>69</v>
      </c>
      <c r="B385" s="5" t="s">
        <v>632</v>
      </c>
      <c r="D385" s="4">
        <v>193</v>
      </c>
      <c r="E385" s="1">
        <v>17</v>
      </c>
      <c r="F385" s="1">
        <v>8</v>
      </c>
      <c r="G385" s="1">
        <v>13</v>
      </c>
      <c r="I385">
        <f t="shared" si="32"/>
        <v>-6.3055223108930303E-2</v>
      </c>
      <c r="J385">
        <f t="shared" si="33"/>
        <v>-0.84299247113739717</v>
      </c>
      <c r="K385">
        <f t="shared" si="34"/>
        <v>-0.22268546161578162</v>
      </c>
      <c r="M385">
        <f t="shared" si="35"/>
        <v>-0.37624438528736964</v>
      </c>
    </row>
    <row r="386" spans="1:13" ht="22">
      <c r="A386" s="2" t="s">
        <v>333</v>
      </c>
      <c r="B386" s="5" t="s">
        <v>896</v>
      </c>
      <c r="D386" s="4">
        <v>435</v>
      </c>
      <c r="E386" s="1">
        <v>27</v>
      </c>
      <c r="F386" s="1">
        <v>15</v>
      </c>
      <c r="G386" s="1">
        <v>48</v>
      </c>
      <c r="I386">
        <f t="shared" si="32"/>
        <v>-0.2150723282750806</v>
      </c>
      <c r="J386">
        <f t="shared" si="33"/>
        <v>-0.92292314702052314</v>
      </c>
      <c r="K386">
        <f t="shared" si="34"/>
        <v>-8.3195244938948365E-3</v>
      </c>
      <c r="M386">
        <f t="shared" si="35"/>
        <v>-0.38210499992983288</v>
      </c>
    </row>
    <row r="387" spans="1:13" ht="22">
      <c r="A387" s="2" t="s">
        <v>26</v>
      </c>
      <c r="B387" s="5" t="s">
        <v>589</v>
      </c>
      <c r="D387" s="4">
        <v>344</v>
      </c>
      <c r="E387" s="1">
        <v>51</v>
      </c>
      <c r="F387" s="1">
        <v>11</v>
      </c>
      <c r="G387" s="1">
        <v>17</v>
      </c>
      <c r="I387">
        <f t="shared" si="32"/>
        <v>0.16306489804697577</v>
      </c>
      <c r="J387">
        <f t="shared" si="33"/>
        <v>-0.9556909065348721</v>
      </c>
      <c r="K387">
        <f t="shared" si="34"/>
        <v>-0.35718102610810099</v>
      </c>
      <c r="M387">
        <f t="shared" si="35"/>
        <v>-0.38326901153199905</v>
      </c>
    </row>
    <row r="388" spans="1:13" ht="22">
      <c r="A388" s="2" t="s">
        <v>194</v>
      </c>
      <c r="B388" s="5" t="s">
        <v>757</v>
      </c>
      <c r="D388" s="4">
        <v>737</v>
      </c>
      <c r="E388" s="1">
        <v>46</v>
      </c>
      <c r="F388" s="1">
        <v>52</v>
      </c>
      <c r="G388" s="1">
        <v>39</v>
      </c>
      <c r="I388">
        <f t="shared" si="32"/>
        <v>-0.21265649165690803</v>
      </c>
      <c r="J388">
        <f t="shared" si="33"/>
        <v>-0.61198929334581942</v>
      </c>
      <c r="K388">
        <f t="shared" si="34"/>
        <v>-0.32747438574739696</v>
      </c>
      <c r="M388">
        <f t="shared" si="35"/>
        <v>-0.38404005691670812</v>
      </c>
    </row>
    <row r="389" spans="1:13" ht="22">
      <c r="A389" s="2" t="s">
        <v>310</v>
      </c>
      <c r="B389" s="5" t="s">
        <v>873</v>
      </c>
      <c r="D389" s="4">
        <v>274</v>
      </c>
      <c r="E389" s="1">
        <v>11</v>
      </c>
      <c r="F389" s="1">
        <v>12</v>
      </c>
      <c r="G389" s="1">
        <v>36</v>
      </c>
      <c r="I389">
        <f t="shared" si="32"/>
        <v>-0.40430471314159355</v>
      </c>
      <c r="J389">
        <f t="shared" si="33"/>
        <v>-0.8190944658943301</v>
      </c>
      <c r="K389">
        <f t="shared" si="34"/>
        <v>6.7480433032054643E-2</v>
      </c>
      <c r="M389">
        <f t="shared" si="35"/>
        <v>-0.38530624866795632</v>
      </c>
    </row>
    <row r="390" spans="1:13" ht="22">
      <c r="A390" s="2" t="s">
        <v>30</v>
      </c>
      <c r="B390" s="5" t="s">
        <v>593</v>
      </c>
      <c r="D390" s="4">
        <v>240</v>
      </c>
      <c r="E390" s="1">
        <v>19</v>
      </c>
      <c r="F390" s="1">
        <v>12</v>
      </c>
      <c r="G390" s="1">
        <v>14</v>
      </c>
      <c r="I390">
        <f t="shared" si="32"/>
        <v>-0.10940447623820759</v>
      </c>
      <c r="J390">
        <f t="shared" si="33"/>
        <v>-0.76155514478554831</v>
      </c>
      <c r="K390">
        <f t="shared" si="34"/>
        <v>-0.28515471094821265</v>
      </c>
      <c r="M390">
        <f t="shared" si="35"/>
        <v>-0.3853714439906562</v>
      </c>
    </row>
    <row r="391" spans="1:13" ht="22">
      <c r="A391" s="2" t="s">
        <v>210</v>
      </c>
      <c r="B391" s="5" t="s">
        <v>773</v>
      </c>
      <c r="D391" s="4">
        <v>1009</v>
      </c>
      <c r="E391" s="1">
        <v>47</v>
      </c>
      <c r="F391" s="1">
        <v>123</v>
      </c>
      <c r="G391" s="1">
        <v>41</v>
      </c>
      <c r="I391">
        <f t="shared" si="32"/>
        <v>-0.33974014378062356</v>
      </c>
      <c r="J391">
        <f t="shared" si="33"/>
        <v>-0.37451120391907966</v>
      </c>
      <c r="K391">
        <f t="shared" si="34"/>
        <v>-0.44217881443201978</v>
      </c>
      <c r="M391">
        <f t="shared" si="35"/>
        <v>-0.38547672071057432</v>
      </c>
    </row>
    <row r="392" spans="1:13" ht="22">
      <c r="A392" s="2" t="s">
        <v>246</v>
      </c>
      <c r="B392" s="5" t="s">
        <v>809</v>
      </c>
      <c r="D392" s="4">
        <v>286</v>
      </c>
      <c r="E392" s="1">
        <v>20</v>
      </c>
      <c r="F392" s="1">
        <v>3</v>
      </c>
      <c r="G392" s="1">
        <v>86</v>
      </c>
      <c r="I392">
        <f t="shared" si="32"/>
        <v>-0.1632828729444924</v>
      </c>
      <c r="J392">
        <f t="shared" si="33"/>
        <v>-1.4397699275309477</v>
      </c>
      <c r="K392">
        <f t="shared" si="34"/>
        <v>0.42706091319967998</v>
      </c>
      <c r="M392">
        <f t="shared" si="35"/>
        <v>-0.39199729575858672</v>
      </c>
    </row>
    <row r="393" spans="1:13" ht="22">
      <c r="A393" s="2" t="s">
        <v>232</v>
      </c>
      <c r="B393" s="5" t="s">
        <v>795</v>
      </c>
      <c r="D393" s="4">
        <v>409</v>
      </c>
      <c r="E393" s="1">
        <v>25</v>
      </c>
      <c r="F393" s="1">
        <v>1</v>
      </c>
      <c r="G393" s="1">
        <v>598</v>
      </c>
      <c r="I393">
        <f t="shared" si="32"/>
        <v>-0.22173013481473469</v>
      </c>
      <c r="J393">
        <f t="shared" si="33"/>
        <v>-2.072248457128909</v>
      </c>
      <c r="K393">
        <f t="shared" si="34"/>
        <v>1.1139063710662243</v>
      </c>
      <c r="M393">
        <f t="shared" si="35"/>
        <v>-0.39335740695913973</v>
      </c>
    </row>
    <row r="394" spans="1:13" ht="22">
      <c r="A394" s="2" t="s">
        <v>513</v>
      </c>
      <c r="B394" s="5" t="s">
        <v>1076</v>
      </c>
      <c r="D394" s="4">
        <v>175</v>
      </c>
      <c r="E394" s="1">
        <v>12</v>
      </c>
      <c r="F394" s="1">
        <v>8</v>
      </c>
      <c r="G394" s="1">
        <v>12</v>
      </c>
      <c r="I394">
        <f t="shared" si="32"/>
        <v>-0.17180363811810007</v>
      </c>
      <c r="J394">
        <f t="shared" si="33"/>
        <v>-0.80047321081591793</v>
      </c>
      <c r="K394">
        <f t="shared" si="34"/>
        <v>-0.21492830755351422</v>
      </c>
      <c r="M394">
        <f t="shared" si="35"/>
        <v>-0.39573505216251076</v>
      </c>
    </row>
    <row r="395" spans="1:13" ht="22">
      <c r="A395" s="2" t="s">
        <v>503</v>
      </c>
      <c r="B395" s="5" t="s">
        <v>1066</v>
      </c>
      <c r="D395" s="4">
        <v>440</v>
      </c>
      <c r="E395" s="1">
        <v>101</v>
      </c>
      <c r="F395" s="1">
        <v>18</v>
      </c>
      <c r="G395" s="1">
        <v>10</v>
      </c>
      <c r="I395">
        <f t="shared" si="32"/>
        <v>0.35292186181702467</v>
      </c>
      <c r="J395">
        <f t="shared" si="33"/>
        <v>-0.84870532050444847</v>
      </c>
      <c r="K395">
        <f t="shared" si="34"/>
        <v>-0.69452418140103211</v>
      </c>
      <c r="M395">
        <f t="shared" si="35"/>
        <v>-0.39676921336281862</v>
      </c>
    </row>
    <row r="396" spans="1:13" ht="22">
      <c r="A396" s="2" t="s">
        <v>353</v>
      </c>
      <c r="B396" s="5" t="s">
        <v>916</v>
      </c>
      <c r="D396" s="4">
        <v>790</v>
      </c>
      <c r="E396" s="1">
        <v>17</v>
      </c>
      <c r="F396" s="1">
        <v>100</v>
      </c>
      <c r="G396" s="1">
        <v>61</v>
      </c>
      <c r="I396">
        <f t="shared" si="32"/>
        <v>-0.67512500539159803</v>
      </c>
      <c r="J396">
        <f t="shared" si="33"/>
        <v>-0.35815224041200844</v>
      </c>
      <c r="K396">
        <f t="shared" si="34"/>
        <v>-0.16336876119451915</v>
      </c>
      <c r="M396">
        <f t="shared" si="35"/>
        <v>-0.39888200233270849</v>
      </c>
    </row>
    <row r="397" spans="1:13" ht="22">
      <c r="A397" s="2" t="s">
        <v>17</v>
      </c>
      <c r="B397" s="5" t="s">
        <v>580</v>
      </c>
      <c r="D397" s="4">
        <v>506</v>
      </c>
      <c r="E397" s="1">
        <v>45</v>
      </c>
      <c r="F397" s="1">
        <v>42</v>
      </c>
      <c r="G397" s="1">
        <v>14</v>
      </c>
      <c r="I397">
        <f t="shared" si="32"/>
        <v>-5.8884838543886042E-2</v>
      </c>
      <c r="J397">
        <f t="shared" si="33"/>
        <v>-0.54142637556346573</v>
      </c>
      <c r="K397">
        <f t="shared" si="34"/>
        <v>-0.60909398607640575</v>
      </c>
      <c r="M397">
        <f t="shared" si="35"/>
        <v>-0.40313506672791916</v>
      </c>
    </row>
    <row r="398" spans="1:13" ht="22">
      <c r="A398" s="2" t="s">
        <v>68</v>
      </c>
      <c r="B398" s="5" t="s">
        <v>631</v>
      </c>
      <c r="D398" s="4">
        <v>1008</v>
      </c>
      <c r="E398" s="1">
        <v>60</v>
      </c>
      <c r="F398" s="1">
        <v>40</v>
      </c>
      <c r="G398" s="1">
        <v>82</v>
      </c>
      <c r="I398">
        <f t="shared" si="32"/>
        <v>-0.23325611720529338</v>
      </c>
      <c r="J398">
        <f t="shared" si="33"/>
        <v>-0.86192568990311125</v>
      </c>
      <c r="K398">
        <f t="shared" si="34"/>
        <v>-0.14071818464063446</v>
      </c>
      <c r="M398">
        <f t="shared" si="35"/>
        <v>-0.4119666639163464</v>
      </c>
    </row>
    <row r="399" spans="1:13" ht="22">
      <c r="A399" s="2" t="s">
        <v>489</v>
      </c>
      <c r="B399" s="5" t="s">
        <v>1052</v>
      </c>
      <c r="D399" s="4">
        <v>184</v>
      </c>
      <c r="E399" s="1">
        <v>9</v>
      </c>
      <c r="F399" s="1">
        <v>7</v>
      </c>
      <c r="G399" s="1">
        <v>19</v>
      </c>
      <c r="I399">
        <f t="shared" si="32"/>
        <v>-0.31852214904964216</v>
      </c>
      <c r="J399">
        <f t="shared" si="33"/>
        <v>-0.88024493211684673</v>
      </c>
      <c r="K399">
        <f t="shared" si="34"/>
        <v>-3.7135726971552208E-2</v>
      </c>
      <c r="M399">
        <f t="shared" si="35"/>
        <v>-0.41196760271268035</v>
      </c>
    </row>
    <row r="400" spans="1:13" ht="22">
      <c r="A400" s="2" t="s">
        <v>40</v>
      </c>
      <c r="B400" s="5" t="s">
        <v>603</v>
      </c>
      <c r="D400" s="4">
        <v>258</v>
      </c>
      <c r="E400" s="1">
        <v>19</v>
      </c>
      <c r="F400" s="1">
        <v>10</v>
      </c>
      <c r="G400" s="1">
        <v>17</v>
      </c>
      <c r="I400">
        <f t="shared" si="32"/>
        <v>-0.14081294048983173</v>
      </c>
      <c r="J400">
        <f t="shared" si="33"/>
        <v>-0.87214485508479733</v>
      </c>
      <c r="K400">
        <f t="shared" si="34"/>
        <v>-0.23224228949980086</v>
      </c>
      <c r="M400">
        <f t="shared" si="35"/>
        <v>-0.41506669502480992</v>
      </c>
    </row>
    <row r="401" spans="1:13" ht="22">
      <c r="A401" s="2" t="s">
        <v>510</v>
      </c>
      <c r="B401" s="5" t="s">
        <v>1073</v>
      </c>
      <c r="D401" s="4">
        <v>476</v>
      </c>
      <c r="E401" s="1">
        <v>28</v>
      </c>
      <c r="F401" s="1">
        <v>18</v>
      </c>
      <c r="G401" s="1">
        <v>40</v>
      </c>
      <c r="I401">
        <f t="shared" si="32"/>
        <v>-0.23839575685770442</v>
      </c>
      <c r="J401">
        <f t="shared" si="33"/>
        <v>-0.88285959673875414</v>
      </c>
      <c r="K401">
        <f t="shared" si="34"/>
        <v>-0.1266184663073755</v>
      </c>
      <c r="M401">
        <f t="shared" si="35"/>
        <v>-0.41595793996794467</v>
      </c>
    </row>
    <row r="402" spans="1:13" ht="22">
      <c r="A402" s="2" t="s">
        <v>501</v>
      </c>
      <c r="B402" s="5" t="s">
        <v>1064</v>
      </c>
      <c r="D402" s="4">
        <v>362</v>
      </c>
      <c r="E402" s="1">
        <v>13</v>
      </c>
      <c r="F402" s="1">
        <v>10</v>
      </c>
      <c r="G402" s="1">
        <v>67</v>
      </c>
      <c r="I402">
        <f t="shared" si="32"/>
        <v>-0.4527120537057594</v>
      </c>
      <c r="J402">
        <f t="shared" si="33"/>
        <v>-1.019233719654733</v>
      </c>
      <c r="K402">
        <f t="shared" si="34"/>
        <v>0.21629472725281607</v>
      </c>
      <c r="M402">
        <f t="shared" si="35"/>
        <v>-0.41855034870255875</v>
      </c>
    </row>
    <row r="403" spans="1:13" ht="22">
      <c r="A403" s="2" t="s">
        <v>207</v>
      </c>
      <c r="B403" s="5" t="s">
        <v>770</v>
      </c>
      <c r="D403" s="4">
        <v>658</v>
      </c>
      <c r="E403" s="1">
        <v>51</v>
      </c>
      <c r="F403" s="1">
        <v>21</v>
      </c>
      <c r="G403" s="1">
        <v>47</v>
      </c>
      <c r="I403">
        <f t="shared" si="32"/>
        <v>-0.11860255299544975</v>
      </c>
      <c r="J403">
        <f t="shared" si="33"/>
        <v>-0.95653174800160323</v>
      </c>
      <c r="K403">
        <f t="shared" si="34"/>
        <v>-0.19719954059308265</v>
      </c>
      <c r="M403">
        <f t="shared" si="35"/>
        <v>-0.42411128053004515</v>
      </c>
    </row>
    <row r="404" spans="1:13" ht="22">
      <c r="A404" s="2" t="s">
        <v>86</v>
      </c>
      <c r="B404" s="5" t="s">
        <v>649</v>
      </c>
      <c r="D404" s="4">
        <v>486</v>
      </c>
      <c r="E404" s="1">
        <v>46</v>
      </c>
      <c r="F404" s="1">
        <v>15</v>
      </c>
      <c r="G404" s="1">
        <v>29</v>
      </c>
      <c r="I404">
        <f t="shared" si="32"/>
        <v>-3.1825273060149817E-2</v>
      </c>
      <c r="J404">
        <f t="shared" si="33"/>
        <v>-0.97107015932817931</v>
      </c>
      <c r="K404">
        <f t="shared" si="34"/>
        <v>-0.27530977627818198</v>
      </c>
      <c r="M404">
        <f t="shared" si="35"/>
        <v>-0.42606840288883707</v>
      </c>
    </row>
    <row r="405" spans="1:13" ht="22">
      <c r="A405" s="2" t="s">
        <v>389</v>
      </c>
      <c r="B405" s="5" t="s">
        <v>952</v>
      </c>
      <c r="D405" s="4">
        <v>854</v>
      </c>
      <c r="E405" s="1">
        <v>174</v>
      </c>
      <c r="F405" s="1">
        <v>23</v>
      </c>
      <c r="G405" s="1">
        <v>27</v>
      </c>
      <c r="I405">
        <f t="shared" si="32"/>
        <v>0.30114454211416408</v>
      </c>
      <c r="J405">
        <f t="shared" si="33"/>
        <v>-1.0302551837929794</v>
      </c>
      <c r="K405">
        <f t="shared" si="34"/>
        <v>-0.55116561144486242</v>
      </c>
      <c r="M405">
        <f t="shared" si="35"/>
        <v>-0.4267587510412259</v>
      </c>
    </row>
    <row r="406" spans="1:13" ht="22">
      <c r="A406" s="2" t="s">
        <v>143</v>
      </c>
      <c r="B406" s="5" t="s">
        <v>706</v>
      </c>
      <c r="D406" s="4">
        <v>1534</v>
      </c>
      <c r="E406" s="1">
        <v>150</v>
      </c>
      <c r="F406" s="1">
        <v>48</v>
      </c>
      <c r="G406" s="1">
        <v>84</v>
      </c>
      <c r="I406">
        <f t="shared" si="32"/>
        <v>-1.7680936036711392E-2</v>
      </c>
      <c r="J406">
        <f t="shared" si="33"/>
        <v>-0.96510927135894187</v>
      </c>
      <c r="K406">
        <f t="shared" si="34"/>
        <v>-0.31261757846592508</v>
      </c>
      <c r="M406">
        <f t="shared" si="35"/>
        <v>-0.43180259528719284</v>
      </c>
    </row>
    <row r="407" spans="1:13" ht="22">
      <c r="A407" s="2" t="s">
        <v>124</v>
      </c>
      <c r="B407" s="5" t="s">
        <v>687</v>
      </c>
      <c r="D407" s="4">
        <v>654</v>
      </c>
      <c r="E407" s="1">
        <v>40</v>
      </c>
      <c r="F407" s="1">
        <v>22</v>
      </c>
      <c r="G407" s="1">
        <v>53</v>
      </c>
      <c r="I407">
        <f t="shared" si="32"/>
        <v>-0.22146459247573547</v>
      </c>
      <c r="J407">
        <f t="shared" si="33"/>
        <v>-0.9336802166236281</v>
      </c>
      <c r="K407">
        <f t="shared" si="34"/>
        <v>-0.14237338363832297</v>
      </c>
      <c r="M407">
        <f t="shared" si="35"/>
        <v>-0.43250606424589549</v>
      </c>
    </row>
    <row r="408" spans="1:13" ht="22">
      <c r="A408" s="2" t="s">
        <v>374</v>
      </c>
      <c r="B408" s="5" t="s">
        <v>937</v>
      </c>
      <c r="D408" s="4">
        <v>1629</v>
      </c>
      <c r="E408" s="1">
        <v>215</v>
      </c>
      <c r="F408" s="1">
        <v>32</v>
      </c>
      <c r="G408" s="1">
        <v>103</v>
      </c>
      <c r="I408">
        <f t="shared" si="32"/>
        <v>0.11257054012766543</v>
      </c>
      <c r="J408">
        <f t="shared" si="33"/>
        <v>-1.1672962551101707</v>
      </c>
      <c r="K408">
        <f t="shared" si="34"/>
        <v>-0.25015536451818177</v>
      </c>
      <c r="M408">
        <f t="shared" si="35"/>
        <v>-0.43496035983356229</v>
      </c>
    </row>
    <row r="409" spans="1:13" ht="22">
      <c r="A409" s="2" t="s">
        <v>376</v>
      </c>
      <c r="B409" s="5" t="s">
        <v>939</v>
      </c>
      <c r="D409" s="4">
        <v>1185</v>
      </c>
      <c r="E409" s="1">
        <v>144</v>
      </c>
      <c r="F409" s="1">
        <v>26</v>
      </c>
      <c r="G409" s="1">
        <v>71</v>
      </c>
      <c r="I409">
        <f t="shared" si="32"/>
        <v>7.6697306269696397E-2</v>
      </c>
      <c r="J409">
        <f t="shared" si="33"/>
        <v>-1.1192701514968717</v>
      </c>
      <c r="K409">
        <f t="shared" si="34"/>
        <v>-0.27353150654189196</v>
      </c>
      <c r="M409">
        <f t="shared" si="35"/>
        <v>-0.43870145058968907</v>
      </c>
    </row>
    <row r="410" spans="1:13" ht="22">
      <c r="A410" s="2" t="s">
        <v>297</v>
      </c>
      <c r="B410" s="5" t="s">
        <v>860</v>
      </c>
      <c r="D410" s="4">
        <v>269</v>
      </c>
      <c r="E410" s="1">
        <v>7</v>
      </c>
      <c r="F410" s="1">
        <v>29</v>
      </c>
      <c r="G410" s="1">
        <v>15</v>
      </c>
      <c r="I410">
        <f t="shared" si="32"/>
        <v>-0.59260107546758167</v>
      </c>
      <c r="J410">
        <f t="shared" si="33"/>
        <v>-0.42787943122501892</v>
      </c>
      <c r="K410">
        <f t="shared" si="34"/>
        <v>-0.3047325258615714</v>
      </c>
      <c r="M410">
        <f t="shared" si="35"/>
        <v>-0.44173767751805731</v>
      </c>
    </row>
    <row r="411" spans="1:13" ht="22">
      <c r="A411" s="2" t="s">
        <v>316</v>
      </c>
      <c r="B411" s="5" t="s">
        <v>879</v>
      </c>
      <c r="D411" s="4">
        <v>154</v>
      </c>
      <c r="E411" s="1">
        <v>5</v>
      </c>
      <c r="F411" s="1">
        <v>14</v>
      </c>
      <c r="G411" s="1">
        <v>8</v>
      </c>
      <c r="I411">
        <f t="shared" si="32"/>
        <v>-0.49649755197987488</v>
      </c>
      <c r="J411">
        <f t="shared" si="33"/>
        <v>-0.50191783427979197</v>
      </c>
      <c r="K411">
        <f t="shared" si="34"/>
        <v>-0.33550223875936425</v>
      </c>
      <c r="M411">
        <f t="shared" si="35"/>
        <v>-0.44463920833967707</v>
      </c>
    </row>
    <row r="412" spans="1:13" ht="22">
      <c r="A412" s="2" t="s">
        <v>269</v>
      </c>
      <c r="B412" s="5" t="s">
        <v>832</v>
      </c>
      <c r="D412" s="4">
        <v>375</v>
      </c>
      <c r="E412" s="1">
        <v>19</v>
      </c>
      <c r="F412" s="1">
        <v>17</v>
      </c>
      <c r="G412" s="1">
        <v>25</v>
      </c>
      <c r="I412">
        <f t="shared" si="32"/>
        <v>-0.30322450225432052</v>
      </c>
      <c r="J412">
        <f t="shared" si="33"/>
        <v>-0.80410749547101201</v>
      </c>
      <c r="K412">
        <f t="shared" si="34"/>
        <v>-0.22716276397052604</v>
      </c>
      <c r="M412">
        <f t="shared" si="35"/>
        <v>-0.44483158723195282</v>
      </c>
    </row>
    <row r="413" spans="1:13" ht="22">
      <c r="A413" s="2" t="s">
        <v>508</v>
      </c>
      <c r="B413" s="5" t="s">
        <v>1071</v>
      </c>
      <c r="D413" s="4">
        <v>1178</v>
      </c>
      <c r="E413" s="1">
        <v>55</v>
      </c>
      <c r="F413" s="1">
        <v>63</v>
      </c>
      <c r="G413" s="1">
        <v>72</v>
      </c>
      <c r="I413">
        <f t="shared" si="32"/>
        <v>-0.3387294364362694</v>
      </c>
      <c r="J413">
        <f t="shared" si="33"/>
        <v>-0.73232989011906813</v>
      </c>
      <c r="K413">
        <f t="shared" si="34"/>
        <v>-0.26488429893465915</v>
      </c>
      <c r="M413">
        <f t="shared" si="35"/>
        <v>-0.44531454182999886</v>
      </c>
    </row>
    <row r="414" spans="1:13" ht="22">
      <c r="A414" s="2" t="s">
        <v>338</v>
      </c>
      <c r="B414" s="5" t="s">
        <v>901</v>
      </c>
      <c r="D414" s="4">
        <v>91</v>
      </c>
      <c r="E414" s="1">
        <v>1</v>
      </c>
      <c r="F414" s="1">
        <v>37</v>
      </c>
      <c r="G414" s="1">
        <v>3</v>
      </c>
      <c r="I414">
        <f t="shared" si="32"/>
        <v>-0.96698822780052418</v>
      </c>
      <c r="J414">
        <f t="shared" si="33"/>
        <v>0.14863518262433434</v>
      </c>
      <c r="K414">
        <f t="shared" si="34"/>
        <v>-0.53299164251627573</v>
      </c>
      <c r="M414">
        <f t="shared" si="35"/>
        <v>-0.45044822923082184</v>
      </c>
    </row>
    <row r="415" spans="1:13" ht="22">
      <c r="A415" s="2" t="s">
        <v>472</v>
      </c>
      <c r="B415" s="5" t="s">
        <v>1035</v>
      </c>
      <c r="D415" s="4">
        <v>1255</v>
      </c>
      <c r="E415" s="1">
        <v>6</v>
      </c>
      <c r="F415" s="1">
        <v>17</v>
      </c>
      <c r="G415" s="1">
        <v>2815</v>
      </c>
      <c r="I415">
        <f t="shared" si="32"/>
        <v>-1.3284393109128438</v>
      </c>
      <c r="J415">
        <f t="shared" si="33"/>
        <v>-1.3287199535603502</v>
      </c>
      <c r="K415">
        <f t="shared" si="34"/>
        <v>1.2997631684554634</v>
      </c>
      <c r="M415">
        <f t="shared" si="35"/>
        <v>-0.45246536533924359</v>
      </c>
    </row>
    <row r="416" spans="1:13" ht="22">
      <c r="A416" s="2" t="s">
        <v>225</v>
      </c>
      <c r="B416" s="5" t="s">
        <v>788</v>
      </c>
      <c r="D416" s="4">
        <v>1718</v>
      </c>
      <c r="E416" s="1">
        <v>72</v>
      </c>
      <c r="F416" s="1">
        <v>142</v>
      </c>
      <c r="G416" s="1">
        <v>72</v>
      </c>
      <c r="I416">
        <f t="shared" si="32"/>
        <v>-0.38563749854338547</v>
      </c>
      <c r="J416">
        <f t="shared" si="33"/>
        <v>-0.54325996423373402</v>
      </c>
      <c r="K416">
        <f t="shared" si="34"/>
        <v>-0.42876216797879962</v>
      </c>
      <c r="M416">
        <f t="shared" si="35"/>
        <v>-0.45255321025197298</v>
      </c>
    </row>
    <row r="417" spans="1:13" ht="22">
      <c r="A417" s="2" t="s">
        <v>461</v>
      </c>
      <c r="B417" s="5" t="s">
        <v>1024</v>
      </c>
      <c r="D417" s="4">
        <v>606</v>
      </c>
      <c r="E417" s="1">
        <v>26</v>
      </c>
      <c r="F417" s="1">
        <v>31</v>
      </c>
      <c r="G417" s="1">
        <v>40</v>
      </c>
      <c r="I417">
        <f t="shared" si="32"/>
        <v>-0.37544611167489883</v>
      </c>
      <c r="J417">
        <f t="shared" si="33"/>
        <v>-0.75163607945358046</v>
      </c>
      <c r="K417">
        <f t="shared" si="34"/>
        <v>-0.23148413775316845</v>
      </c>
      <c r="M417">
        <f t="shared" si="35"/>
        <v>-0.4528554429605493</v>
      </c>
    </row>
    <row r="418" spans="1:13" ht="22">
      <c r="A418" s="2" t="s">
        <v>216</v>
      </c>
      <c r="B418" s="5" t="s">
        <v>779</v>
      </c>
      <c r="D418" s="4">
        <v>457</v>
      </c>
      <c r="E418" s="1">
        <v>15</v>
      </c>
      <c r="F418" s="1">
        <v>92</v>
      </c>
      <c r="G418" s="1">
        <v>10</v>
      </c>
      <c r="I418">
        <f t="shared" si="32"/>
        <v>-0.4917717764935996</v>
      </c>
      <c r="J418">
        <f t="shared" si="33"/>
        <v>-0.15665352184586201</v>
      </c>
      <c r="K418">
        <f t="shared" si="34"/>
        <v>-0.71098770498469488</v>
      </c>
      <c r="M418">
        <f t="shared" si="35"/>
        <v>-0.45313766777471881</v>
      </c>
    </row>
    <row r="419" spans="1:13" ht="22">
      <c r="A419" s="2" t="s">
        <v>170</v>
      </c>
      <c r="B419" s="5" t="s">
        <v>733</v>
      </c>
      <c r="D419" s="4">
        <v>755</v>
      </c>
      <c r="E419" s="1">
        <v>29</v>
      </c>
      <c r="F419" s="1">
        <v>39</v>
      </c>
      <c r="G419" s="1">
        <v>55</v>
      </c>
      <c r="I419">
        <f t="shared" si="32"/>
        <v>-0.42349578920966269</v>
      </c>
      <c r="J419">
        <f t="shared" si="33"/>
        <v>-0.74740749372425619</v>
      </c>
      <c r="K419">
        <f t="shared" si="34"/>
        <v>-0.18865576704978904</v>
      </c>
      <c r="M419">
        <f t="shared" si="35"/>
        <v>-0.45318634999456936</v>
      </c>
    </row>
    <row r="420" spans="1:13" ht="22">
      <c r="A420" s="2" t="s">
        <v>399</v>
      </c>
      <c r="B420" s="5" t="s">
        <v>962</v>
      </c>
      <c r="D420" s="4">
        <v>382</v>
      </c>
      <c r="E420" s="1">
        <v>16</v>
      </c>
      <c r="F420" s="1">
        <v>50</v>
      </c>
      <c r="G420" s="1">
        <v>10</v>
      </c>
      <c r="I420">
        <f t="shared" si="32"/>
        <v>-0.38589021573521443</v>
      </c>
      <c r="J420">
        <f t="shared" si="33"/>
        <v>-0.34361850769725699</v>
      </c>
      <c r="K420">
        <f t="shared" si="34"/>
        <v>-0.63313486782655337</v>
      </c>
      <c r="M420">
        <f t="shared" si="35"/>
        <v>-0.45421453041967491</v>
      </c>
    </row>
    <row r="421" spans="1:13" ht="22">
      <c r="A421" s="2" t="s">
        <v>112</v>
      </c>
      <c r="B421" s="5" t="s">
        <v>675</v>
      </c>
      <c r="D421" s="4">
        <v>730</v>
      </c>
      <c r="E421" s="1">
        <v>47</v>
      </c>
      <c r="F421" s="1">
        <v>45</v>
      </c>
      <c r="G421" s="1">
        <v>26</v>
      </c>
      <c r="I421">
        <f t="shared" si="32"/>
        <v>-0.1991718376641689</v>
      </c>
      <c r="J421">
        <f t="shared" si="33"/>
        <v>-0.67063549546667922</v>
      </c>
      <c r="K421">
        <f t="shared" si="34"/>
        <v>-0.49942101706448261</v>
      </c>
      <c r="M421">
        <f t="shared" si="35"/>
        <v>-0.45640945006511019</v>
      </c>
    </row>
    <row r="422" spans="1:13" ht="22">
      <c r="A422" s="2" t="s">
        <v>410</v>
      </c>
      <c r="B422" s="5" t="s">
        <v>973</v>
      </c>
      <c r="D422" s="4">
        <v>820</v>
      </c>
      <c r="E422" s="1">
        <v>221</v>
      </c>
      <c r="F422" s="1">
        <v>14</v>
      </c>
      <c r="G422" s="1">
        <v>25</v>
      </c>
      <c r="I422">
        <f t="shared" si="32"/>
        <v>0.42263158582196347</v>
      </c>
      <c r="J422">
        <f t="shared" si="33"/>
        <v>-1.2282109658270457</v>
      </c>
      <c r="K422">
        <f t="shared" si="34"/>
        <v>-0.56694534862652368</v>
      </c>
      <c r="M422">
        <f t="shared" si="35"/>
        <v>-0.45750824287720199</v>
      </c>
    </row>
    <row r="423" spans="1:13" ht="22">
      <c r="A423" s="2" t="s">
        <v>390</v>
      </c>
      <c r="B423" s="5" t="s">
        <v>953</v>
      </c>
      <c r="D423" s="4">
        <v>785</v>
      </c>
      <c r="E423" s="1">
        <v>41</v>
      </c>
      <c r="F423" s="1">
        <v>38</v>
      </c>
      <c r="G423" s="1">
        <v>43</v>
      </c>
      <c r="I423">
        <f t="shared" si="32"/>
        <v>-0.29003263550494762</v>
      </c>
      <c r="J423">
        <f t="shared" si="33"/>
        <v>-0.77561120925000948</v>
      </c>
      <c r="K423">
        <f t="shared" si="34"/>
        <v>-0.31247270608051059</v>
      </c>
      <c r="M423">
        <f t="shared" si="35"/>
        <v>-0.45937218361182258</v>
      </c>
    </row>
    <row r="424" spans="1:13" ht="22">
      <c r="A424" s="2" t="s">
        <v>72</v>
      </c>
      <c r="B424" s="5" t="s">
        <v>635</v>
      </c>
      <c r="D424" s="4">
        <v>775</v>
      </c>
      <c r="E424" s="1">
        <v>15</v>
      </c>
      <c r="F424" s="1">
        <v>358</v>
      </c>
      <c r="G424" s="1">
        <v>12</v>
      </c>
      <c r="I424">
        <f t="shared" si="32"/>
        <v>-0.72115727893005954</v>
      </c>
      <c r="J424">
        <f t="shared" si="33"/>
        <v>0.20405617501599699</v>
      </c>
      <c r="K424">
        <f t="shared" si="34"/>
        <v>-0.86119196137353016</v>
      </c>
      <c r="M424">
        <f t="shared" si="35"/>
        <v>-0.45943102176253087</v>
      </c>
    </row>
    <row r="425" spans="1:13" ht="22">
      <c r="A425" s="2" t="s">
        <v>418</v>
      </c>
      <c r="B425" s="5" t="s">
        <v>981</v>
      </c>
      <c r="D425" s="4">
        <v>513</v>
      </c>
      <c r="E425" s="1">
        <v>26</v>
      </c>
      <c r="F425" s="1">
        <v>16</v>
      </c>
      <c r="G425" s="1">
        <v>44</v>
      </c>
      <c r="I425">
        <f t="shared" si="32"/>
        <v>-0.30309085262042879</v>
      </c>
      <c r="J425">
        <f t="shared" si="33"/>
        <v>-0.96652253157745849</v>
      </c>
      <c r="K425">
        <f t="shared" si="34"/>
        <v>-0.11773619354047349</v>
      </c>
      <c r="M425">
        <f t="shared" si="35"/>
        <v>-0.46244985924612031</v>
      </c>
    </row>
    <row r="426" spans="1:13" ht="22">
      <c r="A426" s="2" t="s">
        <v>528</v>
      </c>
      <c r="B426" s="5" t="s">
        <v>1091</v>
      </c>
      <c r="D426" s="4">
        <v>343</v>
      </c>
      <c r="E426" s="1">
        <v>20</v>
      </c>
      <c r="F426" s="1">
        <v>13</v>
      </c>
      <c r="G426" s="1">
        <v>21</v>
      </c>
      <c r="I426">
        <f t="shared" si="32"/>
        <v>-0.24221095985821983</v>
      </c>
      <c r="J426">
        <f t="shared" si="33"/>
        <v>-0.88187591685750066</v>
      </c>
      <c r="K426">
        <f t="shared" si="34"/>
        <v>-0.26414633022369594</v>
      </c>
      <c r="M426">
        <f t="shared" si="35"/>
        <v>-0.46274440231313885</v>
      </c>
    </row>
    <row r="427" spans="1:13" ht="22">
      <c r="A427" s="2" t="s">
        <v>99</v>
      </c>
      <c r="B427" s="5" t="s">
        <v>662</v>
      </c>
      <c r="D427" s="4">
        <v>180</v>
      </c>
      <c r="E427" s="1">
        <v>13</v>
      </c>
      <c r="F427" s="1">
        <v>15</v>
      </c>
      <c r="G427" s="1">
        <v>4</v>
      </c>
      <c r="I427">
        <f t="shared" si="32"/>
        <v>-0.14927598827589983</v>
      </c>
      <c r="J427">
        <f t="shared" si="33"/>
        <v>-0.53970639516919194</v>
      </c>
      <c r="K427">
        <f t="shared" si="34"/>
        <v>-0.70428401869018842</v>
      </c>
      <c r="M427">
        <f t="shared" si="35"/>
        <v>-0.46442213404509342</v>
      </c>
    </row>
    <row r="428" spans="1:13" ht="22">
      <c r="A428" s="2" t="s">
        <v>331</v>
      </c>
      <c r="B428" s="5" t="s">
        <v>894</v>
      </c>
      <c r="D428" s="4">
        <v>494</v>
      </c>
      <c r="E428" s="1">
        <v>23</v>
      </c>
      <c r="F428" s="1">
        <v>35</v>
      </c>
      <c r="G428" s="1">
        <v>20</v>
      </c>
      <c r="I428">
        <f t="shared" si="32"/>
        <v>-0.33994594838548453</v>
      </c>
      <c r="J428">
        <f t="shared" si="33"/>
        <v>-0.61018405369493822</v>
      </c>
      <c r="K428">
        <f t="shared" si="34"/>
        <v>-0.44376845817451049</v>
      </c>
      <c r="M428">
        <f t="shared" si="35"/>
        <v>-0.4646328200849778</v>
      </c>
    </row>
    <row r="429" spans="1:13" ht="22">
      <c r="A429" s="2" t="s">
        <v>134</v>
      </c>
      <c r="B429" s="5" t="s">
        <v>697</v>
      </c>
      <c r="D429" s="4">
        <v>356</v>
      </c>
      <c r="E429" s="1">
        <v>20</v>
      </c>
      <c r="F429" s="1">
        <v>20</v>
      </c>
      <c r="G429" s="1">
        <v>15</v>
      </c>
      <c r="I429">
        <f t="shared" si="32"/>
        <v>-0.25836683778832459</v>
      </c>
      <c r="J429">
        <f t="shared" si="33"/>
        <v>-0.71094515143046111</v>
      </c>
      <c r="K429">
        <f t="shared" si="34"/>
        <v>-0.42643024383203865</v>
      </c>
      <c r="M429">
        <f t="shared" si="35"/>
        <v>-0.46524741101694139</v>
      </c>
    </row>
    <row r="430" spans="1:13" ht="22">
      <c r="A430" s="2" t="s">
        <v>381</v>
      </c>
      <c r="B430" s="5" t="s">
        <v>944</v>
      </c>
      <c r="D430" s="4">
        <v>487</v>
      </c>
      <c r="E430" s="1">
        <v>38</v>
      </c>
      <c r="F430" s="1">
        <v>8</v>
      </c>
      <c r="G430" s="1">
        <v>50</v>
      </c>
      <c r="I430">
        <f t="shared" si="32"/>
        <v>-0.11569220007725467</v>
      </c>
      <c r="J430">
        <f t="shared" si="33"/>
        <v>-1.2449641233442579</v>
      </c>
      <c r="K430">
        <f t="shared" si="34"/>
        <v>-3.9630461793460192E-2</v>
      </c>
      <c r="M430">
        <f t="shared" si="35"/>
        <v>-0.46676226173832425</v>
      </c>
    </row>
    <row r="431" spans="1:13" ht="22">
      <c r="A431" s="2" t="s">
        <v>448</v>
      </c>
      <c r="B431" s="5" t="s">
        <v>1011</v>
      </c>
      <c r="D431" s="4">
        <v>210</v>
      </c>
      <c r="E431" s="1">
        <v>8</v>
      </c>
      <c r="F431" s="1">
        <v>2</v>
      </c>
      <c r="G431" s="1">
        <v>76</v>
      </c>
      <c r="I431">
        <f t="shared" si="32"/>
        <v>-0.42707614322140608</v>
      </c>
      <c r="J431">
        <f t="shared" si="33"/>
        <v>-1.481714448191505</v>
      </c>
      <c r="K431">
        <f t="shared" si="34"/>
        <v>0.50752279263202738</v>
      </c>
      <c r="M431">
        <f t="shared" si="35"/>
        <v>-0.46708926626029457</v>
      </c>
    </row>
    <row r="432" spans="1:13" ht="22">
      <c r="A432" s="2" t="s">
        <v>355</v>
      </c>
      <c r="B432" s="5" t="s">
        <v>918</v>
      </c>
      <c r="D432" s="4">
        <v>659</v>
      </c>
      <c r="E432" s="1">
        <v>36</v>
      </c>
      <c r="F432" s="1">
        <v>25</v>
      </c>
      <c r="G432" s="1">
        <v>41</v>
      </c>
      <c r="I432">
        <f t="shared" si="32"/>
        <v>-0.27052974930615314</v>
      </c>
      <c r="J432">
        <f t="shared" si="33"/>
        <v>-0.88147055504353922</v>
      </c>
      <c r="K432">
        <f t="shared" si="34"/>
        <v>-0.25717306278911911</v>
      </c>
      <c r="M432">
        <f t="shared" si="35"/>
        <v>-0.46972445571293714</v>
      </c>
    </row>
    <row r="433" spans="1:13" ht="22">
      <c r="A433" s="2" t="s">
        <v>50</v>
      </c>
      <c r="B433" s="5" t="s">
        <v>613</v>
      </c>
      <c r="D433" s="4">
        <v>272</v>
      </c>
      <c r="E433" s="1">
        <v>12</v>
      </c>
      <c r="F433" s="1">
        <v>18</v>
      </c>
      <c r="G433" s="1">
        <v>12</v>
      </c>
      <c r="I433">
        <f t="shared" si="32"/>
        <v>-0.36333449346600433</v>
      </c>
      <c r="J433">
        <f t="shared" si="33"/>
        <v>-0.63982154805245972</v>
      </c>
      <c r="K433">
        <f t="shared" si="34"/>
        <v>-0.40645916290141848</v>
      </c>
      <c r="M433">
        <f t="shared" si="35"/>
        <v>-0.46987173480662747</v>
      </c>
    </row>
    <row r="434" spans="1:13" ht="22">
      <c r="A434" s="2" t="s">
        <v>192</v>
      </c>
      <c r="B434" s="5" t="s">
        <v>755</v>
      </c>
      <c r="D434" s="4">
        <v>951</v>
      </c>
      <c r="E434" s="1">
        <v>53</v>
      </c>
      <c r="F434" s="1">
        <v>35</v>
      </c>
      <c r="G434" s="1">
        <v>58</v>
      </c>
      <c r="I434">
        <f t="shared" ref="I434:I497" si="36">LOG(E434/D434)-LOG(182/1787)</f>
        <v>-0.26185148281605541</v>
      </c>
      <c r="J434">
        <f t="shared" ref="J434:J497" si="37">LOG(F434/D434)-LOG(516/1787)</f>
        <v>-0.89463762170870542</v>
      </c>
      <c r="K434">
        <f t="shared" ref="K434:K497" si="38">LOG(G434/D434)-LOG(201/1787)</f>
        <v>-0.26582402828932139</v>
      </c>
      <c r="M434">
        <f t="shared" ref="M434:M497" si="39">AVERAGE(I434:K434)</f>
        <v>-0.47410437760469409</v>
      </c>
    </row>
    <row r="435" spans="1:13" ht="22">
      <c r="A435" s="2" t="s">
        <v>388</v>
      </c>
      <c r="B435" s="5" t="s">
        <v>951</v>
      </c>
      <c r="D435" s="4">
        <v>411</v>
      </c>
      <c r="E435" s="1">
        <v>37</v>
      </c>
      <c r="F435" s="1">
        <v>29</v>
      </c>
      <c r="G435" s="1">
        <v>8</v>
      </c>
      <c r="I435">
        <f t="shared" si="36"/>
        <v>-5.3586933288504834E-2</v>
      </c>
      <c r="J435">
        <f t="shared" si="37"/>
        <v>-0.61196897309868026</v>
      </c>
      <c r="K435">
        <f t="shared" si="38"/>
        <v>-0.76182333979897021</v>
      </c>
      <c r="M435">
        <f t="shared" si="39"/>
        <v>-0.47579308206205173</v>
      </c>
    </row>
    <row r="436" spans="1:13" ht="22">
      <c r="A436" s="2" t="s">
        <v>157</v>
      </c>
      <c r="B436" s="5" t="s">
        <v>720</v>
      </c>
      <c r="D436" s="4">
        <v>760</v>
      </c>
      <c r="E436" s="1">
        <v>59</v>
      </c>
      <c r="F436" s="1">
        <v>11</v>
      </c>
      <c r="G436" s="1">
        <v>83</v>
      </c>
      <c r="I436">
        <f t="shared" si="36"/>
        <v>-0.11790841611807767</v>
      </c>
      <c r="J436">
        <f t="shared" si="37"/>
        <v>-1.2999460562441332</v>
      </c>
      <c r="K436">
        <f t="shared" si="38"/>
        <v>-1.2807004819562096E-2</v>
      </c>
      <c r="M436">
        <f t="shared" si="39"/>
        <v>-0.47688715906059098</v>
      </c>
    </row>
    <row r="437" spans="1:13" ht="22">
      <c r="A437" s="2" t="s">
        <v>537</v>
      </c>
      <c r="B437" s="5" t="s">
        <v>1100</v>
      </c>
      <c r="D437" s="4">
        <v>954</v>
      </c>
      <c r="E437" s="1">
        <v>36</v>
      </c>
      <c r="F437" s="1">
        <v>92</v>
      </c>
      <c r="G437" s="1">
        <v>31</v>
      </c>
      <c r="I437">
        <f t="shared" si="36"/>
        <v>-0.43119270941623844</v>
      </c>
      <c r="J437">
        <f t="shared" si="37"/>
        <v>-0.47628569648010688</v>
      </c>
      <c r="K437">
        <f t="shared" si="38"/>
        <v>-0.53925818578466722</v>
      </c>
      <c r="M437">
        <f t="shared" si="39"/>
        <v>-0.48224553056033753</v>
      </c>
    </row>
    <row r="438" spans="1:13" ht="22">
      <c r="A438" s="2" t="s">
        <v>552</v>
      </c>
      <c r="B438" s="5" t="s">
        <v>1115</v>
      </c>
      <c r="D438" s="4">
        <v>367</v>
      </c>
      <c r="E438" s="1">
        <v>17</v>
      </c>
      <c r="F438" s="1">
        <v>12</v>
      </c>
      <c r="G438" s="1">
        <v>28</v>
      </c>
      <c r="I438">
        <f t="shared" si="36"/>
        <v>-0.34216397835324597</v>
      </c>
      <c r="J438">
        <f t="shared" si="37"/>
        <v>-0.94600996732603171</v>
      </c>
      <c r="K438">
        <f t="shared" si="38"/>
        <v>-0.1685795378247148</v>
      </c>
      <c r="M438">
        <f t="shared" si="39"/>
        <v>-0.48558449450133079</v>
      </c>
    </row>
    <row r="439" spans="1:13" ht="22">
      <c r="A439" s="2" t="s">
        <v>320</v>
      </c>
      <c r="B439" s="5" t="s">
        <v>883</v>
      </c>
      <c r="D439" s="4">
        <v>241</v>
      </c>
      <c r="E439" s="1">
        <v>7</v>
      </c>
      <c r="F439" s="1">
        <v>11</v>
      </c>
      <c r="G439" s="1">
        <v>21</v>
      </c>
      <c r="I439">
        <f t="shared" si="36"/>
        <v>-0.54486583804004218</v>
      </c>
      <c r="J439">
        <f t="shared" si="37"/>
        <v>-0.80114950653821049</v>
      </c>
      <c r="K439">
        <f t="shared" si="38"/>
        <v>-0.11086925275579373</v>
      </c>
      <c r="M439">
        <f t="shared" si="39"/>
        <v>-0.48562819911134875</v>
      </c>
    </row>
    <row r="440" spans="1:13" ht="22">
      <c r="A440" s="2" t="s">
        <v>221</v>
      </c>
      <c r="B440" s="5" t="s">
        <v>784</v>
      </c>
      <c r="D440" s="4">
        <v>355</v>
      </c>
      <c r="E440" s="1">
        <v>14</v>
      </c>
      <c r="F440" s="1">
        <v>11</v>
      </c>
      <c r="G440" s="1">
        <v>33</v>
      </c>
      <c r="I440">
        <f t="shared" si="36"/>
        <v>-0.41204715285628657</v>
      </c>
      <c r="J440">
        <f t="shared" si="37"/>
        <v>-0.96936081701843613</v>
      </c>
      <c r="K440">
        <f t="shared" si="38"/>
        <v>-8.278591809205138E-2</v>
      </c>
      <c r="M440">
        <f t="shared" si="39"/>
        <v>-0.48806462932225797</v>
      </c>
    </row>
    <row r="441" spans="1:13" ht="22">
      <c r="A441" s="2" t="s">
        <v>161</v>
      </c>
      <c r="B441" s="5" t="s">
        <v>724</v>
      </c>
      <c r="D441" s="4">
        <v>574</v>
      </c>
      <c r="E441" s="1">
        <v>27</v>
      </c>
      <c r="F441" s="1">
        <v>13</v>
      </c>
      <c r="G441" s="1">
        <v>59</v>
      </c>
      <c r="I441">
        <f t="shared" si="36"/>
        <v>-0.33549496371841681</v>
      </c>
      <c r="J441">
        <f t="shared" si="37"/>
        <v>-1.1054936892127039</v>
      </c>
      <c r="K441">
        <f t="shared" si="38"/>
        <v>-3.9131385670673979E-2</v>
      </c>
      <c r="M441">
        <f t="shared" si="39"/>
        <v>-0.4933733462005982</v>
      </c>
    </row>
    <row r="442" spans="1:13" ht="22">
      <c r="A442" s="2" t="s">
        <v>357</v>
      </c>
      <c r="B442" s="5" t="s">
        <v>920</v>
      </c>
      <c r="D442" s="4">
        <v>766</v>
      </c>
      <c r="E442" s="1">
        <v>40</v>
      </c>
      <c r="F442" s="1">
        <v>9</v>
      </c>
      <c r="G442" s="1">
        <v>135</v>
      </c>
      <c r="I442">
        <f t="shared" si="36"/>
        <v>-0.29011561378407213</v>
      </c>
      <c r="J442">
        <f t="shared" si="37"/>
        <v>-1.3905114093148461</v>
      </c>
      <c r="K442">
        <f t="shared" si="38"/>
        <v>0.19503349394755742</v>
      </c>
      <c r="M442">
        <f t="shared" si="39"/>
        <v>-0.49519784305045356</v>
      </c>
    </row>
    <row r="443" spans="1:13" ht="22">
      <c r="A443" s="2" t="s">
        <v>463</v>
      </c>
      <c r="B443" s="5" t="s">
        <v>1026</v>
      </c>
      <c r="D443" s="4">
        <v>2215</v>
      </c>
      <c r="E443" s="1">
        <v>178</v>
      </c>
      <c r="F443" s="1">
        <v>29</v>
      </c>
      <c r="G443" s="1">
        <v>215</v>
      </c>
      <c r="I443">
        <f t="shared" si="36"/>
        <v>-0.10290056372962497</v>
      </c>
      <c r="J443">
        <f t="shared" si="37"/>
        <v>-1.3435008817816994</v>
      </c>
      <c r="K443">
        <f t="shared" si="38"/>
        <v>-6.4006775558327789E-2</v>
      </c>
      <c r="M443">
        <f t="shared" si="39"/>
        <v>-0.50346940702321741</v>
      </c>
    </row>
    <row r="444" spans="1:13" ht="22">
      <c r="A444" s="2" t="s">
        <v>83</v>
      </c>
      <c r="B444" s="5" t="s">
        <v>646</v>
      </c>
      <c r="D444" s="4">
        <v>746</v>
      </c>
      <c r="E444" s="1">
        <v>29</v>
      </c>
      <c r="F444" s="1">
        <v>30</v>
      </c>
      <c r="G444" s="1">
        <v>45</v>
      </c>
      <c r="I444">
        <f t="shared" si="36"/>
        <v>-0.4182876650531433</v>
      </c>
      <c r="J444">
        <f t="shared" si="37"/>
        <v>-0.85614272187457352</v>
      </c>
      <c r="K444">
        <f t="shared" si="38"/>
        <v>-0.2705978186121698</v>
      </c>
      <c r="M444">
        <f t="shared" si="39"/>
        <v>-0.5150094018466288</v>
      </c>
    </row>
    <row r="445" spans="1:13" ht="22">
      <c r="A445" s="2" t="s">
        <v>5</v>
      </c>
      <c r="B445" s="5" t="s">
        <v>568</v>
      </c>
      <c r="D445" s="4">
        <v>215</v>
      </c>
      <c r="E445" s="1">
        <v>10</v>
      </c>
      <c r="F445" s="1">
        <v>10</v>
      </c>
      <c r="G445" s="1">
        <v>9</v>
      </c>
      <c r="I445">
        <f t="shared" si="36"/>
        <v>-0.34038529539503593</v>
      </c>
      <c r="J445">
        <f t="shared" si="37"/>
        <v>-0.79296360903717245</v>
      </c>
      <c r="K445">
        <f t="shared" si="38"/>
        <v>-0.4292674553911251</v>
      </c>
      <c r="M445">
        <f t="shared" si="39"/>
        <v>-0.52087211994111116</v>
      </c>
    </row>
    <row r="446" spans="1:13" ht="22">
      <c r="A446" s="2" t="s">
        <v>233</v>
      </c>
      <c r="B446" s="5" t="s">
        <v>796</v>
      </c>
      <c r="D446" s="4">
        <v>1022</v>
      </c>
      <c r="E446" s="1">
        <v>52</v>
      </c>
      <c r="F446" s="1">
        <v>53</v>
      </c>
      <c r="G446" s="1">
        <v>35</v>
      </c>
      <c r="I446">
        <f t="shared" si="36"/>
        <v>-0.30139438764332538</v>
      </c>
      <c r="J446">
        <f t="shared" si="37"/>
        <v>-0.74570017531947197</v>
      </c>
      <c r="K446">
        <f t="shared" si="38"/>
        <v>-0.51645435636326309</v>
      </c>
      <c r="M446">
        <f t="shared" si="39"/>
        <v>-0.52118297310868678</v>
      </c>
    </row>
    <row r="447" spans="1:13" ht="22">
      <c r="A447" s="2" t="s">
        <v>242</v>
      </c>
      <c r="B447" s="5" t="s">
        <v>805</v>
      </c>
      <c r="D447" s="4">
        <v>708</v>
      </c>
      <c r="E447" s="1">
        <v>53</v>
      </c>
      <c r="F447" s="1">
        <v>16</v>
      </c>
      <c r="G447" s="1">
        <v>35</v>
      </c>
      <c r="I447">
        <f t="shared" si="36"/>
        <v>-0.1337042235684105</v>
      </c>
      <c r="J447">
        <f t="shared" si="37"/>
        <v>-1.1064384241554115</v>
      </c>
      <c r="K447">
        <f t="shared" si="38"/>
        <v>-0.35703671825433814</v>
      </c>
      <c r="M447">
        <f t="shared" si="39"/>
        <v>-0.53239312199272004</v>
      </c>
    </row>
    <row r="448" spans="1:13" ht="22">
      <c r="A448" s="2" t="s">
        <v>351</v>
      </c>
      <c r="B448" s="5" t="s">
        <v>914</v>
      </c>
      <c r="D448" s="4">
        <v>712</v>
      </c>
      <c r="E448" s="1">
        <v>20</v>
      </c>
      <c r="F448" s="1">
        <v>87</v>
      </c>
      <c r="G448" s="1">
        <v>17</v>
      </c>
      <c r="I448">
        <f t="shared" si="36"/>
        <v>-0.55939683345230562</v>
      </c>
      <c r="J448">
        <f t="shared" si="37"/>
        <v>-0.37348589013980493</v>
      </c>
      <c r="K448">
        <f t="shared" si="38"/>
        <v>-0.67310257717342714</v>
      </c>
      <c r="M448">
        <f t="shared" si="39"/>
        <v>-0.53532843358851256</v>
      </c>
    </row>
    <row r="449" spans="1:13" ht="22">
      <c r="A449" s="2" t="s">
        <v>464</v>
      </c>
      <c r="B449" s="5" t="s">
        <v>1027</v>
      </c>
      <c r="D449" s="4">
        <v>1442</v>
      </c>
      <c r="E449" s="1">
        <v>30</v>
      </c>
      <c r="F449" s="1">
        <v>67</v>
      </c>
      <c r="G449" s="1">
        <v>114</v>
      </c>
      <c r="I449">
        <f t="shared" si="36"/>
        <v>-0.68979084114317835</v>
      </c>
      <c r="J449">
        <f t="shared" si="37"/>
        <v>-0.7934156068041508</v>
      </c>
      <c r="K449">
        <f t="shared" si="38"/>
        <v>-0.15313191396178238</v>
      </c>
      <c r="M449">
        <f t="shared" si="39"/>
        <v>-0.54544612063637044</v>
      </c>
    </row>
    <row r="450" spans="1:13" ht="22">
      <c r="A450" s="2" t="s">
        <v>217</v>
      </c>
      <c r="B450" s="5" t="s">
        <v>780</v>
      </c>
      <c r="D450" s="4">
        <v>577</v>
      </c>
      <c r="E450" s="1">
        <v>22</v>
      </c>
      <c r="F450" s="1">
        <v>17</v>
      </c>
      <c r="G450" s="1">
        <v>38</v>
      </c>
      <c r="I450">
        <f t="shared" si="36"/>
        <v>-0.42669996781295572</v>
      </c>
      <c r="J450">
        <f t="shared" si="37"/>
        <v>-0.99125204089902452</v>
      </c>
      <c r="K450">
        <f t="shared" si="38"/>
        <v>-0.23246372145376593</v>
      </c>
      <c r="M450">
        <f t="shared" si="39"/>
        <v>-0.55013857672191535</v>
      </c>
    </row>
    <row r="451" spans="1:13" ht="22">
      <c r="A451" s="2" t="s">
        <v>9</v>
      </c>
      <c r="B451" s="5" t="s">
        <v>572</v>
      </c>
      <c r="D451" s="4">
        <v>466</v>
      </c>
      <c r="E451" s="1">
        <v>21</v>
      </c>
      <c r="F451" s="1">
        <v>22</v>
      </c>
      <c r="G451" s="1">
        <v>16</v>
      </c>
      <c r="I451">
        <f t="shared" si="36"/>
        <v>-0.35411345743551137</v>
      </c>
      <c r="J451">
        <f t="shared" si="37"/>
        <v>-0.78648838498936102</v>
      </c>
      <c r="K451">
        <f t="shared" si="38"/>
        <v>-0.51533743894892003</v>
      </c>
      <c r="M451">
        <f t="shared" si="39"/>
        <v>-0.55197976045793073</v>
      </c>
    </row>
    <row r="452" spans="1:13" ht="22">
      <c r="A452" s="2" t="s">
        <v>257</v>
      </c>
      <c r="B452" s="5" t="s">
        <v>820</v>
      </c>
      <c r="D452" s="4">
        <v>111</v>
      </c>
      <c r="E452" s="1">
        <v>4</v>
      </c>
      <c r="F452" s="1">
        <v>3</v>
      </c>
      <c r="G452" s="1">
        <v>8</v>
      </c>
      <c r="I452">
        <f t="shared" si="36"/>
        <v>-0.45120982293812562</v>
      </c>
      <c r="J452">
        <f t="shared" si="37"/>
        <v>-1.0287268731885622</v>
      </c>
      <c r="K452">
        <f t="shared" si="38"/>
        <v>-0.19330449670955852</v>
      </c>
      <c r="M452">
        <f t="shared" si="39"/>
        <v>-0.55774706427874876</v>
      </c>
    </row>
    <row r="453" spans="1:13" ht="22">
      <c r="A453" s="2" t="s">
        <v>59</v>
      </c>
      <c r="B453" s="5" t="s">
        <v>622</v>
      </c>
      <c r="D453" s="4">
        <v>70</v>
      </c>
      <c r="E453" s="1">
        <v>1</v>
      </c>
      <c r="F453" s="1">
        <v>4</v>
      </c>
      <c r="G453" s="1">
        <v>6</v>
      </c>
      <c r="I453">
        <f t="shared" si="36"/>
        <v>-0.85304487549368746</v>
      </c>
      <c r="J453">
        <f t="shared" si="37"/>
        <v>-0.70356319780786147</v>
      </c>
      <c r="K453">
        <f t="shared" si="38"/>
        <v>-0.11801829454545798</v>
      </c>
      <c r="M453">
        <f t="shared" si="39"/>
        <v>-0.55820878928233564</v>
      </c>
    </row>
    <row r="454" spans="1:13" ht="22">
      <c r="A454" s="2" t="s">
        <v>179</v>
      </c>
      <c r="B454" s="5" t="s">
        <v>742</v>
      </c>
      <c r="D454" s="4">
        <v>283</v>
      </c>
      <c r="E454" s="1">
        <v>4</v>
      </c>
      <c r="F454" s="1">
        <v>13</v>
      </c>
      <c r="G454" s="1">
        <v>30</v>
      </c>
      <c r="I454">
        <f t="shared" si="36"/>
        <v>-0.85767327967575846</v>
      </c>
      <c r="J454">
        <f t="shared" si="37"/>
        <v>-0.79836823233902054</v>
      </c>
      <c r="K454">
        <f t="shared" si="38"/>
        <v>-2.5736685719472518E-2</v>
      </c>
      <c r="M454">
        <f t="shared" si="39"/>
        <v>-0.56059273257808384</v>
      </c>
    </row>
    <row r="455" spans="1:13" ht="22">
      <c r="A455" s="2" t="s">
        <v>131</v>
      </c>
      <c r="B455" s="5" t="s">
        <v>694</v>
      </c>
      <c r="D455" s="4">
        <v>303</v>
      </c>
      <c r="E455" s="1">
        <v>26</v>
      </c>
      <c r="F455" s="1">
        <v>6</v>
      </c>
      <c r="G455" s="1">
        <v>12</v>
      </c>
      <c r="I455">
        <f t="shared" si="36"/>
        <v>-7.4416116010917577E-2</v>
      </c>
      <c r="J455">
        <f t="shared" si="37"/>
        <v>-1.1638165272402285</v>
      </c>
      <c r="K455">
        <f t="shared" si="38"/>
        <v>-0.45333288736952482</v>
      </c>
      <c r="M455">
        <f t="shared" si="39"/>
        <v>-0.56385517687355702</v>
      </c>
    </row>
    <row r="456" spans="1:13" ht="22">
      <c r="A456" s="2" t="s">
        <v>243</v>
      </c>
      <c r="B456" s="5" t="s">
        <v>806</v>
      </c>
      <c r="D456" s="4">
        <v>359</v>
      </c>
      <c r="E456" s="1">
        <v>11</v>
      </c>
      <c r="F456" s="1">
        <v>10</v>
      </c>
      <c r="G456" s="1">
        <v>28</v>
      </c>
      <c r="I456">
        <f t="shared" si="36"/>
        <v>-0.52164859889952475</v>
      </c>
      <c r="J456">
        <f t="shared" si="37"/>
        <v>-1.0156195976998861</v>
      </c>
      <c r="K456">
        <f t="shared" si="38"/>
        <v>-0.15900792215094461</v>
      </c>
      <c r="M456">
        <f t="shared" si="39"/>
        <v>-0.56542537291678518</v>
      </c>
    </row>
    <row r="457" spans="1:13" ht="22">
      <c r="A457" s="2" t="s">
        <v>7</v>
      </c>
      <c r="B457" s="5" t="s">
        <v>570</v>
      </c>
      <c r="D457" s="4">
        <v>379</v>
      </c>
      <c r="E457" s="1">
        <v>25</v>
      </c>
      <c r="F457" s="1">
        <v>12</v>
      </c>
      <c r="G457" s="1">
        <v>12</v>
      </c>
      <c r="I457">
        <f t="shared" si="36"/>
        <v>-0.18864603677546521</v>
      </c>
      <c r="J457">
        <f t="shared" si="37"/>
        <v>-0.95998311304201456</v>
      </c>
      <c r="K457">
        <f t="shared" si="38"/>
        <v>-0.55052946883529219</v>
      </c>
      <c r="M457">
        <f t="shared" si="39"/>
        <v>-0.56638620621759073</v>
      </c>
    </row>
    <row r="458" spans="1:13" ht="22">
      <c r="A458" s="2" t="s">
        <v>11</v>
      </c>
      <c r="B458" s="5" t="s">
        <v>574</v>
      </c>
      <c r="D458" s="4">
        <v>481</v>
      </c>
      <c r="E458" s="1">
        <v>163</v>
      </c>
      <c r="F458" s="1">
        <v>5</v>
      </c>
      <c r="G458" s="1">
        <v>9</v>
      </c>
      <c r="I458">
        <f t="shared" si="36"/>
        <v>0.52209569255069554</v>
      </c>
      <c r="J458">
        <f t="shared" si="37"/>
        <v>-1.4437002211593799</v>
      </c>
      <c r="K458">
        <f t="shared" si="38"/>
        <v>-0.77897407184935163</v>
      </c>
      <c r="M458">
        <f t="shared" si="39"/>
        <v>-0.56685953348601192</v>
      </c>
    </row>
    <row r="459" spans="1:13" ht="22">
      <c r="A459" s="2" t="s">
        <v>45</v>
      </c>
      <c r="B459" s="5" t="s">
        <v>608</v>
      </c>
      <c r="D459" s="4">
        <v>539</v>
      </c>
      <c r="E459" s="1">
        <v>67</v>
      </c>
      <c r="F459" s="1">
        <v>11</v>
      </c>
      <c r="G459" s="1">
        <v>14</v>
      </c>
      <c r="I459">
        <f t="shared" si="36"/>
        <v>8.6539202034657148E-2</v>
      </c>
      <c r="J459">
        <f t="shared" si="37"/>
        <v>-1.1507212291500806</v>
      </c>
      <c r="K459">
        <f t="shared" si="38"/>
        <v>-0.63653223442334528</v>
      </c>
      <c r="M459">
        <f t="shared" si="39"/>
        <v>-0.56690475384625627</v>
      </c>
    </row>
    <row r="460" spans="1:13" ht="22">
      <c r="A460" s="2" t="s">
        <v>480</v>
      </c>
      <c r="B460" s="5" t="s">
        <v>1043</v>
      </c>
      <c r="D460" s="4">
        <v>1115</v>
      </c>
      <c r="E460" s="1">
        <v>99</v>
      </c>
      <c r="F460" s="1">
        <v>18</v>
      </c>
      <c r="G460" s="1">
        <v>51</v>
      </c>
      <c r="I460">
        <f t="shared" si="36"/>
        <v>-5.9586508266060045E-2</v>
      </c>
      <c r="J460">
        <f t="shared" si="37"/>
        <v>-1.2525275114024406</v>
      </c>
      <c r="K460">
        <f t="shared" si="38"/>
        <v>-0.39077619620108783</v>
      </c>
      <c r="M460">
        <f t="shared" si="39"/>
        <v>-0.56763007195652948</v>
      </c>
    </row>
    <row r="461" spans="1:13" ht="22">
      <c r="A461" s="2" t="s">
        <v>219</v>
      </c>
      <c r="B461" s="5" t="s">
        <v>782</v>
      </c>
      <c r="D461" s="4">
        <v>760</v>
      </c>
      <c r="E461" s="1">
        <v>18</v>
      </c>
      <c r="F461" s="1">
        <v>33</v>
      </c>
      <c r="G461" s="1">
        <v>48</v>
      </c>
      <c r="I461">
        <f t="shared" si="36"/>
        <v>-0.63348792265691589</v>
      </c>
      <c r="J461">
        <f t="shared" si="37"/>
        <v>-0.82282480152447091</v>
      </c>
      <c r="K461">
        <f t="shared" si="38"/>
        <v>-0.25064385982004889</v>
      </c>
      <c r="M461">
        <f t="shared" si="39"/>
        <v>-0.56898552800047864</v>
      </c>
    </row>
    <row r="462" spans="1:13" ht="22">
      <c r="A462" s="2" t="s">
        <v>101</v>
      </c>
      <c r="B462" s="5" t="s">
        <v>664</v>
      </c>
      <c r="D462" s="4">
        <v>247</v>
      </c>
      <c r="E462" s="1">
        <v>12</v>
      </c>
      <c r="F462" s="1">
        <v>4</v>
      </c>
      <c r="G462" s="1">
        <v>20</v>
      </c>
      <c r="I462">
        <f t="shared" si="36"/>
        <v>-0.32146254269147145</v>
      </c>
      <c r="J462">
        <f t="shared" si="37"/>
        <v>-1.2511621110532705</v>
      </c>
      <c r="K462">
        <f t="shared" si="38"/>
        <v>-0.14273846251052924</v>
      </c>
      <c r="M462">
        <f t="shared" si="39"/>
        <v>-0.57178770541842372</v>
      </c>
    </row>
    <row r="463" spans="1:13" ht="22">
      <c r="A463" s="2" t="s">
        <v>289</v>
      </c>
      <c r="B463" s="5" t="s">
        <v>852</v>
      </c>
      <c r="D463" s="4">
        <v>66</v>
      </c>
      <c r="E463" s="1">
        <v>3</v>
      </c>
      <c r="F463" s="1">
        <v>3</v>
      </c>
      <c r="G463" s="1">
        <v>2</v>
      </c>
      <c r="I463">
        <f t="shared" si="36"/>
        <v>-0.35036951630163671</v>
      </c>
      <c r="J463">
        <f t="shared" si="37"/>
        <v>-0.80294782994377323</v>
      </c>
      <c r="K463">
        <f t="shared" si="38"/>
        <v>-0.56958544479273221</v>
      </c>
      <c r="M463">
        <f t="shared" si="39"/>
        <v>-0.57430093034604746</v>
      </c>
    </row>
    <row r="464" spans="1:13" ht="22">
      <c r="A464" s="2" t="s">
        <v>35</v>
      </c>
      <c r="B464" s="5" t="s">
        <v>598</v>
      </c>
      <c r="D464" s="4">
        <v>269</v>
      </c>
      <c r="E464" s="1">
        <v>10</v>
      </c>
      <c r="F464" s="1">
        <v>8</v>
      </c>
      <c r="G464" s="1">
        <v>15</v>
      </c>
      <c r="I464">
        <f t="shared" si="36"/>
        <v>-0.4376991154818386</v>
      </c>
      <c r="J464">
        <f t="shared" si="37"/>
        <v>-0.98718744213203158</v>
      </c>
      <c r="K464">
        <f t="shared" si="38"/>
        <v>-0.3047325258615714</v>
      </c>
      <c r="M464">
        <f t="shared" si="39"/>
        <v>-0.57653969449181386</v>
      </c>
    </row>
    <row r="465" spans="1:13" ht="22">
      <c r="A465" s="2" t="s">
        <v>237</v>
      </c>
      <c r="B465" s="5" t="s">
        <v>800</v>
      </c>
      <c r="D465" s="4">
        <v>454</v>
      </c>
      <c r="E465" s="1">
        <v>82</v>
      </c>
      <c r="F465" s="1">
        <v>5</v>
      </c>
      <c r="G465" s="1">
        <v>14</v>
      </c>
      <c r="I465">
        <f t="shared" si="36"/>
        <v>0.24881116404718218</v>
      </c>
      <c r="J465">
        <f t="shared" si="37"/>
        <v>-1.4186109976426522</v>
      </c>
      <c r="K465">
        <f t="shared" si="38"/>
        <v>-0.56199932209371051</v>
      </c>
      <c r="M465">
        <f t="shared" si="39"/>
        <v>-0.57726638522972684</v>
      </c>
    </row>
    <row r="466" spans="1:13" ht="22">
      <c r="A466" s="2" t="s">
        <v>206</v>
      </c>
      <c r="B466" s="5" t="s">
        <v>769</v>
      </c>
      <c r="D466" s="4">
        <v>349</v>
      </c>
      <c r="E466" s="1">
        <v>11</v>
      </c>
      <c r="F466" s="1">
        <v>18</v>
      </c>
      <c r="G466" s="1">
        <v>13</v>
      </c>
      <c r="I466">
        <f t="shared" si="36"/>
        <v>-0.5093795772803853</v>
      </c>
      <c r="J466">
        <f t="shared" si="37"/>
        <v>-0.74807807097744095</v>
      </c>
      <c r="K466">
        <f t="shared" si="38"/>
        <v>-0.47995357956718787</v>
      </c>
      <c r="M466">
        <f t="shared" si="39"/>
        <v>-0.5791370759416713</v>
      </c>
    </row>
    <row r="467" spans="1:13" ht="22">
      <c r="A467" s="2" t="s">
        <v>46</v>
      </c>
      <c r="B467" s="5" t="s">
        <v>609</v>
      </c>
      <c r="D467" s="4">
        <v>501</v>
      </c>
      <c r="E467" s="1">
        <v>29</v>
      </c>
      <c r="F467" s="1">
        <v>10</v>
      </c>
      <c r="G467" s="1">
        <v>26</v>
      </c>
      <c r="I467">
        <f t="shared" si="36"/>
        <v>-0.24538656344772014</v>
      </c>
      <c r="J467">
        <f t="shared" si="37"/>
        <v>-1.1603628749888126</v>
      </c>
      <c r="K467">
        <f t="shared" si="38"/>
        <v>-0.3359358828112724</v>
      </c>
      <c r="M467">
        <f t="shared" si="39"/>
        <v>-0.58056177374926843</v>
      </c>
    </row>
    <row r="468" spans="1:13" ht="22">
      <c r="A468" s="2" t="s">
        <v>43</v>
      </c>
      <c r="B468" s="5" t="s">
        <v>606</v>
      </c>
      <c r="D468" s="4">
        <v>513</v>
      </c>
      <c r="E468" s="1">
        <v>16</v>
      </c>
      <c r="F468" s="1">
        <v>12</v>
      </c>
      <c r="G468" s="1">
        <v>42</v>
      </c>
      <c r="I468">
        <f t="shared" si="36"/>
        <v>-0.51394421793532197</v>
      </c>
      <c r="J468">
        <f t="shared" si="37"/>
        <v>-1.0914612681857587</v>
      </c>
      <c r="K468">
        <f t="shared" si="38"/>
        <v>-0.13793957962876058</v>
      </c>
      <c r="M468">
        <f t="shared" si="39"/>
        <v>-0.58111502191661379</v>
      </c>
    </row>
    <row r="469" spans="1:13" ht="22">
      <c r="A469" s="2" t="s">
        <v>318</v>
      </c>
      <c r="B469" s="5" t="s">
        <v>881</v>
      </c>
      <c r="D469" s="4">
        <v>216</v>
      </c>
      <c r="E469" s="1">
        <v>5</v>
      </c>
      <c r="F469" s="1">
        <v>17</v>
      </c>
      <c r="G469" s="1">
        <v>7</v>
      </c>
      <c r="I469">
        <f t="shared" si="36"/>
        <v>-0.64343058229434269</v>
      </c>
      <c r="J469">
        <f t="shared" si="37"/>
        <v>-0.56452997889422407</v>
      </c>
      <c r="K469">
        <f t="shared" si="38"/>
        <v>-0.54042721605151889</v>
      </c>
      <c r="M469">
        <f t="shared" si="39"/>
        <v>-0.58279592574669514</v>
      </c>
    </row>
    <row r="470" spans="1:13" ht="22">
      <c r="A470" s="2" t="s">
        <v>16</v>
      </c>
      <c r="B470" s="5" t="s">
        <v>579</v>
      </c>
      <c r="D470" s="4">
        <v>1063</v>
      </c>
      <c r="E470" s="1">
        <v>32</v>
      </c>
      <c r="F470" s="1">
        <v>34</v>
      </c>
      <c r="G470" s="1">
        <v>65</v>
      </c>
      <c r="I470">
        <f t="shared" si="36"/>
        <v>-0.52933012168282123</v>
      </c>
      <c r="J470">
        <f t="shared" si="37"/>
        <v>-0.95557949660260866</v>
      </c>
      <c r="K470">
        <f t="shared" si="38"/>
        <v>-0.26469141279528596</v>
      </c>
      <c r="M470">
        <f t="shared" si="39"/>
        <v>-0.58320034369357199</v>
      </c>
    </row>
    <row r="471" spans="1:13" ht="22">
      <c r="A471" s="2" t="s">
        <v>281</v>
      </c>
      <c r="B471" s="5" t="s">
        <v>844</v>
      </c>
      <c r="D471" s="4">
        <v>249</v>
      </c>
      <c r="E471" s="1">
        <v>7</v>
      </c>
      <c r="F471" s="1">
        <v>18</v>
      </c>
      <c r="G471" s="1">
        <v>7</v>
      </c>
      <c r="I471">
        <f t="shared" si="36"/>
        <v>-0.55904814256090996</v>
      </c>
      <c r="J471">
        <f t="shared" si="37"/>
        <v>-0.60145199111399739</v>
      </c>
      <c r="K471">
        <f t="shared" si="38"/>
        <v>-0.60217281199632411</v>
      </c>
      <c r="M471">
        <f t="shared" si="39"/>
        <v>-0.58755764855707715</v>
      </c>
    </row>
    <row r="472" spans="1:13" ht="22">
      <c r="A472" s="2" t="s">
        <v>8</v>
      </c>
      <c r="B472" s="5" t="s">
        <v>571</v>
      </c>
      <c r="D472" s="4">
        <v>301</v>
      </c>
      <c r="E472" s="1">
        <v>8</v>
      </c>
      <c r="F472" s="1">
        <v>3</v>
      </c>
      <c r="G472" s="1">
        <v>59</v>
      </c>
      <c r="I472">
        <f t="shared" si="36"/>
        <v>-0.58342334408133034</v>
      </c>
      <c r="J472">
        <f t="shared" si="37"/>
        <v>-1.4619703899957481</v>
      </c>
      <c r="K472">
        <f t="shared" si="38"/>
        <v>0.2412140111334562</v>
      </c>
      <c r="M472">
        <f t="shared" si="39"/>
        <v>-0.60139324098120739</v>
      </c>
    </row>
    <row r="473" spans="1:13" ht="22">
      <c r="A473" s="2" t="s">
        <v>238</v>
      </c>
      <c r="B473" s="5" t="s">
        <v>801</v>
      </c>
      <c r="D473" s="4">
        <v>504</v>
      </c>
      <c r="E473" s="1">
        <v>9</v>
      </c>
      <c r="F473" s="1">
        <v>11</v>
      </c>
      <c r="G473" s="1">
        <v>67</v>
      </c>
      <c r="I473">
        <f t="shared" si="36"/>
        <v>-0.756134862485631</v>
      </c>
      <c r="J473">
        <f t="shared" si="37"/>
        <v>-1.1215630004088673</v>
      </c>
      <c r="K473">
        <f t="shared" si="38"/>
        <v>7.2572761340456426E-2</v>
      </c>
      <c r="M473">
        <f t="shared" si="39"/>
        <v>-0.60170836718468068</v>
      </c>
    </row>
    <row r="474" spans="1:13" ht="22">
      <c r="A474" s="2" t="s">
        <v>354</v>
      </c>
      <c r="B474" s="5" t="s">
        <v>917</v>
      </c>
      <c r="D474" s="4">
        <v>666</v>
      </c>
      <c r="E474" s="1">
        <v>26</v>
      </c>
      <c r="F474" s="1">
        <v>11</v>
      </c>
      <c r="G474" s="1">
        <v>53</v>
      </c>
      <c r="I474">
        <f t="shared" si="36"/>
        <v>-0.41644771667891356</v>
      </c>
      <c r="J474">
        <f t="shared" si="37"/>
        <v>-1.2426066931336432</v>
      </c>
      <c r="K474">
        <f t="shared" si="38"/>
        <v>-0.15026986448435675</v>
      </c>
      <c r="M474">
        <f t="shared" si="39"/>
        <v>-0.60310809143230448</v>
      </c>
    </row>
    <row r="475" spans="1:13" ht="22">
      <c r="A475" s="2" t="s">
        <v>317</v>
      </c>
      <c r="B475" s="5" t="s">
        <v>880</v>
      </c>
      <c r="D475" s="4">
        <v>181</v>
      </c>
      <c r="E475" s="1">
        <v>6</v>
      </c>
      <c r="F475" s="1">
        <v>5</v>
      </c>
      <c r="G475" s="1">
        <v>10</v>
      </c>
      <c r="I475">
        <f t="shared" si="36"/>
        <v>-0.48747415996497145</v>
      </c>
      <c r="J475">
        <f t="shared" si="37"/>
        <v>-1.019233719654733</v>
      </c>
      <c r="K475">
        <f t="shared" si="38"/>
        <v>-0.30875007978402924</v>
      </c>
      <c r="M475">
        <f t="shared" si="39"/>
        <v>-0.60515265313457789</v>
      </c>
    </row>
    <row r="476" spans="1:13" ht="22">
      <c r="A476" s="2" t="s">
        <v>39</v>
      </c>
      <c r="B476" s="5" t="s">
        <v>602</v>
      </c>
      <c r="D476" s="4">
        <v>461</v>
      </c>
      <c r="E476" s="1">
        <v>26</v>
      </c>
      <c r="F476" s="1">
        <v>9</v>
      </c>
      <c r="G476" s="1">
        <v>20</v>
      </c>
      <c r="I476">
        <f t="shared" si="36"/>
        <v>-0.25667441289826076</v>
      </c>
      <c r="J476">
        <f t="shared" si="37"/>
        <v>-1.1699835650718904</v>
      </c>
      <c r="K476">
        <f t="shared" si="38"/>
        <v>-0.41374243464051164</v>
      </c>
      <c r="M476">
        <f t="shared" si="39"/>
        <v>-0.61346680420355426</v>
      </c>
    </row>
    <row r="477" spans="1:13" ht="22">
      <c r="A477" s="2" t="s">
        <v>450</v>
      </c>
      <c r="B477" s="5" t="s">
        <v>1013</v>
      </c>
      <c r="D477" s="4">
        <v>274</v>
      </c>
      <c r="E477" s="1">
        <v>7</v>
      </c>
      <c r="F477" s="1">
        <v>10</v>
      </c>
      <c r="G477" s="1">
        <v>14</v>
      </c>
      <c r="I477">
        <f t="shared" si="36"/>
        <v>-0.60059935828556177</v>
      </c>
      <c r="J477">
        <f t="shared" si="37"/>
        <v>-0.89827571194195499</v>
      </c>
      <c r="K477">
        <f t="shared" si="38"/>
        <v>-0.34269403205699467</v>
      </c>
      <c r="M477">
        <f t="shared" si="39"/>
        <v>-0.6138563674281704</v>
      </c>
    </row>
    <row r="478" spans="1:13" ht="22">
      <c r="A478" s="2" t="s">
        <v>349</v>
      </c>
      <c r="B478" s="5" t="s">
        <v>912</v>
      </c>
      <c r="D478" s="4">
        <v>1019</v>
      </c>
      <c r="E478" s="1">
        <v>37</v>
      </c>
      <c r="F478" s="1">
        <v>33</v>
      </c>
      <c r="G478" s="1">
        <v>41</v>
      </c>
      <c r="I478">
        <f t="shared" si="36"/>
        <v>-0.447919295418862</v>
      </c>
      <c r="J478">
        <f t="shared" si="37"/>
        <v>-0.95018539325010598</v>
      </c>
      <c r="K478">
        <f t="shared" si="38"/>
        <v>-0.44646183220153568</v>
      </c>
      <c r="M478">
        <f t="shared" si="39"/>
        <v>-0.61485550695683455</v>
      </c>
    </row>
    <row r="479" spans="1:13" ht="22">
      <c r="A479" s="2" t="s">
        <v>451</v>
      </c>
      <c r="B479" s="5" t="s">
        <v>1014</v>
      </c>
      <c r="D479" s="4">
        <v>246</v>
      </c>
      <c r="E479" s="1">
        <v>13</v>
      </c>
      <c r="F479" s="1">
        <v>9</v>
      </c>
      <c r="G479" s="1">
        <v>6</v>
      </c>
      <c r="I479">
        <f t="shared" si="36"/>
        <v>-0.2849385902759729</v>
      </c>
      <c r="J479">
        <f t="shared" si="37"/>
        <v>-0.89721774678562138</v>
      </c>
      <c r="K479">
        <f t="shared" si="38"/>
        <v>-0.66385536163458014</v>
      </c>
      <c r="M479">
        <f t="shared" si="39"/>
        <v>-0.61533723289872477</v>
      </c>
    </row>
    <row r="480" spans="1:13" ht="22">
      <c r="A480" s="2" t="s">
        <v>247</v>
      </c>
      <c r="B480" s="5" t="s">
        <v>810</v>
      </c>
      <c r="D480" s="4">
        <v>597</v>
      </c>
      <c r="E480" s="1">
        <v>25</v>
      </c>
      <c r="F480" s="1">
        <v>5</v>
      </c>
      <c r="G480" s="1">
        <v>80</v>
      </c>
      <c r="I480">
        <f t="shared" si="36"/>
        <v>-0.38598115793676202</v>
      </c>
      <c r="J480">
        <f t="shared" si="37"/>
        <v>-1.5375294759149174</v>
      </c>
      <c r="K480">
        <f t="shared" si="38"/>
        <v>7.6044150947729761E-2</v>
      </c>
      <c r="M480">
        <f t="shared" si="39"/>
        <v>-0.61582216096798315</v>
      </c>
    </row>
    <row r="481" spans="1:13" ht="22">
      <c r="A481" s="2" t="s">
        <v>408</v>
      </c>
      <c r="B481" s="5" t="s">
        <v>971</v>
      </c>
      <c r="D481" s="4">
        <v>1582</v>
      </c>
      <c r="E481" s="1">
        <v>67</v>
      </c>
      <c r="F481" s="1">
        <v>44</v>
      </c>
      <c r="G481" s="1">
        <v>63</v>
      </c>
      <c r="I481">
        <f t="shared" si="36"/>
        <v>-0.38107851194026177</v>
      </c>
      <c r="J481">
        <f t="shared" si="37"/>
        <v>-1.0162789517970374</v>
      </c>
      <c r="K481">
        <f t="shared" si="38"/>
        <v>-0.45093743462292069</v>
      </c>
      <c r="M481">
        <f t="shared" si="39"/>
        <v>-0.61609829945340666</v>
      </c>
    </row>
    <row r="482" spans="1:13" ht="22">
      <c r="A482" s="2" t="s">
        <v>362</v>
      </c>
      <c r="B482" s="5" t="s">
        <v>925</v>
      </c>
      <c r="D482" s="4">
        <v>1282</v>
      </c>
      <c r="E482" s="1">
        <v>58</v>
      </c>
      <c r="F482" s="1">
        <v>44</v>
      </c>
      <c r="G482" s="1">
        <v>36</v>
      </c>
      <c r="I482">
        <f t="shared" si="36"/>
        <v>-0.35240686709929192</v>
      </c>
      <c r="J482">
        <f t="shared" si="37"/>
        <v>-0.92496049781817813</v>
      </c>
      <c r="K482">
        <f t="shared" si="38"/>
        <v>-0.60265702933035592</v>
      </c>
      <c r="M482">
        <f t="shared" si="39"/>
        <v>-0.62667479808260862</v>
      </c>
    </row>
    <row r="483" spans="1:13" ht="22">
      <c r="A483" s="2" t="s">
        <v>142</v>
      </c>
      <c r="B483" s="5" t="s">
        <v>705</v>
      </c>
      <c r="D483" s="4">
        <v>991</v>
      </c>
      <c r="E483" s="1">
        <v>41</v>
      </c>
      <c r="F483" s="1">
        <v>37</v>
      </c>
      <c r="G483" s="1">
        <v>22</v>
      </c>
      <c r="I483">
        <f t="shared" si="36"/>
        <v>-0.39123663324497038</v>
      </c>
      <c r="J483">
        <f t="shared" si="37"/>
        <v>-0.88839707953984737</v>
      </c>
      <c r="K483">
        <f t="shared" si="38"/>
        <v>-0.70472247857791381</v>
      </c>
      <c r="M483">
        <f t="shared" si="39"/>
        <v>-0.66145206378757726</v>
      </c>
    </row>
    <row r="484" spans="1:13" ht="22">
      <c r="A484" s="2" t="s">
        <v>393</v>
      </c>
      <c r="B484" s="5" t="s">
        <v>956</v>
      </c>
      <c r="D484" s="4">
        <v>489</v>
      </c>
      <c r="E484" s="1">
        <v>11</v>
      </c>
      <c r="F484" s="1">
        <v>14</v>
      </c>
      <c r="G484" s="1">
        <v>24</v>
      </c>
      <c r="I484">
        <f t="shared" si="36"/>
        <v>-0.65586300944482567</v>
      </c>
      <c r="J484">
        <f t="shared" si="37"/>
        <v>-1.0037059725669493</v>
      </c>
      <c r="K484">
        <f t="shared" si="38"/>
        <v>-0.36016912232685883</v>
      </c>
      <c r="M484">
        <f t="shared" si="39"/>
        <v>-0.6732460347795447</v>
      </c>
    </row>
    <row r="485" spans="1:13" ht="22">
      <c r="A485" s="2" t="s">
        <v>27</v>
      </c>
      <c r="B485" s="5" t="s">
        <v>590</v>
      </c>
      <c r="D485" s="4">
        <v>678</v>
      </c>
      <c r="E485" s="1">
        <v>20</v>
      </c>
      <c r="F485" s="1">
        <v>2</v>
      </c>
      <c r="G485" s="1">
        <v>235</v>
      </c>
      <c r="I485">
        <f t="shared" si="36"/>
        <v>-0.53814653368251264</v>
      </c>
      <c r="J485">
        <f t="shared" si="37"/>
        <v>-1.9907248473246493</v>
      </c>
      <c r="K485">
        <f t="shared" si="38"/>
        <v>0.48876666348982822</v>
      </c>
      <c r="M485">
        <f t="shared" si="39"/>
        <v>-0.6800349058391113</v>
      </c>
    </row>
    <row r="486" spans="1:13" ht="22">
      <c r="A486" s="2" t="s">
        <v>33</v>
      </c>
      <c r="B486" s="5" t="s">
        <v>596</v>
      </c>
      <c r="D486" s="4">
        <v>404</v>
      </c>
      <c r="E486" s="1">
        <v>15</v>
      </c>
      <c r="F486" s="1">
        <v>22</v>
      </c>
      <c r="G486" s="1">
        <v>6</v>
      </c>
      <c r="I486">
        <f t="shared" si="36"/>
        <v>-0.43823694153435433</v>
      </c>
      <c r="J486">
        <f t="shared" si="37"/>
        <v>-0.72448383340996581</v>
      </c>
      <c r="K486">
        <f t="shared" si="38"/>
        <v>-0.87930161964180598</v>
      </c>
      <c r="M486">
        <f t="shared" si="39"/>
        <v>-0.68067413152870859</v>
      </c>
    </row>
    <row r="487" spans="1:13" ht="22">
      <c r="A487" s="2" t="s">
        <v>244</v>
      </c>
      <c r="B487" s="5" t="s">
        <v>807</v>
      </c>
      <c r="D487" s="4">
        <v>543</v>
      </c>
      <c r="E487" s="1">
        <v>15</v>
      </c>
      <c r="F487" s="1">
        <v>9</v>
      </c>
      <c r="G487" s="1">
        <v>34</v>
      </c>
      <c r="I487">
        <f t="shared" si="36"/>
        <v>-0.56665540601259634</v>
      </c>
      <c r="J487">
        <f t="shared" si="37"/>
        <v>-1.2410824692710891</v>
      </c>
      <c r="K487">
        <f t="shared" si="38"/>
        <v>-0.25439241746143648</v>
      </c>
      <c r="M487">
        <f t="shared" si="39"/>
        <v>-0.68737676424837402</v>
      </c>
    </row>
    <row r="488" spans="1:13" ht="22">
      <c r="A488" s="2" t="s">
        <v>116</v>
      </c>
      <c r="B488" s="5" t="s">
        <v>679</v>
      </c>
      <c r="D488" s="4">
        <v>408</v>
      </c>
      <c r="E488" s="1">
        <v>9</v>
      </c>
      <c r="F488" s="1">
        <v>21</v>
      </c>
      <c r="G488" s="1">
        <v>10</v>
      </c>
      <c r="I488">
        <f t="shared" si="36"/>
        <v>-0.66436448912998558</v>
      </c>
      <c r="J488">
        <f t="shared" si="37"/>
        <v>-0.74896601747752778</v>
      </c>
      <c r="K488">
        <f t="shared" si="38"/>
        <v>-0.66173166800472472</v>
      </c>
      <c r="M488">
        <f t="shared" si="39"/>
        <v>-0.69168739153741277</v>
      </c>
    </row>
    <row r="489" spans="1:13" ht="22">
      <c r="A489" s="2" t="s">
        <v>254</v>
      </c>
      <c r="B489" s="5" t="s">
        <v>817</v>
      </c>
      <c r="D489" s="4">
        <v>82</v>
      </c>
      <c r="E489" s="1">
        <v>5</v>
      </c>
      <c r="F489" s="1">
        <v>1</v>
      </c>
      <c r="G489" s="1">
        <v>3</v>
      </c>
      <c r="I489">
        <f t="shared" si="36"/>
        <v>-0.2227906835271285</v>
      </c>
      <c r="J489">
        <f t="shared" si="37"/>
        <v>-1.3743390015052839</v>
      </c>
      <c r="K489">
        <f t="shared" si="38"/>
        <v>-0.48776410257889902</v>
      </c>
      <c r="M489">
        <f t="shared" si="39"/>
        <v>-0.69496459587043713</v>
      </c>
    </row>
    <row r="490" spans="1:13" ht="22">
      <c r="A490" s="2" t="s">
        <v>498</v>
      </c>
      <c r="B490" s="5" t="s">
        <v>1061</v>
      </c>
      <c r="D490" s="4">
        <v>964</v>
      </c>
      <c r="E490" s="1">
        <v>65</v>
      </c>
      <c r="F490" s="1">
        <v>11</v>
      </c>
      <c r="G490" s="1">
        <v>33</v>
      </c>
      <c r="I490">
        <f t="shared" si="36"/>
        <v>-0.1791105127394057</v>
      </c>
      <c r="J490">
        <f t="shared" si="37"/>
        <v>-1.4032094978661727</v>
      </c>
      <c r="K490">
        <f t="shared" si="38"/>
        <v>-0.51663459893978803</v>
      </c>
      <c r="M490">
        <f t="shared" si="39"/>
        <v>-0.69965153651512202</v>
      </c>
    </row>
    <row r="491" spans="1:13" ht="22">
      <c r="A491" s="2" t="s">
        <v>234</v>
      </c>
      <c r="B491" s="5" t="s">
        <v>797</v>
      </c>
      <c r="D491" s="4">
        <v>249</v>
      </c>
      <c r="E491" s="1">
        <v>2</v>
      </c>
      <c r="F491" s="1">
        <v>3</v>
      </c>
      <c r="G491" s="1">
        <v>67</v>
      </c>
      <c r="I491">
        <f t="shared" si="36"/>
        <v>-1.1031161869111856</v>
      </c>
      <c r="J491">
        <f t="shared" si="37"/>
        <v>-1.3796032414976409</v>
      </c>
      <c r="K491">
        <f t="shared" si="38"/>
        <v>0.37880395069024542</v>
      </c>
      <c r="M491">
        <f t="shared" si="39"/>
        <v>-0.70130515923952697</v>
      </c>
    </row>
    <row r="492" spans="1:13" ht="22">
      <c r="A492" s="2" t="s">
        <v>133</v>
      </c>
      <c r="B492" s="5" t="s">
        <v>696</v>
      </c>
      <c r="D492" s="4">
        <v>214</v>
      </c>
      <c r="E492" s="1">
        <v>3</v>
      </c>
      <c r="F492" s="1">
        <v>8</v>
      </c>
      <c r="G492" s="1">
        <v>10</v>
      </c>
      <c r="I492">
        <f t="shared" si="36"/>
        <v>-0.86123935410895891</v>
      </c>
      <c r="J492">
        <f t="shared" si="37"/>
        <v>-0.88784893547881427</v>
      </c>
      <c r="K492">
        <f t="shared" si="38"/>
        <v>-0.38148527826403544</v>
      </c>
      <c r="M492">
        <f t="shared" si="39"/>
        <v>-0.71019118928393621</v>
      </c>
    </row>
    <row r="493" spans="1:13" ht="22">
      <c r="A493" s="2" t="s">
        <v>443</v>
      </c>
      <c r="B493" s="5" t="s">
        <v>1006</v>
      </c>
      <c r="D493" s="4">
        <v>552</v>
      </c>
      <c r="E493" s="1">
        <v>14</v>
      </c>
      <c r="F493" s="1">
        <v>16</v>
      </c>
      <c r="G493" s="1">
        <v>18</v>
      </c>
      <c r="I493">
        <f t="shared" si="36"/>
        <v>-0.60375787753039134</v>
      </c>
      <c r="J493">
        <f t="shared" si="37"/>
        <v>-0.99834424419484125</v>
      </c>
      <c r="K493">
        <f t="shared" si="38"/>
        <v>-0.53773807754073744</v>
      </c>
      <c r="M493">
        <f t="shared" si="39"/>
        <v>-0.71328006642198993</v>
      </c>
    </row>
    <row r="494" spans="1:13" ht="22">
      <c r="A494" s="2" t="s">
        <v>396</v>
      </c>
      <c r="B494" s="5" t="s">
        <v>959</v>
      </c>
      <c r="D494" s="4">
        <v>1111</v>
      </c>
      <c r="E494" s="1">
        <v>35</v>
      </c>
      <c r="F494" s="1">
        <v>13</v>
      </c>
      <c r="G494" s="1">
        <v>69</v>
      </c>
      <c r="I494">
        <f t="shared" si="36"/>
        <v>-0.50959285007002264</v>
      </c>
      <c r="J494">
        <f t="shared" si="37"/>
        <v>-1.3922958557555978</v>
      </c>
      <c r="K494">
        <f t="shared" si="38"/>
        <v>-0.25793647311845702</v>
      </c>
      <c r="M494">
        <f t="shared" si="39"/>
        <v>-0.71994172631469244</v>
      </c>
    </row>
    <row r="495" spans="1:13" ht="22">
      <c r="A495" s="2" t="s">
        <v>245</v>
      </c>
      <c r="B495" s="5" t="s">
        <v>808</v>
      </c>
      <c r="D495" s="4">
        <v>287</v>
      </c>
      <c r="E495" s="1">
        <v>6</v>
      </c>
      <c r="F495" s="1">
        <v>8</v>
      </c>
      <c r="G495" s="1">
        <v>11</v>
      </c>
      <c r="I495">
        <f t="shared" si="36"/>
        <v>-0.68767748182977928</v>
      </c>
      <c r="J495">
        <f t="shared" si="37"/>
        <v>-1.0153170588636158</v>
      </c>
      <c r="K495">
        <f t="shared" si="38"/>
        <v>-0.46756071649061193</v>
      </c>
      <c r="M495">
        <f t="shared" si="39"/>
        <v>-0.72351841906133563</v>
      </c>
    </row>
    <row r="496" spans="1:13" ht="22">
      <c r="A496" s="2" t="s">
        <v>325</v>
      </c>
      <c r="B496" s="5" t="s">
        <v>888</v>
      </c>
      <c r="D496" s="4">
        <v>191</v>
      </c>
      <c r="E496" s="1">
        <v>10</v>
      </c>
      <c r="F496" s="1">
        <v>1</v>
      </c>
      <c r="G496" s="1">
        <v>15</v>
      </c>
      <c r="I496">
        <f t="shared" si="36"/>
        <v>-0.28898020272715819</v>
      </c>
      <c r="J496">
        <f t="shared" si="37"/>
        <v>-1.7415585163692948</v>
      </c>
      <c r="K496">
        <f t="shared" si="38"/>
        <v>-0.15601361310689099</v>
      </c>
      <c r="M496">
        <f t="shared" si="39"/>
        <v>-0.72885077740111459</v>
      </c>
    </row>
    <row r="497" spans="1:13" ht="22">
      <c r="A497" s="2" t="s">
        <v>85</v>
      </c>
      <c r="B497" s="5" t="s">
        <v>648</v>
      </c>
      <c r="D497" s="4">
        <v>924</v>
      </c>
      <c r="E497" s="1">
        <v>67</v>
      </c>
      <c r="F497" s="1">
        <v>21</v>
      </c>
      <c r="G497" s="1">
        <v>12</v>
      </c>
      <c r="I497">
        <f t="shared" si="36"/>
        <v>-0.14754400399871082</v>
      </c>
      <c r="J497">
        <f t="shared" si="37"/>
        <v>-1.1039778256077546</v>
      </c>
      <c r="K497">
        <f t="shared" si="38"/>
        <v>-0.93756223008732653</v>
      </c>
      <c r="M497">
        <f t="shared" si="39"/>
        <v>-0.72969468656459735</v>
      </c>
    </row>
    <row r="498" spans="1:13" ht="22">
      <c r="A498" s="2" t="s">
        <v>146</v>
      </c>
      <c r="B498" s="5" t="s">
        <v>709</v>
      </c>
      <c r="D498" s="4">
        <v>1814</v>
      </c>
      <c r="E498" s="1">
        <v>103</v>
      </c>
      <c r="F498" s="1">
        <v>50</v>
      </c>
      <c r="G498" s="1">
        <v>24</v>
      </c>
      <c r="I498">
        <f t="shared" ref="I498:I555" si="40">LOG(E498/D498)-LOG(182/1787)</f>
        <v>-0.25374689349833468</v>
      </c>
      <c r="J498">
        <f t="shared" ref="J498:J555" si="41">LOG(F498/D498)-LOG(516/1787)</f>
        <v>-1.0201924275096248</v>
      </c>
      <c r="K498">
        <f t="shared" ref="K498:K555" si="42">LOG(G498/D498)-LOG(201/1787)</f>
        <v>-0.92949754592731515</v>
      </c>
      <c r="M498">
        <f t="shared" ref="M498:M555" si="43">AVERAGE(I498:K498)</f>
        <v>-0.73447895564509158</v>
      </c>
    </row>
    <row r="499" spans="1:13" ht="22">
      <c r="A499" s="2" t="s">
        <v>229</v>
      </c>
      <c r="B499" s="5" t="s">
        <v>792</v>
      </c>
      <c r="D499" s="4">
        <v>707</v>
      </c>
      <c r="E499" s="1">
        <v>23</v>
      </c>
      <c r="F499" s="1">
        <v>22</v>
      </c>
      <c r="G499" s="1">
        <v>14</v>
      </c>
      <c r="I499">
        <f t="shared" si="40"/>
        <v>-0.49563841325873703</v>
      </c>
      <c r="J499">
        <f t="shared" si="41"/>
        <v>-0.96752188209626022</v>
      </c>
      <c r="K499">
        <f t="shared" si="42"/>
        <v>-0.75436288303350607</v>
      </c>
      <c r="M499">
        <f t="shared" si="43"/>
        <v>-0.7391743927961677</v>
      </c>
    </row>
    <row r="500" spans="1:13" ht="22">
      <c r="A500" s="2" t="s">
        <v>493</v>
      </c>
      <c r="B500" s="5" t="s">
        <v>1056</v>
      </c>
      <c r="D500" s="4">
        <v>752</v>
      </c>
      <c r="E500" s="1">
        <v>16</v>
      </c>
      <c r="F500" s="1">
        <v>26</v>
      </c>
      <c r="G500" s="1">
        <v>20</v>
      </c>
      <c r="I500">
        <f t="shared" si="40"/>
        <v>-0.68004469341514806</v>
      </c>
      <c r="J500">
        <f t="shared" si="41"/>
        <v>-0.9217696417423914</v>
      </c>
      <c r="K500">
        <f t="shared" si="42"/>
        <v>-0.62625934984250575</v>
      </c>
      <c r="M500">
        <f t="shared" si="43"/>
        <v>-0.74269122833334844</v>
      </c>
    </row>
    <row r="501" spans="1:13" ht="22">
      <c r="A501" s="2" t="s">
        <v>538</v>
      </c>
      <c r="B501" s="5" t="s">
        <v>1101</v>
      </c>
      <c r="D501" s="4">
        <v>1102</v>
      </c>
      <c r="E501" s="1">
        <v>24</v>
      </c>
      <c r="F501" s="1">
        <v>23</v>
      </c>
      <c r="G501" s="1">
        <v>47</v>
      </c>
      <c r="I501">
        <f t="shared" si="40"/>
        <v>-0.66991718828359081</v>
      </c>
      <c r="J501">
        <f t="shared" si="41"/>
        <v>-1.1409789076197403</v>
      </c>
      <c r="K501">
        <f t="shared" si="42"/>
        <v>-0.42115524149489336</v>
      </c>
      <c r="M501">
        <f t="shared" si="43"/>
        <v>-0.74401711246607471</v>
      </c>
    </row>
    <row r="502" spans="1:13" ht="22">
      <c r="A502" s="2" t="s">
        <v>136</v>
      </c>
      <c r="B502" s="5" t="s">
        <v>699</v>
      </c>
      <c r="D502" s="4">
        <v>698</v>
      </c>
      <c r="E502" s="1">
        <v>27</v>
      </c>
      <c r="F502" s="1">
        <v>79</v>
      </c>
      <c r="G502" s="1">
        <v>3</v>
      </c>
      <c r="I502">
        <f t="shared" si="40"/>
        <v>-0.42043849394360433</v>
      </c>
      <c r="J502">
        <f t="shared" si="41"/>
        <v>-0.40675348045428672</v>
      </c>
      <c r="K502">
        <f t="shared" si="42"/>
        <v>-1.4178056728183435</v>
      </c>
      <c r="M502">
        <f t="shared" si="43"/>
        <v>-0.74833254907207813</v>
      </c>
    </row>
    <row r="503" spans="1:13" ht="22">
      <c r="A503" s="2" t="s">
        <v>106</v>
      </c>
      <c r="B503" s="5" t="s">
        <v>669</v>
      </c>
      <c r="D503" s="4">
        <v>796</v>
      </c>
      <c r="E503" s="1">
        <v>45</v>
      </c>
      <c r="F503" s="1">
        <v>12</v>
      </c>
      <c r="G503" s="1">
        <v>17</v>
      </c>
      <c r="I503">
        <f t="shared" si="40"/>
        <v>-0.25564738944175591</v>
      </c>
      <c r="J503">
        <f t="shared" si="41"/>
        <v>-1.2822569708116114</v>
      </c>
      <c r="K503">
        <f t="shared" si="42"/>
        <v>-0.72153565127423991</v>
      </c>
      <c r="M503">
        <f t="shared" si="43"/>
        <v>-0.75314667050920237</v>
      </c>
    </row>
    <row r="504" spans="1:13" ht="22">
      <c r="A504" s="2" t="s">
        <v>65</v>
      </c>
      <c r="B504" s="5" t="s">
        <v>628</v>
      </c>
      <c r="D504" s="4">
        <v>200</v>
      </c>
      <c r="E504" s="1">
        <v>9</v>
      </c>
      <c r="F504" s="1">
        <v>5</v>
      </c>
      <c r="G504" s="1">
        <v>3</v>
      </c>
      <c r="I504">
        <f t="shared" si="40"/>
        <v>-0.35473432170408681</v>
      </c>
      <c r="J504">
        <f t="shared" si="41"/>
        <v>-1.0625851404495292</v>
      </c>
      <c r="K504">
        <f t="shared" si="42"/>
        <v>-0.87498024585916356</v>
      </c>
      <c r="M504">
        <f t="shared" si="43"/>
        <v>-0.76409990267092665</v>
      </c>
    </row>
    <row r="505" spans="1:13" ht="22">
      <c r="A505" s="2" t="s">
        <v>294</v>
      </c>
      <c r="B505" s="5" t="s">
        <v>857</v>
      </c>
      <c r="D505" s="4">
        <v>78</v>
      </c>
      <c r="E505" s="1">
        <v>4</v>
      </c>
      <c r="F505" s="1">
        <v>2</v>
      </c>
      <c r="G505" s="1">
        <v>1</v>
      </c>
      <c r="I505">
        <f t="shared" si="40"/>
        <v>-0.29798144684194861</v>
      </c>
      <c r="J505">
        <f t="shared" si="41"/>
        <v>-1.0515897561480663</v>
      </c>
      <c r="K505">
        <f t="shared" si="42"/>
        <v>-0.94316610760532504</v>
      </c>
      <c r="M505">
        <f t="shared" si="43"/>
        <v>-0.76424577019844664</v>
      </c>
    </row>
    <row r="506" spans="1:13" ht="22">
      <c r="A506" s="2" t="s">
        <v>438</v>
      </c>
      <c r="B506" s="5" t="s">
        <v>1001</v>
      </c>
      <c r="D506" s="4">
        <v>696</v>
      </c>
      <c r="E506" s="1">
        <v>16</v>
      </c>
      <c r="F506" s="1">
        <v>34</v>
      </c>
      <c r="G506" s="1">
        <v>10</v>
      </c>
      <c r="I506">
        <f t="shared" si="40"/>
        <v>-0.64643609243406797</v>
      </c>
      <c r="J506">
        <f t="shared" si="41"/>
        <v>-0.77165547168987392</v>
      </c>
      <c r="K506">
        <f t="shared" si="42"/>
        <v>-0.89368074452540691</v>
      </c>
      <c r="M506">
        <f t="shared" si="43"/>
        <v>-0.77059076954978289</v>
      </c>
    </row>
    <row r="507" spans="1:13" ht="22">
      <c r="A507" s="2" t="s">
        <v>293</v>
      </c>
      <c r="B507" s="5" t="s">
        <v>856</v>
      </c>
      <c r="D507" s="4">
        <v>123</v>
      </c>
      <c r="E507" s="1">
        <v>5</v>
      </c>
      <c r="F507" s="1">
        <v>6</v>
      </c>
      <c r="G507" s="1">
        <v>1</v>
      </c>
      <c r="I507">
        <f t="shared" si="40"/>
        <v>-0.39888194258280962</v>
      </c>
      <c r="J507">
        <f t="shared" si="41"/>
        <v>-0.77227901017732126</v>
      </c>
      <c r="K507">
        <f t="shared" si="42"/>
        <v>-1.1409766163542427</v>
      </c>
      <c r="M507">
        <f t="shared" si="43"/>
        <v>-0.77071252303812443</v>
      </c>
    </row>
    <row r="508" spans="1:13" ht="22">
      <c r="A508" s="2" t="s">
        <v>240</v>
      </c>
      <c r="B508" s="5" t="s">
        <v>803</v>
      </c>
      <c r="D508" s="4">
        <v>271</v>
      </c>
      <c r="E508" s="1">
        <v>6</v>
      </c>
      <c r="F508" s="1">
        <v>4</v>
      </c>
      <c r="G508" s="1">
        <v>13</v>
      </c>
      <c r="I508">
        <f t="shared" si="40"/>
        <v>-0.66276487597019274</v>
      </c>
      <c r="J508">
        <f t="shared" si="41"/>
        <v>-1.2914344486680105</v>
      </c>
      <c r="K508">
        <f t="shared" si="42"/>
        <v>-0.37009744348241358</v>
      </c>
      <c r="M508">
        <f t="shared" si="43"/>
        <v>-0.7747655893735389</v>
      </c>
    </row>
    <row r="509" spans="1:13" ht="22">
      <c r="A509" s="2" t="s">
        <v>273</v>
      </c>
      <c r="B509" s="5" t="s">
        <v>836</v>
      </c>
      <c r="D509" s="4">
        <v>142</v>
      </c>
      <c r="E509" s="1">
        <v>2</v>
      </c>
      <c r="F509" s="1">
        <v>2</v>
      </c>
      <c r="G509" s="1">
        <v>11</v>
      </c>
      <c r="I509">
        <f t="shared" si="40"/>
        <v>-0.85920518419850578</v>
      </c>
      <c r="J509">
        <f t="shared" si="41"/>
        <v>-1.3117834978406422</v>
      </c>
      <c r="K509">
        <f t="shared" si="42"/>
        <v>-0.16196716413967627</v>
      </c>
      <c r="M509">
        <f t="shared" si="43"/>
        <v>-0.77765194872627486</v>
      </c>
    </row>
    <row r="510" spans="1:13" ht="22">
      <c r="A510" s="2" t="s">
        <v>491</v>
      </c>
      <c r="B510" s="5" t="s">
        <v>1054</v>
      </c>
      <c r="D510" s="4">
        <v>616</v>
      </c>
      <c r="E510" s="1">
        <v>7</v>
      </c>
      <c r="F510" s="1">
        <v>12</v>
      </c>
      <c r="G510" s="1">
        <v>41</v>
      </c>
      <c r="I510">
        <f t="shared" si="40"/>
        <v>-0.95242950762959921</v>
      </c>
      <c r="J510">
        <f t="shared" si="41"/>
        <v>-1.1709246152383677</v>
      </c>
      <c r="K510">
        <f t="shared" si="42"/>
        <v>-0.22786836035953462</v>
      </c>
      <c r="M510">
        <f t="shared" si="43"/>
        <v>-0.78374082774250053</v>
      </c>
    </row>
    <row r="511" spans="1:13" ht="22">
      <c r="A511" s="2" t="s">
        <v>485</v>
      </c>
      <c r="B511" s="5" t="s">
        <v>1048</v>
      </c>
      <c r="D511" s="4">
        <v>1697</v>
      </c>
      <c r="E511" s="1">
        <v>92</v>
      </c>
      <c r="F511" s="1">
        <v>35</v>
      </c>
      <c r="G511" s="1">
        <v>22</v>
      </c>
      <c r="I511">
        <f t="shared" si="40"/>
        <v>-0.27384085045155104</v>
      </c>
      <c r="J511">
        <f t="shared" si="41"/>
        <v>-1.1461389470889674</v>
      </c>
      <c r="K511">
        <f t="shared" si="42"/>
        <v>-0.93833066641031415</v>
      </c>
      <c r="M511">
        <f t="shared" si="43"/>
        <v>-0.78610348798361096</v>
      </c>
    </row>
    <row r="512" spans="1:13" ht="22">
      <c r="A512" s="2" t="s">
        <v>392</v>
      </c>
      <c r="B512" s="5" t="s">
        <v>955</v>
      </c>
      <c r="D512" s="4">
        <v>1374</v>
      </c>
      <c r="E512" s="1">
        <v>59</v>
      </c>
      <c r="F512" s="1">
        <v>18</v>
      </c>
      <c r="G512" s="1">
        <v>34</v>
      </c>
      <c r="I512">
        <f t="shared" si="40"/>
        <v>-0.3750815565608181</v>
      </c>
      <c r="J512">
        <f t="shared" si="41"/>
        <v>-1.3432393767417925</v>
      </c>
      <c r="K512">
        <f t="shared" si="42"/>
        <v>-0.65757932059612112</v>
      </c>
      <c r="M512">
        <f t="shared" si="43"/>
        <v>-0.79196675129957728</v>
      </c>
    </row>
    <row r="513" spans="1:13" ht="22">
      <c r="A513" s="2" t="s">
        <v>520</v>
      </c>
      <c r="B513" s="5" t="s">
        <v>1083</v>
      </c>
      <c r="D513" s="4">
        <v>633</v>
      </c>
      <c r="E513" s="1">
        <v>8</v>
      </c>
      <c r="F513" s="1">
        <v>18</v>
      </c>
      <c r="G513" s="1">
        <v>23</v>
      </c>
      <c r="I513">
        <f t="shared" si="40"/>
        <v>-0.906260558504842</v>
      </c>
      <c r="J513">
        <f t="shared" si="41"/>
        <v>-1.0066563540356159</v>
      </c>
      <c r="K513">
        <f t="shared" si="42"/>
        <v>-0.49074737891460685</v>
      </c>
      <c r="M513">
        <f t="shared" si="43"/>
        <v>-0.80122143048502148</v>
      </c>
    </row>
    <row r="514" spans="1:13" ht="22">
      <c r="A514" s="2" t="s">
        <v>300</v>
      </c>
      <c r="B514" s="5" t="s">
        <v>863</v>
      </c>
      <c r="D514" s="4">
        <v>153</v>
      </c>
      <c r="E514" s="1">
        <v>5</v>
      </c>
      <c r="F514" s="1">
        <v>1</v>
      </c>
      <c r="G514" s="1">
        <v>9</v>
      </c>
      <c r="I514">
        <f t="shared" si="40"/>
        <v>-0.49366826196101044</v>
      </c>
      <c r="J514">
        <f t="shared" si="41"/>
        <v>-1.645216579939166</v>
      </c>
      <c r="K514">
        <f t="shared" si="42"/>
        <v>-0.28152042629311858</v>
      </c>
      <c r="M514">
        <f t="shared" si="43"/>
        <v>-0.80680175606443161</v>
      </c>
    </row>
    <row r="515" spans="1:13" ht="22">
      <c r="A515" s="2" t="s">
        <v>511</v>
      </c>
      <c r="B515" s="5" t="s">
        <v>1074</v>
      </c>
      <c r="D515" s="4">
        <v>936</v>
      </c>
      <c r="E515" s="1">
        <v>44</v>
      </c>
      <c r="F515" s="1">
        <v>18</v>
      </c>
      <c r="G515" s="1">
        <v>13</v>
      </c>
      <c r="I515">
        <f t="shared" si="40"/>
        <v>-0.33577000773134835</v>
      </c>
      <c r="J515">
        <f t="shared" si="41"/>
        <v>-1.1765284927563662</v>
      </c>
      <c r="K515">
        <f t="shared" si="42"/>
        <v>-0.90840400134611321</v>
      </c>
      <c r="M515">
        <f t="shared" si="43"/>
        <v>-0.80690083394460921</v>
      </c>
    </row>
    <row r="516" spans="1:13" ht="22">
      <c r="A516" s="2" t="s">
        <v>10</v>
      </c>
      <c r="B516" s="5" t="s">
        <v>573</v>
      </c>
      <c r="D516" s="4">
        <v>616</v>
      </c>
      <c r="E516" s="1">
        <v>7</v>
      </c>
      <c r="F516" s="1">
        <v>20</v>
      </c>
      <c r="G516" s="1">
        <v>19</v>
      </c>
      <c r="I516">
        <f t="shared" si="40"/>
        <v>-0.95242950762959921</v>
      </c>
      <c r="J516">
        <f t="shared" si="41"/>
        <v>-0.94907586562201141</v>
      </c>
      <c r="K516">
        <f t="shared" si="42"/>
        <v>-0.56189861612644121</v>
      </c>
      <c r="M516">
        <f t="shared" si="43"/>
        <v>-0.82113466312601735</v>
      </c>
    </row>
    <row r="517" spans="1:13" ht="22">
      <c r="A517" s="2" t="s">
        <v>456</v>
      </c>
      <c r="B517" s="5" t="s">
        <v>1019</v>
      </c>
      <c r="D517" s="4">
        <v>716</v>
      </c>
      <c r="E517" s="1">
        <v>6</v>
      </c>
      <c r="F517" s="1">
        <v>30</v>
      </c>
      <c r="G517" s="1">
        <v>23</v>
      </c>
      <c r="I517">
        <f t="shared" si="40"/>
        <v>-1.0847086074036425</v>
      </c>
      <c r="J517">
        <f t="shared" si="41"/>
        <v>-0.83831691670976027</v>
      </c>
      <c r="K517">
        <f t="shared" si="42"/>
        <v>-0.54425669120510745</v>
      </c>
      <c r="M517">
        <f t="shared" si="43"/>
        <v>-0.82242740510617018</v>
      </c>
    </row>
    <row r="518" spans="1:13" ht="22">
      <c r="A518" s="2" t="s">
        <v>6</v>
      </c>
      <c r="B518" s="5" t="s">
        <v>569</v>
      </c>
      <c r="D518" s="4">
        <v>269</v>
      </c>
      <c r="E518" s="1">
        <v>12</v>
      </c>
      <c r="F518" s="1">
        <v>3</v>
      </c>
      <c r="G518" s="1">
        <v>6</v>
      </c>
      <c r="I518">
        <f t="shared" si="40"/>
        <v>-0.35851786943421371</v>
      </c>
      <c r="J518">
        <f t="shared" si="41"/>
        <v>-1.4131561744043126</v>
      </c>
      <c r="K518">
        <f t="shared" si="42"/>
        <v>-0.70267253453360912</v>
      </c>
      <c r="M518">
        <f t="shared" si="43"/>
        <v>-0.82478219279071185</v>
      </c>
    </row>
    <row r="519" spans="1:13" ht="22">
      <c r="A519" s="2" t="s">
        <v>328</v>
      </c>
      <c r="B519" s="5" t="s">
        <v>891</v>
      </c>
      <c r="D519" s="4">
        <v>270</v>
      </c>
      <c r="E519" s="1">
        <v>3</v>
      </c>
      <c r="F519" s="1">
        <v>6</v>
      </c>
      <c r="G519" s="1">
        <v>12</v>
      </c>
      <c r="I519">
        <f t="shared" si="40"/>
        <v>-0.9621893449187553</v>
      </c>
      <c r="J519">
        <f t="shared" si="41"/>
        <v>-1.1137376628969107</v>
      </c>
      <c r="K519">
        <f t="shared" si="42"/>
        <v>-0.40325402302620716</v>
      </c>
      <c r="M519">
        <f t="shared" si="43"/>
        <v>-0.82639367694729104</v>
      </c>
    </row>
    <row r="520" spans="1:13" ht="22">
      <c r="A520" s="2" t="s">
        <v>521</v>
      </c>
      <c r="B520" s="5" t="s">
        <v>1084</v>
      </c>
      <c r="D520" s="4">
        <v>777</v>
      </c>
      <c r="E520" s="1">
        <v>7</v>
      </c>
      <c r="F520" s="1">
        <v>6</v>
      </c>
      <c r="G520" s="1">
        <v>121</v>
      </c>
      <c r="I520">
        <f t="shared" si="40"/>
        <v>-1.0532698142660881</v>
      </c>
      <c r="J520">
        <f t="shared" si="41"/>
        <v>-1.5727949175388378</v>
      </c>
      <c r="K520">
        <f t="shared" si="42"/>
        <v>0.14129284660069119</v>
      </c>
      <c r="M520">
        <f t="shared" si="43"/>
        <v>-0.82825729506807821</v>
      </c>
    </row>
    <row r="521" spans="1:13" ht="22">
      <c r="A521" s="2" t="s">
        <v>445</v>
      </c>
      <c r="B521" s="5" t="s">
        <v>1008</v>
      </c>
      <c r="D521" s="4">
        <v>356</v>
      </c>
      <c r="E521" s="1">
        <v>8</v>
      </c>
      <c r="F521" s="1">
        <v>2</v>
      </c>
      <c r="G521" s="1">
        <v>27</v>
      </c>
      <c r="I521">
        <f t="shared" si="40"/>
        <v>-0.65630684646036208</v>
      </c>
      <c r="J521">
        <f t="shared" si="41"/>
        <v>-1.7109451514304612</v>
      </c>
      <c r="K521">
        <f t="shared" si="42"/>
        <v>-0.17115773872873263</v>
      </c>
      <c r="M521">
        <f t="shared" si="43"/>
        <v>-0.84613657887318539</v>
      </c>
    </row>
    <row r="522" spans="1:13" ht="22">
      <c r="A522" s="2" t="s">
        <v>190</v>
      </c>
      <c r="B522" s="5" t="s">
        <v>753</v>
      </c>
      <c r="D522" s="4">
        <v>569</v>
      </c>
      <c r="E522" s="1">
        <v>22</v>
      </c>
      <c r="F522" s="1">
        <v>5</v>
      </c>
      <c r="G522" s="1">
        <v>16</v>
      </c>
      <c r="I522">
        <f t="shared" si="40"/>
        <v>-0.42063642105229548</v>
      </c>
      <c r="J522">
        <f t="shared" si="41"/>
        <v>-1.5166674111806193</v>
      </c>
      <c r="K522">
        <f t="shared" si="42"/>
        <v>-0.60206378865399102</v>
      </c>
      <c r="M522">
        <f t="shared" si="43"/>
        <v>-0.84645587362896857</v>
      </c>
    </row>
    <row r="523" spans="1:13" ht="22">
      <c r="A523" s="2" t="s">
        <v>457</v>
      </c>
      <c r="B523" s="5" t="s">
        <v>1020</v>
      </c>
      <c r="D523" s="4">
        <v>761</v>
      </c>
      <c r="E523" s="1">
        <v>27</v>
      </c>
      <c r="F523" s="1">
        <v>10</v>
      </c>
      <c r="G523" s="1">
        <v>15</v>
      </c>
      <c r="I523">
        <f t="shared" si="40"/>
        <v>-0.45796772809101594</v>
      </c>
      <c r="J523">
        <f t="shared" si="41"/>
        <v>-1.3419098058921399</v>
      </c>
      <c r="K523">
        <f t="shared" si="42"/>
        <v>-0.75636490262973632</v>
      </c>
      <c r="M523">
        <f t="shared" si="43"/>
        <v>-0.85208081220429743</v>
      </c>
    </row>
    <row r="524" spans="1:13" ht="22">
      <c r="A524" s="2" t="s">
        <v>400</v>
      </c>
      <c r="B524" s="5" t="s">
        <v>963</v>
      </c>
      <c r="D524" s="4">
        <v>636</v>
      </c>
      <c r="E524" s="1">
        <v>25</v>
      </c>
      <c r="F524" s="1">
        <v>4</v>
      </c>
      <c r="G524" s="1">
        <v>21</v>
      </c>
      <c r="I524">
        <f t="shared" si="40"/>
        <v>-0.41346394245580687</v>
      </c>
      <c r="J524">
        <f t="shared" si="41"/>
        <v>-1.6619222734420185</v>
      </c>
      <c r="K524">
        <f t="shared" si="42"/>
        <v>-0.53230932582933921</v>
      </c>
      <c r="M524">
        <f t="shared" si="43"/>
        <v>-0.86923184724238822</v>
      </c>
    </row>
    <row r="525" spans="1:13" ht="22">
      <c r="A525" s="2" t="s">
        <v>519</v>
      </c>
      <c r="B525" s="5" t="s">
        <v>1082</v>
      </c>
      <c r="D525" s="4">
        <v>423</v>
      </c>
      <c r="E525" s="1">
        <v>4</v>
      </c>
      <c r="F525" s="1">
        <v>8</v>
      </c>
      <c r="G525" s="1">
        <v>19</v>
      </c>
      <c r="I525">
        <f t="shared" si="40"/>
        <v>-1.0322272115265103</v>
      </c>
      <c r="J525">
        <f t="shared" si="41"/>
        <v>-1.1837755295046657</v>
      </c>
      <c r="K525">
        <f t="shared" si="42"/>
        <v>-0.39865827133705811</v>
      </c>
      <c r="M525">
        <f t="shared" si="43"/>
        <v>-0.87155367078941148</v>
      </c>
    </row>
    <row r="526" spans="1:13" ht="22">
      <c r="A526" s="2" t="s">
        <v>423</v>
      </c>
      <c r="B526" s="5" t="s">
        <v>986</v>
      </c>
      <c r="D526" s="4">
        <v>419</v>
      </c>
      <c r="E526" s="1">
        <v>24</v>
      </c>
      <c r="F526" s="1">
        <v>8</v>
      </c>
      <c r="G526" s="1">
        <v>3</v>
      </c>
      <c r="I526">
        <f t="shared" si="40"/>
        <v>-0.24994961673411975</v>
      </c>
      <c r="J526">
        <f t="shared" si="41"/>
        <v>-1.1796491850959185</v>
      </c>
      <c r="K526">
        <f t="shared" si="42"/>
        <v>-1.1961642731614777</v>
      </c>
      <c r="M526">
        <f t="shared" si="43"/>
        <v>-0.87525435833050536</v>
      </c>
    </row>
    <row r="527" spans="1:13" ht="22">
      <c r="A527" s="2" t="s">
        <v>455</v>
      </c>
      <c r="B527" s="5" t="s">
        <v>1018</v>
      </c>
      <c r="D527" s="4">
        <v>713</v>
      </c>
      <c r="E527" s="1">
        <v>11</v>
      </c>
      <c r="F527" s="1">
        <v>17</v>
      </c>
      <c r="G527" s="1">
        <v>14</v>
      </c>
      <c r="I527">
        <f t="shared" si="40"/>
        <v>-0.8196436801730711</v>
      </c>
      <c r="J527">
        <f t="shared" si="41"/>
        <v>-1.0831657575951588</v>
      </c>
      <c r="K527">
        <f t="shared" si="42"/>
        <v>-0.75803299908847221</v>
      </c>
      <c r="M527">
        <f t="shared" si="43"/>
        <v>-0.88694747895223403</v>
      </c>
    </row>
    <row r="528" spans="1:13" ht="22">
      <c r="A528" s="2" t="s">
        <v>298</v>
      </c>
      <c r="B528" s="5" t="s">
        <v>861</v>
      </c>
      <c r="D528" s="4">
        <v>117</v>
      </c>
      <c r="E528" s="1">
        <v>2</v>
      </c>
      <c r="F528" s="1">
        <v>1</v>
      </c>
      <c r="G528" s="1">
        <v>4</v>
      </c>
      <c r="I528">
        <f t="shared" si="40"/>
        <v>-0.77510270156161098</v>
      </c>
      <c r="J528">
        <f t="shared" si="41"/>
        <v>-1.5287110108677289</v>
      </c>
      <c r="K528">
        <f t="shared" si="42"/>
        <v>-0.51719737533304388</v>
      </c>
      <c r="M528">
        <f t="shared" si="43"/>
        <v>-0.94033702925412788</v>
      </c>
    </row>
    <row r="529" spans="1:13" ht="22">
      <c r="A529" s="2" t="s">
        <v>236</v>
      </c>
      <c r="B529" s="5" t="s">
        <v>799</v>
      </c>
      <c r="D529" s="4">
        <v>280</v>
      </c>
      <c r="E529" s="1">
        <v>5</v>
      </c>
      <c r="F529" s="1">
        <v>7</v>
      </c>
      <c r="G529" s="1">
        <v>3</v>
      </c>
      <c r="I529">
        <f t="shared" si="40"/>
        <v>-0.756134862485631</v>
      </c>
      <c r="J529">
        <f t="shared" si="41"/>
        <v>-1.0625851404495292</v>
      </c>
      <c r="K529">
        <f t="shared" si="42"/>
        <v>-1.0211082815374015</v>
      </c>
      <c r="M529">
        <f t="shared" si="43"/>
        <v>-0.94660942815752058</v>
      </c>
    </row>
    <row r="530" spans="1:13" ht="22">
      <c r="A530" s="2" t="s">
        <v>452</v>
      </c>
      <c r="B530" s="5" t="s">
        <v>1015</v>
      </c>
      <c r="D530" s="4">
        <v>770</v>
      </c>
      <c r="E530" s="1">
        <v>38</v>
      </c>
      <c r="F530" s="1">
        <v>3</v>
      </c>
      <c r="G530" s="1">
        <v>19</v>
      </c>
      <c r="I530">
        <f t="shared" si="40"/>
        <v>-0.31465396403510226</v>
      </c>
      <c r="J530">
        <f t="shared" si="41"/>
        <v>-1.8698946195743864</v>
      </c>
      <c r="K530">
        <f t="shared" si="42"/>
        <v>-0.65880862913449767</v>
      </c>
      <c r="M530">
        <f t="shared" si="43"/>
        <v>-0.94778573758132867</v>
      </c>
    </row>
    <row r="531" spans="1:13" ht="22">
      <c r="A531" s="2" t="s">
        <v>97</v>
      </c>
      <c r="B531" s="5" t="s">
        <v>660</v>
      </c>
      <c r="D531" s="4">
        <v>168</v>
      </c>
      <c r="E531" s="1">
        <v>1</v>
      </c>
      <c r="F531" s="1">
        <v>3</v>
      </c>
      <c r="G531" s="1">
        <v>7</v>
      </c>
      <c r="I531">
        <f t="shared" si="40"/>
        <v>-1.2332561172052934</v>
      </c>
      <c r="J531">
        <f t="shared" si="41"/>
        <v>-1.2087131761277674</v>
      </c>
      <c r="K531">
        <f t="shared" si="42"/>
        <v>-0.43128274662645083</v>
      </c>
      <c r="M531">
        <f t="shared" si="43"/>
        <v>-0.95775067998650387</v>
      </c>
    </row>
    <row r="532" spans="1:13" ht="22">
      <c r="A532" s="2" t="s">
        <v>248</v>
      </c>
      <c r="B532" s="5" t="s">
        <v>811</v>
      </c>
      <c r="D532" s="4">
        <v>435</v>
      </c>
      <c r="E532" s="1">
        <v>9</v>
      </c>
      <c r="F532" s="1">
        <v>20</v>
      </c>
      <c r="G532" s="1">
        <v>2</v>
      </c>
      <c r="I532">
        <f t="shared" si="40"/>
        <v>-0.69219358299474298</v>
      </c>
      <c r="J532">
        <f t="shared" si="41"/>
        <v>-0.79798441041222323</v>
      </c>
      <c r="K532">
        <f t="shared" si="42"/>
        <v>-1.3885307662055009</v>
      </c>
      <c r="M532">
        <f t="shared" si="43"/>
        <v>-0.95956958653748892</v>
      </c>
    </row>
    <row r="533" spans="1:13" ht="22">
      <c r="A533" s="2" t="s">
        <v>454</v>
      </c>
      <c r="B533" s="5" t="s">
        <v>1017</v>
      </c>
      <c r="D533" s="4">
        <v>636</v>
      </c>
      <c r="E533" s="1">
        <v>31</v>
      </c>
      <c r="F533" s="1">
        <v>3</v>
      </c>
      <c r="G533" s="1">
        <v>9</v>
      </c>
      <c r="I533">
        <f t="shared" si="40"/>
        <v>-0.32004225729357172</v>
      </c>
      <c r="J533">
        <f t="shared" si="41"/>
        <v>-1.7868610100503188</v>
      </c>
      <c r="K533">
        <f t="shared" si="42"/>
        <v>-0.90028611112393375</v>
      </c>
      <c r="M533">
        <f t="shared" si="43"/>
        <v>-1.0023964594892749</v>
      </c>
    </row>
    <row r="534" spans="1:13" ht="22">
      <c r="A534" s="2" t="s">
        <v>64</v>
      </c>
      <c r="B534" s="5" t="s">
        <v>627</v>
      </c>
      <c r="D534" s="4">
        <v>127</v>
      </c>
      <c r="E534" s="1">
        <v>1</v>
      </c>
      <c r="F534" s="1">
        <v>1</v>
      </c>
      <c r="G534" s="1">
        <v>6</v>
      </c>
      <c r="I534">
        <f t="shared" si="40"/>
        <v>-1.1117505564353873</v>
      </c>
      <c r="J534">
        <f t="shared" si="41"/>
        <v>-1.564328870077524</v>
      </c>
      <c r="K534">
        <f t="shared" si="42"/>
        <v>-0.37672397548715786</v>
      </c>
      <c r="M534">
        <f t="shared" si="43"/>
        <v>-1.0176011340000231</v>
      </c>
    </row>
    <row r="535" spans="1:13" ht="22">
      <c r="A535" s="2" t="s">
        <v>433</v>
      </c>
      <c r="B535" s="5" t="s">
        <v>996</v>
      </c>
      <c r="D535" s="4">
        <v>318</v>
      </c>
      <c r="E535" s="1">
        <v>2</v>
      </c>
      <c r="F535" s="1">
        <v>2</v>
      </c>
      <c r="G535" s="1">
        <v>22</v>
      </c>
      <c r="I535">
        <f t="shared" si="40"/>
        <v>-1.2093439597998819</v>
      </c>
      <c r="J535">
        <f t="shared" si="41"/>
        <v>-1.6619222734420185</v>
      </c>
      <c r="K535">
        <f t="shared" si="42"/>
        <v>-0.21107594407707109</v>
      </c>
      <c r="M535">
        <f t="shared" si="43"/>
        <v>-1.0274473924396572</v>
      </c>
    </row>
    <row r="536" spans="1:13" ht="22">
      <c r="A536" s="2" t="s">
        <v>102</v>
      </c>
      <c r="B536" s="5" t="s">
        <v>665</v>
      </c>
      <c r="D536" s="4">
        <v>214</v>
      </c>
      <c r="E536" s="1">
        <v>3</v>
      </c>
      <c r="F536" s="1">
        <v>4</v>
      </c>
      <c r="G536" s="1">
        <v>2</v>
      </c>
      <c r="I536">
        <f t="shared" si="40"/>
        <v>-0.86123935410895891</v>
      </c>
      <c r="J536">
        <f t="shared" si="41"/>
        <v>-1.1888789311427956</v>
      </c>
      <c r="K536">
        <f t="shared" si="42"/>
        <v>-1.0804552826000544</v>
      </c>
      <c r="M536">
        <f t="shared" si="43"/>
        <v>-1.0435245226172698</v>
      </c>
    </row>
    <row r="537" spans="1:13" ht="22">
      <c r="A537" s="2" t="s">
        <v>506</v>
      </c>
      <c r="B537" s="5" t="s">
        <v>1069</v>
      </c>
      <c r="D537" s="4">
        <v>827</v>
      </c>
      <c r="E537" s="1">
        <v>14</v>
      </c>
      <c r="F537" s="1">
        <v>14</v>
      </c>
      <c r="G537" s="1">
        <v>7</v>
      </c>
      <c r="I537">
        <f t="shared" si="40"/>
        <v>-0.7793243093537392</v>
      </c>
      <c r="J537">
        <f t="shared" si="41"/>
        <v>-1.2319026229958756</v>
      </c>
      <c r="K537">
        <f t="shared" si="42"/>
        <v>-1.1234789744531344</v>
      </c>
      <c r="M537">
        <f t="shared" si="43"/>
        <v>-1.0449019689342498</v>
      </c>
    </row>
    <row r="538" spans="1:13" ht="22">
      <c r="A538" s="2" t="s">
        <v>479</v>
      </c>
      <c r="B538" s="5" t="s">
        <v>1042</v>
      </c>
      <c r="D538" s="4">
        <v>432</v>
      </c>
      <c r="E538" s="1">
        <v>3</v>
      </c>
      <c r="F538" s="1">
        <v>6</v>
      </c>
      <c r="G538" s="1">
        <v>10</v>
      </c>
      <c r="I538">
        <f t="shared" si="40"/>
        <v>-1.1663093275746803</v>
      </c>
      <c r="J538">
        <f t="shared" si="41"/>
        <v>-1.3178576455528357</v>
      </c>
      <c r="K538">
        <f t="shared" si="42"/>
        <v>-0.68655525172975684</v>
      </c>
      <c r="M538">
        <f t="shared" si="43"/>
        <v>-1.0569074082857577</v>
      </c>
    </row>
    <row r="539" spans="1:13" ht="22">
      <c r="A539" s="2" t="s">
        <v>490</v>
      </c>
      <c r="B539" s="5" t="s">
        <v>1053</v>
      </c>
      <c r="D539" s="4">
        <v>327</v>
      </c>
      <c r="E539" s="1">
        <v>13</v>
      </c>
      <c r="F539" s="1">
        <v>1</v>
      </c>
      <c r="G539" s="1">
        <v>6</v>
      </c>
      <c r="I539">
        <f t="shared" si="40"/>
        <v>-0.40855123583287978</v>
      </c>
      <c r="J539">
        <f t="shared" si="41"/>
        <v>-1.9750729017818531</v>
      </c>
      <c r="K539">
        <f t="shared" si="42"/>
        <v>-0.78746800719148702</v>
      </c>
      <c r="M539">
        <f t="shared" si="43"/>
        <v>-1.0570307149354068</v>
      </c>
    </row>
    <row r="540" spans="1:13" ht="22">
      <c r="A540" s="2" t="s">
        <v>100</v>
      </c>
      <c r="B540" s="5" t="s">
        <v>663</v>
      </c>
      <c r="D540" s="4">
        <v>157</v>
      </c>
      <c r="E540" s="1">
        <v>2</v>
      </c>
      <c r="F540" s="1">
        <v>3</v>
      </c>
      <c r="G540" s="1">
        <v>1</v>
      </c>
      <c r="I540">
        <f t="shared" si="40"/>
        <v>-0.90281649222468308</v>
      </c>
      <c r="J540">
        <f t="shared" si="41"/>
        <v>-1.1793035468111386</v>
      </c>
      <c r="K540">
        <f t="shared" si="42"/>
        <v>-1.2469711573240783</v>
      </c>
      <c r="M540">
        <f t="shared" si="43"/>
        <v>-1.1096970654533</v>
      </c>
    </row>
    <row r="541" spans="1:13" ht="22">
      <c r="A541" s="2" t="s">
        <v>474</v>
      </c>
      <c r="B541" s="5" t="s">
        <v>1037</v>
      </c>
      <c r="D541" s="4">
        <v>1480</v>
      </c>
      <c r="E541" s="1">
        <v>11</v>
      </c>
      <c r="F541" s="1">
        <v>10</v>
      </c>
      <c r="G541" s="1">
        <v>38</v>
      </c>
      <c r="I541">
        <f t="shared" si="40"/>
        <v>-1.1368158657161627</v>
      </c>
      <c r="J541">
        <f t="shared" si="41"/>
        <v>-1.6307868645165247</v>
      </c>
      <c r="K541">
        <f t="shared" si="42"/>
        <v>-0.64154962369299184</v>
      </c>
      <c r="M541">
        <f t="shared" si="43"/>
        <v>-1.1363841179752263</v>
      </c>
    </row>
    <row r="542" spans="1:13" ht="22">
      <c r="A542" s="2" t="s">
        <v>432</v>
      </c>
      <c r="B542" s="5" t="s">
        <v>995</v>
      </c>
      <c r="D542" s="4">
        <v>224</v>
      </c>
      <c r="E542" s="1">
        <v>1</v>
      </c>
      <c r="F542" s="1">
        <v>2</v>
      </c>
      <c r="G542" s="1">
        <v>6</v>
      </c>
      <c r="I542">
        <f t="shared" si="40"/>
        <v>-1.3581948538135933</v>
      </c>
      <c r="J542">
        <f t="shared" si="41"/>
        <v>-1.5097431717917487</v>
      </c>
      <c r="K542">
        <f t="shared" si="42"/>
        <v>-0.6231682728653638</v>
      </c>
      <c r="M542">
        <f t="shared" si="43"/>
        <v>-1.1637020994902352</v>
      </c>
    </row>
    <row r="543" spans="1:13" ht="22">
      <c r="A543" s="2" t="s">
        <v>73</v>
      </c>
      <c r="B543" s="5" t="s">
        <v>636</v>
      </c>
      <c r="D543" s="4">
        <v>1216</v>
      </c>
      <c r="E543" s="1">
        <v>12</v>
      </c>
      <c r="F543" s="1">
        <v>6</v>
      </c>
      <c r="G543" s="1">
        <v>25</v>
      </c>
      <c r="I543">
        <f t="shared" si="40"/>
        <v>-1.0136991643685218</v>
      </c>
      <c r="J543">
        <f t="shared" si="41"/>
        <v>-1.7673074736746397</v>
      </c>
      <c r="K543">
        <f t="shared" si="42"/>
        <v>-0.73806507117952314</v>
      </c>
      <c r="M543">
        <f t="shared" si="43"/>
        <v>-1.1730239030742282</v>
      </c>
    </row>
    <row r="544" spans="1:13" ht="22">
      <c r="A544" s="2" t="s">
        <v>430</v>
      </c>
      <c r="B544" s="5" t="s">
        <v>993</v>
      </c>
      <c r="D544" s="4">
        <v>724</v>
      </c>
      <c r="E544" s="1">
        <v>2</v>
      </c>
      <c r="F544" s="1">
        <v>7</v>
      </c>
      <c r="G544" s="1">
        <v>25</v>
      </c>
      <c r="I544">
        <f t="shared" si="40"/>
        <v>-1.5666554060125963</v>
      </c>
      <c r="J544">
        <f t="shared" si="41"/>
        <v>-1.4751656753044573</v>
      </c>
      <c r="K544">
        <f t="shared" si="42"/>
        <v>-0.51287006243995403</v>
      </c>
      <c r="M544">
        <f t="shared" si="43"/>
        <v>-1.1848970479190026</v>
      </c>
    </row>
    <row r="545" spans="1:13" ht="22">
      <c r="A545" s="2" t="s">
        <v>471</v>
      </c>
      <c r="B545" s="5" t="s">
        <v>1034</v>
      </c>
      <c r="D545" s="4">
        <v>631</v>
      </c>
      <c r="E545" s="1">
        <v>9</v>
      </c>
      <c r="F545" s="1">
        <v>1</v>
      </c>
      <c r="G545" s="1">
        <v>21</v>
      </c>
      <c r="I545">
        <f t="shared" si="40"/>
        <v>-0.85373368528423987</v>
      </c>
      <c r="J545">
        <f t="shared" si="41"/>
        <v>-2.2605545083657015</v>
      </c>
      <c r="K545">
        <f t="shared" si="42"/>
        <v>-0.52888156942505971</v>
      </c>
      <c r="M545">
        <f t="shared" si="43"/>
        <v>-1.2143899210250004</v>
      </c>
    </row>
    <row r="546" spans="1:13" ht="22">
      <c r="A546" s="2" t="s">
        <v>548</v>
      </c>
      <c r="B546" s="5" t="s">
        <v>1111</v>
      </c>
      <c r="D546" s="4">
        <v>811</v>
      </c>
      <c r="E546" s="1">
        <v>18</v>
      </c>
      <c r="F546" s="1">
        <v>3</v>
      </c>
      <c r="G546" s="1">
        <v>7</v>
      </c>
      <c r="I546">
        <f t="shared" si="40"/>
        <v>-0.66169518458728049</v>
      </c>
      <c r="J546">
        <f t="shared" si="41"/>
        <v>-1.8924247486130605</v>
      </c>
      <c r="K546">
        <f t="shared" si="42"/>
        <v>-1.1149943191117437</v>
      </c>
      <c r="M546">
        <f t="shared" si="43"/>
        <v>-1.2230380841040283</v>
      </c>
    </row>
    <row r="547" spans="1:13" ht="22">
      <c r="A547" s="2" t="s">
        <v>488</v>
      </c>
      <c r="B547" s="5" t="s">
        <v>1051</v>
      </c>
      <c r="D547" s="4">
        <v>646</v>
      </c>
      <c r="E547" s="1">
        <v>5</v>
      </c>
      <c r="F547" s="1">
        <v>4</v>
      </c>
      <c r="G547" s="1">
        <v>9</v>
      </c>
      <c r="I547">
        <f t="shared" si="40"/>
        <v>-1.119209349138496</v>
      </c>
      <c r="J547">
        <f t="shared" si="41"/>
        <v>-1.6686976757886889</v>
      </c>
      <c r="K547">
        <f t="shared" si="42"/>
        <v>-0.90706151347060393</v>
      </c>
      <c r="M547">
        <f t="shared" si="43"/>
        <v>-1.2316561794659295</v>
      </c>
    </row>
    <row r="548" spans="1:13" ht="22">
      <c r="A548" s="2" t="s">
        <v>414</v>
      </c>
      <c r="B548" s="5" t="s">
        <v>977</v>
      </c>
      <c r="D548" s="4">
        <v>472</v>
      </c>
      <c r="E548" s="1">
        <v>1</v>
      </c>
      <c r="F548" s="1">
        <v>2</v>
      </c>
      <c r="G548" s="1">
        <v>33</v>
      </c>
      <c r="I548">
        <f t="shared" si="40"/>
        <v>-1.6818888341135185</v>
      </c>
      <c r="J548">
        <f t="shared" si="41"/>
        <v>-1.8334371520916739</v>
      </c>
      <c r="K548">
        <f t="shared" si="42"/>
        <v>-0.20649956367104494</v>
      </c>
      <c r="M548">
        <f t="shared" si="43"/>
        <v>-1.2406085166254124</v>
      </c>
    </row>
    <row r="549" spans="1:13" ht="22">
      <c r="A549" s="2" t="s">
        <v>500</v>
      </c>
      <c r="B549" s="5" t="s">
        <v>1063</v>
      </c>
      <c r="D549" s="4">
        <v>1144</v>
      </c>
      <c r="E549" s="1">
        <v>17</v>
      </c>
      <c r="F549" s="1">
        <v>9</v>
      </c>
      <c r="G549" s="1">
        <v>5</v>
      </c>
      <c r="I549">
        <f t="shared" si="40"/>
        <v>-0.83592393855816205</v>
      </c>
      <c r="J549">
        <f t="shared" si="41"/>
        <v>-1.5647086641392476</v>
      </c>
      <c r="K549">
        <f t="shared" si="42"/>
        <v>-1.4105275250358311</v>
      </c>
      <c r="M549">
        <f t="shared" si="43"/>
        <v>-1.2703867092444137</v>
      </c>
    </row>
    <row r="550" spans="1:13" ht="22">
      <c r="A550" s="2" t="s">
        <v>469</v>
      </c>
      <c r="B550" s="5" t="s">
        <v>1032</v>
      </c>
      <c r="D550" s="4">
        <v>686</v>
      </c>
      <c r="E550" s="1">
        <v>8</v>
      </c>
      <c r="F550" s="1">
        <v>17</v>
      </c>
      <c r="G550" s="1">
        <v>1</v>
      </c>
      <c r="I550">
        <f t="shared" si="40"/>
        <v>-0.94118096419423858</v>
      </c>
      <c r="J550">
        <f t="shared" si="41"/>
        <v>-1.0664003434500446</v>
      </c>
      <c r="K550">
        <f t="shared" si="42"/>
        <v>-1.8873956206215963</v>
      </c>
      <c r="M550">
        <f t="shared" si="43"/>
        <v>-1.2983256427552934</v>
      </c>
    </row>
    <row r="551" spans="1:13" ht="22">
      <c r="A551" s="2" t="s">
        <v>422</v>
      </c>
      <c r="B551" s="5" t="s">
        <v>985</v>
      </c>
      <c r="D551" s="4">
        <v>444</v>
      </c>
      <c r="E551" s="1">
        <v>2</v>
      </c>
      <c r="F551" s="1">
        <v>2</v>
      </c>
      <c r="G551" s="1">
        <v>9</v>
      </c>
      <c r="I551">
        <f t="shared" si="40"/>
        <v>-1.3542998099300694</v>
      </c>
      <c r="J551">
        <f t="shared" si="41"/>
        <v>-1.806878123572206</v>
      </c>
      <c r="K551">
        <f t="shared" si="42"/>
        <v>-0.74421196559013958</v>
      </c>
      <c r="M551">
        <f t="shared" si="43"/>
        <v>-1.3017966330308051</v>
      </c>
    </row>
    <row r="552" spans="1:13" ht="22">
      <c r="A552" s="2" t="s">
        <v>261</v>
      </c>
      <c r="B552" s="5" t="s">
        <v>824</v>
      </c>
      <c r="D552" s="4">
        <v>208</v>
      </c>
      <c r="E552" s="1">
        <v>2</v>
      </c>
      <c r="F552" s="1">
        <v>1</v>
      </c>
      <c r="G552" s="1">
        <v>1</v>
      </c>
      <c r="I552">
        <f t="shared" si="40"/>
        <v>-1.0249801747782108</v>
      </c>
      <c r="J552">
        <f t="shared" si="41"/>
        <v>-1.7785884840843287</v>
      </c>
      <c r="K552">
        <f t="shared" si="42"/>
        <v>-1.3691348398776062</v>
      </c>
      <c r="M552">
        <f t="shared" si="43"/>
        <v>-1.3909011662467152</v>
      </c>
    </row>
    <row r="553" spans="1:13" ht="22">
      <c r="A553" s="2" t="s">
        <v>473</v>
      </c>
      <c r="B553" s="5" t="s">
        <v>1036</v>
      </c>
      <c r="D553" s="4">
        <v>2351</v>
      </c>
      <c r="E553" s="1">
        <v>16</v>
      </c>
      <c r="F553" s="1">
        <v>17</v>
      </c>
      <c r="G553" s="1">
        <v>6</v>
      </c>
      <c r="I553">
        <f t="shared" si="40"/>
        <v>-1.1750794819484449</v>
      </c>
      <c r="J553">
        <f t="shared" si="41"/>
        <v>-1.6013288568682325</v>
      </c>
      <c r="K553">
        <f t="shared" si="42"/>
        <v>-1.6441728836561402</v>
      </c>
      <c r="M553">
        <f t="shared" si="43"/>
        <v>-1.4735270741576059</v>
      </c>
    </row>
    <row r="554" spans="1:13" ht="22">
      <c r="A554" s="2" t="s">
        <v>518</v>
      </c>
      <c r="B554" s="5" t="s">
        <v>1081</v>
      </c>
      <c r="D554" s="4">
        <v>262</v>
      </c>
      <c r="E554" s="1">
        <v>2</v>
      </c>
      <c r="F554" s="1">
        <v>1</v>
      </c>
      <c r="G554" s="1">
        <v>1</v>
      </c>
      <c r="I554">
        <f t="shared" si="40"/>
        <v>-1.125218131135195</v>
      </c>
      <c r="J554">
        <f t="shared" si="41"/>
        <v>-1.8788264404413129</v>
      </c>
      <c r="K554">
        <f t="shared" si="42"/>
        <v>-1.4693727962345904</v>
      </c>
      <c r="M554">
        <f t="shared" si="43"/>
        <v>-1.4911391226036994</v>
      </c>
    </row>
    <row r="555" spans="1:13" ht="22">
      <c r="A555" s="2" t="s">
        <v>332</v>
      </c>
      <c r="B555" s="5" t="s">
        <v>895</v>
      </c>
      <c r="D555" s="4">
        <v>557</v>
      </c>
      <c r="E555" s="1">
        <v>1</v>
      </c>
      <c r="F555" s="1">
        <v>3</v>
      </c>
      <c r="G555" s="1">
        <v>1</v>
      </c>
      <c r="I555">
        <f t="shared" si="40"/>
        <v>-1.7538020306531594</v>
      </c>
      <c r="J555">
        <f t="shared" si="41"/>
        <v>-1.7292590895756335</v>
      </c>
      <c r="K555">
        <f t="shared" si="42"/>
        <v>-1.7969267000885736</v>
      </c>
      <c r="M555">
        <f t="shared" si="43"/>
        <v>-1.7599959401057887</v>
      </c>
    </row>
    <row r="556" spans="1:13" ht="27">
      <c r="B556" s="3"/>
    </row>
    <row r="557" spans="1:13" ht="27">
      <c r="B557" s="3"/>
    </row>
    <row r="558" spans="1:13" ht="27">
      <c r="B558" s="3"/>
    </row>
    <row r="559" spans="1:13" ht="27">
      <c r="B559" s="3"/>
    </row>
    <row r="560" spans="1:13" ht="27">
      <c r="B560" s="3"/>
    </row>
    <row r="561" spans="2:2" ht="27">
      <c r="B561" s="3"/>
    </row>
    <row r="562" spans="2:2" ht="27">
      <c r="B562" s="3"/>
    </row>
    <row r="563" spans="2:2" ht="27">
      <c r="B563" s="3"/>
    </row>
    <row r="564" spans="2:2" ht="27">
      <c r="B564" s="3"/>
    </row>
    <row r="565" spans="2:2" ht="27">
      <c r="B565" s="3"/>
    </row>
    <row r="566" spans="2:2" ht="27">
      <c r="B566" s="3"/>
    </row>
    <row r="567" spans="2:2" ht="27">
      <c r="B567" s="3"/>
    </row>
    <row r="568" spans="2:2" ht="27">
      <c r="B568" s="3"/>
    </row>
    <row r="569" spans="2:2" ht="27">
      <c r="B569" s="3"/>
    </row>
    <row r="570" spans="2:2" ht="27">
      <c r="B570" s="3"/>
    </row>
    <row r="571" spans="2:2" ht="27">
      <c r="B571" s="3"/>
    </row>
    <row r="572" spans="2:2" ht="27">
      <c r="B572" s="3"/>
    </row>
    <row r="573" spans="2:2" ht="27">
      <c r="B573" s="3"/>
    </row>
    <row r="574" spans="2:2" ht="27">
      <c r="B574" s="3"/>
    </row>
    <row r="575" spans="2:2" ht="27">
      <c r="B575" s="3"/>
    </row>
    <row r="576" spans="2:2" ht="27">
      <c r="B576" s="3"/>
    </row>
    <row r="577" spans="2:2" ht="27">
      <c r="B577" s="3"/>
    </row>
    <row r="578" spans="2:2" ht="27">
      <c r="B578" s="3"/>
    </row>
    <row r="579" spans="2:2" ht="27">
      <c r="B579" s="3"/>
    </row>
    <row r="580" spans="2:2" ht="27">
      <c r="B580" s="3"/>
    </row>
    <row r="581" spans="2:2" ht="27">
      <c r="B581" s="3"/>
    </row>
    <row r="582" spans="2:2" ht="27">
      <c r="B582" s="3"/>
    </row>
    <row r="583" spans="2:2" ht="27">
      <c r="B583" s="3"/>
    </row>
    <row r="584" spans="2:2" ht="27">
      <c r="B584" s="3"/>
    </row>
    <row r="585" spans="2:2" ht="27">
      <c r="B585" s="3"/>
    </row>
    <row r="586" spans="2:2" ht="27">
      <c r="B586" s="3"/>
    </row>
    <row r="587" spans="2:2" ht="27">
      <c r="B587" s="3"/>
    </row>
    <row r="588" spans="2:2" ht="27">
      <c r="B588" s="3"/>
    </row>
    <row r="589" spans="2:2" ht="27">
      <c r="B589" s="3"/>
    </row>
    <row r="590" spans="2:2" ht="27">
      <c r="B590" s="3"/>
    </row>
    <row r="591" spans="2:2" ht="27">
      <c r="B591" s="3"/>
    </row>
    <row r="592" spans="2:2" ht="27">
      <c r="B592" s="3"/>
    </row>
    <row r="593" spans="2:2" ht="27">
      <c r="B593" s="3"/>
    </row>
    <row r="594" spans="2:2" ht="27">
      <c r="B594" s="3"/>
    </row>
    <row r="595" spans="2:2" ht="27">
      <c r="B595" s="3"/>
    </row>
    <row r="600" spans="2:2" ht="27">
      <c r="B600" s="3"/>
    </row>
    <row r="601" spans="2:2" ht="27">
      <c r="B601" s="3"/>
    </row>
    <row r="602" spans="2:2" ht="27">
      <c r="B602" s="3"/>
    </row>
    <row r="603" spans="2:2" ht="27">
      <c r="B603" s="3"/>
    </row>
    <row r="604" spans="2:2" ht="27">
      <c r="B604" s="3"/>
    </row>
    <row r="605" spans="2:2" ht="27">
      <c r="B605" s="3"/>
    </row>
    <row r="606" spans="2:2" ht="27">
      <c r="B606" s="3"/>
    </row>
    <row r="607" spans="2:2" ht="27">
      <c r="B607" s="3"/>
    </row>
    <row r="608" spans="2:2" ht="27">
      <c r="B608" s="3"/>
    </row>
    <row r="609" spans="2:2" ht="27">
      <c r="B609" s="3"/>
    </row>
    <row r="610" spans="2:2" ht="27">
      <c r="B610" s="3"/>
    </row>
    <row r="611" spans="2:2" ht="27">
      <c r="B611" s="3"/>
    </row>
    <row r="612" spans="2:2" ht="27">
      <c r="B612" s="3"/>
    </row>
    <row r="613" spans="2:2" ht="27">
      <c r="B613" s="3"/>
    </row>
    <row r="614" spans="2:2" ht="27">
      <c r="B614" s="3"/>
    </row>
    <row r="615" spans="2:2" ht="27">
      <c r="B615" s="3"/>
    </row>
    <row r="616" spans="2:2" ht="27">
      <c r="B616" s="3"/>
    </row>
    <row r="617" spans="2:2" ht="27">
      <c r="B617" s="3"/>
    </row>
    <row r="618" spans="2:2" ht="27">
      <c r="B618" s="3"/>
    </row>
    <row r="619" spans="2:2" ht="27">
      <c r="B619" s="3"/>
    </row>
    <row r="620" spans="2:2" ht="27">
      <c r="B620" s="3"/>
    </row>
    <row r="621" spans="2:2" ht="27">
      <c r="B621" s="3"/>
    </row>
    <row r="622" spans="2:2" ht="27">
      <c r="B622" s="3"/>
    </row>
    <row r="623" spans="2:2" ht="27">
      <c r="B623" s="3"/>
    </row>
    <row r="624" spans="2:2" ht="27">
      <c r="B624" s="3"/>
    </row>
    <row r="625" spans="2:2" ht="27">
      <c r="B625" s="3"/>
    </row>
    <row r="626" spans="2:2" ht="27">
      <c r="B626" s="3"/>
    </row>
    <row r="627" spans="2:2" ht="27">
      <c r="B627" s="3"/>
    </row>
    <row r="628" spans="2:2" ht="27">
      <c r="B628" s="3"/>
    </row>
    <row r="629" spans="2:2" ht="27">
      <c r="B629" s="3"/>
    </row>
    <row r="630" spans="2:2" ht="27">
      <c r="B630" s="3"/>
    </row>
    <row r="631" spans="2:2" ht="27">
      <c r="B631" s="3"/>
    </row>
    <row r="632" spans="2:2" ht="27">
      <c r="B632" s="3"/>
    </row>
    <row r="633" spans="2:2" ht="27">
      <c r="B633" s="3"/>
    </row>
    <row r="634" spans="2:2" ht="27">
      <c r="B634" s="3"/>
    </row>
    <row r="635" spans="2:2" ht="27">
      <c r="B635" s="3"/>
    </row>
    <row r="636" spans="2:2" ht="27">
      <c r="B636" s="3"/>
    </row>
    <row r="637" spans="2:2" ht="27">
      <c r="B637" s="3"/>
    </row>
    <row r="638" spans="2:2" ht="27">
      <c r="B638" s="3"/>
    </row>
    <row r="639" spans="2:2" ht="27">
      <c r="B639" s="3"/>
    </row>
    <row r="640" spans="2:2" ht="27">
      <c r="B640" s="3"/>
    </row>
    <row r="641" spans="2:2" ht="27">
      <c r="B641" s="3"/>
    </row>
    <row r="642" spans="2:2" ht="27">
      <c r="B642" s="3"/>
    </row>
    <row r="643" spans="2:2" ht="27">
      <c r="B643" s="3"/>
    </row>
    <row r="644" spans="2:2" ht="27">
      <c r="B644" s="3"/>
    </row>
    <row r="645" spans="2:2" ht="27">
      <c r="B645" s="3"/>
    </row>
    <row r="646" spans="2:2" ht="27">
      <c r="B646" s="3"/>
    </row>
    <row r="647" spans="2:2" ht="27">
      <c r="B647" s="3"/>
    </row>
    <row r="648" spans="2:2" ht="27">
      <c r="B648" s="3"/>
    </row>
    <row r="649" spans="2:2" ht="27">
      <c r="B649" s="3"/>
    </row>
    <row r="650" spans="2:2" ht="27">
      <c r="B650" s="3"/>
    </row>
    <row r="651" spans="2:2" ht="27">
      <c r="B651" s="3"/>
    </row>
    <row r="652" spans="2:2" ht="27">
      <c r="B652" s="3"/>
    </row>
    <row r="653" spans="2:2" ht="27">
      <c r="B653" s="3"/>
    </row>
    <row r="654" spans="2:2" ht="27">
      <c r="B654" s="3"/>
    </row>
    <row r="655" spans="2:2" ht="27">
      <c r="B655" s="3"/>
    </row>
    <row r="656" spans="2:2" ht="27">
      <c r="B656" s="3"/>
    </row>
    <row r="657" spans="2:2" ht="27">
      <c r="B657" s="3"/>
    </row>
    <row r="658" spans="2:2" ht="27">
      <c r="B658" s="3"/>
    </row>
    <row r="659" spans="2:2" ht="27">
      <c r="B659" s="3"/>
    </row>
    <row r="660" spans="2:2" ht="27">
      <c r="B660" s="3"/>
    </row>
    <row r="661" spans="2:2" ht="27">
      <c r="B661" s="3"/>
    </row>
    <row r="662" spans="2:2" ht="27">
      <c r="B662" s="3"/>
    </row>
    <row r="663" spans="2:2" ht="27">
      <c r="B663" s="3"/>
    </row>
    <row r="664" spans="2:2" ht="27">
      <c r="B664" s="3"/>
    </row>
    <row r="665" spans="2:2" ht="27">
      <c r="B665" s="3"/>
    </row>
    <row r="666" spans="2:2" ht="27">
      <c r="B666" s="3"/>
    </row>
    <row r="667" spans="2:2" ht="27">
      <c r="B667" s="3"/>
    </row>
    <row r="668" spans="2:2" ht="27">
      <c r="B668" s="3"/>
    </row>
    <row r="669" spans="2:2" ht="27">
      <c r="B669" s="3"/>
    </row>
    <row r="670" spans="2:2" ht="27">
      <c r="B670" s="3"/>
    </row>
    <row r="671" spans="2:2" ht="27">
      <c r="B671" s="3"/>
    </row>
    <row r="672" spans="2:2" ht="27">
      <c r="B672" s="3"/>
    </row>
    <row r="673" spans="2:2" ht="27">
      <c r="B673" s="3"/>
    </row>
    <row r="674" spans="2:2" ht="27">
      <c r="B674" s="3"/>
    </row>
    <row r="675" spans="2:2" ht="27">
      <c r="B675" s="3"/>
    </row>
    <row r="676" spans="2:2" ht="27">
      <c r="B676" s="3"/>
    </row>
    <row r="677" spans="2:2" ht="27">
      <c r="B677" s="3"/>
    </row>
    <row r="678" spans="2:2" ht="27">
      <c r="B678" s="3"/>
    </row>
    <row r="679" spans="2:2" ht="27">
      <c r="B679" s="3"/>
    </row>
    <row r="680" spans="2:2" ht="27">
      <c r="B680" s="3"/>
    </row>
    <row r="681" spans="2:2" ht="27">
      <c r="B681" s="3"/>
    </row>
    <row r="682" spans="2:2" ht="27">
      <c r="B682" s="3"/>
    </row>
    <row r="683" spans="2:2" ht="27">
      <c r="B683" s="3"/>
    </row>
    <row r="684" spans="2:2" ht="27">
      <c r="B684" s="3"/>
    </row>
    <row r="685" spans="2:2" ht="27">
      <c r="B685" s="3"/>
    </row>
    <row r="686" spans="2:2" ht="27">
      <c r="B686" s="3"/>
    </row>
    <row r="687" spans="2:2" ht="27">
      <c r="B687" s="3"/>
    </row>
    <row r="688" spans="2:2" ht="27">
      <c r="B688" s="3"/>
    </row>
    <row r="689" spans="2:2" ht="27">
      <c r="B689" s="3"/>
    </row>
    <row r="690" spans="2:2" ht="27">
      <c r="B690" s="3"/>
    </row>
    <row r="691" spans="2:2" ht="27">
      <c r="B691" s="3"/>
    </row>
    <row r="692" spans="2:2" ht="27">
      <c r="B692" s="3"/>
    </row>
    <row r="693" spans="2:2" ht="27">
      <c r="B693" s="3"/>
    </row>
    <row r="694" spans="2:2" ht="27">
      <c r="B694" s="3"/>
    </row>
    <row r="695" spans="2:2" ht="27">
      <c r="B695" s="3"/>
    </row>
    <row r="696" spans="2:2" ht="27">
      <c r="B696" s="3"/>
    </row>
    <row r="697" spans="2:2" ht="27">
      <c r="B697" s="3"/>
    </row>
    <row r="698" spans="2:2" ht="27">
      <c r="B698" s="3"/>
    </row>
    <row r="699" spans="2:2" ht="27">
      <c r="B699" s="3"/>
    </row>
    <row r="700" spans="2:2" ht="27">
      <c r="B700" s="3"/>
    </row>
    <row r="701" spans="2:2" ht="27">
      <c r="B701" s="3"/>
    </row>
    <row r="702" spans="2:2" ht="27">
      <c r="B702" s="3"/>
    </row>
  </sheetData>
  <sortState xmlns:xlrd2="http://schemas.microsoft.com/office/spreadsheetml/2017/richdata2" ref="A1:M702">
    <sortCondition descending="1" ref="M1:M702"/>
  </sortState>
  <conditionalFormatting sqref="M1:M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30-40</vt:lpstr>
      <vt:lpstr>30-40_arranged</vt:lpstr>
      <vt:lpstr>Top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Nimkar, Siddharth</dc:creator>
  <cp:lastModifiedBy>Siddharth Nimkar</cp:lastModifiedBy>
  <dcterms:created xsi:type="dcterms:W3CDTF">2025-02-25T17:38:26Z</dcterms:created>
  <dcterms:modified xsi:type="dcterms:W3CDTF">2026-04-02T23:02:46Z</dcterms:modified>
</cp:coreProperties>
</file>